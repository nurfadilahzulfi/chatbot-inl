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PORAN PRODUKSI\"/>
    </mc:Choice>
  </mc:AlternateContent>
  <xr:revisionPtr revIDLastSave="0" documentId="13_ncr:1_{C32533EC-B388-4399-A6C0-6B38F848E4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-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31" i="1" l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AL231" i="1" s="1"/>
  <c r="H231" i="1"/>
  <c r="G231" i="1"/>
  <c r="F231" i="1"/>
  <c r="AL230" i="1"/>
  <c r="AL227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AL226" i="1" s="1"/>
  <c r="D226" i="1"/>
  <c r="AL225" i="1"/>
  <c r="D225" i="1"/>
  <c r="AL224" i="1"/>
  <c r="AGL224" i="1" s="1"/>
  <c r="AGL223" i="1"/>
  <c r="AL223" i="1"/>
  <c r="AL221" i="1"/>
  <c r="AH219" i="1"/>
  <c r="AG219" i="1"/>
  <c r="AD219" i="1"/>
  <c r="AC219" i="1"/>
  <c r="Z219" i="1"/>
  <c r="Y219" i="1"/>
  <c r="V219" i="1"/>
  <c r="U219" i="1"/>
  <c r="R219" i="1"/>
  <c r="Q219" i="1"/>
  <c r="N219" i="1"/>
  <c r="M219" i="1"/>
  <c r="J219" i="1"/>
  <c r="I219" i="1"/>
  <c r="F219" i="1"/>
  <c r="AJ218" i="1"/>
  <c r="AJ219" i="1" s="1"/>
  <c r="AI218" i="1"/>
  <c r="AI219" i="1" s="1"/>
  <c r="AH218" i="1"/>
  <c r="AG218" i="1"/>
  <c r="AF218" i="1"/>
  <c r="AF219" i="1" s="1"/>
  <c r="AE218" i="1"/>
  <c r="AE219" i="1" s="1"/>
  <c r="AD218" i="1"/>
  <c r="AC218" i="1"/>
  <c r="AB218" i="1"/>
  <c r="AB219" i="1" s="1"/>
  <c r="AA218" i="1"/>
  <c r="AA219" i="1" s="1"/>
  <c r="Z218" i="1"/>
  <c r="Y218" i="1"/>
  <c r="X218" i="1"/>
  <c r="X219" i="1" s="1"/>
  <c r="W218" i="1"/>
  <c r="W219" i="1" s="1"/>
  <c r="V218" i="1"/>
  <c r="U218" i="1"/>
  <c r="T218" i="1"/>
  <c r="T219" i="1" s="1"/>
  <c r="S218" i="1"/>
  <c r="S219" i="1" s="1"/>
  <c r="R218" i="1"/>
  <c r="Q218" i="1"/>
  <c r="P218" i="1"/>
  <c r="P219" i="1" s="1"/>
  <c r="O218" i="1"/>
  <c r="O219" i="1" s="1"/>
  <c r="N218" i="1"/>
  <c r="M218" i="1"/>
  <c r="L218" i="1"/>
  <c r="L219" i="1" s="1"/>
  <c r="K218" i="1"/>
  <c r="K219" i="1" s="1"/>
  <c r="J218" i="1"/>
  <c r="I218" i="1"/>
  <c r="H218" i="1"/>
  <c r="H219" i="1" s="1"/>
  <c r="G218" i="1"/>
  <c r="G219" i="1" s="1"/>
  <c r="F218" i="1"/>
  <c r="AL218" i="1" s="1"/>
  <c r="AL217" i="1"/>
  <c r="AL216" i="1"/>
  <c r="AL219" i="1" s="1"/>
  <c r="AL214" i="1"/>
  <c r="D214" i="1"/>
  <c r="D218" i="1" s="1"/>
  <c r="D219" i="1" s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D212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AL211" i="1" s="1"/>
  <c r="G211" i="1"/>
  <c r="F211" i="1"/>
  <c r="AL210" i="1"/>
  <c r="AL208" i="1"/>
  <c r="AL207" i="1"/>
  <c r="AJ205" i="1"/>
  <c r="AI205" i="1"/>
  <c r="AH205" i="1"/>
  <c r="AG205" i="1"/>
  <c r="AE205" i="1"/>
  <c r="AD205" i="1"/>
  <c r="AC205" i="1"/>
  <c r="AA205" i="1"/>
  <c r="Y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I205" i="1"/>
  <c r="H205" i="1"/>
  <c r="G205" i="1"/>
  <c r="F205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I203" i="1"/>
  <c r="H203" i="1"/>
  <c r="G203" i="1"/>
  <c r="F203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AL202" i="1" s="1"/>
  <c r="G202" i="1"/>
  <c r="F202" i="1"/>
  <c r="AJ201" i="1"/>
  <c r="AJ204" i="1" s="1"/>
  <c r="AI201" i="1"/>
  <c r="AI204" i="1" s="1"/>
  <c r="AH201" i="1"/>
  <c r="AH204" i="1" s="1"/>
  <c r="AG201" i="1"/>
  <c r="AG204" i="1" s="1"/>
  <c r="AF201" i="1"/>
  <c r="AF204" i="1" s="1"/>
  <c r="AE201" i="1"/>
  <c r="AE204" i="1" s="1"/>
  <c r="AD201" i="1"/>
  <c r="AD204" i="1" s="1"/>
  <c r="AC201" i="1"/>
  <c r="AC204" i="1" s="1"/>
  <c r="AA201" i="1"/>
  <c r="AA204" i="1" s="1"/>
  <c r="Z201" i="1"/>
  <c r="Z204" i="1" s="1"/>
  <c r="Y201" i="1"/>
  <c r="Y204" i="1" s="1"/>
  <c r="X201" i="1"/>
  <c r="X204" i="1" s="1"/>
  <c r="W201" i="1"/>
  <c r="W204" i="1" s="1"/>
  <c r="V201" i="1"/>
  <c r="V204" i="1" s="1"/>
  <c r="U201" i="1"/>
  <c r="U204" i="1" s="1"/>
  <c r="T201" i="1"/>
  <c r="T204" i="1" s="1"/>
  <c r="R201" i="1"/>
  <c r="R204" i="1" s="1"/>
  <c r="Q201" i="1"/>
  <c r="Q204" i="1" s="1"/>
  <c r="P201" i="1"/>
  <c r="P204" i="1" s="1"/>
  <c r="O201" i="1"/>
  <c r="O204" i="1" s="1"/>
  <c r="N201" i="1"/>
  <c r="N204" i="1" s="1"/>
  <c r="M201" i="1"/>
  <c r="M204" i="1" s="1"/>
  <c r="L201" i="1"/>
  <c r="L204" i="1" s="1"/>
  <c r="K201" i="1"/>
  <c r="K204" i="1" s="1"/>
  <c r="J201" i="1"/>
  <c r="I201" i="1"/>
  <c r="I204" i="1" s="1"/>
  <c r="H201" i="1"/>
  <c r="G201" i="1"/>
  <c r="G204" i="1" s="1"/>
  <c r="F201" i="1"/>
  <c r="F204" i="1" s="1"/>
  <c r="AL200" i="1"/>
  <c r="AL198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AL195" i="1" s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AL194" i="1" s="1"/>
  <c r="G194" i="1"/>
  <c r="F194" i="1"/>
  <c r="AL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AL191" i="1"/>
  <c r="AS189" i="1"/>
  <c r="AT189" i="1" s="1"/>
  <c r="AL189" i="1"/>
  <c r="AL187" i="1"/>
  <c r="AJ187" i="1"/>
  <c r="AJ188" i="1" s="1"/>
  <c r="AI187" i="1"/>
  <c r="AI188" i="1" s="1"/>
  <c r="AH187" i="1"/>
  <c r="AH188" i="1" s="1"/>
  <c r="AG187" i="1"/>
  <c r="AG188" i="1" s="1"/>
  <c r="AF187" i="1"/>
  <c r="AF188" i="1" s="1"/>
  <c r="AE187" i="1"/>
  <c r="AE188" i="1" s="1"/>
  <c r="AD187" i="1"/>
  <c r="AD188" i="1" s="1"/>
  <c r="AC187" i="1"/>
  <c r="AC188" i="1" s="1"/>
  <c r="AB187" i="1"/>
  <c r="AB188" i="1" s="1"/>
  <c r="AA187" i="1"/>
  <c r="AA188" i="1" s="1"/>
  <c r="Z187" i="1"/>
  <c r="Z188" i="1" s="1"/>
  <c r="Y187" i="1"/>
  <c r="Y188" i="1" s="1"/>
  <c r="X187" i="1"/>
  <c r="X188" i="1" s="1"/>
  <c r="W187" i="1"/>
  <c r="W188" i="1" s="1"/>
  <c r="V187" i="1"/>
  <c r="V188" i="1" s="1"/>
  <c r="U187" i="1"/>
  <c r="U188" i="1" s="1"/>
  <c r="T187" i="1"/>
  <c r="T188" i="1" s="1"/>
  <c r="S187" i="1"/>
  <c r="S188" i="1" s="1"/>
  <c r="R187" i="1"/>
  <c r="R188" i="1" s="1"/>
  <c r="Q187" i="1"/>
  <c r="Q188" i="1" s="1"/>
  <c r="P187" i="1"/>
  <c r="P188" i="1" s="1"/>
  <c r="O187" i="1"/>
  <c r="O188" i="1" s="1"/>
  <c r="N187" i="1"/>
  <c r="N188" i="1" s="1"/>
  <c r="M187" i="1"/>
  <c r="M188" i="1" s="1"/>
  <c r="L187" i="1"/>
  <c r="L188" i="1" s="1"/>
  <c r="K187" i="1"/>
  <c r="K188" i="1" s="1"/>
  <c r="J187" i="1"/>
  <c r="J188" i="1" s="1"/>
  <c r="I187" i="1"/>
  <c r="I188" i="1" s="1"/>
  <c r="H187" i="1"/>
  <c r="H188" i="1" s="1"/>
  <c r="G187" i="1"/>
  <c r="G188" i="1" s="1"/>
  <c r="F187" i="1"/>
  <c r="F188" i="1" s="1"/>
  <c r="AL188" i="1" s="1"/>
  <c r="AL186" i="1"/>
  <c r="AB185" i="1"/>
  <c r="AL185" i="1" s="1"/>
  <c r="S185" i="1"/>
  <c r="S201" i="1" s="1"/>
  <c r="S204" i="1" s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AL176" i="1"/>
  <c r="AL175" i="1"/>
  <c r="AL182" i="1" s="1"/>
  <c r="AL173" i="1"/>
  <c r="AL172" i="1"/>
  <c r="AL180" i="1" s="1"/>
  <c r="AL171" i="1"/>
  <c r="AL179" i="1" s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AL168" i="1" s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AL167" i="1" s="1"/>
  <c r="G167" i="1"/>
  <c r="F167" i="1"/>
  <c r="AJ166" i="1"/>
  <c r="AJ183" i="1" s="1"/>
  <c r="AI166" i="1"/>
  <c r="AI183" i="1" s="1"/>
  <c r="AH166" i="1"/>
  <c r="AH183" i="1" s="1"/>
  <c r="AG166" i="1"/>
  <c r="AG183" i="1" s="1"/>
  <c r="AF166" i="1"/>
  <c r="AF183" i="1" s="1"/>
  <c r="AE166" i="1"/>
  <c r="AE183" i="1" s="1"/>
  <c r="AD166" i="1"/>
  <c r="AD183" i="1" s="1"/>
  <c r="AC166" i="1"/>
  <c r="AC183" i="1" s="1"/>
  <c r="AB166" i="1"/>
  <c r="AB183" i="1" s="1"/>
  <c r="AA166" i="1"/>
  <c r="AA183" i="1" s="1"/>
  <c r="Z166" i="1"/>
  <c r="Z183" i="1" s="1"/>
  <c r="Y166" i="1"/>
  <c r="Y183" i="1" s="1"/>
  <c r="X166" i="1"/>
  <c r="X183" i="1" s="1"/>
  <c r="W166" i="1"/>
  <c r="W183" i="1" s="1"/>
  <c r="V166" i="1"/>
  <c r="V183" i="1" s="1"/>
  <c r="U166" i="1"/>
  <c r="U183" i="1" s="1"/>
  <c r="T166" i="1"/>
  <c r="T183" i="1" s="1"/>
  <c r="S166" i="1"/>
  <c r="S183" i="1" s="1"/>
  <c r="R166" i="1"/>
  <c r="R183" i="1" s="1"/>
  <c r="Q166" i="1"/>
  <c r="Q183" i="1" s="1"/>
  <c r="P166" i="1"/>
  <c r="P183" i="1" s="1"/>
  <c r="O166" i="1"/>
  <c r="O183" i="1" s="1"/>
  <c r="N166" i="1"/>
  <c r="N183" i="1" s="1"/>
  <c r="M166" i="1"/>
  <c r="M183" i="1" s="1"/>
  <c r="L166" i="1"/>
  <c r="L183" i="1" s="1"/>
  <c r="K166" i="1"/>
  <c r="K183" i="1" s="1"/>
  <c r="J166" i="1"/>
  <c r="J183" i="1" s="1"/>
  <c r="I166" i="1"/>
  <c r="I183" i="1" s="1"/>
  <c r="H166" i="1"/>
  <c r="H183" i="1" s="1"/>
  <c r="G166" i="1"/>
  <c r="G183" i="1" s="1"/>
  <c r="F166" i="1"/>
  <c r="F183" i="1" s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AL164" i="1"/>
  <c r="AJ164" i="1"/>
  <c r="AJ182" i="1" s="1"/>
  <c r="AI164" i="1"/>
  <c r="AI182" i="1" s="1"/>
  <c r="AH164" i="1"/>
  <c r="AH182" i="1" s="1"/>
  <c r="AG164" i="1"/>
  <c r="AG182" i="1" s="1"/>
  <c r="AF164" i="1"/>
  <c r="AF182" i="1" s="1"/>
  <c r="AE164" i="1"/>
  <c r="AE182" i="1" s="1"/>
  <c r="AD164" i="1"/>
  <c r="AD182" i="1" s="1"/>
  <c r="AC164" i="1"/>
  <c r="AC182" i="1" s="1"/>
  <c r="AB164" i="1"/>
  <c r="AB182" i="1" s="1"/>
  <c r="AA164" i="1"/>
  <c r="AA182" i="1" s="1"/>
  <c r="Z164" i="1"/>
  <c r="Z182" i="1" s="1"/>
  <c r="Y164" i="1"/>
  <c r="Y182" i="1" s="1"/>
  <c r="X164" i="1"/>
  <c r="X182" i="1" s="1"/>
  <c r="W164" i="1"/>
  <c r="W182" i="1" s="1"/>
  <c r="V164" i="1"/>
  <c r="V182" i="1" s="1"/>
  <c r="U164" i="1"/>
  <c r="U182" i="1" s="1"/>
  <c r="T164" i="1"/>
  <c r="T182" i="1" s="1"/>
  <c r="S164" i="1"/>
  <c r="S182" i="1" s="1"/>
  <c r="R164" i="1"/>
  <c r="R182" i="1" s="1"/>
  <c r="Q164" i="1"/>
  <c r="Q182" i="1" s="1"/>
  <c r="P164" i="1"/>
  <c r="P182" i="1" s="1"/>
  <c r="O164" i="1"/>
  <c r="O182" i="1" s="1"/>
  <c r="N164" i="1"/>
  <c r="N182" i="1" s="1"/>
  <c r="M164" i="1"/>
  <c r="M182" i="1" s="1"/>
  <c r="L164" i="1"/>
  <c r="L182" i="1" s="1"/>
  <c r="K164" i="1"/>
  <c r="K182" i="1" s="1"/>
  <c r="J164" i="1"/>
  <c r="J182" i="1" s="1"/>
  <c r="I164" i="1"/>
  <c r="I182" i="1" s="1"/>
  <c r="H164" i="1"/>
  <c r="H182" i="1" s="1"/>
  <c r="G164" i="1"/>
  <c r="G182" i="1" s="1"/>
  <c r="F164" i="1"/>
  <c r="F182" i="1" s="1"/>
  <c r="AL162" i="1"/>
  <c r="AL166" i="1" s="1"/>
  <c r="AL161" i="1"/>
  <c r="AL165" i="1" s="1"/>
  <c r="AL160" i="1"/>
  <c r="AJ157" i="1"/>
  <c r="AJ158" i="1" s="1"/>
  <c r="AI157" i="1"/>
  <c r="AI158" i="1" s="1"/>
  <c r="AH157" i="1"/>
  <c r="AH158" i="1" s="1"/>
  <c r="AG157" i="1"/>
  <c r="AG158" i="1" s="1"/>
  <c r="AF157" i="1"/>
  <c r="AF158" i="1" s="1"/>
  <c r="AE157" i="1"/>
  <c r="AE158" i="1" s="1"/>
  <c r="AD157" i="1"/>
  <c r="AD158" i="1" s="1"/>
  <c r="AC157" i="1"/>
  <c r="AC158" i="1" s="1"/>
  <c r="AB157" i="1"/>
  <c r="AB158" i="1" s="1"/>
  <c r="AA157" i="1"/>
  <c r="AA158" i="1" s="1"/>
  <c r="Z157" i="1"/>
  <c r="Z158" i="1" s="1"/>
  <c r="Y157" i="1"/>
  <c r="Y158" i="1" s="1"/>
  <c r="X157" i="1"/>
  <c r="X158" i="1" s="1"/>
  <c r="W157" i="1"/>
  <c r="W158" i="1" s="1"/>
  <c r="V157" i="1"/>
  <c r="V158" i="1" s="1"/>
  <c r="U157" i="1"/>
  <c r="U158" i="1" s="1"/>
  <c r="T157" i="1"/>
  <c r="T158" i="1" s="1"/>
  <c r="S157" i="1"/>
  <c r="S158" i="1" s="1"/>
  <c r="R157" i="1"/>
  <c r="R158" i="1" s="1"/>
  <c r="Q157" i="1"/>
  <c r="Q158" i="1" s="1"/>
  <c r="P157" i="1"/>
  <c r="P158" i="1" s="1"/>
  <c r="O157" i="1"/>
  <c r="O158" i="1" s="1"/>
  <c r="N157" i="1"/>
  <c r="N158" i="1" s="1"/>
  <c r="M157" i="1"/>
  <c r="M158" i="1" s="1"/>
  <c r="L157" i="1"/>
  <c r="L158" i="1" s="1"/>
  <c r="K157" i="1"/>
  <c r="K158" i="1" s="1"/>
  <c r="J157" i="1"/>
  <c r="J158" i="1" s="1"/>
  <c r="I157" i="1"/>
  <c r="I158" i="1" s="1"/>
  <c r="H157" i="1"/>
  <c r="H158" i="1" s="1"/>
  <c r="G157" i="1"/>
  <c r="AL157" i="1" s="1"/>
  <c r="F157" i="1"/>
  <c r="F158" i="1" s="1"/>
  <c r="AN156" i="1"/>
  <c r="V154" i="1"/>
  <c r="R154" i="1"/>
  <c r="N154" i="1"/>
  <c r="J154" i="1"/>
  <c r="F154" i="1"/>
  <c r="S153" i="1"/>
  <c r="O153" i="1"/>
  <c r="K153" i="1"/>
  <c r="G153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AL147" i="1"/>
  <c r="C147" i="1"/>
  <c r="AL146" i="1"/>
  <c r="C146" i="1"/>
  <c r="AL144" i="1"/>
  <c r="AL143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AL140" i="1" s="1"/>
  <c r="F140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AL139" i="1" s="1"/>
  <c r="F139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U154" i="1" s="1"/>
  <c r="T138" i="1"/>
  <c r="T154" i="1" s="1"/>
  <c r="S138" i="1"/>
  <c r="S154" i="1" s="1"/>
  <c r="R138" i="1"/>
  <c r="Q138" i="1"/>
  <c r="Q154" i="1" s="1"/>
  <c r="P138" i="1"/>
  <c r="P154" i="1" s="1"/>
  <c r="O138" i="1"/>
  <c r="O154" i="1" s="1"/>
  <c r="N138" i="1"/>
  <c r="M138" i="1"/>
  <c r="M154" i="1" s="1"/>
  <c r="L138" i="1"/>
  <c r="L154" i="1" s="1"/>
  <c r="K138" i="1"/>
  <c r="K154" i="1" s="1"/>
  <c r="J138" i="1"/>
  <c r="I138" i="1"/>
  <c r="I154" i="1" s="1"/>
  <c r="H138" i="1"/>
  <c r="H154" i="1" s="1"/>
  <c r="G138" i="1"/>
  <c r="G154" i="1" s="1"/>
  <c r="F138" i="1"/>
  <c r="AL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V153" i="1" s="1"/>
  <c r="U137" i="1"/>
  <c r="U153" i="1" s="1"/>
  <c r="T137" i="1"/>
  <c r="T153" i="1" s="1"/>
  <c r="S137" i="1"/>
  <c r="R137" i="1"/>
  <c r="R153" i="1" s="1"/>
  <c r="Q137" i="1"/>
  <c r="Q153" i="1" s="1"/>
  <c r="P137" i="1"/>
  <c r="P153" i="1" s="1"/>
  <c r="O137" i="1"/>
  <c r="N137" i="1"/>
  <c r="N153" i="1" s="1"/>
  <c r="M137" i="1"/>
  <c r="M153" i="1" s="1"/>
  <c r="L137" i="1"/>
  <c r="L153" i="1" s="1"/>
  <c r="K137" i="1"/>
  <c r="J137" i="1"/>
  <c r="J153" i="1" s="1"/>
  <c r="I137" i="1"/>
  <c r="I153" i="1" s="1"/>
  <c r="H137" i="1"/>
  <c r="H153" i="1" s="1"/>
  <c r="G137" i="1"/>
  <c r="F137" i="1"/>
  <c r="F153" i="1" s="1"/>
  <c r="AL135" i="1"/>
  <c r="AL138" i="1" s="1"/>
  <c r="AL134" i="1"/>
  <c r="GR132" i="1"/>
  <c r="AI132" i="1"/>
  <c r="AH132" i="1"/>
  <c r="AE132" i="1"/>
  <c r="AD132" i="1"/>
  <c r="AA132" i="1"/>
  <c r="Z132" i="1"/>
  <c r="W132" i="1"/>
  <c r="V132" i="1"/>
  <c r="S132" i="1"/>
  <c r="R132" i="1"/>
  <c r="O132" i="1"/>
  <c r="N132" i="1"/>
  <c r="K132" i="1"/>
  <c r="J132" i="1"/>
  <c r="G132" i="1"/>
  <c r="F132" i="1"/>
  <c r="AT131" i="1"/>
  <c r="AS131" i="1"/>
  <c r="AJ131" i="1"/>
  <c r="AJ132" i="1" s="1"/>
  <c r="AI131" i="1"/>
  <c r="AH131" i="1"/>
  <c r="AG131" i="1"/>
  <c r="AG132" i="1" s="1"/>
  <c r="AF131" i="1"/>
  <c r="AF132" i="1" s="1"/>
  <c r="AE131" i="1"/>
  <c r="AD131" i="1"/>
  <c r="AC131" i="1"/>
  <c r="AC132" i="1" s="1"/>
  <c r="AB131" i="1"/>
  <c r="AB132" i="1" s="1"/>
  <c r="AA131" i="1"/>
  <c r="Z131" i="1"/>
  <c r="Y131" i="1"/>
  <c r="Y132" i="1" s="1"/>
  <c r="X131" i="1"/>
  <c r="X132" i="1" s="1"/>
  <c r="W131" i="1"/>
  <c r="V131" i="1"/>
  <c r="U131" i="1"/>
  <c r="U132" i="1" s="1"/>
  <c r="T131" i="1"/>
  <c r="T132" i="1" s="1"/>
  <c r="S131" i="1"/>
  <c r="R131" i="1"/>
  <c r="Q131" i="1"/>
  <c r="Q132" i="1" s="1"/>
  <c r="P131" i="1"/>
  <c r="P132" i="1" s="1"/>
  <c r="O131" i="1"/>
  <c r="N131" i="1"/>
  <c r="M131" i="1"/>
  <c r="M132" i="1" s="1"/>
  <c r="L131" i="1"/>
  <c r="L132" i="1" s="1"/>
  <c r="K131" i="1"/>
  <c r="J131" i="1"/>
  <c r="I131" i="1"/>
  <c r="I132" i="1" s="1"/>
  <c r="H131" i="1"/>
  <c r="H132" i="1" s="1"/>
  <c r="G131" i="1"/>
  <c r="F131" i="1"/>
  <c r="AT130" i="1"/>
  <c r="AT132" i="1" s="1"/>
  <c r="AT135" i="1" s="1"/>
  <c r="AT137" i="1" s="1"/>
  <c r="AS130" i="1"/>
  <c r="AL130" i="1"/>
  <c r="AL129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AL120" i="1"/>
  <c r="AL119" i="1"/>
  <c r="AL126" i="1" s="1"/>
  <c r="AL117" i="1"/>
  <c r="AL116" i="1"/>
  <c r="AL123" i="1" s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AL113" i="1" s="1"/>
  <c r="AJ112" i="1"/>
  <c r="AI112" i="1"/>
  <c r="AH112" i="1"/>
  <c r="AG112" i="1"/>
  <c r="AE112" i="1"/>
  <c r="AD112" i="1"/>
  <c r="AC112" i="1"/>
  <c r="AA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AJ111" i="1"/>
  <c r="AJ127" i="1" s="1"/>
  <c r="AI111" i="1"/>
  <c r="AI127" i="1" s="1"/>
  <c r="AH111" i="1"/>
  <c r="AH127" i="1" s="1"/>
  <c r="AG111" i="1"/>
  <c r="AG127" i="1" s="1"/>
  <c r="AF111" i="1"/>
  <c r="AF127" i="1" s="1"/>
  <c r="AE111" i="1"/>
  <c r="AE127" i="1" s="1"/>
  <c r="AD111" i="1"/>
  <c r="AD127" i="1" s="1"/>
  <c r="AC111" i="1"/>
  <c r="AC127" i="1" s="1"/>
  <c r="AB111" i="1"/>
  <c r="AB127" i="1" s="1"/>
  <c r="AA111" i="1"/>
  <c r="AA127" i="1" s="1"/>
  <c r="Z111" i="1"/>
  <c r="Z127" i="1" s="1"/>
  <c r="Y111" i="1"/>
  <c r="Y127" i="1" s="1"/>
  <c r="X111" i="1"/>
  <c r="X127" i="1" s="1"/>
  <c r="W111" i="1"/>
  <c r="W127" i="1" s="1"/>
  <c r="V111" i="1"/>
  <c r="V127" i="1" s="1"/>
  <c r="U111" i="1"/>
  <c r="U127" i="1" s="1"/>
  <c r="T111" i="1"/>
  <c r="T127" i="1" s="1"/>
  <c r="S111" i="1"/>
  <c r="S127" i="1" s="1"/>
  <c r="R111" i="1"/>
  <c r="R127" i="1" s="1"/>
  <c r="Q111" i="1"/>
  <c r="Q127" i="1" s="1"/>
  <c r="P111" i="1"/>
  <c r="P127" i="1" s="1"/>
  <c r="O111" i="1"/>
  <c r="O127" i="1" s="1"/>
  <c r="N111" i="1"/>
  <c r="N127" i="1" s="1"/>
  <c r="M111" i="1"/>
  <c r="M127" i="1" s="1"/>
  <c r="L111" i="1"/>
  <c r="L127" i="1" s="1"/>
  <c r="K111" i="1"/>
  <c r="K127" i="1" s="1"/>
  <c r="J111" i="1"/>
  <c r="J127" i="1" s="1"/>
  <c r="I111" i="1"/>
  <c r="I127" i="1" s="1"/>
  <c r="H111" i="1"/>
  <c r="H127" i="1" s="1"/>
  <c r="G111" i="1"/>
  <c r="G127" i="1" s="1"/>
  <c r="F111" i="1"/>
  <c r="F127" i="1" s="1"/>
  <c r="AL110" i="1"/>
  <c r="AJ110" i="1"/>
  <c r="AJ126" i="1" s="1"/>
  <c r="AI110" i="1"/>
  <c r="AI126" i="1" s="1"/>
  <c r="AH110" i="1"/>
  <c r="AH126" i="1" s="1"/>
  <c r="AG110" i="1"/>
  <c r="AG126" i="1" s="1"/>
  <c r="AF110" i="1"/>
  <c r="AF126" i="1" s="1"/>
  <c r="AE110" i="1"/>
  <c r="AE126" i="1" s="1"/>
  <c r="AD110" i="1"/>
  <c r="AD126" i="1" s="1"/>
  <c r="AC110" i="1"/>
  <c r="AC126" i="1" s="1"/>
  <c r="AB110" i="1"/>
  <c r="AB126" i="1" s="1"/>
  <c r="AA110" i="1"/>
  <c r="AA126" i="1" s="1"/>
  <c r="Z110" i="1"/>
  <c r="Z126" i="1" s="1"/>
  <c r="Y110" i="1"/>
  <c r="Y126" i="1" s="1"/>
  <c r="X110" i="1"/>
  <c r="X126" i="1" s="1"/>
  <c r="W110" i="1"/>
  <c r="W126" i="1" s="1"/>
  <c r="V110" i="1"/>
  <c r="V126" i="1" s="1"/>
  <c r="U110" i="1"/>
  <c r="U126" i="1" s="1"/>
  <c r="T110" i="1"/>
  <c r="T126" i="1" s="1"/>
  <c r="S110" i="1"/>
  <c r="S126" i="1" s="1"/>
  <c r="R110" i="1"/>
  <c r="R126" i="1" s="1"/>
  <c r="Q110" i="1"/>
  <c r="Q126" i="1" s="1"/>
  <c r="P110" i="1"/>
  <c r="P126" i="1" s="1"/>
  <c r="O110" i="1"/>
  <c r="O126" i="1" s="1"/>
  <c r="N110" i="1"/>
  <c r="N126" i="1" s="1"/>
  <c r="M110" i="1"/>
  <c r="M126" i="1" s="1"/>
  <c r="L110" i="1"/>
  <c r="L126" i="1" s="1"/>
  <c r="K110" i="1"/>
  <c r="K126" i="1" s="1"/>
  <c r="J110" i="1"/>
  <c r="J126" i="1" s="1"/>
  <c r="I110" i="1"/>
  <c r="I126" i="1" s="1"/>
  <c r="H110" i="1"/>
  <c r="H126" i="1" s="1"/>
  <c r="G110" i="1"/>
  <c r="G126" i="1" s="1"/>
  <c r="F110" i="1"/>
  <c r="F126" i="1" s="1"/>
  <c r="AL108" i="1"/>
  <c r="AL124" i="1" s="1"/>
  <c r="AL107" i="1"/>
  <c r="AL105" i="1"/>
  <c r="AT104" i="1"/>
  <c r="AS104" i="1"/>
  <c r="AJ104" i="1"/>
  <c r="AG104" i="1"/>
  <c r="AC104" i="1"/>
  <c r="Y104" i="1"/>
  <c r="X104" i="1"/>
  <c r="U104" i="1"/>
  <c r="T104" i="1"/>
  <c r="Q104" i="1"/>
  <c r="P104" i="1"/>
  <c r="M104" i="1"/>
  <c r="L104" i="1"/>
  <c r="I104" i="1"/>
  <c r="H104" i="1"/>
  <c r="G104" i="1"/>
  <c r="F104" i="1"/>
  <c r="AT103" i="1"/>
  <c r="AT106" i="1" s="1"/>
  <c r="AT109" i="1" s="1"/>
  <c r="AT111" i="1" s="1"/>
  <c r="AS103" i="1"/>
  <c r="AJ103" i="1"/>
  <c r="AI103" i="1"/>
  <c r="AI104" i="1" s="1"/>
  <c r="AH103" i="1"/>
  <c r="AH104" i="1" s="1"/>
  <c r="AG103" i="1"/>
  <c r="AF103" i="1"/>
  <c r="AE103" i="1"/>
  <c r="AE104" i="1" s="1"/>
  <c r="AD103" i="1"/>
  <c r="AD104" i="1" s="1"/>
  <c r="AC103" i="1"/>
  <c r="AB103" i="1"/>
  <c r="AA103" i="1"/>
  <c r="AA104" i="1" s="1"/>
  <c r="Z103" i="1"/>
  <c r="Y103" i="1"/>
  <c r="X103" i="1"/>
  <c r="W103" i="1"/>
  <c r="W104" i="1" s="1"/>
  <c r="V103" i="1"/>
  <c r="V104" i="1" s="1"/>
  <c r="U103" i="1"/>
  <c r="T103" i="1"/>
  <c r="S103" i="1"/>
  <c r="S104" i="1" s="1"/>
  <c r="R103" i="1"/>
  <c r="R104" i="1" s="1"/>
  <c r="Q103" i="1"/>
  <c r="P103" i="1"/>
  <c r="O103" i="1"/>
  <c r="O104" i="1" s="1"/>
  <c r="N103" i="1"/>
  <c r="N104" i="1" s="1"/>
  <c r="M103" i="1"/>
  <c r="L103" i="1"/>
  <c r="K103" i="1"/>
  <c r="K104" i="1" s="1"/>
  <c r="J103" i="1"/>
  <c r="J104" i="1" s="1"/>
  <c r="I103" i="1"/>
  <c r="AL103" i="1" s="1"/>
  <c r="H103" i="1"/>
  <c r="AL102" i="1"/>
  <c r="AF102" i="1"/>
  <c r="AF205" i="1" s="1"/>
  <c r="AB102" i="1"/>
  <c r="AB205" i="1" s="1"/>
  <c r="Z102" i="1"/>
  <c r="Z205" i="1" s="1"/>
  <c r="AC100" i="1"/>
  <c r="H100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U93" i="1"/>
  <c r="U100" i="1" s="1"/>
  <c r="T93" i="1"/>
  <c r="S93" i="1"/>
  <c r="S100" i="1" s="1"/>
  <c r="R93" i="1"/>
  <c r="R100" i="1" s="1"/>
  <c r="Q93" i="1"/>
  <c r="Q100" i="1" s="1"/>
  <c r="P93" i="1"/>
  <c r="O93" i="1"/>
  <c r="O100" i="1" s="1"/>
  <c r="N93" i="1"/>
  <c r="N100" i="1" s="1"/>
  <c r="M93" i="1"/>
  <c r="M100" i="1" s="1"/>
  <c r="L93" i="1"/>
  <c r="K93" i="1"/>
  <c r="K100" i="1" s="1"/>
  <c r="J93" i="1"/>
  <c r="J100" i="1" s="1"/>
  <c r="I93" i="1"/>
  <c r="I100" i="1" s="1"/>
  <c r="H93" i="1"/>
  <c r="G93" i="1"/>
  <c r="G100" i="1" s="1"/>
  <c r="F93" i="1"/>
  <c r="AL93" i="1" s="1"/>
  <c r="AL100" i="1" s="1"/>
  <c r="AN92" i="1"/>
  <c r="U92" i="1"/>
  <c r="U99" i="1" s="1"/>
  <c r="T92" i="1"/>
  <c r="T99" i="1" s="1"/>
  <c r="S92" i="1"/>
  <c r="S99" i="1" s="1"/>
  <c r="R92" i="1"/>
  <c r="Q92" i="1"/>
  <c r="Q99" i="1" s="1"/>
  <c r="P92" i="1"/>
  <c r="P99" i="1" s="1"/>
  <c r="O92" i="1"/>
  <c r="O99" i="1" s="1"/>
  <c r="N92" i="1"/>
  <c r="M92" i="1"/>
  <c r="M99" i="1" s="1"/>
  <c r="L92" i="1"/>
  <c r="L99" i="1" s="1"/>
  <c r="K92" i="1"/>
  <c r="K99" i="1" s="1"/>
  <c r="J92" i="1"/>
  <c r="I92" i="1"/>
  <c r="I99" i="1" s="1"/>
  <c r="H92" i="1"/>
  <c r="H99" i="1" s="1"/>
  <c r="G92" i="1"/>
  <c r="G99" i="1" s="1"/>
  <c r="F92" i="1"/>
  <c r="AL90" i="1"/>
  <c r="AL97" i="1" s="1"/>
  <c r="AL89" i="1"/>
  <c r="AL96" i="1" s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L86" i="1" s="1"/>
  <c r="AJ85" i="1"/>
  <c r="AI85" i="1"/>
  <c r="AH85" i="1"/>
  <c r="AG85" i="1"/>
  <c r="AF85" i="1"/>
  <c r="AE85" i="1"/>
  <c r="AD85" i="1"/>
  <c r="AC85" i="1"/>
  <c r="AB85" i="1"/>
  <c r="AA85" i="1"/>
  <c r="Z85" i="1"/>
  <c r="Y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J84" i="1"/>
  <c r="AJ100" i="1" s="1"/>
  <c r="AI84" i="1"/>
  <c r="AI100" i="1" s="1"/>
  <c r="AH84" i="1"/>
  <c r="AH100" i="1" s="1"/>
  <c r="AG84" i="1"/>
  <c r="AG100" i="1" s="1"/>
  <c r="AF84" i="1"/>
  <c r="AF100" i="1" s="1"/>
  <c r="AE84" i="1"/>
  <c r="AE100" i="1" s="1"/>
  <c r="AD84" i="1"/>
  <c r="AD100" i="1" s="1"/>
  <c r="AB84" i="1"/>
  <c r="AB100" i="1" s="1"/>
  <c r="AA84" i="1"/>
  <c r="AA100" i="1" s="1"/>
  <c r="Z84" i="1"/>
  <c r="Z100" i="1" s="1"/>
  <c r="Y84" i="1"/>
  <c r="Y100" i="1" s="1"/>
  <c r="X84" i="1"/>
  <c r="X100" i="1" s="1"/>
  <c r="W84" i="1"/>
  <c r="W100" i="1" s="1"/>
  <c r="V84" i="1"/>
  <c r="V100" i="1" s="1"/>
  <c r="U84" i="1"/>
  <c r="T84" i="1"/>
  <c r="T100" i="1" s="1"/>
  <c r="S84" i="1"/>
  <c r="R84" i="1"/>
  <c r="Q84" i="1"/>
  <c r="P84" i="1"/>
  <c r="P100" i="1" s="1"/>
  <c r="O84" i="1"/>
  <c r="N84" i="1"/>
  <c r="M84" i="1"/>
  <c r="L84" i="1"/>
  <c r="L100" i="1" s="1"/>
  <c r="K84" i="1"/>
  <c r="J84" i="1"/>
  <c r="I84" i="1"/>
  <c r="G84" i="1"/>
  <c r="F84" i="1"/>
  <c r="AL83" i="1"/>
  <c r="AJ83" i="1"/>
  <c r="AJ99" i="1" s="1"/>
  <c r="AI83" i="1"/>
  <c r="AI99" i="1" s="1"/>
  <c r="AH83" i="1"/>
  <c r="AH99" i="1" s="1"/>
  <c r="AG83" i="1"/>
  <c r="AG99" i="1" s="1"/>
  <c r="AF83" i="1"/>
  <c r="AF99" i="1" s="1"/>
  <c r="AE83" i="1"/>
  <c r="AE99" i="1" s="1"/>
  <c r="AD83" i="1"/>
  <c r="AD99" i="1" s="1"/>
  <c r="AC83" i="1"/>
  <c r="AC99" i="1" s="1"/>
  <c r="AB83" i="1"/>
  <c r="AB99" i="1" s="1"/>
  <c r="AA83" i="1"/>
  <c r="AA99" i="1" s="1"/>
  <c r="Z83" i="1"/>
  <c r="Z99" i="1" s="1"/>
  <c r="Y83" i="1"/>
  <c r="Y99" i="1" s="1"/>
  <c r="X83" i="1"/>
  <c r="X99" i="1" s="1"/>
  <c r="W83" i="1"/>
  <c r="W99" i="1" s="1"/>
  <c r="V83" i="1"/>
  <c r="V99" i="1" s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L81" i="1"/>
  <c r="AL84" i="1" s="1"/>
  <c r="AL80" i="1"/>
  <c r="AN79" i="1"/>
  <c r="AS78" i="1"/>
  <c r="AT78" i="1" s="1"/>
  <c r="AL78" i="1"/>
  <c r="AS77" i="1"/>
  <c r="AT77" i="1" s="1"/>
  <c r="AT79" i="1" s="1"/>
  <c r="AJ77" i="1"/>
  <c r="AI77" i="1"/>
  <c r="AF77" i="1"/>
  <c r="AE77" i="1"/>
  <c r="AB77" i="1"/>
  <c r="AA77" i="1"/>
  <c r="W77" i="1"/>
  <c r="T77" i="1"/>
  <c r="S77" i="1"/>
  <c r="P77" i="1"/>
  <c r="O77" i="1"/>
  <c r="L77" i="1"/>
  <c r="K77" i="1"/>
  <c r="H77" i="1"/>
  <c r="G77" i="1"/>
  <c r="AJ76" i="1"/>
  <c r="AI76" i="1"/>
  <c r="AH76" i="1"/>
  <c r="AH77" i="1" s="1"/>
  <c r="AG76" i="1"/>
  <c r="AG77" i="1" s="1"/>
  <c r="AF76" i="1"/>
  <c r="AE76" i="1"/>
  <c r="AD76" i="1"/>
  <c r="AD77" i="1" s="1"/>
  <c r="AC76" i="1"/>
  <c r="AC77" i="1" s="1"/>
  <c r="AB76" i="1"/>
  <c r="AA76" i="1"/>
  <c r="Z76" i="1"/>
  <c r="Z77" i="1" s="1"/>
  <c r="Y76" i="1"/>
  <c r="Y77" i="1" s="1"/>
  <c r="X76" i="1"/>
  <c r="W76" i="1"/>
  <c r="V76" i="1"/>
  <c r="V77" i="1" s="1"/>
  <c r="U76" i="1"/>
  <c r="U77" i="1" s="1"/>
  <c r="T76" i="1"/>
  <c r="S76" i="1"/>
  <c r="R76" i="1"/>
  <c r="R77" i="1" s="1"/>
  <c r="Q76" i="1"/>
  <c r="Q77" i="1" s="1"/>
  <c r="P76" i="1"/>
  <c r="O76" i="1"/>
  <c r="N76" i="1"/>
  <c r="N77" i="1" s="1"/>
  <c r="M76" i="1"/>
  <c r="M77" i="1" s="1"/>
  <c r="L76" i="1"/>
  <c r="K76" i="1"/>
  <c r="J76" i="1"/>
  <c r="I76" i="1"/>
  <c r="I77" i="1" s="1"/>
  <c r="H76" i="1"/>
  <c r="G76" i="1"/>
  <c r="F76" i="1"/>
  <c r="X75" i="1"/>
  <c r="X205" i="1" s="1"/>
  <c r="J75" i="1"/>
  <c r="AL74" i="1"/>
  <c r="J74" i="1"/>
  <c r="J203" i="1" s="1"/>
  <c r="PS73" i="1"/>
  <c r="GR72" i="1"/>
  <c r="AH72" i="1"/>
  <c r="AF72" i="1"/>
  <c r="AE72" i="1"/>
  <c r="AD72" i="1"/>
  <c r="AC72" i="1"/>
  <c r="AA72" i="1"/>
  <c r="Z72" i="1"/>
  <c r="Y72" i="1"/>
  <c r="X72" i="1"/>
  <c r="W72" i="1"/>
  <c r="V72" i="1"/>
  <c r="R72" i="1"/>
  <c r="Q72" i="1"/>
  <c r="N72" i="1"/>
  <c r="L72" i="1"/>
  <c r="K72" i="1"/>
  <c r="J72" i="1"/>
  <c r="G72" i="1"/>
  <c r="F72" i="1"/>
  <c r="AL71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GR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I69" i="1"/>
  <c r="H69" i="1"/>
  <c r="G69" i="1"/>
  <c r="F69" i="1"/>
  <c r="AG68" i="1"/>
  <c r="K68" i="1"/>
  <c r="K69" i="1" s="1"/>
  <c r="J68" i="1"/>
  <c r="AL68" i="1" s="1"/>
  <c r="AL69" i="1" s="1"/>
  <c r="AN69" i="1" s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L66" i="1"/>
  <c r="K66" i="1"/>
  <c r="AJ65" i="1"/>
  <c r="AF65" i="1"/>
  <c r="AE65" i="1"/>
  <c r="AC65" i="1"/>
  <c r="AB65" i="1"/>
  <c r="AA65" i="1"/>
  <c r="Z65" i="1"/>
  <c r="Y65" i="1"/>
  <c r="X65" i="1"/>
  <c r="W65" i="1"/>
  <c r="V65" i="1"/>
  <c r="U65" i="1"/>
  <c r="T65" i="1"/>
  <c r="Q65" i="1"/>
  <c r="P65" i="1"/>
  <c r="N65" i="1"/>
  <c r="L65" i="1"/>
  <c r="K65" i="1"/>
  <c r="J65" i="1"/>
  <c r="I65" i="1"/>
  <c r="H65" i="1"/>
  <c r="G65" i="1"/>
  <c r="F65" i="1"/>
  <c r="AJ64" i="1"/>
  <c r="AJ72" i="1" s="1"/>
  <c r="AI64" i="1"/>
  <c r="AI72" i="1" s="1"/>
  <c r="AH64" i="1"/>
  <c r="AH65" i="1" s="1"/>
  <c r="AG64" i="1"/>
  <c r="AG65" i="1" s="1"/>
  <c r="AD64" i="1"/>
  <c r="AD65" i="1" s="1"/>
  <c r="AB64" i="1"/>
  <c r="AB72" i="1" s="1"/>
  <c r="U64" i="1"/>
  <c r="U72" i="1" s="1"/>
  <c r="T64" i="1"/>
  <c r="T72" i="1" s="1"/>
  <c r="S64" i="1"/>
  <c r="R64" i="1"/>
  <c r="R65" i="1" s="1"/>
  <c r="GR65" i="1" s="1"/>
  <c r="P64" i="1"/>
  <c r="P72" i="1" s="1"/>
  <c r="O64" i="1"/>
  <c r="O72" i="1" s="1"/>
  <c r="M64" i="1"/>
  <c r="I64" i="1"/>
  <c r="I72" i="1" s="1"/>
  <c r="H64" i="1"/>
  <c r="H72" i="1" s="1"/>
  <c r="PV62" i="1"/>
  <c r="PV61" i="1" s="1"/>
  <c r="GR62" i="1"/>
  <c r="AI62" i="1"/>
  <c r="S62" i="1"/>
  <c r="R62" i="1"/>
  <c r="O62" i="1"/>
  <c r="K62" i="1"/>
  <c r="G62" i="1"/>
  <c r="AJ61" i="1"/>
  <c r="AF61" i="1"/>
  <c r="AB61" i="1"/>
  <c r="X61" i="1"/>
  <c r="T61" i="1"/>
  <c r="R61" i="1"/>
  <c r="O61" i="1"/>
  <c r="J61" i="1"/>
  <c r="G61" i="1"/>
  <c r="AJ60" i="1"/>
  <c r="AH60" i="1"/>
  <c r="AE60" i="1"/>
  <c r="AB60" i="1"/>
  <c r="Z60" i="1"/>
  <c r="T60" i="1"/>
  <c r="R60" i="1"/>
  <c r="O60" i="1"/>
  <c r="L60" i="1"/>
  <c r="J60" i="1"/>
  <c r="AJ59" i="1"/>
  <c r="AH59" i="1"/>
  <c r="AE59" i="1"/>
  <c r="AB59" i="1"/>
  <c r="Z59" i="1"/>
  <c r="T59" i="1"/>
  <c r="R59" i="1"/>
  <c r="O59" i="1"/>
  <c r="L59" i="1"/>
  <c r="J59" i="1"/>
  <c r="AE58" i="1"/>
  <c r="Z58" i="1"/>
  <c r="W58" i="1"/>
  <c r="O58" i="1"/>
  <c r="M58" i="1"/>
  <c r="K58" i="1"/>
  <c r="I58" i="1"/>
  <c r="G58" i="1"/>
  <c r="AI57" i="1"/>
  <c r="AG57" i="1"/>
  <c r="AE57" i="1"/>
  <c r="AC57" i="1"/>
  <c r="AA57" i="1"/>
  <c r="Y57" i="1"/>
  <c r="W57" i="1"/>
  <c r="U57" i="1"/>
  <c r="S57" i="1"/>
  <c r="Q57" i="1"/>
  <c r="O57" i="1"/>
  <c r="M57" i="1"/>
  <c r="K57" i="1"/>
  <c r="I57" i="1"/>
  <c r="G57" i="1"/>
  <c r="PV56" i="1"/>
  <c r="PT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PV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K53" i="1"/>
  <c r="BZ53" i="1"/>
  <c r="AL53" i="1"/>
  <c r="BZ52" i="1"/>
  <c r="AL52" i="1"/>
  <c r="AL51" i="1"/>
  <c r="AJ50" i="1"/>
  <c r="AJ62" i="1" s="1"/>
  <c r="AI50" i="1"/>
  <c r="AI61" i="1" s="1"/>
  <c r="AH50" i="1"/>
  <c r="AG50" i="1"/>
  <c r="AF50" i="1"/>
  <c r="AF62" i="1" s="1"/>
  <c r="AE50" i="1"/>
  <c r="AE62" i="1" s="1"/>
  <c r="AD50" i="1"/>
  <c r="AC50" i="1"/>
  <c r="AB50" i="1"/>
  <c r="AB62" i="1" s="1"/>
  <c r="AA50" i="1"/>
  <c r="AA61" i="1" s="1"/>
  <c r="Z50" i="1"/>
  <c r="Y50" i="1"/>
  <c r="X50" i="1"/>
  <c r="X62" i="1" s="1"/>
  <c r="W50" i="1"/>
  <c r="W62" i="1" s="1"/>
  <c r="V50" i="1"/>
  <c r="U50" i="1"/>
  <c r="T50" i="1"/>
  <c r="T62" i="1" s="1"/>
  <c r="S50" i="1"/>
  <c r="S61" i="1" s="1"/>
  <c r="Q50" i="1"/>
  <c r="P50" i="1"/>
  <c r="P62" i="1" s="1"/>
  <c r="O50" i="1"/>
  <c r="N50" i="1"/>
  <c r="N61" i="1" s="1"/>
  <c r="M50" i="1"/>
  <c r="L50" i="1"/>
  <c r="L62" i="1" s="1"/>
  <c r="K50" i="1"/>
  <c r="K61" i="1" s="1"/>
  <c r="J50" i="1"/>
  <c r="J62" i="1" s="1"/>
  <c r="I50" i="1"/>
  <c r="H50" i="1"/>
  <c r="H62" i="1" s="1"/>
  <c r="G50" i="1"/>
  <c r="F50" i="1"/>
  <c r="F62" i="1" s="1"/>
  <c r="D50" i="1"/>
  <c r="AL49" i="1"/>
  <c r="AL47" i="1"/>
  <c r="AL46" i="1"/>
  <c r="AJ45" i="1"/>
  <c r="AI45" i="1"/>
  <c r="AI60" i="1" s="1"/>
  <c r="AH45" i="1"/>
  <c r="AG45" i="1"/>
  <c r="AF45" i="1"/>
  <c r="AF60" i="1" s="1"/>
  <c r="AE45" i="1"/>
  <c r="AD45" i="1"/>
  <c r="AD60" i="1" s="1"/>
  <c r="AC45" i="1"/>
  <c r="AB45" i="1"/>
  <c r="AA45" i="1"/>
  <c r="AA60" i="1" s="1"/>
  <c r="Z45" i="1"/>
  <c r="Y45" i="1"/>
  <c r="X45" i="1"/>
  <c r="X60" i="1" s="1"/>
  <c r="W45" i="1"/>
  <c r="W60" i="1" s="1"/>
  <c r="V45" i="1"/>
  <c r="V60" i="1" s="1"/>
  <c r="U45" i="1"/>
  <c r="T45" i="1"/>
  <c r="S45" i="1"/>
  <c r="S60" i="1" s="1"/>
  <c r="R45" i="1"/>
  <c r="Q45" i="1"/>
  <c r="P45" i="1"/>
  <c r="P60" i="1" s="1"/>
  <c r="O45" i="1"/>
  <c r="N45" i="1"/>
  <c r="N60" i="1" s="1"/>
  <c r="M45" i="1"/>
  <c r="L45" i="1"/>
  <c r="K45" i="1"/>
  <c r="K60" i="1" s="1"/>
  <c r="J45" i="1"/>
  <c r="I45" i="1"/>
  <c r="AL45" i="1" s="1"/>
  <c r="H45" i="1"/>
  <c r="H60" i="1" s="1"/>
  <c r="G45" i="1"/>
  <c r="G60" i="1" s="1"/>
  <c r="F45" i="1"/>
  <c r="F60" i="1" s="1"/>
  <c r="D45" i="1"/>
  <c r="EM44" i="1"/>
  <c r="EL44" i="1"/>
  <c r="EK44" i="1"/>
  <c r="AL44" i="1"/>
  <c r="QJ43" i="1"/>
  <c r="EM43" i="1"/>
  <c r="EL43" i="1"/>
  <c r="EK43" i="1"/>
  <c r="QJ42" i="1"/>
  <c r="QJ45" i="1" s="1"/>
  <c r="PW39" i="1" s="1"/>
  <c r="QJ39" i="1" s="1"/>
  <c r="BZ42" i="1"/>
  <c r="AO42" i="1"/>
  <c r="AP42" i="1" s="1"/>
  <c r="T42" i="1"/>
  <c r="T58" i="1" s="1"/>
  <c r="S42" i="1"/>
  <c r="S58" i="1" s="1"/>
  <c r="R42" i="1"/>
  <c r="R58" i="1" s="1"/>
  <c r="AFK41" i="1"/>
  <c r="QJ41" i="1"/>
  <c r="PS41" i="1"/>
  <c r="PS43" i="1" s="1"/>
  <c r="BZ41" i="1"/>
  <c r="AO41" i="1"/>
  <c r="AP41" i="1" s="1"/>
  <c r="T41" i="1"/>
  <c r="T57" i="1" s="1"/>
  <c r="S41" i="1"/>
  <c r="AFK40" i="1"/>
  <c r="AO40" i="1"/>
  <c r="AJ40" i="1"/>
  <c r="AJ58" i="1" s="1"/>
  <c r="AI40" i="1"/>
  <c r="AI58" i="1" s="1"/>
  <c r="AH40" i="1"/>
  <c r="AH57" i="1" s="1"/>
  <c r="AG40" i="1"/>
  <c r="AG58" i="1" s="1"/>
  <c r="AF40" i="1"/>
  <c r="AF58" i="1" s="1"/>
  <c r="AE40" i="1"/>
  <c r="AD40" i="1"/>
  <c r="AD58" i="1" s="1"/>
  <c r="AC40" i="1"/>
  <c r="AC58" i="1" s="1"/>
  <c r="AB40" i="1"/>
  <c r="AB58" i="1" s="1"/>
  <c r="AA40" i="1"/>
  <c r="AA58" i="1" s="1"/>
  <c r="Z40" i="1"/>
  <c r="Z57" i="1" s="1"/>
  <c r="Y40" i="1"/>
  <c r="Y58" i="1" s="1"/>
  <c r="X40" i="1"/>
  <c r="X58" i="1" s="1"/>
  <c r="W40" i="1"/>
  <c r="V40" i="1"/>
  <c r="V57" i="1" s="1"/>
  <c r="U40" i="1"/>
  <c r="U58" i="1" s="1"/>
  <c r="T40" i="1"/>
  <c r="S40" i="1"/>
  <c r="R40" i="1"/>
  <c r="R57" i="1" s="1"/>
  <c r="Q40" i="1"/>
  <c r="Q58" i="1" s="1"/>
  <c r="P40" i="1"/>
  <c r="P58" i="1" s="1"/>
  <c r="O40" i="1"/>
  <c r="N40" i="1"/>
  <c r="N58" i="1" s="1"/>
  <c r="M40" i="1"/>
  <c r="L40" i="1"/>
  <c r="L58" i="1" s="1"/>
  <c r="K40" i="1"/>
  <c r="J40" i="1"/>
  <c r="J58" i="1" s="1"/>
  <c r="I40" i="1"/>
  <c r="H40" i="1"/>
  <c r="H58" i="1" s="1"/>
  <c r="G40" i="1"/>
  <c r="F40" i="1"/>
  <c r="F58" i="1" s="1"/>
  <c r="D40" i="1"/>
  <c r="AFV38" i="1"/>
  <c r="AFK38" i="1"/>
  <c r="QJ38" i="1"/>
  <c r="BZ38" i="1"/>
  <c r="AL38" i="1"/>
  <c r="AL56" i="1" s="1"/>
  <c r="D38" i="1"/>
  <c r="AHZ37" i="1"/>
  <c r="AHZ39" i="1" s="1"/>
  <c r="AFK37" i="1"/>
  <c r="AFV37" i="1" s="1"/>
  <c r="BZ37" i="1"/>
  <c r="AL37" i="1"/>
  <c r="AL70" i="1" s="1"/>
  <c r="D37" i="1"/>
  <c r="AHZ35" i="1"/>
  <c r="PV35" i="1"/>
  <c r="AL35" i="1"/>
  <c r="AHZ34" i="1"/>
  <c r="PV34" i="1"/>
  <c r="PV33" i="1" s="1"/>
  <c r="EM34" i="1"/>
  <c r="EL34" i="1"/>
  <c r="EK34" i="1"/>
  <c r="AL34" i="1"/>
  <c r="AL33" i="1"/>
  <c r="AL32" i="1"/>
  <c r="AFI31" i="1"/>
  <c r="AFI41" i="1" s="1"/>
  <c r="AN31" i="1"/>
  <c r="AP31" i="1" s="1"/>
  <c r="AL31" i="1"/>
  <c r="AJZ30" i="1" s="1"/>
  <c r="AKA30" i="1" s="1"/>
  <c r="AN30" i="1"/>
  <c r="AL30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L25" i="1"/>
  <c r="AL26" i="1" s="1"/>
  <c r="AL24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L21" i="1"/>
  <c r="AL22" i="1" s="1"/>
  <c r="AL20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L17" i="1"/>
  <c r="AL18" i="1" s="1"/>
  <c r="AL16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L13" i="1"/>
  <c r="AL27" i="1" s="1"/>
  <c r="AN27" i="1" s="1"/>
  <c r="AL12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AL10" i="1" s="1"/>
  <c r="AL8" i="1"/>
  <c r="PW35" i="1" l="1"/>
  <c r="AP97" i="1"/>
  <c r="AT82" i="1"/>
  <c r="AT84" i="1" s="1"/>
  <c r="U60" i="1"/>
  <c r="U59" i="1"/>
  <c r="Y61" i="1"/>
  <c r="Y62" i="1"/>
  <c r="AL14" i="1"/>
  <c r="AN230" i="1"/>
  <c r="AN208" i="1"/>
  <c r="AJZ31" i="1"/>
  <c r="AKA31" i="1" s="1"/>
  <c r="PS33" i="1"/>
  <c r="PS35" i="1" s="1"/>
  <c r="PW34" i="1"/>
  <c r="AHZ38" i="1"/>
  <c r="AL40" i="1"/>
  <c r="AFI40" i="1"/>
  <c r="AL41" i="1"/>
  <c r="AL42" i="1"/>
  <c r="I61" i="1"/>
  <c r="I62" i="1"/>
  <c r="M61" i="1"/>
  <c r="M62" i="1"/>
  <c r="Q61" i="1"/>
  <c r="Q62" i="1"/>
  <c r="V62" i="1"/>
  <c r="V61" i="1"/>
  <c r="Z62" i="1"/>
  <c r="Z61" i="1"/>
  <c r="AD62" i="1"/>
  <c r="AD61" i="1"/>
  <c r="AH62" i="1"/>
  <c r="AH61" i="1"/>
  <c r="H57" i="1"/>
  <c r="L57" i="1"/>
  <c r="P57" i="1"/>
  <c r="X57" i="1"/>
  <c r="AB57" i="1"/>
  <c r="AF57" i="1"/>
  <c r="AJ57" i="1"/>
  <c r="V58" i="1"/>
  <c r="F59" i="1"/>
  <c r="K59" i="1"/>
  <c r="P59" i="1"/>
  <c r="V59" i="1"/>
  <c r="AA59" i="1"/>
  <c r="AF59" i="1"/>
  <c r="F61" i="1"/>
  <c r="P61" i="1"/>
  <c r="W61" i="1"/>
  <c r="AE61" i="1"/>
  <c r="N62" i="1"/>
  <c r="M65" i="1"/>
  <c r="AL64" i="1"/>
  <c r="AL65" i="1" s="1"/>
  <c r="M72" i="1"/>
  <c r="S72" i="1"/>
  <c r="S65" i="1"/>
  <c r="I60" i="1"/>
  <c r="I59" i="1"/>
  <c r="Y60" i="1"/>
  <c r="Y59" i="1"/>
  <c r="AL67" i="1"/>
  <c r="AN67" i="1" s="1"/>
  <c r="AC61" i="1"/>
  <c r="AC62" i="1"/>
  <c r="AL50" i="1"/>
  <c r="AL61" i="1" s="1"/>
  <c r="F77" i="1"/>
  <c r="AL76" i="1"/>
  <c r="AN76" i="1" s="1"/>
  <c r="GR76" i="1" s="1"/>
  <c r="PT76" i="1" s="1"/>
  <c r="AL85" i="1"/>
  <c r="AL59" i="1"/>
  <c r="AL55" i="1"/>
  <c r="AN56" i="1" s="1"/>
  <c r="AH58" i="1"/>
  <c r="G59" i="1"/>
  <c r="W59" i="1"/>
  <c r="L61" i="1"/>
  <c r="AA62" i="1"/>
  <c r="PV65" i="1"/>
  <c r="PV63" i="1"/>
  <c r="PV66" i="1" s="1"/>
  <c r="J205" i="1"/>
  <c r="AL205" i="1" s="1"/>
  <c r="J77" i="1"/>
  <c r="AL75" i="1"/>
  <c r="M60" i="1"/>
  <c r="M59" i="1"/>
  <c r="Q60" i="1"/>
  <c r="Q59" i="1"/>
  <c r="AC60" i="1"/>
  <c r="AC59" i="1"/>
  <c r="AG60" i="1"/>
  <c r="AG59" i="1"/>
  <c r="U61" i="1"/>
  <c r="U62" i="1"/>
  <c r="AG61" i="1"/>
  <c r="AG62" i="1"/>
  <c r="AP66" i="1"/>
  <c r="AL60" i="1"/>
  <c r="F57" i="1"/>
  <c r="J57" i="1"/>
  <c r="N57" i="1"/>
  <c r="AD57" i="1"/>
  <c r="H59" i="1"/>
  <c r="N59" i="1"/>
  <c r="S59" i="1"/>
  <c r="X59" i="1"/>
  <c r="AD59" i="1"/>
  <c r="AI59" i="1"/>
  <c r="H61" i="1"/>
  <c r="J69" i="1"/>
  <c r="F99" i="1"/>
  <c r="J99" i="1"/>
  <c r="N99" i="1"/>
  <c r="R99" i="1"/>
  <c r="AL112" i="1"/>
  <c r="X85" i="1"/>
  <c r="AL92" i="1"/>
  <c r="AL99" i="1" s="1"/>
  <c r="F100" i="1"/>
  <c r="Z104" i="1"/>
  <c r="AN214" i="1"/>
  <c r="AN215" i="1" s="1"/>
  <c r="AN216" i="1" s="1"/>
  <c r="O65" i="1"/>
  <c r="AI65" i="1"/>
  <c r="AG72" i="1"/>
  <c r="AB112" i="1"/>
  <c r="AF112" i="1"/>
  <c r="J204" i="1"/>
  <c r="AN221" i="1"/>
  <c r="AB104" i="1"/>
  <c r="AL104" i="1" s="1"/>
  <c r="AF104" i="1"/>
  <c r="AL111" i="1"/>
  <c r="AL127" i="1" s="1"/>
  <c r="AL132" i="1"/>
  <c r="X77" i="1"/>
  <c r="Z112" i="1"/>
  <c r="AL131" i="1"/>
  <c r="AN77" i="1" s="1"/>
  <c r="GR77" i="1" s="1"/>
  <c r="PT77" i="1" s="1"/>
  <c r="AL183" i="1"/>
  <c r="AL203" i="1"/>
  <c r="AL212" i="1"/>
  <c r="G158" i="1"/>
  <c r="AL158" i="1" s="1"/>
  <c r="AL156" i="1" s="1"/>
  <c r="AB201" i="1"/>
  <c r="AB204" i="1" s="1"/>
  <c r="H204" i="1"/>
  <c r="AN65" i="1" l="1"/>
  <c r="AM65" i="1"/>
  <c r="AL72" i="1"/>
  <c r="AQ40" i="1"/>
  <c r="AR40" i="1" s="1"/>
  <c r="PT33" i="1"/>
  <c r="PT35" i="1" s="1"/>
  <c r="AL62" i="1"/>
  <c r="AL201" i="1"/>
  <c r="AL204" i="1" s="1"/>
  <c r="AN131" i="1"/>
  <c r="AN75" i="1"/>
  <c r="AN83" i="1"/>
  <c r="PV67" i="1"/>
  <c r="PV69" i="1" s="1"/>
  <c r="AL77" i="1"/>
  <c r="AL58" i="1"/>
  <c r="AJZ35" i="1"/>
  <c r="AKA35" i="1" s="1"/>
  <c r="AQ42" i="1"/>
  <c r="AJZ34" i="1"/>
  <c r="AKA34" i="1" s="1"/>
  <c r="AL57" i="1"/>
  <c r="AQ41" i="1"/>
  <c r="PS36" i="1"/>
  <c r="PS38" i="1"/>
  <c r="PT36" i="1" l="1"/>
  <c r="PT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9" authorId="0" shapeId="0" xr:uid="{6ED85134-40B4-4495-B04C-3E99E519C0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703,450 T CPO IV 60</t>
        </r>
      </text>
    </comment>
    <comment ref="K49" authorId="0" shapeId="0" xr:uid="{A9403936-BDF5-4B75-B1C9-AC959AFA5C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668,663 T CPO IV 60
</t>
        </r>
      </text>
    </comment>
  </commentList>
</comments>
</file>

<file path=xl/sharedStrings.xml><?xml version="1.0" encoding="utf-8"?>
<sst xmlns="http://schemas.openxmlformats.org/spreadsheetml/2006/main" count="534" uniqueCount="178">
  <si>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</si>
  <si>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</si>
  <si>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</si>
  <si>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</si>
  <si>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</si>
  <si>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</si>
  <si>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</si>
  <si>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</si>
  <si>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</si>
  <si>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</si>
  <si>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</si>
  <si>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</si>
  <si>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</si>
  <si>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</si>
  <si>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</si>
  <si>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</si>
  <si>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</si>
  <si>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</si>
  <si>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</si>
  <si>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</si>
  <si>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</si>
  <si>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</si>
  <si>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</si>
  <si>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</si>
  <si>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</si>
  <si>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</si>
  <si>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</si>
  <si>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</si>
  <si>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</si>
  <si>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</si>
  <si>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</si>
  <si>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</si>
  <si>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</si>
  <si>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</si>
  <si>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</si>
  <si>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</si>
  <si>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</si>
  <si>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</si>
  <si>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</si>
  <si>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</si>
  <si>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</si>
  <si>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</si>
  <si>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</si>
  <si>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</si>
  <si>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</si>
  <si>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</si>
  <si>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</si>
  <si>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</si>
  <si>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</si>
  <si>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</si>
  <si>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</si>
  <si>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</si>
  <si>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</si>
  <si>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</si>
  <si>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</si>
  <si>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</si>
  <si>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</si>
  <si>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</si>
  <si>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</si>
  <si>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Filling to Packaging</t>
  </si>
  <si>
    <t>Olein IV 60 Received</t>
  </si>
  <si>
    <t>PACKAGING (Brand Salvaco)</t>
  </si>
  <si>
    <t>Spent Bleaching Earth</t>
  </si>
  <si>
    <t>% Oil Content</t>
  </si>
  <si>
    <t>Oil Losses</t>
  </si>
  <si>
    <t>Over (Kg/MT)</t>
  </si>
  <si>
    <t>Budget (Kg/MT)</t>
  </si>
  <si>
    <t>Phosporic Acid (PA)</t>
  </si>
  <si>
    <t>Kg/MT CPO</t>
  </si>
  <si>
    <t>Total BE Brand</t>
  </si>
  <si>
    <t xml:space="preserve">Kg </t>
  </si>
  <si>
    <t>Bleaching Earth (BE) to Branded Spec</t>
  </si>
  <si>
    <t>Total CPO Brand</t>
  </si>
  <si>
    <t>Bleaching Earth (BE) to Poram Spec</t>
  </si>
  <si>
    <t>Chemical</t>
  </si>
  <si>
    <t>CHEMICAL CONSUMABLE</t>
  </si>
  <si>
    <t>MT RBDPO Brand</t>
  </si>
  <si>
    <t>Soft Stearin</t>
  </si>
  <si>
    <t>MT CPO</t>
  </si>
  <si>
    <t>Olein IV 60</t>
  </si>
  <si>
    <t>Stearin</t>
  </si>
  <si>
    <t>Olein IV 58</t>
  </si>
  <si>
    <t>Olein IV 56</t>
  </si>
  <si>
    <t>PFAD</t>
  </si>
  <si>
    <t xml:space="preserve">RBDPO </t>
  </si>
  <si>
    <t xml:space="preserve">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</si>
  <si>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</si>
  <si>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</si>
  <si>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</si>
  <si>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</si>
  <si>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</si>
  <si>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</si>
  <si>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</si>
  <si>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</si>
  <si>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</si>
  <si>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</si>
  <si>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Kg/MT</t>
  </si>
  <si>
    <t>Diff</t>
  </si>
  <si>
    <t>Salvaco 2L</t>
  </si>
  <si>
    <t>Fractionation OLEIN IV 58</t>
  </si>
  <si>
    <t>Report Prod</t>
  </si>
  <si>
    <t>Salvaco 1L</t>
  </si>
  <si>
    <t>Steam Ref</t>
  </si>
  <si>
    <t>INL 900 ml</t>
  </si>
  <si>
    <t xml:space="preserve">HP Boiler </t>
  </si>
  <si>
    <t>OLEIN IV 56</t>
  </si>
  <si>
    <t>CPO Feed - Sounding</t>
  </si>
  <si>
    <t>CPO Olah</t>
  </si>
  <si>
    <t>RBDPO Consume</t>
  </si>
  <si>
    <t>Fractionation OLEIN IV 56</t>
  </si>
  <si>
    <t>Oktober</t>
  </si>
  <si>
    <t>Agustus</t>
  </si>
  <si>
    <t>Items</t>
  </si>
  <si>
    <t>Tahun 2021</t>
  </si>
  <si>
    <t>RbdPO</t>
  </si>
  <si>
    <t>Sisa Product OIP</t>
  </si>
  <si>
    <t>Juni</t>
  </si>
  <si>
    <t>Product OIP</t>
  </si>
  <si>
    <t>Product</t>
  </si>
  <si>
    <t>2,20 Min</t>
  </si>
  <si>
    <t>- DOBI</t>
  </si>
  <si>
    <t>- Moist &amp; Impurities</t>
  </si>
  <si>
    <t>- FFA</t>
  </si>
  <si>
    <t>COL Consume</t>
  </si>
  <si>
    <t>RBDPO Olah</t>
  </si>
  <si>
    <t>CPO</t>
  </si>
  <si>
    <t>15 Juni</t>
  </si>
  <si>
    <t>14 Juni</t>
  </si>
  <si>
    <t>Poram</t>
  </si>
  <si>
    <t>Day</t>
  </si>
  <si>
    <t>Running Days</t>
  </si>
  <si>
    <t>Production</t>
  </si>
  <si>
    <t>Sounding</t>
  </si>
  <si>
    <t>PRODUCTION</t>
  </si>
  <si>
    <t>Maret 2022</t>
  </si>
  <si>
    <t>Total  Received</t>
  </si>
  <si>
    <t>Transportation (Loss)/Gain</t>
  </si>
  <si>
    <t>Receiving Weight</t>
  </si>
  <si>
    <t>D/O Weight</t>
  </si>
  <si>
    <t>CPO Swasta</t>
  </si>
  <si>
    <t>Inc. CPO Tolling UOI</t>
  </si>
  <si>
    <t>Tahun 2022</t>
  </si>
  <si>
    <t>Incoming CPO (Swasta) WB</t>
  </si>
  <si>
    <t>Transfer (Loss)/Gain</t>
  </si>
  <si>
    <t>Receiving (base on Sounding)</t>
  </si>
  <si>
    <t>Delivery (base on Sounding)</t>
  </si>
  <si>
    <t>CPO Group</t>
  </si>
  <si>
    <t>Inc. CPO Piping Line -Dryport</t>
  </si>
  <si>
    <t>Inc. CPO Piping Line -PKS Sei Mangkei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</si>
  <si>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</si>
  <si>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</si>
  <si>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</si>
  <si>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</si>
  <si>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</si>
  <si>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</si>
  <si>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</si>
  <si>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,</t>
  </si>
  <si>
    <t>box</t>
  </si>
  <si>
    <t>kg</t>
  </si>
  <si>
    <t>actual</t>
  </si>
  <si>
    <t>budget</t>
  </si>
  <si>
    <t>PACKAGING (Minyakita Standing Pouch)</t>
  </si>
  <si>
    <t xml:space="preserve">Minyakita SP 1 L  </t>
  </si>
  <si>
    <r>
      <t>m</t>
    </r>
    <r>
      <rPr>
        <vertAlign val="superscript"/>
        <sz val="11"/>
        <rFont val="Arial"/>
        <family val="2"/>
      </rPr>
      <t>3</t>
    </r>
  </si>
  <si>
    <t>INL 900 mL</t>
  </si>
  <si>
    <t>INL 1.8 L</t>
  </si>
  <si>
    <t>Olein Received IV 58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</si>
  <si>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</si>
  <si>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</si>
  <si>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</si>
  <si>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</si>
  <si>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</si>
  <si>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</si>
  <si>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</si>
  <si>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Desember</t>
  </si>
  <si>
    <t>NusaKita 1L</t>
  </si>
  <si>
    <t>NusaKita 2L</t>
  </si>
  <si>
    <t>Minyakita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</si>
</sst>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-* #,##0.0000_-;\-* #,##0.0000_-;_-* &quot;-&quot;_-;_-@_-"/>
    <numFmt numFmtId="172" formatCode="_(* #,##0.0000_);_(* \(#,##0.0000\);_(* &quot;-&quot;??.000_);_(@_)"/>
    <numFmt numFmtId="173" formatCode="_(* #,##0.0000_);_(* \(#,##0.0000\);_(* &quot;-&quot;??.00_);_(@_)"/>
    <numFmt numFmtId="174" formatCode="_(* #,##0.00_);_(* \(#,##0.00\);_(* &quot;-&quot;??.0_);_(@_)"/>
    <numFmt numFmtId="175" formatCode="_-* #,##0_-;\-* #,##0_-;_-* &quot;-&quot;??_-;_-@_-"/>
    <numFmt numFmtId="176" formatCode="0.000"/>
    <numFmt numFmtId="177" formatCode="_(* #,##0.0_);_(* \(#,##0.0\);_(* &quot;-&quot;??.0_);_(@_)"/>
    <numFmt numFmtId="178" formatCode="_(* #,##0.000_);_(* \(#,##0.000\);_(* &quot;-&quot;??.00_);_(@_)"/>
    <numFmt numFmtId="179" formatCode="_(* #.##0_);_(* \(#.##0\);_(* &quot;-&quot;??_);_(@_)"/>
    <numFmt numFmtId="180" formatCode="0.00_);\(0.00\)"/>
    <numFmt numFmtId="181" formatCode="_-* #,##0.000_-;\-* #,##0.000_-;_-* &quot;-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5">
    <xf numFmtId="0" fontId="0" fillId="0" borderId="0" xfId="0"/>
    <xf numFmtId="0" fontId="2" fillId="0" borderId="0" xfId="0" applyFont="1"/>
    <xf numFmtId="0" fontId="2" fillId="2" borderId="0" xfId="0" applyFont="1" applyFill="1"/>
    <xf numFmtId="165" fontId="2" fillId="2" borderId="0" xfId="2" applyNumberFormat="1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5" fontId="2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41" fontId="3" fillId="0" borderId="0" xfId="2" applyFont="1"/>
    <xf numFmtId="165" fontId="3" fillId="0" borderId="0" xfId="2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/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5" fontId="2" fillId="0" borderId="0" xfId="2" applyNumberFormat="1" applyFont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0" fontId="2" fillId="2" borderId="0" xfId="0" applyFont="1" applyFill="1" applyAlignment="1">
      <alignment horizontal="center"/>
    </xf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6" fontId="2" fillId="0" borderId="0" xfId="1" applyNumberFormat="1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5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2" fillId="2" borderId="0" xfId="2" applyFont="1" applyFill="1" applyAlignment="1">
      <alignment vertical="center"/>
    </xf>
    <xf numFmtId="175" fontId="2" fillId="2" borderId="0" xfId="0" applyNumberFormat="1" applyFont="1" applyFill="1"/>
    <xf numFmtId="176" fontId="2" fillId="2" borderId="0" xfId="0" applyNumberFormat="1" applyFont="1" applyFill="1"/>
    <xf numFmtId="166" fontId="2" fillId="0" borderId="0" xfId="1" applyNumberFormat="1" applyFont="1" applyFill="1" applyAlignment="1">
      <alignment horizontal="right"/>
    </xf>
    <xf numFmtId="41" fontId="3" fillId="2" borderId="0" xfId="2" applyFont="1" applyFill="1"/>
    <xf numFmtId="41" fontId="3" fillId="2" borderId="0" xfId="2" applyFont="1" applyFill="1" applyAlignment="1">
      <alignment horizontal="center"/>
    </xf>
    <xf numFmtId="165" fontId="3" fillId="0" borderId="0" xfId="2" applyNumberFormat="1" applyFont="1" applyFill="1"/>
    <xf numFmtId="41" fontId="3" fillId="0" borderId="0" xfId="2" applyFont="1" applyFill="1"/>
    <xf numFmtId="166" fontId="3" fillId="0" borderId="0" xfId="1" applyNumberFormat="1" applyFont="1" applyFill="1"/>
    <xf numFmtId="167" fontId="2" fillId="0" borderId="3" xfId="0" applyNumberFormat="1" applyFont="1" applyBorder="1"/>
    <xf numFmtId="9" fontId="2" fillId="0" borderId="0" xfId="2" applyNumberFormat="1" applyFont="1" applyFill="1"/>
    <xf numFmtId="41" fontId="2" fillId="2" borderId="0" xfId="2" applyFont="1" applyFill="1" applyAlignment="1">
      <alignment horizontal="center"/>
    </xf>
    <xf numFmtId="171" fontId="2" fillId="0" borderId="0" xfId="2" applyNumberFormat="1" applyFont="1" applyFill="1" applyAlignment="1">
      <alignment vertical="center"/>
    </xf>
    <xf numFmtId="43" fontId="2" fillId="0" borderId="0" xfId="0" applyNumberFormat="1" applyFont="1"/>
    <xf numFmtId="164" fontId="2" fillId="0" borderId="0" xfId="0" applyNumberFormat="1" applyFont="1"/>
    <xf numFmtId="165" fontId="3" fillId="2" borderId="0" xfId="2" applyNumberFormat="1" applyFont="1" applyFill="1"/>
    <xf numFmtId="165" fontId="3" fillId="2" borderId="0" xfId="2" applyNumberFormat="1" applyFont="1" applyFill="1" applyAlignment="1">
      <alignment horizontal="center"/>
    </xf>
    <xf numFmtId="165" fontId="3" fillId="2" borderId="3" xfId="2" applyNumberFormat="1" applyFont="1" applyFill="1" applyBorder="1"/>
    <xf numFmtId="165" fontId="8" fillId="2" borderId="0" xfId="2" applyNumberFormat="1" applyFont="1" applyFill="1"/>
    <xf numFmtId="166" fontId="2" fillId="2" borderId="0" xfId="0" applyNumberFormat="1" applyFont="1" applyFill="1"/>
    <xf numFmtId="166" fontId="2" fillId="2" borderId="0" xfId="1" applyNumberFormat="1" applyFont="1" applyFill="1"/>
    <xf numFmtId="164" fontId="2" fillId="2" borderId="3" xfId="0" applyNumberFormat="1" applyFont="1" applyFill="1" applyBorder="1"/>
    <xf numFmtId="164" fontId="2" fillId="2" borderId="0" xfId="0" applyNumberFormat="1" applyFont="1" applyFill="1"/>
    <xf numFmtId="0" fontId="9" fillId="2" borderId="0" xfId="0" applyFont="1" applyFill="1"/>
    <xf numFmtId="0" fontId="5" fillId="0" borderId="0" xfId="0" applyFont="1"/>
    <xf numFmtId="178" fontId="5" fillId="0" borderId="4" xfId="1" applyNumberFormat="1" applyFont="1" applyFill="1" applyBorder="1"/>
    <xf numFmtId="166" fontId="2" fillId="0" borderId="9" xfId="0" applyNumberFormat="1" applyFont="1" applyBorder="1"/>
    <xf numFmtId="41" fontId="3" fillId="3" borderId="0" xfId="2" applyFont="1" applyFill="1"/>
    <xf numFmtId="165" fontId="3" fillId="3" borderId="0" xfId="2" applyNumberFormat="1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6" fontId="10" fillId="0" borderId="5" xfId="0" applyNumberFormat="1" applyFont="1" applyBorder="1"/>
    <xf numFmtId="166" fontId="2" fillId="0" borderId="3" xfId="1" applyNumberFormat="1" applyFont="1" applyBorder="1" applyAlignment="1">
      <alignment vertical="center"/>
    </xf>
    <xf numFmtId="0" fontId="3" fillId="0" borderId="0" xfId="0" applyFont="1"/>
    <xf numFmtId="165" fontId="2" fillId="2" borderId="0" xfId="2" applyNumberFormat="1" applyFont="1" applyFill="1" applyAlignment="1">
      <alignment vertical="center"/>
    </xf>
    <xf numFmtId="41" fontId="2" fillId="3" borderId="0" xfId="2" applyFont="1" applyFill="1"/>
    <xf numFmtId="41" fontId="2" fillId="0" borderId="0" xfId="2" applyFont="1" applyAlignment="1">
      <alignment horizontal="left"/>
    </xf>
    <xf numFmtId="165" fontId="2" fillId="0" borderId="13" xfId="2" applyNumberFormat="1" applyFont="1" applyFill="1" applyBorder="1"/>
    <xf numFmtId="165" fontId="2" fillId="0" borderId="14" xfId="2" applyNumberFormat="1" applyFont="1" applyFill="1" applyBorder="1"/>
    <xf numFmtId="165" fontId="2" fillId="0" borderId="15" xfId="2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41" fontId="2" fillId="0" borderId="16" xfId="2" applyFont="1" applyBorder="1"/>
    <xf numFmtId="41" fontId="2" fillId="0" borderId="0" xfId="2" applyFont="1" applyBorder="1"/>
    <xf numFmtId="41" fontId="2" fillId="0" borderId="17" xfId="2" applyFont="1" applyBorder="1"/>
    <xf numFmtId="0" fontId="3" fillId="0" borderId="17" xfId="0" applyFont="1" applyBorder="1"/>
    <xf numFmtId="165" fontId="5" fillId="0" borderId="16" xfId="2" applyNumberFormat="1" applyFont="1" applyBorder="1"/>
    <xf numFmtId="165" fontId="2" fillId="0" borderId="0" xfId="2" applyNumberFormat="1" applyFont="1" applyBorder="1"/>
    <xf numFmtId="165" fontId="5" fillId="0" borderId="17" xfId="2" applyNumberFormat="1" applyFont="1" applyBorder="1"/>
    <xf numFmtId="0" fontId="5" fillId="0" borderId="0" xfId="0" applyFont="1" applyAlignment="1">
      <alignment horizontal="center"/>
    </xf>
    <xf numFmtId="0" fontId="11" fillId="0" borderId="17" xfId="0" applyFont="1" applyBorder="1"/>
    <xf numFmtId="41" fontId="2" fillId="0" borderId="0" xfId="2" applyFont="1" applyFill="1" applyBorder="1"/>
    <xf numFmtId="9" fontId="2" fillId="0" borderId="0" xfId="0" applyNumberFormat="1" applyFont="1"/>
    <xf numFmtId="165" fontId="2" fillId="3" borderId="0" xfId="2" applyNumberFormat="1" applyFont="1" applyFill="1"/>
    <xf numFmtId="41" fontId="2" fillId="0" borderId="0" xfId="2" applyFont="1" applyAlignment="1">
      <alignment horizontal="center"/>
    </xf>
    <xf numFmtId="41" fontId="2" fillId="0" borderId="13" xfId="2" applyFont="1" applyBorder="1"/>
    <xf numFmtId="41" fontId="2" fillId="0" borderId="14" xfId="2" applyFont="1" applyBorder="1"/>
    <xf numFmtId="41" fontId="2" fillId="0" borderId="15" xfId="2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1" fontId="3" fillId="3" borderId="0" xfId="0" applyNumberFormat="1" applyFont="1" applyFill="1"/>
    <xf numFmtId="175" fontId="2" fillId="3" borderId="0" xfId="0" applyNumberFormat="1" applyFont="1" applyFill="1"/>
    <xf numFmtId="41" fontId="2" fillId="0" borderId="18" xfId="2" applyFont="1" applyBorder="1" applyAlignment="1">
      <alignment horizontal="center"/>
    </xf>
    <xf numFmtId="41" fontId="2" fillId="0" borderId="19" xfId="2" applyFont="1" applyBorder="1" applyAlignment="1">
      <alignment horizontal="center"/>
    </xf>
    <xf numFmtId="41" fontId="2" fillId="0" borderId="20" xfId="2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horizontal="left"/>
    </xf>
    <xf numFmtId="43" fontId="2" fillId="2" borderId="0" xfId="0" applyNumberFormat="1" applyFont="1" applyFill="1"/>
    <xf numFmtId="165" fontId="3" fillId="2" borderId="0" xfId="0" applyNumberFormat="1" applyFont="1" applyFill="1"/>
    <xf numFmtId="41" fontId="5" fillId="0" borderId="0" xfId="2" applyFont="1"/>
    <xf numFmtId="165" fontId="5" fillId="0" borderId="4" xfId="2" applyNumberFormat="1" applyFont="1" applyFill="1" applyBorder="1"/>
    <xf numFmtId="10" fontId="2" fillId="0" borderId="0" xfId="0" applyNumberFormat="1" applyFont="1"/>
    <xf numFmtId="165" fontId="7" fillId="0" borderId="13" xfId="2" applyNumberFormat="1" applyFont="1" applyFill="1" applyBorder="1"/>
    <xf numFmtId="165" fontId="7" fillId="0" borderId="14" xfId="2" applyNumberFormat="1" applyFont="1" applyFill="1" applyBorder="1"/>
    <xf numFmtId="165" fontId="7" fillId="0" borderId="15" xfId="2" applyNumberFormat="1" applyFont="1" applyFill="1" applyBorder="1"/>
    <xf numFmtId="0" fontId="11" fillId="0" borderId="0" xfId="0" applyFont="1"/>
    <xf numFmtId="165" fontId="5" fillId="0" borderId="0" xfId="2" applyNumberFormat="1" applyFont="1"/>
    <xf numFmtId="41" fontId="11" fillId="2" borderId="0" xfId="2" applyFont="1" applyFill="1"/>
    <xf numFmtId="166" fontId="5" fillId="0" borderId="0" xfId="1" applyNumberFormat="1" applyFont="1"/>
    <xf numFmtId="0" fontId="5" fillId="0" borderId="4" xfId="0" applyFont="1" applyBorder="1" applyAlignment="1">
      <alignment horizontal="center"/>
    </xf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41" fontId="2" fillId="0" borderId="16" xfId="2" applyFont="1" applyFill="1" applyBorder="1"/>
    <xf numFmtId="41" fontId="2" fillId="0" borderId="17" xfId="2" applyFont="1" applyFill="1" applyBorder="1"/>
    <xf numFmtId="165" fontId="5" fillId="0" borderId="0" xfId="2" applyNumberFormat="1" applyFont="1" applyBorder="1"/>
    <xf numFmtId="166" fontId="2" fillId="0" borderId="0" xfId="1" applyNumberFormat="1" applyFont="1" applyAlignment="1">
      <alignment horizontal="center"/>
    </xf>
    <xf numFmtId="0" fontId="10" fillId="0" borderId="3" xfId="0" applyFont="1" applyBorder="1"/>
    <xf numFmtId="0" fontId="2" fillId="0" borderId="14" xfId="0" applyFont="1" applyBorder="1" applyAlignment="1">
      <alignment horizontal="center" vertical="center"/>
    </xf>
    <xf numFmtId="0" fontId="3" fillId="3" borderId="3" xfId="0" quotePrefix="1" applyFont="1" applyFill="1" applyBorder="1"/>
    <xf numFmtId="41" fontId="2" fillId="0" borderId="20" xfId="2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66" fontId="3" fillId="0" borderId="21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80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179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/>
    <xf numFmtId="164" fontId="2" fillId="3" borderId="3" xfId="0" applyNumberFormat="1" applyFont="1" applyFill="1" applyBorder="1"/>
    <xf numFmtId="0" fontId="11" fillId="5" borderId="2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6" fontId="11" fillId="3" borderId="22" xfId="1" applyNumberFormat="1" applyFont="1" applyFill="1" applyBorder="1" applyAlignment="1">
      <alignment horizontal="right" vertical="center"/>
    </xf>
    <xf numFmtId="166" fontId="11" fillId="0" borderId="22" xfId="1" applyNumberFormat="1" applyFont="1" applyFill="1" applyBorder="1" applyAlignment="1">
      <alignment horizontal="right" vertical="center"/>
    </xf>
    <xf numFmtId="166" fontId="11" fillId="2" borderId="22" xfId="1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166" fontId="5" fillId="3" borderId="6" xfId="1" applyNumberFormat="1" applyFont="1" applyFill="1" applyBorder="1"/>
    <xf numFmtId="166" fontId="5" fillId="3" borderId="6" xfId="1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166" fontId="5" fillId="0" borderId="6" xfId="1" applyNumberFormat="1" applyFont="1" applyFill="1" applyBorder="1"/>
    <xf numFmtId="166" fontId="11" fillId="0" borderId="6" xfId="1" applyNumberFormat="1" applyFont="1" applyFill="1" applyBorder="1"/>
    <xf numFmtId="166" fontId="11" fillId="2" borderId="6" xfId="1" applyNumberFormat="1" applyFont="1" applyFill="1" applyBorder="1"/>
    <xf numFmtId="0" fontId="5" fillId="4" borderId="4" xfId="0" applyFont="1" applyFill="1" applyBorder="1"/>
    <xf numFmtId="166" fontId="5" fillId="6" borderId="4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6" fontId="5" fillId="4" borderId="4" xfId="1" applyNumberFormat="1" applyFont="1" applyFill="1" applyBorder="1"/>
    <xf numFmtId="0" fontId="16" fillId="2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4" xfId="0" quotePrefix="1" applyFont="1" applyFill="1" applyBorder="1"/>
    <xf numFmtId="0" fontId="5" fillId="4" borderId="4" xfId="0" quotePrefix="1" applyFont="1" applyFill="1" applyBorder="1" applyAlignment="1">
      <alignment horizontal="center"/>
    </xf>
    <xf numFmtId="0" fontId="15" fillId="0" borderId="6" xfId="0" applyFont="1" applyBorder="1"/>
    <xf numFmtId="0" fontId="17" fillId="6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41" fontId="5" fillId="6" borderId="4" xfId="2" applyFont="1" applyFill="1" applyBorder="1" applyAlignment="1">
      <alignment horizontal="center"/>
    </xf>
    <xf numFmtId="41" fontId="17" fillId="6" borderId="6" xfId="2" applyFont="1" applyFill="1" applyBorder="1" applyAlignment="1">
      <alignment horizontal="center"/>
    </xf>
    <xf numFmtId="179" fontId="5" fillId="0" borderId="6" xfId="1" applyNumberFormat="1" applyFont="1" applyFill="1" applyBorder="1"/>
    <xf numFmtId="166" fontId="11" fillId="0" borderId="6" xfId="1" applyNumberFormat="1" applyFont="1" applyFill="1" applyBorder="1" applyAlignment="1">
      <alignment horizontal="center"/>
    </xf>
    <xf numFmtId="166" fontId="11" fillId="2" borderId="6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6" fontId="5" fillId="4" borderId="4" xfId="1" applyNumberFormat="1" applyFont="1" applyFill="1" applyBorder="1" applyAlignment="1">
      <alignment horizontal="center" vertical="center"/>
    </xf>
    <xf numFmtId="0" fontId="11" fillId="3" borderId="6" xfId="0" quotePrefix="1" applyFont="1" applyFill="1" applyBorder="1"/>
    <xf numFmtId="0" fontId="5" fillId="3" borderId="6" xfId="0" applyFont="1" applyFill="1" applyBorder="1" applyAlignment="1">
      <alignment horizontal="center"/>
    </xf>
    <xf numFmtId="0" fontId="5" fillId="2" borderId="4" xfId="0" quotePrefix="1" applyFont="1" applyFill="1" applyBorder="1"/>
    <xf numFmtId="0" fontId="5" fillId="2" borderId="4" xfId="0" quotePrefix="1" applyFont="1" applyFill="1" applyBorder="1" applyAlignment="1">
      <alignment horizontal="center"/>
    </xf>
    <xf numFmtId="0" fontId="11" fillId="3" borderId="6" xfId="0" applyFont="1" applyFill="1" applyBorder="1"/>
    <xf numFmtId="0" fontId="5" fillId="0" borderId="4" xfId="0" quotePrefix="1" applyFont="1" applyBorder="1" applyAlignment="1">
      <alignment horizontal="center"/>
    </xf>
    <xf numFmtId="0" fontId="5" fillId="0" borderId="4" xfId="0" applyFont="1" applyBorder="1"/>
    <xf numFmtId="0" fontId="5" fillId="0" borderId="12" xfId="0" quotePrefix="1" applyFont="1" applyBorder="1"/>
    <xf numFmtId="0" fontId="5" fillId="0" borderId="12" xfId="0" quotePrefix="1" applyFont="1" applyBorder="1" applyAlignment="1">
      <alignment horizontal="center"/>
    </xf>
    <xf numFmtId="166" fontId="5" fillId="0" borderId="12" xfId="1" applyNumberFormat="1" applyFont="1" applyFill="1" applyBorder="1"/>
    <xf numFmtId="0" fontId="5" fillId="0" borderId="11" xfId="0" applyFont="1" applyBorder="1"/>
    <xf numFmtId="0" fontId="5" fillId="6" borderId="11" xfId="0" applyFont="1" applyFill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quotePrefix="1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6" xfId="0" quotePrefix="1" applyFont="1" applyFill="1" applyBorder="1"/>
    <xf numFmtId="174" fontId="5" fillId="6" borderId="6" xfId="1" applyNumberFormat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177" fontId="5" fillId="6" borderId="4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quotePrefix="1" applyFont="1" applyFill="1" applyBorder="1"/>
    <xf numFmtId="0" fontId="5" fillId="2" borderId="2" xfId="0" quotePrefix="1" applyFont="1" applyFill="1" applyBorder="1" applyAlignment="1">
      <alignment horizontal="center"/>
    </xf>
    <xf numFmtId="0" fontId="11" fillId="0" borderId="4" xfId="0" applyFont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4" xfId="2" applyNumberFormat="1" applyFont="1" applyFill="1" applyBorder="1"/>
    <xf numFmtId="165" fontId="5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/>
    <xf numFmtId="165" fontId="11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 applyAlignment="1">
      <alignment horizontal="center"/>
    </xf>
    <xf numFmtId="165" fontId="5" fillId="2" borderId="4" xfId="2" applyNumberFormat="1" applyFont="1" applyFill="1" applyBorder="1"/>
    <xf numFmtId="0" fontId="18" fillId="0" borderId="4" xfId="0" quotePrefix="1" applyFont="1" applyBorder="1"/>
    <xf numFmtId="0" fontId="5" fillId="0" borderId="4" xfId="0" quotePrefix="1" applyFont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vertical="center"/>
    </xf>
    <xf numFmtId="166" fontId="5" fillId="0" borderId="8" xfId="1" applyNumberFormat="1" applyFont="1" applyFill="1" applyBorder="1" applyAlignment="1">
      <alignment wrapText="1"/>
    </xf>
    <xf numFmtId="41" fontId="5" fillId="0" borderId="8" xfId="2" applyFont="1" applyFill="1" applyBorder="1" applyAlignment="1">
      <alignment wrapText="1"/>
    </xf>
    <xf numFmtId="0" fontId="11" fillId="0" borderId="4" xfId="0" quotePrefix="1" applyFont="1" applyBorder="1"/>
    <xf numFmtId="0" fontId="11" fillId="6" borderId="4" xfId="0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/>
    </xf>
    <xf numFmtId="166" fontId="11" fillId="0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/>
    <xf numFmtId="0" fontId="5" fillId="3" borderId="6" xfId="0" quotePrefix="1" applyFont="1" applyFill="1" applyBorder="1" applyAlignment="1">
      <alignment horizontal="center"/>
    </xf>
    <xf numFmtId="0" fontId="5" fillId="3" borderId="4" xfId="0" applyFont="1" applyFill="1" applyBorder="1" applyAlignment="1">
      <alignment vertical="center"/>
    </xf>
    <xf numFmtId="166" fontId="5" fillId="3" borderId="4" xfId="1" applyNumberFormat="1" applyFont="1" applyFill="1" applyBorder="1"/>
    <xf numFmtId="174" fontId="5" fillId="6" borderId="4" xfId="1" applyNumberFormat="1" applyFont="1" applyFill="1" applyBorder="1" applyAlignment="1">
      <alignment horizontal="center"/>
    </xf>
    <xf numFmtId="171" fontId="5" fillId="0" borderId="4" xfId="2" applyNumberFormat="1" applyFont="1" applyFill="1" applyBorder="1"/>
    <xf numFmtId="173" fontId="5" fillId="0" borderId="4" xfId="1" applyNumberFormat="1" applyFont="1" applyFill="1" applyBorder="1"/>
    <xf numFmtId="172" fontId="5" fillId="0" borderId="4" xfId="1" applyNumberFormat="1" applyFont="1" applyFill="1" applyBorder="1"/>
    <xf numFmtId="0" fontId="11" fillId="0" borderId="2" xfId="0" applyFont="1" applyBorder="1" applyAlignment="1">
      <alignment horizontal="center"/>
    </xf>
    <xf numFmtId="0" fontId="11" fillId="0" borderId="2" xfId="0" quotePrefix="1" applyFont="1" applyBorder="1"/>
    <xf numFmtId="0" fontId="11" fillId="0" borderId="2" xfId="0" quotePrefix="1" applyFont="1" applyBorder="1" applyAlignment="1">
      <alignment horizontal="center"/>
    </xf>
    <xf numFmtId="168" fontId="11" fillId="0" borderId="2" xfId="1" applyNumberFormat="1" applyFont="1" applyFill="1" applyBorder="1"/>
    <xf numFmtId="0" fontId="11" fillId="3" borderId="4" xfId="0" quotePrefix="1" applyFont="1" applyFill="1" applyBorder="1"/>
    <xf numFmtId="0" fontId="11" fillId="3" borderId="4" xfId="0" applyFont="1" applyFill="1" applyBorder="1" applyAlignment="1">
      <alignment horizontal="center"/>
    </xf>
    <xf numFmtId="168" fontId="11" fillId="3" borderId="4" xfId="1" applyNumberFormat="1" applyFont="1" applyFill="1" applyBorder="1"/>
    <xf numFmtId="166" fontId="11" fillId="0" borderId="4" xfId="1" applyNumberFormat="1" applyFont="1" applyFill="1" applyBorder="1"/>
    <xf numFmtId="166" fontId="11" fillId="6" borderId="4" xfId="1" applyNumberFormat="1" applyFont="1" applyFill="1" applyBorder="1" applyAlignment="1">
      <alignment horizontal="center"/>
    </xf>
    <xf numFmtId="0" fontId="11" fillId="0" borderId="4" xfId="0" quotePrefix="1" applyFont="1" applyBorder="1" applyAlignment="1">
      <alignment vertical="center"/>
    </xf>
    <xf numFmtId="165" fontId="5" fillId="0" borderId="4" xfId="2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center"/>
    </xf>
    <xf numFmtId="0" fontId="11" fillId="2" borderId="4" xfId="0" quotePrefix="1" applyFont="1" applyFill="1" applyBorder="1"/>
    <xf numFmtId="0" fontId="5" fillId="6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center"/>
    </xf>
    <xf numFmtId="0" fontId="11" fillId="2" borderId="2" xfId="0" quotePrefix="1" applyFont="1" applyFill="1" applyBorder="1"/>
    <xf numFmtId="0" fontId="11" fillId="6" borderId="2" xfId="0" applyFont="1" applyFill="1" applyBorder="1" applyAlignment="1">
      <alignment horizontal="center"/>
    </xf>
    <xf numFmtId="0" fontId="11" fillId="2" borderId="2" xfId="0" quotePrefix="1" applyFont="1" applyFill="1" applyBorder="1" applyAlignment="1">
      <alignment horizontal="center"/>
    </xf>
    <xf numFmtId="166" fontId="11" fillId="0" borderId="2" xfId="1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horizontal="center"/>
    </xf>
    <xf numFmtId="166" fontId="2" fillId="3" borderId="3" xfId="0" applyNumberFormat="1" applyFont="1" applyFill="1" applyBorder="1"/>
    <xf numFmtId="166" fontId="5" fillId="0" borderId="2" xfId="1" applyNumberFormat="1" applyFont="1" applyFill="1" applyBorder="1"/>
    <xf numFmtId="43" fontId="5" fillId="0" borderId="2" xfId="1" applyFont="1" applyFill="1" applyBorder="1" applyAlignment="1">
      <alignment horizontal="right" vertical="center"/>
    </xf>
    <xf numFmtId="43" fontId="5" fillId="0" borderId="4" xfId="1" applyFont="1" applyFill="1" applyBorder="1" applyAlignment="1">
      <alignment horizontal="right" vertical="center"/>
    </xf>
    <xf numFmtId="43" fontId="5" fillId="0" borderId="6" xfId="1" applyFont="1" applyFill="1" applyBorder="1"/>
    <xf numFmtId="43" fontId="5" fillId="6" borderId="4" xfId="1" applyFont="1" applyFill="1" applyBorder="1" applyAlignment="1">
      <alignment horizontal="center"/>
    </xf>
    <xf numFmtId="43" fontId="5" fillId="6" borderId="4" xfId="1" applyFont="1" applyFill="1" applyBorder="1" applyAlignment="1">
      <alignment horizontal="right"/>
    </xf>
    <xf numFmtId="43" fontId="5" fillId="0" borderId="4" xfId="1" applyFont="1" applyFill="1" applyBorder="1"/>
    <xf numFmtId="43" fontId="2" fillId="0" borderId="3" xfId="1" applyFont="1" applyBorder="1"/>
    <xf numFmtId="43" fontId="2" fillId="0" borderId="0" xfId="1" applyFont="1" applyFill="1" applyBorder="1"/>
    <xf numFmtId="43" fontId="7" fillId="0" borderId="4" xfId="1" applyFont="1" applyFill="1" applyBorder="1"/>
    <xf numFmtId="43" fontId="2" fillId="0" borderId="0" xfId="1" applyFont="1"/>
    <xf numFmtId="43" fontId="5" fillId="6" borderId="12" xfId="1" applyFont="1" applyFill="1" applyBorder="1" applyAlignment="1">
      <alignment horizontal="center"/>
    </xf>
    <xf numFmtId="43" fontId="5" fillId="0" borderId="11" xfId="1" applyFont="1" applyFill="1" applyBorder="1"/>
    <xf numFmtId="43" fontId="2" fillId="0" borderId="10" xfId="1" applyFont="1" applyBorder="1"/>
    <xf numFmtId="43" fontId="9" fillId="0" borderId="5" xfId="1" applyFont="1" applyFill="1" applyBorder="1"/>
    <xf numFmtId="43" fontId="2" fillId="0" borderId="0" xfId="1" applyFont="1" applyFill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5" fillId="3" borderId="6" xfId="1" applyFont="1" applyFill="1" applyBorder="1" applyAlignment="1">
      <alignment horizontal="center"/>
    </xf>
    <xf numFmtId="43" fontId="5" fillId="3" borderId="6" xfId="1" applyFont="1" applyFill="1" applyBorder="1"/>
    <xf numFmtId="43" fontId="5" fillId="3" borderId="4" xfId="1" applyFont="1" applyFill="1" applyBorder="1"/>
    <xf numFmtId="43" fontId="5" fillId="3" borderId="4" xfId="1" applyFont="1" applyFill="1" applyBorder="1" applyAlignment="1">
      <alignment horizontal="center"/>
    </xf>
    <xf numFmtId="43" fontId="5" fillId="6" borderId="2" xfId="1" applyFont="1" applyFill="1" applyBorder="1" applyAlignment="1">
      <alignment horizontal="center"/>
    </xf>
    <xf numFmtId="43" fontId="5" fillId="0" borderId="2" xfId="1" applyFont="1" applyFill="1" applyBorder="1"/>
    <xf numFmtId="43" fontId="11" fillId="6" borderId="2" xfId="1" applyFont="1" applyFill="1" applyBorder="1" applyAlignment="1">
      <alignment horizontal="center"/>
    </xf>
    <xf numFmtId="43" fontId="3" fillId="3" borderId="5" xfId="1" applyFont="1" applyFill="1" applyBorder="1"/>
    <xf numFmtId="43" fontId="5" fillId="6" borderId="4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5" fillId="6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11" fillId="2" borderId="4" xfId="1" applyNumberFormat="1" applyFont="1" applyFill="1" applyBorder="1"/>
    <xf numFmtId="165" fontId="11" fillId="0" borderId="4" xfId="2" applyNumberFormat="1" applyFont="1" applyBorder="1" applyAlignment="1">
      <alignment horizontal="center"/>
    </xf>
    <xf numFmtId="165" fontId="11" fillId="3" borderId="22" xfId="2" applyNumberFormat="1" applyFont="1" applyFill="1" applyBorder="1" applyAlignment="1">
      <alignment horizontal="center"/>
    </xf>
    <xf numFmtId="165" fontId="11" fillId="3" borderId="22" xfId="2" quotePrefix="1" applyNumberFormat="1" applyFont="1" applyFill="1" applyBorder="1" applyAlignment="1">
      <alignment horizontal="center"/>
    </xf>
    <xf numFmtId="165" fontId="11" fillId="3" borderId="22" xfId="2" applyNumberFormat="1" applyFont="1" applyFill="1" applyBorder="1"/>
    <xf numFmtId="165" fontId="8" fillId="0" borderId="0" xfId="2" applyNumberFormat="1" applyFont="1"/>
    <xf numFmtId="165" fontId="20" fillId="0" borderId="0" xfId="2" applyNumberFormat="1" applyFont="1"/>
    <xf numFmtId="165" fontId="3" fillId="0" borderId="0" xfId="2" applyNumberFormat="1" applyFont="1" applyAlignment="1">
      <alignment horizontal="center"/>
    </xf>
    <xf numFmtId="181" fontId="3" fillId="2" borderId="0" xfId="0" applyNumberFormat="1" applyFont="1" applyFill="1"/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166" fontId="5" fillId="2" borderId="6" xfId="1" applyNumberFormat="1" applyFont="1" applyFill="1" applyBorder="1"/>
    <xf numFmtId="0" fontId="3" fillId="2" borderId="5" xfId="0" applyFont="1" applyFill="1" applyBorder="1"/>
    <xf numFmtId="0" fontId="0" fillId="2" borderId="0" xfId="0" applyFill="1"/>
    <xf numFmtId="43" fontId="11" fillId="2" borderId="4" xfId="1" applyFont="1" applyFill="1" applyBorder="1"/>
    <xf numFmtId="0" fontId="5" fillId="3" borderId="4" xfId="0" applyFont="1" applyFill="1" applyBorder="1" applyAlignment="1">
      <alignment horizontal="center"/>
    </xf>
    <xf numFmtId="0" fontId="5" fillId="3" borderId="4" xfId="0" quotePrefix="1" applyFont="1" applyFill="1" applyBorder="1" applyAlignment="1">
      <alignment horizontal="center"/>
    </xf>
    <xf numFmtId="166" fontId="5" fillId="3" borderId="6" xfId="1" applyNumberFormat="1" applyFont="1" applyFill="1" applyBorder="1" applyAlignment="1">
      <alignment vertical="center"/>
    </xf>
    <xf numFmtId="0" fontId="4" fillId="3" borderId="26" xfId="0" applyFont="1" applyFill="1" applyBorder="1"/>
    <xf numFmtId="166" fontId="2" fillId="3" borderId="5" xfId="0" applyNumberFormat="1" applyFont="1" applyFill="1" applyBorder="1"/>
    <xf numFmtId="0" fontId="11" fillId="3" borderId="22" xfId="0" applyFont="1" applyFill="1" applyBorder="1" applyAlignment="1">
      <alignment vertical="center"/>
    </xf>
    <xf numFmtId="43" fontId="5" fillId="3" borderId="22" xfId="1" applyFont="1" applyFill="1" applyBorder="1" applyAlignment="1">
      <alignment horizontal="center"/>
    </xf>
    <xf numFmtId="0" fontId="11" fillId="3" borderId="22" xfId="0" quotePrefix="1" applyFont="1" applyFill="1" applyBorder="1" applyAlignment="1">
      <alignment horizontal="center"/>
    </xf>
    <xf numFmtId="43" fontId="5" fillId="3" borderId="22" xfId="1" applyFont="1" applyFill="1" applyBorder="1"/>
    <xf numFmtId="43" fontId="11" fillId="3" borderId="22" xfId="1" applyFont="1" applyFill="1" applyBorder="1"/>
    <xf numFmtId="165" fontId="11" fillId="3" borderId="22" xfId="2" applyNumberFormat="1" applyFont="1" applyFill="1" applyBorder="1" applyAlignment="1">
      <alignment horizontal="left" vertical="top"/>
    </xf>
    <xf numFmtId="43" fontId="11" fillId="3" borderId="4" xfId="1" applyFont="1" applyFill="1" applyBorder="1" applyAlignment="1">
      <alignment horizontal="center"/>
    </xf>
    <xf numFmtId="0" fontId="8" fillId="2" borderId="0" xfId="0" applyFont="1" applyFill="1"/>
    <xf numFmtId="0" fontId="3" fillId="2" borderId="0" xfId="0" applyFont="1" applyFill="1"/>
    <xf numFmtId="0" fontId="20" fillId="0" borderId="0" xfId="0" applyFont="1"/>
    <xf numFmtId="43" fontId="7" fillId="0" borderId="4" xfId="1" applyFont="1" applyFill="1" applyBorder="1" applyAlignment="1">
      <alignment vertical="center"/>
    </xf>
    <xf numFmtId="168" fontId="7" fillId="0" borderId="4" xfId="1" applyNumberFormat="1" applyFont="1" applyFill="1" applyBorder="1"/>
    <xf numFmtId="166" fontId="7" fillId="0" borderId="4" xfId="1" applyNumberFormat="1" applyFont="1" applyFill="1" applyBorder="1"/>
    <xf numFmtId="41" fontId="3" fillId="3" borderId="7" xfId="2" applyFont="1" applyFill="1" applyBorder="1"/>
    <xf numFmtId="166" fontId="5" fillId="2" borderId="4" xfId="1" applyNumberFormat="1" applyFont="1" applyFill="1" applyBorder="1"/>
    <xf numFmtId="166" fontId="7" fillId="0" borderId="12" xfId="1" applyNumberFormat="1" applyFont="1" applyFill="1" applyBorder="1"/>
    <xf numFmtId="43" fontId="7" fillId="0" borderId="10" xfId="1" applyFont="1" applyBorder="1"/>
    <xf numFmtId="164" fontId="2" fillId="0" borderId="7" xfId="0" applyNumberFormat="1" applyFont="1" applyBorder="1"/>
    <xf numFmtId="166" fontId="2" fillId="0" borderId="7" xfId="0" applyNumberFormat="1" applyFont="1" applyBorder="1"/>
    <xf numFmtId="166" fontId="2" fillId="3" borderId="7" xfId="0" applyNumberFormat="1" applyFont="1" applyFill="1" applyBorder="1"/>
    <xf numFmtId="178" fontId="5" fillId="0" borderId="3" xfId="1" applyNumberFormat="1" applyFont="1" applyBorder="1"/>
    <xf numFmtId="166" fontId="11" fillId="3" borderId="2" xfId="1" applyNumberFormat="1" applyFont="1" applyFill="1" applyBorder="1"/>
    <xf numFmtId="43" fontId="5" fillId="0" borderId="3" xfId="1" applyFont="1" applyBorder="1"/>
    <xf numFmtId="41" fontId="4" fillId="2" borderId="0" xfId="2" applyFont="1" applyFill="1"/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CS242"/>
  <sheetViews>
    <sheetView tabSelected="1" topLeftCell="F1" zoomScale="80" zoomScaleNormal="80" workbookViewId="0">
      <selection activeCell="AM1" sqref="AM1:BC1048576"/>
    </sheetView>
  </sheetViews>
  <sheetFormatPr defaultColWidth="9.140625" defaultRowHeight="15" x14ac:dyDescent="0.25"/>
  <cols>
    <col min="1" max="1" width="3.5703125" style="1" customWidth="1"/>
    <col min="2" max="2" width="4.85546875" style="1" customWidth="1"/>
    <col min="3" max="3" width="42.28515625" style="1" customWidth="1"/>
    <col min="4" max="4" width="11" style="1" customWidth="1"/>
    <col min="5" max="5" width="8.28515625" style="1" customWidth="1"/>
    <col min="6" max="6" width="17" style="1" customWidth="1"/>
    <col min="7" max="7" width="17.85546875" style="1" bestFit="1" customWidth="1"/>
    <col min="8" max="8" width="15.140625" style="1" customWidth="1"/>
    <col min="9" max="9" width="14.5703125" style="1" customWidth="1"/>
    <col min="10" max="11" width="17.85546875" style="1" bestFit="1" customWidth="1"/>
    <col min="12" max="12" width="17.5703125" style="1" bestFit="1" customWidth="1"/>
    <col min="13" max="13" width="17.85546875" style="1" bestFit="1" customWidth="1"/>
    <col min="14" max="14" width="14" style="1" customWidth="1"/>
    <col min="15" max="16" width="13.7109375" style="1" customWidth="1"/>
    <col min="17" max="17" width="13.42578125" style="1" customWidth="1"/>
    <col min="18" max="18" width="17.85546875" style="1" bestFit="1" customWidth="1"/>
    <col min="19" max="19" width="16.42578125" style="1" customWidth="1"/>
    <col min="20" max="21" width="13.7109375" style="1" customWidth="1"/>
    <col min="22" max="22" width="14.5703125" style="1" bestFit="1" customWidth="1"/>
    <col min="23" max="23" width="13.5703125" style="1" customWidth="1"/>
    <col min="24" max="24" width="17.85546875" style="1" bestFit="1" customWidth="1"/>
    <col min="25" max="25" width="13.5703125" style="1" customWidth="1"/>
    <col min="26" max="26" width="17.85546875" style="1" bestFit="1" customWidth="1"/>
    <col min="27" max="27" width="18.42578125" style="1" bestFit="1" customWidth="1"/>
    <col min="28" max="28" width="13.7109375" style="1" customWidth="1"/>
    <col min="29" max="29" width="17.85546875" style="1" bestFit="1" customWidth="1"/>
    <col min="30" max="30" width="14" style="1" customWidth="1"/>
    <col min="31" max="32" width="17.85546875" style="1" bestFit="1" customWidth="1"/>
    <col min="33" max="36" width="13.7109375" style="1" customWidth="1"/>
    <col min="37" max="37" width="9.140625" style="1" customWidth="1"/>
    <col min="38" max="38" width="16.42578125" style="1" customWidth="1"/>
    <col min="39" max="39" width="13.7109375" style="1" hidden="1" customWidth="1"/>
    <col min="40" max="40" width="15.7109375" style="1" hidden="1" customWidth="1"/>
    <col min="41" max="41" width="9.42578125" style="2" hidden="1" customWidth="1"/>
    <col min="42" max="42" width="12.42578125" style="3" hidden="1" customWidth="1"/>
    <col min="43" max="43" width="12.42578125" style="2" hidden="1" customWidth="1"/>
    <col min="44" max="44" width="9.42578125" style="2" hidden="1" customWidth="1"/>
    <col min="45" max="45" width="13.7109375" style="2" hidden="1" customWidth="1"/>
    <col min="46" max="46" width="12" style="2" hidden="1" customWidth="1"/>
    <col min="47" max="47" width="8.140625" style="2" hidden="1" customWidth="1"/>
    <col min="48" max="48" width="10.7109375" style="2" hidden="1" customWidth="1"/>
    <col min="49" max="49" width="12" style="2" hidden="1" customWidth="1"/>
    <col min="50" max="55" width="5.28515625" style="2" hidden="1" customWidth="1"/>
    <col min="56" max="60" width="5.28515625" style="2" customWidth="1"/>
    <col min="61" max="75" width="9.140625" style="2" customWidth="1"/>
    <col min="76" max="77" width="9.140625" style="1" customWidth="1"/>
    <col min="78" max="78" width="8.140625" style="1" customWidth="1"/>
    <col min="79" max="87" width="9.140625" style="1" customWidth="1"/>
    <col min="88" max="88" width="14.5703125" style="1" customWidth="1"/>
    <col min="89" max="100" width="9.140625" style="1" customWidth="1"/>
    <col min="101" max="101" width="9.85546875" style="1" customWidth="1"/>
    <col min="102" max="102" width="9.140625" style="1" customWidth="1"/>
    <col min="103" max="103" width="9.140625" customWidth="1"/>
    <col min="104" max="111" width="9.140625" style="1" customWidth="1"/>
    <col min="112" max="140" width="9.140625" style="1"/>
    <col min="141" max="143" width="12.42578125" style="1" customWidth="1"/>
    <col min="144" max="199" width="9.140625" style="1"/>
    <col min="200" max="200" width="9.42578125" style="1" customWidth="1"/>
    <col min="201" max="434" width="9.140625" style="1"/>
    <col min="435" max="436" width="9.42578125" style="1" customWidth="1"/>
    <col min="437" max="437" width="9.140625" style="1"/>
    <col min="438" max="439" width="9.42578125" style="1" customWidth="1"/>
    <col min="440" max="450" width="9.140625" style="1"/>
    <col min="451" max="452" width="9.28515625" style="1" customWidth="1"/>
    <col min="453" max="840" width="9.140625" style="1"/>
    <col min="841" max="843" width="10.7109375" style="1" customWidth="1"/>
    <col min="844" max="852" width="9.140625" style="1"/>
    <col min="853" max="853" width="9.42578125" style="1" customWidth="1"/>
    <col min="854" max="854" width="10.7109375" style="1" customWidth="1"/>
    <col min="855" max="869" width="9.140625" style="1"/>
    <col min="870" max="870" width="11.28515625" style="1" customWidth="1"/>
    <col min="871" max="908" width="9.140625" style="1"/>
    <col min="909" max="910" width="9.28515625" style="1" customWidth="1"/>
    <col min="911" max="960" width="9.140625" style="1"/>
    <col min="961" max="961" width="13.7109375" style="1" customWidth="1"/>
    <col min="962" max="963" width="12.42578125" style="1" customWidth="1"/>
    <col min="964" max="16384" width="9.140625" style="1"/>
  </cols>
  <sheetData>
    <row r="1" spans="2:38" x14ac:dyDescent="0.25">
      <c r="B1" s="121"/>
    </row>
    <row r="2" spans="2:38" ht="18" x14ac:dyDescent="0.25">
      <c r="B2" s="362" t="s">
        <v>155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</row>
    <row r="3" spans="2:38" x14ac:dyDescent="0.25">
      <c r="B3" s="155"/>
    </row>
    <row r="4" spans="2:38" ht="15.75" thickBot="1" x14ac:dyDescent="0.3">
      <c r="C4" s="154"/>
      <c r="D4" s="8"/>
      <c r="AA4" s="31"/>
      <c r="AB4" s="31"/>
    </row>
    <row r="5" spans="2:38" ht="15.75" customHeight="1" x14ac:dyDescent="0.25">
      <c r="B5" s="358" t="s">
        <v>154</v>
      </c>
      <c r="C5" s="358" t="s">
        <v>153</v>
      </c>
      <c r="D5" s="360" t="s">
        <v>152</v>
      </c>
      <c r="E5" s="358" t="s">
        <v>151</v>
      </c>
      <c r="F5" s="363" t="s">
        <v>174</v>
      </c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L5" s="153" t="s">
        <v>150</v>
      </c>
    </row>
    <row r="6" spans="2:38" x14ac:dyDescent="0.25">
      <c r="B6" s="359"/>
      <c r="C6" s="359"/>
      <c r="D6" s="361"/>
      <c r="E6" s="359"/>
      <c r="F6" s="158">
        <v>1</v>
      </c>
      <c r="G6" s="158">
        <v>2</v>
      </c>
      <c r="H6" s="158">
        <v>3</v>
      </c>
      <c r="I6" s="158">
        <v>4</v>
      </c>
      <c r="J6" s="158">
        <v>5</v>
      </c>
      <c r="K6" s="158">
        <v>6</v>
      </c>
      <c r="L6" s="158">
        <v>7</v>
      </c>
      <c r="M6" s="158">
        <v>8</v>
      </c>
      <c r="N6" s="158">
        <v>9</v>
      </c>
      <c r="O6" s="158">
        <v>10</v>
      </c>
      <c r="P6" s="158">
        <v>11</v>
      </c>
      <c r="Q6" s="158">
        <v>12</v>
      </c>
      <c r="R6" s="158">
        <v>13</v>
      </c>
      <c r="S6" s="158">
        <v>14</v>
      </c>
      <c r="T6" s="158">
        <v>15</v>
      </c>
      <c r="U6" s="158">
        <v>16</v>
      </c>
      <c r="V6" s="158">
        <v>17</v>
      </c>
      <c r="W6" s="158">
        <v>18</v>
      </c>
      <c r="X6" s="158">
        <v>19</v>
      </c>
      <c r="Y6" s="158">
        <v>20</v>
      </c>
      <c r="Z6" s="158">
        <v>21</v>
      </c>
      <c r="AA6" s="158">
        <v>22</v>
      </c>
      <c r="AB6" s="158">
        <v>23</v>
      </c>
      <c r="AC6" s="158">
        <v>24</v>
      </c>
      <c r="AD6" s="158">
        <v>25</v>
      </c>
      <c r="AE6" s="158">
        <v>26</v>
      </c>
      <c r="AF6" s="158">
        <v>27</v>
      </c>
      <c r="AG6" s="158">
        <v>28</v>
      </c>
      <c r="AH6" s="158">
        <v>29</v>
      </c>
      <c r="AI6" s="158">
        <v>30</v>
      </c>
      <c r="AJ6" s="158">
        <v>31</v>
      </c>
      <c r="AL6" s="152"/>
    </row>
    <row r="7" spans="2:38" ht="15" hidden="1" customHeight="1" x14ac:dyDescent="0.25">
      <c r="B7" s="159">
        <v>1</v>
      </c>
      <c r="C7" s="160" t="s">
        <v>149</v>
      </c>
      <c r="D7" s="161"/>
      <c r="E7" s="162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31"/>
      <c r="AL7" s="151" t="s">
        <v>146</v>
      </c>
    </row>
    <row r="8" spans="2:38" ht="15" hidden="1" customHeight="1" x14ac:dyDescent="0.25">
      <c r="B8" s="159"/>
      <c r="C8" s="164" t="s">
        <v>138</v>
      </c>
      <c r="D8" s="165"/>
      <c r="E8" s="166" t="s">
        <v>16</v>
      </c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31"/>
      <c r="AL8" s="9">
        <f>SUM(F8:AJ8)</f>
        <v>0</v>
      </c>
    </row>
    <row r="9" spans="2:38" ht="15" hidden="1" customHeight="1" x14ac:dyDescent="0.25">
      <c r="B9" s="159"/>
      <c r="C9" s="164" t="s">
        <v>137</v>
      </c>
      <c r="D9" s="165"/>
      <c r="E9" s="166" t="s">
        <v>16</v>
      </c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31"/>
      <c r="AL9" s="9">
        <f>SUM(F9:AJ9)</f>
        <v>0</v>
      </c>
    </row>
    <row r="10" spans="2:38" ht="15" hidden="1" customHeight="1" x14ac:dyDescent="0.25">
      <c r="B10" s="159"/>
      <c r="C10" s="168" t="s">
        <v>136</v>
      </c>
      <c r="D10" s="169"/>
      <c r="E10" s="170" t="s">
        <v>29</v>
      </c>
      <c r="F10" s="282" t="e">
        <f t="shared" ref="F10:AH10" si="0">((F9-F8)/F8)*100</f>
        <v>#DIV/0!</v>
      </c>
      <c r="G10" s="282" t="e">
        <f t="shared" si="0"/>
        <v>#DIV/0!</v>
      </c>
      <c r="H10" s="282" t="e">
        <f t="shared" si="0"/>
        <v>#DIV/0!</v>
      </c>
      <c r="I10" s="282" t="e">
        <f t="shared" si="0"/>
        <v>#DIV/0!</v>
      </c>
      <c r="J10" s="282" t="e">
        <f t="shared" si="0"/>
        <v>#DIV/0!</v>
      </c>
      <c r="K10" s="282" t="e">
        <f t="shared" si="0"/>
        <v>#DIV/0!</v>
      </c>
      <c r="L10" s="282" t="e">
        <f t="shared" si="0"/>
        <v>#DIV/0!</v>
      </c>
      <c r="M10" s="282" t="e">
        <f t="shared" si="0"/>
        <v>#DIV/0!</v>
      </c>
      <c r="N10" s="282" t="e">
        <f t="shared" si="0"/>
        <v>#DIV/0!</v>
      </c>
      <c r="O10" s="282" t="e">
        <f t="shared" si="0"/>
        <v>#DIV/0!</v>
      </c>
      <c r="P10" s="282" t="e">
        <f t="shared" si="0"/>
        <v>#DIV/0!</v>
      </c>
      <c r="Q10" s="282" t="e">
        <f t="shared" si="0"/>
        <v>#DIV/0!</v>
      </c>
      <c r="R10" s="282" t="e">
        <f t="shared" si="0"/>
        <v>#DIV/0!</v>
      </c>
      <c r="S10" s="282" t="e">
        <f t="shared" si="0"/>
        <v>#DIV/0!</v>
      </c>
      <c r="T10" s="282" t="e">
        <f t="shared" si="0"/>
        <v>#DIV/0!</v>
      </c>
      <c r="U10" s="282" t="e">
        <f t="shared" si="0"/>
        <v>#DIV/0!</v>
      </c>
      <c r="V10" s="282" t="e">
        <f t="shared" si="0"/>
        <v>#DIV/0!</v>
      </c>
      <c r="W10" s="282" t="e">
        <f t="shared" si="0"/>
        <v>#DIV/0!</v>
      </c>
      <c r="X10" s="282" t="e">
        <f t="shared" si="0"/>
        <v>#DIV/0!</v>
      </c>
      <c r="Y10" s="282" t="e">
        <f t="shared" si="0"/>
        <v>#DIV/0!</v>
      </c>
      <c r="Z10" s="282" t="e">
        <f t="shared" si="0"/>
        <v>#DIV/0!</v>
      </c>
      <c r="AA10" s="282" t="e">
        <f t="shared" si="0"/>
        <v>#DIV/0!</v>
      </c>
      <c r="AB10" s="282" t="e">
        <f t="shared" si="0"/>
        <v>#DIV/0!</v>
      </c>
      <c r="AC10" s="282" t="e">
        <f t="shared" si="0"/>
        <v>#DIV/0!</v>
      </c>
      <c r="AD10" s="282" t="e">
        <f t="shared" si="0"/>
        <v>#DIV/0!</v>
      </c>
      <c r="AE10" s="282" t="e">
        <f t="shared" si="0"/>
        <v>#DIV/0!</v>
      </c>
      <c r="AF10" s="282" t="e">
        <f t="shared" si="0"/>
        <v>#DIV/0!</v>
      </c>
      <c r="AG10" s="282" t="e">
        <f t="shared" si="0"/>
        <v>#DIV/0!</v>
      </c>
      <c r="AH10" s="282" t="e">
        <f t="shared" si="0"/>
        <v>#DIV/0!</v>
      </c>
      <c r="AI10" s="282"/>
      <c r="AJ10" s="282"/>
      <c r="AK10" s="31"/>
      <c r="AL10" s="150" t="e">
        <f>((AL9-AL8)/AL8)*100</f>
        <v>#DIV/0!</v>
      </c>
    </row>
    <row r="11" spans="2:38" ht="15" hidden="1" customHeight="1" x14ac:dyDescent="0.25">
      <c r="B11" s="159"/>
      <c r="C11" s="160" t="s">
        <v>148</v>
      </c>
      <c r="D11" s="161"/>
      <c r="E11" s="162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31"/>
      <c r="AL11" s="151" t="s">
        <v>146</v>
      </c>
    </row>
    <row r="12" spans="2:38" ht="15" hidden="1" customHeight="1" x14ac:dyDescent="0.25">
      <c r="B12" s="159"/>
      <c r="C12" s="164" t="s">
        <v>145</v>
      </c>
      <c r="D12" s="165"/>
      <c r="E12" s="166" t="s">
        <v>16</v>
      </c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31"/>
      <c r="AL12" s="9">
        <f>SUM(F12:AJ12)</f>
        <v>0</v>
      </c>
    </row>
    <row r="13" spans="2:38" ht="15" hidden="1" customHeight="1" x14ac:dyDescent="0.25">
      <c r="B13" s="159"/>
      <c r="C13" s="164" t="s">
        <v>144</v>
      </c>
      <c r="D13" s="165"/>
      <c r="E13" s="166" t="s">
        <v>16</v>
      </c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31"/>
      <c r="AL13" s="9">
        <f>SUM(F13:AJ13)</f>
        <v>0</v>
      </c>
    </row>
    <row r="14" spans="2:38" ht="15" hidden="1" customHeight="1" x14ac:dyDescent="0.25">
      <c r="B14" s="159"/>
      <c r="C14" s="168" t="s">
        <v>143</v>
      </c>
      <c r="D14" s="169"/>
      <c r="E14" s="170" t="s">
        <v>29</v>
      </c>
      <c r="F14" s="282" t="e">
        <f t="shared" ref="F14:AH14" si="1">((F13-F12)/F12)*100</f>
        <v>#DIV/0!</v>
      </c>
      <c r="G14" s="282" t="e">
        <f t="shared" si="1"/>
        <v>#DIV/0!</v>
      </c>
      <c r="H14" s="282" t="e">
        <f t="shared" si="1"/>
        <v>#DIV/0!</v>
      </c>
      <c r="I14" s="282" t="e">
        <f t="shared" si="1"/>
        <v>#DIV/0!</v>
      </c>
      <c r="J14" s="282" t="e">
        <f t="shared" si="1"/>
        <v>#DIV/0!</v>
      </c>
      <c r="K14" s="282" t="e">
        <f t="shared" si="1"/>
        <v>#DIV/0!</v>
      </c>
      <c r="L14" s="282" t="e">
        <f t="shared" si="1"/>
        <v>#DIV/0!</v>
      </c>
      <c r="M14" s="282" t="e">
        <f t="shared" si="1"/>
        <v>#DIV/0!</v>
      </c>
      <c r="N14" s="282" t="e">
        <f t="shared" si="1"/>
        <v>#DIV/0!</v>
      </c>
      <c r="O14" s="282" t="e">
        <f t="shared" si="1"/>
        <v>#DIV/0!</v>
      </c>
      <c r="P14" s="282" t="e">
        <f t="shared" si="1"/>
        <v>#DIV/0!</v>
      </c>
      <c r="Q14" s="282" t="e">
        <f t="shared" si="1"/>
        <v>#DIV/0!</v>
      </c>
      <c r="R14" s="282" t="e">
        <f t="shared" si="1"/>
        <v>#DIV/0!</v>
      </c>
      <c r="S14" s="282" t="e">
        <f t="shared" si="1"/>
        <v>#DIV/0!</v>
      </c>
      <c r="T14" s="282" t="e">
        <f t="shared" si="1"/>
        <v>#DIV/0!</v>
      </c>
      <c r="U14" s="282" t="e">
        <f t="shared" si="1"/>
        <v>#DIV/0!</v>
      </c>
      <c r="V14" s="282" t="e">
        <f t="shared" si="1"/>
        <v>#DIV/0!</v>
      </c>
      <c r="W14" s="282" t="e">
        <f t="shared" si="1"/>
        <v>#DIV/0!</v>
      </c>
      <c r="X14" s="282" t="e">
        <f t="shared" si="1"/>
        <v>#DIV/0!</v>
      </c>
      <c r="Y14" s="282" t="e">
        <f t="shared" si="1"/>
        <v>#DIV/0!</v>
      </c>
      <c r="Z14" s="282" t="e">
        <f t="shared" si="1"/>
        <v>#DIV/0!</v>
      </c>
      <c r="AA14" s="282" t="e">
        <f t="shared" si="1"/>
        <v>#DIV/0!</v>
      </c>
      <c r="AB14" s="282" t="e">
        <f t="shared" si="1"/>
        <v>#DIV/0!</v>
      </c>
      <c r="AC14" s="282" t="e">
        <f t="shared" si="1"/>
        <v>#DIV/0!</v>
      </c>
      <c r="AD14" s="282" t="e">
        <f t="shared" si="1"/>
        <v>#DIV/0!</v>
      </c>
      <c r="AE14" s="282" t="e">
        <f t="shared" si="1"/>
        <v>#DIV/0!</v>
      </c>
      <c r="AF14" s="282" t="e">
        <f t="shared" si="1"/>
        <v>#DIV/0!</v>
      </c>
      <c r="AG14" s="282" t="e">
        <f t="shared" si="1"/>
        <v>#DIV/0!</v>
      </c>
      <c r="AH14" s="282" t="e">
        <f t="shared" si="1"/>
        <v>#DIV/0!</v>
      </c>
      <c r="AI14" s="282"/>
      <c r="AJ14" s="282"/>
      <c r="AK14" s="31"/>
      <c r="AL14" s="150" t="e">
        <f>((AL13-AL12)/AL12)*100</f>
        <v>#DIV/0!</v>
      </c>
    </row>
    <row r="15" spans="2:38" ht="15" hidden="1" customHeight="1" x14ac:dyDescent="0.25">
      <c r="B15" s="159"/>
      <c r="C15" s="160" t="s">
        <v>147</v>
      </c>
      <c r="D15" s="161"/>
      <c r="E15" s="162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31"/>
      <c r="AL15" s="151" t="s">
        <v>146</v>
      </c>
    </row>
    <row r="16" spans="2:38" ht="15" hidden="1" customHeight="1" x14ac:dyDescent="0.25">
      <c r="B16" s="159"/>
      <c r="C16" s="164" t="s">
        <v>145</v>
      </c>
      <c r="D16" s="165"/>
      <c r="E16" s="166" t="s">
        <v>16</v>
      </c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31"/>
      <c r="AL16" s="9">
        <f>SUM(F16:AJ16)</f>
        <v>0</v>
      </c>
    </row>
    <row r="17" spans="2:963" ht="15" hidden="1" customHeight="1" x14ac:dyDescent="0.25">
      <c r="B17" s="159"/>
      <c r="C17" s="164" t="s">
        <v>144</v>
      </c>
      <c r="D17" s="165"/>
      <c r="E17" s="166" t="s">
        <v>16</v>
      </c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31"/>
      <c r="AL17" s="9">
        <f>SUM(F17:AJ17)</f>
        <v>0</v>
      </c>
    </row>
    <row r="18" spans="2:963" ht="15" hidden="1" customHeight="1" x14ac:dyDescent="0.25">
      <c r="B18" s="159"/>
      <c r="C18" s="168" t="s">
        <v>143</v>
      </c>
      <c r="D18" s="169"/>
      <c r="E18" s="170" t="s">
        <v>29</v>
      </c>
      <c r="F18" s="282" t="e">
        <f t="shared" ref="F18:AH18" si="2">((F17-F16)/F16)*100</f>
        <v>#DIV/0!</v>
      </c>
      <c r="G18" s="282" t="e">
        <f t="shared" si="2"/>
        <v>#DIV/0!</v>
      </c>
      <c r="H18" s="282" t="e">
        <f t="shared" si="2"/>
        <v>#DIV/0!</v>
      </c>
      <c r="I18" s="282" t="e">
        <f t="shared" si="2"/>
        <v>#DIV/0!</v>
      </c>
      <c r="J18" s="282" t="e">
        <f t="shared" si="2"/>
        <v>#DIV/0!</v>
      </c>
      <c r="K18" s="282" t="e">
        <f t="shared" si="2"/>
        <v>#DIV/0!</v>
      </c>
      <c r="L18" s="282" t="e">
        <f t="shared" si="2"/>
        <v>#DIV/0!</v>
      </c>
      <c r="M18" s="282" t="e">
        <f t="shared" si="2"/>
        <v>#DIV/0!</v>
      </c>
      <c r="N18" s="282" t="e">
        <f t="shared" si="2"/>
        <v>#DIV/0!</v>
      </c>
      <c r="O18" s="282" t="e">
        <f t="shared" si="2"/>
        <v>#DIV/0!</v>
      </c>
      <c r="P18" s="282" t="e">
        <f t="shared" si="2"/>
        <v>#DIV/0!</v>
      </c>
      <c r="Q18" s="282" t="e">
        <f t="shared" si="2"/>
        <v>#DIV/0!</v>
      </c>
      <c r="R18" s="282" t="e">
        <f t="shared" si="2"/>
        <v>#DIV/0!</v>
      </c>
      <c r="S18" s="282" t="e">
        <f t="shared" si="2"/>
        <v>#DIV/0!</v>
      </c>
      <c r="T18" s="282" t="e">
        <f t="shared" si="2"/>
        <v>#DIV/0!</v>
      </c>
      <c r="U18" s="282" t="e">
        <f t="shared" si="2"/>
        <v>#DIV/0!</v>
      </c>
      <c r="V18" s="282" t="e">
        <f t="shared" si="2"/>
        <v>#DIV/0!</v>
      </c>
      <c r="W18" s="282" t="e">
        <f t="shared" si="2"/>
        <v>#DIV/0!</v>
      </c>
      <c r="X18" s="282" t="e">
        <f t="shared" si="2"/>
        <v>#DIV/0!</v>
      </c>
      <c r="Y18" s="282" t="e">
        <f t="shared" si="2"/>
        <v>#DIV/0!</v>
      </c>
      <c r="Z18" s="282" t="e">
        <f t="shared" si="2"/>
        <v>#DIV/0!</v>
      </c>
      <c r="AA18" s="282" t="e">
        <f t="shared" si="2"/>
        <v>#DIV/0!</v>
      </c>
      <c r="AB18" s="282" t="e">
        <f t="shared" si="2"/>
        <v>#DIV/0!</v>
      </c>
      <c r="AC18" s="282" t="e">
        <f t="shared" si="2"/>
        <v>#DIV/0!</v>
      </c>
      <c r="AD18" s="282" t="e">
        <f t="shared" si="2"/>
        <v>#DIV/0!</v>
      </c>
      <c r="AE18" s="282" t="e">
        <f t="shared" si="2"/>
        <v>#DIV/0!</v>
      </c>
      <c r="AF18" s="282" t="e">
        <f t="shared" si="2"/>
        <v>#DIV/0!</v>
      </c>
      <c r="AG18" s="282" t="e">
        <f t="shared" si="2"/>
        <v>#DIV/0!</v>
      </c>
      <c r="AH18" s="282" t="e">
        <f t="shared" si="2"/>
        <v>#DIV/0!</v>
      </c>
      <c r="AI18" s="282"/>
      <c r="AJ18" s="282"/>
      <c r="AK18" s="31"/>
      <c r="AL18" s="150" t="e">
        <f>((AL17-AL16)/AL16)*100</f>
        <v>#DIV/0!</v>
      </c>
    </row>
    <row r="19" spans="2:963" ht="15" hidden="1" customHeight="1" x14ac:dyDescent="0.25">
      <c r="B19" s="159"/>
      <c r="C19" s="171" t="s">
        <v>142</v>
      </c>
      <c r="D19" s="165"/>
      <c r="E19" s="166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31"/>
      <c r="AL19" s="149" t="s">
        <v>139</v>
      </c>
    </row>
    <row r="20" spans="2:963" ht="15" hidden="1" customHeight="1" x14ac:dyDescent="0.25">
      <c r="B20" s="159"/>
      <c r="C20" s="164" t="s">
        <v>138</v>
      </c>
      <c r="D20" s="165"/>
      <c r="E20" s="166" t="s">
        <v>16</v>
      </c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31"/>
      <c r="AL20" s="9">
        <f>SUM(F20:AJ20)</f>
        <v>0</v>
      </c>
      <c r="AM20" s="31"/>
    </row>
    <row r="21" spans="2:963" ht="15" hidden="1" customHeight="1" x14ac:dyDescent="0.25">
      <c r="B21" s="159"/>
      <c r="C21" s="164" t="s">
        <v>137</v>
      </c>
      <c r="D21" s="165"/>
      <c r="E21" s="166" t="s">
        <v>16</v>
      </c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31"/>
      <c r="AL21" s="9">
        <f>SUM(F21:AJ21)</f>
        <v>0</v>
      </c>
    </row>
    <row r="22" spans="2:963" ht="15" hidden="1" customHeight="1" x14ac:dyDescent="0.25">
      <c r="B22" s="159"/>
      <c r="C22" s="164" t="s">
        <v>136</v>
      </c>
      <c r="D22" s="165"/>
      <c r="E22" s="166" t="s">
        <v>29</v>
      </c>
      <c r="F22" s="283" t="e">
        <f t="shared" ref="F22:AH22" si="3">((F21-F20)/F20)*100</f>
        <v>#DIV/0!</v>
      </c>
      <c r="G22" s="283" t="e">
        <f t="shared" si="3"/>
        <v>#DIV/0!</v>
      </c>
      <c r="H22" s="283" t="e">
        <f t="shared" si="3"/>
        <v>#DIV/0!</v>
      </c>
      <c r="I22" s="283" t="e">
        <f t="shared" si="3"/>
        <v>#DIV/0!</v>
      </c>
      <c r="J22" s="283" t="e">
        <f t="shared" si="3"/>
        <v>#DIV/0!</v>
      </c>
      <c r="K22" s="283" t="e">
        <f t="shared" si="3"/>
        <v>#DIV/0!</v>
      </c>
      <c r="L22" s="283" t="e">
        <f t="shared" si="3"/>
        <v>#DIV/0!</v>
      </c>
      <c r="M22" s="283" t="e">
        <f t="shared" si="3"/>
        <v>#DIV/0!</v>
      </c>
      <c r="N22" s="283" t="e">
        <f t="shared" si="3"/>
        <v>#DIV/0!</v>
      </c>
      <c r="O22" s="283" t="e">
        <f t="shared" si="3"/>
        <v>#DIV/0!</v>
      </c>
      <c r="P22" s="283" t="e">
        <f t="shared" si="3"/>
        <v>#DIV/0!</v>
      </c>
      <c r="Q22" s="283" t="e">
        <f t="shared" si="3"/>
        <v>#DIV/0!</v>
      </c>
      <c r="R22" s="283" t="e">
        <f t="shared" si="3"/>
        <v>#DIV/0!</v>
      </c>
      <c r="S22" s="283" t="e">
        <f t="shared" si="3"/>
        <v>#DIV/0!</v>
      </c>
      <c r="T22" s="283" t="e">
        <f t="shared" si="3"/>
        <v>#DIV/0!</v>
      </c>
      <c r="U22" s="283" t="e">
        <f t="shared" si="3"/>
        <v>#DIV/0!</v>
      </c>
      <c r="V22" s="283" t="e">
        <f t="shared" si="3"/>
        <v>#DIV/0!</v>
      </c>
      <c r="W22" s="283" t="e">
        <f t="shared" si="3"/>
        <v>#DIV/0!</v>
      </c>
      <c r="X22" s="283" t="e">
        <f t="shared" si="3"/>
        <v>#DIV/0!</v>
      </c>
      <c r="Y22" s="283" t="e">
        <f t="shared" si="3"/>
        <v>#DIV/0!</v>
      </c>
      <c r="Z22" s="283" t="e">
        <f t="shared" si="3"/>
        <v>#DIV/0!</v>
      </c>
      <c r="AA22" s="283" t="e">
        <f t="shared" si="3"/>
        <v>#DIV/0!</v>
      </c>
      <c r="AB22" s="283" t="e">
        <f t="shared" si="3"/>
        <v>#DIV/0!</v>
      </c>
      <c r="AC22" s="283" t="e">
        <f t="shared" si="3"/>
        <v>#DIV/0!</v>
      </c>
      <c r="AD22" s="283" t="e">
        <f t="shared" si="3"/>
        <v>#DIV/0!</v>
      </c>
      <c r="AE22" s="283" t="e">
        <f t="shared" si="3"/>
        <v>#DIV/0!</v>
      </c>
      <c r="AF22" s="283" t="e">
        <f t="shared" si="3"/>
        <v>#DIV/0!</v>
      </c>
      <c r="AG22" s="283" t="e">
        <f t="shared" si="3"/>
        <v>#DIV/0!</v>
      </c>
      <c r="AH22" s="283" t="e">
        <f t="shared" si="3"/>
        <v>#DIV/0!</v>
      </c>
      <c r="AI22" s="283"/>
      <c r="AJ22" s="283"/>
      <c r="AK22" s="148"/>
      <c r="AL22" s="147" t="e">
        <f>((AL21-AL20)/AL20)*100</f>
        <v>#DIV/0!</v>
      </c>
      <c r="EI22" s="120" t="s">
        <v>141</v>
      </c>
    </row>
    <row r="23" spans="2:963" ht="15" hidden="1" customHeight="1" x14ac:dyDescent="0.25">
      <c r="B23" s="159"/>
      <c r="C23" s="160" t="s">
        <v>140</v>
      </c>
      <c r="D23" s="161"/>
      <c r="E23" s="162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31"/>
      <c r="AL23" s="149" t="s">
        <v>139</v>
      </c>
    </row>
    <row r="24" spans="2:963" ht="15" hidden="1" customHeight="1" x14ac:dyDescent="0.25">
      <c r="B24" s="159"/>
      <c r="C24" s="164" t="s">
        <v>138</v>
      </c>
      <c r="D24" s="165"/>
      <c r="E24" s="166" t="s">
        <v>16</v>
      </c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31"/>
      <c r="AL24" s="9">
        <f>SUM(F24:AJ24)</f>
        <v>0</v>
      </c>
    </row>
    <row r="25" spans="2:963" ht="15" hidden="1" customHeight="1" x14ac:dyDescent="0.25">
      <c r="B25" s="159"/>
      <c r="C25" s="164" t="s">
        <v>137</v>
      </c>
      <c r="D25" s="165"/>
      <c r="E25" s="166" t="s">
        <v>16</v>
      </c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31"/>
      <c r="AL25" s="9">
        <f>SUM(F25:AJ25)</f>
        <v>0</v>
      </c>
    </row>
    <row r="26" spans="2:963" ht="15" hidden="1" customHeight="1" x14ac:dyDescent="0.25">
      <c r="B26" s="159"/>
      <c r="C26" s="168" t="s">
        <v>136</v>
      </c>
      <c r="D26" s="169"/>
      <c r="E26" s="170" t="s">
        <v>29</v>
      </c>
      <c r="F26" s="282" t="e">
        <f t="shared" ref="F26:AH26" si="4">((F25-F24)/F24)*100</f>
        <v>#DIV/0!</v>
      </c>
      <c r="G26" s="282" t="e">
        <f t="shared" si="4"/>
        <v>#DIV/0!</v>
      </c>
      <c r="H26" s="282" t="e">
        <f t="shared" si="4"/>
        <v>#DIV/0!</v>
      </c>
      <c r="I26" s="282" t="e">
        <f t="shared" si="4"/>
        <v>#DIV/0!</v>
      </c>
      <c r="J26" s="282" t="e">
        <f t="shared" si="4"/>
        <v>#DIV/0!</v>
      </c>
      <c r="K26" s="282" t="e">
        <f t="shared" si="4"/>
        <v>#DIV/0!</v>
      </c>
      <c r="L26" s="282" t="e">
        <f t="shared" si="4"/>
        <v>#DIV/0!</v>
      </c>
      <c r="M26" s="282" t="e">
        <f t="shared" si="4"/>
        <v>#DIV/0!</v>
      </c>
      <c r="N26" s="282" t="e">
        <f t="shared" si="4"/>
        <v>#DIV/0!</v>
      </c>
      <c r="O26" s="282" t="e">
        <f t="shared" si="4"/>
        <v>#DIV/0!</v>
      </c>
      <c r="P26" s="282" t="e">
        <f t="shared" si="4"/>
        <v>#DIV/0!</v>
      </c>
      <c r="Q26" s="282" t="e">
        <f t="shared" si="4"/>
        <v>#DIV/0!</v>
      </c>
      <c r="R26" s="282" t="e">
        <f t="shared" si="4"/>
        <v>#DIV/0!</v>
      </c>
      <c r="S26" s="282" t="e">
        <f t="shared" si="4"/>
        <v>#DIV/0!</v>
      </c>
      <c r="T26" s="282" t="e">
        <f t="shared" si="4"/>
        <v>#DIV/0!</v>
      </c>
      <c r="U26" s="282" t="e">
        <f t="shared" si="4"/>
        <v>#DIV/0!</v>
      </c>
      <c r="V26" s="282" t="e">
        <f t="shared" si="4"/>
        <v>#DIV/0!</v>
      </c>
      <c r="W26" s="282" t="e">
        <f t="shared" si="4"/>
        <v>#DIV/0!</v>
      </c>
      <c r="X26" s="282" t="e">
        <f t="shared" si="4"/>
        <v>#DIV/0!</v>
      </c>
      <c r="Y26" s="282" t="e">
        <f t="shared" si="4"/>
        <v>#DIV/0!</v>
      </c>
      <c r="Z26" s="282" t="e">
        <f t="shared" si="4"/>
        <v>#DIV/0!</v>
      </c>
      <c r="AA26" s="282" t="e">
        <f t="shared" si="4"/>
        <v>#DIV/0!</v>
      </c>
      <c r="AB26" s="282" t="e">
        <f t="shared" si="4"/>
        <v>#DIV/0!</v>
      </c>
      <c r="AC26" s="282" t="e">
        <f t="shared" si="4"/>
        <v>#DIV/0!</v>
      </c>
      <c r="AD26" s="282" t="e">
        <f t="shared" si="4"/>
        <v>#DIV/0!</v>
      </c>
      <c r="AE26" s="282" t="e">
        <f t="shared" si="4"/>
        <v>#DIV/0!</v>
      </c>
      <c r="AF26" s="282" t="e">
        <f t="shared" si="4"/>
        <v>#DIV/0!</v>
      </c>
      <c r="AG26" s="282" t="e">
        <f t="shared" si="4"/>
        <v>#DIV/0!</v>
      </c>
      <c r="AH26" s="282" t="e">
        <f t="shared" si="4"/>
        <v>#DIV/0!</v>
      </c>
      <c r="AI26" s="282"/>
      <c r="AJ26" s="282"/>
      <c r="AK26" s="148"/>
      <c r="AL26" s="147" t="e">
        <f>((AL25-AL24)/AL24)*100</f>
        <v>#DIV/0!</v>
      </c>
      <c r="AZ26" s="72"/>
    </row>
    <row r="27" spans="2:963" ht="15" hidden="1" customHeight="1" x14ac:dyDescent="0.25">
      <c r="B27" s="159"/>
      <c r="C27" s="172" t="s">
        <v>135</v>
      </c>
      <c r="D27" s="173"/>
      <c r="E27" s="174" t="s">
        <v>16</v>
      </c>
      <c r="F27" s="175">
        <f>SUM(F9,F17,F21)+F13+F25</f>
        <v>0</v>
      </c>
      <c r="G27" s="175">
        <f t="shared" ref="G27:AH27" si="5">SUM(G9,G17,G21)+G13+G25</f>
        <v>0</v>
      </c>
      <c r="H27" s="176">
        <f t="shared" si="5"/>
        <v>0</v>
      </c>
      <c r="I27" s="176">
        <f t="shared" si="5"/>
        <v>0</v>
      </c>
      <c r="J27" s="176">
        <f t="shared" si="5"/>
        <v>0</v>
      </c>
      <c r="K27" s="176">
        <f t="shared" si="5"/>
        <v>0</v>
      </c>
      <c r="L27" s="176">
        <f t="shared" si="5"/>
        <v>0</v>
      </c>
      <c r="M27" s="175">
        <f t="shared" si="5"/>
        <v>0</v>
      </c>
      <c r="N27" s="176">
        <f t="shared" si="5"/>
        <v>0</v>
      </c>
      <c r="O27" s="176">
        <f t="shared" si="5"/>
        <v>0</v>
      </c>
      <c r="P27" s="176">
        <f t="shared" si="5"/>
        <v>0</v>
      </c>
      <c r="Q27" s="176">
        <f t="shared" si="5"/>
        <v>0</v>
      </c>
      <c r="R27" s="176">
        <f t="shared" si="5"/>
        <v>0</v>
      </c>
      <c r="S27" s="176">
        <f t="shared" si="5"/>
        <v>0</v>
      </c>
      <c r="T27" s="176">
        <f t="shared" si="5"/>
        <v>0</v>
      </c>
      <c r="U27" s="176">
        <f t="shared" si="5"/>
        <v>0</v>
      </c>
      <c r="V27" s="176">
        <f t="shared" si="5"/>
        <v>0</v>
      </c>
      <c r="W27" s="176">
        <f t="shared" si="5"/>
        <v>0</v>
      </c>
      <c r="X27" s="175">
        <f t="shared" si="5"/>
        <v>0</v>
      </c>
      <c r="Y27" s="176">
        <f t="shared" si="5"/>
        <v>0</v>
      </c>
      <c r="Z27" s="175">
        <f t="shared" si="5"/>
        <v>0</v>
      </c>
      <c r="AA27" s="175">
        <f t="shared" si="5"/>
        <v>0</v>
      </c>
      <c r="AB27" s="176">
        <f t="shared" si="5"/>
        <v>0</v>
      </c>
      <c r="AC27" s="176">
        <f t="shared" si="5"/>
        <v>0</v>
      </c>
      <c r="AD27" s="176">
        <f t="shared" si="5"/>
        <v>0</v>
      </c>
      <c r="AE27" s="176">
        <f t="shared" si="5"/>
        <v>0</v>
      </c>
      <c r="AF27" s="176">
        <f t="shared" si="5"/>
        <v>0</v>
      </c>
      <c r="AG27" s="177">
        <f t="shared" si="5"/>
        <v>0</v>
      </c>
      <c r="AH27" s="176">
        <f t="shared" si="5"/>
        <v>0</v>
      </c>
      <c r="AI27" s="176"/>
      <c r="AJ27" s="176"/>
      <c r="AK27" s="31"/>
      <c r="AL27" s="146">
        <f>SUM(AL9,AL17,AL21)+AL13+AL25</f>
        <v>0</v>
      </c>
      <c r="AM27" s="31"/>
      <c r="AN27" s="8">
        <f>AL27/AL30/1000</f>
        <v>0</v>
      </c>
      <c r="EI27" s="119" t="s">
        <v>112</v>
      </c>
      <c r="EJ27" s="145"/>
      <c r="EK27" s="144" t="s">
        <v>134</v>
      </c>
      <c r="EL27" s="116"/>
      <c r="EM27" s="115"/>
    </row>
    <row r="28" spans="2:963" ht="15.75" thickBot="1" x14ac:dyDescent="0.3">
      <c r="B28" s="178">
        <v>2</v>
      </c>
      <c r="C28" s="160" t="s">
        <v>133</v>
      </c>
      <c r="D28" s="179"/>
      <c r="E28" s="179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1"/>
      <c r="AD28" s="180"/>
      <c r="AE28" s="180"/>
      <c r="AF28" s="180"/>
      <c r="AG28" s="180"/>
      <c r="AH28" s="180"/>
      <c r="AI28" s="180"/>
      <c r="AJ28" s="180"/>
      <c r="AK28" s="31"/>
      <c r="AL28" s="143" t="s">
        <v>131</v>
      </c>
      <c r="EI28" s="112"/>
      <c r="EJ28" s="142"/>
      <c r="EK28" s="110">
        <v>29</v>
      </c>
      <c r="EL28" s="109">
        <v>30</v>
      </c>
      <c r="EM28" s="108">
        <v>31</v>
      </c>
    </row>
    <row r="29" spans="2:963" x14ac:dyDescent="0.25">
      <c r="B29" s="136"/>
      <c r="C29" s="182" t="s">
        <v>18</v>
      </c>
      <c r="D29" s="161"/>
      <c r="E29" s="162"/>
      <c r="F29" s="183"/>
      <c r="G29" s="284"/>
      <c r="H29" s="183"/>
      <c r="I29" s="183"/>
      <c r="J29" s="184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185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31"/>
      <c r="AL29" s="141" t="s">
        <v>18</v>
      </c>
      <c r="EI29" s="98" t="s">
        <v>107</v>
      </c>
      <c r="EJ29" s="30" t="s">
        <v>16</v>
      </c>
      <c r="EK29" s="97">
        <v>1971319.99999999</v>
      </c>
      <c r="EL29" s="96">
        <v>2015120.00000001</v>
      </c>
      <c r="EM29" s="95">
        <v>2015230</v>
      </c>
      <c r="AJY29" s="22" t="s">
        <v>132</v>
      </c>
      <c r="AJZ29" s="22" t="s">
        <v>131</v>
      </c>
      <c r="AKA29" s="22" t="s">
        <v>97</v>
      </c>
    </row>
    <row r="30" spans="2:963" x14ac:dyDescent="0.25">
      <c r="B30" s="136"/>
      <c r="C30" s="164" t="s">
        <v>130</v>
      </c>
      <c r="D30" s="165"/>
      <c r="E30" s="166" t="s">
        <v>129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>
        <v>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11">
        <v>1</v>
      </c>
      <c r="AK30" s="31"/>
      <c r="AL30" s="26">
        <f>SUM(F30:AJ30)</f>
        <v>31</v>
      </c>
      <c r="AM30" s="8"/>
      <c r="AN30" s="140">
        <f>(AL31/AL30)/1000</f>
        <v>1763.0484516129034</v>
      </c>
      <c r="EI30" s="98"/>
      <c r="EK30" s="97"/>
      <c r="EL30" s="96"/>
      <c r="EM30" s="95"/>
      <c r="GR30" s="31"/>
      <c r="PV30" s="5" t="s">
        <v>128</v>
      </c>
      <c r="AFI30" s="30" t="s">
        <v>127</v>
      </c>
      <c r="AFJ30" s="30" t="s">
        <v>126</v>
      </c>
      <c r="AJX30" s="86" t="s">
        <v>125</v>
      </c>
      <c r="AJY30" s="5">
        <v>11008948</v>
      </c>
      <c r="AJZ30" s="5">
        <f>AL31</f>
        <v>54654502</v>
      </c>
      <c r="AKA30" s="4">
        <f>AJY30-AJZ30</f>
        <v>-43645554</v>
      </c>
    </row>
    <row r="31" spans="2:963" x14ac:dyDescent="0.25">
      <c r="B31" s="136"/>
      <c r="C31" s="186" t="s">
        <v>92</v>
      </c>
      <c r="D31" s="187"/>
      <c r="E31" s="188" t="s">
        <v>16</v>
      </c>
      <c r="F31" s="189">
        <v>1320939</v>
      </c>
      <c r="G31" s="189">
        <v>1669197</v>
      </c>
      <c r="H31" s="189">
        <v>1984724</v>
      </c>
      <c r="I31" s="189">
        <v>1514616</v>
      </c>
      <c r="J31" s="189">
        <v>1529568</v>
      </c>
      <c r="K31" s="189">
        <v>1644142</v>
      </c>
      <c r="L31" s="189">
        <v>1679924</v>
      </c>
      <c r="M31" s="189">
        <v>1728138</v>
      </c>
      <c r="N31" s="189">
        <v>1701138</v>
      </c>
      <c r="O31" s="189">
        <v>1749087</v>
      </c>
      <c r="P31" s="189">
        <v>1671116</v>
      </c>
      <c r="Q31" s="189">
        <v>1530402</v>
      </c>
      <c r="R31" s="189">
        <v>1491867</v>
      </c>
      <c r="S31" s="189">
        <v>1483753</v>
      </c>
      <c r="T31" s="189">
        <v>1555232</v>
      </c>
      <c r="U31" s="189">
        <v>1421532</v>
      </c>
      <c r="V31" s="189">
        <v>1811946</v>
      </c>
      <c r="W31" s="189">
        <v>1853454</v>
      </c>
      <c r="X31" s="189">
        <v>1720851</v>
      </c>
      <c r="Y31" s="189">
        <v>1932336</v>
      </c>
      <c r="Z31" s="189">
        <v>2185980</v>
      </c>
      <c r="AA31" s="189">
        <v>2213834</v>
      </c>
      <c r="AB31" s="189">
        <v>2042578</v>
      </c>
      <c r="AC31" s="189">
        <v>2208425</v>
      </c>
      <c r="AD31" s="189">
        <v>2089879</v>
      </c>
      <c r="AE31" s="189">
        <v>1819869</v>
      </c>
      <c r="AF31" s="189">
        <v>1829458</v>
      </c>
      <c r="AG31" s="189">
        <v>1853121</v>
      </c>
      <c r="AH31" s="189">
        <v>1798986</v>
      </c>
      <c r="AI31" s="189">
        <v>1783845</v>
      </c>
      <c r="AJ31" s="189">
        <v>1834565</v>
      </c>
      <c r="AK31" s="348"/>
      <c r="AL31" s="26">
        <f>SUM(F31:AJ31)</f>
        <v>54654502</v>
      </c>
      <c r="AM31" s="41"/>
      <c r="AN31" s="41">
        <f>AL31/1000</f>
        <v>54654.502</v>
      </c>
      <c r="AO31" s="72">
        <v>55689</v>
      </c>
      <c r="AP31" s="3">
        <f>AN31/AO31*100</f>
        <v>98.142365637738152</v>
      </c>
      <c r="BX31" s="40"/>
      <c r="BY31" s="40"/>
      <c r="DB31" s="40"/>
      <c r="EI31" s="103" t="s">
        <v>104</v>
      </c>
      <c r="EJ31" s="102" t="s">
        <v>22</v>
      </c>
      <c r="EK31" s="101">
        <v>251.19641540408301</v>
      </c>
      <c r="EL31" s="139">
        <v>257.91391043490898</v>
      </c>
      <c r="EM31" s="99">
        <v>251.51265323328099</v>
      </c>
      <c r="EN31" s="40"/>
      <c r="GQ31" s="5"/>
      <c r="GR31" s="31"/>
      <c r="KL31" s="40"/>
      <c r="KM31" s="40"/>
      <c r="KN31" s="5"/>
      <c r="KO31" s="40"/>
      <c r="PS31" s="40">
        <v>26946.1077844311</v>
      </c>
      <c r="PT31" s="40">
        <v>17383.2335329341</v>
      </c>
      <c r="PV31" s="40" t="s">
        <v>124</v>
      </c>
      <c r="QJ31" s="39"/>
      <c r="QN31" s="40"/>
      <c r="SQ31" s="39"/>
      <c r="AFI31" s="5">
        <f>35.8500000000058*1000</f>
        <v>35850.000000005799</v>
      </c>
      <c r="AHZ31" s="5"/>
      <c r="AJO31" s="5"/>
      <c r="AJP31" s="5"/>
      <c r="AJQ31" s="5"/>
      <c r="AJX31" s="86" t="s">
        <v>83</v>
      </c>
      <c r="AJY31" s="5">
        <v>566885</v>
      </c>
      <c r="AJZ31" s="5">
        <f>AL38</f>
        <v>2355200</v>
      </c>
      <c r="AKA31" s="4">
        <f>AJY31-AJZ31</f>
        <v>-1788315</v>
      </c>
    </row>
    <row r="32" spans="2:963" ht="15" customHeight="1" x14ac:dyDescent="0.25">
      <c r="B32" s="136"/>
      <c r="C32" s="186" t="s">
        <v>123</v>
      </c>
      <c r="D32" s="187"/>
      <c r="E32" s="188" t="s">
        <v>16</v>
      </c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0"/>
      <c r="AL32" s="9">
        <f>SUM(F32:AJ32)</f>
        <v>0</v>
      </c>
      <c r="AM32" s="41"/>
      <c r="AN32" s="41"/>
      <c r="BX32" s="40"/>
      <c r="BY32" s="40"/>
      <c r="DB32" s="40"/>
      <c r="EI32" s="98"/>
      <c r="EJ32" s="30"/>
      <c r="EK32" s="138"/>
      <c r="EL32" s="104"/>
      <c r="EM32" s="137"/>
      <c r="EN32" s="40"/>
      <c r="GQ32" s="40"/>
      <c r="KL32" s="40"/>
      <c r="KM32" s="40"/>
      <c r="KN32" s="40"/>
      <c r="KO32" s="40"/>
      <c r="PS32" s="40"/>
      <c r="PT32" s="40"/>
      <c r="PV32" s="40"/>
      <c r="QJ32" s="39"/>
      <c r="QN32" s="40"/>
      <c r="SQ32" s="39"/>
      <c r="AHZ32" s="5"/>
      <c r="AJO32" s="5"/>
      <c r="AJP32" s="5"/>
      <c r="AJQ32" s="5"/>
      <c r="AJX32" s="86"/>
      <c r="AJY32" s="5"/>
      <c r="AJZ32" s="5"/>
    </row>
    <row r="33" spans="1:14969" x14ac:dyDescent="0.25">
      <c r="B33" s="136"/>
      <c r="C33" s="135" t="s">
        <v>122</v>
      </c>
      <c r="D33" s="285">
        <v>5</v>
      </c>
      <c r="E33" s="134" t="s">
        <v>29</v>
      </c>
      <c r="F33" s="125">
        <v>4.0599999999999996</v>
      </c>
      <c r="G33" s="125">
        <v>4.13</v>
      </c>
      <c r="H33" s="125">
        <v>4.1399999999999997</v>
      </c>
      <c r="I33" s="125">
        <v>4.1399999999999997</v>
      </c>
      <c r="J33" s="125">
        <v>4.24</v>
      </c>
      <c r="K33" s="125">
        <v>4.25</v>
      </c>
      <c r="L33" s="125">
        <v>4.0599999999999996</v>
      </c>
      <c r="M33" s="125">
        <v>4.45</v>
      </c>
      <c r="N33" s="125">
        <v>4.47</v>
      </c>
      <c r="O33" s="125">
        <v>4.6900000000000004</v>
      </c>
      <c r="P33" s="125">
        <v>4.5</v>
      </c>
      <c r="Q33" s="125">
        <v>4.46</v>
      </c>
      <c r="R33" s="125">
        <v>4.38</v>
      </c>
      <c r="S33" s="125">
        <v>4.38</v>
      </c>
      <c r="T33" s="125">
        <v>4.3600000000000003</v>
      </c>
      <c r="U33" s="125">
        <v>4.6900000000000004</v>
      </c>
      <c r="V33" s="125">
        <v>4.43</v>
      </c>
      <c r="W33" s="125">
        <v>4.3899999999999997</v>
      </c>
      <c r="X33" s="125">
        <v>4.38</v>
      </c>
      <c r="Y33" s="125">
        <v>4.38</v>
      </c>
      <c r="Z33" s="125">
        <v>4.3</v>
      </c>
      <c r="AA33" s="125">
        <v>4.42</v>
      </c>
      <c r="AB33" s="125">
        <v>4.63</v>
      </c>
      <c r="AC33" s="125">
        <v>4.2699999999999996</v>
      </c>
      <c r="AD33" s="125">
        <v>4.45</v>
      </c>
      <c r="AE33" s="125">
        <v>4.3</v>
      </c>
      <c r="AF33" s="125">
        <v>4.07</v>
      </c>
      <c r="AG33" s="125">
        <v>4.1100000000000003</v>
      </c>
      <c r="AH33" s="125">
        <v>4.3899999999999997</v>
      </c>
      <c r="AI33" s="125">
        <v>4.3499999999999996</v>
      </c>
      <c r="AJ33" s="125">
        <v>4.3600000000000003</v>
      </c>
      <c r="AL33" s="44">
        <f>AVERAGE(F33:AJ33)</f>
        <v>4.3429032258064515</v>
      </c>
      <c r="AM33" s="124"/>
      <c r="AN33" s="133"/>
      <c r="BX33" s="124"/>
      <c r="BY33" s="124"/>
      <c r="DB33" s="124"/>
      <c r="EI33" s="98" t="s">
        <v>102</v>
      </c>
      <c r="EJ33" s="30" t="s">
        <v>16</v>
      </c>
      <c r="EK33" s="97">
        <v>182230</v>
      </c>
      <c r="EL33" s="96">
        <v>190070</v>
      </c>
      <c r="EM33" s="95">
        <v>197800.00000000099</v>
      </c>
      <c r="EN33" s="124"/>
      <c r="GQ33" s="124"/>
      <c r="GR33" s="124"/>
      <c r="KL33" s="124"/>
      <c r="KM33" s="124"/>
      <c r="KN33" s="132"/>
      <c r="KO33" s="124"/>
      <c r="PS33" s="124">
        <f>AL31/1000</f>
        <v>54654.502</v>
      </c>
      <c r="PT33" s="124">
        <f>(AL40+AL50+AL45)/1000</f>
        <v>52302.817999999999</v>
      </c>
      <c r="PV33" s="124">
        <f>SUM(PV34:PV35)</f>
        <v>1124.7750000000001</v>
      </c>
      <c r="QJ33" s="131"/>
      <c r="QN33" s="124"/>
      <c r="SQ33" s="131"/>
      <c r="AHZ33" s="124">
        <v>2000</v>
      </c>
      <c r="AJO33" s="124"/>
      <c r="AJP33" s="124"/>
      <c r="AJQ33" s="124"/>
      <c r="AJX33" s="130"/>
      <c r="AJY33" s="124"/>
      <c r="AJZ33" s="124"/>
    </row>
    <row r="34" spans="1:14969" ht="15.75" thickBot="1" x14ac:dyDescent="0.3">
      <c r="B34" s="136"/>
      <c r="C34" s="135" t="s">
        <v>121</v>
      </c>
      <c r="D34" s="285">
        <v>0.5</v>
      </c>
      <c r="E34" s="134" t="s">
        <v>29</v>
      </c>
      <c r="F34" s="125">
        <v>0.39</v>
      </c>
      <c r="G34" s="125">
        <v>0.38</v>
      </c>
      <c r="H34" s="125">
        <v>0.39</v>
      </c>
      <c r="I34" s="125">
        <v>0.39</v>
      </c>
      <c r="J34" s="125">
        <v>0.38</v>
      </c>
      <c r="K34" s="125">
        <v>0.4</v>
      </c>
      <c r="L34" s="125">
        <v>0.39</v>
      </c>
      <c r="M34" s="125">
        <v>0.42</v>
      </c>
      <c r="N34" s="125">
        <v>0.38</v>
      </c>
      <c r="O34" s="125">
        <v>0.43</v>
      </c>
      <c r="P34" s="125">
        <v>0.42</v>
      </c>
      <c r="Q34" s="125">
        <v>0.4</v>
      </c>
      <c r="R34" s="125">
        <v>0.4</v>
      </c>
      <c r="S34" s="125">
        <v>0.39</v>
      </c>
      <c r="T34" s="125">
        <v>0.4</v>
      </c>
      <c r="U34" s="125">
        <v>0.42</v>
      </c>
      <c r="V34" s="125">
        <v>0.39</v>
      </c>
      <c r="W34" s="125">
        <v>0.39</v>
      </c>
      <c r="X34" s="125">
        <v>0.39</v>
      </c>
      <c r="Y34" s="125">
        <v>0.39</v>
      </c>
      <c r="Z34" s="125">
        <v>0.38</v>
      </c>
      <c r="AA34" s="125">
        <v>0.4</v>
      </c>
      <c r="AB34" s="125">
        <v>0.4</v>
      </c>
      <c r="AC34" s="125">
        <v>0.39</v>
      </c>
      <c r="AD34" s="125">
        <v>0.4</v>
      </c>
      <c r="AE34" s="125">
        <v>0.4</v>
      </c>
      <c r="AF34" s="125">
        <v>0.39</v>
      </c>
      <c r="AG34" s="125">
        <v>0.4</v>
      </c>
      <c r="AH34" s="125">
        <v>0.39</v>
      </c>
      <c r="AI34" s="125">
        <v>0.38</v>
      </c>
      <c r="AJ34" s="125">
        <v>0.39</v>
      </c>
      <c r="AK34" s="10"/>
      <c r="AL34" s="44">
        <f>AVERAGE(F34:AJ34)</f>
        <v>0.39548387096774212</v>
      </c>
      <c r="AN34" s="41"/>
      <c r="BX34" s="40"/>
      <c r="BY34" s="40"/>
      <c r="DB34" s="40"/>
      <c r="EI34" s="94"/>
      <c r="EJ34" s="93" t="s">
        <v>96</v>
      </c>
      <c r="EK34" s="129">
        <f>EK33/(EK29/1000)</f>
        <v>92.440598177871138</v>
      </c>
      <c r="EL34" s="128">
        <f>EL33/(EL29/1000)</f>
        <v>94.321926237642941</v>
      </c>
      <c r="EM34" s="127">
        <f>EM33/(EM29/1000)</f>
        <v>98.152568193209206</v>
      </c>
      <c r="EN34" s="40"/>
      <c r="GQ34" s="40"/>
      <c r="KL34" s="40"/>
      <c r="KM34" s="124"/>
      <c r="KN34" s="40"/>
      <c r="KO34" s="40"/>
      <c r="PS34" s="88"/>
      <c r="PT34" s="88"/>
      <c r="PV34" s="88">
        <f>R41/1000</f>
        <v>924.77499999999998</v>
      </c>
      <c r="PW34" s="39">
        <f>PV34/PV33*100</f>
        <v>82.2186659554133</v>
      </c>
      <c r="QJ34" s="39"/>
      <c r="QN34" s="40"/>
      <c r="SQ34" s="39"/>
      <c r="AHY34" s="126">
        <v>0.94199999999999995</v>
      </c>
      <c r="AHZ34" s="5">
        <f>AHY34*AHZ33</f>
        <v>1884</v>
      </c>
      <c r="AIA34" s="1" t="s">
        <v>18</v>
      </c>
      <c r="AJO34" s="5"/>
      <c r="AJP34" s="5"/>
      <c r="AJQ34" s="5"/>
      <c r="AJX34" s="86" t="s">
        <v>82</v>
      </c>
      <c r="AJY34" s="5">
        <v>9594130</v>
      </c>
      <c r="AJZ34" s="5">
        <f>AL41</f>
        <v>41511649</v>
      </c>
      <c r="AKA34" s="4">
        <f t="shared" ref="AKA34:AKA35" si="6">AJY34-AJZ34</f>
        <v>-31917519</v>
      </c>
    </row>
    <row r="35" spans="1:14969" x14ac:dyDescent="0.25">
      <c r="B35" s="136"/>
      <c r="C35" s="135" t="s">
        <v>120</v>
      </c>
      <c r="D35" s="286" t="s">
        <v>119</v>
      </c>
      <c r="E35" s="134" t="s">
        <v>29</v>
      </c>
      <c r="F35" s="125">
        <v>2.2200000000000002</v>
      </c>
      <c r="G35" s="125">
        <v>2.21</v>
      </c>
      <c r="H35" s="125">
        <v>2.23</v>
      </c>
      <c r="I35" s="125">
        <v>2.2200000000000002</v>
      </c>
      <c r="J35" s="125">
        <v>2.21</v>
      </c>
      <c r="K35" s="125">
        <v>2.2200000000000002</v>
      </c>
      <c r="L35" s="125">
        <v>2.2200000000000002</v>
      </c>
      <c r="M35" s="125">
        <v>2.21</v>
      </c>
      <c r="N35" s="125">
        <v>2.21</v>
      </c>
      <c r="O35" s="125">
        <v>2.21</v>
      </c>
      <c r="P35" s="125">
        <v>2.2200000000000002</v>
      </c>
      <c r="Q35" s="125">
        <v>2.21</v>
      </c>
      <c r="R35" s="125">
        <v>2.21</v>
      </c>
      <c r="S35" s="125">
        <v>2.2200000000000002</v>
      </c>
      <c r="T35" s="125">
        <v>2.21</v>
      </c>
      <c r="U35" s="125">
        <v>2.2200000000000002</v>
      </c>
      <c r="V35" s="125">
        <v>2.21</v>
      </c>
      <c r="W35" s="125">
        <v>2.2200000000000002</v>
      </c>
      <c r="X35" s="125">
        <v>2.2200000000000002</v>
      </c>
      <c r="Y35" s="125">
        <v>2.2200000000000002</v>
      </c>
      <c r="Z35" s="125">
        <v>2.2200000000000002</v>
      </c>
      <c r="AA35" s="125">
        <v>2.21</v>
      </c>
      <c r="AB35" s="125">
        <v>2.21</v>
      </c>
      <c r="AC35" s="125">
        <v>2.21</v>
      </c>
      <c r="AD35" s="125">
        <v>2.2200000000000002</v>
      </c>
      <c r="AE35" s="125">
        <v>2.21</v>
      </c>
      <c r="AF35" s="125">
        <v>2.2200000000000002</v>
      </c>
      <c r="AG35" s="125">
        <v>2.21</v>
      </c>
      <c r="AH35" s="125">
        <v>2.2200000000000002</v>
      </c>
      <c r="AI35" s="125">
        <v>2.21</v>
      </c>
      <c r="AJ35" s="125">
        <v>2.2200000000000002</v>
      </c>
      <c r="AK35" s="10"/>
      <c r="AL35" s="44">
        <f>AVERAGE(F35:AJ35)</f>
        <v>2.2154838709677418</v>
      </c>
      <c r="AM35" s="124"/>
      <c r="AN35" s="41"/>
      <c r="BX35" s="40"/>
      <c r="BY35" s="40"/>
      <c r="DB35" s="40"/>
      <c r="EN35" s="40"/>
      <c r="GQ35" s="40"/>
      <c r="KL35" s="40"/>
      <c r="KM35" s="40"/>
      <c r="KN35" s="40"/>
      <c r="KO35" s="40"/>
      <c r="PS35" s="40">
        <f>SUM(PS33:PS34)</f>
        <v>54654.502</v>
      </c>
      <c r="PT35" s="40">
        <f>SUM(PT33:PT34)</f>
        <v>52302.817999999999</v>
      </c>
      <c r="PV35" s="88">
        <f>R42/1000</f>
        <v>200</v>
      </c>
      <c r="PW35" s="39">
        <f>PV35/PV33*100</f>
        <v>17.781334044586693</v>
      </c>
      <c r="QJ35" s="39"/>
      <c r="QN35" s="40"/>
      <c r="SQ35" s="39"/>
      <c r="AHY35" s="105">
        <v>0.05</v>
      </c>
      <c r="AHZ35" s="5">
        <f>AHY35*AHZ33</f>
        <v>100</v>
      </c>
      <c r="AJO35" s="5"/>
      <c r="AJP35" s="5"/>
      <c r="AJQ35" s="5"/>
      <c r="AJX35" s="86" t="s">
        <v>80</v>
      </c>
      <c r="AJY35" s="5">
        <v>2161151</v>
      </c>
      <c r="AJZ35" s="5">
        <f>AL42</f>
        <v>9111101</v>
      </c>
      <c r="AKA35" s="4">
        <f t="shared" si="6"/>
        <v>-6949950</v>
      </c>
    </row>
    <row r="36" spans="1:14969" x14ac:dyDescent="0.25">
      <c r="B36" s="136"/>
      <c r="C36" s="190" t="s">
        <v>118</v>
      </c>
      <c r="D36" s="191"/>
      <c r="E36" s="19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7"/>
      <c r="AL36" s="45" t="s">
        <v>118</v>
      </c>
      <c r="AM36" s="41"/>
      <c r="AN36" s="41"/>
      <c r="BX36" s="40"/>
      <c r="BY36" s="40"/>
      <c r="CJ36" s="66"/>
      <c r="DB36" s="40"/>
      <c r="EJ36" s="30"/>
      <c r="EK36" s="40"/>
      <c r="EL36" s="40"/>
      <c r="EM36" s="40"/>
      <c r="EN36" s="40"/>
      <c r="GQ36" s="40"/>
      <c r="KL36" s="40"/>
      <c r="KM36" s="40"/>
      <c r="KN36" s="40"/>
      <c r="KO36" s="40"/>
      <c r="PS36" s="39">
        <f>PS35/PS31*100</f>
        <v>202.82892964444471</v>
      </c>
      <c r="PT36" s="39">
        <f>PT35/PT31*100</f>
        <v>300.880833827076</v>
      </c>
      <c r="PV36" s="40"/>
      <c r="QJ36" s="39"/>
      <c r="QN36" s="40"/>
      <c r="SQ36" s="39"/>
      <c r="AFK36" s="121" t="s">
        <v>117</v>
      </c>
      <c r="AFL36" s="121"/>
      <c r="AFM36" s="121"/>
      <c r="AFN36" s="121"/>
      <c r="AFO36" s="121"/>
      <c r="AFP36" s="121"/>
      <c r="AFQ36" s="121"/>
      <c r="AFR36" s="121"/>
      <c r="AFS36" s="121"/>
      <c r="AFT36" s="121"/>
      <c r="AFU36" s="30" t="s">
        <v>116</v>
      </c>
      <c r="AFV36" s="121" t="s">
        <v>115</v>
      </c>
      <c r="AHZ36" s="5"/>
      <c r="AJO36" s="5"/>
      <c r="AJP36" s="5"/>
      <c r="AJQ36" s="5"/>
      <c r="AJY36" s="5"/>
      <c r="AJZ36" s="5"/>
    </row>
    <row r="37" spans="1:14969" ht="15.75" thickBot="1" x14ac:dyDescent="0.3">
      <c r="B37" s="134"/>
      <c r="C37" s="193" t="s">
        <v>114</v>
      </c>
      <c r="D37" s="187">
        <f>D55%*D31</f>
        <v>0</v>
      </c>
      <c r="E37" s="194" t="s">
        <v>16</v>
      </c>
      <c r="F37" s="189">
        <v>1256687</v>
      </c>
      <c r="G37" s="189">
        <v>1594955</v>
      </c>
      <c r="H37" s="189">
        <v>1892397</v>
      </c>
      <c r="I37" s="189">
        <v>1441432</v>
      </c>
      <c r="J37" s="189">
        <v>1440064</v>
      </c>
      <c r="K37" s="189">
        <v>1559273</v>
      </c>
      <c r="L37" s="189">
        <v>1605940</v>
      </c>
      <c r="M37" s="189">
        <v>1639101</v>
      </c>
      <c r="N37" s="189">
        <v>1618317</v>
      </c>
      <c r="O37" s="189">
        <v>1654335</v>
      </c>
      <c r="P37" s="189">
        <v>1584694</v>
      </c>
      <c r="Q37" s="189">
        <v>1453450</v>
      </c>
      <c r="R37" s="189">
        <v>1413962</v>
      </c>
      <c r="S37" s="189">
        <v>1407939</v>
      </c>
      <c r="T37" s="189">
        <v>1474709</v>
      </c>
      <c r="U37" s="189">
        <v>1340076</v>
      </c>
      <c r="V37" s="189">
        <v>1720206</v>
      </c>
      <c r="W37" s="189">
        <v>1757109</v>
      </c>
      <c r="X37" s="189">
        <v>1630333</v>
      </c>
      <c r="Y37" s="189">
        <v>1836988</v>
      </c>
      <c r="Z37" s="189">
        <v>2083589</v>
      </c>
      <c r="AA37" s="189">
        <v>2094790</v>
      </c>
      <c r="AB37" s="189">
        <v>1926809</v>
      </c>
      <c r="AC37" s="189">
        <v>2100700</v>
      </c>
      <c r="AD37" s="189">
        <v>1988962</v>
      </c>
      <c r="AE37" s="189">
        <v>1728056</v>
      </c>
      <c r="AF37" s="189">
        <v>1732228</v>
      </c>
      <c r="AG37" s="189">
        <v>1759841</v>
      </c>
      <c r="AH37" s="189">
        <v>1713150</v>
      </c>
      <c r="AI37" s="189">
        <v>1700672</v>
      </c>
      <c r="AJ37" s="189">
        <v>1754201</v>
      </c>
      <c r="AK37" s="10"/>
      <c r="AL37" s="26">
        <f>SUM(F37:AJ37)</f>
        <v>51904965</v>
      </c>
      <c r="AM37" s="8"/>
      <c r="AN37" s="27"/>
      <c r="AO37" s="3"/>
      <c r="BX37" s="5"/>
      <c r="BY37" s="5"/>
      <c r="BZ37" s="31">
        <f>AN37/1000</f>
        <v>0</v>
      </c>
      <c r="CJ37" s="66"/>
      <c r="DB37" s="5"/>
      <c r="EI37" s="120" t="s">
        <v>113</v>
      </c>
      <c r="EJ37" s="30"/>
      <c r="EK37" s="5"/>
      <c r="EL37" s="5"/>
      <c r="EM37" s="5"/>
      <c r="EN37" s="5"/>
      <c r="GQ37" s="5"/>
      <c r="KL37" s="5"/>
      <c r="KM37" s="5"/>
      <c r="KN37" s="5"/>
      <c r="KO37" s="5"/>
      <c r="PS37" s="5"/>
      <c r="PT37" s="5"/>
      <c r="PV37" s="5"/>
      <c r="QJ37" s="27"/>
      <c r="QN37" s="5"/>
      <c r="SQ37" s="27"/>
      <c r="AFI37" s="5">
        <v>136359.999999986</v>
      </c>
      <c r="AFJ37" s="5">
        <v>109339.999999997</v>
      </c>
      <c r="AFK37" s="113">
        <f>SUM(AFI37:AFJ37)</f>
        <v>245699.999999983</v>
      </c>
      <c r="AFU37" s="5">
        <v>34157.880000005498</v>
      </c>
      <c r="AFV37" s="113">
        <f>AFK37-AFU37</f>
        <v>211542.1199999775</v>
      </c>
      <c r="AHZ37" s="5">
        <f>AHZ34</f>
        <v>1884</v>
      </c>
      <c r="AJO37" s="5"/>
      <c r="AJP37" s="5"/>
      <c r="AJQ37" s="5"/>
      <c r="AJY37" s="5"/>
      <c r="AJZ37" s="5"/>
    </row>
    <row r="38" spans="1:14969" x14ac:dyDescent="0.25">
      <c r="B38" s="134"/>
      <c r="C38" s="193" t="s">
        <v>83</v>
      </c>
      <c r="D38" s="187">
        <f>D56%*D31</f>
        <v>0</v>
      </c>
      <c r="E38" s="194" t="s">
        <v>16</v>
      </c>
      <c r="F38" s="189">
        <v>54235</v>
      </c>
      <c r="G38" s="189">
        <v>62602</v>
      </c>
      <c r="H38" s="189">
        <v>78381</v>
      </c>
      <c r="I38" s="189">
        <v>62557</v>
      </c>
      <c r="J38" s="189">
        <v>77234</v>
      </c>
      <c r="K38" s="189">
        <v>74147</v>
      </c>
      <c r="L38" s="189">
        <v>62485</v>
      </c>
      <c r="M38" s="189">
        <v>75323</v>
      </c>
      <c r="N38" s="189">
        <v>71378</v>
      </c>
      <c r="O38" s="189">
        <v>82481</v>
      </c>
      <c r="P38" s="189">
        <v>73443</v>
      </c>
      <c r="Q38" s="189">
        <v>66386</v>
      </c>
      <c r="R38" s="189">
        <v>67360</v>
      </c>
      <c r="S38" s="189">
        <v>65285</v>
      </c>
      <c r="T38" s="189">
        <v>69384</v>
      </c>
      <c r="U38" s="189">
        <v>70252</v>
      </c>
      <c r="V38" s="189">
        <v>79139</v>
      </c>
      <c r="W38" s="189">
        <v>81868</v>
      </c>
      <c r="X38" s="189">
        <v>79285</v>
      </c>
      <c r="Y38" s="189">
        <v>82148</v>
      </c>
      <c r="Z38" s="189">
        <v>87479</v>
      </c>
      <c r="AA38" s="189">
        <v>102437</v>
      </c>
      <c r="AB38" s="189">
        <v>100016</v>
      </c>
      <c r="AC38" s="189">
        <v>92426</v>
      </c>
      <c r="AD38" s="189">
        <v>86709</v>
      </c>
      <c r="AE38" s="189">
        <v>78347</v>
      </c>
      <c r="AF38" s="189">
        <v>84280</v>
      </c>
      <c r="AG38" s="189">
        <v>79089</v>
      </c>
      <c r="AH38" s="189">
        <v>72026</v>
      </c>
      <c r="AI38" s="189">
        <v>70042</v>
      </c>
      <c r="AJ38" s="189">
        <v>66976</v>
      </c>
      <c r="AK38" s="10"/>
      <c r="AL38" s="26">
        <f>SUM(F38:AJ38)</f>
        <v>2355200</v>
      </c>
      <c r="AM38" s="8" t="s">
        <v>85</v>
      </c>
      <c r="AN38" s="27"/>
      <c r="AO38" s="3"/>
      <c r="BX38" s="5"/>
      <c r="BY38" s="5"/>
      <c r="BZ38" s="31">
        <f>AN38/1000</f>
        <v>0</v>
      </c>
      <c r="DB38" s="5"/>
      <c r="EI38" s="119" t="s">
        <v>112</v>
      </c>
      <c r="EJ38" s="118"/>
      <c r="EK38" s="117" t="s">
        <v>111</v>
      </c>
      <c r="EL38" s="116" t="s">
        <v>110</v>
      </c>
      <c r="EM38" s="115"/>
      <c r="EN38" s="5"/>
      <c r="GQ38" s="5"/>
      <c r="KL38" s="5"/>
      <c r="KM38" s="5"/>
      <c r="KN38" s="5"/>
      <c r="KO38" s="5"/>
      <c r="PS38" s="5">
        <f>PS31-PS35</f>
        <v>-27708.3942155689</v>
      </c>
      <c r="PT38" s="5">
        <f>PT31-PT35</f>
        <v>-34919.584467065899</v>
      </c>
      <c r="PV38" s="107" t="s">
        <v>81</v>
      </c>
      <c r="PW38" s="114">
        <v>0</v>
      </c>
      <c r="QI38" s="5">
        <v>564.70506750000004</v>
      </c>
      <c r="QJ38" s="27">
        <f>PW38/QI38*100</f>
        <v>0</v>
      </c>
      <c r="QM38" s="105"/>
      <c r="QN38" s="5"/>
      <c r="SQ38" s="27"/>
      <c r="AFI38" s="5">
        <v>13799.9999999993</v>
      </c>
      <c r="AFJ38" s="5">
        <v>2799.9999999992701</v>
      </c>
      <c r="AFK38" s="113">
        <f>SUM(AFI38:AFJ38)</f>
        <v>16599.99999999857</v>
      </c>
      <c r="AFU38" s="5">
        <v>1469.85000000024</v>
      </c>
      <c r="AFV38" s="113">
        <f>AFK38-AFU38</f>
        <v>15130.14999999833</v>
      </c>
      <c r="AHY38" s="105">
        <v>0.75</v>
      </c>
      <c r="AHZ38" s="5">
        <f>AHY38*AHZ37</f>
        <v>1413</v>
      </c>
      <c r="AJO38" s="5"/>
      <c r="AJP38" s="5"/>
      <c r="AJQ38" s="5"/>
      <c r="AJY38" s="5"/>
      <c r="AJZ38" s="5"/>
    </row>
    <row r="39" spans="1:14969" ht="15.75" thickBot="1" x14ac:dyDescent="0.3">
      <c r="B39" s="134"/>
      <c r="C39" s="195" t="s">
        <v>109</v>
      </c>
      <c r="D39" s="196"/>
      <c r="E39" s="197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0"/>
      <c r="AL39" s="84" t="s">
        <v>82</v>
      </c>
      <c r="AM39" s="8"/>
      <c r="AN39" s="66"/>
      <c r="AO39" s="3"/>
      <c r="AQ39" s="35">
        <v>52459</v>
      </c>
      <c r="EI39" s="112"/>
      <c r="EJ39" s="111"/>
      <c r="EK39" s="110">
        <v>24</v>
      </c>
      <c r="EL39" s="109">
        <v>2</v>
      </c>
      <c r="EM39" s="108">
        <v>3</v>
      </c>
      <c r="PV39" s="107" t="s">
        <v>79</v>
      </c>
      <c r="PW39" s="106">
        <f>80.53776+QJ45</f>
        <v>120.78492</v>
      </c>
      <c r="QI39" s="5">
        <v>4695.7554</v>
      </c>
      <c r="QJ39" s="27">
        <f>PW39/QI39*100</f>
        <v>2.5722148985869238</v>
      </c>
      <c r="AHY39" s="105">
        <v>0.25</v>
      </c>
      <c r="AHZ39" s="5">
        <f>AHY39*AHZ37</f>
        <v>471</v>
      </c>
    </row>
    <row r="40" spans="1:14969" x14ac:dyDescent="0.25">
      <c r="B40" s="134"/>
      <c r="C40" s="193" t="s">
        <v>108</v>
      </c>
      <c r="D40" s="198">
        <f>SUM(D41:D42)</f>
        <v>0</v>
      </c>
      <c r="E40" s="194" t="s">
        <v>16</v>
      </c>
      <c r="F40" s="189">
        <f>F42+F41</f>
        <v>1989885</v>
      </c>
      <c r="G40" s="189">
        <f t="shared" ref="G40:AJ40" si="7">G42+G41</f>
        <v>1938682</v>
      </c>
      <c r="H40" s="189">
        <f t="shared" si="7"/>
        <v>2009971</v>
      </c>
      <c r="I40" s="189">
        <f t="shared" si="7"/>
        <v>1307969</v>
      </c>
      <c r="J40" s="189">
        <f t="shared" si="7"/>
        <v>0</v>
      </c>
      <c r="K40" s="189">
        <f t="shared" si="7"/>
        <v>0</v>
      </c>
      <c r="L40" s="189">
        <f t="shared" si="7"/>
        <v>1720464</v>
      </c>
      <c r="M40" s="189">
        <f t="shared" si="7"/>
        <v>1997400</v>
      </c>
      <c r="N40" s="189">
        <f t="shared" si="7"/>
        <v>2037225</v>
      </c>
      <c r="O40" s="189">
        <f t="shared" si="7"/>
        <v>2080877</v>
      </c>
      <c r="P40" s="189">
        <f t="shared" si="7"/>
        <v>1984435</v>
      </c>
      <c r="Q40" s="189">
        <f t="shared" si="7"/>
        <v>1839403</v>
      </c>
      <c r="R40" s="189">
        <f t="shared" si="7"/>
        <v>1124775</v>
      </c>
      <c r="S40" s="189">
        <f t="shared" si="7"/>
        <v>1203092</v>
      </c>
      <c r="T40" s="189">
        <f t="shared" si="7"/>
        <v>814589</v>
      </c>
      <c r="U40" s="189">
        <f t="shared" si="7"/>
        <v>919456</v>
      </c>
      <c r="V40" s="189">
        <f t="shared" si="7"/>
        <v>1282855</v>
      </c>
      <c r="W40" s="189">
        <f t="shared" si="7"/>
        <v>1830389</v>
      </c>
      <c r="X40" s="189">
        <f>X42+X41</f>
        <v>1919977</v>
      </c>
      <c r="Y40" s="189">
        <f t="shared" si="7"/>
        <v>1630554</v>
      </c>
      <c r="Z40" s="189">
        <f t="shared" si="7"/>
        <v>1900139</v>
      </c>
      <c r="AA40" s="189">
        <f t="shared" si="7"/>
        <v>1893620</v>
      </c>
      <c r="AB40" s="189">
        <f t="shared" si="7"/>
        <v>1878565</v>
      </c>
      <c r="AC40" s="189">
        <f t="shared" si="7"/>
        <v>1764656</v>
      </c>
      <c r="AD40" s="189">
        <f t="shared" si="7"/>
        <v>1919829</v>
      </c>
      <c r="AE40" s="189">
        <f t="shared" si="7"/>
        <v>2002106</v>
      </c>
      <c r="AF40" s="189">
        <f t="shared" si="7"/>
        <v>1909610</v>
      </c>
      <c r="AG40" s="189">
        <f t="shared" si="7"/>
        <v>1915703</v>
      </c>
      <c r="AH40" s="189">
        <f t="shared" si="7"/>
        <v>1946410</v>
      </c>
      <c r="AI40" s="189">
        <f t="shared" si="7"/>
        <v>2053299</v>
      </c>
      <c r="AJ40" s="189">
        <f t="shared" si="7"/>
        <v>1806815</v>
      </c>
      <c r="AK40" s="10"/>
      <c r="AL40" s="26">
        <f>SUM(F40:AJ40)</f>
        <v>50622750</v>
      </c>
      <c r="AM40" s="41"/>
      <c r="AN40" s="39"/>
      <c r="AO40" s="72">
        <f>SUM(AO41:AO42)</f>
        <v>1893.62</v>
      </c>
      <c r="AQ40" s="72">
        <f>SUM(AL40+AL45+AL50)/1000</f>
        <v>52302.817999999999</v>
      </c>
      <c r="AR40" s="3">
        <f>AQ40/AQ39*100</f>
        <v>99.702277969461861</v>
      </c>
      <c r="BX40" s="40"/>
      <c r="BY40" s="40"/>
      <c r="DB40" s="40"/>
      <c r="EI40" s="98" t="s">
        <v>107</v>
      </c>
      <c r="EJ40" s="30" t="s">
        <v>16</v>
      </c>
      <c r="EK40" s="97">
        <v>2000530</v>
      </c>
      <c r="EL40" s="104">
        <v>2005167</v>
      </c>
      <c r="EM40" s="95">
        <v>2025879</v>
      </c>
      <c r="EN40" s="40"/>
      <c r="GQ40" s="40"/>
      <c r="KL40" s="40"/>
      <c r="KM40" s="40"/>
      <c r="KN40" s="40"/>
      <c r="KO40" s="40"/>
      <c r="PS40" s="40"/>
      <c r="PT40" s="40"/>
      <c r="PV40" s="40"/>
      <c r="QJ40" s="39"/>
      <c r="QN40" s="40"/>
      <c r="SQ40" s="39"/>
      <c r="AFI40" s="4">
        <f>95.28%*AFI31</f>
        <v>34157.880000005527</v>
      </c>
      <c r="AFK40" s="4">
        <f>AFI37-AFU37</f>
        <v>102202.1199999805</v>
      </c>
      <c r="AHZ40" s="5"/>
      <c r="AJO40" s="5"/>
      <c r="AJP40" s="5"/>
      <c r="AJQ40" s="5"/>
      <c r="AJU40" s="1" t="s">
        <v>106</v>
      </c>
    </row>
    <row r="41" spans="1:14969" x14ac:dyDescent="0.25">
      <c r="B41" s="134"/>
      <c r="C41" s="193" t="s">
        <v>105</v>
      </c>
      <c r="D41" s="198"/>
      <c r="E41" s="194" t="s">
        <v>16</v>
      </c>
      <c r="F41" s="189">
        <v>1651088</v>
      </c>
      <c r="G41" s="189">
        <v>1601635</v>
      </c>
      <c r="H41" s="189">
        <v>1659256</v>
      </c>
      <c r="I41" s="189">
        <v>1051743</v>
      </c>
      <c r="J41" s="189">
        <v>0</v>
      </c>
      <c r="K41" s="189">
        <v>0</v>
      </c>
      <c r="L41" s="189">
        <v>1401531</v>
      </c>
      <c r="M41" s="189">
        <v>1610891</v>
      </c>
      <c r="N41" s="189">
        <v>1672201</v>
      </c>
      <c r="O41" s="189">
        <v>1710249</v>
      </c>
      <c r="P41" s="189">
        <v>1628807</v>
      </c>
      <c r="Q41" s="189">
        <v>1482762</v>
      </c>
      <c r="R41" s="189">
        <v>924775</v>
      </c>
      <c r="S41" s="189">
        <f>1075711-92560</f>
        <v>983151</v>
      </c>
      <c r="T41" s="189">
        <f>756228-90200</f>
        <v>666028</v>
      </c>
      <c r="U41" s="189">
        <v>740347</v>
      </c>
      <c r="V41" s="189">
        <v>1039988</v>
      </c>
      <c r="W41" s="189">
        <v>1509928</v>
      </c>
      <c r="X41" s="189">
        <v>1538484</v>
      </c>
      <c r="Y41" s="189">
        <v>1338816</v>
      </c>
      <c r="Z41" s="189">
        <v>1560110</v>
      </c>
      <c r="AA41" s="189">
        <v>1554377</v>
      </c>
      <c r="AB41" s="189">
        <v>1546316</v>
      </c>
      <c r="AC41" s="189">
        <v>1449041</v>
      </c>
      <c r="AD41" s="189">
        <v>1575292</v>
      </c>
      <c r="AE41" s="189">
        <v>1656007</v>
      </c>
      <c r="AF41" s="189">
        <v>1576553</v>
      </c>
      <c r="AG41" s="189">
        <v>1600911</v>
      </c>
      <c r="AH41" s="189">
        <v>1615714</v>
      </c>
      <c r="AI41" s="189">
        <v>1705065</v>
      </c>
      <c r="AJ41" s="189">
        <v>1460583</v>
      </c>
      <c r="AK41" s="10"/>
      <c r="AL41" s="26">
        <f>SUM(F41:AJ41)</f>
        <v>41511649</v>
      </c>
      <c r="AM41" s="5"/>
      <c r="AO41" s="72">
        <f>AA41/1000</f>
        <v>1554.377</v>
      </c>
      <c r="AP41" s="3">
        <f>AO41/AO40*100</f>
        <v>82.084948405699137</v>
      </c>
      <c r="AQ41" s="72">
        <f>AL41/1000</f>
        <v>41511.648999999998</v>
      </c>
      <c r="BZ41" s="31">
        <f>AN41/1000</f>
        <v>0</v>
      </c>
      <c r="EI41" s="103" t="s">
        <v>104</v>
      </c>
      <c r="EJ41" s="102" t="s">
        <v>22</v>
      </c>
      <c r="EK41" s="101">
        <v>255.536188590634</v>
      </c>
      <c r="EL41" s="100">
        <v>255.09239449100701</v>
      </c>
      <c r="EM41" s="99">
        <v>260.824545250543</v>
      </c>
      <c r="PS41" s="88">
        <f>R31/1000</f>
        <v>1491.867</v>
      </c>
      <c r="PV41" s="89" t="s">
        <v>103</v>
      </c>
      <c r="PW41" s="5">
        <v>0</v>
      </c>
      <c r="QI41" s="5">
        <v>9.7534799999999997</v>
      </c>
      <c r="QJ41" s="27">
        <f>(PW41*QI41)/1000</f>
        <v>0</v>
      </c>
      <c r="AFI41" s="4">
        <f>4.1%*AFI31</f>
        <v>1469.8500000002375</v>
      </c>
      <c r="AFK41" s="4">
        <f>AFI38-AFU38</f>
        <v>12330.149999999059</v>
      </c>
    </row>
    <row r="42" spans="1:14969" x14ac:dyDescent="0.25">
      <c r="B42" s="134"/>
      <c r="C42" s="193" t="s">
        <v>94</v>
      </c>
      <c r="D42" s="198"/>
      <c r="E42" s="194" t="s">
        <v>16</v>
      </c>
      <c r="F42" s="189">
        <v>338797</v>
      </c>
      <c r="G42" s="189">
        <v>337047</v>
      </c>
      <c r="H42" s="189">
        <v>350715</v>
      </c>
      <c r="I42" s="189">
        <v>256226</v>
      </c>
      <c r="J42" s="189">
        <v>0</v>
      </c>
      <c r="K42" s="189">
        <v>0</v>
      </c>
      <c r="L42" s="189">
        <v>318933</v>
      </c>
      <c r="M42" s="189">
        <v>386509</v>
      </c>
      <c r="N42" s="189">
        <v>365024</v>
      </c>
      <c r="O42" s="189">
        <v>370628</v>
      </c>
      <c r="P42" s="189">
        <v>355628</v>
      </c>
      <c r="Q42" s="189">
        <v>356641</v>
      </c>
      <c r="R42" s="189">
        <f>229801-29801</f>
        <v>200000</v>
      </c>
      <c r="S42" s="189">
        <f>259541-39600</f>
        <v>219941</v>
      </c>
      <c r="T42" s="189">
        <f>187161-38600</f>
        <v>148561</v>
      </c>
      <c r="U42" s="189">
        <v>179109</v>
      </c>
      <c r="V42" s="189">
        <v>242867</v>
      </c>
      <c r="W42" s="189">
        <v>320461</v>
      </c>
      <c r="X42" s="189">
        <v>381493</v>
      </c>
      <c r="Y42" s="189">
        <v>291738</v>
      </c>
      <c r="Z42" s="189">
        <v>340029</v>
      </c>
      <c r="AA42" s="189">
        <v>339243</v>
      </c>
      <c r="AB42" s="189">
        <v>332249</v>
      </c>
      <c r="AC42" s="189">
        <v>315615</v>
      </c>
      <c r="AD42" s="189">
        <v>344537</v>
      </c>
      <c r="AE42" s="189">
        <v>346099</v>
      </c>
      <c r="AF42" s="189">
        <v>333057</v>
      </c>
      <c r="AG42" s="189">
        <v>314792</v>
      </c>
      <c r="AH42" s="189">
        <v>330696</v>
      </c>
      <c r="AI42" s="189">
        <v>348234</v>
      </c>
      <c r="AJ42" s="189">
        <v>346232</v>
      </c>
      <c r="AK42" s="10"/>
      <c r="AL42" s="26">
        <f>SUM(F42:AJ42)</f>
        <v>9111101</v>
      </c>
      <c r="AM42" s="5"/>
      <c r="AO42" s="72">
        <f>AA42/1000</f>
        <v>339.24299999999999</v>
      </c>
      <c r="AP42" s="3">
        <f>AO42/AO40*100</f>
        <v>17.915051594300863</v>
      </c>
      <c r="AQ42" s="72">
        <f>AL42/1000</f>
        <v>9111.1010000000006</v>
      </c>
      <c r="BZ42" s="31">
        <f>AN42/1000</f>
        <v>0</v>
      </c>
      <c r="EI42" s="98" t="s">
        <v>102</v>
      </c>
      <c r="EJ42" s="30" t="s">
        <v>16</v>
      </c>
      <c r="EK42" s="97">
        <v>146000</v>
      </c>
      <c r="EL42" s="96">
        <v>151100</v>
      </c>
      <c r="EM42" s="95">
        <v>152900</v>
      </c>
      <c r="PS42" s="5">
        <v>1796</v>
      </c>
      <c r="PU42" s="27"/>
      <c r="PV42" s="89" t="s">
        <v>101</v>
      </c>
      <c r="PW42" s="88">
        <v>1262</v>
      </c>
      <c r="QI42" s="1">
        <v>10.86</v>
      </c>
      <c r="QJ42" s="27">
        <f t="shared" ref="QJ42:QJ43" si="8">(PW42*QI42)/1000</f>
        <v>13.70532</v>
      </c>
      <c r="AJU42" s="86" t="s">
        <v>100</v>
      </c>
    </row>
    <row r="43" spans="1:14969" ht="15.75" customHeight="1" thickBot="1" x14ac:dyDescent="0.3">
      <c r="B43" s="134"/>
      <c r="C43" s="195" t="s">
        <v>99</v>
      </c>
      <c r="D43" s="199"/>
      <c r="E43" s="197"/>
      <c r="F43" s="183"/>
      <c r="G43" s="183"/>
      <c r="H43" s="183"/>
      <c r="I43" s="200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201"/>
      <c r="Z43" s="202"/>
      <c r="AA43" s="202"/>
      <c r="AB43" s="201"/>
      <c r="AC43" s="201"/>
      <c r="AD43" s="201"/>
      <c r="AE43" s="201"/>
      <c r="AF43" s="201"/>
      <c r="AG43" s="201"/>
      <c r="AH43" s="201"/>
      <c r="AI43" s="201"/>
      <c r="AJ43" s="201"/>
      <c r="AK43" s="10"/>
      <c r="AL43" s="84" t="s">
        <v>81</v>
      </c>
      <c r="AM43" s="5"/>
      <c r="EI43" s="94"/>
      <c r="EJ43" s="93" t="s">
        <v>96</v>
      </c>
      <c r="EK43" s="92">
        <f>EK42/(EK40/1000)</f>
        <v>72.980660125066862</v>
      </c>
      <c r="EL43" s="91">
        <f t="shared" ref="EL43:EM43" si="9">EL42/(EL40/1000)</f>
        <v>75.35531953198911</v>
      </c>
      <c r="EM43" s="90">
        <f t="shared" si="9"/>
        <v>75.473411788167013</v>
      </c>
      <c r="PS43" s="27">
        <f>PS41/PS42*100</f>
        <v>83.066091314031183</v>
      </c>
      <c r="PU43" s="27"/>
      <c r="PV43" s="89" t="s">
        <v>98</v>
      </c>
      <c r="PW43" s="88">
        <v>2444</v>
      </c>
      <c r="QI43" s="1">
        <v>10.86</v>
      </c>
      <c r="QJ43" s="27">
        <f t="shared" si="8"/>
        <v>26.541840000000001</v>
      </c>
      <c r="AJU43" s="86" t="s">
        <v>97</v>
      </c>
    </row>
    <row r="44" spans="1:14969" ht="15" customHeight="1" x14ac:dyDescent="0.25">
      <c r="A44" s="82"/>
      <c r="B44" s="166"/>
      <c r="C44" s="203" t="s">
        <v>92</v>
      </c>
      <c r="D44" s="204"/>
      <c r="E44" s="205" t="s">
        <v>16</v>
      </c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>
        <v>105914</v>
      </c>
      <c r="S44" s="189">
        <v>139277</v>
      </c>
      <c r="T44" s="189">
        <v>135836</v>
      </c>
      <c r="U44" s="189">
        <v>55800</v>
      </c>
      <c r="V44" s="189"/>
      <c r="W44" s="189"/>
      <c r="X44" s="189"/>
      <c r="Y44" s="189"/>
      <c r="Z44" s="189"/>
      <c r="AA44" s="189"/>
      <c r="AB44" s="189"/>
      <c r="AC44" s="189"/>
      <c r="AD44" s="206"/>
      <c r="AE44" s="206"/>
      <c r="AF44" s="206"/>
      <c r="AG44" s="206"/>
      <c r="AH44" s="206"/>
      <c r="AI44" s="206"/>
      <c r="AJ44" s="206"/>
      <c r="AK44" s="51"/>
      <c r="AL44" s="50">
        <f>SUM(F44:AJ44)</f>
        <v>436827</v>
      </c>
      <c r="AM44" s="14"/>
      <c r="AO44" s="83"/>
      <c r="AP44" s="87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14"/>
      <c r="BY44" s="14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Z44" s="82"/>
      <c r="DA44" s="82"/>
      <c r="DB44" s="14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J44" s="30" t="s">
        <v>96</v>
      </c>
      <c r="EK44" s="39" t="e">
        <f>EK42/(EK38/1000)</f>
        <v>#VALUE!</v>
      </c>
      <c r="EL44" s="39" t="e">
        <f>EM42/(EL38/1000)</f>
        <v>#VALUE!</v>
      </c>
      <c r="EM44" s="39" t="e">
        <f>#REF!/(EM38/1000)</f>
        <v>#REF!</v>
      </c>
      <c r="EN44" s="14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  <c r="FU44" s="82"/>
      <c r="FV44" s="82"/>
      <c r="FW44" s="82"/>
      <c r="FX44" s="82"/>
      <c r="FY44" s="82"/>
      <c r="FZ44" s="82"/>
      <c r="GA44" s="82"/>
      <c r="GB44" s="82"/>
      <c r="GC44" s="82"/>
      <c r="GD44" s="82"/>
      <c r="GE44" s="82"/>
      <c r="GF44" s="82"/>
      <c r="GG44" s="82"/>
      <c r="GH44" s="82"/>
      <c r="GI44" s="82"/>
      <c r="GJ44" s="82"/>
      <c r="GK44" s="82"/>
      <c r="GL44" s="82"/>
      <c r="GM44" s="82"/>
      <c r="GN44" s="82"/>
      <c r="GO44" s="82"/>
      <c r="GP44" s="82"/>
      <c r="GQ44" s="14"/>
      <c r="GR44" s="82"/>
      <c r="GS44" s="82"/>
      <c r="GT44" s="82"/>
      <c r="GU44" s="82"/>
      <c r="GV44" s="82"/>
      <c r="GW44" s="82"/>
      <c r="GX44" s="82"/>
      <c r="GY44" s="82"/>
      <c r="GZ44" s="82"/>
      <c r="HA44" s="82"/>
      <c r="HB44" s="82"/>
      <c r="HC44" s="82"/>
      <c r="HD44" s="82"/>
      <c r="HE44" s="82"/>
      <c r="HF44" s="82"/>
      <c r="HG44" s="82"/>
      <c r="HH44" s="82"/>
      <c r="HI44" s="82"/>
      <c r="HJ44" s="82"/>
      <c r="HK44" s="82"/>
      <c r="HL44" s="82"/>
      <c r="HM44" s="82"/>
      <c r="HN44" s="82"/>
      <c r="HO44" s="82"/>
      <c r="HP44" s="82"/>
      <c r="HQ44" s="82"/>
      <c r="HR44" s="82"/>
      <c r="HS44" s="82"/>
      <c r="HT44" s="82"/>
      <c r="HU44" s="82"/>
      <c r="HV44" s="82"/>
      <c r="HW44" s="82"/>
      <c r="HX44" s="82"/>
      <c r="HY44" s="82"/>
      <c r="HZ44" s="82"/>
      <c r="IA44" s="82"/>
      <c r="IB44" s="82"/>
      <c r="IC44" s="82"/>
      <c r="ID44" s="82"/>
      <c r="IE44" s="82"/>
      <c r="IF44" s="82"/>
      <c r="IG44" s="82"/>
      <c r="IH44" s="82"/>
      <c r="II44" s="82"/>
      <c r="IJ44" s="82"/>
      <c r="IK44" s="82"/>
      <c r="IL44" s="82"/>
      <c r="IM44" s="82"/>
      <c r="IN44" s="82"/>
      <c r="IO44" s="82"/>
      <c r="IP44" s="82"/>
      <c r="IQ44" s="82"/>
      <c r="IR44" s="82"/>
      <c r="IS44" s="82"/>
      <c r="IT44" s="82"/>
      <c r="IU44" s="82"/>
      <c r="IV44" s="82"/>
      <c r="IW44" s="82"/>
      <c r="IX44" s="82"/>
      <c r="IY44" s="82"/>
      <c r="IZ44" s="82"/>
      <c r="JA44" s="82"/>
      <c r="JB44" s="82"/>
      <c r="JC44" s="82"/>
      <c r="JD44" s="82"/>
      <c r="JE44" s="82"/>
      <c r="JF44" s="82"/>
      <c r="JG44" s="82"/>
      <c r="JH44" s="82"/>
      <c r="JI44" s="82"/>
      <c r="JJ44" s="82"/>
      <c r="JK44" s="82"/>
      <c r="JL44" s="82"/>
      <c r="JM44" s="82"/>
      <c r="JN44" s="82"/>
      <c r="JO44" s="82"/>
      <c r="JP44" s="82"/>
      <c r="JQ44" s="82"/>
      <c r="JR44" s="82"/>
      <c r="JS44" s="82"/>
      <c r="JT44" s="82"/>
      <c r="JU44" s="82"/>
      <c r="JV44" s="82"/>
      <c r="JW44" s="82"/>
      <c r="JX44" s="82"/>
      <c r="JY44" s="82"/>
      <c r="JZ44" s="82"/>
      <c r="KA44" s="82"/>
      <c r="KB44" s="82"/>
      <c r="KC44" s="82"/>
      <c r="KD44" s="82"/>
      <c r="KE44" s="82"/>
      <c r="KF44" s="82"/>
      <c r="KG44" s="82"/>
      <c r="KH44" s="82"/>
      <c r="KI44" s="82"/>
      <c r="KJ44" s="82"/>
      <c r="KK44" s="82"/>
      <c r="KL44" s="14"/>
      <c r="KM44" s="14"/>
      <c r="KN44" s="14"/>
      <c r="KO44" s="14"/>
      <c r="KP44" s="82"/>
      <c r="KQ44" s="82"/>
      <c r="KR44" s="82"/>
      <c r="KS44" s="82"/>
      <c r="KT44" s="82"/>
      <c r="KU44" s="82"/>
      <c r="KV44" s="82"/>
      <c r="KW44" s="82"/>
      <c r="KX44" s="82"/>
      <c r="KY44" s="82"/>
      <c r="KZ44" s="82"/>
      <c r="LA44" s="82"/>
      <c r="LB44" s="82"/>
      <c r="LC44" s="82"/>
      <c r="LD44" s="82"/>
      <c r="LE44" s="82"/>
      <c r="LF44" s="82"/>
      <c r="LG44" s="82"/>
      <c r="LH44" s="82"/>
      <c r="LI44" s="82"/>
      <c r="LJ44" s="82"/>
      <c r="LK44" s="82"/>
      <c r="LL44" s="82"/>
      <c r="LM44" s="82"/>
      <c r="LN44" s="82"/>
      <c r="LO44" s="82"/>
      <c r="LP44" s="82"/>
      <c r="LQ44" s="82"/>
      <c r="LR44" s="82"/>
      <c r="LS44" s="82"/>
      <c r="LT44" s="82"/>
      <c r="LU44" s="82"/>
      <c r="LV44" s="82"/>
      <c r="LW44" s="82"/>
      <c r="LX44" s="82"/>
      <c r="LY44" s="82"/>
      <c r="LZ44" s="82"/>
      <c r="MA44" s="82"/>
      <c r="MB44" s="82"/>
      <c r="MC44" s="82"/>
      <c r="MD44" s="82"/>
      <c r="ME44" s="82"/>
      <c r="MF44" s="82"/>
      <c r="MG44" s="82"/>
      <c r="MH44" s="82"/>
      <c r="MI44" s="82"/>
      <c r="MJ44" s="82"/>
      <c r="MK44" s="82"/>
      <c r="ML44" s="82"/>
      <c r="MM44" s="82"/>
      <c r="MN44" s="82"/>
      <c r="MO44" s="82"/>
      <c r="MP44" s="82"/>
      <c r="MQ44" s="82"/>
      <c r="MR44" s="82"/>
      <c r="MS44" s="82"/>
      <c r="MT44" s="82"/>
      <c r="MU44" s="82"/>
      <c r="MV44" s="82"/>
      <c r="MW44" s="82"/>
      <c r="MX44" s="82"/>
      <c r="MY44" s="82"/>
      <c r="MZ44" s="82"/>
      <c r="NA44" s="82"/>
      <c r="NB44" s="82"/>
      <c r="NC44" s="82"/>
      <c r="ND44" s="82"/>
      <c r="NE44" s="82"/>
      <c r="NF44" s="82"/>
      <c r="NG44" s="82"/>
      <c r="NH44" s="82"/>
      <c r="NI44" s="82"/>
      <c r="NJ44" s="82"/>
      <c r="NK44" s="82"/>
      <c r="NL44" s="82"/>
      <c r="NM44" s="82"/>
      <c r="NN44" s="82"/>
      <c r="NO44" s="82"/>
      <c r="NP44" s="82"/>
      <c r="NQ44" s="82"/>
      <c r="NR44" s="82"/>
      <c r="NS44" s="82"/>
      <c r="NT44" s="82"/>
      <c r="NU44" s="82"/>
      <c r="NV44" s="82"/>
      <c r="NW44" s="82"/>
      <c r="NX44" s="82"/>
      <c r="NY44" s="82"/>
      <c r="NZ44" s="82"/>
      <c r="OA44" s="82"/>
      <c r="OB44" s="82"/>
      <c r="OC44" s="82"/>
      <c r="OD44" s="82"/>
      <c r="OE44" s="82"/>
      <c r="OF44" s="82"/>
      <c r="OG44" s="82"/>
      <c r="OH44" s="82"/>
      <c r="OI44" s="82"/>
      <c r="OJ44" s="82"/>
      <c r="OK44" s="82"/>
      <c r="OL44" s="82"/>
      <c r="OM44" s="82"/>
      <c r="ON44" s="82"/>
      <c r="OO44" s="82"/>
      <c r="OP44" s="82"/>
      <c r="OQ44" s="82"/>
      <c r="OR44" s="82"/>
      <c r="OS44" s="82"/>
      <c r="OT44" s="82"/>
      <c r="OU44" s="82"/>
      <c r="OV44" s="82"/>
      <c r="OW44" s="82"/>
      <c r="OX44" s="82"/>
      <c r="OY44" s="82"/>
      <c r="OZ44" s="82"/>
      <c r="PA44" s="82"/>
      <c r="PB44" s="82"/>
      <c r="PC44" s="82"/>
      <c r="PD44" s="82"/>
      <c r="PE44" s="82"/>
      <c r="PF44" s="82"/>
      <c r="PG44" s="82"/>
      <c r="PH44" s="82"/>
      <c r="PI44" s="82"/>
      <c r="PJ44" s="82"/>
      <c r="PK44" s="82"/>
      <c r="PL44" s="82"/>
      <c r="PM44" s="82"/>
      <c r="PN44" s="82"/>
      <c r="PO44" s="82"/>
      <c r="PP44" s="82"/>
      <c r="PQ44" s="82"/>
      <c r="PR44" s="82"/>
      <c r="PS44" s="14"/>
      <c r="PT44" s="14"/>
      <c r="PU44" s="15"/>
      <c r="PV44" s="14"/>
      <c r="PW44" s="82"/>
      <c r="PX44" s="82"/>
      <c r="PY44" s="82"/>
      <c r="PZ44" s="82"/>
      <c r="QA44" s="82"/>
      <c r="QB44" s="82"/>
      <c r="QC44" s="82"/>
      <c r="QD44" s="82"/>
      <c r="QE44" s="82"/>
      <c r="QF44" s="82"/>
      <c r="QG44" s="82"/>
      <c r="QH44" s="82"/>
      <c r="QI44" s="82"/>
      <c r="QJ44" s="15"/>
      <c r="QK44" s="82"/>
      <c r="QL44" s="82"/>
      <c r="QM44" s="82"/>
      <c r="QN44" s="14"/>
      <c r="QO44" s="82"/>
      <c r="QP44" s="82"/>
      <c r="QQ44" s="82"/>
      <c r="QR44" s="82"/>
      <c r="QS44" s="82"/>
      <c r="QT44" s="82"/>
      <c r="QU44" s="82"/>
      <c r="QV44" s="82"/>
      <c r="QW44" s="82"/>
      <c r="QX44" s="82"/>
      <c r="QY44" s="82"/>
      <c r="QZ44" s="82"/>
      <c r="RA44" s="82"/>
      <c r="RB44" s="82"/>
      <c r="RC44" s="82"/>
      <c r="RD44" s="82"/>
      <c r="RE44" s="82"/>
      <c r="RF44" s="82"/>
      <c r="RG44" s="82"/>
      <c r="RH44" s="82"/>
      <c r="RI44" s="82"/>
      <c r="RJ44" s="82"/>
      <c r="RK44" s="82"/>
      <c r="RL44" s="82"/>
      <c r="RM44" s="82"/>
      <c r="RN44" s="82"/>
      <c r="RO44" s="82"/>
      <c r="RP44" s="82"/>
      <c r="RQ44" s="82"/>
      <c r="RR44" s="82"/>
      <c r="RS44" s="82"/>
      <c r="RT44" s="82"/>
      <c r="RU44" s="82"/>
      <c r="RV44" s="82"/>
      <c r="RW44" s="82"/>
      <c r="RX44" s="82"/>
      <c r="RY44" s="82"/>
      <c r="RZ44" s="82"/>
      <c r="SA44" s="82"/>
      <c r="SB44" s="82"/>
      <c r="SC44" s="82"/>
      <c r="SD44" s="82"/>
      <c r="SE44" s="82"/>
      <c r="SF44" s="82"/>
      <c r="SG44" s="82"/>
      <c r="SH44" s="82"/>
      <c r="SI44" s="82"/>
      <c r="SJ44" s="82"/>
      <c r="SK44" s="82"/>
      <c r="SL44" s="82"/>
      <c r="SM44" s="82"/>
      <c r="SN44" s="82"/>
      <c r="SO44" s="82"/>
      <c r="SP44" s="82"/>
      <c r="SQ44" s="15"/>
      <c r="SR44" s="82"/>
      <c r="SS44" s="82"/>
      <c r="ST44" s="82"/>
      <c r="SU44" s="82"/>
      <c r="SV44" s="82"/>
      <c r="SW44" s="82"/>
      <c r="SX44" s="82"/>
      <c r="SY44" s="82"/>
      <c r="SZ44" s="82"/>
      <c r="TA44" s="82"/>
      <c r="TB44" s="82"/>
      <c r="TC44" s="82"/>
      <c r="TD44" s="82"/>
      <c r="TE44" s="82"/>
      <c r="TF44" s="82"/>
      <c r="TG44" s="82"/>
      <c r="TH44" s="82"/>
      <c r="TI44" s="82"/>
      <c r="TJ44" s="82"/>
      <c r="TK44" s="82"/>
      <c r="TL44" s="82"/>
      <c r="TM44" s="82"/>
      <c r="TN44" s="82"/>
      <c r="TO44" s="82"/>
      <c r="TP44" s="82"/>
      <c r="TQ44" s="82"/>
      <c r="TR44" s="82"/>
      <c r="TS44" s="82"/>
      <c r="TT44" s="82"/>
      <c r="TU44" s="82"/>
      <c r="TV44" s="82"/>
      <c r="TW44" s="82"/>
      <c r="TX44" s="82"/>
      <c r="TY44" s="82"/>
      <c r="TZ44" s="82"/>
      <c r="UA44" s="82"/>
      <c r="UB44" s="82"/>
      <c r="UC44" s="82"/>
      <c r="UD44" s="82"/>
      <c r="UE44" s="82"/>
      <c r="UF44" s="82"/>
      <c r="UG44" s="82"/>
      <c r="UH44" s="82"/>
      <c r="UI44" s="82"/>
      <c r="UJ44" s="82"/>
      <c r="UK44" s="82"/>
      <c r="UL44" s="82"/>
      <c r="UM44" s="82"/>
      <c r="UN44" s="82"/>
      <c r="UO44" s="82"/>
      <c r="UP44" s="82"/>
      <c r="UQ44" s="82"/>
      <c r="UR44" s="82"/>
      <c r="US44" s="82"/>
      <c r="UT44" s="82"/>
      <c r="UU44" s="82"/>
      <c r="UV44" s="82"/>
      <c r="UW44" s="82"/>
      <c r="UX44" s="82"/>
      <c r="UY44" s="82"/>
      <c r="UZ44" s="82"/>
      <c r="VA44" s="82"/>
      <c r="VB44" s="82"/>
      <c r="VC44" s="82"/>
      <c r="VD44" s="82"/>
      <c r="VE44" s="82"/>
      <c r="VF44" s="82"/>
      <c r="VG44" s="82"/>
      <c r="VH44" s="82"/>
      <c r="VI44" s="82"/>
      <c r="VJ44" s="82"/>
      <c r="VK44" s="82"/>
      <c r="VL44" s="82"/>
      <c r="VM44" s="82"/>
      <c r="VN44" s="82"/>
      <c r="VO44" s="82"/>
      <c r="VP44" s="82"/>
      <c r="VQ44" s="82"/>
      <c r="VR44" s="82"/>
      <c r="VS44" s="82"/>
      <c r="VT44" s="82"/>
      <c r="VU44" s="82"/>
      <c r="VV44" s="82"/>
      <c r="VW44" s="82"/>
      <c r="VX44" s="82"/>
      <c r="VY44" s="82"/>
      <c r="VZ44" s="82"/>
      <c r="WA44" s="82"/>
      <c r="WB44" s="82"/>
      <c r="WC44" s="82"/>
      <c r="WD44" s="82"/>
      <c r="WE44" s="82"/>
      <c r="WF44" s="82"/>
      <c r="WG44" s="82"/>
      <c r="WH44" s="82"/>
      <c r="WI44" s="82"/>
      <c r="WJ44" s="82"/>
      <c r="WK44" s="82"/>
      <c r="WL44" s="82"/>
      <c r="WM44" s="82"/>
      <c r="WN44" s="82"/>
      <c r="WO44" s="82"/>
      <c r="WP44" s="82"/>
      <c r="WQ44" s="82"/>
      <c r="WR44" s="82"/>
      <c r="WS44" s="82"/>
      <c r="WT44" s="82"/>
      <c r="WU44" s="82"/>
      <c r="WV44" s="82"/>
      <c r="WW44" s="82"/>
      <c r="WX44" s="82"/>
      <c r="WY44" s="82"/>
      <c r="WZ44" s="82"/>
      <c r="XA44" s="82"/>
      <c r="XB44" s="82"/>
      <c r="XC44" s="82"/>
      <c r="XD44" s="82"/>
      <c r="XE44" s="82"/>
      <c r="XF44" s="82"/>
      <c r="XG44" s="82"/>
      <c r="XH44" s="82"/>
      <c r="XI44" s="82"/>
      <c r="XJ44" s="82"/>
      <c r="XK44" s="82"/>
      <c r="XL44" s="82"/>
      <c r="XM44" s="82"/>
      <c r="XN44" s="82"/>
      <c r="XO44" s="82"/>
      <c r="XP44" s="82"/>
      <c r="XQ44" s="82"/>
      <c r="XR44" s="82"/>
      <c r="XS44" s="82"/>
      <c r="XT44" s="82"/>
      <c r="XU44" s="82"/>
      <c r="XV44" s="82"/>
      <c r="XW44" s="82"/>
      <c r="XX44" s="82"/>
      <c r="XY44" s="82"/>
      <c r="XZ44" s="82"/>
      <c r="YA44" s="82"/>
      <c r="YB44" s="82"/>
      <c r="YC44" s="82"/>
      <c r="YD44" s="82"/>
      <c r="YE44" s="82"/>
      <c r="YF44" s="82"/>
      <c r="YG44" s="82"/>
      <c r="YH44" s="82"/>
      <c r="YI44" s="82"/>
      <c r="YJ44" s="82"/>
      <c r="YK44" s="82"/>
      <c r="YL44" s="82"/>
      <c r="YM44" s="82"/>
      <c r="YN44" s="82"/>
      <c r="YO44" s="82"/>
      <c r="YP44" s="82"/>
      <c r="YQ44" s="82"/>
      <c r="YR44" s="82"/>
      <c r="YS44" s="82"/>
      <c r="YT44" s="82"/>
      <c r="YU44" s="82"/>
      <c r="YV44" s="82"/>
      <c r="YW44" s="82"/>
      <c r="YX44" s="82"/>
      <c r="YY44" s="82"/>
      <c r="YZ44" s="82"/>
      <c r="ZA44" s="82"/>
      <c r="ZB44" s="82"/>
      <c r="ZC44" s="82"/>
      <c r="ZD44" s="82"/>
      <c r="ZE44" s="82"/>
      <c r="ZF44" s="82"/>
      <c r="ZG44" s="82"/>
      <c r="ZH44" s="82"/>
      <c r="ZI44" s="82"/>
      <c r="ZJ44" s="82"/>
      <c r="ZK44" s="82"/>
      <c r="ZL44" s="82"/>
      <c r="ZM44" s="82"/>
      <c r="ZN44" s="82"/>
      <c r="ZO44" s="82"/>
      <c r="ZP44" s="82"/>
      <c r="ZQ44" s="82"/>
      <c r="ZR44" s="82"/>
      <c r="ZS44" s="82"/>
      <c r="ZT44" s="82"/>
      <c r="ZU44" s="82"/>
      <c r="ZV44" s="82"/>
      <c r="ZW44" s="82"/>
      <c r="ZX44" s="82"/>
      <c r="ZY44" s="82"/>
      <c r="ZZ44" s="82"/>
      <c r="AAA44" s="82"/>
      <c r="AAB44" s="82"/>
      <c r="AAC44" s="82"/>
      <c r="AAD44" s="82"/>
      <c r="AAE44" s="82"/>
      <c r="AAF44" s="82"/>
      <c r="AAG44" s="82"/>
      <c r="AAH44" s="82"/>
      <c r="AAI44" s="82"/>
      <c r="AAJ44" s="82"/>
      <c r="AAK44" s="82"/>
      <c r="AAL44" s="82"/>
      <c r="AAM44" s="82"/>
      <c r="AAN44" s="82"/>
      <c r="AAO44" s="82"/>
      <c r="AAP44" s="82"/>
      <c r="AAQ44" s="82"/>
      <c r="AAR44" s="82"/>
      <c r="AAS44" s="82"/>
      <c r="AAT44" s="82"/>
      <c r="AAU44" s="82"/>
      <c r="AAV44" s="82"/>
      <c r="AAW44" s="82"/>
      <c r="AAX44" s="82"/>
      <c r="AAY44" s="82"/>
      <c r="AAZ44" s="82"/>
      <c r="ABA44" s="82"/>
      <c r="ABB44" s="82"/>
      <c r="ABC44" s="82"/>
      <c r="ABD44" s="82"/>
      <c r="ABE44" s="82"/>
      <c r="ABF44" s="82"/>
      <c r="ABG44" s="82"/>
      <c r="ABH44" s="82"/>
      <c r="ABI44" s="82"/>
      <c r="ABJ44" s="82"/>
      <c r="ABK44" s="82"/>
      <c r="ABL44" s="82"/>
      <c r="ABM44" s="82"/>
      <c r="ABN44" s="82"/>
      <c r="ABO44" s="82"/>
      <c r="ABP44" s="82"/>
      <c r="ABQ44" s="82"/>
      <c r="ABR44" s="82"/>
      <c r="ABS44" s="82"/>
      <c r="ABT44" s="82"/>
      <c r="ABU44" s="82"/>
      <c r="ABV44" s="82"/>
      <c r="ABW44" s="82"/>
      <c r="ABX44" s="82"/>
      <c r="ABY44" s="82"/>
      <c r="ABZ44" s="82"/>
      <c r="ACA44" s="82"/>
      <c r="ACB44" s="82"/>
      <c r="ACC44" s="82"/>
      <c r="ACD44" s="82"/>
      <c r="ACE44" s="82"/>
      <c r="ACF44" s="82"/>
      <c r="ACG44" s="82"/>
      <c r="ACH44" s="82"/>
      <c r="ACI44" s="82"/>
      <c r="ACJ44" s="82"/>
      <c r="ACK44" s="82"/>
      <c r="ACL44" s="82"/>
      <c r="ACM44" s="82"/>
      <c r="ACN44" s="82"/>
      <c r="ACO44" s="82"/>
      <c r="ACP44" s="82"/>
      <c r="ACQ44" s="82"/>
      <c r="ACR44" s="82"/>
      <c r="ACS44" s="82"/>
      <c r="ACT44" s="82"/>
      <c r="ACU44" s="82"/>
      <c r="ACV44" s="82"/>
      <c r="ACW44" s="82"/>
      <c r="ACX44" s="82"/>
      <c r="ACY44" s="82"/>
      <c r="ACZ44" s="82"/>
      <c r="ADA44" s="82"/>
      <c r="ADB44" s="82"/>
      <c r="ADC44" s="82"/>
      <c r="ADD44" s="82"/>
      <c r="ADE44" s="82"/>
      <c r="ADF44" s="82"/>
      <c r="ADG44" s="82"/>
      <c r="ADH44" s="82"/>
      <c r="ADI44" s="82"/>
      <c r="ADJ44" s="82"/>
      <c r="ADK44" s="82"/>
      <c r="ADL44" s="82"/>
      <c r="ADM44" s="82"/>
      <c r="ADN44" s="82"/>
      <c r="ADO44" s="82"/>
      <c r="ADP44" s="82"/>
      <c r="ADQ44" s="82"/>
      <c r="ADR44" s="82"/>
      <c r="ADS44" s="82"/>
      <c r="ADT44" s="82"/>
      <c r="ADU44" s="82"/>
      <c r="ADV44" s="82"/>
      <c r="ADW44" s="82"/>
      <c r="ADX44" s="82"/>
      <c r="ADY44" s="82"/>
      <c r="ADZ44" s="82"/>
      <c r="AEA44" s="82"/>
      <c r="AEB44" s="82"/>
      <c r="AEC44" s="82"/>
      <c r="AED44" s="82"/>
      <c r="AEE44" s="82"/>
      <c r="AEF44" s="82"/>
      <c r="AEG44" s="82"/>
      <c r="AEH44" s="82"/>
      <c r="AEI44" s="82"/>
      <c r="AEJ44" s="82"/>
      <c r="AEK44" s="82"/>
      <c r="AEL44" s="82"/>
      <c r="AEM44" s="82"/>
      <c r="AEN44" s="82"/>
      <c r="AEO44" s="82"/>
      <c r="AEP44" s="82"/>
      <c r="AEQ44" s="82"/>
      <c r="AER44" s="82"/>
      <c r="AES44" s="82"/>
      <c r="AET44" s="82"/>
      <c r="AEU44" s="82"/>
      <c r="AEV44" s="82"/>
      <c r="AEW44" s="82"/>
      <c r="AEX44" s="82"/>
      <c r="AEY44" s="82"/>
      <c r="AEZ44" s="82"/>
      <c r="AFA44" s="82"/>
      <c r="AFB44" s="82"/>
      <c r="AFC44" s="82"/>
      <c r="AFD44" s="82"/>
      <c r="AFE44" s="82"/>
      <c r="AFF44" s="82"/>
      <c r="AFG44" s="82"/>
      <c r="AFH44" s="82"/>
      <c r="AFI44" s="82"/>
      <c r="AFJ44" s="82"/>
      <c r="AFK44" s="82"/>
      <c r="AFL44" s="82"/>
      <c r="AFM44" s="82"/>
      <c r="AFN44" s="82"/>
      <c r="AFO44" s="82"/>
      <c r="AFP44" s="82"/>
      <c r="AFQ44" s="82"/>
      <c r="AFR44" s="82"/>
      <c r="AFS44" s="82"/>
      <c r="AFT44" s="82"/>
      <c r="AFU44" s="82"/>
      <c r="AFV44" s="82"/>
      <c r="AFW44" s="82"/>
      <c r="AFX44" s="82"/>
      <c r="AFY44" s="82"/>
      <c r="AFZ44" s="82"/>
      <c r="AGA44" s="82"/>
      <c r="AGB44" s="82"/>
      <c r="AGC44" s="82"/>
      <c r="AGD44" s="82"/>
      <c r="AGE44" s="82"/>
      <c r="AGF44" s="82"/>
      <c r="AGG44" s="82"/>
      <c r="AGH44" s="82"/>
      <c r="AGI44" s="82"/>
      <c r="AGJ44" s="82"/>
      <c r="AGK44" s="82"/>
      <c r="AGL44" s="82"/>
      <c r="AGM44" s="82"/>
      <c r="AGN44" s="82"/>
      <c r="AGO44" s="82"/>
      <c r="AGP44" s="82"/>
      <c r="AGQ44" s="82"/>
      <c r="AGR44" s="82"/>
      <c r="AGS44" s="82"/>
      <c r="AGT44" s="82"/>
      <c r="AGU44" s="82"/>
      <c r="AGV44" s="82"/>
      <c r="AGW44" s="82"/>
      <c r="AGX44" s="82"/>
      <c r="AGY44" s="82"/>
      <c r="AGZ44" s="82"/>
      <c r="AHA44" s="82"/>
      <c r="AHB44" s="82"/>
      <c r="AHC44" s="82"/>
      <c r="AHD44" s="82"/>
      <c r="AHE44" s="82"/>
      <c r="AHF44" s="82"/>
      <c r="AHG44" s="82"/>
      <c r="AHH44" s="82"/>
      <c r="AHI44" s="82"/>
      <c r="AHJ44" s="82"/>
      <c r="AHK44" s="82"/>
      <c r="AHL44" s="82"/>
      <c r="AHM44" s="82"/>
      <c r="AHN44" s="82"/>
      <c r="AHO44" s="82"/>
      <c r="AHP44" s="82"/>
      <c r="AHQ44" s="82"/>
      <c r="AHR44" s="82"/>
      <c r="AHS44" s="82"/>
      <c r="AHT44" s="82"/>
      <c r="AHU44" s="82"/>
      <c r="AHV44" s="82"/>
      <c r="AHW44" s="82"/>
      <c r="AHX44" s="82"/>
      <c r="AHY44" s="82"/>
      <c r="AHZ44" s="14"/>
      <c r="AIA44" s="82"/>
      <c r="AIB44" s="82"/>
      <c r="AIC44" s="82"/>
      <c r="AID44" s="82"/>
      <c r="AIE44" s="82"/>
      <c r="AIF44" s="82"/>
      <c r="AIG44" s="82"/>
      <c r="AIH44" s="82"/>
      <c r="AII44" s="82"/>
      <c r="AIJ44" s="82"/>
      <c r="AIK44" s="82"/>
      <c r="AIL44" s="82"/>
      <c r="AIM44" s="82"/>
      <c r="AIN44" s="82"/>
      <c r="AIO44" s="82"/>
      <c r="AIP44" s="82"/>
      <c r="AIQ44" s="82"/>
      <c r="AIR44" s="82"/>
      <c r="AIS44" s="82"/>
      <c r="AIT44" s="82"/>
      <c r="AIU44" s="82"/>
      <c r="AIV44" s="82"/>
      <c r="AIW44" s="82"/>
      <c r="AIX44" s="82"/>
      <c r="AIY44" s="82"/>
      <c r="AIZ44" s="82"/>
      <c r="AJA44" s="82"/>
      <c r="AJB44" s="82"/>
      <c r="AJC44" s="82"/>
      <c r="AJD44" s="82"/>
      <c r="AJE44" s="82"/>
      <c r="AJF44" s="82"/>
      <c r="AJG44" s="82"/>
      <c r="AJH44" s="82"/>
      <c r="AJI44" s="82"/>
      <c r="AJJ44" s="82"/>
      <c r="AJK44" s="82"/>
      <c r="AJL44" s="82"/>
      <c r="AJM44" s="82"/>
      <c r="AJN44" s="82"/>
      <c r="AJO44" s="14"/>
      <c r="AJP44" s="14"/>
      <c r="AJQ44" s="14"/>
      <c r="AJR44" s="82"/>
      <c r="AJS44" s="82"/>
      <c r="AJT44" s="82"/>
      <c r="AJU44" s="82"/>
      <c r="AJV44" s="82"/>
      <c r="AJW44" s="82"/>
      <c r="AJX44" s="82"/>
      <c r="AJY44" s="82"/>
      <c r="AJZ44" s="82"/>
      <c r="AKA44" s="82"/>
      <c r="AKB44" s="82"/>
      <c r="AKC44" s="82"/>
      <c r="AKD44" s="82"/>
      <c r="AKE44" s="82"/>
      <c r="AKF44" s="82"/>
      <c r="AKG44" s="82"/>
      <c r="AKH44" s="82"/>
      <c r="AKI44" s="82"/>
      <c r="AKJ44" s="82"/>
      <c r="AKK44" s="82"/>
      <c r="AKL44" s="82"/>
      <c r="AKM44" s="82"/>
      <c r="AKN44" s="82"/>
      <c r="AKO44" s="82"/>
      <c r="AKP44" s="82"/>
      <c r="AKQ44" s="82"/>
      <c r="AKR44" s="82"/>
      <c r="AKS44" s="82"/>
      <c r="AKT44" s="82"/>
      <c r="AKU44" s="82"/>
      <c r="AKV44" s="82"/>
      <c r="AKW44" s="82"/>
      <c r="AKX44" s="82"/>
      <c r="AKY44" s="82"/>
      <c r="AKZ44" s="82"/>
      <c r="ALA44" s="82"/>
      <c r="ALB44" s="82"/>
      <c r="ALC44" s="82"/>
      <c r="ALD44" s="82"/>
      <c r="ALE44" s="82"/>
      <c r="ALF44" s="82"/>
      <c r="ALG44" s="82"/>
      <c r="ALH44" s="82"/>
      <c r="ALI44" s="82"/>
      <c r="ALJ44" s="82"/>
      <c r="ALK44" s="82"/>
      <c r="ALL44" s="82"/>
      <c r="ALM44" s="82"/>
      <c r="ALN44" s="82"/>
      <c r="ALO44" s="82"/>
      <c r="ALP44" s="82"/>
      <c r="ALQ44" s="82"/>
      <c r="ALR44" s="82"/>
      <c r="ALS44" s="82"/>
      <c r="ALT44" s="82"/>
      <c r="ALU44" s="82"/>
      <c r="ALV44" s="82"/>
      <c r="ALW44" s="82"/>
      <c r="ALX44" s="82"/>
      <c r="ALY44" s="82"/>
      <c r="ALZ44" s="82"/>
      <c r="AMA44" s="82"/>
      <c r="AMB44" s="82"/>
      <c r="AMC44" s="82"/>
      <c r="AMD44" s="82"/>
      <c r="AME44" s="82"/>
      <c r="AMF44" s="82"/>
      <c r="AMG44" s="82"/>
      <c r="AMH44" s="82"/>
      <c r="AMI44" s="82"/>
      <c r="AMJ44" s="82"/>
      <c r="AMK44" s="82"/>
      <c r="AML44" s="82"/>
      <c r="AMM44" s="82"/>
      <c r="AMN44" s="82"/>
      <c r="AMO44" s="82"/>
      <c r="AMP44" s="82"/>
      <c r="AMQ44" s="82"/>
      <c r="AMR44" s="82"/>
      <c r="AMS44" s="82"/>
      <c r="AMT44" s="82"/>
      <c r="AMU44" s="82"/>
      <c r="AMV44" s="82"/>
      <c r="AMW44" s="82"/>
      <c r="AMX44" s="82"/>
      <c r="AMY44" s="82"/>
      <c r="AMZ44" s="82"/>
      <c r="ANA44" s="82"/>
      <c r="ANB44" s="82"/>
      <c r="ANC44" s="82"/>
      <c r="AND44" s="82"/>
      <c r="ANE44" s="82"/>
      <c r="ANF44" s="82"/>
      <c r="ANG44" s="82"/>
      <c r="ANH44" s="82"/>
      <c r="ANI44" s="82"/>
      <c r="ANJ44" s="82"/>
      <c r="ANK44" s="82"/>
      <c r="ANL44" s="82"/>
      <c r="ANM44" s="82"/>
      <c r="ANN44" s="82"/>
      <c r="ANO44" s="82"/>
      <c r="ANP44" s="82"/>
      <c r="ANQ44" s="82"/>
      <c r="ANR44" s="82"/>
      <c r="ANS44" s="82"/>
      <c r="ANT44" s="82"/>
      <c r="ANU44" s="82"/>
      <c r="ANV44" s="82"/>
      <c r="ANW44" s="82"/>
      <c r="ANX44" s="82"/>
      <c r="ANY44" s="82"/>
      <c r="ANZ44" s="82"/>
      <c r="AOA44" s="82"/>
      <c r="AOB44" s="82"/>
      <c r="AOC44" s="82"/>
      <c r="AOD44" s="82"/>
      <c r="AOE44" s="82"/>
      <c r="AOF44" s="82"/>
      <c r="AOG44" s="82"/>
      <c r="AOH44" s="82"/>
      <c r="AOI44" s="82"/>
      <c r="AOJ44" s="82"/>
      <c r="AOK44" s="82"/>
      <c r="AOL44" s="82"/>
      <c r="AOM44" s="82"/>
      <c r="AON44" s="82"/>
      <c r="AOO44" s="82"/>
      <c r="AOP44" s="82"/>
      <c r="AOQ44" s="82"/>
      <c r="AOR44" s="82"/>
      <c r="AOS44" s="82"/>
      <c r="AOT44" s="82"/>
      <c r="AOU44" s="82"/>
      <c r="AOV44" s="82"/>
      <c r="AOW44" s="82"/>
      <c r="AOX44" s="82"/>
      <c r="AOY44" s="82"/>
      <c r="AOZ44" s="82"/>
      <c r="APA44" s="82"/>
      <c r="APB44" s="82"/>
      <c r="APC44" s="82"/>
      <c r="APD44" s="82"/>
      <c r="APE44" s="82"/>
      <c r="APF44" s="82"/>
      <c r="APG44" s="82"/>
      <c r="APH44" s="82"/>
      <c r="API44" s="82"/>
      <c r="APJ44" s="82"/>
      <c r="APK44" s="82"/>
      <c r="APL44" s="82"/>
      <c r="APM44" s="82"/>
      <c r="APN44" s="82"/>
      <c r="APO44" s="82"/>
      <c r="APP44" s="82"/>
      <c r="APQ44" s="82"/>
      <c r="APR44" s="82"/>
      <c r="APS44" s="82"/>
      <c r="APT44" s="82"/>
      <c r="APU44" s="82"/>
      <c r="APV44" s="82"/>
      <c r="APW44" s="82"/>
      <c r="APX44" s="82"/>
      <c r="APY44" s="82"/>
      <c r="APZ44" s="82"/>
      <c r="AQA44" s="82"/>
      <c r="AQB44" s="82"/>
      <c r="AQC44" s="82"/>
      <c r="AQD44" s="82"/>
      <c r="AQE44" s="82"/>
      <c r="AQF44" s="82"/>
      <c r="AQG44" s="82"/>
      <c r="AQH44" s="82"/>
      <c r="AQI44" s="82"/>
      <c r="AQJ44" s="82"/>
      <c r="AQK44" s="82"/>
      <c r="AQL44" s="82"/>
      <c r="AQM44" s="82"/>
      <c r="AQN44" s="82"/>
      <c r="AQO44" s="82"/>
      <c r="AQP44" s="82"/>
      <c r="AQQ44" s="82"/>
      <c r="AQR44" s="82"/>
      <c r="AQS44" s="82"/>
      <c r="AQT44" s="82"/>
      <c r="AQU44" s="82"/>
      <c r="AQV44" s="82"/>
      <c r="AQW44" s="82"/>
      <c r="AQX44" s="82"/>
      <c r="AQY44" s="82"/>
      <c r="AQZ44" s="82"/>
      <c r="ARA44" s="82"/>
      <c r="ARB44" s="82"/>
      <c r="ARC44" s="82"/>
      <c r="ARD44" s="82"/>
      <c r="ARE44" s="82"/>
      <c r="ARF44" s="82"/>
      <c r="ARG44" s="82"/>
      <c r="ARH44" s="82"/>
      <c r="ARI44" s="82"/>
      <c r="ARJ44" s="82"/>
      <c r="ARK44" s="82"/>
      <c r="ARL44" s="82"/>
      <c r="ARM44" s="82"/>
      <c r="ARN44" s="82"/>
      <c r="ARO44" s="82"/>
      <c r="ARP44" s="82"/>
      <c r="ARQ44" s="82"/>
      <c r="ARR44" s="82"/>
      <c r="ARS44" s="82"/>
      <c r="ART44" s="82"/>
      <c r="ARU44" s="82"/>
      <c r="ARV44" s="82"/>
      <c r="ARW44" s="82"/>
      <c r="ARX44" s="82"/>
      <c r="ARY44" s="82"/>
      <c r="ARZ44" s="82"/>
      <c r="ASA44" s="82"/>
      <c r="ASB44" s="82"/>
      <c r="ASC44" s="82"/>
      <c r="ASD44" s="82"/>
      <c r="ASE44" s="82"/>
      <c r="ASF44" s="82"/>
      <c r="ASG44" s="82"/>
      <c r="ASH44" s="82"/>
      <c r="ASI44" s="82"/>
      <c r="ASJ44" s="82"/>
      <c r="ASK44" s="82"/>
      <c r="ASL44" s="82"/>
      <c r="ASM44" s="82"/>
      <c r="ASN44" s="82"/>
      <c r="ASO44" s="82"/>
      <c r="ASP44" s="82"/>
      <c r="ASQ44" s="82"/>
      <c r="ASR44" s="82"/>
      <c r="ASS44" s="82"/>
      <c r="AST44" s="82"/>
      <c r="ASU44" s="82"/>
      <c r="ASV44" s="82"/>
      <c r="ASW44" s="82"/>
      <c r="ASX44" s="82"/>
      <c r="ASY44" s="82"/>
      <c r="ASZ44" s="82"/>
      <c r="ATA44" s="82"/>
      <c r="ATB44" s="82"/>
      <c r="ATC44" s="82"/>
      <c r="ATD44" s="82"/>
      <c r="ATE44" s="82"/>
      <c r="ATF44" s="82"/>
      <c r="ATG44" s="82"/>
      <c r="ATH44" s="82"/>
      <c r="ATI44" s="82"/>
      <c r="ATJ44" s="82"/>
      <c r="ATK44" s="82"/>
      <c r="ATL44" s="82"/>
      <c r="ATM44" s="82"/>
      <c r="ATN44" s="82"/>
      <c r="ATO44" s="82"/>
      <c r="ATP44" s="82"/>
      <c r="ATQ44" s="82"/>
      <c r="ATR44" s="82"/>
      <c r="ATS44" s="82"/>
      <c r="ATT44" s="82"/>
      <c r="ATU44" s="82"/>
      <c r="ATV44" s="82"/>
      <c r="ATW44" s="82"/>
      <c r="ATX44" s="82"/>
      <c r="ATY44" s="82"/>
      <c r="ATZ44" s="82"/>
      <c r="AUA44" s="82"/>
      <c r="AUB44" s="82"/>
      <c r="AUC44" s="82"/>
      <c r="AUD44" s="82"/>
      <c r="AUE44" s="82"/>
      <c r="AUF44" s="82"/>
      <c r="AUG44" s="82"/>
      <c r="AUH44" s="82"/>
      <c r="AUI44" s="82"/>
      <c r="AUJ44" s="82"/>
      <c r="AUK44" s="82"/>
      <c r="AUL44" s="82"/>
      <c r="AUM44" s="82"/>
      <c r="AUN44" s="82"/>
      <c r="AUO44" s="82"/>
      <c r="AUP44" s="82"/>
      <c r="AUQ44" s="82"/>
      <c r="AUR44" s="82"/>
      <c r="AUS44" s="82"/>
      <c r="AUT44" s="82"/>
      <c r="AUU44" s="82"/>
      <c r="AUV44" s="82"/>
      <c r="AUW44" s="82"/>
      <c r="AUX44" s="82"/>
      <c r="AUY44" s="82"/>
      <c r="AUZ44" s="82"/>
      <c r="AVA44" s="82"/>
      <c r="AVB44" s="82"/>
      <c r="AVC44" s="82"/>
      <c r="AVD44" s="82"/>
      <c r="AVE44" s="82"/>
      <c r="AVF44" s="82"/>
      <c r="AVG44" s="82"/>
      <c r="AVH44" s="82"/>
      <c r="AVI44" s="82"/>
      <c r="AVJ44" s="82"/>
      <c r="AVK44" s="82"/>
      <c r="AVL44" s="82"/>
      <c r="AVM44" s="82"/>
      <c r="AVN44" s="82"/>
      <c r="AVO44" s="82"/>
      <c r="AVP44" s="82"/>
      <c r="AVQ44" s="82"/>
      <c r="AVR44" s="82"/>
      <c r="AVS44" s="82"/>
      <c r="AVT44" s="82"/>
      <c r="AVU44" s="82"/>
      <c r="AVV44" s="82"/>
      <c r="AVW44" s="82"/>
      <c r="AVX44" s="82"/>
      <c r="AVY44" s="82"/>
      <c r="AVZ44" s="82"/>
      <c r="AWA44" s="82"/>
      <c r="AWB44" s="82"/>
      <c r="AWC44" s="82"/>
      <c r="AWD44" s="82"/>
      <c r="AWE44" s="82"/>
      <c r="AWF44" s="82"/>
      <c r="AWG44" s="82"/>
      <c r="AWH44" s="82"/>
      <c r="AWI44" s="82"/>
      <c r="AWJ44" s="82"/>
      <c r="AWK44" s="82"/>
      <c r="AWL44" s="82"/>
      <c r="AWM44" s="82"/>
      <c r="AWN44" s="82"/>
      <c r="AWO44" s="82"/>
      <c r="AWP44" s="82"/>
      <c r="AWQ44" s="82"/>
      <c r="AWR44" s="82"/>
      <c r="AWS44" s="82"/>
      <c r="AWT44" s="82"/>
      <c r="AWU44" s="82"/>
      <c r="AWV44" s="82"/>
      <c r="AWW44" s="82"/>
      <c r="AWX44" s="82"/>
      <c r="AWY44" s="82"/>
      <c r="AWZ44" s="82"/>
      <c r="AXA44" s="82"/>
      <c r="AXB44" s="82"/>
      <c r="AXC44" s="82"/>
      <c r="AXD44" s="82"/>
      <c r="AXE44" s="82"/>
      <c r="AXF44" s="82"/>
      <c r="AXG44" s="82"/>
      <c r="AXH44" s="82"/>
      <c r="AXI44" s="82"/>
      <c r="AXJ44" s="82"/>
      <c r="AXK44" s="82"/>
      <c r="AXL44" s="82"/>
      <c r="AXM44" s="82"/>
      <c r="AXN44" s="82"/>
      <c r="AXO44" s="82"/>
      <c r="AXP44" s="82"/>
      <c r="AXQ44" s="82"/>
      <c r="AXR44" s="82"/>
      <c r="AXS44" s="82"/>
      <c r="AXT44" s="82"/>
      <c r="AXU44" s="82"/>
      <c r="AXV44" s="82"/>
      <c r="AXW44" s="82"/>
      <c r="AXX44" s="82"/>
      <c r="AXY44" s="82"/>
      <c r="AXZ44" s="82"/>
      <c r="AYA44" s="82"/>
      <c r="AYB44" s="82"/>
      <c r="AYC44" s="82"/>
      <c r="AYD44" s="82"/>
      <c r="AYE44" s="82"/>
      <c r="AYF44" s="82"/>
      <c r="AYG44" s="82"/>
      <c r="AYH44" s="82"/>
      <c r="AYI44" s="82"/>
      <c r="AYJ44" s="82"/>
      <c r="AYK44" s="82"/>
      <c r="AYL44" s="82"/>
      <c r="AYM44" s="82"/>
      <c r="AYN44" s="82"/>
      <c r="AYO44" s="82"/>
      <c r="AYP44" s="82"/>
      <c r="AYQ44" s="82"/>
      <c r="AYR44" s="82"/>
      <c r="AYS44" s="82"/>
      <c r="AYT44" s="82"/>
      <c r="AYU44" s="82"/>
      <c r="AYV44" s="82"/>
      <c r="AYW44" s="82"/>
      <c r="AYX44" s="82"/>
      <c r="AYY44" s="82"/>
      <c r="AYZ44" s="82"/>
      <c r="AZA44" s="82"/>
      <c r="AZB44" s="82"/>
      <c r="AZC44" s="82"/>
      <c r="AZD44" s="82"/>
      <c r="AZE44" s="82"/>
      <c r="AZF44" s="82"/>
      <c r="AZG44" s="82"/>
      <c r="AZH44" s="82"/>
      <c r="AZI44" s="82"/>
      <c r="AZJ44" s="82"/>
      <c r="AZK44" s="82"/>
      <c r="AZL44" s="82"/>
      <c r="AZM44" s="82"/>
      <c r="AZN44" s="82"/>
      <c r="AZO44" s="82"/>
      <c r="AZP44" s="82"/>
      <c r="AZQ44" s="82"/>
      <c r="AZR44" s="82"/>
      <c r="AZS44" s="82"/>
      <c r="AZT44" s="82"/>
      <c r="AZU44" s="82"/>
      <c r="AZV44" s="82"/>
      <c r="AZW44" s="82"/>
      <c r="AZX44" s="82"/>
      <c r="AZY44" s="82"/>
      <c r="AZZ44" s="82"/>
      <c r="BAA44" s="82"/>
      <c r="BAB44" s="82"/>
      <c r="BAC44" s="82"/>
      <c r="BAD44" s="82"/>
      <c r="BAE44" s="82"/>
      <c r="BAF44" s="82"/>
      <c r="BAG44" s="82"/>
      <c r="BAH44" s="82"/>
      <c r="BAI44" s="82"/>
      <c r="BAJ44" s="82"/>
      <c r="BAK44" s="82"/>
      <c r="BAL44" s="82"/>
      <c r="BAM44" s="82"/>
      <c r="BAN44" s="82"/>
      <c r="BAO44" s="82"/>
      <c r="BAP44" s="82"/>
      <c r="BAQ44" s="82"/>
      <c r="BAR44" s="82"/>
      <c r="BAS44" s="82"/>
      <c r="BAT44" s="82"/>
      <c r="BAU44" s="82"/>
      <c r="BAV44" s="82"/>
      <c r="BAW44" s="82"/>
      <c r="BAX44" s="82"/>
      <c r="BAY44" s="82"/>
      <c r="BAZ44" s="82"/>
      <c r="BBA44" s="82"/>
      <c r="BBB44" s="82"/>
      <c r="BBC44" s="82"/>
      <c r="BBD44" s="82"/>
      <c r="BBE44" s="82"/>
      <c r="BBF44" s="82"/>
      <c r="BBG44" s="82"/>
      <c r="BBH44" s="82"/>
      <c r="BBI44" s="82"/>
      <c r="BBJ44" s="82"/>
      <c r="BBK44" s="82"/>
      <c r="BBL44" s="82"/>
      <c r="BBM44" s="82"/>
      <c r="BBN44" s="82"/>
      <c r="BBO44" s="82"/>
      <c r="BBP44" s="82"/>
      <c r="BBQ44" s="82"/>
      <c r="BBR44" s="82"/>
      <c r="BBS44" s="82"/>
      <c r="BBT44" s="82"/>
      <c r="BBU44" s="82"/>
      <c r="BBV44" s="82"/>
      <c r="BBW44" s="82"/>
      <c r="BBX44" s="82"/>
      <c r="BBY44" s="82"/>
      <c r="BBZ44" s="82"/>
      <c r="BCA44" s="82"/>
      <c r="BCB44" s="82"/>
      <c r="BCC44" s="82"/>
      <c r="BCD44" s="82"/>
      <c r="BCE44" s="82"/>
      <c r="BCF44" s="82"/>
      <c r="BCG44" s="82"/>
      <c r="BCH44" s="82"/>
      <c r="BCI44" s="82"/>
      <c r="BCJ44" s="82"/>
      <c r="BCK44" s="82"/>
      <c r="BCL44" s="82"/>
      <c r="BCM44" s="82"/>
      <c r="BCN44" s="82"/>
      <c r="BCO44" s="82"/>
      <c r="BCP44" s="82"/>
      <c r="BCQ44" s="82"/>
      <c r="BCR44" s="82"/>
      <c r="BCS44" s="82"/>
      <c r="BCT44" s="82"/>
      <c r="BCU44" s="82"/>
      <c r="BCV44" s="82"/>
      <c r="BCW44" s="82"/>
      <c r="BCX44" s="82"/>
      <c r="BCY44" s="82"/>
      <c r="BCZ44" s="82"/>
      <c r="BDA44" s="82"/>
      <c r="BDB44" s="82"/>
      <c r="BDC44" s="82"/>
      <c r="BDD44" s="82"/>
      <c r="BDE44" s="82"/>
      <c r="BDF44" s="82"/>
      <c r="BDG44" s="82"/>
      <c r="BDH44" s="82"/>
      <c r="BDI44" s="82"/>
      <c r="BDJ44" s="82"/>
      <c r="BDK44" s="82"/>
      <c r="BDL44" s="82"/>
      <c r="BDM44" s="82"/>
      <c r="BDN44" s="82"/>
      <c r="BDO44" s="82"/>
      <c r="BDP44" s="82"/>
      <c r="BDQ44" s="82"/>
      <c r="BDR44" s="82"/>
      <c r="BDS44" s="82"/>
      <c r="BDT44" s="82"/>
      <c r="BDU44" s="82"/>
      <c r="BDV44" s="82"/>
      <c r="BDW44" s="82"/>
      <c r="BDX44" s="82"/>
      <c r="BDY44" s="82"/>
      <c r="BDZ44" s="82"/>
      <c r="BEA44" s="82"/>
      <c r="BEB44" s="82"/>
      <c r="BEC44" s="82"/>
      <c r="BED44" s="82"/>
      <c r="BEE44" s="82"/>
      <c r="BEF44" s="82"/>
      <c r="BEG44" s="82"/>
      <c r="BEH44" s="82"/>
      <c r="BEI44" s="82"/>
      <c r="BEJ44" s="82"/>
      <c r="BEK44" s="82"/>
      <c r="BEL44" s="82"/>
      <c r="BEM44" s="82"/>
      <c r="BEN44" s="82"/>
      <c r="BEO44" s="82"/>
      <c r="BEP44" s="82"/>
      <c r="BEQ44" s="82"/>
      <c r="BER44" s="82"/>
      <c r="BES44" s="82"/>
      <c r="BET44" s="82"/>
      <c r="BEU44" s="82"/>
      <c r="BEV44" s="82"/>
      <c r="BEW44" s="82"/>
      <c r="BEX44" s="82"/>
      <c r="BEY44" s="82"/>
      <c r="BEZ44" s="82"/>
      <c r="BFA44" s="82"/>
      <c r="BFB44" s="82"/>
      <c r="BFC44" s="82"/>
      <c r="BFD44" s="82"/>
      <c r="BFE44" s="82"/>
      <c r="BFF44" s="82"/>
      <c r="BFG44" s="82"/>
      <c r="BFH44" s="82"/>
      <c r="BFI44" s="82"/>
      <c r="BFJ44" s="82"/>
      <c r="BFK44" s="82"/>
      <c r="BFL44" s="82"/>
      <c r="BFM44" s="82"/>
      <c r="BFN44" s="82"/>
      <c r="BFO44" s="82"/>
      <c r="BFP44" s="82"/>
      <c r="BFQ44" s="82"/>
      <c r="BFR44" s="82"/>
      <c r="BFS44" s="82"/>
      <c r="BFT44" s="82"/>
      <c r="BFU44" s="82"/>
      <c r="BFV44" s="82"/>
      <c r="BFW44" s="82"/>
      <c r="BFX44" s="82"/>
      <c r="BFY44" s="82"/>
      <c r="BFZ44" s="82"/>
      <c r="BGA44" s="82"/>
      <c r="BGB44" s="82"/>
      <c r="BGC44" s="82"/>
      <c r="BGD44" s="82"/>
      <c r="BGE44" s="82"/>
      <c r="BGF44" s="82"/>
      <c r="BGG44" s="82"/>
      <c r="BGH44" s="82"/>
      <c r="BGI44" s="82"/>
      <c r="BGJ44" s="82"/>
      <c r="BGK44" s="82"/>
      <c r="BGL44" s="82"/>
      <c r="BGM44" s="82"/>
      <c r="BGN44" s="82"/>
      <c r="BGO44" s="82"/>
      <c r="BGP44" s="82"/>
      <c r="BGQ44" s="82"/>
      <c r="BGR44" s="82"/>
      <c r="BGS44" s="82"/>
      <c r="BGT44" s="82"/>
      <c r="BGU44" s="82"/>
      <c r="BGV44" s="82"/>
      <c r="BGW44" s="82"/>
      <c r="BGX44" s="82"/>
      <c r="BGY44" s="82"/>
      <c r="BGZ44" s="82"/>
      <c r="BHA44" s="82"/>
      <c r="BHB44" s="82"/>
      <c r="BHC44" s="82"/>
      <c r="BHD44" s="82"/>
      <c r="BHE44" s="82"/>
      <c r="BHF44" s="82"/>
      <c r="BHG44" s="82"/>
      <c r="BHH44" s="82"/>
      <c r="BHI44" s="82"/>
      <c r="BHJ44" s="82"/>
      <c r="BHK44" s="82"/>
      <c r="BHL44" s="82"/>
      <c r="BHM44" s="82"/>
      <c r="BHN44" s="82"/>
      <c r="BHO44" s="82"/>
      <c r="BHP44" s="82"/>
      <c r="BHQ44" s="82"/>
      <c r="BHR44" s="82"/>
      <c r="BHS44" s="82"/>
      <c r="BHT44" s="82"/>
      <c r="BHU44" s="82"/>
      <c r="BHV44" s="82"/>
      <c r="BHW44" s="82"/>
      <c r="BHX44" s="82"/>
      <c r="BHY44" s="82"/>
      <c r="BHZ44" s="82"/>
      <c r="BIA44" s="82"/>
      <c r="BIB44" s="82"/>
      <c r="BIC44" s="82"/>
      <c r="BID44" s="82"/>
      <c r="BIE44" s="82"/>
      <c r="BIF44" s="82"/>
      <c r="BIG44" s="82"/>
      <c r="BIH44" s="82"/>
      <c r="BII44" s="82"/>
      <c r="BIJ44" s="82"/>
      <c r="BIK44" s="82"/>
      <c r="BIL44" s="82"/>
      <c r="BIM44" s="82"/>
      <c r="BIN44" s="82"/>
      <c r="BIO44" s="82"/>
      <c r="BIP44" s="82"/>
      <c r="BIQ44" s="82"/>
      <c r="BIR44" s="82"/>
      <c r="BIS44" s="82"/>
      <c r="BIT44" s="82"/>
      <c r="BIU44" s="82"/>
      <c r="BIV44" s="82"/>
      <c r="BIW44" s="82"/>
      <c r="BIX44" s="82"/>
      <c r="BIY44" s="82"/>
      <c r="BIZ44" s="82"/>
      <c r="BJA44" s="82"/>
      <c r="BJB44" s="82"/>
      <c r="BJC44" s="82"/>
      <c r="BJD44" s="82"/>
      <c r="BJE44" s="82"/>
      <c r="BJF44" s="82"/>
      <c r="BJG44" s="82"/>
      <c r="BJH44" s="82"/>
      <c r="BJI44" s="82"/>
      <c r="BJJ44" s="82"/>
      <c r="BJK44" s="82"/>
      <c r="BJL44" s="82"/>
      <c r="BJM44" s="82"/>
      <c r="BJN44" s="82"/>
      <c r="BJO44" s="82"/>
      <c r="BJP44" s="82"/>
      <c r="BJQ44" s="82"/>
      <c r="BJR44" s="82"/>
      <c r="BJS44" s="82"/>
      <c r="BJT44" s="82"/>
      <c r="BJU44" s="82"/>
      <c r="BJV44" s="82"/>
      <c r="BJW44" s="82"/>
      <c r="BJX44" s="82"/>
      <c r="BJY44" s="82"/>
      <c r="BJZ44" s="82"/>
      <c r="BKA44" s="82"/>
      <c r="BKB44" s="82"/>
      <c r="BKC44" s="82"/>
      <c r="BKD44" s="82"/>
      <c r="BKE44" s="82"/>
      <c r="BKF44" s="82"/>
      <c r="BKG44" s="82"/>
      <c r="BKH44" s="82"/>
      <c r="BKI44" s="82"/>
      <c r="BKJ44" s="82"/>
      <c r="BKK44" s="82"/>
      <c r="BKL44" s="82"/>
      <c r="BKM44" s="82"/>
      <c r="BKN44" s="82"/>
      <c r="BKO44" s="82"/>
      <c r="BKP44" s="82"/>
      <c r="BKQ44" s="82"/>
      <c r="BKR44" s="82"/>
      <c r="BKS44" s="82"/>
      <c r="BKT44" s="82"/>
      <c r="BKU44" s="82"/>
      <c r="BKV44" s="82"/>
      <c r="BKW44" s="82"/>
      <c r="BKX44" s="82"/>
      <c r="BKY44" s="82"/>
      <c r="BKZ44" s="82"/>
      <c r="BLA44" s="82"/>
      <c r="BLB44" s="82"/>
      <c r="BLC44" s="82"/>
      <c r="BLD44" s="82"/>
      <c r="BLE44" s="82"/>
      <c r="BLF44" s="82"/>
      <c r="BLG44" s="82"/>
      <c r="BLH44" s="82"/>
      <c r="BLI44" s="82"/>
      <c r="BLJ44" s="82"/>
      <c r="BLK44" s="82"/>
      <c r="BLL44" s="82"/>
      <c r="BLM44" s="82"/>
      <c r="BLN44" s="82"/>
      <c r="BLO44" s="82"/>
      <c r="BLP44" s="82"/>
      <c r="BLQ44" s="82"/>
      <c r="BLR44" s="82"/>
      <c r="BLS44" s="82"/>
      <c r="BLT44" s="82"/>
      <c r="BLU44" s="82"/>
      <c r="BLV44" s="82"/>
      <c r="BLW44" s="82"/>
      <c r="BLX44" s="82"/>
      <c r="BLY44" s="82"/>
      <c r="BLZ44" s="82"/>
      <c r="BMA44" s="82"/>
      <c r="BMB44" s="82"/>
      <c r="BMC44" s="82"/>
      <c r="BMD44" s="82"/>
      <c r="BME44" s="82"/>
      <c r="BMF44" s="82"/>
      <c r="BMG44" s="82"/>
      <c r="BMH44" s="82"/>
      <c r="BMI44" s="82"/>
      <c r="BMJ44" s="82"/>
      <c r="BMK44" s="82"/>
      <c r="BML44" s="82"/>
      <c r="BMM44" s="82"/>
      <c r="BMN44" s="82"/>
      <c r="BMO44" s="82"/>
      <c r="BMP44" s="82"/>
      <c r="BMQ44" s="82"/>
      <c r="BMR44" s="82"/>
      <c r="BMS44" s="82"/>
      <c r="BMT44" s="82"/>
      <c r="BMU44" s="82"/>
      <c r="BMV44" s="82"/>
      <c r="BMW44" s="82"/>
      <c r="BMX44" s="82"/>
      <c r="BMY44" s="82"/>
      <c r="BMZ44" s="82"/>
      <c r="BNA44" s="82"/>
      <c r="BNB44" s="82"/>
      <c r="BNC44" s="82"/>
      <c r="BND44" s="82"/>
      <c r="BNE44" s="82"/>
      <c r="BNF44" s="82"/>
      <c r="BNG44" s="82"/>
      <c r="BNH44" s="82"/>
      <c r="BNI44" s="82"/>
      <c r="BNJ44" s="82"/>
      <c r="BNK44" s="82"/>
      <c r="BNL44" s="82"/>
      <c r="BNM44" s="82"/>
      <c r="BNN44" s="82"/>
      <c r="BNO44" s="82"/>
      <c r="BNP44" s="82"/>
      <c r="BNQ44" s="82"/>
      <c r="BNR44" s="82"/>
      <c r="BNS44" s="82"/>
      <c r="BNT44" s="82"/>
      <c r="BNU44" s="82"/>
      <c r="BNV44" s="82"/>
      <c r="BNW44" s="82"/>
      <c r="BNX44" s="82"/>
      <c r="BNY44" s="82"/>
      <c r="BNZ44" s="82"/>
      <c r="BOA44" s="82"/>
      <c r="BOB44" s="82"/>
      <c r="BOC44" s="82"/>
      <c r="BOD44" s="82"/>
      <c r="BOE44" s="82"/>
      <c r="BOF44" s="82"/>
      <c r="BOG44" s="82"/>
      <c r="BOH44" s="82"/>
      <c r="BOI44" s="82"/>
      <c r="BOJ44" s="82"/>
      <c r="BOK44" s="82"/>
      <c r="BOL44" s="82"/>
      <c r="BOM44" s="82"/>
      <c r="BON44" s="82"/>
      <c r="BOO44" s="82"/>
      <c r="BOP44" s="82"/>
      <c r="BOQ44" s="82"/>
      <c r="BOR44" s="82"/>
      <c r="BOS44" s="82"/>
      <c r="BOT44" s="82"/>
      <c r="BOU44" s="82"/>
      <c r="BOV44" s="82"/>
      <c r="BOW44" s="82"/>
      <c r="BOX44" s="82"/>
      <c r="BOY44" s="82"/>
      <c r="BOZ44" s="82"/>
      <c r="BPA44" s="82"/>
      <c r="BPB44" s="82"/>
      <c r="BPC44" s="82"/>
      <c r="BPD44" s="82"/>
      <c r="BPE44" s="82"/>
      <c r="BPF44" s="82"/>
      <c r="BPG44" s="82"/>
      <c r="BPH44" s="82"/>
      <c r="BPI44" s="82"/>
      <c r="BPJ44" s="82"/>
      <c r="BPK44" s="82"/>
      <c r="BPL44" s="82"/>
      <c r="BPM44" s="82"/>
      <c r="BPN44" s="82"/>
      <c r="BPO44" s="82"/>
      <c r="BPP44" s="82"/>
      <c r="BPQ44" s="82"/>
      <c r="BPR44" s="82"/>
      <c r="BPS44" s="82"/>
      <c r="BPT44" s="82"/>
      <c r="BPU44" s="82"/>
      <c r="BPV44" s="82"/>
      <c r="BPW44" s="82"/>
      <c r="BPX44" s="82"/>
      <c r="BPY44" s="82"/>
      <c r="BPZ44" s="82"/>
      <c r="BQA44" s="82"/>
      <c r="BQB44" s="82"/>
      <c r="BQC44" s="82"/>
      <c r="BQD44" s="82"/>
      <c r="BQE44" s="82"/>
      <c r="BQF44" s="82"/>
      <c r="BQG44" s="82"/>
      <c r="BQH44" s="82"/>
      <c r="BQI44" s="82"/>
      <c r="BQJ44" s="82"/>
      <c r="BQK44" s="82"/>
      <c r="BQL44" s="82"/>
      <c r="BQM44" s="82"/>
      <c r="BQN44" s="82"/>
      <c r="BQO44" s="82"/>
      <c r="BQP44" s="82"/>
      <c r="BQQ44" s="82"/>
      <c r="BQR44" s="82"/>
      <c r="BQS44" s="82"/>
      <c r="BQT44" s="82"/>
      <c r="BQU44" s="82"/>
      <c r="BQV44" s="82"/>
      <c r="BQW44" s="82"/>
      <c r="BQX44" s="82"/>
      <c r="BQY44" s="82"/>
      <c r="BQZ44" s="82"/>
      <c r="BRA44" s="82"/>
      <c r="BRB44" s="82"/>
      <c r="BRC44" s="82"/>
      <c r="BRD44" s="82"/>
      <c r="BRE44" s="82"/>
      <c r="BRF44" s="82"/>
      <c r="BRG44" s="82"/>
      <c r="BRH44" s="82"/>
      <c r="BRI44" s="82"/>
      <c r="BRJ44" s="82"/>
      <c r="BRK44" s="82"/>
      <c r="BRL44" s="82"/>
      <c r="BRM44" s="82"/>
      <c r="BRN44" s="82"/>
      <c r="BRO44" s="82"/>
      <c r="BRP44" s="82"/>
      <c r="BRQ44" s="82"/>
      <c r="BRR44" s="82"/>
      <c r="BRS44" s="82"/>
      <c r="BRT44" s="82"/>
      <c r="BRU44" s="82"/>
      <c r="BRV44" s="82"/>
      <c r="BRW44" s="82"/>
      <c r="BRX44" s="82"/>
      <c r="BRY44" s="82"/>
      <c r="BRZ44" s="82"/>
      <c r="BSA44" s="82"/>
      <c r="BSB44" s="82"/>
      <c r="BSC44" s="82"/>
      <c r="BSD44" s="82"/>
      <c r="BSE44" s="82"/>
      <c r="BSF44" s="82"/>
      <c r="BSG44" s="82"/>
      <c r="BSH44" s="82"/>
      <c r="BSI44" s="82"/>
      <c r="BSJ44" s="82"/>
      <c r="BSK44" s="82"/>
      <c r="BSL44" s="82"/>
      <c r="BSM44" s="82"/>
      <c r="BSN44" s="82"/>
      <c r="BSO44" s="82"/>
      <c r="BSP44" s="82"/>
      <c r="BSQ44" s="82"/>
      <c r="BSR44" s="82"/>
      <c r="BSS44" s="82"/>
      <c r="BST44" s="82"/>
      <c r="BSU44" s="82"/>
      <c r="BSV44" s="82"/>
      <c r="BSW44" s="82"/>
      <c r="BSX44" s="82"/>
      <c r="BSY44" s="82"/>
      <c r="BSZ44" s="82"/>
      <c r="BTA44" s="82"/>
      <c r="BTB44" s="82"/>
      <c r="BTC44" s="82"/>
      <c r="BTD44" s="82"/>
      <c r="BTE44" s="82"/>
      <c r="BTF44" s="82"/>
      <c r="BTG44" s="82"/>
      <c r="BTH44" s="82"/>
      <c r="BTI44" s="82"/>
      <c r="BTJ44" s="82"/>
      <c r="BTK44" s="82"/>
      <c r="BTL44" s="82"/>
      <c r="BTM44" s="82"/>
      <c r="BTN44" s="82"/>
      <c r="BTO44" s="82"/>
      <c r="BTP44" s="82"/>
      <c r="BTQ44" s="82"/>
      <c r="BTR44" s="82"/>
      <c r="BTS44" s="82"/>
      <c r="BTT44" s="82"/>
      <c r="BTU44" s="82"/>
      <c r="BTV44" s="82"/>
      <c r="BTW44" s="82"/>
      <c r="BTX44" s="82"/>
      <c r="BTY44" s="82"/>
      <c r="BTZ44" s="82"/>
      <c r="BUA44" s="82"/>
      <c r="BUB44" s="82"/>
      <c r="BUC44" s="82"/>
      <c r="BUD44" s="82"/>
      <c r="BUE44" s="82"/>
      <c r="BUF44" s="82"/>
      <c r="BUG44" s="82"/>
      <c r="BUH44" s="82"/>
      <c r="BUI44" s="82"/>
      <c r="BUJ44" s="82"/>
      <c r="BUK44" s="82"/>
      <c r="BUL44" s="82"/>
      <c r="BUM44" s="82"/>
      <c r="BUN44" s="82"/>
      <c r="BUO44" s="82"/>
      <c r="BUP44" s="82"/>
      <c r="BUQ44" s="82"/>
      <c r="BUR44" s="82"/>
      <c r="BUS44" s="82"/>
      <c r="BUT44" s="82"/>
      <c r="BUU44" s="82"/>
      <c r="BUV44" s="82"/>
      <c r="BUW44" s="82"/>
      <c r="BUX44" s="82"/>
      <c r="BUY44" s="82"/>
      <c r="BUZ44" s="82"/>
      <c r="BVA44" s="82"/>
      <c r="BVB44" s="82"/>
      <c r="BVC44" s="82"/>
      <c r="BVD44" s="82"/>
      <c r="BVE44" s="82"/>
      <c r="BVF44" s="82"/>
      <c r="BVG44" s="82"/>
      <c r="BVH44" s="82"/>
      <c r="BVI44" s="82"/>
      <c r="BVJ44" s="82"/>
      <c r="BVK44" s="82"/>
      <c r="BVL44" s="82"/>
      <c r="BVM44" s="82"/>
      <c r="BVN44" s="82"/>
      <c r="BVO44" s="82"/>
      <c r="BVP44" s="82"/>
      <c r="BVQ44" s="82"/>
      <c r="BVR44" s="82"/>
      <c r="BVS44" s="82"/>
      <c r="BVT44" s="82"/>
      <c r="BVU44" s="82"/>
      <c r="BVV44" s="82"/>
      <c r="BVW44" s="82"/>
      <c r="BVX44" s="82"/>
      <c r="BVY44" s="82"/>
      <c r="BVZ44" s="82"/>
      <c r="BWA44" s="82"/>
      <c r="BWB44" s="82"/>
      <c r="BWC44" s="82"/>
      <c r="BWD44" s="82"/>
      <c r="BWE44" s="82"/>
      <c r="BWF44" s="82"/>
      <c r="BWG44" s="82"/>
      <c r="BWH44" s="82"/>
      <c r="BWI44" s="82"/>
      <c r="BWJ44" s="82"/>
      <c r="BWK44" s="82"/>
      <c r="BWL44" s="82"/>
      <c r="BWM44" s="82"/>
      <c r="BWN44" s="82"/>
      <c r="BWO44" s="82"/>
      <c r="BWP44" s="82"/>
      <c r="BWQ44" s="82"/>
      <c r="BWR44" s="82"/>
      <c r="BWS44" s="82"/>
      <c r="BWT44" s="82"/>
      <c r="BWU44" s="82"/>
      <c r="BWV44" s="82"/>
      <c r="BWW44" s="82"/>
      <c r="BWX44" s="82"/>
      <c r="BWY44" s="82"/>
      <c r="BWZ44" s="82"/>
      <c r="BXA44" s="82"/>
      <c r="BXB44" s="82"/>
      <c r="BXC44" s="82"/>
      <c r="BXD44" s="82"/>
      <c r="BXE44" s="82"/>
      <c r="BXF44" s="82"/>
      <c r="BXG44" s="82"/>
      <c r="BXH44" s="82"/>
      <c r="BXI44" s="82"/>
      <c r="BXJ44" s="82"/>
      <c r="BXK44" s="82"/>
      <c r="BXL44" s="82"/>
      <c r="BXM44" s="82"/>
      <c r="BXN44" s="82"/>
      <c r="BXO44" s="82"/>
      <c r="BXP44" s="82"/>
      <c r="BXQ44" s="82"/>
      <c r="BXR44" s="82"/>
      <c r="BXS44" s="82"/>
      <c r="BXT44" s="82"/>
      <c r="BXU44" s="82"/>
      <c r="BXV44" s="82"/>
      <c r="BXW44" s="82"/>
      <c r="BXX44" s="82"/>
      <c r="BXY44" s="82"/>
      <c r="BXZ44" s="82"/>
      <c r="BYA44" s="82"/>
      <c r="BYB44" s="82"/>
      <c r="BYC44" s="82"/>
      <c r="BYD44" s="82"/>
      <c r="BYE44" s="82"/>
      <c r="BYF44" s="82"/>
      <c r="BYG44" s="82"/>
      <c r="BYH44" s="82"/>
      <c r="BYI44" s="82"/>
      <c r="BYJ44" s="82"/>
      <c r="BYK44" s="82"/>
      <c r="BYL44" s="82"/>
      <c r="BYM44" s="82"/>
      <c r="BYN44" s="82"/>
      <c r="BYO44" s="82"/>
      <c r="BYP44" s="82"/>
      <c r="BYQ44" s="82"/>
      <c r="BYR44" s="82"/>
      <c r="BYS44" s="82"/>
      <c r="BYT44" s="82"/>
      <c r="BYU44" s="82"/>
      <c r="BYV44" s="82"/>
      <c r="BYW44" s="82"/>
      <c r="BYX44" s="82"/>
      <c r="BYY44" s="82"/>
      <c r="BYZ44" s="82"/>
      <c r="BZA44" s="82"/>
      <c r="BZB44" s="82"/>
      <c r="BZC44" s="82"/>
      <c r="BZD44" s="82"/>
      <c r="BZE44" s="82"/>
      <c r="BZF44" s="82"/>
      <c r="BZG44" s="82"/>
      <c r="BZH44" s="82"/>
      <c r="BZI44" s="82"/>
      <c r="BZJ44" s="82"/>
      <c r="BZK44" s="82"/>
      <c r="BZL44" s="82"/>
      <c r="BZM44" s="82"/>
      <c r="BZN44" s="82"/>
      <c r="BZO44" s="82"/>
      <c r="BZP44" s="82"/>
      <c r="BZQ44" s="82"/>
      <c r="BZR44" s="82"/>
      <c r="BZS44" s="82"/>
      <c r="BZT44" s="82"/>
      <c r="BZU44" s="82"/>
      <c r="BZV44" s="82"/>
      <c r="BZW44" s="82"/>
      <c r="BZX44" s="82"/>
      <c r="BZY44" s="82"/>
      <c r="BZZ44" s="82"/>
      <c r="CAA44" s="82"/>
      <c r="CAB44" s="82"/>
      <c r="CAC44" s="82"/>
      <c r="CAD44" s="82"/>
      <c r="CAE44" s="82"/>
      <c r="CAF44" s="82"/>
      <c r="CAG44" s="82"/>
      <c r="CAH44" s="82"/>
      <c r="CAI44" s="82"/>
      <c r="CAJ44" s="82"/>
      <c r="CAK44" s="82"/>
      <c r="CAL44" s="82"/>
      <c r="CAM44" s="82"/>
      <c r="CAN44" s="82"/>
      <c r="CAO44" s="82"/>
      <c r="CAP44" s="82"/>
      <c r="CAQ44" s="82"/>
      <c r="CAR44" s="82"/>
      <c r="CAS44" s="82"/>
      <c r="CAT44" s="82"/>
      <c r="CAU44" s="82"/>
      <c r="CAV44" s="82"/>
      <c r="CAW44" s="82"/>
      <c r="CAX44" s="82"/>
      <c r="CAY44" s="82"/>
      <c r="CAZ44" s="82"/>
      <c r="CBA44" s="82"/>
      <c r="CBB44" s="82"/>
      <c r="CBC44" s="82"/>
      <c r="CBD44" s="82"/>
      <c r="CBE44" s="82"/>
      <c r="CBF44" s="82"/>
      <c r="CBG44" s="82"/>
      <c r="CBH44" s="82"/>
      <c r="CBI44" s="82"/>
      <c r="CBJ44" s="82"/>
      <c r="CBK44" s="82"/>
      <c r="CBL44" s="82"/>
      <c r="CBM44" s="82"/>
      <c r="CBN44" s="82"/>
      <c r="CBO44" s="82"/>
      <c r="CBP44" s="82"/>
      <c r="CBQ44" s="82"/>
      <c r="CBR44" s="82"/>
      <c r="CBS44" s="82"/>
      <c r="CBT44" s="82"/>
      <c r="CBU44" s="82"/>
      <c r="CBV44" s="82"/>
      <c r="CBW44" s="82"/>
      <c r="CBX44" s="82"/>
      <c r="CBY44" s="82"/>
      <c r="CBZ44" s="82"/>
      <c r="CCA44" s="82"/>
      <c r="CCB44" s="82"/>
      <c r="CCC44" s="82"/>
      <c r="CCD44" s="82"/>
      <c r="CCE44" s="82"/>
      <c r="CCF44" s="82"/>
      <c r="CCG44" s="82"/>
      <c r="CCH44" s="82"/>
      <c r="CCI44" s="82"/>
      <c r="CCJ44" s="82"/>
      <c r="CCK44" s="82"/>
      <c r="CCL44" s="82"/>
      <c r="CCM44" s="82"/>
      <c r="CCN44" s="82"/>
      <c r="CCO44" s="82"/>
      <c r="CCP44" s="82"/>
      <c r="CCQ44" s="82"/>
      <c r="CCR44" s="82"/>
      <c r="CCS44" s="82"/>
      <c r="CCT44" s="82"/>
      <c r="CCU44" s="82"/>
      <c r="CCV44" s="82"/>
      <c r="CCW44" s="82"/>
      <c r="CCX44" s="82"/>
      <c r="CCY44" s="82"/>
      <c r="CCZ44" s="82"/>
      <c r="CDA44" s="82"/>
      <c r="CDB44" s="82"/>
      <c r="CDC44" s="82"/>
      <c r="CDD44" s="82"/>
      <c r="CDE44" s="82"/>
      <c r="CDF44" s="82"/>
      <c r="CDG44" s="82"/>
      <c r="CDH44" s="82"/>
      <c r="CDI44" s="82"/>
      <c r="CDJ44" s="82"/>
      <c r="CDK44" s="82"/>
      <c r="CDL44" s="82"/>
      <c r="CDM44" s="82"/>
      <c r="CDN44" s="82"/>
      <c r="CDO44" s="82"/>
      <c r="CDP44" s="82"/>
      <c r="CDQ44" s="82"/>
      <c r="CDR44" s="82"/>
      <c r="CDS44" s="82"/>
      <c r="CDT44" s="82"/>
      <c r="CDU44" s="82"/>
      <c r="CDV44" s="82"/>
      <c r="CDW44" s="82"/>
      <c r="CDX44" s="82"/>
      <c r="CDY44" s="82"/>
      <c r="CDZ44" s="82"/>
      <c r="CEA44" s="82"/>
      <c r="CEB44" s="82"/>
      <c r="CEC44" s="82"/>
      <c r="CED44" s="82"/>
      <c r="CEE44" s="82"/>
      <c r="CEF44" s="82"/>
      <c r="CEG44" s="82"/>
      <c r="CEH44" s="82"/>
      <c r="CEI44" s="82"/>
      <c r="CEJ44" s="82"/>
      <c r="CEK44" s="82"/>
      <c r="CEL44" s="82"/>
      <c r="CEM44" s="82"/>
      <c r="CEN44" s="82"/>
      <c r="CEO44" s="82"/>
      <c r="CEP44" s="82"/>
      <c r="CEQ44" s="82"/>
      <c r="CER44" s="82"/>
      <c r="CES44" s="82"/>
      <c r="CET44" s="82"/>
      <c r="CEU44" s="82"/>
      <c r="CEV44" s="82"/>
      <c r="CEW44" s="82"/>
      <c r="CEX44" s="82"/>
      <c r="CEY44" s="82"/>
      <c r="CEZ44" s="82"/>
      <c r="CFA44" s="82"/>
      <c r="CFB44" s="82"/>
      <c r="CFC44" s="82"/>
      <c r="CFD44" s="82"/>
      <c r="CFE44" s="82"/>
      <c r="CFF44" s="82"/>
      <c r="CFG44" s="82"/>
      <c r="CFH44" s="82"/>
      <c r="CFI44" s="82"/>
      <c r="CFJ44" s="82"/>
      <c r="CFK44" s="82"/>
      <c r="CFL44" s="82"/>
      <c r="CFM44" s="82"/>
      <c r="CFN44" s="82"/>
      <c r="CFO44" s="82"/>
      <c r="CFP44" s="82"/>
      <c r="CFQ44" s="82"/>
      <c r="CFR44" s="82"/>
      <c r="CFS44" s="82"/>
      <c r="CFT44" s="82"/>
      <c r="CFU44" s="82"/>
      <c r="CFV44" s="82"/>
      <c r="CFW44" s="82"/>
      <c r="CFX44" s="82"/>
      <c r="CFY44" s="82"/>
      <c r="CFZ44" s="82"/>
      <c r="CGA44" s="82"/>
      <c r="CGB44" s="82"/>
      <c r="CGC44" s="82"/>
      <c r="CGD44" s="82"/>
      <c r="CGE44" s="82"/>
      <c r="CGF44" s="82"/>
      <c r="CGG44" s="82"/>
      <c r="CGH44" s="82"/>
      <c r="CGI44" s="82"/>
      <c r="CGJ44" s="82"/>
      <c r="CGK44" s="82"/>
      <c r="CGL44" s="82"/>
      <c r="CGM44" s="82"/>
      <c r="CGN44" s="82"/>
      <c r="CGO44" s="82"/>
      <c r="CGP44" s="82"/>
      <c r="CGQ44" s="82"/>
      <c r="CGR44" s="82"/>
      <c r="CGS44" s="82"/>
      <c r="CGT44" s="82"/>
      <c r="CGU44" s="82"/>
      <c r="CGV44" s="82"/>
      <c r="CGW44" s="82"/>
      <c r="CGX44" s="82"/>
      <c r="CGY44" s="82"/>
      <c r="CGZ44" s="82"/>
      <c r="CHA44" s="82"/>
      <c r="CHB44" s="82"/>
      <c r="CHC44" s="82"/>
      <c r="CHD44" s="82"/>
      <c r="CHE44" s="82"/>
      <c r="CHF44" s="82"/>
      <c r="CHG44" s="82"/>
      <c r="CHH44" s="82"/>
      <c r="CHI44" s="82"/>
      <c r="CHJ44" s="82"/>
      <c r="CHK44" s="82"/>
      <c r="CHL44" s="82"/>
      <c r="CHM44" s="82"/>
      <c r="CHN44" s="82"/>
      <c r="CHO44" s="82"/>
      <c r="CHP44" s="82"/>
      <c r="CHQ44" s="82"/>
      <c r="CHR44" s="82"/>
      <c r="CHS44" s="82"/>
      <c r="CHT44" s="82"/>
      <c r="CHU44" s="82"/>
      <c r="CHV44" s="82"/>
      <c r="CHW44" s="82"/>
      <c r="CHX44" s="82"/>
      <c r="CHY44" s="82"/>
      <c r="CHZ44" s="82"/>
      <c r="CIA44" s="82"/>
      <c r="CIB44" s="82"/>
      <c r="CIC44" s="82"/>
      <c r="CID44" s="82"/>
      <c r="CIE44" s="82"/>
      <c r="CIF44" s="82"/>
      <c r="CIG44" s="82"/>
      <c r="CIH44" s="82"/>
      <c r="CII44" s="82"/>
      <c r="CIJ44" s="82"/>
      <c r="CIK44" s="82"/>
      <c r="CIL44" s="82"/>
      <c r="CIM44" s="82"/>
      <c r="CIN44" s="82"/>
      <c r="CIO44" s="82"/>
      <c r="CIP44" s="82"/>
      <c r="CIQ44" s="82"/>
      <c r="CIR44" s="82"/>
      <c r="CIS44" s="82"/>
      <c r="CIT44" s="82"/>
      <c r="CIU44" s="82"/>
      <c r="CIV44" s="82"/>
      <c r="CIW44" s="82"/>
      <c r="CIX44" s="82"/>
      <c r="CIY44" s="82"/>
      <c r="CIZ44" s="82"/>
      <c r="CJA44" s="82"/>
      <c r="CJB44" s="82"/>
      <c r="CJC44" s="82"/>
      <c r="CJD44" s="82"/>
      <c r="CJE44" s="82"/>
      <c r="CJF44" s="82"/>
      <c r="CJG44" s="82"/>
      <c r="CJH44" s="82"/>
      <c r="CJI44" s="82"/>
      <c r="CJJ44" s="82"/>
      <c r="CJK44" s="82"/>
      <c r="CJL44" s="82"/>
      <c r="CJM44" s="82"/>
      <c r="CJN44" s="82"/>
      <c r="CJO44" s="82"/>
      <c r="CJP44" s="82"/>
      <c r="CJQ44" s="82"/>
      <c r="CJR44" s="82"/>
      <c r="CJS44" s="82"/>
      <c r="CJT44" s="82"/>
      <c r="CJU44" s="82"/>
      <c r="CJV44" s="82"/>
      <c r="CJW44" s="82"/>
      <c r="CJX44" s="82"/>
      <c r="CJY44" s="82"/>
      <c r="CJZ44" s="82"/>
      <c r="CKA44" s="82"/>
      <c r="CKB44" s="82"/>
      <c r="CKC44" s="82"/>
      <c r="CKD44" s="82"/>
      <c r="CKE44" s="82"/>
      <c r="CKF44" s="82"/>
      <c r="CKG44" s="82"/>
      <c r="CKH44" s="82"/>
      <c r="CKI44" s="82"/>
      <c r="CKJ44" s="82"/>
      <c r="CKK44" s="82"/>
      <c r="CKL44" s="82"/>
      <c r="CKM44" s="82"/>
      <c r="CKN44" s="82"/>
      <c r="CKO44" s="82"/>
      <c r="CKP44" s="82"/>
      <c r="CKQ44" s="82"/>
      <c r="CKR44" s="82"/>
      <c r="CKS44" s="82"/>
      <c r="CKT44" s="82"/>
      <c r="CKU44" s="82"/>
      <c r="CKV44" s="82"/>
      <c r="CKW44" s="82"/>
      <c r="CKX44" s="82"/>
      <c r="CKY44" s="82"/>
      <c r="CKZ44" s="82"/>
      <c r="CLA44" s="82"/>
      <c r="CLB44" s="82"/>
      <c r="CLC44" s="82"/>
      <c r="CLD44" s="82"/>
      <c r="CLE44" s="82"/>
      <c r="CLF44" s="82"/>
      <c r="CLG44" s="82"/>
      <c r="CLH44" s="82"/>
      <c r="CLI44" s="82"/>
      <c r="CLJ44" s="82"/>
      <c r="CLK44" s="82"/>
      <c r="CLL44" s="82"/>
      <c r="CLM44" s="82"/>
      <c r="CLN44" s="82"/>
      <c r="CLO44" s="82"/>
      <c r="CLP44" s="82"/>
      <c r="CLQ44" s="82"/>
      <c r="CLR44" s="82"/>
      <c r="CLS44" s="82"/>
      <c r="CLT44" s="82"/>
      <c r="CLU44" s="82"/>
      <c r="CLV44" s="82"/>
      <c r="CLW44" s="82"/>
      <c r="CLX44" s="82"/>
      <c r="CLY44" s="82"/>
      <c r="CLZ44" s="82"/>
      <c r="CMA44" s="82"/>
      <c r="CMB44" s="82"/>
      <c r="CMC44" s="82"/>
      <c r="CMD44" s="82"/>
      <c r="CME44" s="82"/>
      <c r="CMF44" s="82"/>
      <c r="CMG44" s="82"/>
      <c r="CMH44" s="82"/>
      <c r="CMI44" s="82"/>
      <c r="CMJ44" s="82"/>
      <c r="CMK44" s="82"/>
      <c r="CML44" s="82"/>
      <c r="CMM44" s="82"/>
      <c r="CMN44" s="82"/>
      <c r="CMO44" s="82"/>
      <c r="CMP44" s="82"/>
      <c r="CMQ44" s="82"/>
      <c r="CMR44" s="82"/>
      <c r="CMS44" s="82"/>
      <c r="CMT44" s="82"/>
      <c r="CMU44" s="82"/>
      <c r="CMV44" s="82"/>
      <c r="CMW44" s="82"/>
      <c r="CMX44" s="82"/>
      <c r="CMY44" s="82"/>
      <c r="CMZ44" s="82"/>
      <c r="CNA44" s="82"/>
      <c r="CNB44" s="82"/>
      <c r="CNC44" s="82"/>
      <c r="CND44" s="82"/>
      <c r="CNE44" s="82"/>
      <c r="CNF44" s="82"/>
      <c r="CNG44" s="82"/>
      <c r="CNH44" s="82"/>
      <c r="CNI44" s="82"/>
      <c r="CNJ44" s="82"/>
      <c r="CNK44" s="82"/>
      <c r="CNL44" s="82"/>
      <c r="CNM44" s="82"/>
      <c r="CNN44" s="82"/>
      <c r="CNO44" s="82"/>
      <c r="CNP44" s="82"/>
      <c r="CNQ44" s="82"/>
      <c r="CNR44" s="82"/>
      <c r="CNS44" s="82"/>
      <c r="CNT44" s="82"/>
      <c r="CNU44" s="82"/>
      <c r="CNV44" s="82"/>
      <c r="CNW44" s="82"/>
      <c r="CNX44" s="82"/>
      <c r="CNY44" s="82"/>
      <c r="CNZ44" s="82"/>
      <c r="COA44" s="82"/>
      <c r="COB44" s="82"/>
      <c r="COC44" s="82"/>
      <c r="COD44" s="82"/>
      <c r="COE44" s="82"/>
      <c r="COF44" s="82"/>
      <c r="COG44" s="82"/>
      <c r="COH44" s="82"/>
      <c r="COI44" s="82"/>
      <c r="COJ44" s="82"/>
      <c r="COK44" s="82"/>
      <c r="COL44" s="82"/>
      <c r="COM44" s="82"/>
      <c r="CON44" s="82"/>
      <c r="COO44" s="82"/>
      <c r="COP44" s="82"/>
      <c r="COQ44" s="82"/>
      <c r="COR44" s="82"/>
      <c r="COS44" s="82"/>
      <c r="COT44" s="82"/>
      <c r="COU44" s="82"/>
      <c r="COV44" s="82"/>
      <c r="COW44" s="82"/>
      <c r="COX44" s="82"/>
      <c r="COY44" s="82"/>
      <c r="COZ44" s="82"/>
      <c r="CPA44" s="82"/>
      <c r="CPB44" s="82"/>
      <c r="CPC44" s="82"/>
      <c r="CPD44" s="82"/>
      <c r="CPE44" s="82"/>
      <c r="CPF44" s="82"/>
      <c r="CPG44" s="82"/>
      <c r="CPH44" s="82"/>
      <c r="CPI44" s="82"/>
      <c r="CPJ44" s="82"/>
      <c r="CPK44" s="82"/>
      <c r="CPL44" s="82"/>
      <c r="CPM44" s="82"/>
      <c r="CPN44" s="82"/>
      <c r="CPO44" s="82"/>
      <c r="CPP44" s="82"/>
      <c r="CPQ44" s="82"/>
      <c r="CPR44" s="82"/>
      <c r="CPS44" s="82"/>
      <c r="CPT44" s="82"/>
      <c r="CPU44" s="82"/>
      <c r="CPV44" s="82"/>
      <c r="CPW44" s="82"/>
      <c r="CPX44" s="82"/>
      <c r="CPY44" s="82"/>
      <c r="CPZ44" s="82"/>
      <c r="CQA44" s="82"/>
      <c r="CQB44" s="82"/>
      <c r="CQC44" s="82"/>
      <c r="CQD44" s="82"/>
      <c r="CQE44" s="82"/>
      <c r="CQF44" s="82"/>
      <c r="CQG44" s="82"/>
      <c r="CQH44" s="82"/>
      <c r="CQI44" s="82"/>
      <c r="CQJ44" s="82"/>
      <c r="CQK44" s="82"/>
      <c r="CQL44" s="82"/>
      <c r="CQM44" s="82"/>
      <c r="CQN44" s="82"/>
      <c r="CQO44" s="82"/>
      <c r="CQP44" s="82"/>
      <c r="CQQ44" s="82"/>
      <c r="CQR44" s="82"/>
      <c r="CQS44" s="82"/>
      <c r="CQT44" s="82"/>
      <c r="CQU44" s="82"/>
      <c r="CQV44" s="82"/>
      <c r="CQW44" s="82"/>
      <c r="CQX44" s="82"/>
      <c r="CQY44" s="82"/>
      <c r="CQZ44" s="82"/>
      <c r="CRA44" s="82"/>
      <c r="CRB44" s="82"/>
      <c r="CRC44" s="82"/>
      <c r="CRD44" s="82"/>
      <c r="CRE44" s="82"/>
      <c r="CRF44" s="82"/>
      <c r="CRG44" s="82"/>
      <c r="CRH44" s="82"/>
      <c r="CRI44" s="82"/>
      <c r="CRJ44" s="82"/>
      <c r="CRK44" s="82"/>
      <c r="CRL44" s="82"/>
      <c r="CRM44" s="82"/>
      <c r="CRN44" s="82"/>
      <c r="CRO44" s="82"/>
      <c r="CRP44" s="82"/>
      <c r="CRQ44" s="82"/>
      <c r="CRR44" s="82"/>
      <c r="CRS44" s="82"/>
      <c r="CRT44" s="82"/>
      <c r="CRU44" s="82"/>
      <c r="CRV44" s="82"/>
      <c r="CRW44" s="82"/>
      <c r="CRX44" s="82"/>
      <c r="CRY44" s="82"/>
      <c r="CRZ44" s="82"/>
      <c r="CSA44" s="82"/>
      <c r="CSB44" s="82"/>
      <c r="CSC44" s="82"/>
      <c r="CSD44" s="82"/>
      <c r="CSE44" s="82"/>
      <c r="CSF44" s="82"/>
      <c r="CSG44" s="82"/>
      <c r="CSH44" s="82"/>
      <c r="CSI44" s="82"/>
      <c r="CSJ44" s="82"/>
      <c r="CSK44" s="82"/>
      <c r="CSL44" s="82"/>
      <c r="CSM44" s="82"/>
      <c r="CSN44" s="82"/>
      <c r="CSO44" s="82"/>
      <c r="CSP44" s="82"/>
      <c r="CSQ44" s="82"/>
      <c r="CSR44" s="82"/>
      <c r="CSS44" s="82"/>
      <c r="CST44" s="82"/>
      <c r="CSU44" s="82"/>
      <c r="CSV44" s="82"/>
      <c r="CSW44" s="82"/>
      <c r="CSX44" s="82"/>
      <c r="CSY44" s="82"/>
      <c r="CSZ44" s="82"/>
      <c r="CTA44" s="82"/>
      <c r="CTB44" s="82"/>
      <c r="CTC44" s="82"/>
      <c r="CTD44" s="82"/>
      <c r="CTE44" s="82"/>
      <c r="CTF44" s="82"/>
      <c r="CTG44" s="82"/>
      <c r="CTH44" s="82"/>
      <c r="CTI44" s="82"/>
      <c r="CTJ44" s="82"/>
      <c r="CTK44" s="82"/>
      <c r="CTL44" s="82"/>
      <c r="CTM44" s="82"/>
      <c r="CTN44" s="82"/>
      <c r="CTO44" s="82"/>
      <c r="CTP44" s="82"/>
      <c r="CTQ44" s="82"/>
      <c r="CTR44" s="82"/>
      <c r="CTS44" s="82"/>
      <c r="CTT44" s="82"/>
      <c r="CTU44" s="82"/>
      <c r="CTV44" s="82"/>
      <c r="CTW44" s="82"/>
      <c r="CTX44" s="82"/>
      <c r="CTY44" s="82"/>
      <c r="CTZ44" s="82"/>
      <c r="CUA44" s="82"/>
      <c r="CUB44" s="82"/>
      <c r="CUC44" s="82"/>
      <c r="CUD44" s="82"/>
      <c r="CUE44" s="82"/>
      <c r="CUF44" s="82"/>
      <c r="CUG44" s="82"/>
      <c r="CUH44" s="82"/>
      <c r="CUI44" s="82"/>
      <c r="CUJ44" s="82"/>
      <c r="CUK44" s="82"/>
      <c r="CUL44" s="82"/>
      <c r="CUM44" s="82"/>
      <c r="CUN44" s="82"/>
      <c r="CUO44" s="82"/>
      <c r="CUP44" s="82"/>
      <c r="CUQ44" s="82"/>
      <c r="CUR44" s="82"/>
      <c r="CUS44" s="82"/>
      <c r="CUT44" s="82"/>
      <c r="CUU44" s="82"/>
      <c r="CUV44" s="82"/>
      <c r="CUW44" s="82"/>
      <c r="CUX44" s="82"/>
      <c r="CUY44" s="82"/>
      <c r="CUZ44" s="82"/>
      <c r="CVA44" s="82"/>
      <c r="CVB44" s="82"/>
      <c r="CVC44" s="82"/>
      <c r="CVD44" s="82"/>
      <c r="CVE44" s="82"/>
      <c r="CVF44" s="82"/>
      <c r="CVG44" s="82"/>
      <c r="CVH44" s="82"/>
      <c r="CVI44" s="82"/>
      <c r="CVJ44" s="82"/>
      <c r="CVK44" s="82"/>
      <c r="CVL44" s="82"/>
      <c r="CVM44" s="82"/>
      <c r="CVN44" s="82"/>
      <c r="CVO44" s="82"/>
      <c r="CVP44" s="82"/>
      <c r="CVQ44" s="82"/>
      <c r="CVR44" s="82"/>
      <c r="CVS44" s="82"/>
      <c r="CVT44" s="82"/>
      <c r="CVU44" s="82"/>
      <c r="CVV44" s="82"/>
      <c r="CVW44" s="82"/>
      <c r="CVX44" s="82"/>
      <c r="CVY44" s="82"/>
      <c r="CVZ44" s="82"/>
      <c r="CWA44" s="82"/>
      <c r="CWB44" s="82"/>
      <c r="CWC44" s="82"/>
      <c r="CWD44" s="82"/>
      <c r="CWE44" s="82"/>
      <c r="CWF44" s="82"/>
      <c r="CWG44" s="82"/>
      <c r="CWH44" s="82"/>
      <c r="CWI44" s="82"/>
      <c r="CWJ44" s="82"/>
      <c r="CWK44" s="82"/>
      <c r="CWL44" s="82"/>
      <c r="CWM44" s="82"/>
      <c r="CWN44" s="82"/>
      <c r="CWO44" s="82"/>
      <c r="CWP44" s="82"/>
      <c r="CWQ44" s="82"/>
      <c r="CWR44" s="82"/>
      <c r="CWS44" s="82"/>
      <c r="CWT44" s="82"/>
      <c r="CWU44" s="82"/>
      <c r="CWV44" s="82"/>
      <c r="CWW44" s="82"/>
      <c r="CWX44" s="82"/>
      <c r="CWY44" s="82"/>
      <c r="CWZ44" s="82"/>
      <c r="CXA44" s="82"/>
      <c r="CXB44" s="82"/>
      <c r="CXC44" s="82"/>
      <c r="CXD44" s="82"/>
      <c r="CXE44" s="82"/>
      <c r="CXF44" s="82"/>
      <c r="CXG44" s="82"/>
      <c r="CXH44" s="82"/>
      <c r="CXI44" s="82"/>
      <c r="CXJ44" s="82"/>
      <c r="CXK44" s="82"/>
      <c r="CXL44" s="82"/>
      <c r="CXM44" s="82"/>
      <c r="CXN44" s="82"/>
      <c r="CXO44" s="82"/>
      <c r="CXP44" s="82"/>
      <c r="CXQ44" s="82"/>
      <c r="CXR44" s="82"/>
      <c r="CXS44" s="82"/>
      <c r="CXT44" s="82"/>
      <c r="CXU44" s="82"/>
      <c r="CXV44" s="82"/>
      <c r="CXW44" s="82"/>
      <c r="CXX44" s="82"/>
      <c r="CXY44" s="82"/>
      <c r="CXZ44" s="82"/>
      <c r="CYA44" s="82"/>
      <c r="CYB44" s="82"/>
      <c r="CYC44" s="82"/>
      <c r="CYD44" s="82"/>
      <c r="CYE44" s="82"/>
      <c r="CYF44" s="82"/>
      <c r="CYG44" s="82"/>
      <c r="CYH44" s="82"/>
      <c r="CYI44" s="82"/>
      <c r="CYJ44" s="82"/>
      <c r="CYK44" s="82"/>
      <c r="CYL44" s="82"/>
      <c r="CYM44" s="82"/>
      <c r="CYN44" s="82"/>
      <c r="CYO44" s="82"/>
      <c r="CYP44" s="82"/>
      <c r="CYQ44" s="82"/>
      <c r="CYR44" s="82"/>
      <c r="CYS44" s="82"/>
      <c r="CYT44" s="82"/>
      <c r="CYU44" s="82"/>
      <c r="CYV44" s="82"/>
      <c r="CYW44" s="82"/>
      <c r="CYX44" s="82"/>
      <c r="CYY44" s="82"/>
      <c r="CYZ44" s="82"/>
      <c r="CZA44" s="82"/>
      <c r="CZB44" s="82"/>
      <c r="CZC44" s="82"/>
      <c r="CZD44" s="82"/>
      <c r="CZE44" s="82"/>
      <c r="CZF44" s="82"/>
      <c r="CZG44" s="82"/>
      <c r="CZH44" s="82"/>
      <c r="CZI44" s="82"/>
      <c r="CZJ44" s="82"/>
      <c r="CZK44" s="82"/>
      <c r="CZL44" s="82"/>
      <c r="CZM44" s="82"/>
      <c r="CZN44" s="82"/>
      <c r="CZO44" s="82"/>
      <c r="CZP44" s="82"/>
      <c r="CZQ44" s="82"/>
      <c r="CZR44" s="82"/>
      <c r="CZS44" s="82"/>
      <c r="CZT44" s="82"/>
      <c r="CZU44" s="82"/>
      <c r="CZV44" s="82"/>
      <c r="CZW44" s="82"/>
      <c r="CZX44" s="82"/>
      <c r="CZY44" s="82"/>
      <c r="CZZ44" s="82"/>
      <c r="DAA44" s="82"/>
      <c r="DAB44" s="82"/>
      <c r="DAC44" s="82"/>
      <c r="DAD44" s="82"/>
      <c r="DAE44" s="82"/>
      <c r="DAF44" s="82"/>
      <c r="DAG44" s="82"/>
      <c r="DAH44" s="82"/>
      <c r="DAI44" s="82"/>
      <c r="DAJ44" s="82"/>
      <c r="DAK44" s="82"/>
      <c r="DAL44" s="82"/>
      <c r="DAM44" s="82"/>
      <c r="DAN44" s="82"/>
      <c r="DAO44" s="82"/>
      <c r="DAP44" s="82"/>
      <c r="DAQ44" s="82"/>
      <c r="DAR44" s="82"/>
      <c r="DAS44" s="82"/>
      <c r="DAT44" s="82"/>
      <c r="DAU44" s="82"/>
      <c r="DAV44" s="82"/>
      <c r="DAW44" s="82"/>
      <c r="DAX44" s="82"/>
      <c r="DAY44" s="82"/>
      <c r="DAZ44" s="82"/>
      <c r="DBA44" s="82"/>
      <c r="DBB44" s="82"/>
      <c r="DBC44" s="82"/>
      <c r="DBD44" s="82"/>
      <c r="DBE44" s="82"/>
      <c r="DBF44" s="82"/>
      <c r="DBG44" s="82"/>
      <c r="DBH44" s="82"/>
      <c r="DBI44" s="82"/>
      <c r="DBJ44" s="82"/>
      <c r="DBK44" s="82"/>
      <c r="DBL44" s="82"/>
      <c r="DBM44" s="82"/>
      <c r="DBN44" s="82"/>
      <c r="DBO44" s="82"/>
      <c r="DBP44" s="82"/>
      <c r="DBQ44" s="82"/>
      <c r="DBR44" s="82"/>
      <c r="DBS44" s="82"/>
      <c r="DBT44" s="82"/>
      <c r="DBU44" s="82"/>
      <c r="DBV44" s="82"/>
      <c r="DBW44" s="82"/>
      <c r="DBX44" s="82"/>
      <c r="DBY44" s="82"/>
      <c r="DBZ44" s="82"/>
      <c r="DCA44" s="82"/>
      <c r="DCB44" s="82"/>
      <c r="DCC44" s="82"/>
      <c r="DCD44" s="82"/>
      <c r="DCE44" s="82"/>
      <c r="DCF44" s="82"/>
      <c r="DCG44" s="82"/>
      <c r="DCH44" s="82"/>
      <c r="DCI44" s="82"/>
      <c r="DCJ44" s="82"/>
      <c r="DCK44" s="82"/>
      <c r="DCL44" s="82"/>
      <c r="DCM44" s="82"/>
      <c r="DCN44" s="82"/>
      <c r="DCO44" s="82"/>
      <c r="DCP44" s="82"/>
      <c r="DCQ44" s="82"/>
      <c r="DCR44" s="82"/>
      <c r="DCS44" s="82"/>
      <c r="DCT44" s="82"/>
      <c r="DCU44" s="82"/>
      <c r="DCV44" s="82"/>
      <c r="DCW44" s="82"/>
      <c r="DCX44" s="82"/>
      <c r="DCY44" s="82"/>
      <c r="DCZ44" s="82"/>
      <c r="DDA44" s="82"/>
      <c r="DDB44" s="82"/>
      <c r="DDC44" s="82"/>
      <c r="DDD44" s="82"/>
      <c r="DDE44" s="82"/>
      <c r="DDF44" s="82"/>
      <c r="DDG44" s="82"/>
      <c r="DDH44" s="82"/>
      <c r="DDI44" s="82"/>
      <c r="DDJ44" s="82"/>
      <c r="DDK44" s="82"/>
      <c r="DDL44" s="82"/>
      <c r="DDM44" s="82"/>
      <c r="DDN44" s="82"/>
      <c r="DDO44" s="82"/>
      <c r="DDP44" s="82"/>
      <c r="DDQ44" s="82"/>
      <c r="DDR44" s="82"/>
      <c r="DDS44" s="82"/>
      <c r="DDT44" s="82"/>
      <c r="DDU44" s="82"/>
      <c r="DDV44" s="82"/>
      <c r="DDW44" s="82"/>
      <c r="DDX44" s="82"/>
      <c r="DDY44" s="82"/>
      <c r="DDZ44" s="82"/>
      <c r="DEA44" s="82"/>
      <c r="DEB44" s="82"/>
      <c r="DEC44" s="82"/>
      <c r="DED44" s="82"/>
      <c r="DEE44" s="82"/>
      <c r="DEF44" s="82"/>
      <c r="DEG44" s="82"/>
      <c r="DEH44" s="82"/>
      <c r="DEI44" s="82"/>
      <c r="DEJ44" s="82"/>
      <c r="DEK44" s="82"/>
      <c r="DEL44" s="82"/>
      <c r="DEM44" s="82"/>
      <c r="DEN44" s="82"/>
      <c r="DEO44" s="82"/>
      <c r="DEP44" s="82"/>
      <c r="DEQ44" s="82"/>
      <c r="DER44" s="82"/>
      <c r="DES44" s="82"/>
      <c r="DET44" s="82"/>
      <c r="DEU44" s="82"/>
      <c r="DEV44" s="82"/>
      <c r="DEW44" s="82"/>
      <c r="DEX44" s="82"/>
      <c r="DEY44" s="82"/>
      <c r="DEZ44" s="82"/>
      <c r="DFA44" s="82"/>
      <c r="DFB44" s="82"/>
      <c r="DFC44" s="82"/>
      <c r="DFD44" s="82"/>
      <c r="DFE44" s="82"/>
      <c r="DFF44" s="82"/>
      <c r="DFG44" s="82"/>
      <c r="DFH44" s="82"/>
      <c r="DFI44" s="82"/>
      <c r="DFJ44" s="82"/>
      <c r="DFK44" s="82"/>
      <c r="DFL44" s="82"/>
      <c r="DFM44" s="82"/>
      <c r="DFN44" s="82"/>
      <c r="DFO44" s="82"/>
      <c r="DFP44" s="82"/>
      <c r="DFQ44" s="82"/>
      <c r="DFR44" s="82"/>
      <c r="DFS44" s="82"/>
      <c r="DFT44" s="82"/>
      <c r="DFU44" s="82"/>
      <c r="DFV44" s="82"/>
      <c r="DFW44" s="82"/>
      <c r="DFX44" s="82"/>
      <c r="DFY44" s="82"/>
      <c r="DFZ44" s="82"/>
      <c r="DGA44" s="82"/>
      <c r="DGB44" s="82"/>
      <c r="DGC44" s="82"/>
      <c r="DGD44" s="82"/>
      <c r="DGE44" s="82"/>
      <c r="DGF44" s="82"/>
      <c r="DGG44" s="82"/>
      <c r="DGH44" s="82"/>
      <c r="DGI44" s="82"/>
      <c r="DGJ44" s="82"/>
      <c r="DGK44" s="82"/>
      <c r="DGL44" s="82"/>
      <c r="DGM44" s="82"/>
      <c r="DGN44" s="82"/>
      <c r="DGO44" s="82"/>
      <c r="DGP44" s="82"/>
      <c r="DGQ44" s="82"/>
      <c r="DGR44" s="82"/>
      <c r="DGS44" s="82"/>
      <c r="DGT44" s="82"/>
      <c r="DGU44" s="82"/>
      <c r="DGV44" s="82"/>
      <c r="DGW44" s="82"/>
      <c r="DGX44" s="82"/>
      <c r="DGY44" s="82"/>
      <c r="DGZ44" s="82"/>
      <c r="DHA44" s="82"/>
      <c r="DHB44" s="82"/>
      <c r="DHC44" s="82"/>
      <c r="DHD44" s="82"/>
      <c r="DHE44" s="82"/>
      <c r="DHF44" s="82"/>
      <c r="DHG44" s="82"/>
      <c r="DHH44" s="82"/>
      <c r="DHI44" s="82"/>
      <c r="DHJ44" s="82"/>
      <c r="DHK44" s="82"/>
      <c r="DHL44" s="82"/>
      <c r="DHM44" s="82"/>
      <c r="DHN44" s="82"/>
      <c r="DHO44" s="82"/>
      <c r="DHP44" s="82"/>
      <c r="DHQ44" s="82"/>
      <c r="DHR44" s="82"/>
      <c r="DHS44" s="82"/>
      <c r="DHT44" s="82"/>
      <c r="DHU44" s="82"/>
      <c r="DHV44" s="82"/>
      <c r="DHW44" s="82"/>
      <c r="DHX44" s="82"/>
      <c r="DHY44" s="82"/>
      <c r="DHZ44" s="82"/>
      <c r="DIA44" s="82"/>
      <c r="DIB44" s="82"/>
      <c r="DIC44" s="82"/>
      <c r="DID44" s="82"/>
      <c r="DIE44" s="82"/>
      <c r="DIF44" s="82"/>
      <c r="DIG44" s="82"/>
      <c r="DIH44" s="82"/>
      <c r="DII44" s="82"/>
      <c r="DIJ44" s="82"/>
      <c r="DIK44" s="82"/>
      <c r="DIL44" s="82"/>
      <c r="DIM44" s="82"/>
      <c r="DIN44" s="82"/>
      <c r="DIO44" s="82"/>
      <c r="DIP44" s="82"/>
      <c r="DIQ44" s="82"/>
      <c r="DIR44" s="82"/>
      <c r="DIS44" s="82"/>
      <c r="DIT44" s="82"/>
      <c r="DIU44" s="82"/>
      <c r="DIV44" s="82"/>
      <c r="DIW44" s="82"/>
      <c r="DIX44" s="82"/>
      <c r="DIY44" s="82"/>
      <c r="DIZ44" s="82"/>
      <c r="DJA44" s="82"/>
      <c r="DJB44" s="82"/>
      <c r="DJC44" s="82"/>
      <c r="DJD44" s="82"/>
      <c r="DJE44" s="82"/>
      <c r="DJF44" s="82"/>
      <c r="DJG44" s="82"/>
      <c r="DJH44" s="82"/>
      <c r="DJI44" s="82"/>
      <c r="DJJ44" s="82"/>
      <c r="DJK44" s="82"/>
      <c r="DJL44" s="82"/>
      <c r="DJM44" s="82"/>
      <c r="DJN44" s="82"/>
      <c r="DJO44" s="82"/>
      <c r="DJP44" s="82"/>
      <c r="DJQ44" s="82"/>
      <c r="DJR44" s="82"/>
      <c r="DJS44" s="82"/>
      <c r="DJT44" s="82"/>
      <c r="DJU44" s="82"/>
      <c r="DJV44" s="82"/>
      <c r="DJW44" s="82"/>
      <c r="DJX44" s="82"/>
      <c r="DJY44" s="82"/>
      <c r="DJZ44" s="82"/>
      <c r="DKA44" s="82"/>
      <c r="DKB44" s="82"/>
      <c r="DKC44" s="82"/>
      <c r="DKD44" s="82"/>
      <c r="DKE44" s="82"/>
      <c r="DKF44" s="82"/>
      <c r="DKG44" s="82"/>
      <c r="DKH44" s="82"/>
      <c r="DKI44" s="82"/>
      <c r="DKJ44" s="82"/>
      <c r="DKK44" s="82"/>
      <c r="DKL44" s="82"/>
      <c r="DKM44" s="82"/>
      <c r="DKN44" s="82"/>
      <c r="DKO44" s="82"/>
      <c r="DKP44" s="82"/>
      <c r="DKQ44" s="82"/>
      <c r="DKR44" s="82"/>
      <c r="DKS44" s="82"/>
      <c r="DKT44" s="82"/>
      <c r="DKU44" s="82"/>
      <c r="DKV44" s="82"/>
      <c r="DKW44" s="82"/>
      <c r="DKX44" s="82"/>
      <c r="DKY44" s="82"/>
      <c r="DKZ44" s="82"/>
      <c r="DLA44" s="82"/>
      <c r="DLB44" s="82"/>
      <c r="DLC44" s="82"/>
      <c r="DLD44" s="82"/>
      <c r="DLE44" s="82"/>
      <c r="DLF44" s="82"/>
      <c r="DLG44" s="82"/>
      <c r="DLH44" s="82"/>
      <c r="DLI44" s="82"/>
      <c r="DLJ44" s="82"/>
      <c r="DLK44" s="82"/>
      <c r="DLL44" s="82"/>
      <c r="DLM44" s="82"/>
      <c r="DLN44" s="82"/>
      <c r="DLO44" s="82"/>
      <c r="DLP44" s="82"/>
      <c r="DLQ44" s="82"/>
      <c r="DLR44" s="82"/>
      <c r="DLS44" s="82"/>
      <c r="DLT44" s="82"/>
      <c r="DLU44" s="82"/>
      <c r="DLV44" s="82"/>
      <c r="DLW44" s="82"/>
      <c r="DLX44" s="82"/>
      <c r="DLY44" s="82"/>
      <c r="DLZ44" s="82"/>
      <c r="DMA44" s="82"/>
      <c r="DMB44" s="82"/>
      <c r="DMC44" s="82"/>
      <c r="DMD44" s="82"/>
      <c r="DME44" s="82"/>
      <c r="DMF44" s="82"/>
      <c r="DMG44" s="82"/>
      <c r="DMH44" s="82"/>
      <c r="DMI44" s="82"/>
      <c r="DMJ44" s="82"/>
      <c r="DMK44" s="82"/>
      <c r="DML44" s="82"/>
      <c r="DMM44" s="82"/>
      <c r="DMN44" s="82"/>
      <c r="DMO44" s="82"/>
      <c r="DMP44" s="82"/>
      <c r="DMQ44" s="82"/>
      <c r="DMR44" s="82"/>
      <c r="DMS44" s="82"/>
      <c r="DMT44" s="82"/>
      <c r="DMU44" s="82"/>
      <c r="DMV44" s="82"/>
      <c r="DMW44" s="82"/>
      <c r="DMX44" s="82"/>
      <c r="DMY44" s="82"/>
      <c r="DMZ44" s="82"/>
      <c r="DNA44" s="82"/>
      <c r="DNB44" s="82"/>
      <c r="DNC44" s="82"/>
      <c r="DND44" s="82"/>
      <c r="DNE44" s="82"/>
      <c r="DNF44" s="82"/>
      <c r="DNG44" s="82"/>
      <c r="DNH44" s="82"/>
      <c r="DNI44" s="82"/>
      <c r="DNJ44" s="82"/>
      <c r="DNK44" s="82"/>
      <c r="DNL44" s="82"/>
      <c r="DNM44" s="82"/>
      <c r="DNN44" s="82"/>
      <c r="DNO44" s="82"/>
      <c r="DNP44" s="82"/>
      <c r="DNQ44" s="82"/>
      <c r="DNR44" s="82"/>
      <c r="DNS44" s="82"/>
      <c r="DNT44" s="82"/>
      <c r="DNU44" s="82"/>
      <c r="DNV44" s="82"/>
      <c r="DNW44" s="82"/>
      <c r="DNX44" s="82"/>
      <c r="DNY44" s="82"/>
      <c r="DNZ44" s="82"/>
      <c r="DOA44" s="82"/>
      <c r="DOB44" s="82"/>
      <c r="DOC44" s="82"/>
      <c r="DOD44" s="82"/>
      <c r="DOE44" s="82"/>
      <c r="DOF44" s="82"/>
      <c r="DOG44" s="82"/>
      <c r="DOH44" s="82"/>
      <c r="DOI44" s="82"/>
      <c r="DOJ44" s="82"/>
      <c r="DOK44" s="82"/>
      <c r="DOL44" s="82"/>
      <c r="DOM44" s="82"/>
      <c r="DON44" s="82"/>
      <c r="DOO44" s="82"/>
      <c r="DOP44" s="82"/>
      <c r="DOQ44" s="82"/>
      <c r="DOR44" s="82"/>
      <c r="DOS44" s="82"/>
      <c r="DOT44" s="82"/>
      <c r="DOU44" s="82"/>
      <c r="DOV44" s="82"/>
      <c r="DOW44" s="82"/>
      <c r="DOX44" s="82"/>
      <c r="DOY44" s="82"/>
      <c r="DOZ44" s="82"/>
      <c r="DPA44" s="82"/>
      <c r="DPB44" s="82"/>
      <c r="DPC44" s="82"/>
      <c r="DPD44" s="82"/>
      <c r="DPE44" s="82"/>
      <c r="DPF44" s="82"/>
      <c r="DPG44" s="82"/>
      <c r="DPH44" s="82"/>
      <c r="DPI44" s="82"/>
      <c r="DPJ44" s="82"/>
      <c r="DPK44" s="82"/>
      <c r="DPL44" s="82"/>
      <c r="DPM44" s="82"/>
      <c r="DPN44" s="82"/>
      <c r="DPO44" s="82"/>
      <c r="DPP44" s="82"/>
      <c r="DPQ44" s="82"/>
      <c r="DPR44" s="82"/>
      <c r="DPS44" s="82"/>
      <c r="DPT44" s="82"/>
      <c r="DPU44" s="82"/>
      <c r="DPV44" s="82"/>
      <c r="DPW44" s="82"/>
      <c r="DPX44" s="82"/>
      <c r="DPY44" s="82"/>
      <c r="DPZ44" s="82"/>
      <c r="DQA44" s="82"/>
      <c r="DQB44" s="82"/>
      <c r="DQC44" s="82"/>
      <c r="DQD44" s="82"/>
      <c r="DQE44" s="82"/>
      <c r="DQF44" s="82"/>
      <c r="DQG44" s="82"/>
      <c r="DQH44" s="82"/>
      <c r="DQI44" s="82"/>
      <c r="DQJ44" s="82"/>
      <c r="DQK44" s="82"/>
      <c r="DQL44" s="82"/>
      <c r="DQM44" s="82"/>
      <c r="DQN44" s="82"/>
      <c r="DQO44" s="82"/>
      <c r="DQP44" s="82"/>
      <c r="DQQ44" s="82"/>
      <c r="DQR44" s="82"/>
      <c r="DQS44" s="82"/>
      <c r="DQT44" s="82"/>
      <c r="DQU44" s="82"/>
      <c r="DQV44" s="82"/>
      <c r="DQW44" s="82"/>
      <c r="DQX44" s="82"/>
      <c r="DQY44" s="82"/>
      <c r="DQZ44" s="82"/>
      <c r="DRA44" s="82"/>
      <c r="DRB44" s="82"/>
      <c r="DRC44" s="82"/>
      <c r="DRD44" s="82"/>
      <c r="DRE44" s="82"/>
      <c r="DRF44" s="82"/>
      <c r="DRG44" s="82"/>
      <c r="DRH44" s="82"/>
      <c r="DRI44" s="82"/>
      <c r="DRJ44" s="82"/>
      <c r="DRK44" s="82"/>
      <c r="DRL44" s="82"/>
      <c r="DRM44" s="82"/>
      <c r="DRN44" s="82"/>
      <c r="DRO44" s="82"/>
      <c r="DRP44" s="82"/>
      <c r="DRQ44" s="82"/>
      <c r="DRR44" s="82"/>
      <c r="DRS44" s="82"/>
      <c r="DRT44" s="82"/>
      <c r="DRU44" s="82"/>
      <c r="DRV44" s="82"/>
      <c r="DRW44" s="82"/>
      <c r="DRX44" s="82"/>
      <c r="DRY44" s="82"/>
      <c r="DRZ44" s="82"/>
      <c r="DSA44" s="82"/>
      <c r="DSB44" s="82"/>
      <c r="DSC44" s="82"/>
      <c r="DSD44" s="82"/>
      <c r="DSE44" s="82"/>
      <c r="DSF44" s="82"/>
      <c r="DSG44" s="82"/>
      <c r="DSH44" s="82"/>
      <c r="DSI44" s="82"/>
      <c r="DSJ44" s="82"/>
      <c r="DSK44" s="82"/>
      <c r="DSL44" s="82"/>
      <c r="DSM44" s="82"/>
      <c r="DSN44" s="82"/>
      <c r="DSO44" s="82"/>
      <c r="DSP44" s="82"/>
      <c r="DSQ44" s="82"/>
      <c r="DSR44" s="82"/>
      <c r="DSS44" s="82"/>
      <c r="DST44" s="82"/>
      <c r="DSU44" s="82"/>
      <c r="DSV44" s="82"/>
      <c r="DSW44" s="82"/>
      <c r="DSX44" s="82"/>
      <c r="DSY44" s="82"/>
      <c r="DSZ44" s="82"/>
      <c r="DTA44" s="82"/>
      <c r="DTB44" s="82"/>
      <c r="DTC44" s="82"/>
      <c r="DTD44" s="82"/>
      <c r="DTE44" s="82"/>
      <c r="DTF44" s="82"/>
      <c r="DTG44" s="82"/>
      <c r="DTH44" s="82"/>
      <c r="DTI44" s="82"/>
      <c r="DTJ44" s="82"/>
      <c r="DTK44" s="82"/>
      <c r="DTL44" s="82"/>
      <c r="DTM44" s="82"/>
      <c r="DTN44" s="82"/>
      <c r="DTO44" s="82"/>
      <c r="DTP44" s="82"/>
      <c r="DTQ44" s="82"/>
      <c r="DTR44" s="82"/>
      <c r="DTS44" s="82"/>
      <c r="DTT44" s="82"/>
      <c r="DTU44" s="82"/>
      <c r="DTV44" s="82"/>
      <c r="DTW44" s="82"/>
      <c r="DTX44" s="82"/>
      <c r="DTY44" s="82"/>
      <c r="DTZ44" s="82"/>
      <c r="DUA44" s="82"/>
      <c r="DUB44" s="82"/>
      <c r="DUC44" s="82"/>
      <c r="DUD44" s="82"/>
      <c r="DUE44" s="82"/>
      <c r="DUF44" s="82"/>
      <c r="DUG44" s="82"/>
      <c r="DUH44" s="82"/>
      <c r="DUI44" s="82"/>
      <c r="DUJ44" s="82"/>
      <c r="DUK44" s="82"/>
      <c r="DUL44" s="82"/>
      <c r="DUM44" s="82"/>
      <c r="DUN44" s="82"/>
      <c r="DUO44" s="82"/>
      <c r="DUP44" s="82"/>
      <c r="DUQ44" s="82"/>
      <c r="DUR44" s="82"/>
      <c r="DUS44" s="82"/>
      <c r="DUT44" s="82"/>
      <c r="DUU44" s="82"/>
      <c r="DUV44" s="82"/>
      <c r="DUW44" s="82"/>
      <c r="DUX44" s="82"/>
      <c r="DUY44" s="82"/>
      <c r="DUZ44" s="82"/>
      <c r="DVA44" s="82"/>
      <c r="DVB44" s="82"/>
      <c r="DVC44" s="82"/>
      <c r="DVD44" s="82"/>
      <c r="DVE44" s="82"/>
      <c r="DVF44" s="82"/>
      <c r="DVG44" s="82"/>
      <c r="DVH44" s="82"/>
      <c r="DVI44" s="82"/>
      <c r="DVJ44" s="82"/>
      <c r="DVK44" s="82"/>
      <c r="DVL44" s="82"/>
      <c r="DVM44" s="82"/>
      <c r="DVN44" s="82"/>
      <c r="DVO44" s="82"/>
      <c r="DVP44" s="82"/>
      <c r="DVQ44" s="82"/>
      <c r="DVR44" s="82"/>
      <c r="DVS44" s="82"/>
      <c r="DVT44" s="82"/>
      <c r="DVU44" s="82"/>
      <c r="DVV44" s="82"/>
      <c r="DVW44" s="82"/>
      <c r="DVX44" s="82"/>
      <c r="DVY44" s="82"/>
      <c r="DVZ44" s="82"/>
      <c r="DWA44" s="82"/>
      <c r="DWB44" s="82"/>
      <c r="DWC44" s="82"/>
      <c r="DWD44" s="82"/>
      <c r="DWE44" s="82"/>
      <c r="DWF44" s="82"/>
      <c r="DWG44" s="82"/>
      <c r="DWH44" s="82"/>
      <c r="DWI44" s="82"/>
      <c r="DWJ44" s="82"/>
      <c r="DWK44" s="82"/>
      <c r="DWL44" s="82"/>
      <c r="DWM44" s="82"/>
      <c r="DWN44" s="82"/>
      <c r="DWO44" s="82"/>
      <c r="DWP44" s="82"/>
      <c r="DWQ44" s="82"/>
      <c r="DWR44" s="82"/>
      <c r="DWS44" s="82"/>
      <c r="DWT44" s="82"/>
      <c r="DWU44" s="82"/>
      <c r="DWV44" s="82"/>
      <c r="DWW44" s="82"/>
      <c r="DWX44" s="82"/>
      <c r="DWY44" s="82"/>
      <c r="DWZ44" s="82"/>
      <c r="DXA44" s="82"/>
      <c r="DXB44" s="82"/>
      <c r="DXC44" s="82"/>
      <c r="DXD44" s="82"/>
      <c r="DXE44" s="82"/>
      <c r="DXF44" s="82"/>
      <c r="DXG44" s="82"/>
      <c r="DXH44" s="82"/>
      <c r="DXI44" s="82"/>
      <c r="DXJ44" s="82"/>
      <c r="DXK44" s="82"/>
      <c r="DXL44" s="82"/>
      <c r="DXM44" s="82"/>
      <c r="DXN44" s="82"/>
      <c r="DXO44" s="82"/>
      <c r="DXP44" s="82"/>
      <c r="DXQ44" s="82"/>
      <c r="DXR44" s="82"/>
      <c r="DXS44" s="82"/>
      <c r="DXT44" s="82"/>
      <c r="DXU44" s="82"/>
      <c r="DXV44" s="82"/>
      <c r="DXW44" s="82"/>
      <c r="DXX44" s="82"/>
      <c r="DXY44" s="82"/>
      <c r="DXZ44" s="82"/>
      <c r="DYA44" s="82"/>
      <c r="DYB44" s="82"/>
      <c r="DYC44" s="82"/>
      <c r="DYD44" s="82"/>
      <c r="DYE44" s="82"/>
      <c r="DYF44" s="82"/>
      <c r="DYG44" s="82"/>
      <c r="DYH44" s="82"/>
      <c r="DYI44" s="82"/>
      <c r="DYJ44" s="82"/>
      <c r="DYK44" s="82"/>
      <c r="DYL44" s="82"/>
      <c r="DYM44" s="82"/>
      <c r="DYN44" s="82"/>
      <c r="DYO44" s="82"/>
      <c r="DYP44" s="82"/>
      <c r="DYQ44" s="82"/>
      <c r="DYR44" s="82"/>
      <c r="DYS44" s="82"/>
      <c r="DYT44" s="82"/>
      <c r="DYU44" s="82"/>
      <c r="DYV44" s="82"/>
      <c r="DYW44" s="82"/>
      <c r="DYX44" s="82"/>
      <c r="DYY44" s="82"/>
      <c r="DYZ44" s="82"/>
      <c r="DZA44" s="82"/>
      <c r="DZB44" s="82"/>
      <c r="DZC44" s="82"/>
      <c r="DZD44" s="82"/>
      <c r="DZE44" s="82"/>
      <c r="DZF44" s="82"/>
      <c r="DZG44" s="82"/>
      <c r="DZH44" s="82"/>
      <c r="DZI44" s="82"/>
      <c r="DZJ44" s="82"/>
      <c r="DZK44" s="82"/>
      <c r="DZL44" s="82"/>
      <c r="DZM44" s="82"/>
      <c r="DZN44" s="82"/>
      <c r="DZO44" s="82"/>
      <c r="DZP44" s="82"/>
      <c r="DZQ44" s="82"/>
      <c r="DZR44" s="82"/>
      <c r="DZS44" s="82"/>
      <c r="DZT44" s="82"/>
      <c r="DZU44" s="82"/>
      <c r="DZV44" s="82"/>
      <c r="DZW44" s="82"/>
      <c r="DZX44" s="82"/>
      <c r="DZY44" s="82"/>
      <c r="DZZ44" s="82"/>
      <c r="EAA44" s="82"/>
      <c r="EAB44" s="82"/>
      <c r="EAC44" s="82"/>
      <c r="EAD44" s="82"/>
      <c r="EAE44" s="82"/>
      <c r="EAF44" s="82"/>
      <c r="EAG44" s="82"/>
      <c r="EAH44" s="82"/>
      <c r="EAI44" s="82"/>
      <c r="EAJ44" s="82"/>
      <c r="EAK44" s="82"/>
      <c r="EAL44" s="82"/>
      <c r="EAM44" s="82"/>
      <c r="EAN44" s="82"/>
      <c r="EAO44" s="82"/>
      <c r="EAP44" s="82"/>
      <c r="EAQ44" s="82"/>
      <c r="EAR44" s="82"/>
      <c r="EAS44" s="82"/>
      <c r="EAT44" s="82"/>
      <c r="EAU44" s="82"/>
      <c r="EAV44" s="82"/>
      <c r="EAW44" s="82"/>
      <c r="EAX44" s="82"/>
      <c r="EAY44" s="82"/>
      <c r="EAZ44" s="82"/>
      <c r="EBA44" s="82"/>
      <c r="EBB44" s="82"/>
      <c r="EBC44" s="82"/>
      <c r="EBD44" s="82"/>
      <c r="EBE44" s="82"/>
      <c r="EBF44" s="82"/>
      <c r="EBG44" s="82"/>
      <c r="EBH44" s="82"/>
      <c r="EBI44" s="82"/>
      <c r="EBJ44" s="82"/>
      <c r="EBK44" s="82"/>
      <c r="EBL44" s="82"/>
      <c r="EBM44" s="82"/>
      <c r="EBN44" s="82"/>
      <c r="EBO44" s="82"/>
      <c r="EBP44" s="82"/>
      <c r="EBQ44" s="82"/>
      <c r="EBR44" s="82"/>
      <c r="EBS44" s="82"/>
      <c r="EBT44" s="82"/>
      <c r="EBU44" s="82"/>
      <c r="EBV44" s="82"/>
      <c r="EBW44" s="82"/>
      <c r="EBX44" s="82"/>
      <c r="EBY44" s="82"/>
      <c r="EBZ44" s="82"/>
      <c r="ECA44" s="82"/>
      <c r="ECB44" s="82"/>
      <c r="ECC44" s="82"/>
      <c r="ECD44" s="82"/>
      <c r="ECE44" s="82"/>
      <c r="ECF44" s="82"/>
      <c r="ECG44" s="82"/>
      <c r="ECH44" s="82"/>
      <c r="ECI44" s="82"/>
      <c r="ECJ44" s="82"/>
      <c r="ECK44" s="82"/>
      <c r="ECL44" s="82"/>
      <c r="ECM44" s="82"/>
      <c r="ECN44" s="82"/>
      <c r="ECO44" s="82"/>
      <c r="ECP44" s="82"/>
      <c r="ECQ44" s="82"/>
      <c r="ECR44" s="82"/>
      <c r="ECS44" s="82"/>
      <c r="ECT44" s="82"/>
      <c r="ECU44" s="82"/>
      <c r="ECV44" s="82"/>
      <c r="ECW44" s="82"/>
      <c r="ECX44" s="82"/>
      <c r="ECY44" s="82"/>
      <c r="ECZ44" s="82"/>
      <c r="EDA44" s="82"/>
      <c r="EDB44" s="82"/>
      <c r="EDC44" s="82"/>
      <c r="EDD44" s="82"/>
      <c r="EDE44" s="82"/>
      <c r="EDF44" s="82"/>
      <c r="EDG44" s="82"/>
      <c r="EDH44" s="82"/>
      <c r="EDI44" s="82"/>
      <c r="EDJ44" s="82"/>
      <c r="EDK44" s="82"/>
      <c r="EDL44" s="82"/>
      <c r="EDM44" s="82"/>
      <c r="EDN44" s="82"/>
      <c r="EDO44" s="82"/>
      <c r="EDP44" s="82"/>
      <c r="EDQ44" s="82"/>
      <c r="EDR44" s="82"/>
      <c r="EDS44" s="82"/>
      <c r="EDT44" s="82"/>
      <c r="EDU44" s="82"/>
      <c r="EDV44" s="82"/>
      <c r="EDW44" s="82"/>
      <c r="EDX44" s="82"/>
      <c r="EDY44" s="82"/>
      <c r="EDZ44" s="82"/>
      <c r="EEA44" s="82"/>
      <c r="EEB44" s="82"/>
      <c r="EEC44" s="82"/>
      <c r="EED44" s="82"/>
      <c r="EEE44" s="82"/>
      <c r="EEF44" s="82"/>
      <c r="EEG44" s="82"/>
      <c r="EEH44" s="82"/>
      <c r="EEI44" s="82"/>
      <c r="EEJ44" s="82"/>
      <c r="EEK44" s="82"/>
      <c r="EEL44" s="82"/>
      <c r="EEM44" s="82"/>
      <c r="EEN44" s="82"/>
      <c r="EEO44" s="82"/>
      <c r="EEP44" s="82"/>
      <c r="EEQ44" s="82"/>
      <c r="EER44" s="82"/>
      <c r="EES44" s="82"/>
      <c r="EET44" s="82"/>
      <c r="EEU44" s="82"/>
      <c r="EEV44" s="82"/>
      <c r="EEW44" s="82"/>
      <c r="EEX44" s="82"/>
      <c r="EEY44" s="82"/>
      <c r="EEZ44" s="82"/>
      <c r="EFA44" s="82"/>
      <c r="EFB44" s="82"/>
      <c r="EFC44" s="82"/>
      <c r="EFD44" s="82"/>
      <c r="EFE44" s="82"/>
      <c r="EFF44" s="82"/>
      <c r="EFG44" s="82"/>
      <c r="EFH44" s="82"/>
      <c r="EFI44" s="82"/>
      <c r="EFJ44" s="82"/>
      <c r="EFK44" s="82"/>
      <c r="EFL44" s="82"/>
      <c r="EFM44" s="82"/>
      <c r="EFN44" s="82"/>
      <c r="EFO44" s="82"/>
      <c r="EFP44" s="82"/>
      <c r="EFQ44" s="82"/>
      <c r="EFR44" s="82"/>
      <c r="EFS44" s="82"/>
      <c r="EFT44" s="82"/>
      <c r="EFU44" s="82"/>
      <c r="EFV44" s="82"/>
      <c r="EFW44" s="82"/>
      <c r="EFX44" s="82"/>
      <c r="EFY44" s="82"/>
      <c r="EFZ44" s="82"/>
      <c r="EGA44" s="82"/>
      <c r="EGB44" s="82"/>
      <c r="EGC44" s="82"/>
      <c r="EGD44" s="82"/>
      <c r="EGE44" s="82"/>
      <c r="EGF44" s="82"/>
      <c r="EGG44" s="82"/>
      <c r="EGH44" s="82"/>
      <c r="EGI44" s="82"/>
      <c r="EGJ44" s="82"/>
      <c r="EGK44" s="82"/>
      <c r="EGL44" s="82"/>
      <c r="EGM44" s="82"/>
      <c r="EGN44" s="82"/>
      <c r="EGO44" s="82"/>
      <c r="EGP44" s="82"/>
      <c r="EGQ44" s="82"/>
      <c r="EGR44" s="82"/>
      <c r="EGS44" s="82"/>
      <c r="EGT44" s="82"/>
      <c r="EGU44" s="82"/>
      <c r="EGV44" s="82"/>
      <c r="EGW44" s="82"/>
      <c r="EGX44" s="82"/>
      <c r="EGY44" s="82"/>
      <c r="EGZ44" s="82"/>
      <c r="EHA44" s="82"/>
      <c r="EHB44" s="82"/>
      <c r="EHC44" s="82"/>
      <c r="EHD44" s="82"/>
      <c r="EHE44" s="82"/>
      <c r="EHF44" s="82"/>
      <c r="EHG44" s="82"/>
      <c r="EHH44" s="82"/>
      <c r="EHI44" s="82"/>
      <c r="EHJ44" s="82"/>
      <c r="EHK44" s="82"/>
      <c r="EHL44" s="82"/>
      <c r="EHM44" s="82"/>
      <c r="EHN44" s="82"/>
      <c r="EHO44" s="82"/>
      <c r="EHP44" s="82"/>
      <c r="EHQ44" s="82"/>
      <c r="EHR44" s="82"/>
      <c r="EHS44" s="82"/>
      <c r="EHT44" s="82"/>
      <c r="EHU44" s="82"/>
      <c r="EHV44" s="82"/>
      <c r="EHW44" s="82"/>
      <c r="EHX44" s="82"/>
      <c r="EHY44" s="82"/>
      <c r="EHZ44" s="82"/>
      <c r="EIA44" s="82"/>
      <c r="EIB44" s="82"/>
      <c r="EIC44" s="82"/>
      <c r="EID44" s="82"/>
      <c r="EIE44" s="82"/>
      <c r="EIF44" s="82"/>
      <c r="EIG44" s="82"/>
      <c r="EIH44" s="82"/>
      <c r="EII44" s="82"/>
      <c r="EIJ44" s="82"/>
      <c r="EIK44" s="82"/>
      <c r="EIL44" s="82"/>
      <c r="EIM44" s="82"/>
      <c r="EIN44" s="82"/>
      <c r="EIO44" s="82"/>
      <c r="EIP44" s="82"/>
      <c r="EIQ44" s="82"/>
      <c r="EIR44" s="82"/>
      <c r="EIS44" s="82"/>
      <c r="EIT44" s="82"/>
      <c r="EIU44" s="82"/>
      <c r="EIV44" s="82"/>
      <c r="EIW44" s="82"/>
      <c r="EIX44" s="82"/>
      <c r="EIY44" s="82"/>
      <c r="EIZ44" s="82"/>
      <c r="EJA44" s="82"/>
      <c r="EJB44" s="82"/>
      <c r="EJC44" s="82"/>
      <c r="EJD44" s="82"/>
      <c r="EJE44" s="82"/>
      <c r="EJF44" s="82"/>
      <c r="EJG44" s="82"/>
      <c r="EJH44" s="82"/>
      <c r="EJI44" s="82"/>
      <c r="EJJ44" s="82"/>
      <c r="EJK44" s="82"/>
      <c r="EJL44" s="82"/>
      <c r="EJM44" s="82"/>
      <c r="EJN44" s="82"/>
      <c r="EJO44" s="82"/>
      <c r="EJP44" s="82"/>
      <c r="EJQ44" s="82"/>
      <c r="EJR44" s="82"/>
      <c r="EJS44" s="82"/>
      <c r="EJT44" s="82"/>
      <c r="EJU44" s="82"/>
      <c r="EJV44" s="82"/>
      <c r="EJW44" s="82"/>
      <c r="EJX44" s="82"/>
      <c r="EJY44" s="82"/>
      <c r="EJZ44" s="82"/>
      <c r="EKA44" s="82"/>
      <c r="EKB44" s="82"/>
      <c r="EKC44" s="82"/>
      <c r="EKD44" s="82"/>
      <c r="EKE44" s="82"/>
      <c r="EKF44" s="82"/>
      <c r="EKG44" s="82"/>
      <c r="EKH44" s="82"/>
      <c r="EKI44" s="82"/>
      <c r="EKJ44" s="82"/>
      <c r="EKK44" s="82"/>
      <c r="EKL44" s="82"/>
      <c r="EKM44" s="82"/>
      <c r="EKN44" s="82"/>
      <c r="EKO44" s="82"/>
      <c r="EKP44" s="82"/>
      <c r="EKQ44" s="82"/>
      <c r="EKR44" s="82"/>
      <c r="EKS44" s="82"/>
      <c r="EKT44" s="82"/>
      <c r="EKU44" s="82"/>
      <c r="EKV44" s="82"/>
      <c r="EKW44" s="82"/>
      <c r="EKX44" s="82"/>
      <c r="EKY44" s="82"/>
      <c r="EKZ44" s="82"/>
      <c r="ELA44" s="82"/>
      <c r="ELB44" s="82"/>
      <c r="ELC44" s="82"/>
      <c r="ELD44" s="82"/>
      <c r="ELE44" s="82"/>
      <c r="ELF44" s="82"/>
      <c r="ELG44" s="82"/>
      <c r="ELH44" s="82"/>
      <c r="ELI44" s="82"/>
      <c r="ELJ44" s="82"/>
      <c r="ELK44" s="82"/>
      <c r="ELL44" s="82"/>
      <c r="ELM44" s="82"/>
      <c r="ELN44" s="82"/>
      <c r="ELO44" s="82"/>
      <c r="ELP44" s="82"/>
      <c r="ELQ44" s="82"/>
      <c r="ELR44" s="82"/>
      <c r="ELS44" s="82"/>
      <c r="ELT44" s="82"/>
      <c r="ELU44" s="82"/>
      <c r="ELV44" s="82"/>
      <c r="ELW44" s="82"/>
      <c r="ELX44" s="82"/>
      <c r="ELY44" s="82"/>
      <c r="ELZ44" s="82"/>
      <c r="EMA44" s="82"/>
      <c r="EMB44" s="82"/>
      <c r="EMC44" s="82"/>
      <c r="EMD44" s="82"/>
      <c r="EME44" s="82"/>
      <c r="EMF44" s="82"/>
      <c r="EMG44" s="82"/>
      <c r="EMH44" s="82"/>
      <c r="EMI44" s="82"/>
      <c r="EMJ44" s="82"/>
      <c r="EMK44" s="82"/>
      <c r="EML44" s="82"/>
      <c r="EMM44" s="82"/>
      <c r="EMN44" s="82"/>
      <c r="EMO44" s="82"/>
      <c r="EMP44" s="82"/>
      <c r="EMQ44" s="82"/>
      <c r="EMR44" s="82"/>
      <c r="EMS44" s="82"/>
      <c r="EMT44" s="82"/>
      <c r="EMU44" s="82"/>
      <c r="EMV44" s="82"/>
      <c r="EMW44" s="82"/>
      <c r="EMX44" s="82"/>
      <c r="EMY44" s="82"/>
      <c r="EMZ44" s="82"/>
      <c r="ENA44" s="82"/>
      <c r="ENB44" s="82"/>
      <c r="ENC44" s="82"/>
      <c r="END44" s="82"/>
      <c r="ENE44" s="82"/>
      <c r="ENF44" s="82"/>
      <c r="ENG44" s="82"/>
      <c r="ENH44" s="82"/>
      <c r="ENI44" s="82"/>
      <c r="ENJ44" s="82"/>
      <c r="ENK44" s="82"/>
      <c r="ENL44" s="82"/>
      <c r="ENM44" s="82"/>
      <c r="ENN44" s="82"/>
      <c r="ENO44" s="82"/>
      <c r="ENP44" s="82"/>
      <c r="ENQ44" s="82"/>
      <c r="ENR44" s="82"/>
      <c r="ENS44" s="82"/>
      <c r="ENT44" s="82"/>
      <c r="ENU44" s="82"/>
      <c r="ENV44" s="82"/>
      <c r="ENW44" s="82"/>
      <c r="ENX44" s="82"/>
      <c r="ENY44" s="82"/>
      <c r="ENZ44" s="82"/>
      <c r="EOA44" s="82"/>
      <c r="EOB44" s="82"/>
      <c r="EOC44" s="82"/>
      <c r="EOD44" s="82"/>
      <c r="EOE44" s="82"/>
      <c r="EOF44" s="82"/>
      <c r="EOG44" s="82"/>
      <c r="EOH44" s="82"/>
      <c r="EOI44" s="82"/>
      <c r="EOJ44" s="82"/>
      <c r="EOK44" s="82"/>
      <c r="EOL44" s="82"/>
      <c r="EOM44" s="82"/>
      <c r="EON44" s="82"/>
      <c r="EOO44" s="82"/>
      <c r="EOP44" s="82"/>
      <c r="EOQ44" s="82"/>
      <c r="EOR44" s="82"/>
      <c r="EOS44" s="82"/>
      <c r="EOT44" s="82"/>
      <c r="EOU44" s="82"/>
      <c r="EOV44" s="82"/>
      <c r="EOW44" s="82"/>
      <c r="EOX44" s="82"/>
      <c r="EOY44" s="82"/>
      <c r="EOZ44" s="82"/>
      <c r="EPA44" s="82"/>
      <c r="EPB44" s="82"/>
      <c r="EPC44" s="82"/>
      <c r="EPD44" s="82"/>
      <c r="EPE44" s="82"/>
      <c r="EPF44" s="82"/>
      <c r="EPG44" s="82"/>
      <c r="EPH44" s="82"/>
      <c r="EPI44" s="82"/>
      <c r="EPJ44" s="82"/>
      <c r="EPK44" s="82"/>
      <c r="EPL44" s="82"/>
      <c r="EPM44" s="82"/>
      <c r="EPN44" s="82"/>
      <c r="EPO44" s="82"/>
      <c r="EPP44" s="82"/>
      <c r="EPQ44" s="82"/>
      <c r="EPR44" s="82"/>
      <c r="EPS44" s="82"/>
      <c r="EPT44" s="82"/>
      <c r="EPU44" s="82"/>
      <c r="EPV44" s="82"/>
      <c r="EPW44" s="82"/>
      <c r="EPX44" s="82"/>
      <c r="EPY44" s="82"/>
      <c r="EPZ44" s="82"/>
      <c r="EQA44" s="82"/>
      <c r="EQB44" s="82"/>
      <c r="EQC44" s="82"/>
      <c r="EQD44" s="82"/>
      <c r="EQE44" s="82"/>
      <c r="EQF44" s="82"/>
      <c r="EQG44" s="82"/>
      <c r="EQH44" s="82"/>
      <c r="EQI44" s="82"/>
      <c r="EQJ44" s="82"/>
      <c r="EQK44" s="82"/>
      <c r="EQL44" s="82"/>
      <c r="EQM44" s="82"/>
      <c r="EQN44" s="82"/>
      <c r="EQO44" s="82"/>
      <c r="EQP44" s="82"/>
      <c r="EQQ44" s="82"/>
      <c r="EQR44" s="82"/>
      <c r="EQS44" s="82"/>
      <c r="EQT44" s="82"/>
      <c r="EQU44" s="82"/>
      <c r="EQV44" s="82"/>
      <c r="EQW44" s="82"/>
      <c r="EQX44" s="82"/>
      <c r="EQY44" s="82"/>
      <c r="EQZ44" s="82"/>
      <c r="ERA44" s="82"/>
      <c r="ERB44" s="82"/>
      <c r="ERC44" s="82"/>
      <c r="ERD44" s="82"/>
      <c r="ERE44" s="82"/>
      <c r="ERF44" s="82"/>
      <c r="ERG44" s="82"/>
      <c r="ERH44" s="82"/>
      <c r="ERI44" s="82"/>
      <c r="ERJ44" s="82"/>
      <c r="ERK44" s="82"/>
      <c r="ERL44" s="82"/>
      <c r="ERM44" s="82"/>
      <c r="ERN44" s="82"/>
      <c r="ERO44" s="82"/>
      <c r="ERP44" s="82"/>
      <c r="ERQ44" s="82"/>
      <c r="ERR44" s="82"/>
      <c r="ERS44" s="82"/>
      <c r="ERT44" s="82"/>
      <c r="ERU44" s="82"/>
      <c r="ERV44" s="82"/>
      <c r="ERW44" s="82"/>
      <c r="ERX44" s="82"/>
      <c r="ERY44" s="82"/>
      <c r="ERZ44" s="82"/>
      <c r="ESA44" s="82"/>
      <c r="ESB44" s="82"/>
      <c r="ESC44" s="82"/>
      <c r="ESD44" s="82"/>
      <c r="ESE44" s="82"/>
      <c r="ESF44" s="82"/>
      <c r="ESG44" s="82"/>
      <c r="ESH44" s="82"/>
      <c r="ESI44" s="82"/>
      <c r="ESJ44" s="82"/>
      <c r="ESK44" s="82"/>
      <c r="ESL44" s="82"/>
      <c r="ESM44" s="82"/>
      <c r="ESN44" s="82"/>
      <c r="ESO44" s="82"/>
      <c r="ESP44" s="82"/>
      <c r="ESQ44" s="82"/>
      <c r="ESR44" s="82"/>
      <c r="ESS44" s="82"/>
      <c r="EST44" s="82"/>
      <c r="ESU44" s="82"/>
      <c r="ESV44" s="82"/>
      <c r="ESW44" s="82"/>
      <c r="ESX44" s="82"/>
      <c r="ESY44" s="82"/>
      <c r="ESZ44" s="82"/>
      <c r="ETA44" s="82"/>
      <c r="ETB44" s="82"/>
      <c r="ETC44" s="82"/>
      <c r="ETD44" s="82"/>
      <c r="ETE44" s="82"/>
      <c r="ETF44" s="82"/>
      <c r="ETG44" s="82"/>
      <c r="ETH44" s="82"/>
      <c r="ETI44" s="82"/>
      <c r="ETJ44" s="82"/>
      <c r="ETK44" s="82"/>
      <c r="ETL44" s="82"/>
      <c r="ETM44" s="82"/>
      <c r="ETN44" s="82"/>
      <c r="ETO44" s="82"/>
      <c r="ETP44" s="82"/>
      <c r="ETQ44" s="82"/>
      <c r="ETR44" s="82"/>
      <c r="ETS44" s="82"/>
      <c r="ETT44" s="82"/>
      <c r="ETU44" s="82"/>
      <c r="ETV44" s="82"/>
      <c r="ETW44" s="82"/>
      <c r="ETX44" s="82"/>
      <c r="ETY44" s="82"/>
      <c r="ETZ44" s="82"/>
      <c r="EUA44" s="82"/>
      <c r="EUB44" s="82"/>
      <c r="EUC44" s="82"/>
      <c r="EUD44" s="82"/>
      <c r="EUE44" s="82"/>
      <c r="EUF44" s="82"/>
      <c r="EUG44" s="82"/>
      <c r="EUH44" s="82"/>
      <c r="EUI44" s="82"/>
      <c r="EUJ44" s="82"/>
      <c r="EUK44" s="82"/>
      <c r="EUL44" s="82"/>
      <c r="EUM44" s="82"/>
      <c r="EUN44" s="82"/>
      <c r="EUO44" s="82"/>
      <c r="EUP44" s="82"/>
      <c r="EUQ44" s="82"/>
      <c r="EUR44" s="82"/>
      <c r="EUS44" s="82"/>
      <c r="EUT44" s="82"/>
      <c r="EUU44" s="82"/>
      <c r="EUV44" s="82"/>
      <c r="EUW44" s="82"/>
      <c r="EUX44" s="82"/>
      <c r="EUY44" s="82"/>
      <c r="EUZ44" s="82"/>
      <c r="EVA44" s="82"/>
      <c r="EVB44" s="82"/>
      <c r="EVC44" s="82"/>
      <c r="EVD44" s="82"/>
      <c r="EVE44" s="82"/>
      <c r="EVF44" s="82"/>
      <c r="EVG44" s="82"/>
      <c r="EVH44" s="82"/>
      <c r="EVI44" s="82"/>
      <c r="EVJ44" s="82"/>
      <c r="EVK44" s="82"/>
      <c r="EVL44" s="82"/>
      <c r="EVM44" s="82"/>
      <c r="EVN44" s="82"/>
      <c r="EVO44" s="82"/>
      <c r="EVP44" s="82"/>
      <c r="EVQ44" s="82"/>
      <c r="EVR44" s="82"/>
      <c r="EVS44" s="82"/>
      <c r="EVT44" s="82"/>
      <c r="EVU44" s="82"/>
      <c r="EVV44" s="82"/>
      <c r="EVW44" s="82"/>
      <c r="EVX44" s="82"/>
      <c r="EVY44" s="82"/>
      <c r="EVZ44" s="82"/>
      <c r="EWA44" s="82"/>
      <c r="EWB44" s="82"/>
      <c r="EWC44" s="82"/>
      <c r="EWD44" s="82"/>
      <c r="EWE44" s="82"/>
      <c r="EWF44" s="82"/>
      <c r="EWG44" s="82"/>
      <c r="EWH44" s="82"/>
      <c r="EWI44" s="82"/>
      <c r="EWJ44" s="82"/>
      <c r="EWK44" s="82"/>
      <c r="EWL44" s="82"/>
      <c r="EWM44" s="82"/>
      <c r="EWN44" s="82"/>
      <c r="EWO44" s="82"/>
      <c r="EWP44" s="82"/>
      <c r="EWQ44" s="82"/>
      <c r="EWR44" s="82"/>
      <c r="EWS44" s="82"/>
      <c r="EWT44" s="82"/>
      <c r="EWU44" s="82"/>
      <c r="EWV44" s="82"/>
      <c r="EWW44" s="82"/>
      <c r="EWX44" s="82"/>
      <c r="EWY44" s="82"/>
      <c r="EWZ44" s="82"/>
      <c r="EXA44" s="82"/>
      <c r="EXB44" s="82"/>
      <c r="EXC44" s="82"/>
      <c r="EXD44" s="82"/>
      <c r="EXE44" s="82"/>
      <c r="EXF44" s="82"/>
      <c r="EXG44" s="82"/>
      <c r="EXH44" s="82"/>
      <c r="EXI44" s="82"/>
      <c r="EXJ44" s="82"/>
      <c r="EXK44" s="82"/>
      <c r="EXL44" s="82"/>
      <c r="EXM44" s="82"/>
      <c r="EXN44" s="82"/>
      <c r="EXO44" s="82"/>
      <c r="EXP44" s="82"/>
      <c r="EXQ44" s="82"/>
      <c r="EXR44" s="82"/>
      <c r="EXS44" s="82"/>
      <c r="EXT44" s="82"/>
      <c r="EXU44" s="82"/>
      <c r="EXV44" s="82"/>
      <c r="EXW44" s="82"/>
      <c r="EXX44" s="82"/>
      <c r="EXY44" s="82"/>
      <c r="EXZ44" s="82"/>
      <c r="EYA44" s="82"/>
      <c r="EYB44" s="82"/>
      <c r="EYC44" s="82"/>
      <c r="EYD44" s="82"/>
      <c r="EYE44" s="82"/>
      <c r="EYF44" s="82"/>
      <c r="EYG44" s="82"/>
      <c r="EYH44" s="82"/>
      <c r="EYI44" s="82"/>
      <c r="EYJ44" s="82"/>
      <c r="EYK44" s="82"/>
      <c r="EYL44" s="82"/>
      <c r="EYM44" s="82"/>
      <c r="EYN44" s="82"/>
      <c r="EYO44" s="82"/>
      <c r="EYP44" s="82"/>
      <c r="EYQ44" s="82"/>
      <c r="EYR44" s="82"/>
      <c r="EYS44" s="82"/>
      <c r="EYT44" s="82"/>
      <c r="EYU44" s="82"/>
      <c r="EYV44" s="82"/>
      <c r="EYW44" s="82"/>
      <c r="EYX44" s="82"/>
      <c r="EYY44" s="82"/>
      <c r="EYZ44" s="82"/>
      <c r="EZA44" s="82"/>
      <c r="EZB44" s="82"/>
      <c r="EZC44" s="82"/>
      <c r="EZD44" s="82"/>
      <c r="EZE44" s="82"/>
      <c r="EZF44" s="82"/>
      <c r="EZG44" s="82"/>
      <c r="EZH44" s="82"/>
      <c r="EZI44" s="82"/>
      <c r="EZJ44" s="82"/>
      <c r="EZK44" s="82"/>
      <c r="EZL44" s="82"/>
      <c r="EZM44" s="82"/>
      <c r="EZN44" s="82"/>
      <c r="EZO44" s="82"/>
      <c r="EZP44" s="82"/>
      <c r="EZQ44" s="82"/>
      <c r="EZR44" s="82"/>
      <c r="EZS44" s="82"/>
      <c r="EZT44" s="82"/>
      <c r="EZU44" s="82"/>
      <c r="EZV44" s="82"/>
      <c r="EZW44" s="82"/>
      <c r="EZX44" s="82"/>
      <c r="EZY44" s="82"/>
      <c r="EZZ44" s="82"/>
      <c r="FAA44" s="82"/>
      <c r="FAB44" s="82"/>
      <c r="FAC44" s="82"/>
      <c r="FAD44" s="82"/>
      <c r="FAE44" s="82"/>
      <c r="FAF44" s="82"/>
      <c r="FAG44" s="82"/>
      <c r="FAH44" s="82"/>
      <c r="FAI44" s="82"/>
      <c r="FAJ44" s="82"/>
      <c r="FAK44" s="82"/>
      <c r="FAL44" s="82"/>
      <c r="FAM44" s="82"/>
      <c r="FAN44" s="82"/>
      <c r="FAO44" s="82"/>
      <c r="FAP44" s="82"/>
      <c r="FAQ44" s="82"/>
      <c r="FAR44" s="82"/>
      <c r="FAS44" s="82"/>
      <c r="FAT44" s="82"/>
      <c r="FAU44" s="82"/>
      <c r="FAV44" s="82"/>
      <c r="FAW44" s="82"/>
      <c r="FAX44" s="82"/>
      <c r="FAY44" s="82"/>
      <c r="FAZ44" s="82"/>
      <c r="FBA44" s="82"/>
      <c r="FBB44" s="82"/>
      <c r="FBC44" s="82"/>
      <c r="FBD44" s="82"/>
      <c r="FBE44" s="82"/>
      <c r="FBF44" s="82"/>
      <c r="FBG44" s="82"/>
      <c r="FBH44" s="82"/>
      <c r="FBI44" s="82"/>
      <c r="FBJ44" s="82"/>
      <c r="FBK44" s="82"/>
      <c r="FBL44" s="82"/>
      <c r="FBM44" s="82"/>
      <c r="FBN44" s="82"/>
      <c r="FBO44" s="82"/>
      <c r="FBP44" s="82"/>
      <c r="FBQ44" s="82"/>
      <c r="FBR44" s="82"/>
      <c r="FBS44" s="82"/>
      <c r="FBT44" s="82"/>
      <c r="FBU44" s="82"/>
      <c r="FBV44" s="82"/>
      <c r="FBW44" s="82"/>
      <c r="FBX44" s="82"/>
      <c r="FBY44" s="82"/>
      <c r="FBZ44" s="82"/>
      <c r="FCA44" s="82"/>
      <c r="FCB44" s="82"/>
      <c r="FCC44" s="82"/>
      <c r="FCD44" s="82"/>
      <c r="FCE44" s="82"/>
      <c r="FCF44" s="82"/>
      <c r="FCG44" s="82"/>
      <c r="FCH44" s="82"/>
      <c r="FCI44" s="82"/>
      <c r="FCJ44" s="82"/>
      <c r="FCK44" s="82"/>
      <c r="FCL44" s="82"/>
      <c r="FCM44" s="82"/>
      <c r="FCN44" s="82"/>
      <c r="FCO44" s="82"/>
      <c r="FCP44" s="82"/>
      <c r="FCQ44" s="82"/>
      <c r="FCR44" s="82"/>
      <c r="FCS44" s="82"/>
      <c r="FCT44" s="82"/>
      <c r="FCU44" s="82"/>
      <c r="FCV44" s="82"/>
      <c r="FCW44" s="82"/>
      <c r="FCX44" s="82"/>
      <c r="FCY44" s="82"/>
      <c r="FCZ44" s="82"/>
      <c r="FDA44" s="82"/>
      <c r="FDB44" s="82"/>
      <c r="FDC44" s="82"/>
      <c r="FDD44" s="82"/>
      <c r="FDE44" s="82"/>
      <c r="FDF44" s="82"/>
      <c r="FDG44" s="82"/>
      <c r="FDH44" s="82"/>
      <c r="FDI44" s="82"/>
      <c r="FDJ44" s="82"/>
      <c r="FDK44" s="82"/>
      <c r="FDL44" s="82"/>
      <c r="FDM44" s="82"/>
      <c r="FDN44" s="82"/>
      <c r="FDO44" s="82"/>
      <c r="FDP44" s="82"/>
      <c r="FDQ44" s="82"/>
      <c r="FDR44" s="82"/>
      <c r="FDS44" s="82"/>
      <c r="FDT44" s="82"/>
      <c r="FDU44" s="82"/>
      <c r="FDV44" s="82"/>
      <c r="FDW44" s="82"/>
      <c r="FDX44" s="82"/>
      <c r="FDY44" s="82"/>
      <c r="FDZ44" s="82"/>
      <c r="FEA44" s="82"/>
      <c r="FEB44" s="82"/>
      <c r="FEC44" s="82"/>
      <c r="FED44" s="82"/>
      <c r="FEE44" s="82"/>
      <c r="FEF44" s="82"/>
      <c r="FEG44" s="82"/>
      <c r="FEH44" s="82"/>
      <c r="FEI44" s="82"/>
      <c r="FEJ44" s="82"/>
      <c r="FEK44" s="82"/>
      <c r="FEL44" s="82"/>
      <c r="FEM44" s="82"/>
      <c r="FEN44" s="82"/>
      <c r="FEO44" s="82"/>
      <c r="FEP44" s="82"/>
      <c r="FEQ44" s="82"/>
      <c r="FER44" s="82"/>
      <c r="FES44" s="82"/>
      <c r="FET44" s="82"/>
      <c r="FEU44" s="82"/>
      <c r="FEV44" s="82"/>
      <c r="FEW44" s="82"/>
      <c r="FEX44" s="82"/>
      <c r="FEY44" s="82"/>
      <c r="FEZ44" s="82"/>
      <c r="FFA44" s="82"/>
      <c r="FFB44" s="82"/>
      <c r="FFC44" s="82"/>
      <c r="FFD44" s="82"/>
      <c r="FFE44" s="82"/>
      <c r="FFF44" s="82"/>
      <c r="FFG44" s="82"/>
      <c r="FFH44" s="82"/>
      <c r="FFI44" s="82"/>
      <c r="FFJ44" s="82"/>
      <c r="FFK44" s="82"/>
      <c r="FFL44" s="82"/>
      <c r="FFM44" s="82"/>
      <c r="FFN44" s="82"/>
      <c r="FFO44" s="82"/>
      <c r="FFP44" s="82"/>
      <c r="FFQ44" s="82"/>
      <c r="FFR44" s="82"/>
      <c r="FFS44" s="82"/>
      <c r="FFT44" s="82"/>
      <c r="FFU44" s="82"/>
      <c r="FFV44" s="82"/>
      <c r="FFW44" s="82"/>
      <c r="FFX44" s="82"/>
      <c r="FFY44" s="82"/>
      <c r="FFZ44" s="82"/>
      <c r="FGA44" s="82"/>
      <c r="FGB44" s="82"/>
      <c r="FGC44" s="82"/>
      <c r="FGD44" s="82"/>
      <c r="FGE44" s="82"/>
      <c r="FGF44" s="82"/>
      <c r="FGG44" s="82"/>
      <c r="FGH44" s="82"/>
      <c r="FGI44" s="82"/>
      <c r="FGJ44" s="82"/>
      <c r="FGK44" s="82"/>
      <c r="FGL44" s="82"/>
      <c r="FGM44" s="82"/>
      <c r="FGN44" s="82"/>
      <c r="FGO44" s="82"/>
      <c r="FGP44" s="82"/>
      <c r="FGQ44" s="82"/>
      <c r="FGR44" s="82"/>
      <c r="FGS44" s="82"/>
      <c r="FGT44" s="82"/>
      <c r="FGU44" s="82"/>
      <c r="FGV44" s="82"/>
      <c r="FGW44" s="82"/>
      <c r="FGX44" s="82"/>
      <c r="FGY44" s="82"/>
      <c r="FGZ44" s="82"/>
      <c r="FHA44" s="82"/>
      <c r="FHB44" s="82"/>
      <c r="FHC44" s="82"/>
      <c r="FHD44" s="82"/>
      <c r="FHE44" s="82"/>
      <c r="FHF44" s="82"/>
      <c r="FHG44" s="82"/>
      <c r="FHH44" s="82"/>
      <c r="FHI44" s="82"/>
      <c r="FHJ44" s="82"/>
      <c r="FHK44" s="82"/>
      <c r="FHL44" s="82"/>
      <c r="FHM44" s="82"/>
      <c r="FHN44" s="82"/>
      <c r="FHO44" s="82"/>
      <c r="FHP44" s="82"/>
      <c r="FHQ44" s="82"/>
      <c r="FHR44" s="82"/>
      <c r="FHS44" s="82"/>
      <c r="FHT44" s="82"/>
      <c r="FHU44" s="82"/>
      <c r="FHV44" s="82"/>
      <c r="FHW44" s="82"/>
      <c r="FHX44" s="82"/>
      <c r="FHY44" s="82"/>
      <c r="FHZ44" s="82"/>
      <c r="FIA44" s="82"/>
      <c r="FIB44" s="82"/>
      <c r="FIC44" s="82"/>
      <c r="FID44" s="82"/>
      <c r="FIE44" s="82"/>
      <c r="FIF44" s="82"/>
      <c r="FIG44" s="82"/>
      <c r="FIH44" s="82"/>
      <c r="FII44" s="82"/>
      <c r="FIJ44" s="82"/>
      <c r="FIK44" s="82"/>
      <c r="FIL44" s="82"/>
      <c r="FIM44" s="82"/>
      <c r="FIN44" s="82"/>
      <c r="FIO44" s="82"/>
      <c r="FIP44" s="82"/>
      <c r="FIQ44" s="82"/>
      <c r="FIR44" s="82"/>
      <c r="FIS44" s="82"/>
      <c r="FIT44" s="82"/>
      <c r="FIU44" s="82"/>
      <c r="FIV44" s="82"/>
      <c r="FIW44" s="82"/>
      <c r="FIX44" s="82"/>
      <c r="FIY44" s="82"/>
      <c r="FIZ44" s="82"/>
      <c r="FJA44" s="82"/>
      <c r="FJB44" s="82"/>
      <c r="FJC44" s="82"/>
      <c r="FJD44" s="82"/>
      <c r="FJE44" s="82"/>
      <c r="FJF44" s="82"/>
      <c r="FJG44" s="82"/>
      <c r="FJH44" s="82"/>
      <c r="FJI44" s="82"/>
      <c r="FJJ44" s="82"/>
      <c r="FJK44" s="82"/>
      <c r="FJL44" s="82"/>
      <c r="FJM44" s="82"/>
      <c r="FJN44" s="82"/>
      <c r="FJO44" s="82"/>
      <c r="FJP44" s="82"/>
      <c r="FJQ44" s="82"/>
      <c r="FJR44" s="82"/>
      <c r="FJS44" s="82"/>
      <c r="FJT44" s="82"/>
      <c r="FJU44" s="82"/>
      <c r="FJV44" s="82"/>
      <c r="FJW44" s="82"/>
      <c r="FJX44" s="82"/>
      <c r="FJY44" s="82"/>
      <c r="FJZ44" s="82"/>
      <c r="FKA44" s="82"/>
      <c r="FKB44" s="82"/>
      <c r="FKC44" s="82"/>
      <c r="FKD44" s="82"/>
      <c r="FKE44" s="82"/>
      <c r="FKF44" s="82"/>
      <c r="FKG44" s="82"/>
      <c r="FKH44" s="82"/>
      <c r="FKI44" s="82"/>
      <c r="FKJ44" s="82"/>
      <c r="FKK44" s="82"/>
      <c r="FKL44" s="82"/>
      <c r="FKM44" s="82"/>
      <c r="FKN44" s="82"/>
      <c r="FKO44" s="82"/>
      <c r="FKP44" s="82"/>
      <c r="FKQ44" s="82"/>
      <c r="FKR44" s="82"/>
      <c r="FKS44" s="82"/>
      <c r="FKT44" s="82"/>
      <c r="FKU44" s="82"/>
      <c r="FKV44" s="82"/>
      <c r="FKW44" s="82"/>
      <c r="FKX44" s="82"/>
      <c r="FKY44" s="82"/>
      <c r="FKZ44" s="82"/>
      <c r="FLA44" s="82"/>
      <c r="FLB44" s="82"/>
      <c r="FLC44" s="82"/>
      <c r="FLD44" s="82"/>
      <c r="FLE44" s="82"/>
      <c r="FLF44" s="82"/>
      <c r="FLG44" s="82"/>
      <c r="FLH44" s="82"/>
      <c r="FLI44" s="82"/>
      <c r="FLJ44" s="82"/>
      <c r="FLK44" s="82"/>
      <c r="FLL44" s="82"/>
      <c r="FLM44" s="82"/>
      <c r="FLN44" s="82"/>
      <c r="FLO44" s="82"/>
      <c r="FLP44" s="82"/>
      <c r="FLQ44" s="82"/>
      <c r="FLR44" s="82"/>
      <c r="FLS44" s="82"/>
      <c r="FLT44" s="82"/>
      <c r="FLU44" s="82"/>
      <c r="FLV44" s="82"/>
      <c r="FLW44" s="82"/>
      <c r="FLX44" s="82"/>
      <c r="FLY44" s="82"/>
      <c r="FLZ44" s="82"/>
      <c r="FMA44" s="82"/>
      <c r="FMB44" s="82"/>
      <c r="FMC44" s="82"/>
      <c r="FMD44" s="82"/>
      <c r="FME44" s="82"/>
      <c r="FMF44" s="82"/>
      <c r="FMG44" s="82"/>
      <c r="FMH44" s="82"/>
      <c r="FMI44" s="82"/>
      <c r="FMJ44" s="82"/>
      <c r="FMK44" s="82"/>
      <c r="FML44" s="82"/>
      <c r="FMM44" s="82"/>
      <c r="FMN44" s="82"/>
      <c r="FMO44" s="82"/>
      <c r="FMP44" s="82"/>
      <c r="FMQ44" s="82"/>
      <c r="FMR44" s="82"/>
      <c r="FMS44" s="82"/>
      <c r="FMT44" s="82"/>
      <c r="FMU44" s="82"/>
      <c r="FMV44" s="82"/>
      <c r="FMW44" s="82"/>
      <c r="FMX44" s="82"/>
      <c r="FMY44" s="82"/>
      <c r="FMZ44" s="82"/>
      <c r="FNA44" s="82"/>
      <c r="FNB44" s="82"/>
      <c r="FNC44" s="82"/>
      <c r="FND44" s="82"/>
      <c r="FNE44" s="82"/>
      <c r="FNF44" s="82"/>
      <c r="FNG44" s="82"/>
      <c r="FNH44" s="82"/>
      <c r="FNI44" s="82"/>
      <c r="FNJ44" s="82"/>
      <c r="FNK44" s="82"/>
      <c r="FNL44" s="82"/>
      <c r="FNM44" s="82"/>
      <c r="FNN44" s="82"/>
      <c r="FNO44" s="82"/>
      <c r="FNP44" s="82"/>
      <c r="FNQ44" s="82"/>
      <c r="FNR44" s="82"/>
      <c r="FNS44" s="82"/>
      <c r="FNT44" s="82"/>
      <c r="FNU44" s="82"/>
      <c r="FNV44" s="82"/>
      <c r="FNW44" s="82"/>
      <c r="FNX44" s="82"/>
      <c r="FNY44" s="82"/>
      <c r="FNZ44" s="82"/>
      <c r="FOA44" s="82"/>
      <c r="FOB44" s="82"/>
      <c r="FOC44" s="82"/>
      <c r="FOD44" s="82"/>
      <c r="FOE44" s="82"/>
      <c r="FOF44" s="82"/>
      <c r="FOG44" s="82"/>
      <c r="FOH44" s="82"/>
      <c r="FOI44" s="82"/>
      <c r="FOJ44" s="82"/>
      <c r="FOK44" s="82"/>
      <c r="FOL44" s="82"/>
      <c r="FOM44" s="82"/>
      <c r="FON44" s="82"/>
      <c r="FOO44" s="82"/>
      <c r="FOP44" s="82"/>
      <c r="FOQ44" s="82"/>
      <c r="FOR44" s="82"/>
      <c r="FOS44" s="82"/>
      <c r="FOT44" s="82"/>
      <c r="FOU44" s="82"/>
      <c r="FOV44" s="82"/>
      <c r="FOW44" s="82"/>
      <c r="FOX44" s="82"/>
      <c r="FOY44" s="82"/>
      <c r="FOZ44" s="82"/>
      <c r="FPA44" s="82"/>
      <c r="FPB44" s="82"/>
      <c r="FPC44" s="82"/>
      <c r="FPD44" s="82"/>
      <c r="FPE44" s="82"/>
      <c r="FPF44" s="82"/>
      <c r="FPG44" s="82"/>
      <c r="FPH44" s="82"/>
      <c r="FPI44" s="82"/>
      <c r="FPJ44" s="82"/>
      <c r="FPK44" s="82"/>
      <c r="FPL44" s="82"/>
      <c r="FPM44" s="82"/>
      <c r="FPN44" s="82"/>
      <c r="FPO44" s="82"/>
      <c r="FPP44" s="82"/>
      <c r="FPQ44" s="82"/>
      <c r="FPR44" s="82"/>
      <c r="FPS44" s="82"/>
      <c r="FPT44" s="82"/>
      <c r="FPU44" s="82"/>
      <c r="FPV44" s="82"/>
      <c r="FPW44" s="82"/>
      <c r="FPX44" s="82"/>
      <c r="FPY44" s="82"/>
      <c r="FPZ44" s="82"/>
      <c r="FQA44" s="82"/>
      <c r="FQB44" s="82"/>
      <c r="FQC44" s="82"/>
      <c r="FQD44" s="82"/>
      <c r="FQE44" s="82"/>
      <c r="FQF44" s="82"/>
      <c r="FQG44" s="82"/>
      <c r="FQH44" s="82"/>
      <c r="FQI44" s="82"/>
      <c r="FQJ44" s="82"/>
      <c r="FQK44" s="82"/>
      <c r="FQL44" s="82"/>
      <c r="FQM44" s="82"/>
      <c r="FQN44" s="82"/>
      <c r="FQO44" s="82"/>
      <c r="FQP44" s="82"/>
      <c r="FQQ44" s="82"/>
      <c r="FQR44" s="82"/>
      <c r="FQS44" s="82"/>
      <c r="FQT44" s="82"/>
      <c r="FQU44" s="82"/>
      <c r="FQV44" s="82"/>
      <c r="FQW44" s="82"/>
      <c r="FQX44" s="82"/>
      <c r="FQY44" s="82"/>
      <c r="FQZ44" s="82"/>
      <c r="FRA44" s="82"/>
      <c r="FRB44" s="82"/>
      <c r="FRC44" s="82"/>
      <c r="FRD44" s="82"/>
      <c r="FRE44" s="82"/>
      <c r="FRF44" s="82"/>
      <c r="FRG44" s="82"/>
      <c r="FRH44" s="82"/>
      <c r="FRI44" s="82"/>
      <c r="FRJ44" s="82"/>
      <c r="FRK44" s="82"/>
      <c r="FRL44" s="82"/>
      <c r="FRM44" s="82"/>
      <c r="FRN44" s="82"/>
      <c r="FRO44" s="82"/>
      <c r="FRP44" s="82"/>
      <c r="FRQ44" s="82"/>
      <c r="FRR44" s="82"/>
      <c r="FRS44" s="82"/>
      <c r="FRT44" s="82"/>
      <c r="FRU44" s="82"/>
      <c r="FRV44" s="82"/>
      <c r="FRW44" s="82"/>
      <c r="FRX44" s="82"/>
      <c r="FRY44" s="82"/>
      <c r="FRZ44" s="82"/>
      <c r="FSA44" s="82"/>
      <c r="FSB44" s="82"/>
      <c r="FSC44" s="82"/>
      <c r="FSD44" s="82"/>
      <c r="FSE44" s="82"/>
      <c r="FSF44" s="82"/>
      <c r="FSG44" s="82"/>
      <c r="FSH44" s="82"/>
      <c r="FSI44" s="82"/>
      <c r="FSJ44" s="82"/>
      <c r="FSK44" s="82"/>
      <c r="FSL44" s="82"/>
      <c r="FSM44" s="82"/>
      <c r="FSN44" s="82"/>
      <c r="FSO44" s="82"/>
      <c r="FSP44" s="82"/>
      <c r="FSQ44" s="82"/>
      <c r="FSR44" s="82"/>
      <c r="FSS44" s="82"/>
      <c r="FST44" s="82"/>
      <c r="FSU44" s="82"/>
      <c r="FSV44" s="82"/>
      <c r="FSW44" s="82"/>
      <c r="FSX44" s="82"/>
      <c r="FSY44" s="82"/>
      <c r="FSZ44" s="82"/>
      <c r="FTA44" s="82"/>
      <c r="FTB44" s="82"/>
      <c r="FTC44" s="82"/>
      <c r="FTD44" s="82"/>
      <c r="FTE44" s="82"/>
      <c r="FTF44" s="82"/>
      <c r="FTG44" s="82"/>
      <c r="FTH44" s="82"/>
      <c r="FTI44" s="82"/>
      <c r="FTJ44" s="82"/>
      <c r="FTK44" s="82"/>
      <c r="FTL44" s="82"/>
      <c r="FTM44" s="82"/>
      <c r="FTN44" s="82"/>
      <c r="FTO44" s="82"/>
      <c r="FTP44" s="82"/>
      <c r="FTQ44" s="82"/>
      <c r="FTR44" s="82"/>
      <c r="FTS44" s="82"/>
      <c r="FTT44" s="82"/>
      <c r="FTU44" s="82"/>
      <c r="FTV44" s="82"/>
      <c r="FTW44" s="82"/>
      <c r="FTX44" s="82"/>
      <c r="FTY44" s="82"/>
      <c r="FTZ44" s="82"/>
      <c r="FUA44" s="82"/>
      <c r="FUB44" s="82"/>
      <c r="FUC44" s="82"/>
      <c r="FUD44" s="82"/>
      <c r="FUE44" s="82"/>
      <c r="FUF44" s="82"/>
      <c r="FUG44" s="82"/>
      <c r="FUH44" s="82"/>
      <c r="FUI44" s="82"/>
      <c r="FUJ44" s="82"/>
      <c r="FUK44" s="82"/>
      <c r="FUL44" s="82"/>
      <c r="FUM44" s="82"/>
      <c r="FUN44" s="82"/>
      <c r="FUO44" s="82"/>
      <c r="FUP44" s="82"/>
      <c r="FUQ44" s="82"/>
      <c r="FUR44" s="82"/>
      <c r="FUS44" s="82"/>
      <c r="FUT44" s="82"/>
      <c r="FUU44" s="82"/>
      <c r="FUV44" s="82"/>
      <c r="FUW44" s="82"/>
      <c r="FUX44" s="82"/>
      <c r="FUY44" s="82"/>
      <c r="FUZ44" s="82"/>
      <c r="FVA44" s="82"/>
      <c r="FVB44" s="82"/>
      <c r="FVC44" s="82"/>
      <c r="FVD44" s="82"/>
      <c r="FVE44" s="82"/>
      <c r="FVF44" s="82"/>
      <c r="FVG44" s="82"/>
      <c r="FVH44" s="82"/>
      <c r="FVI44" s="82"/>
      <c r="FVJ44" s="82"/>
      <c r="FVK44" s="82"/>
      <c r="FVL44" s="82"/>
      <c r="FVM44" s="82"/>
      <c r="FVN44" s="82"/>
      <c r="FVO44" s="82"/>
      <c r="FVP44" s="82"/>
      <c r="FVQ44" s="82"/>
      <c r="FVR44" s="82"/>
      <c r="FVS44" s="82"/>
      <c r="FVT44" s="82"/>
      <c r="FVU44" s="82"/>
      <c r="FVV44" s="82"/>
      <c r="FVW44" s="82"/>
      <c r="FVX44" s="82"/>
      <c r="FVY44" s="82"/>
      <c r="FVZ44" s="82"/>
      <c r="FWA44" s="82"/>
      <c r="FWB44" s="82"/>
      <c r="FWC44" s="82"/>
      <c r="FWD44" s="82"/>
      <c r="FWE44" s="82"/>
      <c r="FWF44" s="82"/>
      <c r="FWG44" s="82"/>
      <c r="FWH44" s="82"/>
      <c r="FWI44" s="82"/>
      <c r="FWJ44" s="82"/>
      <c r="FWK44" s="82"/>
      <c r="FWL44" s="82"/>
      <c r="FWM44" s="82"/>
      <c r="FWN44" s="82"/>
      <c r="FWO44" s="82"/>
      <c r="FWP44" s="82"/>
      <c r="FWQ44" s="82"/>
      <c r="FWR44" s="82"/>
      <c r="FWS44" s="82"/>
      <c r="FWT44" s="82"/>
      <c r="FWU44" s="82"/>
      <c r="FWV44" s="82"/>
      <c r="FWW44" s="82"/>
      <c r="FWX44" s="82"/>
      <c r="FWY44" s="82"/>
      <c r="FWZ44" s="82"/>
      <c r="FXA44" s="82"/>
      <c r="FXB44" s="82"/>
      <c r="FXC44" s="82"/>
      <c r="FXD44" s="82"/>
      <c r="FXE44" s="82"/>
      <c r="FXF44" s="82"/>
      <c r="FXG44" s="82"/>
      <c r="FXH44" s="82"/>
      <c r="FXI44" s="82"/>
      <c r="FXJ44" s="82"/>
      <c r="FXK44" s="82"/>
      <c r="FXL44" s="82"/>
      <c r="FXM44" s="82"/>
      <c r="FXN44" s="82"/>
      <c r="FXO44" s="82"/>
      <c r="FXP44" s="82"/>
      <c r="FXQ44" s="82"/>
      <c r="FXR44" s="82"/>
      <c r="FXS44" s="82"/>
      <c r="FXT44" s="82"/>
      <c r="FXU44" s="82"/>
      <c r="FXV44" s="82"/>
      <c r="FXW44" s="82"/>
      <c r="FXX44" s="82"/>
      <c r="FXY44" s="82"/>
      <c r="FXZ44" s="82"/>
      <c r="FYA44" s="82"/>
      <c r="FYB44" s="82"/>
      <c r="FYC44" s="82"/>
      <c r="FYD44" s="82"/>
      <c r="FYE44" s="82"/>
      <c r="FYF44" s="82"/>
      <c r="FYG44" s="82"/>
      <c r="FYH44" s="82"/>
      <c r="FYI44" s="82"/>
      <c r="FYJ44" s="82"/>
      <c r="FYK44" s="82"/>
      <c r="FYL44" s="82"/>
      <c r="FYM44" s="82"/>
      <c r="FYN44" s="82"/>
      <c r="FYO44" s="82"/>
      <c r="FYP44" s="82"/>
      <c r="FYQ44" s="82"/>
      <c r="FYR44" s="82"/>
      <c r="FYS44" s="82"/>
      <c r="FYT44" s="82"/>
      <c r="FYU44" s="82"/>
      <c r="FYV44" s="82"/>
      <c r="FYW44" s="82"/>
      <c r="FYX44" s="82"/>
      <c r="FYY44" s="82"/>
      <c r="FYZ44" s="82"/>
      <c r="FZA44" s="82"/>
      <c r="FZB44" s="82"/>
      <c r="FZC44" s="82"/>
      <c r="FZD44" s="82"/>
      <c r="FZE44" s="82"/>
      <c r="FZF44" s="82"/>
      <c r="FZG44" s="82"/>
      <c r="FZH44" s="82"/>
      <c r="FZI44" s="82"/>
      <c r="FZJ44" s="82"/>
      <c r="FZK44" s="82"/>
      <c r="FZL44" s="82"/>
      <c r="FZM44" s="82"/>
      <c r="FZN44" s="82"/>
      <c r="FZO44" s="82"/>
      <c r="FZP44" s="82"/>
      <c r="FZQ44" s="82"/>
      <c r="FZR44" s="82"/>
      <c r="FZS44" s="82"/>
      <c r="FZT44" s="82"/>
      <c r="FZU44" s="82"/>
      <c r="FZV44" s="82"/>
      <c r="FZW44" s="82"/>
      <c r="FZX44" s="82"/>
      <c r="FZY44" s="82"/>
      <c r="FZZ44" s="82"/>
      <c r="GAA44" s="82"/>
      <c r="GAB44" s="82"/>
      <c r="GAC44" s="82"/>
      <c r="GAD44" s="82"/>
      <c r="GAE44" s="82"/>
      <c r="GAF44" s="82"/>
      <c r="GAG44" s="82"/>
      <c r="GAH44" s="82"/>
      <c r="GAI44" s="82"/>
      <c r="GAJ44" s="82"/>
      <c r="GAK44" s="82"/>
      <c r="GAL44" s="82"/>
      <c r="GAM44" s="82"/>
      <c r="GAN44" s="82"/>
      <c r="GAO44" s="82"/>
      <c r="GAP44" s="82"/>
      <c r="GAQ44" s="82"/>
      <c r="GAR44" s="82"/>
      <c r="GAS44" s="82"/>
      <c r="GAT44" s="82"/>
      <c r="GAU44" s="82"/>
      <c r="GAV44" s="82"/>
      <c r="GAW44" s="82"/>
      <c r="GAX44" s="82"/>
      <c r="GAY44" s="82"/>
      <c r="GAZ44" s="82"/>
      <c r="GBA44" s="82"/>
      <c r="GBB44" s="82"/>
      <c r="GBC44" s="82"/>
      <c r="GBD44" s="82"/>
      <c r="GBE44" s="82"/>
      <c r="GBF44" s="82"/>
      <c r="GBG44" s="82"/>
      <c r="GBH44" s="82"/>
      <c r="GBI44" s="82"/>
      <c r="GBJ44" s="82"/>
      <c r="GBK44" s="82"/>
      <c r="GBL44" s="82"/>
      <c r="GBM44" s="82"/>
      <c r="GBN44" s="82"/>
      <c r="GBO44" s="82"/>
      <c r="GBP44" s="82"/>
      <c r="GBQ44" s="82"/>
      <c r="GBR44" s="82"/>
      <c r="GBS44" s="82"/>
      <c r="GBT44" s="82"/>
      <c r="GBU44" s="82"/>
      <c r="GBV44" s="82"/>
      <c r="GBW44" s="82"/>
      <c r="GBX44" s="82"/>
      <c r="GBY44" s="82"/>
      <c r="GBZ44" s="82"/>
      <c r="GCA44" s="82"/>
      <c r="GCB44" s="82"/>
      <c r="GCC44" s="82"/>
      <c r="GCD44" s="82"/>
      <c r="GCE44" s="82"/>
      <c r="GCF44" s="82"/>
      <c r="GCG44" s="82"/>
      <c r="GCH44" s="82"/>
      <c r="GCI44" s="82"/>
      <c r="GCJ44" s="82"/>
      <c r="GCK44" s="82"/>
      <c r="GCL44" s="82"/>
      <c r="GCM44" s="82"/>
      <c r="GCN44" s="82"/>
      <c r="GCO44" s="82"/>
      <c r="GCP44" s="82"/>
      <c r="GCQ44" s="82"/>
      <c r="GCR44" s="82"/>
      <c r="GCS44" s="82"/>
      <c r="GCT44" s="82"/>
      <c r="GCU44" s="82"/>
      <c r="GCV44" s="82"/>
      <c r="GCW44" s="82"/>
      <c r="GCX44" s="82"/>
      <c r="GCY44" s="82"/>
      <c r="GCZ44" s="82"/>
      <c r="GDA44" s="82"/>
      <c r="GDB44" s="82"/>
      <c r="GDC44" s="82"/>
      <c r="GDD44" s="82"/>
      <c r="GDE44" s="82"/>
      <c r="GDF44" s="82"/>
      <c r="GDG44" s="82"/>
      <c r="GDH44" s="82"/>
      <c r="GDI44" s="82"/>
      <c r="GDJ44" s="82"/>
      <c r="GDK44" s="82"/>
      <c r="GDL44" s="82"/>
      <c r="GDM44" s="82"/>
      <c r="GDN44" s="82"/>
      <c r="GDO44" s="82"/>
      <c r="GDP44" s="82"/>
      <c r="GDQ44" s="82"/>
      <c r="GDR44" s="82"/>
      <c r="GDS44" s="82"/>
      <c r="GDT44" s="82"/>
      <c r="GDU44" s="82"/>
      <c r="GDV44" s="82"/>
      <c r="GDW44" s="82"/>
      <c r="GDX44" s="82"/>
      <c r="GDY44" s="82"/>
      <c r="GDZ44" s="82"/>
      <c r="GEA44" s="82"/>
      <c r="GEB44" s="82"/>
      <c r="GEC44" s="82"/>
      <c r="GED44" s="82"/>
      <c r="GEE44" s="82"/>
      <c r="GEF44" s="82"/>
      <c r="GEG44" s="82"/>
      <c r="GEH44" s="82"/>
      <c r="GEI44" s="82"/>
      <c r="GEJ44" s="82"/>
      <c r="GEK44" s="82"/>
      <c r="GEL44" s="82"/>
      <c r="GEM44" s="82"/>
      <c r="GEN44" s="82"/>
      <c r="GEO44" s="82"/>
      <c r="GEP44" s="82"/>
      <c r="GEQ44" s="82"/>
      <c r="GER44" s="82"/>
      <c r="GES44" s="82"/>
      <c r="GET44" s="82"/>
      <c r="GEU44" s="82"/>
      <c r="GEV44" s="82"/>
      <c r="GEW44" s="82"/>
      <c r="GEX44" s="82"/>
      <c r="GEY44" s="82"/>
      <c r="GEZ44" s="82"/>
      <c r="GFA44" s="82"/>
      <c r="GFB44" s="82"/>
      <c r="GFC44" s="82"/>
      <c r="GFD44" s="82"/>
      <c r="GFE44" s="82"/>
      <c r="GFF44" s="82"/>
      <c r="GFG44" s="82"/>
      <c r="GFH44" s="82"/>
      <c r="GFI44" s="82"/>
      <c r="GFJ44" s="82"/>
      <c r="GFK44" s="82"/>
      <c r="GFL44" s="82"/>
      <c r="GFM44" s="82"/>
      <c r="GFN44" s="82"/>
      <c r="GFO44" s="82"/>
      <c r="GFP44" s="82"/>
      <c r="GFQ44" s="82"/>
      <c r="GFR44" s="82"/>
      <c r="GFS44" s="82"/>
      <c r="GFT44" s="82"/>
      <c r="GFU44" s="82"/>
      <c r="GFV44" s="82"/>
      <c r="GFW44" s="82"/>
      <c r="GFX44" s="82"/>
      <c r="GFY44" s="82"/>
      <c r="GFZ44" s="82"/>
      <c r="GGA44" s="82"/>
      <c r="GGB44" s="82"/>
      <c r="GGC44" s="82"/>
      <c r="GGD44" s="82"/>
      <c r="GGE44" s="82"/>
      <c r="GGF44" s="82"/>
      <c r="GGG44" s="82"/>
      <c r="GGH44" s="82"/>
      <c r="GGI44" s="82"/>
      <c r="GGJ44" s="82"/>
      <c r="GGK44" s="82"/>
      <c r="GGL44" s="82"/>
      <c r="GGM44" s="82"/>
      <c r="GGN44" s="82"/>
      <c r="GGO44" s="82"/>
      <c r="GGP44" s="82"/>
      <c r="GGQ44" s="82"/>
      <c r="GGR44" s="82"/>
      <c r="GGS44" s="82"/>
      <c r="GGT44" s="82"/>
      <c r="GGU44" s="82"/>
      <c r="GGV44" s="82"/>
      <c r="GGW44" s="82"/>
      <c r="GGX44" s="82"/>
      <c r="GGY44" s="82"/>
      <c r="GGZ44" s="82"/>
      <c r="GHA44" s="82"/>
      <c r="GHB44" s="82"/>
      <c r="GHC44" s="82"/>
      <c r="GHD44" s="82"/>
      <c r="GHE44" s="82"/>
      <c r="GHF44" s="82"/>
      <c r="GHG44" s="82"/>
      <c r="GHH44" s="82"/>
      <c r="GHI44" s="82"/>
      <c r="GHJ44" s="82"/>
      <c r="GHK44" s="82"/>
      <c r="GHL44" s="82"/>
      <c r="GHM44" s="82"/>
      <c r="GHN44" s="82"/>
      <c r="GHO44" s="82"/>
      <c r="GHP44" s="82"/>
      <c r="GHQ44" s="82"/>
      <c r="GHR44" s="82"/>
      <c r="GHS44" s="82"/>
      <c r="GHT44" s="82"/>
      <c r="GHU44" s="82"/>
      <c r="GHV44" s="82"/>
      <c r="GHW44" s="82"/>
      <c r="GHX44" s="82"/>
      <c r="GHY44" s="82"/>
      <c r="GHZ44" s="82"/>
      <c r="GIA44" s="82"/>
      <c r="GIB44" s="82"/>
      <c r="GIC44" s="82"/>
      <c r="GID44" s="82"/>
      <c r="GIE44" s="82"/>
      <c r="GIF44" s="82"/>
      <c r="GIG44" s="82"/>
      <c r="GIH44" s="82"/>
      <c r="GII44" s="82"/>
      <c r="GIJ44" s="82"/>
      <c r="GIK44" s="82"/>
      <c r="GIL44" s="82"/>
      <c r="GIM44" s="82"/>
      <c r="GIN44" s="82"/>
      <c r="GIO44" s="82"/>
      <c r="GIP44" s="82"/>
      <c r="GIQ44" s="82"/>
      <c r="GIR44" s="82"/>
      <c r="GIS44" s="82"/>
      <c r="GIT44" s="82"/>
      <c r="GIU44" s="82"/>
      <c r="GIV44" s="82"/>
      <c r="GIW44" s="82"/>
      <c r="GIX44" s="82"/>
      <c r="GIY44" s="82"/>
      <c r="GIZ44" s="82"/>
      <c r="GJA44" s="82"/>
      <c r="GJB44" s="82"/>
      <c r="GJC44" s="82"/>
      <c r="GJD44" s="82"/>
      <c r="GJE44" s="82"/>
      <c r="GJF44" s="82"/>
      <c r="GJG44" s="82"/>
      <c r="GJH44" s="82"/>
      <c r="GJI44" s="82"/>
      <c r="GJJ44" s="82"/>
      <c r="GJK44" s="82"/>
      <c r="GJL44" s="82"/>
      <c r="GJM44" s="82"/>
      <c r="GJN44" s="82"/>
      <c r="GJO44" s="82"/>
      <c r="GJP44" s="82"/>
      <c r="GJQ44" s="82"/>
      <c r="GJR44" s="82"/>
      <c r="GJS44" s="82"/>
      <c r="GJT44" s="82"/>
      <c r="GJU44" s="82"/>
      <c r="GJV44" s="82"/>
      <c r="GJW44" s="82"/>
      <c r="GJX44" s="82"/>
      <c r="GJY44" s="82"/>
      <c r="GJZ44" s="82"/>
      <c r="GKA44" s="82"/>
      <c r="GKB44" s="82"/>
      <c r="GKC44" s="82"/>
      <c r="GKD44" s="82"/>
      <c r="GKE44" s="82"/>
      <c r="GKF44" s="82"/>
      <c r="GKG44" s="82"/>
      <c r="GKH44" s="82"/>
      <c r="GKI44" s="82"/>
      <c r="GKJ44" s="82"/>
      <c r="GKK44" s="82"/>
      <c r="GKL44" s="82"/>
      <c r="GKM44" s="82"/>
      <c r="GKN44" s="82"/>
      <c r="GKO44" s="82"/>
      <c r="GKP44" s="82"/>
      <c r="GKQ44" s="82"/>
      <c r="GKR44" s="82"/>
      <c r="GKS44" s="82"/>
      <c r="GKT44" s="82"/>
      <c r="GKU44" s="82"/>
      <c r="GKV44" s="82"/>
      <c r="GKW44" s="82"/>
      <c r="GKX44" s="82"/>
      <c r="GKY44" s="82"/>
      <c r="GKZ44" s="82"/>
      <c r="GLA44" s="82"/>
      <c r="GLB44" s="82"/>
      <c r="GLC44" s="82"/>
      <c r="GLD44" s="82"/>
      <c r="GLE44" s="82"/>
      <c r="GLF44" s="82"/>
      <c r="GLG44" s="82"/>
      <c r="GLH44" s="82"/>
      <c r="GLI44" s="82"/>
      <c r="GLJ44" s="82"/>
      <c r="GLK44" s="82"/>
      <c r="GLL44" s="82"/>
      <c r="GLM44" s="82"/>
      <c r="GLN44" s="82"/>
      <c r="GLO44" s="82"/>
      <c r="GLP44" s="82"/>
      <c r="GLQ44" s="82"/>
      <c r="GLR44" s="82"/>
      <c r="GLS44" s="82"/>
      <c r="GLT44" s="82"/>
      <c r="GLU44" s="82"/>
      <c r="GLV44" s="82"/>
      <c r="GLW44" s="82"/>
      <c r="GLX44" s="82"/>
      <c r="GLY44" s="82"/>
      <c r="GLZ44" s="82"/>
      <c r="GMA44" s="82"/>
      <c r="GMB44" s="82"/>
      <c r="GMC44" s="82"/>
      <c r="GMD44" s="82"/>
      <c r="GME44" s="82"/>
      <c r="GMF44" s="82"/>
      <c r="GMG44" s="82"/>
      <c r="GMH44" s="82"/>
      <c r="GMI44" s="82"/>
      <c r="GMJ44" s="82"/>
      <c r="GMK44" s="82"/>
      <c r="GML44" s="82"/>
      <c r="GMM44" s="82"/>
      <c r="GMN44" s="82"/>
      <c r="GMO44" s="82"/>
      <c r="GMP44" s="82"/>
      <c r="GMQ44" s="82"/>
      <c r="GMR44" s="82"/>
      <c r="GMS44" s="82"/>
      <c r="GMT44" s="82"/>
      <c r="GMU44" s="82"/>
      <c r="GMV44" s="82"/>
      <c r="GMW44" s="82"/>
      <c r="GMX44" s="82"/>
      <c r="GMY44" s="82"/>
      <c r="GMZ44" s="82"/>
      <c r="GNA44" s="82"/>
      <c r="GNB44" s="82"/>
      <c r="GNC44" s="82"/>
      <c r="GND44" s="82"/>
      <c r="GNE44" s="82"/>
      <c r="GNF44" s="82"/>
      <c r="GNG44" s="82"/>
      <c r="GNH44" s="82"/>
      <c r="GNI44" s="82"/>
      <c r="GNJ44" s="82"/>
      <c r="GNK44" s="82"/>
      <c r="GNL44" s="82"/>
      <c r="GNM44" s="82"/>
      <c r="GNN44" s="82"/>
      <c r="GNO44" s="82"/>
      <c r="GNP44" s="82"/>
      <c r="GNQ44" s="82"/>
      <c r="GNR44" s="82"/>
      <c r="GNS44" s="82"/>
      <c r="GNT44" s="82"/>
      <c r="GNU44" s="82"/>
      <c r="GNV44" s="82"/>
      <c r="GNW44" s="82"/>
      <c r="GNX44" s="82"/>
      <c r="GNY44" s="82"/>
      <c r="GNZ44" s="82"/>
      <c r="GOA44" s="82"/>
      <c r="GOB44" s="82"/>
      <c r="GOC44" s="82"/>
      <c r="GOD44" s="82"/>
      <c r="GOE44" s="82"/>
      <c r="GOF44" s="82"/>
      <c r="GOG44" s="82"/>
      <c r="GOH44" s="82"/>
      <c r="GOI44" s="82"/>
      <c r="GOJ44" s="82"/>
      <c r="GOK44" s="82"/>
      <c r="GOL44" s="82"/>
      <c r="GOM44" s="82"/>
      <c r="GON44" s="82"/>
      <c r="GOO44" s="82"/>
      <c r="GOP44" s="82"/>
      <c r="GOQ44" s="82"/>
      <c r="GOR44" s="82"/>
      <c r="GOS44" s="82"/>
      <c r="GOT44" s="82"/>
      <c r="GOU44" s="82"/>
      <c r="GOV44" s="82"/>
      <c r="GOW44" s="82"/>
      <c r="GOX44" s="82"/>
      <c r="GOY44" s="82"/>
      <c r="GOZ44" s="82"/>
      <c r="GPA44" s="82"/>
      <c r="GPB44" s="82"/>
      <c r="GPC44" s="82"/>
      <c r="GPD44" s="82"/>
      <c r="GPE44" s="82"/>
      <c r="GPF44" s="82"/>
      <c r="GPG44" s="82"/>
      <c r="GPH44" s="82"/>
      <c r="GPI44" s="82"/>
      <c r="GPJ44" s="82"/>
      <c r="GPK44" s="82"/>
      <c r="GPL44" s="82"/>
      <c r="GPM44" s="82"/>
      <c r="GPN44" s="82"/>
      <c r="GPO44" s="82"/>
      <c r="GPP44" s="82"/>
      <c r="GPQ44" s="82"/>
      <c r="GPR44" s="82"/>
      <c r="GPS44" s="82"/>
      <c r="GPT44" s="82"/>
      <c r="GPU44" s="82"/>
      <c r="GPV44" s="82"/>
      <c r="GPW44" s="82"/>
      <c r="GPX44" s="82"/>
      <c r="GPY44" s="82"/>
      <c r="GPZ44" s="82"/>
      <c r="GQA44" s="82"/>
      <c r="GQB44" s="82"/>
      <c r="GQC44" s="82"/>
      <c r="GQD44" s="82"/>
      <c r="GQE44" s="82"/>
      <c r="GQF44" s="82"/>
      <c r="GQG44" s="82"/>
      <c r="GQH44" s="82"/>
      <c r="GQI44" s="82"/>
      <c r="GQJ44" s="82"/>
      <c r="GQK44" s="82"/>
      <c r="GQL44" s="82"/>
      <c r="GQM44" s="82"/>
      <c r="GQN44" s="82"/>
      <c r="GQO44" s="82"/>
      <c r="GQP44" s="82"/>
      <c r="GQQ44" s="82"/>
      <c r="GQR44" s="82"/>
      <c r="GQS44" s="82"/>
      <c r="GQT44" s="82"/>
      <c r="GQU44" s="82"/>
      <c r="GQV44" s="82"/>
      <c r="GQW44" s="82"/>
      <c r="GQX44" s="82"/>
      <c r="GQY44" s="82"/>
      <c r="GQZ44" s="82"/>
      <c r="GRA44" s="82"/>
      <c r="GRB44" s="82"/>
      <c r="GRC44" s="82"/>
      <c r="GRD44" s="82"/>
      <c r="GRE44" s="82"/>
      <c r="GRF44" s="82"/>
      <c r="GRG44" s="82"/>
      <c r="GRH44" s="82"/>
      <c r="GRI44" s="82"/>
      <c r="GRJ44" s="82"/>
      <c r="GRK44" s="82"/>
      <c r="GRL44" s="82"/>
      <c r="GRM44" s="82"/>
      <c r="GRN44" s="82"/>
      <c r="GRO44" s="82"/>
      <c r="GRP44" s="82"/>
      <c r="GRQ44" s="82"/>
      <c r="GRR44" s="82"/>
      <c r="GRS44" s="82"/>
      <c r="GRT44" s="82"/>
      <c r="GRU44" s="82"/>
      <c r="GRV44" s="82"/>
      <c r="GRW44" s="82"/>
      <c r="GRX44" s="82"/>
      <c r="GRY44" s="82"/>
      <c r="GRZ44" s="82"/>
      <c r="GSA44" s="82"/>
      <c r="GSB44" s="82"/>
      <c r="GSC44" s="82"/>
      <c r="GSD44" s="82"/>
      <c r="GSE44" s="82"/>
      <c r="GSF44" s="82"/>
      <c r="GSG44" s="82"/>
      <c r="GSH44" s="82"/>
      <c r="GSI44" s="82"/>
      <c r="GSJ44" s="82"/>
      <c r="GSK44" s="82"/>
      <c r="GSL44" s="82"/>
      <c r="GSM44" s="82"/>
      <c r="GSN44" s="82"/>
      <c r="GSO44" s="82"/>
      <c r="GSP44" s="82"/>
      <c r="GSQ44" s="82"/>
      <c r="GSR44" s="82"/>
      <c r="GSS44" s="82"/>
      <c r="GST44" s="82"/>
      <c r="GSU44" s="82"/>
      <c r="GSV44" s="82"/>
      <c r="GSW44" s="82"/>
      <c r="GSX44" s="82"/>
      <c r="GSY44" s="82"/>
      <c r="GSZ44" s="82"/>
      <c r="GTA44" s="82"/>
      <c r="GTB44" s="82"/>
      <c r="GTC44" s="82"/>
      <c r="GTD44" s="82"/>
      <c r="GTE44" s="82"/>
      <c r="GTF44" s="82"/>
      <c r="GTG44" s="82"/>
      <c r="GTH44" s="82"/>
      <c r="GTI44" s="82"/>
      <c r="GTJ44" s="82"/>
      <c r="GTK44" s="82"/>
      <c r="GTL44" s="82"/>
      <c r="GTM44" s="82"/>
      <c r="GTN44" s="82"/>
      <c r="GTO44" s="82"/>
      <c r="GTP44" s="82"/>
      <c r="GTQ44" s="82"/>
      <c r="GTR44" s="82"/>
      <c r="GTS44" s="82"/>
      <c r="GTT44" s="82"/>
      <c r="GTU44" s="82"/>
      <c r="GTV44" s="82"/>
      <c r="GTW44" s="82"/>
      <c r="GTX44" s="82"/>
      <c r="GTY44" s="82"/>
      <c r="GTZ44" s="82"/>
      <c r="GUA44" s="82"/>
      <c r="GUB44" s="82"/>
      <c r="GUC44" s="82"/>
      <c r="GUD44" s="82"/>
      <c r="GUE44" s="82"/>
      <c r="GUF44" s="82"/>
      <c r="GUG44" s="82"/>
      <c r="GUH44" s="82"/>
      <c r="GUI44" s="82"/>
      <c r="GUJ44" s="82"/>
      <c r="GUK44" s="82"/>
      <c r="GUL44" s="82"/>
      <c r="GUM44" s="82"/>
      <c r="GUN44" s="82"/>
      <c r="GUO44" s="82"/>
      <c r="GUP44" s="82"/>
      <c r="GUQ44" s="82"/>
      <c r="GUR44" s="82"/>
      <c r="GUS44" s="82"/>
      <c r="GUT44" s="82"/>
      <c r="GUU44" s="82"/>
      <c r="GUV44" s="82"/>
      <c r="GUW44" s="82"/>
      <c r="GUX44" s="82"/>
      <c r="GUY44" s="82"/>
      <c r="GUZ44" s="82"/>
      <c r="GVA44" s="82"/>
      <c r="GVB44" s="82"/>
      <c r="GVC44" s="82"/>
      <c r="GVD44" s="82"/>
      <c r="GVE44" s="82"/>
      <c r="GVF44" s="82"/>
      <c r="GVG44" s="82"/>
      <c r="GVH44" s="82"/>
      <c r="GVI44" s="82"/>
      <c r="GVJ44" s="82"/>
      <c r="GVK44" s="82"/>
      <c r="GVL44" s="82"/>
      <c r="GVM44" s="82"/>
      <c r="GVN44" s="82"/>
      <c r="GVO44" s="82"/>
      <c r="GVP44" s="82"/>
      <c r="GVQ44" s="82"/>
      <c r="GVR44" s="82"/>
      <c r="GVS44" s="82"/>
      <c r="GVT44" s="82"/>
      <c r="GVU44" s="82"/>
      <c r="GVV44" s="82"/>
      <c r="GVW44" s="82"/>
      <c r="GVX44" s="82"/>
      <c r="GVY44" s="82"/>
      <c r="GVZ44" s="82"/>
      <c r="GWA44" s="82"/>
      <c r="GWB44" s="82"/>
      <c r="GWC44" s="82"/>
      <c r="GWD44" s="82"/>
      <c r="GWE44" s="82"/>
      <c r="GWF44" s="82"/>
      <c r="GWG44" s="82"/>
      <c r="GWH44" s="82"/>
      <c r="GWI44" s="82"/>
      <c r="GWJ44" s="82"/>
      <c r="GWK44" s="82"/>
      <c r="GWL44" s="82"/>
      <c r="GWM44" s="82"/>
      <c r="GWN44" s="82"/>
      <c r="GWO44" s="82"/>
      <c r="GWP44" s="82"/>
      <c r="GWQ44" s="82"/>
      <c r="GWR44" s="82"/>
      <c r="GWS44" s="82"/>
      <c r="GWT44" s="82"/>
      <c r="GWU44" s="82"/>
      <c r="GWV44" s="82"/>
      <c r="GWW44" s="82"/>
      <c r="GWX44" s="82"/>
      <c r="GWY44" s="82"/>
      <c r="GWZ44" s="82"/>
      <c r="GXA44" s="82"/>
      <c r="GXB44" s="82"/>
      <c r="GXC44" s="82"/>
      <c r="GXD44" s="82"/>
      <c r="GXE44" s="82"/>
      <c r="GXF44" s="82"/>
      <c r="GXG44" s="82"/>
      <c r="GXH44" s="82"/>
      <c r="GXI44" s="82"/>
      <c r="GXJ44" s="82"/>
      <c r="GXK44" s="82"/>
      <c r="GXL44" s="82"/>
      <c r="GXM44" s="82"/>
      <c r="GXN44" s="82"/>
      <c r="GXO44" s="82"/>
      <c r="GXP44" s="82"/>
      <c r="GXQ44" s="82"/>
      <c r="GXR44" s="82"/>
      <c r="GXS44" s="82"/>
      <c r="GXT44" s="82"/>
      <c r="GXU44" s="82"/>
      <c r="GXV44" s="82"/>
      <c r="GXW44" s="82"/>
      <c r="GXX44" s="82"/>
      <c r="GXY44" s="82"/>
      <c r="GXZ44" s="82"/>
      <c r="GYA44" s="82"/>
      <c r="GYB44" s="82"/>
      <c r="GYC44" s="82"/>
      <c r="GYD44" s="82"/>
      <c r="GYE44" s="82"/>
      <c r="GYF44" s="82"/>
      <c r="GYG44" s="82"/>
      <c r="GYH44" s="82"/>
      <c r="GYI44" s="82"/>
      <c r="GYJ44" s="82"/>
      <c r="GYK44" s="82"/>
      <c r="GYL44" s="82"/>
      <c r="GYM44" s="82"/>
      <c r="GYN44" s="82"/>
      <c r="GYO44" s="82"/>
      <c r="GYP44" s="82"/>
      <c r="GYQ44" s="82"/>
      <c r="GYR44" s="82"/>
      <c r="GYS44" s="82"/>
      <c r="GYT44" s="82"/>
      <c r="GYU44" s="82"/>
      <c r="GYV44" s="82"/>
      <c r="GYW44" s="82"/>
      <c r="GYX44" s="82"/>
      <c r="GYY44" s="82"/>
      <c r="GYZ44" s="82"/>
      <c r="GZA44" s="82"/>
      <c r="GZB44" s="82"/>
      <c r="GZC44" s="82"/>
      <c r="GZD44" s="82"/>
      <c r="GZE44" s="82"/>
      <c r="GZF44" s="82"/>
      <c r="GZG44" s="82"/>
      <c r="GZH44" s="82"/>
      <c r="GZI44" s="82"/>
      <c r="GZJ44" s="82"/>
      <c r="GZK44" s="82"/>
      <c r="GZL44" s="82"/>
      <c r="GZM44" s="82"/>
      <c r="GZN44" s="82"/>
      <c r="GZO44" s="82"/>
      <c r="GZP44" s="82"/>
      <c r="GZQ44" s="82"/>
      <c r="GZR44" s="82"/>
      <c r="GZS44" s="82"/>
      <c r="GZT44" s="82"/>
      <c r="GZU44" s="82"/>
      <c r="GZV44" s="82"/>
      <c r="GZW44" s="82"/>
      <c r="GZX44" s="82"/>
      <c r="GZY44" s="82"/>
      <c r="GZZ44" s="82"/>
      <c r="HAA44" s="82"/>
      <c r="HAB44" s="82"/>
      <c r="HAC44" s="82"/>
      <c r="HAD44" s="82"/>
      <c r="HAE44" s="82"/>
      <c r="HAF44" s="82"/>
      <c r="HAG44" s="82"/>
      <c r="HAH44" s="82"/>
      <c r="HAI44" s="82"/>
      <c r="HAJ44" s="82"/>
      <c r="HAK44" s="82"/>
      <c r="HAL44" s="82"/>
      <c r="HAM44" s="82"/>
      <c r="HAN44" s="82"/>
      <c r="HAO44" s="82"/>
      <c r="HAP44" s="82"/>
      <c r="HAQ44" s="82"/>
      <c r="HAR44" s="82"/>
      <c r="HAS44" s="82"/>
      <c r="HAT44" s="82"/>
      <c r="HAU44" s="82"/>
      <c r="HAV44" s="82"/>
      <c r="HAW44" s="82"/>
      <c r="HAX44" s="82"/>
      <c r="HAY44" s="82"/>
      <c r="HAZ44" s="82"/>
      <c r="HBA44" s="82"/>
      <c r="HBB44" s="82"/>
      <c r="HBC44" s="82"/>
      <c r="HBD44" s="82"/>
      <c r="HBE44" s="82"/>
      <c r="HBF44" s="82"/>
      <c r="HBG44" s="82"/>
      <c r="HBH44" s="82"/>
      <c r="HBI44" s="82"/>
      <c r="HBJ44" s="82"/>
      <c r="HBK44" s="82"/>
      <c r="HBL44" s="82"/>
      <c r="HBM44" s="82"/>
      <c r="HBN44" s="82"/>
      <c r="HBO44" s="82"/>
      <c r="HBP44" s="82"/>
      <c r="HBQ44" s="82"/>
      <c r="HBR44" s="82"/>
      <c r="HBS44" s="82"/>
      <c r="HBT44" s="82"/>
      <c r="HBU44" s="82"/>
      <c r="HBV44" s="82"/>
      <c r="HBW44" s="82"/>
      <c r="HBX44" s="82"/>
      <c r="HBY44" s="82"/>
      <c r="HBZ44" s="82"/>
      <c r="HCA44" s="82"/>
      <c r="HCB44" s="82"/>
      <c r="HCC44" s="82"/>
      <c r="HCD44" s="82"/>
      <c r="HCE44" s="82"/>
      <c r="HCF44" s="82"/>
      <c r="HCG44" s="82"/>
      <c r="HCH44" s="82"/>
      <c r="HCI44" s="82"/>
      <c r="HCJ44" s="82"/>
      <c r="HCK44" s="82"/>
      <c r="HCL44" s="82"/>
      <c r="HCM44" s="82"/>
      <c r="HCN44" s="82"/>
      <c r="HCO44" s="82"/>
      <c r="HCP44" s="82"/>
      <c r="HCQ44" s="82"/>
      <c r="HCR44" s="82"/>
      <c r="HCS44" s="82"/>
      <c r="HCT44" s="82"/>
      <c r="HCU44" s="82"/>
      <c r="HCV44" s="82"/>
      <c r="HCW44" s="82"/>
      <c r="HCX44" s="82"/>
      <c r="HCY44" s="82"/>
      <c r="HCZ44" s="82"/>
      <c r="HDA44" s="82"/>
      <c r="HDB44" s="82"/>
      <c r="HDC44" s="82"/>
      <c r="HDD44" s="82"/>
      <c r="HDE44" s="82"/>
      <c r="HDF44" s="82"/>
      <c r="HDG44" s="82"/>
      <c r="HDH44" s="82"/>
      <c r="HDI44" s="82"/>
      <c r="HDJ44" s="82"/>
      <c r="HDK44" s="82"/>
      <c r="HDL44" s="82"/>
      <c r="HDM44" s="82"/>
      <c r="HDN44" s="82"/>
      <c r="HDO44" s="82"/>
      <c r="HDP44" s="82"/>
      <c r="HDQ44" s="82"/>
      <c r="HDR44" s="82"/>
      <c r="HDS44" s="82"/>
      <c r="HDT44" s="82"/>
      <c r="HDU44" s="82"/>
      <c r="HDV44" s="82"/>
      <c r="HDW44" s="82"/>
      <c r="HDX44" s="82"/>
      <c r="HDY44" s="82"/>
      <c r="HDZ44" s="82"/>
      <c r="HEA44" s="82"/>
      <c r="HEB44" s="82"/>
      <c r="HEC44" s="82"/>
      <c r="HED44" s="82"/>
      <c r="HEE44" s="82"/>
      <c r="HEF44" s="82"/>
      <c r="HEG44" s="82"/>
      <c r="HEH44" s="82"/>
      <c r="HEI44" s="82"/>
      <c r="HEJ44" s="82"/>
      <c r="HEK44" s="82"/>
      <c r="HEL44" s="82"/>
      <c r="HEM44" s="82"/>
      <c r="HEN44" s="82"/>
      <c r="HEO44" s="82"/>
      <c r="HEP44" s="82"/>
      <c r="HEQ44" s="82"/>
      <c r="HER44" s="82"/>
      <c r="HES44" s="82"/>
      <c r="HET44" s="82"/>
      <c r="HEU44" s="82"/>
      <c r="HEV44" s="82"/>
      <c r="HEW44" s="82"/>
      <c r="HEX44" s="82"/>
      <c r="HEY44" s="82"/>
      <c r="HEZ44" s="82"/>
      <c r="HFA44" s="82"/>
      <c r="HFB44" s="82"/>
      <c r="HFC44" s="82"/>
      <c r="HFD44" s="82"/>
      <c r="HFE44" s="82"/>
      <c r="HFF44" s="82"/>
      <c r="HFG44" s="82"/>
      <c r="HFH44" s="82"/>
      <c r="HFI44" s="82"/>
      <c r="HFJ44" s="82"/>
      <c r="HFK44" s="82"/>
      <c r="HFL44" s="82"/>
      <c r="HFM44" s="82"/>
      <c r="HFN44" s="82"/>
      <c r="HFO44" s="82"/>
      <c r="HFP44" s="82"/>
      <c r="HFQ44" s="82"/>
      <c r="HFR44" s="82"/>
      <c r="HFS44" s="82"/>
      <c r="HFT44" s="82"/>
      <c r="HFU44" s="82"/>
      <c r="HFV44" s="82"/>
      <c r="HFW44" s="82"/>
      <c r="HFX44" s="82"/>
      <c r="HFY44" s="82"/>
      <c r="HFZ44" s="82"/>
      <c r="HGA44" s="82"/>
      <c r="HGB44" s="82"/>
      <c r="HGC44" s="82"/>
      <c r="HGD44" s="82"/>
      <c r="HGE44" s="82"/>
      <c r="HGF44" s="82"/>
      <c r="HGG44" s="82"/>
      <c r="HGH44" s="82"/>
      <c r="HGI44" s="82"/>
      <c r="HGJ44" s="82"/>
      <c r="HGK44" s="82"/>
      <c r="HGL44" s="82"/>
      <c r="HGM44" s="82"/>
      <c r="HGN44" s="82"/>
      <c r="HGO44" s="82"/>
      <c r="HGP44" s="82"/>
      <c r="HGQ44" s="82"/>
      <c r="HGR44" s="82"/>
      <c r="HGS44" s="82"/>
      <c r="HGT44" s="82"/>
      <c r="HGU44" s="82"/>
      <c r="HGV44" s="82"/>
      <c r="HGW44" s="82"/>
      <c r="HGX44" s="82"/>
      <c r="HGY44" s="82"/>
      <c r="HGZ44" s="82"/>
      <c r="HHA44" s="82"/>
      <c r="HHB44" s="82"/>
      <c r="HHC44" s="82"/>
      <c r="HHD44" s="82"/>
      <c r="HHE44" s="82"/>
      <c r="HHF44" s="82"/>
      <c r="HHG44" s="82"/>
      <c r="HHH44" s="82"/>
      <c r="HHI44" s="82"/>
      <c r="HHJ44" s="82"/>
      <c r="HHK44" s="82"/>
      <c r="HHL44" s="82"/>
      <c r="HHM44" s="82"/>
      <c r="HHN44" s="82"/>
      <c r="HHO44" s="82"/>
      <c r="HHP44" s="82"/>
      <c r="HHQ44" s="82"/>
      <c r="HHR44" s="82"/>
      <c r="HHS44" s="82"/>
      <c r="HHT44" s="82"/>
      <c r="HHU44" s="82"/>
      <c r="HHV44" s="82"/>
      <c r="HHW44" s="82"/>
      <c r="HHX44" s="82"/>
      <c r="HHY44" s="82"/>
      <c r="HHZ44" s="82"/>
      <c r="HIA44" s="82"/>
      <c r="HIB44" s="82"/>
      <c r="HIC44" s="82"/>
      <c r="HID44" s="82"/>
      <c r="HIE44" s="82"/>
      <c r="HIF44" s="82"/>
      <c r="HIG44" s="82"/>
      <c r="HIH44" s="82"/>
      <c r="HII44" s="82"/>
      <c r="HIJ44" s="82"/>
      <c r="HIK44" s="82"/>
      <c r="HIL44" s="82"/>
      <c r="HIM44" s="82"/>
      <c r="HIN44" s="82"/>
      <c r="HIO44" s="82"/>
      <c r="HIP44" s="82"/>
      <c r="HIQ44" s="82"/>
      <c r="HIR44" s="82"/>
      <c r="HIS44" s="82"/>
      <c r="HIT44" s="82"/>
      <c r="HIU44" s="82"/>
      <c r="HIV44" s="82"/>
      <c r="HIW44" s="82"/>
      <c r="HIX44" s="82"/>
      <c r="HIY44" s="82"/>
      <c r="HIZ44" s="82"/>
      <c r="HJA44" s="82"/>
      <c r="HJB44" s="82"/>
      <c r="HJC44" s="82"/>
      <c r="HJD44" s="82"/>
      <c r="HJE44" s="82"/>
      <c r="HJF44" s="82"/>
      <c r="HJG44" s="82"/>
      <c r="HJH44" s="82"/>
      <c r="HJI44" s="82"/>
      <c r="HJJ44" s="82"/>
      <c r="HJK44" s="82"/>
      <c r="HJL44" s="82"/>
      <c r="HJM44" s="82"/>
      <c r="HJN44" s="82"/>
      <c r="HJO44" s="82"/>
      <c r="HJP44" s="82"/>
      <c r="HJQ44" s="82"/>
      <c r="HJR44" s="82"/>
      <c r="HJS44" s="82"/>
      <c r="HJT44" s="82"/>
      <c r="HJU44" s="82"/>
      <c r="HJV44" s="82"/>
      <c r="HJW44" s="82"/>
      <c r="HJX44" s="82"/>
      <c r="HJY44" s="82"/>
      <c r="HJZ44" s="82"/>
      <c r="HKA44" s="82"/>
      <c r="HKB44" s="82"/>
      <c r="HKC44" s="82"/>
      <c r="HKD44" s="82"/>
      <c r="HKE44" s="82"/>
      <c r="HKF44" s="82"/>
      <c r="HKG44" s="82"/>
      <c r="HKH44" s="82"/>
      <c r="HKI44" s="82"/>
      <c r="HKJ44" s="82"/>
      <c r="HKK44" s="82"/>
      <c r="HKL44" s="82"/>
      <c r="HKM44" s="82"/>
      <c r="HKN44" s="82"/>
      <c r="HKO44" s="82"/>
      <c r="HKP44" s="82"/>
      <c r="HKQ44" s="82"/>
      <c r="HKR44" s="82"/>
      <c r="HKS44" s="82"/>
      <c r="HKT44" s="82"/>
      <c r="HKU44" s="82"/>
      <c r="HKV44" s="82"/>
      <c r="HKW44" s="82"/>
      <c r="HKX44" s="82"/>
      <c r="HKY44" s="82"/>
      <c r="HKZ44" s="82"/>
      <c r="HLA44" s="82"/>
      <c r="HLB44" s="82"/>
      <c r="HLC44" s="82"/>
      <c r="HLD44" s="82"/>
      <c r="HLE44" s="82"/>
      <c r="HLF44" s="82"/>
      <c r="HLG44" s="82"/>
      <c r="HLH44" s="82"/>
      <c r="HLI44" s="82"/>
      <c r="HLJ44" s="82"/>
      <c r="HLK44" s="82"/>
      <c r="HLL44" s="82"/>
      <c r="HLM44" s="82"/>
      <c r="HLN44" s="82"/>
      <c r="HLO44" s="82"/>
      <c r="HLP44" s="82"/>
      <c r="HLQ44" s="82"/>
      <c r="HLR44" s="82"/>
      <c r="HLS44" s="82"/>
      <c r="HLT44" s="82"/>
      <c r="HLU44" s="82"/>
      <c r="HLV44" s="82"/>
      <c r="HLW44" s="82"/>
      <c r="HLX44" s="82"/>
      <c r="HLY44" s="82"/>
      <c r="HLZ44" s="82"/>
      <c r="HMA44" s="82"/>
      <c r="HMB44" s="82"/>
      <c r="HMC44" s="82"/>
      <c r="HMD44" s="82"/>
      <c r="HME44" s="82"/>
      <c r="HMF44" s="82"/>
      <c r="HMG44" s="82"/>
      <c r="HMH44" s="82"/>
      <c r="HMI44" s="82"/>
      <c r="HMJ44" s="82"/>
      <c r="HMK44" s="82"/>
      <c r="HML44" s="82"/>
      <c r="HMM44" s="82"/>
      <c r="HMN44" s="82"/>
      <c r="HMO44" s="82"/>
      <c r="HMP44" s="82"/>
      <c r="HMQ44" s="82"/>
      <c r="HMR44" s="82"/>
      <c r="HMS44" s="82"/>
      <c r="HMT44" s="82"/>
      <c r="HMU44" s="82"/>
      <c r="HMV44" s="82"/>
      <c r="HMW44" s="82"/>
      <c r="HMX44" s="82"/>
      <c r="HMY44" s="82"/>
      <c r="HMZ44" s="82"/>
      <c r="HNA44" s="82"/>
      <c r="HNB44" s="82"/>
      <c r="HNC44" s="82"/>
      <c r="HND44" s="82"/>
      <c r="HNE44" s="82"/>
      <c r="HNF44" s="82"/>
      <c r="HNG44" s="82"/>
      <c r="HNH44" s="82"/>
      <c r="HNI44" s="82"/>
      <c r="HNJ44" s="82"/>
      <c r="HNK44" s="82"/>
      <c r="HNL44" s="82"/>
      <c r="HNM44" s="82"/>
      <c r="HNN44" s="82"/>
      <c r="HNO44" s="82"/>
      <c r="HNP44" s="82"/>
      <c r="HNQ44" s="82"/>
      <c r="HNR44" s="82"/>
      <c r="HNS44" s="82"/>
      <c r="HNT44" s="82"/>
      <c r="HNU44" s="82"/>
      <c r="HNV44" s="82"/>
      <c r="HNW44" s="82"/>
      <c r="HNX44" s="82"/>
      <c r="HNY44" s="82"/>
      <c r="HNZ44" s="82"/>
      <c r="HOA44" s="82"/>
      <c r="HOB44" s="82"/>
      <c r="HOC44" s="82"/>
      <c r="HOD44" s="82"/>
      <c r="HOE44" s="82"/>
      <c r="HOF44" s="82"/>
      <c r="HOG44" s="82"/>
      <c r="HOH44" s="82"/>
      <c r="HOI44" s="82"/>
      <c r="HOJ44" s="82"/>
      <c r="HOK44" s="82"/>
      <c r="HOL44" s="82"/>
      <c r="HOM44" s="82"/>
      <c r="HON44" s="82"/>
      <c r="HOO44" s="82"/>
      <c r="HOP44" s="82"/>
      <c r="HOQ44" s="82"/>
      <c r="HOR44" s="82"/>
      <c r="HOS44" s="82"/>
      <c r="HOT44" s="82"/>
      <c r="HOU44" s="82"/>
      <c r="HOV44" s="82"/>
      <c r="HOW44" s="82"/>
      <c r="HOX44" s="82"/>
      <c r="HOY44" s="82"/>
      <c r="HOZ44" s="82"/>
      <c r="HPA44" s="82"/>
      <c r="HPB44" s="82"/>
      <c r="HPC44" s="82"/>
      <c r="HPD44" s="82"/>
      <c r="HPE44" s="82"/>
      <c r="HPF44" s="82"/>
      <c r="HPG44" s="82"/>
      <c r="HPH44" s="82"/>
      <c r="HPI44" s="82"/>
      <c r="HPJ44" s="82"/>
      <c r="HPK44" s="82"/>
      <c r="HPL44" s="82"/>
      <c r="HPM44" s="82"/>
      <c r="HPN44" s="82"/>
      <c r="HPO44" s="82"/>
      <c r="HPP44" s="82"/>
      <c r="HPQ44" s="82"/>
      <c r="HPR44" s="82"/>
      <c r="HPS44" s="82"/>
      <c r="HPT44" s="82"/>
      <c r="HPU44" s="82"/>
      <c r="HPV44" s="82"/>
      <c r="HPW44" s="82"/>
      <c r="HPX44" s="82"/>
      <c r="HPY44" s="82"/>
      <c r="HPZ44" s="82"/>
      <c r="HQA44" s="82"/>
      <c r="HQB44" s="82"/>
      <c r="HQC44" s="82"/>
      <c r="HQD44" s="82"/>
      <c r="HQE44" s="82"/>
      <c r="HQF44" s="82"/>
      <c r="HQG44" s="82"/>
      <c r="HQH44" s="82"/>
      <c r="HQI44" s="82"/>
      <c r="HQJ44" s="82"/>
      <c r="HQK44" s="82"/>
      <c r="HQL44" s="82"/>
      <c r="HQM44" s="82"/>
      <c r="HQN44" s="82"/>
      <c r="HQO44" s="82"/>
      <c r="HQP44" s="82"/>
      <c r="HQQ44" s="82"/>
      <c r="HQR44" s="82"/>
      <c r="HQS44" s="82"/>
      <c r="HQT44" s="82"/>
      <c r="HQU44" s="82"/>
      <c r="HQV44" s="82"/>
      <c r="HQW44" s="82"/>
      <c r="HQX44" s="82"/>
      <c r="HQY44" s="82"/>
      <c r="HQZ44" s="82"/>
      <c r="HRA44" s="82"/>
      <c r="HRB44" s="82"/>
      <c r="HRC44" s="82"/>
      <c r="HRD44" s="82"/>
      <c r="HRE44" s="82"/>
      <c r="HRF44" s="82"/>
      <c r="HRG44" s="82"/>
      <c r="HRH44" s="82"/>
      <c r="HRI44" s="82"/>
      <c r="HRJ44" s="82"/>
      <c r="HRK44" s="82"/>
      <c r="HRL44" s="82"/>
      <c r="HRM44" s="82"/>
      <c r="HRN44" s="82"/>
      <c r="HRO44" s="82"/>
      <c r="HRP44" s="82"/>
      <c r="HRQ44" s="82"/>
      <c r="HRR44" s="82"/>
      <c r="HRS44" s="82"/>
      <c r="HRT44" s="82"/>
      <c r="HRU44" s="82"/>
      <c r="HRV44" s="82"/>
      <c r="HRW44" s="82"/>
      <c r="HRX44" s="82"/>
      <c r="HRY44" s="82"/>
      <c r="HRZ44" s="82"/>
      <c r="HSA44" s="82"/>
      <c r="HSB44" s="82"/>
      <c r="HSC44" s="82"/>
      <c r="HSD44" s="82"/>
      <c r="HSE44" s="82"/>
      <c r="HSF44" s="82"/>
      <c r="HSG44" s="82"/>
      <c r="HSH44" s="82"/>
      <c r="HSI44" s="82"/>
      <c r="HSJ44" s="82"/>
      <c r="HSK44" s="82"/>
      <c r="HSL44" s="82"/>
      <c r="HSM44" s="82"/>
      <c r="HSN44" s="82"/>
      <c r="HSO44" s="82"/>
      <c r="HSP44" s="82"/>
      <c r="HSQ44" s="82"/>
      <c r="HSR44" s="82"/>
      <c r="HSS44" s="82"/>
      <c r="HST44" s="82"/>
      <c r="HSU44" s="82"/>
      <c r="HSV44" s="82"/>
      <c r="HSW44" s="82"/>
      <c r="HSX44" s="82"/>
      <c r="HSY44" s="82"/>
      <c r="HSZ44" s="82"/>
      <c r="HTA44" s="82"/>
      <c r="HTB44" s="82"/>
      <c r="HTC44" s="82"/>
      <c r="HTD44" s="82"/>
      <c r="HTE44" s="82"/>
      <c r="HTF44" s="82"/>
      <c r="HTG44" s="82"/>
      <c r="HTH44" s="82"/>
      <c r="HTI44" s="82"/>
      <c r="HTJ44" s="82"/>
      <c r="HTK44" s="82"/>
      <c r="HTL44" s="82"/>
      <c r="HTM44" s="82"/>
      <c r="HTN44" s="82"/>
      <c r="HTO44" s="82"/>
      <c r="HTP44" s="82"/>
      <c r="HTQ44" s="82"/>
      <c r="HTR44" s="82"/>
      <c r="HTS44" s="82"/>
      <c r="HTT44" s="82"/>
      <c r="HTU44" s="82"/>
      <c r="HTV44" s="82"/>
      <c r="HTW44" s="82"/>
      <c r="HTX44" s="82"/>
      <c r="HTY44" s="82"/>
      <c r="HTZ44" s="82"/>
      <c r="HUA44" s="82"/>
      <c r="HUB44" s="82"/>
      <c r="HUC44" s="82"/>
      <c r="HUD44" s="82"/>
      <c r="HUE44" s="82"/>
      <c r="HUF44" s="82"/>
      <c r="HUG44" s="82"/>
      <c r="HUH44" s="82"/>
      <c r="HUI44" s="82"/>
      <c r="HUJ44" s="82"/>
      <c r="HUK44" s="82"/>
      <c r="HUL44" s="82"/>
      <c r="HUM44" s="82"/>
      <c r="HUN44" s="82"/>
      <c r="HUO44" s="82"/>
      <c r="HUP44" s="82"/>
      <c r="HUQ44" s="82"/>
      <c r="HUR44" s="82"/>
      <c r="HUS44" s="82"/>
      <c r="HUT44" s="82"/>
      <c r="HUU44" s="82"/>
      <c r="HUV44" s="82"/>
      <c r="HUW44" s="82"/>
      <c r="HUX44" s="82"/>
      <c r="HUY44" s="82"/>
      <c r="HUZ44" s="82"/>
      <c r="HVA44" s="82"/>
      <c r="HVB44" s="82"/>
      <c r="HVC44" s="82"/>
      <c r="HVD44" s="82"/>
      <c r="HVE44" s="82"/>
      <c r="HVF44" s="82"/>
      <c r="HVG44" s="82"/>
      <c r="HVH44" s="82"/>
      <c r="HVI44" s="82"/>
      <c r="HVJ44" s="82"/>
      <c r="HVK44" s="82"/>
      <c r="HVL44" s="82"/>
      <c r="HVM44" s="82"/>
      <c r="HVN44" s="82"/>
      <c r="HVO44" s="82"/>
      <c r="HVP44" s="82"/>
      <c r="HVQ44" s="82"/>
      <c r="HVR44" s="82"/>
      <c r="HVS44" s="82"/>
      <c r="HVT44" s="82"/>
      <c r="HVU44" s="82"/>
      <c r="HVV44" s="82"/>
      <c r="HVW44" s="82"/>
      <c r="HVX44" s="82"/>
      <c r="HVY44" s="82"/>
      <c r="HVZ44" s="82"/>
      <c r="HWA44" s="82"/>
      <c r="HWB44" s="82"/>
      <c r="HWC44" s="82"/>
      <c r="HWD44" s="82"/>
      <c r="HWE44" s="82"/>
      <c r="HWF44" s="82"/>
      <c r="HWG44" s="82"/>
      <c r="HWH44" s="82"/>
      <c r="HWI44" s="82"/>
      <c r="HWJ44" s="82"/>
      <c r="HWK44" s="82"/>
      <c r="HWL44" s="82"/>
      <c r="HWM44" s="82"/>
      <c r="HWN44" s="82"/>
      <c r="HWO44" s="82"/>
      <c r="HWP44" s="82"/>
      <c r="HWQ44" s="82"/>
      <c r="HWR44" s="82"/>
      <c r="HWS44" s="82"/>
      <c r="HWT44" s="82"/>
      <c r="HWU44" s="82"/>
      <c r="HWV44" s="82"/>
      <c r="HWW44" s="82"/>
      <c r="HWX44" s="82"/>
      <c r="HWY44" s="82"/>
      <c r="HWZ44" s="82"/>
      <c r="HXA44" s="82"/>
      <c r="HXB44" s="82"/>
      <c r="HXC44" s="82"/>
      <c r="HXD44" s="82"/>
      <c r="HXE44" s="82"/>
      <c r="HXF44" s="82"/>
      <c r="HXG44" s="82"/>
      <c r="HXH44" s="82"/>
      <c r="HXI44" s="82"/>
      <c r="HXJ44" s="82"/>
      <c r="HXK44" s="82"/>
      <c r="HXL44" s="82"/>
      <c r="HXM44" s="82"/>
      <c r="HXN44" s="82"/>
      <c r="HXO44" s="82"/>
      <c r="HXP44" s="82"/>
      <c r="HXQ44" s="82"/>
      <c r="HXR44" s="82"/>
      <c r="HXS44" s="82"/>
      <c r="HXT44" s="82"/>
      <c r="HXU44" s="82"/>
      <c r="HXV44" s="82"/>
      <c r="HXW44" s="82"/>
      <c r="HXX44" s="82"/>
      <c r="HXY44" s="82"/>
      <c r="HXZ44" s="82"/>
      <c r="HYA44" s="82"/>
      <c r="HYB44" s="82"/>
      <c r="HYC44" s="82"/>
      <c r="HYD44" s="82"/>
      <c r="HYE44" s="82"/>
      <c r="HYF44" s="82"/>
      <c r="HYG44" s="82"/>
      <c r="HYH44" s="82"/>
      <c r="HYI44" s="82"/>
      <c r="HYJ44" s="82"/>
      <c r="HYK44" s="82"/>
      <c r="HYL44" s="82"/>
      <c r="HYM44" s="82"/>
      <c r="HYN44" s="82"/>
      <c r="HYO44" s="82"/>
      <c r="HYP44" s="82"/>
      <c r="HYQ44" s="82"/>
      <c r="HYR44" s="82"/>
      <c r="HYS44" s="82"/>
      <c r="HYT44" s="82"/>
      <c r="HYU44" s="82"/>
      <c r="HYV44" s="82"/>
      <c r="HYW44" s="82"/>
      <c r="HYX44" s="82"/>
      <c r="HYY44" s="82"/>
      <c r="HYZ44" s="82"/>
      <c r="HZA44" s="82"/>
      <c r="HZB44" s="82"/>
      <c r="HZC44" s="82"/>
      <c r="HZD44" s="82"/>
      <c r="HZE44" s="82"/>
      <c r="HZF44" s="82"/>
      <c r="HZG44" s="82"/>
      <c r="HZH44" s="82"/>
      <c r="HZI44" s="82"/>
      <c r="HZJ44" s="82"/>
      <c r="HZK44" s="82"/>
      <c r="HZL44" s="82"/>
      <c r="HZM44" s="82"/>
      <c r="HZN44" s="82"/>
      <c r="HZO44" s="82"/>
      <c r="HZP44" s="82"/>
      <c r="HZQ44" s="82"/>
      <c r="HZR44" s="82"/>
      <c r="HZS44" s="82"/>
      <c r="HZT44" s="82"/>
      <c r="HZU44" s="82"/>
      <c r="HZV44" s="82"/>
      <c r="HZW44" s="82"/>
      <c r="HZX44" s="82"/>
      <c r="HZY44" s="82"/>
      <c r="HZZ44" s="82"/>
      <c r="IAA44" s="82"/>
      <c r="IAB44" s="82"/>
      <c r="IAC44" s="82"/>
      <c r="IAD44" s="82"/>
      <c r="IAE44" s="82"/>
      <c r="IAF44" s="82"/>
      <c r="IAG44" s="82"/>
      <c r="IAH44" s="82"/>
      <c r="IAI44" s="82"/>
      <c r="IAJ44" s="82"/>
      <c r="IAK44" s="82"/>
      <c r="IAL44" s="82"/>
      <c r="IAM44" s="82"/>
      <c r="IAN44" s="82"/>
      <c r="IAO44" s="82"/>
      <c r="IAP44" s="82"/>
      <c r="IAQ44" s="82"/>
      <c r="IAR44" s="82"/>
      <c r="IAS44" s="82"/>
      <c r="IAT44" s="82"/>
      <c r="IAU44" s="82"/>
      <c r="IAV44" s="82"/>
      <c r="IAW44" s="82"/>
      <c r="IAX44" s="82"/>
      <c r="IAY44" s="82"/>
      <c r="IAZ44" s="82"/>
      <c r="IBA44" s="82"/>
      <c r="IBB44" s="82"/>
      <c r="IBC44" s="82"/>
      <c r="IBD44" s="82"/>
      <c r="IBE44" s="82"/>
      <c r="IBF44" s="82"/>
      <c r="IBG44" s="82"/>
      <c r="IBH44" s="82"/>
      <c r="IBI44" s="82"/>
      <c r="IBJ44" s="82"/>
      <c r="IBK44" s="82"/>
      <c r="IBL44" s="82"/>
      <c r="IBM44" s="82"/>
      <c r="IBN44" s="82"/>
      <c r="IBO44" s="82"/>
      <c r="IBP44" s="82"/>
      <c r="IBQ44" s="82"/>
      <c r="IBR44" s="82"/>
      <c r="IBS44" s="82"/>
      <c r="IBT44" s="82"/>
      <c r="IBU44" s="82"/>
      <c r="IBV44" s="82"/>
      <c r="IBW44" s="82"/>
      <c r="IBX44" s="82"/>
      <c r="IBY44" s="82"/>
      <c r="IBZ44" s="82"/>
      <c r="ICA44" s="82"/>
      <c r="ICB44" s="82"/>
      <c r="ICC44" s="82"/>
      <c r="ICD44" s="82"/>
      <c r="ICE44" s="82"/>
      <c r="ICF44" s="82"/>
      <c r="ICG44" s="82"/>
      <c r="ICH44" s="82"/>
      <c r="ICI44" s="82"/>
      <c r="ICJ44" s="82"/>
      <c r="ICK44" s="82"/>
      <c r="ICL44" s="82"/>
      <c r="ICM44" s="82"/>
      <c r="ICN44" s="82"/>
      <c r="ICO44" s="82"/>
      <c r="ICP44" s="82"/>
      <c r="ICQ44" s="82"/>
      <c r="ICR44" s="82"/>
      <c r="ICS44" s="82"/>
      <c r="ICT44" s="82"/>
      <c r="ICU44" s="82"/>
      <c r="ICV44" s="82"/>
      <c r="ICW44" s="82"/>
      <c r="ICX44" s="82"/>
      <c r="ICY44" s="82"/>
      <c r="ICZ44" s="82"/>
      <c r="IDA44" s="82"/>
      <c r="IDB44" s="82"/>
      <c r="IDC44" s="82"/>
      <c r="IDD44" s="82"/>
      <c r="IDE44" s="82"/>
      <c r="IDF44" s="82"/>
      <c r="IDG44" s="82"/>
      <c r="IDH44" s="82"/>
      <c r="IDI44" s="82"/>
      <c r="IDJ44" s="82"/>
      <c r="IDK44" s="82"/>
      <c r="IDL44" s="82"/>
      <c r="IDM44" s="82"/>
      <c r="IDN44" s="82"/>
      <c r="IDO44" s="82"/>
      <c r="IDP44" s="82"/>
      <c r="IDQ44" s="82"/>
      <c r="IDR44" s="82"/>
      <c r="IDS44" s="82"/>
      <c r="IDT44" s="82"/>
      <c r="IDU44" s="82"/>
      <c r="IDV44" s="82"/>
      <c r="IDW44" s="82"/>
      <c r="IDX44" s="82"/>
      <c r="IDY44" s="82"/>
      <c r="IDZ44" s="82"/>
      <c r="IEA44" s="82"/>
      <c r="IEB44" s="82"/>
      <c r="IEC44" s="82"/>
      <c r="IED44" s="82"/>
      <c r="IEE44" s="82"/>
      <c r="IEF44" s="82"/>
      <c r="IEG44" s="82"/>
      <c r="IEH44" s="82"/>
      <c r="IEI44" s="82"/>
      <c r="IEJ44" s="82"/>
      <c r="IEK44" s="82"/>
      <c r="IEL44" s="82"/>
      <c r="IEM44" s="82"/>
      <c r="IEN44" s="82"/>
      <c r="IEO44" s="82"/>
      <c r="IEP44" s="82"/>
      <c r="IEQ44" s="82"/>
      <c r="IER44" s="82"/>
      <c r="IES44" s="82"/>
      <c r="IET44" s="82"/>
      <c r="IEU44" s="82"/>
      <c r="IEV44" s="82"/>
      <c r="IEW44" s="82"/>
      <c r="IEX44" s="82"/>
      <c r="IEY44" s="82"/>
      <c r="IEZ44" s="82"/>
      <c r="IFA44" s="82"/>
      <c r="IFB44" s="82"/>
      <c r="IFC44" s="82"/>
      <c r="IFD44" s="82"/>
      <c r="IFE44" s="82"/>
      <c r="IFF44" s="82"/>
      <c r="IFG44" s="82"/>
      <c r="IFH44" s="82"/>
      <c r="IFI44" s="82"/>
      <c r="IFJ44" s="82"/>
      <c r="IFK44" s="82"/>
      <c r="IFL44" s="82"/>
      <c r="IFM44" s="82"/>
      <c r="IFN44" s="82"/>
      <c r="IFO44" s="82"/>
      <c r="IFP44" s="82"/>
      <c r="IFQ44" s="82"/>
      <c r="IFR44" s="82"/>
      <c r="IFS44" s="82"/>
      <c r="IFT44" s="82"/>
      <c r="IFU44" s="82"/>
      <c r="IFV44" s="82"/>
      <c r="IFW44" s="82"/>
      <c r="IFX44" s="82"/>
      <c r="IFY44" s="82"/>
      <c r="IFZ44" s="82"/>
      <c r="IGA44" s="82"/>
      <c r="IGB44" s="82"/>
      <c r="IGC44" s="82"/>
      <c r="IGD44" s="82"/>
      <c r="IGE44" s="82"/>
      <c r="IGF44" s="82"/>
      <c r="IGG44" s="82"/>
      <c r="IGH44" s="82"/>
      <c r="IGI44" s="82"/>
      <c r="IGJ44" s="82"/>
      <c r="IGK44" s="82"/>
      <c r="IGL44" s="82"/>
      <c r="IGM44" s="82"/>
      <c r="IGN44" s="82"/>
      <c r="IGO44" s="82"/>
      <c r="IGP44" s="82"/>
      <c r="IGQ44" s="82"/>
      <c r="IGR44" s="82"/>
      <c r="IGS44" s="82"/>
      <c r="IGT44" s="82"/>
      <c r="IGU44" s="82"/>
      <c r="IGV44" s="82"/>
      <c r="IGW44" s="82"/>
      <c r="IGX44" s="82"/>
      <c r="IGY44" s="82"/>
      <c r="IGZ44" s="82"/>
      <c r="IHA44" s="82"/>
      <c r="IHB44" s="82"/>
      <c r="IHC44" s="82"/>
      <c r="IHD44" s="82"/>
      <c r="IHE44" s="82"/>
      <c r="IHF44" s="82"/>
      <c r="IHG44" s="82"/>
      <c r="IHH44" s="82"/>
      <c r="IHI44" s="82"/>
      <c r="IHJ44" s="82"/>
      <c r="IHK44" s="82"/>
      <c r="IHL44" s="82"/>
      <c r="IHM44" s="82"/>
      <c r="IHN44" s="82"/>
      <c r="IHO44" s="82"/>
      <c r="IHP44" s="82"/>
      <c r="IHQ44" s="82"/>
      <c r="IHR44" s="82"/>
      <c r="IHS44" s="82"/>
      <c r="IHT44" s="82"/>
      <c r="IHU44" s="82"/>
      <c r="IHV44" s="82"/>
      <c r="IHW44" s="82"/>
      <c r="IHX44" s="82"/>
      <c r="IHY44" s="82"/>
      <c r="IHZ44" s="82"/>
      <c r="IIA44" s="82"/>
      <c r="IIB44" s="82"/>
      <c r="IIC44" s="82"/>
      <c r="IID44" s="82"/>
      <c r="IIE44" s="82"/>
      <c r="IIF44" s="82"/>
      <c r="IIG44" s="82"/>
      <c r="IIH44" s="82"/>
      <c r="III44" s="82"/>
      <c r="IIJ44" s="82"/>
      <c r="IIK44" s="82"/>
      <c r="IIL44" s="82"/>
      <c r="IIM44" s="82"/>
      <c r="IIN44" s="82"/>
      <c r="IIO44" s="82"/>
      <c r="IIP44" s="82"/>
      <c r="IIQ44" s="82"/>
      <c r="IIR44" s="82"/>
      <c r="IIS44" s="82"/>
      <c r="IIT44" s="82"/>
      <c r="IIU44" s="82"/>
      <c r="IIV44" s="82"/>
      <c r="IIW44" s="82"/>
      <c r="IIX44" s="82"/>
      <c r="IIY44" s="82"/>
      <c r="IIZ44" s="82"/>
      <c r="IJA44" s="82"/>
      <c r="IJB44" s="82"/>
      <c r="IJC44" s="82"/>
      <c r="IJD44" s="82"/>
      <c r="IJE44" s="82"/>
      <c r="IJF44" s="82"/>
      <c r="IJG44" s="82"/>
      <c r="IJH44" s="82"/>
      <c r="IJI44" s="82"/>
      <c r="IJJ44" s="82"/>
      <c r="IJK44" s="82"/>
      <c r="IJL44" s="82"/>
      <c r="IJM44" s="82"/>
      <c r="IJN44" s="82"/>
      <c r="IJO44" s="82"/>
      <c r="IJP44" s="82"/>
      <c r="IJQ44" s="82"/>
      <c r="IJR44" s="82"/>
      <c r="IJS44" s="82"/>
      <c r="IJT44" s="82"/>
      <c r="IJU44" s="82"/>
      <c r="IJV44" s="82"/>
      <c r="IJW44" s="82"/>
      <c r="IJX44" s="82"/>
      <c r="IJY44" s="82"/>
      <c r="IJZ44" s="82"/>
      <c r="IKA44" s="82"/>
      <c r="IKB44" s="82"/>
      <c r="IKC44" s="82"/>
      <c r="IKD44" s="82"/>
      <c r="IKE44" s="82"/>
      <c r="IKF44" s="82"/>
      <c r="IKG44" s="82"/>
      <c r="IKH44" s="82"/>
      <c r="IKI44" s="82"/>
      <c r="IKJ44" s="82"/>
      <c r="IKK44" s="82"/>
      <c r="IKL44" s="82"/>
      <c r="IKM44" s="82"/>
      <c r="IKN44" s="82"/>
      <c r="IKO44" s="82"/>
      <c r="IKP44" s="82"/>
      <c r="IKQ44" s="82"/>
      <c r="IKR44" s="82"/>
      <c r="IKS44" s="82"/>
      <c r="IKT44" s="82"/>
      <c r="IKU44" s="82"/>
      <c r="IKV44" s="82"/>
      <c r="IKW44" s="82"/>
      <c r="IKX44" s="82"/>
      <c r="IKY44" s="82"/>
      <c r="IKZ44" s="82"/>
      <c r="ILA44" s="82"/>
      <c r="ILB44" s="82"/>
      <c r="ILC44" s="82"/>
      <c r="ILD44" s="82"/>
      <c r="ILE44" s="82"/>
      <c r="ILF44" s="82"/>
      <c r="ILG44" s="82"/>
      <c r="ILH44" s="82"/>
      <c r="ILI44" s="82"/>
      <c r="ILJ44" s="82"/>
      <c r="ILK44" s="82"/>
      <c r="ILL44" s="82"/>
      <c r="ILM44" s="82"/>
      <c r="ILN44" s="82"/>
      <c r="ILO44" s="82"/>
      <c r="ILP44" s="82"/>
      <c r="ILQ44" s="82"/>
      <c r="ILR44" s="82"/>
      <c r="ILS44" s="82"/>
      <c r="ILT44" s="82"/>
      <c r="ILU44" s="82"/>
      <c r="ILV44" s="82"/>
      <c r="ILW44" s="82"/>
      <c r="ILX44" s="82"/>
      <c r="ILY44" s="82"/>
      <c r="ILZ44" s="82"/>
      <c r="IMA44" s="82"/>
      <c r="IMB44" s="82"/>
      <c r="IMC44" s="82"/>
      <c r="IMD44" s="82"/>
      <c r="IME44" s="82"/>
      <c r="IMF44" s="82"/>
      <c r="IMG44" s="82"/>
      <c r="IMH44" s="82"/>
      <c r="IMI44" s="82"/>
      <c r="IMJ44" s="82"/>
      <c r="IMK44" s="82"/>
      <c r="IML44" s="82"/>
      <c r="IMM44" s="82"/>
      <c r="IMN44" s="82"/>
      <c r="IMO44" s="82"/>
      <c r="IMP44" s="82"/>
      <c r="IMQ44" s="82"/>
      <c r="IMR44" s="82"/>
      <c r="IMS44" s="82"/>
      <c r="IMT44" s="82"/>
      <c r="IMU44" s="82"/>
      <c r="IMV44" s="82"/>
      <c r="IMW44" s="82"/>
      <c r="IMX44" s="82"/>
      <c r="IMY44" s="82"/>
      <c r="IMZ44" s="82"/>
      <c r="INA44" s="82"/>
      <c r="INB44" s="82"/>
      <c r="INC44" s="82"/>
      <c r="IND44" s="82"/>
      <c r="INE44" s="82"/>
      <c r="INF44" s="82"/>
      <c r="ING44" s="82"/>
      <c r="INH44" s="82"/>
      <c r="INI44" s="82"/>
      <c r="INJ44" s="82"/>
      <c r="INK44" s="82"/>
      <c r="INL44" s="82"/>
      <c r="INM44" s="82"/>
      <c r="INN44" s="82"/>
      <c r="INO44" s="82"/>
      <c r="INP44" s="82"/>
      <c r="INQ44" s="82"/>
      <c r="INR44" s="82"/>
      <c r="INS44" s="82"/>
      <c r="INT44" s="82"/>
      <c r="INU44" s="82"/>
      <c r="INV44" s="82"/>
      <c r="INW44" s="82"/>
      <c r="INX44" s="82"/>
      <c r="INY44" s="82"/>
      <c r="INZ44" s="82"/>
      <c r="IOA44" s="82"/>
      <c r="IOB44" s="82"/>
      <c r="IOC44" s="82"/>
      <c r="IOD44" s="82"/>
      <c r="IOE44" s="82"/>
      <c r="IOF44" s="82"/>
      <c r="IOG44" s="82"/>
      <c r="IOH44" s="82"/>
      <c r="IOI44" s="82"/>
      <c r="IOJ44" s="82"/>
      <c r="IOK44" s="82"/>
      <c r="IOL44" s="82"/>
      <c r="IOM44" s="82"/>
      <c r="ION44" s="82"/>
      <c r="IOO44" s="82"/>
      <c r="IOP44" s="82"/>
      <c r="IOQ44" s="82"/>
      <c r="IOR44" s="82"/>
      <c r="IOS44" s="82"/>
      <c r="IOT44" s="82"/>
      <c r="IOU44" s="82"/>
      <c r="IOV44" s="82"/>
      <c r="IOW44" s="82"/>
      <c r="IOX44" s="82"/>
      <c r="IOY44" s="82"/>
      <c r="IOZ44" s="82"/>
      <c r="IPA44" s="82"/>
      <c r="IPB44" s="82"/>
      <c r="IPC44" s="82"/>
      <c r="IPD44" s="82"/>
      <c r="IPE44" s="82"/>
      <c r="IPF44" s="82"/>
      <c r="IPG44" s="82"/>
      <c r="IPH44" s="82"/>
      <c r="IPI44" s="82"/>
      <c r="IPJ44" s="82"/>
      <c r="IPK44" s="82"/>
      <c r="IPL44" s="82"/>
      <c r="IPM44" s="82"/>
      <c r="IPN44" s="82"/>
      <c r="IPO44" s="82"/>
      <c r="IPP44" s="82"/>
      <c r="IPQ44" s="82"/>
      <c r="IPR44" s="82"/>
      <c r="IPS44" s="82"/>
      <c r="IPT44" s="82"/>
      <c r="IPU44" s="82"/>
      <c r="IPV44" s="82"/>
      <c r="IPW44" s="82"/>
      <c r="IPX44" s="82"/>
      <c r="IPY44" s="82"/>
      <c r="IPZ44" s="82"/>
      <c r="IQA44" s="82"/>
      <c r="IQB44" s="82"/>
      <c r="IQC44" s="82"/>
      <c r="IQD44" s="82"/>
      <c r="IQE44" s="82"/>
      <c r="IQF44" s="82"/>
      <c r="IQG44" s="82"/>
      <c r="IQH44" s="82"/>
      <c r="IQI44" s="82"/>
      <c r="IQJ44" s="82"/>
      <c r="IQK44" s="82"/>
      <c r="IQL44" s="82"/>
      <c r="IQM44" s="82"/>
      <c r="IQN44" s="82"/>
      <c r="IQO44" s="82"/>
      <c r="IQP44" s="82"/>
      <c r="IQQ44" s="82"/>
      <c r="IQR44" s="82"/>
      <c r="IQS44" s="82"/>
      <c r="IQT44" s="82"/>
      <c r="IQU44" s="82"/>
      <c r="IQV44" s="82"/>
      <c r="IQW44" s="82"/>
      <c r="IQX44" s="82"/>
      <c r="IQY44" s="82"/>
      <c r="IQZ44" s="82"/>
      <c r="IRA44" s="82"/>
      <c r="IRB44" s="82"/>
      <c r="IRC44" s="82"/>
      <c r="IRD44" s="82"/>
      <c r="IRE44" s="82"/>
      <c r="IRF44" s="82"/>
      <c r="IRG44" s="82"/>
      <c r="IRH44" s="82"/>
      <c r="IRI44" s="82"/>
      <c r="IRJ44" s="82"/>
      <c r="IRK44" s="82"/>
      <c r="IRL44" s="82"/>
      <c r="IRM44" s="82"/>
      <c r="IRN44" s="82"/>
      <c r="IRO44" s="82"/>
      <c r="IRP44" s="82"/>
      <c r="IRQ44" s="82"/>
      <c r="IRR44" s="82"/>
      <c r="IRS44" s="82"/>
      <c r="IRT44" s="82"/>
      <c r="IRU44" s="82"/>
      <c r="IRV44" s="82"/>
      <c r="IRW44" s="82"/>
      <c r="IRX44" s="82"/>
      <c r="IRY44" s="82"/>
      <c r="IRZ44" s="82"/>
      <c r="ISA44" s="82"/>
      <c r="ISB44" s="82"/>
      <c r="ISC44" s="82"/>
      <c r="ISD44" s="82"/>
      <c r="ISE44" s="82"/>
      <c r="ISF44" s="82"/>
      <c r="ISG44" s="82"/>
      <c r="ISH44" s="82"/>
      <c r="ISI44" s="82"/>
      <c r="ISJ44" s="82"/>
      <c r="ISK44" s="82"/>
      <c r="ISL44" s="82"/>
      <c r="ISM44" s="82"/>
      <c r="ISN44" s="82"/>
      <c r="ISO44" s="82"/>
      <c r="ISP44" s="82"/>
      <c r="ISQ44" s="82"/>
      <c r="ISR44" s="82"/>
      <c r="ISS44" s="82"/>
      <c r="IST44" s="82"/>
      <c r="ISU44" s="82"/>
      <c r="ISV44" s="82"/>
      <c r="ISW44" s="82"/>
      <c r="ISX44" s="82"/>
      <c r="ISY44" s="82"/>
      <c r="ISZ44" s="82"/>
      <c r="ITA44" s="82"/>
      <c r="ITB44" s="82"/>
      <c r="ITC44" s="82"/>
      <c r="ITD44" s="82"/>
      <c r="ITE44" s="82"/>
      <c r="ITF44" s="82"/>
      <c r="ITG44" s="82"/>
      <c r="ITH44" s="82"/>
      <c r="ITI44" s="82"/>
      <c r="ITJ44" s="82"/>
      <c r="ITK44" s="82"/>
      <c r="ITL44" s="82"/>
      <c r="ITM44" s="82"/>
      <c r="ITN44" s="82"/>
      <c r="ITO44" s="82"/>
      <c r="ITP44" s="82"/>
      <c r="ITQ44" s="82"/>
      <c r="ITR44" s="82"/>
      <c r="ITS44" s="82"/>
      <c r="ITT44" s="82"/>
      <c r="ITU44" s="82"/>
      <c r="ITV44" s="82"/>
      <c r="ITW44" s="82"/>
      <c r="ITX44" s="82"/>
      <c r="ITY44" s="82"/>
      <c r="ITZ44" s="82"/>
      <c r="IUA44" s="82"/>
      <c r="IUB44" s="82"/>
      <c r="IUC44" s="82"/>
      <c r="IUD44" s="82"/>
      <c r="IUE44" s="82"/>
      <c r="IUF44" s="82"/>
      <c r="IUG44" s="82"/>
      <c r="IUH44" s="82"/>
      <c r="IUI44" s="82"/>
      <c r="IUJ44" s="82"/>
      <c r="IUK44" s="82"/>
      <c r="IUL44" s="82"/>
      <c r="IUM44" s="82"/>
      <c r="IUN44" s="82"/>
      <c r="IUO44" s="82"/>
      <c r="IUP44" s="82"/>
      <c r="IUQ44" s="82"/>
      <c r="IUR44" s="82"/>
      <c r="IUS44" s="82"/>
      <c r="IUT44" s="82"/>
      <c r="IUU44" s="82"/>
      <c r="IUV44" s="82"/>
      <c r="IUW44" s="82"/>
      <c r="IUX44" s="82"/>
      <c r="IUY44" s="82"/>
      <c r="IUZ44" s="82"/>
      <c r="IVA44" s="82"/>
      <c r="IVB44" s="82"/>
      <c r="IVC44" s="82"/>
      <c r="IVD44" s="82"/>
      <c r="IVE44" s="82"/>
      <c r="IVF44" s="82"/>
      <c r="IVG44" s="82"/>
      <c r="IVH44" s="82"/>
      <c r="IVI44" s="82"/>
      <c r="IVJ44" s="82"/>
      <c r="IVK44" s="82"/>
      <c r="IVL44" s="82"/>
      <c r="IVM44" s="82"/>
      <c r="IVN44" s="82"/>
      <c r="IVO44" s="82"/>
      <c r="IVP44" s="82"/>
      <c r="IVQ44" s="82"/>
      <c r="IVR44" s="82"/>
      <c r="IVS44" s="82"/>
      <c r="IVT44" s="82"/>
      <c r="IVU44" s="82"/>
      <c r="IVV44" s="82"/>
      <c r="IVW44" s="82"/>
      <c r="IVX44" s="82"/>
      <c r="IVY44" s="82"/>
      <c r="IVZ44" s="82"/>
      <c r="IWA44" s="82"/>
      <c r="IWB44" s="82"/>
      <c r="IWC44" s="82"/>
      <c r="IWD44" s="82"/>
      <c r="IWE44" s="82"/>
      <c r="IWF44" s="82"/>
      <c r="IWG44" s="82"/>
      <c r="IWH44" s="82"/>
      <c r="IWI44" s="82"/>
      <c r="IWJ44" s="82"/>
      <c r="IWK44" s="82"/>
      <c r="IWL44" s="82"/>
      <c r="IWM44" s="82"/>
      <c r="IWN44" s="82"/>
      <c r="IWO44" s="82"/>
      <c r="IWP44" s="82"/>
      <c r="IWQ44" s="82"/>
      <c r="IWR44" s="82"/>
      <c r="IWS44" s="82"/>
      <c r="IWT44" s="82"/>
      <c r="IWU44" s="82"/>
      <c r="IWV44" s="82"/>
      <c r="IWW44" s="82"/>
      <c r="IWX44" s="82"/>
      <c r="IWY44" s="82"/>
      <c r="IWZ44" s="82"/>
      <c r="IXA44" s="82"/>
      <c r="IXB44" s="82"/>
      <c r="IXC44" s="82"/>
      <c r="IXD44" s="82"/>
      <c r="IXE44" s="82"/>
      <c r="IXF44" s="82"/>
      <c r="IXG44" s="82"/>
      <c r="IXH44" s="82"/>
      <c r="IXI44" s="82"/>
      <c r="IXJ44" s="82"/>
      <c r="IXK44" s="82"/>
      <c r="IXL44" s="82"/>
      <c r="IXM44" s="82"/>
      <c r="IXN44" s="82"/>
      <c r="IXO44" s="82"/>
      <c r="IXP44" s="82"/>
      <c r="IXQ44" s="82"/>
      <c r="IXR44" s="82"/>
      <c r="IXS44" s="82"/>
      <c r="IXT44" s="82"/>
      <c r="IXU44" s="82"/>
      <c r="IXV44" s="82"/>
      <c r="IXW44" s="82"/>
      <c r="IXX44" s="82"/>
      <c r="IXY44" s="82"/>
      <c r="IXZ44" s="82"/>
      <c r="IYA44" s="82"/>
      <c r="IYB44" s="82"/>
      <c r="IYC44" s="82"/>
      <c r="IYD44" s="82"/>
      <c r="IYE44" s="82"/>
      <c r="IYF44" s="82"/>
      <c r="IYG44" s="82"/>
      <c r="IYH44" s="82"/>
      <c r="IYI44" s="82"/>
      <c r="IYJ44" s="82"/>
      <c r="IYK44" s="82"/>
      <c r="IYL44" s="82"/>
      <c r="IYM44" s="82"/>
      <c r="IYN44" s="82"/>
      <c r="IYO44" s="82"/>
      <c r="IYP44" s="82"/>
      <c r="IYQ44" s="82"/>
      <c r="IYR44" s="82"/>
      <c r="IYS44" s="82"/>
      <c r="IYT44" s="82"/>
      <c r="IYU44" s="82"/>
      <c r="IYV44" s="82"/>
      <c r="IYW44" s="82"/>
      <c r="IYX44" s="82"/>
      <c r="IYY44" s="82"/>
      <c r="IYZ44" s="82"/>
      <c r="IZA44" s="82"/>
      <c r="IZB44" s="82"/>
      <c r="IZC44" s="82"/>
      <c r="IZD44" s="82"/>
      <c r="IZE44" s="82"/>
      <c r="IZF44" s="82"/>
      <c r="IZG44" s="82"/>
      <c r="IZH44" s="82"/>
      <c r="IZI44" s="82"/>
      <c r="IZJ44" s="82"/>
      <c r="IZK44" s="82"/>
      <c r="IZL44" s="82"/>
      <c r="IZM44" s="82"/>
      <c r="IZN44" s="82"/>
      <c r="IZO44" s="82"/>
      <c r="IZP44" s="82"/>
      <c r="IZQ44" s="82"/>
      <c r="IZR44" s="82"/>
      <c r="IZS44" s="82"/>
      <c r="IZT44" s="82"/>
      <c r="IZU44" s="82"/>
      <c r="IZV44" s="82"/>
      <c r="IZW44" s="82"/>
      <c r="IZX44" s="82"/>
      <c r="IZY44" s="82"/>
      <c r="IZZ44" s="82"/>
      <c r="JAA44" s="82"/>
      <c r="JAB44" s="82"/>
      <c r="JAC44" s="82"/>
      <c r="JAD44" s="82"/>
      <c r="JAE44" s="82"/>
      <c r="JAF44" s="82"/>
      <c r="JAG44" s="82"/>
      <c r="JAH44" s="82"/>
      <c r="JAI44" s="82"/>
      <c r="JAJ44" s="82"/>
      <c r="JAK44" s="82"/>
      <c r="JAL44" s="82"/>
      <c r="JAM44" s="82"/>
      <c r="JAN44" s="82"/>
      <c r="JAO44" s="82"/>
      <c r="JAP44" s="82"/>
      <c r="JAQ44" s="82"/>
      <c r="JAR44" s="82"/>
      <c r="JAS44" s="82"/>
      <c r="JAT44" s="82"/>
      <c r="JAU44" s="82"/>
      <c r="JAV44" s="82"/>
      <c r="JAW44" s="82"/>
      <c r="JAX44" s="82"/>
      <c r="JAY44" s="82"/>
      <c r="JAZ44" s="82"/>
      <c r="JBA44" s="82"/>
      <c r="JBB44" s="82"/>
      <c r="JBC44" s="82"/>
      <c r="JBD44" s="82"/>
      <c r="JBE44" s="82"/>
      <c r="JBF44" s="82"/>
      <c r="JBG44" s="82"/>
      <c r="JBH44" s="82"/>
      <c r="JBI44" s="82"/>
      <c r="JBJ44" s="82"/>
      <c r="JBK44" s="82"/>
      <c r="JBL44" s="82"/>
      <c r="JBM44" s="82"/>
      <c r="JBN44" s="82"/>
      <c r="JBO44" s="82"/>
      <c r="JBP44" s="82"/>
      <c r="JBQ44" s="82"/>
      <c r="JBR44" s="82"/>
      <c r="JBS44" s="82"/>
      <c r="JBT44" s="82"/>
      <c r="JBU44" s="82"/>
      <c r="JBV44" s="82"/>
      <c r="JBW44" s="82"/>
      <c r="JBX44" s="82"/>
      <c r="JBY44" s="82"/>
      <c r="JBZ44" s="82"/>
      <c r="JCA44" s="82"/>
      <c r="JCB44" s="82"/>
      <c r="JCC44" s="82"/>
      <c r="JCD44" s="82"/>
      <c r="JCE44" s="82"/>
      <c r="JCF44" s="82"/>
      <c r="JCG44" s="82"/>
      <c r="JCH44" s="82"/>
      <c r="JCI44" s="82"/>
      <c r="JCJ44" s="82"/>
      <c r="JCK44" s="82"/>
      <c r="JCL44" s="82"/>
      <c r="JCM44" s="82"/>
      <c r="JCN44" s="82"/>
      <c r="JCO44" s="82"/>
      <c r="JCP44" s="82"/>
      <c r="JCQ44" s="82"/>
      <c r="JCR44" s="82"/>
      <c r="JCS44" s="82"/>
      <c r="JCT44" s="82"/>
      <c r="JCU44" s="82"/>
      <c r="JCV44" s="82"/>
      <c r="JCW44" s="82"/>
      <c r="JCX44" s="82"/>
      <c r="JCY44" s="82"/>
      <c r="JCZ44" s="82"/>
      <c r="JDA44" s="82"/>
      <c r="JDB44" s="82"/>
      <c r="JDC44" s="82"/>
      <c r="JDD44" s="82"/>
      <c r="JDE44" s="82"/>
      <c r="JDF44" s="82"/>
      <c r="JDG44" s="82"/>
      <c r="JDH44" s="82"/>
      <c r="JDI44" s="82"/>
      <c r="JDJ44" s="82"/>
      <c r="JDK44" s="82"/>
      <c r="JDL44" s="82"/>
      <c r="JDM44" s="82"/>
      <c r="JDN44" s="82"/>
      <c r="JDO44" s="82"/>
      <c r="JDP44" s="82"/>
      <c r="JDQ44" s="82"/>
      <c r="JDR44" s="82"/>
      <c r="JDS44" s="82"/>
      <c r="JDT44" s="82"/>
      <c r="JDU44" s="82"/>
      <c r="JDV44" s="82"/>
      <c r="JDW44" s="82"/>
      <c r="JDX44" s="82"/>
      <c r="JDY44" s="82"/>
      <c r="JDZ44" s="82"/>
      <c r="JEA44" s="82"/>
      <c r="JEB44" s="82"/>
      <c r="JEC44" s="82"/>
      <c r="JED44" s="82"/>
      <c r="JEE44" s="82"/>
      <c r="JEF44" s="82"/>
      <c r="JEG44" s="82"/>
      <c r="JEH44" s="82"/>
      <c r="JEI44" s="82"/>
      <c r="JEJ44" s="82"/>
      <c r="JEK44" s="82"/>
      <c r="JEL44" s="82"/>
      <c r="JEM44" s="82"/>
      <c r="JEN44" s="82"/>
      <c r="JEO44" s="82"/>
      <c r="JEP44" s="82"/>
      <c r="JEQ44" s="82"/>
      <c r="JER44" s="82"/>
      <c r="JES44" s="82"/>
      <c r="JET44" s="82"/>
      <c r="JEU44" s="82"/>
      <c r="JEV44" s="82"/>
      <c r="JEW44" s="82"/>
      <c r="JEX44" s="82"/>
      <c r="JEY44" s="82"/>
      <c r="JEZ44" s="82"/>
      <c r="JFA44" s="82"/>
      <c r="JFB44" s="82"/>
      <c r="JFC44" s="82"/>
      <c r="JFD44" s="82"/>
      <c r="JFE44" s="82"/>
      <c r="JFF44" s="82"/>
      <c r="JFG44" s="82"/>
      <c r="JFH44" s="82"/>
      <c r="JFI44" s="82"/>
      <c r="JFJ44" s="82"/>
      <c r="JFK44" s="82"/>
      <c r="JFL44" s="82"/>
      <c r="JFM44" s="82"/>
      <c r="JFN44" s="82"/>
      <c r="JFO44" s="82"/>
      <c r="JFP44" s="82"/>
      <c r="JFQ44" s="82"/>
      <c r="JFR44" s="82"/>
      <c r="JFS44" s="82"/>
      <c r="JFT44" s="82"/>
      <c r="JFU44" s="82"/>
      <c r="JFV44" s="82"/>
      <c r="JFW44" s="82"/>
      <c r="JFX44" s="82"/>
      <c r="JFY44" s="82"/>
      <c r="JFZ44" s="82"/>
      <c r="JGA44" s="82"/>
      <c r="JGB44" s="82"/>
      <c r="JGC44" s="82"/>
      <c r="JGD44" s="82"/>
      <c r="JGE44" s="82"/>
      <c r="JGF44" s="82"/>
      <c r="JGG44" s="82"/>
      <c r="JGH44" s="82"/>
      <c r="JGI44" s="82"/>
      <c r="JGJ44" s="82"/>
      <c r="JGK44" s="82"/>
      <c r="JGL44" s="82"/>
      <c r="JGM44" s="82"/>
      <c r="JGN44" s="82"/>
      <c r="JGO44" s="82"/>
      <c r="JGP44" s="82"/>
      <c r="JGQ44" s="82"/>
      <c r="JGR44" s="82"/>
      <c r="JGS44" s="82"/>
      <c r="JGT44" s="82"/>
      <c r="JGU44" s="82"/>
      <c r="JGV44" s="82"/>
      <c r="JGW44" s="82"/>
      <c r="JGX44" s="82"/>
      <c r="JGY44" s="82"/>
      <c r="JGZ44" s="82"/>
      <c r="JHA44" s="82"/>
      <c r="JHB44" s="82"/>
      <c r="JHC44" s="82"/>
      <c r="JHD44" s="82"/>
      <c r="JHE44" s="82"/>
      <c r="JHF44" s="82"/>
      <c r="JHG44" s="82"/>
      <c r="JHH44" s="82"/>
      <c r="JHI44" s="82"/>
      <c r="JHJ44" s="82"/>
      <c r="JHK44" s="82"/>
      <c r="JHL44" s="82"/>
      <c r="JHM44" s="82"/>
      <c r="JHN44" s="82"/>
      <c r="JHO44" s="82"/>
      <c r="JHP44" s="82"/>
      <c r="JHQ44" s="82"/>
      <c r="JHR44" s="82"/>
      <c r="JHS44" s="82"/>
      <c r="JHT44" s="82"/>
      <c r="JHU44" s="82"/>
      <c r="JHV44" s="82"/>
      <c r="JHW44" s="82"/>
      <c r="JHX44" s="82"/>
      <c r="JHY44" s="82"/>
      <c r="JHZ44" s="82"/>
      <c r="JIA44" s="82"/>
      <c r="JIB44" s="82"/>
      <c r="JIC44" s="82"/>
      <c r="JID44" s="82"/>
      <c r="JIE44" s="82"/>
      <c r="JIF44" s="82"/>
      <c r="JIG44" s="82"/>
      <c r="JIH44" s="82"/>
      <c r="JII44" s="82"/>
      <c r="JIJ44" s="82"/>
      <c r="JIK44" s="82"/>
      <c r="JIL44" s="82"/>
      <c r="JIM44" s="82"/>
      <c r="JIN44" s="82"/>
      <c r="JIO44" s="82"/>
      <c r="JIP44" s="82"/>
      <c r="JIQ44" s="82"/>
      <c r="JIR44" s="82"/>
      <c r="JIS44" s="82"/>
      <c r="JIT44" s="82"/>
      <c r="JIU44" s="82"/>
      <c r="JIV44" s="82"/>
      <c r="JIW44" s="82"/>
      <c r="JIX44" s="82"/>
      <c r="JIY44" s="82"/>
      <c r="JIZ44" s="82"/>
      <c r="JJA44" s="82"/>
      <c r="JJB44" s="82"/>
      <c r="JJC44" s="82"/>
      <c r="JJD44" s="82"/>
      <c r="JJE44" s="82"/>
      <c r="JJF44" s="82"/>
      <c r="JJG44" s="82"/>
      <c r="JJH44" s="82"/>
      <c r="JJI44" s="82"/>
      <c r="JJJ44" s="82"/>
      <c r="JJK44" s="82"/>
      <c r="JJL44" s="82"/>
      <c r="JJM44" s="82"/>
      <c r="JJN44" s="82"/>
      <c r="JJO44" s="82"/>
      <c r="JJP44" s="82"/>
      <c r="JJQ44" s="82"/>
      <c r="JJR44" s="82"/>
      <c r="JJS44" s="82"/>
      <c r="JJT44" s="82"/>
      <c r="JJU44" s="82"/>
      <c r="JJV44" s="82"/>
      <c r="JJW44" s="82"/>
      <c r="JJX44" s="82"/>
      <c r="JJY44" s="82"/>
      <c r="JJZ44" s="82"/>
      <c r="JKA44" s="82"/>
      <c r="JKB44" s="82"/>
      <c r="JKC44" s="82"/>
      <c r="JKD44" s="82"/>
      <c r="JKE44" s="82"/>
      <c r="JKF44" s="82"/>
      <c r="JKG44" s="82"/>
      <c r="JKH44" s="82"/>
      <c r="JKI44" s="82"/>
      <c r="JKJ44" s="82"/>
      <c r="JKK44" s="82"/>
      <c r="JKL44" s="82"/>
      <c r="JKM44" s="82"/>
      <c r="JKN44" s="82"/>
      <c r="JKO44" s="82"/>
      <c r="JKP44" s="82"/>
      <c r="JKQ44" s="82"/>
      <c r="JKR44" s="82"/>
      <c r="JKS44" s="82"/>
      <c r="JKT44" s="82"/>
      <c r="JKU44" s="82"/>
      <c r="JKV44" s="82"/>
      <c r="JKW44" s="82"/>
      <c r="JKX44" s="82"/>
      <c r="JKY44" s="82"/>
      <c r="JKZ44" s="82"/>
      <c r="JLA44" s="82"/>
      <c r="JLB44" s="82"/>
      <c r="JLC44" s="82"/>
      <c r="JLD44" s="82"/>
      <c r="JLE44" s="82"/>
      <c r="JLF44" s="82"/>
      <c r="JLG44" s="82"/>
      <c r="JLH44" s="82"/>
      <c r="JLI44" s="82"/>
      <c r="JLJ44" s="82"/>
      <c r="JLK44" s="82"/>
      <c r="JLL44" s="82"/>
      <c r="JLM44" s="82"/>
      <c r="JLN44" s="82"/>
      <c r="JLO44" s="82"/>
      <c r="JLP44" s="82"/>
      <c r="JLQ44" s="82"/>
      <c r="JLR44" s="82"/>
      <c r="JLS44" s="82"/>
      <c r="JLT44" s="82"/>
      <c r="JLU44" s="82"/>
      <c r="JLV44" s="82"/>
      <c r="JLW44" s="82"/>
      <c r="JLX44" s="82"/>
      <c r="JLY44" s="82"/>
      <c r="JLZ44" s="82"/>
      <c r="JMA44" s="82"/>
      <c r="JMB44" s="82"/>
      <c r="JMC44" s="82"/>
      <c r="JMD44" s="82"/>
      <c r="JME44" s="82"/>
      <c r="JMF44" s="82"/>
      <c r="JMG44" s="82"/>
      <c r="JMH44" s="82"/>
      <c r="JMI44" s="82"/>
      <c r="JMJ44" s="82"/>
      <c r="JMK44" s="82"/>
      <c r="JML44" s="82"/>
      <c r="JMM44" s="82"/>
      <c r="JMN44" s="82"/>
      <c r="JMO44" s="82"/>
      <c r="JMP44" s="82"/>
      <c r="JMQ44" s="82"/>
      <c r="JMR44" s="82"/>
      <c r="JMS44" s="82"/>
      <c r="JMT44" s="82"/>
      <c r="JMU44" s="82"/>
      <c r="JMV44" s="82"/>
      <c r="JMW44" s="82"/>
      <c r="JMX44" s="82"/>
      <c r="JMY44" s="82"/>
      <c r="JMZ44" s="82"/>
      <c r="JNA44" s="82"/>
      <c r="JNB44" s="82"/>
      <c r="JNC44" s="82"/>
      <c r="JND44" s="82"/>
      <c r="JNE44" s="82"/>
      <c r="JNF44" s="82"/>
      <c r="JNG44" s="82"/>
      <c r="JNH44" s="82"/>
      <c r="JNI44" s="82"/>
      <c r="JNJ44" s="82"/>
      <c r="JNK44" s="82"/>
      <c r="JNL44" s="82"/>
      <c r="JNM44" s="82"/>
      <c r="JNN44" s="82"/>
      <c r="JNO44" s="82"/>
      <c r="JNP44" s="82"/>
      <c r="JNQ44" s="82"/>
      <c r="JNR44" s="82"/>
      <c r="JNS44" s="82"/>
      <c r="JNT44" s="82"/>
      <c r="JNU44" s="82"/>
      <c r="JNV44" s="82"/>
      <c r="JNW44" s="82"/>
      <c r="JNX44" s="82"/>
      <c r="JNY44" s="82"/>
      <c r="JNZ44" s="82"/>
      <c r="JOA44" s="82"/>
      <c r="JOB44" s="82"/>
      <c r="JOC44" s="82"/>
      <c r="JOD44" s="82"/>
      <c r="JOE44" s="82"/>
      <c r="JOF44" s="82"/>
      <c r="JOG44" s="82"/>
      <c r="JOH44" s="82"/>
      <c r="JOI44" s="82"/>
      <c r="JOJ44" s="82"/>
      <c r="JOK44" s="82"/>
      <c r="JOL44" s="82"/>
      <c r="JOM44" s="82"/>
      <c r="JON44" s="82"/>
      <c r="JOO44" s="82"/>
      <c r="JOP44" s="82"/>
      <c r="JOQ44" s="82"/>
      <c r="JOR44" s="82"/>
      <c r="JOS44" s="82"/>
      <c r="JOT44" s="82"/>
      <c r="JOU44" s="82"/>
      <c r="JOV44" s="82"/>
      <c r="JOW44" s="82"/>
      <c r="JOX44" s="82"/>
      <c r="JOY44" s="82"/>
      <c r="JOZ44" s="82"/>
      <c r="JPA44" s="82"/>
      <c r="JPB44" s="82"/>
      <c r="JPC44" s="82"/>
      <c r="JPD44" s="82"/>
      <c r="JPE44" s="82"/>
      <c r="JPF44" s="82"/>
      <c r="JPG44" s="82"/>
      <c r="JPH44" s="82"/>
      <c r="JPI44" s="82"/>
      <c r="JPJ44" s="82"/>
      <c r="JPK44" s="82"/>
      <c r="JPL44" s="82"/>
      <c r="JPM44" s="82"/>
      <c r="JPN44" s="82"/>
      <c r="JPO44" s="82"/>
      <c r="JPP44" s="82"/>
      <c r="JPQ44" s="82"/>
      <c r="JPR44" s="82"/>
      <c r="JPS44" s="82"/>
      <c r="JPT44" s="82"/>
      <c r="JPU44" s="82"/>
      <c r="JPV44" s="82"/>
      <c r="JPW44" s="82"/>
      <c r="JPX44" s="82"/>
      <c r="JPY44" s="82"/>
      <c r="JPZ44" s="82"/>
      <c r="JQA44" s="82"/>
      <c r="JQB44" s="82"/>
      <c r="JQC44" s="82"/>
      <c r="JQD44" s="82"/>
      <c r="JQE44" s="82"/>
      <c r="JQF44" s="82"/>
      <c r="JQG44" s="82"/>
      <c r="JQH44" s="82"/>
      <c r="JQI44" s="82"/>
      <c r="JQJ44" s="82"/>
      <c r="JQK44" s="82"/>
      <c r="JQL44" s="82"/>
      <c r="JQM44" s="82"/>
      <c r="JQN44" s="82"/>
      <c r="JQO44" s="82"/>
      <c r="JQP44" s="82"/>
      <c r="JQQ44" s="82"/>
      <c r="JQR44" s="82"/>
      <c r="JQS44" s="82"/>
      <c r="JQT44" s="82"/>
      <c r="JQU44" s="82"/>
      <c r="JQV44" s="82"/>
      <c r="JQW44" s="82"/>
      <c r="JQX44" s="82"/>
      <c r="JQY44" s="82"/>
      <c r="JQZ44" s="82"/>
      <c r="JRA44" s="82"/>
      <c r="JRB44" s="82"/>
      <c r="JRC44" s="82"/>
      <c r="JRD44" s="82"/>
      <c r="JRE44" s="82"/>
      <c r="JRF44" s="82"/>
      <c r="JRG44" s="82"/>
      <c r="JRH44" s="82"/>
      <c r="JRI44" s="82"/>
      <c r="JRJ44" s="82"/>
      <c r="JRK44" s="82"/>
      <c r="JRL44" s="82"/>
      <c r="JRM44" s="82"/>
      <c r="JRN44" s="82"/>
      <c r="JRO44" s="82"/>
      <c r="JRP44" s="82"/>
      <c r="JRQ44" s="82"/>
      <c r="JRR44" s="82"/>
      <c r="JRS44" s="82"/>
      <c r="JRT44" s="82"/>
      <c r="JRU44" s="82"/>
      <c r="JRV44" s="82"/>
      <c r="JRW44" s="82"/>
      <c r="JRX44" s="82"/>
      <c r="JRY44" s="82"/>
      <c r="JRZ44" s="82"/>
      <c r="JSA44" s="82"/>
      <c r="JSB44" s="82"/>
      <c r="JSC44" s="82"/>
      <c r="JSD44" s="82"/>
      <c r="JSE44" s="82"/>
      <c r="JSF44" s="82"/>
      <c r="JSG44" s="82"/>
      <c r="JSH44" s="82"/>
      <c r="JSI44" s="82"/>
      <c r="JSJ44" s="82"/>
      <c r="JSK44" s="82"/>
      <c r="JSL44" s="82"/>
      <c r="JSM44" s="82"/>
      <c r="JSN44" s="82"/>
      <c r="JSO44" s="82"/>
      <c r="JSP44" s="82"/>
      <c r="JSQ44" s="82"/>
      <c r="JSR44" s="82"/>
      <c r="JSS44" s="82"/>
      <c r="JST44" s="82"/>
      <c r="JSU44" s="82"/>
      <c r="JSV44" s="82"/>
      <c r="JSW44" s="82"/>
      <c r="JSX44" s="82"/>
      <c r="JSY44" s="82"/>
      <c r="JSZ44" s="82"/>
      <c r="JTA44" s="82"/>
      <c r="JTB44" s="82"/>
      <c r="JTC44" s="82"/>
      <c r="JTD44" s="82"/>
      <c r="JTE44" s="82"/>
      <c r="JTF44" s="82"/>
      <c r="JTG44" s="82"/>
      <c r="JTH44" s="82"/>
      <c r="JTI44" s="82"/>
      <c r="JTJ44" s="82"/>
      <c r="JTK44" s="82"/>
      <c r="JTL44" s="82"/>
      <c r="JTM44" s="82"/>
      <c r="JTN44" s="82"/>
      <c r="JTO44" s="82"/>
      <c r="JTP44" s="82"/>
      <c r="JTQ44" s="82"/>
      <c r="JTR44" s="82"/>
      <c r="JTS44" s="82"/>
      <c r="JTT44" s="82"/>
      <c r="JTU44" s="82"/>
      <c r="JTV44" s="82"/>
      <c r="JTW44" s="82"/>
      <c r="JTX44" s="82"/>
      <c r="JTY44" s="82"/>
      <c r="JTZ44" s="82"/>
      <c r="JUA44" s="82"/>
      <c r="JUB44" s="82"/>
      <c r="JUC44" s="82"/>
      <c r="JUD44" s="82"/>
      <c r="JUE44" s="82"/>
      <c r="JUF44" s="82"/>
      <c r="JUG44" s="82"/>
      <c r="JUH44" s="82"/>
      <c r="JUI44" s="82"/>
      <c r="JUJ44" s="82"/>
      <c r="JUK44" s="82"/>
      <c r="JUL44" s="82"/>
      <c r="JUM44" s="82"/>
      <c r="JUN44" s="82"/>
      <c r="JUO44" s="82"/>
      <c r="JUP44" s="82"/>
      <c r="JUQ44" s="82"/>
      <c r="JUR44" s="82"/>
      <c r="JUS44" s="82"/>
      <c r="JUT44" s="82"/>
      <c r="JUU44" s="82"/>
      <c r="JUV44" s="82"/>
      <c r="JUW44" s="82"/>
      <c r="JUX44" s="82"/>
      <c r="JUY44" s="82"/>
      <c r="JUZ44" s="82"/>
      <c r="JVA44" s="82"/>
      <c r="JVB44" s="82"/>
      <c r="JVC44" s="82"/>
      <c r="JVD44" s="82"/>
      <c r="JVE44" s="82"/>
      <c r="JVF44" s="82"/>
      <c r="JVG44" s="82"/>
      <c r="JVH44" s="82"/>
      <c r="JVI44" s="82"/>
      <c r="JVJ44" s="82"/>
      <c r="JVK44" s="82"/>
      <c r="JVL44" s="82"/>
      <c r="JVM44" s="82"/>
      <c r="JVN44" s="82"/>
      <c r="JVO44" s="82"/>
      <c r="JVP44" s="82"/>
      <c r="JVQ44" s="82"/>
      <c r="JVR44" s="82"/>
      <c r="JVS44" s="82"/>
      <c r="JVT44" s="82"/>
      <c r="JVU44" s="82"/>
      <c r="JVV44" s="82"/>
      <c r="JVW44" s="82"/>
      <c r="JVX44" s="82"/>
      <c r="JVY44" s="82"/>
      <c r="JVZ44" s="82"/>
      <c r="JWA44" s="82"/>
      <c r="JWB44" s="82"/>
      <c r="JWC44" s="82"/>
      <c r="JWD44" s="82"/>
      <c r="JWE44" s="82"/>
      <c r="JWF44" s="82"/>
      <c r="JWG44" s="82"/>
      <c r="JWH44" s="82"/>
      <c r="JWI44" s="82"/>
      <c r="JWJ44" s="82"/>
      <c r="JWK44" s="82"/>
      <c r="JWL44" s="82"/>
      <c r="JWM44" s="82"/>
      <c r="JWN44" s="82"/>
      <c r="JWO44" s="82"/>
      <c r="JWP44" s="82"/>
      <c r="JWQ44" s="82"/>
      <c r="JWR44" s="82"/>
      <c r="JWS44" s="82"/>
      <c r="JWT44" s="82"/>
      <c r="JWU44" s="82"/>
      <c r="JWV44" s="82"/>
      <c r="JWW44" s="82"/>
      <c r="JWX44" s="82"/>
      <c r="JWY44" s="82"/>
      <c r="JWZ44" s="82"/>
      <c r="JXA44" s="82"/>
      <c r="JXB44" s="82"/>
      <c r="JXC44" s="82"/>
      <c r="JXD44" s="82"/>
      <c r="JXE44" s="82"/>
      <c r="JXF44" s="82"/>
      <c r="JXG44" s="82"/>
      <c r="JXH44" s="82"/>
      <c r="JXI44" s="82"/>
      <c r="JXJ44" s="82"/>
      <c r="JXK44" s="82"/>
      <c r="JXL44" s="82"/>
      <c r="JXM44" s="82"/>
      <c r="JXN44" s="82"/>
      <c r="JXO44" s="82"/>
      <c r="JXP44" s="82"/>
      <c r="JXQ44" s="82"/>
      <c r="JXR44" s="82"/>
      <c r="JXS44" s="82"/>
      <c r="JXT44" s="82"/>
      <c r="JXU44" s="82"/>
      <c r="JXV44" s="82"/>
      <c r="JXW44" s="82"/>
      <c r="JXX44" s="82"/>
      <c r="JXY44" s="82"/>
      <c r="JXZ44" s="82"/>
      <c r="JYA44" s="82"/>
      <c r="JYB44" s="82"/>
      <c r="JYC44" s="82"/>
      <c r="JYD44" s="82"/>
      <c r="JYE44" s="82"/>
      <c r="JYF44" s="82"/>
      <c r="JYG44" s="82"/>
      <c r="JYH44" s="82"/>
      <c r="JYI44" s="82"/>
      <c r="JYJ44" s="82"/>
      <c r="JYK44" s="82"/>
      <c r="JYL44" s="82"/>
      <c r="JYM44" s="82"/>
      <c r="JYN44" s="82"/>
      <c r="JYO44" s="82"/>
      <c r="JYP44" s="82"/>
      <c r="JYQ44" s="82"/>
      <c r="JYR44" s="82"/>
      <c r="JYS44" s="82"/>
      <c r="JYT44" s="82"/>
      <c r="JYU44" s="82"/>
      <c r="JYV44" s="82"/>
      <c r="JYW44" s="82"/>
      <c r="JYX44" s="82"/>
      <c r="JYY44" s="82"/>
      <c r="JYZ44" s="82"/>
      <c r="JZA44" s="82"/>
      <c r="JZB44" s="82"/>
      <c r="JZC44" s="82"/>
      <c r="JZD44" s="82"/>
      <c r="JZE44" s="82"/>
      <c r="JZF44" s="82"/>
      <c r="JZG44" s="82"/>
      <c r="JZH44" s="82"/>
      <c r="JZI44" s="82"/>
      <c r="JZJ44" s="82"/>
      <c r="JZK44" s="82"/>
      <c r="JZL44" s="82"/>
      <c r="JZM44" s="82"/>
      <c r="JZN44" s="82"/>
      <c r="JZO44" s="82"/>
      <c r="JZP44" s="82"/>
      <c r="JZQ44" s="82"/>
      <c r="JZR44" s="82"/>
      <c r="JZS44" s="82"/>
      <c r="JZT44" s="82"/>
      <c r="JZU44" s="82"/>
      <c r="JZV44" s="82"/>
      <c r="JZW44" s="82"/>
      <c r="JZX44" s="82"/>
      <c r="JZY44" s="82"/>
      <c r="JZZ44" s="82"/>
      <c r="KAA44" s="82"/>
      <c r="KAB44" s="82"/>
      <c r="KAC44" s="82"/>
      <c r="KAD44" s="82"/>
      <c r="KAE44" s="82"/>
      <c r="KAF44" s="82"/>
      <c r="KAG44" s="82"/>
      <c r="KAH44" s="82"/>
      <c r="KAI44" s="82"/>
      <c r="KAJ44" s="82"/>
      <c r="KAK44" s="82"/>
      <c r="KAL44" s="82"/>
      <c r="KAM44" s="82"/>
      <c r="KAN44" s="82"/>
      <c r="KAO44" s="82"/>
      <c r="KAP44" s="82"/>
      <c r="KAQ44" s="82"/>
      <c r="KAR44" s="82"/>
      <c r="KAS44" s="82"/>
      <c r="KAT44" s="82"/>
      <c r="KAU44" s="82"/>
      <c r="KAV44" s="82"/>
      <c r="KAW44" s="82"/>
      <c r="KAX44" s="82"/>
      <c r="KAY44" s="82"/>
      <c r="KAZ44" s="82"/>
      <c r="KBA44" s="82"/>
      <c r="KBB44" s="82"/>
      <c r="KBC44" s="82"/>
      <c r="KBD44" s="82"/>
      <c r="KBE44" s="82"/>
      <c r="KBF44" s="82"/>
      <c r="KBG44" s="82"/>
      <c r="KBH44" s="82"/>
      <c r="KBI44" s="82"/>
      <c r="KBJ44" s="82"/>
      <c r="KBK44" s="82"/>
      <c r="KBL44" s="82"/>
      <c r="KBM44" s="82"/>
      <c r="KBN44" s="82"/>
      <c r="KBO44" s="82"/>
      <c r="KBP44" s="82"/>
      <c r="KBQ44" s="82"/>
      <c r="KBR44" s="82"/>
      <c r="KBS44" s="82"/>
      <c r="KBT44" s="82"/>
      <c r="KBU44" s="82"/>
      <c r="KBV44" s="82"/>
      <c r="KBW44" s="82"/>
      <c r="KBX44" s="82"/>
      <c r="KBY44" s="82"/>
      <c r="KBZ44" s="82"/>
      <c r="KCA44" s="82"/>
      <c r="KCB44" s="82"/>
      <c r="KCC44" s="82"/>
      <c r="KCD44" s="82"/>
      <c r="KCE44" s="82"/>
      <c r="KCF44" s="82"/>
      <c r="KCG44" s="82"/>
      <c r="KCH44" s="82"/>
      <c r="KCI44" s="82"/>
      <c r="KCJ44" s="82"/>
      <c r="KCK44" s="82"/>
      <c r="KCL44" s="82"/>
      <c r="KCM44" s="82"/>
      <c r="KCN44" s="82"/>
      <c r="KCO44" s="82"/>
      <c r="KCP44" s="82"/>
      <c r="KCQ44" s="82"/>
      <c r="KCR44" s="82"/>
      <c r="KCS44" s="82"/>
      <c r="KCT44" s="82"/>
      <c r="KCU44" s="82"/>
      <c r="KCV44" s="82"/>
      <c r="KCW44" s="82"/>
      <c r="KCX44" s="82"/>
      <c r="KCY44" s="82"/>
      <c r="KCZ44" s="82"/>
      <c r="KDA44" s="82"/>
      <c r="KDB44" s="82"/>
      <c r="KDC44" s="82"/>
      <c r="KDD44" s="82"/>
      <c r="KDE44" s="82"/>
      <c r="KDF44" s="82"/>
      <c r="KDG44" s="82"/>
      <c r="KDH44" s="82"/>
      <c r="KDI44" s="82"/>
      <c r="KDJ44" s="82"/>
      <c r="KDK44" s="82"/>
      <c r="KDL44" s="82"/>
      <c r="KDM44" s="82"/>
      <c r="KDN44" s="82"/>
      <c r="KDO44" s="82"/>
      <c r="KDP44" s="82"/>
      <c r="KDQ44" s="82"/>
      <c r="KDR44" s="82"/>
      <c r="KDS44" s="82"/>
      <c r="KDT44" s="82"/>
      <c r="KDU44" s="82"/>
      <c r="KDV44" s="82"/>
      <c r="KDW44" s="82"/>
      <c r="KDX44" s="82"/>
      <c r="KDY44" s="82"/>
      <c r="KDZ44" s="82"/>
      <c r="KEA44" s="82"/>
      <c r="KEB44" s="82"/>
      <c r="KEC44" s="82"/>
      <c r="KED44" s="82"/>
      <c r="KEE44" s="82"/>
      <c r="KEF44" s="82"/>
      <c r="KEG44" s="82"/>
      <c r="KEH44" s="82"/>
      <c r="KEI44" s="82"/>
      <c r="KEJ44" s="82"/>
      <c r="KEK44" s="82"/>
      <c r="KEL44" s="82"/>
      <c r="KEM44" s="82"/>
      <c r="KEN44" s="82"/>
      <c r="KEO44" s="82"/>
      <c r="KEP44" s="82"/>
      <c r="KEQ44" s="82"/>
      <c r="KER44" s="82"/>
      <c r="KES44" s="82"/>
      <c r="KET44" s="82"/>
      <c r="KEU44" s="82"/>
      <c r="KEV44" s="82"/>
      <c r="KEW44" s="82"/>
      <c r="KEX44" s="82"/>
      <c r="KEY44" s="82"/>
      <c r="KEZ44" s="82"/>
      <c r="KFA44" s="82"/>
      <c r="KFB44" s="82"/>
      <c r="KFC44" s="82"/>
      <c r="KFD44" s="82"/>
      <c r="KFE44" s="82"/>
      <c r="KFF44" s="82"/>
      <c r="KFG44" s="82"/>
      <c r="KFH44" s="82"/>
      <c r="KFI44" s="82"/>
      <c r="KFJ44" s="82"/>
      <c r="KFK44" s="82"/>
      <c r="KFL44" s="82"/>
      <c r="KFM44" s="82"/>
      <c r="KFN44" s="82"/>
      <c r="KFO44" s="82"/>
      <c r="KFP44" s="82"/>
      <c r="KFQ44" s="82"/>
      <c r="KFR44" s="82"/>
      <c r="KFS44" s="82"/>
      <c r="KFT44" s="82"/>
      <c r="KFU44" s="82"/>
      <c r="KFV44" s="82"/>
      <c r="KFW44" s="82"/>
      <c r="KFX44" s="82"/>
      <c r="KFY44" s="82"/>
      <c r="KFZ44" s="82"/>
      <c r="KGA44" s="82"/>
      <c r="KGB44" s="82"/>
      <c r="KGC44" s="82"/>
      <c r="KGD44" s="82"/>
      <c r="KGE44" s="82"/>
      <c r="KGF44" s="82"/>
      <c r="KGG44" s="82"/>
      <c r="KGH44" s="82"/>
      <c r="KGI44" s="82"/>
      <c r="KGJ44" s="82"/>
      <c r="KGK44" s="82"/>
      <c r="KGL44" s="82"/>
      <c r="KGM44" s="82"/>
      <c r="KGN44" s="82"/>
      <c r="KGO44" s="82"/>
      <c r="KGP44" s="82"/>
      <c r="KGQ44" s="82"/>
      <c r="KGR44" s="82"/>
      <c r="KGS44" s="82"/>
      <c r="KGT44" s="82"/>
      <c r="KGU44" s="82"/>
      <c r="KGV44" s="82"/>
      <c r="KGW44" s="82"/>
      <c r="KGX44" s="82"/>
      <c r="KGY44" s="82"/>
      <c r="KGZ44" s="82"/>
      <c r="KHA44" s="82"/>
      <c r="KHB44" s="82"/>
      <c r="KHC44" s="82"/>
      <c r="KHD44" s="82"/>
      <c r="KHE44" s="82"/>
      <c r="KHF44" s="82"/>
      <c r="KHG44" s="82"/>
      <c r="KHH44" s="82"/>
      <c r="KHI44" s="82"/>
      <c r="KHJ44" s="82"/>
      <c r="KHK44" s="82"/>
      <c r="KHL44" s="82"/>
      <c r="KHM44" s="82"/>
      <c r="KHN44" s="82"/>
      <c r="KHO44" s="82"/>
      <c r="KHP44" s="82"/>
      <c r="KHQ44" s="82"/>
      <c r="KHR44" s="82"/>
      <c r="KHS44" s="82"/>
      <c r="KHT44" s="82"/>
      <c r="KHU44" s="82"/>
      <c r="KHV44" s="82"/>
      <c r="KHW44" s="82"/>
      <c r="KHX44" s="82"/>
      <c r="KHY44" s="82"/>
      <c r="KHZ44" s="82"/>
      <c r="KIA44" s="82"/>
      <c r="KIB44" s="82"/>
      <c r="KIC44" s="82"/>
      <c r="KID44" s="82"/>
      <c r="KIE44" s="82"/>
      <c r="KIF44" s="82"/>
      <c r="KIG44" s="82"/>
      <c r="KIH44" s="82"/>
      <c r="KII44" s="82"/>
      <c r="KIJ44" s="82"/>
      <c r="KIK44" s="82"/>
      <c r="KIL44" s="82"/>
      <c r="KIM44" s="82"/>
      <c r="KIN44" s="82"/>
      <c r="KIO44" s="82"/>
      <c r="KIP44" s="82"/>
      <c r="KIQ44" s="82"/>
      <c r="KIR44" s="82"/>
      <c r="KIS44" s="82"/>
      <c r="KIT44" s="82"/>
      <c r="KIU44" s="82"/>
      <c r="KIV44" s="82"/>
      <c r="KIW44" s="82"/>
      <c r="KIX44" s="82"/>
      <c r="KIY44" s="82"/>
      <c r="KIZ44" s="82"/>
      <c r="KJA44" s="82"/>
      <c r="KJB44" s="82"/>
      <c r="KJC44" s="82"/>
      <c r="KJD44" s="82"/>
      <c r="KJE44" s="82"/>
      <c r="KJF44" s="82"/>
      <c r="KJG44" s="82"/>
      <c r="KJH44" s="82"/>
      <c r="KJI44" s="82"/>
      <c r="KJJ44" s="82"/>
      <c r="KJK44" s="82"/>
      <c r="KJL44" s="82"/>
      <c r="KJM44" s="82"/>
      <c r="KJN44" s="82"/>
      <c r="KJO44" s="82"/>
      <c r="KJP44" s="82"/>
      <c r="KJQ44" s="82"/>
      <c r="KJR44" s="82"/>
      <c r="KJS44" s="82"/>
      <c r="KJT44" s="82"/>
      <c r="KJU44" s="82"/>
      <c r="KJV44" s="82"/>
      <c r="KJW44" s="82"/>
      <c r="KJX44" s="82"/>
      <c r="KJY44" s="82"/>
      <c r="KJZ44" s="82"/>
      <c r="KKA44" s="82"/>
      <c r="KKB44" s="82"/>
      <c r="KKC44" s="82"/>
      <c r="KKD44" s="82"/>
      <c r="KKE44" s="82"/>
      <c r="KKF44" s="82"/>
      <c r="KKG44" s="82"/>
      <c r="KKH44" s="82"/>
      <c r="KKI44" s="82"/>
      <c r="KKJ44" s="82"/>
      <c r="KKK44" s="82"/>
      <c r="KKL44" s="82"/>
      <c r="KKM44" s="82"/>
      <c r="KKN44" s="82"/>
      <c r="KKO44" s="82"/>
      <c r="KKP44" s="82"/>
      <c r="KKQ44" s="82"/>
      <c r="KKR44" s="82"/>
      <c r="KKS44" s="82"/>
      <c r="KKT44" s="82"/>
      <c r="KKU44" s="82"/>
      <c r="KKV44" s="82"/>
      <c r="KKW44" s="82"/>
      <c r="KKX44" s="82"/>
      <c r="KKY44" s="82"/>
      <c r="KKZ44" s="82"/>
      <c r="KLA44" s="82"/>
      <c r="KLB44" s="82"/>
      <c r="KLC44" s="82"/>
      <c r="KLD44" s="82"/>
      <c r="KLE44" s="82"/>
      <c r="KLF44" s="82"/>
      <c r="KLG44" s="82"/>
      <c r="KLH44" s="82"/>
      <c r="KLI44" s="82"/>
      <c r="KLJ44" s="82"/>
      <c r="KLK44" s="82"/>
      <c r="KLL44" s="82"/>
      <c r="KLM44" s="82"/>
      <c r="KLN44" s="82"/>
      <c r="KLO44" s="82"/>
      <c r="KLP44" s="82"/>
      <c r="KLQ44" s="82"/>
      <c r="KLR44" s="82"/>
      <c r="KLS44" s="82"/>
      <c r="KLT44" s="82"/>
      <c r="KLU44" s="82"/>
      <c r="KLV44" s="82"/>
      <c r="KLW44" s="82"/>
      <c r="KLX44" s="82"/>
      <c r="KLY44" s="82"/>
      <c r="KLZ44" s="82"/>
      <c r="KMA44" s="82"/>
      <c r="KMB44" s="82"/>
      <c r="KMC44" s="82"/>
      <c r="KMD44" s="82"/>
      <c r="KME44" s="82"/>
      <c r="KMF44" s="82"/>
      <c r="KMG44" s="82"/>
      <c r="KMH44" s="82"/>
      <c r="KMI44" s="82"/>
      <c r="KMJ44" s="82"/>
      <c r="KMK44" s="82"/>
      <c r="KML44" s="82"/>
      <c r="KMM44" s="82"/>
      <c r="KMN44" s="82"/>
      <c r="KMO44" s="82"/>
      <c r="KMP44" s="82"/>
      <c r="KMQ44" s="82"/>
      <c r="KMR44" s="82"/>
      <c r="KMS44" s="82"/>
      <c r="KMT44" s="82"/>
      <c r="KMU44" s="82"/>
      <c r="KMV44" s="82"/>
      <c r="KMW44" s="82"/>
      <c r="KMX44" s="82"/>
      <c r="KMY44" s="82"/>
      <c r="KMZ44" s="82"/>
      <c r="KNA44" s="82"/>
      <c r="KNB44" s="82"/>
      <c r="KNC44" s="82"/>
      <c r="KND44" s="82"/>
      <c r="KNE44" s="82"/>
      <c r="KNF44" s="82"/>
      <c r="KNG44" s="82"/>
      <c r="KNH44" s="82"/>
      <c r="KNI44" s="82"/>
      <c r="KNJ44" s="82"/>
      <c r="KNK44" s="82"/>
      <c r="KNL44" s="82"/>
      <c r="KNM44" s="82"/>
      <c r="KNN44" s="82"/>
      <c r="KNO44" s="82"/>
      <c r="KNP44" s="82"/>
      <c r="KNQ44" s="82"/>
      <c r="KNR44" s="82"/>
      <c r="KNS44" s="82"/>
      <c r="KNT44" s="82"/>
      <c r="KNU44" s="82"/>
      <c r="KNV44" s="82"/>
      <c r="KNW44" s="82"/>
      <c r="KNX44" s="82"/>
      <c r="KNY44" s="82"/>
      <c r="KNZ44" s="82"/>
      <c r="KOA44" s="82"/>
      <c r="KOB44" s="82"/>
      <c r="KOC44" s="82"/>
      <c r="KOD44" s="82"/>
      <c r="KOE44" s="82"/>
      <c r="KOF44" s="82"/>
      <c r="KOG44" s="82"/>
      <c r="KOH44" s="82"/>
      <c r="KOI44" s="82"/>
      <c r="KOJ44" s="82"/>
      <c r="KOK44" s="82"/>
      <c r="KOL44" s="82"/>
      <c r="KOM44" s="82"/>
      <c r="KON44" s="82"/>
      <c r="KOO44" s="82"/>
      <c r="KOP44" s="82"/>
      <c r="KOQ44" s="82"/>
      <c r="KOR44" s="82"/>
      <c r="KOS44" s="82"/>
      <c r="KOT44" s="82"/>
      <c r="KOU44" s="82"/>
      <c r="KOV44" s="82"/>
      <c r="KOW44" s="82"/>
      <c r="KOX44" s="82"/>
      <c r="KOY44" s="82"/>
      <c r="KOZ44" s="82"/>
      <c r="KPA44" s="82"/>
      <c r="KPB44" s="82"/>
      <c r="KPC44" s="82"/>
      <c r="KPD44" s="82"/>
      <c r="KPE44" s="82"/>
      <c r="KPF44" s="82"/>
      <c r="KPG44" s="82"/>
      <c r="KPH44" s="82"/>
      <c r="KPI44" s="82"/>
      <c r="KPJ44" s="82"/>
      <c r="KPK44" s="82"/>
      <c r="KPL44" s="82"/>
      <c r="KPM44" s="82"/>
      <c r="KPN44" s="82"/>
      <c r="KPO44" s="82"/>
      <c r="KPP44" s="82"/>
      <c r="KPQ44" s="82"/>
      <c r="KPR44" s="82"/>
      <c r="KPS44" s="82"/>
      <c r="KPT44" s="82"/>
      <c r="KPU44" s="82"/>
      <c r="KPV44" s="82"/>
      <c r="KPW44" s="82"/>
      <c r="KPX44" s="82"/>
      <c r="KPY44" s="82"/>
      <c r="KPZ44" s="82"/>
      <c r="KQA44" s="82"/>
      <c r="KQB44" s="82"/>
      <c r="KQC44" s="82"/>
      <c r="KQD44" s="82"/>
      <c r="KQE44" s="82"/>
      <c r="KQF44" s="82"/>
      <c r="KQG44" s="82"/>
      <c r="KQH44" s="82"/>
      <c r="KQI44" s="82"/>
      <c r="KQJ44" s="82"/>
      <c r="KQK44" s="82"/>
      <c r="KQL44" s="82"/>
      <c r="KQM44" s="82"/>
      <c r="KQN44" s="82"/>
      <c r="KQO44" s="82"/>
      <c r="KQP44" s="82"/>
      <c r="KQQ44" s="82"/>
      <c r="KQR44" s="82"/>
      <c r="KQS44" s="82"/>
      <c r="KQT44" s="82"/>
      <c r="KQU44" s="82"/>
      <c r="KQV44" s="82"/>
      <c r="KQW44" s="82"/>
      <c r="KQX44" s="82"/>
      <c r="KQY44" s="82"/>
      <c r="KQZ44" s="82"/>
      <c r="KRA44" s="82"/>
      <c r="KRB44" s="82"/>
      <c r="KRC44" s="82"/>
      <c r="KRD44" s="82"/>
      <c r="KRE44" s="82"/>
      <c r="KRF44" s="82"/>
      <c r="KRG44" s="82"/>
      <c r="KRH44" s="82"/>
      <c r="KRI44" s="82"/>
      <c r="KRJ44" s="82"/>
      <c r="KRK44" s="82"/>
      <c r="KRL44" s="82"/>
      <c r="KRM44" s="82"/>
      <c r="KRN44" s="82"/>
      <c r="KRO44" s="82"/>
      <c r="KRP44" s="82"/>
      <c r="KRQ44" s="82"/>
      <c r="KRR44" s="82"/>
      <c r="KRS44" s="82"/>
      <c r="KRT44" s="82"/>
      <c r="KRU44" s="82"/>
      <c r="KRV44" s="82"/>
      <c r="KRW44" s="82"/>
      <c r="KRX44" s="82"/>
      <c r="KRY44" s="82"/>
      <c r="KRZ44" s="82"/>
      <c r="KSA44" s="82"/>
      <c r="KSB44" s="82"/>
      <c r="KSC44" s="82"/>
      <c r="KSD44" s="82"/>
      <c r="KSE44" s="82"/>
      <c r="KSF44" s="82"/>
      <c r="KSG44" s="82"/>
      <c r="KSH44" s="82"/>
      <c r="KSI44" s="82"/>
      <c r="KSJ44" s="82"/>
      <c r="KSK44" s="82"/>
      <c r="KSL44" s="82"/>
      <c r="KSM44" s="82"/>
      <c r="KSN44" s="82"/>
      <c r="KSO44" s="82"/>
      <c r="KSP44" s="82"/>
      <c r="KSQ44" s="82"/>
      <c r="KSR44" s="82"/>
      <c r="KSS44" s="82"/>
      <c r="KST44" s="82"/>
      <c r="KSU44" s="82"/>
      <c r="KSV44" s="82"/>
      <c r="KSW44" s="82"/>
      <c r="KSX44" s="82"/>
      <c r="KSY44" s="82"/>
      <c r="KSZ44" s="82"/>
      <c r="KTA44" s="82"/>
      <c r="KTB44" s="82"/>
      <c r="KTC44" s="82"/>
      <c r="KTD44" s="82"/>
      <c r="KTE44" s="82"/>
      <c r="KTF44" s="82"/>
      <c r="KTG44" s="82"/>
      <c r="KTH44" s="82"/>
      <c r="KTI44" s="82"/>
      <c r="KTJ44" s="82"/>
      <c r="KTK44" s="82"/>
      <c r="KTL44" s="82"/>
      <c r="KTM44" s="82"/>
      <c r="KTN44" s="82"/>
      <c r="KTO44" s="82"/>
      <c r="KTP44" s="82"/>
      <c r="KTQ44" s="82"/>
      <c r="KTR44" s="82"/>
      <c r="KTS44" s="82"/>
      <c r="KTT44" s="82"/>
      <c r="KTU44" s="82"/>
      <c r="KTV44" s="82"/>
      <c r="KTW44" s="82"/>
      <c r="KTX44" s="82"/>
      <c r="KTY44" s="82"/>
      <c r="KTZ44" s="82"/>
      <c r="KUA44" s="82"/>
      <c r="KUB44" s="82"/>
      <c r="KUC44" s="82"/>
      <c r="KUD44" s="82"/>
      <c r="KUE44" s="82"/>
      <c r="KUF44" s="82"/>
      <c r="KUG44" s="82"/>
      <c r="KUH44" s="82"/>
      <c r="KUI44" s="82"/>
      <c r="KUJ44" s="82"/>
      <c r="KUK44" s="82"/>
      <c r="KUL44" s="82"/>
      <c r="KUM44" s="82"/>
      <c r="KUN44" s="82"/>
      <c r="KUO44" s="82"/>
      <c r="KUP44" s="82"/>
      <c r="KUQ44" s="82"/>
      <c r="KUR44" s="82"/>
      <c r="KUS44" s="82"/>
      <c r="KUT44" s="82"/>
      <c r="KUU44" s="82"/>
      <c r="KUV44" s="82"/>
      <c r="KUW44" s="82"/>
      <c r="KUX44" s="82"/>
      <c r="KUY44" s="82"/>
      <c r="KUZ44" s="82"/>
      <c r="KVA44" s="82"/>
      <c r="KVB44" s="82"/>
      <c r="KVC44" s="82"/>
      <c r="KVD44" s="82"/>
      <c r="KVE44" s="82"/>
      <c r="KVF44" s="82"/>
      <c r="KVG44" s="82"/>
      <c r="KVH44" s="82"/>
      <c r="KVI44" s="82"/>
      <c r="KVJ44" s="82"/>
      <c r="KVK44" s="82"/>
      <c r="KVL44" s="82"/>
      <c r="KVM44" s="82"/>
      <c r="KVN44" s="82"/>
      <c r="KVO44" s="82"/>
      <c r="KVP44" s="82"/>
      <c r="KVQ44" s="82"/>
      <c r="KVR44" s="82"/>
      <c r="KVS44" s="82"/>
      <c r="KVT44" s="82"/>
      <c r="KVU44" s="82"/>
      <c r="KVV44" s="82"/>
      <c r="KVW44" s="82"/>
      <c r="KVX44" s="82"/>
      <c r="KVY44" s="82"/>
      <c r="KVZ44" s="82"/>
      <c r="KWA44" s="82"/>
      <c r="KWB44" s="82"/>
      <c r="KWC44" s="82"/>
      <c r="KWD44" s="82"/>
      <c r="KWE44" s="82"/>
      <c r="KWF44" s="82"/>
      <c r="KWG44" s="82"/>
      <c r="KWH44" s="82"/>
      <c r="KWI44" s="82"/>
      <c r="KWJ44" s="82"/>
      <c r="KWK44" s="82"/>
      <c r="KWL44" s="82"/>
      <c r="KWM44" s="82"/>
      <c r="KWN44" s="82"/>
      <c r="KWO44" s="82"/>
      <c r="KWP44" s="82"/>
      <c r="KWQ44" s="82"/>
      <c r="KWR44" s="82"/>
      <c r="KWS44" s="82"/>
      <c r="KWT44" s="82"/>
      <c r="KWU44" s="82"/>
      <c r="KWV44" s="82"/>
      <c r="KWW44" s="82"/>
      <c r="KWX44" s="82"/>
      <c r="KWY44" s="82"/>
      <c r="KWZ44" s="82"/>
      <c r="KXA44" s="82"/>
      <c r="KXB44" s="82"/>
      <c r="KXC44" s="82"/>
      <c r="KXD44" s="82"/>
      <c r="KXE44" s="82"/>
      <c r="KXF44" s="82"/>
      <c r="KXG44" s="82"/>
      <c r="KXH44" s="82"/>
      <c r="KXI44" s="82"/>
      <c r="KXJ44" s="82"/>
      <c r="KXK44" s="82"/>
      <c r="KXL44" s="82"/>
      <c r="KXM44" s="82"/>
      <c r="KXN44" s="82"/>
      <c r="KXO44" s="82"/>
      <c r="KXP44" s="82"/>
      <c r="KXQ44" s="82"/>
      <c r="KXR44" s="82"/>
      <c r="KXS44" s="82"/>
      <c r="KXT44" s="82"/>
      <c r="KXU44" s="82"/>
      <c r="KXV44" s="82"/>
      <c r="KXW44" s="82"/>
      <c r="KXX44" s="82"/>
      <c r="KXY44" s="82"/>
      <c r="KXZ44" s="82"/>
      <c r="KYA44" s="82"/>
      <c r="KYB44" s="82"/>
      <c r="KYC44" s="82"/>
      <c r="KYD44" s="82"/>
      <c r="KYE44" s="82"/>
      <c r="KYF44" s="82"/>
      <c r="KYG44" s="82"/>
      <c r="KYH44" s="82"/>
      <c r="KYI44" s="82"/>
      <c r="KYJ44" s="82"/>
      <c r="KYK44" s="82"/>
      <c r="KYL44" s="82"/>
      <c r="KYM44" s="82"/>
      <c r="KYN44" s="82"/>
      <c r="KYO44" s="82"/>
      <c r="KYP44" s="82"/>
      <c r="KYQ44" s="82"/>
      <c r="KYR44" s="82"/>
      <c r="KYS44" s="82"/>
      <c r="KYT44" s="82"/>
      <c r="KYU44" s="82"/>
      <c r="KYV44" s="82"/>
      <c r="KYW44" s="82"/>
      <c r="KYX44" s="82"/>
      <c r="KYY44" s="82"/>
      <c r="KYZ44" s="82"/>
      <c r="KZA44" s="82"/>
      <c r="KZB44" s="82"/>
      <c r="KZC44" s="82"/>
      <c r="KZD44" s="82"/>
      <c r="KZE44" s="82"/>
      <c r="KZF44" s="82"/>
      <c r="KZG44" s="82"/>
      <c r="KZH44" s="82"/>
      <c r="KZI44" s="82"/>
      <c r="KZJ44" s="82"/>
      <c r="KZK44" s="82"/>
      <c r="KZL44" s="82"/>
      <c r="KZM44" s="82"/>
      <c r="KZN44" s="82"/>
      <c r="KZO44" s="82"/>
      <c r="KZP44" s="82"/>
      <c r="KZQ44" s="82"/>
      <c r="KZR44" s="82"/>
      <c r="KZS44" s="82"/>
      <c r="KZT44" s="82"/>
      <c r="KZU44" s="82"/>
      <c r="KZV44" s="82"/>
      <c r="KZW44" s="82"/>
      <c r="KZX44" s="82"/>
      <c r="KZY44" s="82"/>
      <c r="KZZ44" s="82"/>
      <c r="LAA44" s="82"/>
      <c r="LAB44" s="82"/>
      <c r="LAC44" s="82"/>
      <c r="LAD44" s="82"/>
      <c r="LAE44" s="82"/>
      <c r="LAF44" s="82"/>
      <c r="LAG44" s="82"/>
      <c r="LAH44" s="82"/>
      <c r="LAI44" s="82"/>
      <c r="LAJ44" s="82"/>
      <c r="LAK44" s="82"/>
      <c r="LAL44" s="82"/>
      <c r="LAM44" s="82"/>
      <c r="LAN44" s="82"/>
      <c r="LAO44" s="82"/>
      <c r="LAP44" s="82"/>
      <c r="LAQ44" s="82"/>
      <c r="LAR44" s="82"/>
      <c r="LAS44" s="82"/>
      <c r="LAT44" s="82"/>
      <c r="LAU44" s="82"/>
      <c r="LAV44" s="82"/>
      <c r="LAW44" s="82"/>
      <c r="LAX44" s="82"/>
      <c r="LAY44" s="82"/>
      <c r="LAZ44" s="82"/>
      <c r="LBA44" s="82"/>
      <c r="LBB44" s="82"/>
      <c r="LBC44" s="82"/>
      <c r="LBD44" s="82"/>
      <c r="LBE44" s="82"/>
      <c r="LBF44" s="82"/>
      <c r="LBG44" s="82"/>
      <c r="LBH44" s="82"/>
      <c r="LBI44" s="82"/>
      <c r="LBJ44" s="82"/>
      <c r="LBK44" s="82"/>
      <c r="LBL44" s="82"/>
      <c r="LBM44" s="82"/>
      <c r="LBN44" s="82"/>
      <c r="LBO44" s="82"/>
      <c r="LBP44" s="82"/>
      <c r="LBQ44" s="82"/>
      <c r="LBR44" s="82"/>
      <c r="LBS44" s="82"/>
      <c r="LBT44" s="82"/>
      <c r="LBU44" s="82"/>
      <c r="LBV44" s="82"/>
      <c r="LBW44" s="82"/>
      <c r="LBX44" s="82"/>
      <c r="LBY44" s="82"/>
      <c r="LBZ44" s="82"/>
      <c r="LCA44" s="82"/>
      <c r="LCB44" s="82"/>
      <c r="LCC44" s="82"/>
      <c r="LCD44" s="82"/>
      <c r="LCE44" s="82"/>
      <c r="LCF44" s="82"/>
      <c r="LCG44" s="82"/>
      <c r="LCH44" s="82"/>
      <c r="LCI44" s="82"/>
      <c r="LCJ44" s="82"/>
      <c r="LCK44" s="82"/>
      <c r="LCL44" s="82"/>
      <c r="LCM44" s="82"/>
      <c r="LCN44" s="82"/>
      <c r="LCO44" s="82"/>
      <c r="LCP44" s="82"/>
      <c r="LCQ44" s="82"/>
      <c r="LCR44" s="82"/>
      <c r="LCS44" s="82"/>
      <c r="LCT44" s="82"/>
      <c r="LCU44" s="82"/>
      <c r="LCV44" s="82"/>
      <c r="LCW44" s="82"/>
      <c r="LCX44" s="82"/>
      <c r="LCY44" s="82"/>
      <c r="LCZ44" s="82"/>
      <c r="LDA44" s="82"/>
      <c r="LDB44" s="82"/>
      <c r="LDC44" s="82"/>
      <c r="LDD44" s="82"/>
      <c r="LDE44" s="82"/>
      <c r="LDF44" s="82"/>
      <c r="LDG44" s="82"/>
      <c r="LDH44" s="82"/>
      <c r="LDI44" s="82"/>
      <c r="LDJ44" s="82"/>
      <c r="LDK44" s="82"/>
      <c r="LDL44" s="82"/>
      <c r="LDM44" s="82"/>
      <c r="LDN44" s="82"/>
      <c r="LDO44" s="82"/>
      <c r="LDP44" s="82"/>
      <c r="LDQ44" s="82"/>
      <c r="LDR44" s="82"/>
      <c r="LDS44" s="82"/>
      <c r="LDT44" s="82"/>
      <c r="LDU44" s="82"/>
      <c r="LDV44" s="82"/>
      <c r="LDW44" s="82"/>
      <c r="LDX44" s="82"/>
      <c r="LDY44" s="82"/>
      <c r="LDZ44" s="82"/>
      <c r="LEA44" s="82"/>
      <c r="LEB44" s="82"/>
      <c r="LEC44" s="82"/>
      <c r="LED44" s="82"/>
      <c r="LEE44" s="82"/>
      <c r="LEF44" s="82"/>
      <c r="LEG44" s="82"/>
      <c r="LEH44" s="82"/>
      <c r="LEI44" s="82"/>
      <c r="LEJ44" s="82"/>
      <c r="LEK44" s="82"/>
      <c r="LEL44" s="82"/>
      <c r="LEM44" s="82"/>
      <c r="LEN44" s="82"/>
      <c r="LEO44" s="82"/>
      <c r="LEP44" s="82"/>
      <c r="LEQ44" s="82"/>
      <c r="LER44" s="82"/>
      <c r="LES44" s="82"/>
      <c r="LET44" s="82"/>
      <c r="LEU44" s="82"/>
      <c r="LEV44" s="82"/>
      <c r="LEW44" s="82"/>
      <c r="LEX44" s="82"/>
      <c r="LEY44" s="82"/>
      <c r="LEZ44" s="82"/>
      <c r="LFA44" s="82"/>
      <c r="LFB44" s="82"/>
      <c r="LFC44" s="82"/>
      <c r="LFD44" s="82"/>
      <c r="LFE44" s="82"/>
      <c r="LFF44" s="82"/>
      <c r="LFG44" s="82"/>
      <c r="LFH44" s="82"/>
      <c r="LFI44" s="82"/>
      <c r="LFJ44" s="82"/>
      <c r="LFK44" s="82"/>
      <c r="LFL44" s="82"/>
      <c r="LFM44" s="82"/>
      <c r="LFN44" s="82"/>
      <c r="LFO44" s="82"/>
      <c r="LFP44" s="82"/>
      <c r="LFQ44" s="82"/>
      <c r="LFR44" s="82"/>
      <c r="LFS44" s="82"/>
      <c r="LFT44" s="82"/>
      <c r="LFU44" s="82"/>
      <c r="LFV44" s="82"/>
      <c r="LFW44" s="82"/>
      <c r="LFX44" s="82"/>
      <c r="LFY44" s="82"/>
      <c r="LFZ44" s="82"/>
      <c r="LGA44" s="82"/>
      <c r="LGB44" s="82"/>
      <c r="LGC44" s="82"/>
      <c r="LGD44" s="82"/>
      <c r="LGE44" s="82"/>
      <c r="LGF44" s="82"/>
      <c r="LGG44" s="82"/>
      <c r="LGH44" s="82"/>
      <c r="LGI44" s="82"/>
      <c r="LGJ44" s="82"/>
      <c r="LGK44" s="82"/>
      <c r="LGL44" s="82"/>
      <c r="LGM44" s="82"/>
      <c r="LGN44" s="82"/>
      <c r="LGO44" s="82"/>
      <c r="LGP44" s="82"/>
      <c r="LGQ44" s="82"/>
      <c r="LGR44" s="82"/>
      <c r="LGS44" s="82"/>
      <c r="LGT44" s="82"/>
      <c r="LGU44" s="82"/>
      <c r="LGV44" s="82"/>
      <c r="LGW44" s="82"/>
      <c r="LGX44" s="82"/>
      <c r="LGY44" s="82"/>
      <c r="LGZ44" s="82"/>
      <c r="LHA44" s="82"/>
      <c r="LHB44" s="82"/>
      <c r="LHC44" s="82"/>
      <c r="LHD44" s="82"/>
      <c r="LHE44" s="82"/>
      <c r="LHF44" s="82"/>
      <c r="LHG44" s="82"/>
      <c r="LHH44" s="82"/>
      <c r="LHI44" s="82"/>
      <c r="LHJ44" s="82"/>
      <c r="LHK44" s="82"/>
      <c r="LHL44" s="82"/>
      <c r="LHM44" s="82"/>
      <c r="LHN44" s="82"/>
      <c r="LHO44" s="82"/>
      <c r="LHP44" s="82"/>
      <c r="LHQ44" s="82"/>
      <c r="LHR44" s="82"/>
      <c r="LHS44" s="82"/>
      <c r="LHT44" s="82"/>
      <c r="LHU44" s="82"/>
      <c r="LHV44" s="82"/>
      <c r="LHW44" s="82"/>
      <c r="LHX44" s="82"/>
      <c r="LHY44" s="82"/>
      <c r="LHZ44" s="82"/>
      <c r="LIA44" s="82"/>
      <c r="LIB44" s="82"/>
      <c r="LIC44" s="82"/>
      <c r="LID44" s="82"/>
      <c r="LIE44" s="82"/>
      <c r="LIF44" s="82"/>
      <c r="LIG44" s="82"/>
      <c r="LIH44" s="82"/>
      <c r="LII44" s="82"/>
      <c r="LIJ44" s="82"/>
      <c r="LIK44" s="82"/>
      <c r="LIL44" s="82"/>
      <c r="LIM44" s="82"/>
      <c r="LIN44" s="82"/>
      <c r="LIO44" s="82"/>
      <c r="LIP44" s="82"/>
      <c r="LIQ44" s="82"/>
      <c r="LIR44" s="82"/>
      <c r="LIS44" s="82"/>
      <c r="LIT44" s="82"/>
      <c r="LIU44" s="82"/>
      <c r="LIV44" s="82"/>
      <c r="LIW44" s="82"/>
      <c r="LIX44" s="82"/>
      <c r="LIY44" s="82"/>
      <c r="LIZ44" s="82"/>
      <c r="LJA44" s="82"/>
      <c r="LJB44" s="82"/>
      <c r="LJC44" s="82"/>
      <c r="LJD44" s="82"/>
      <c r="LJE44" s="82"/>
      <c r="LJF44" s="82"/>
      <c r="LJG44" s="82"/>
      <c r="LJH44" s="82"/>
      <c r="LJI44" s="82"/>
      <c r="LJJ44" s="82"/>
      <c r="LJK44" s="82"/>
      <c r="LJL44" s="82"/>
      <c r="LJM44" s="82"/>
      <c r="LJN44" s="82"/>
      <c r="LJO44" s="82"/>
      <c r="LJP44" s="82"/>
      <c r="LJQ44" s="82"/>
      <c r="LJR44" s="82"/>
      <c r="LJS44" s="82"/>
      <c r="LJT44" s="82"/>
      <c r="LJU44" s="82"/>
      <c r="LJV44" s="82"/>
      <c r="LJW44" s="82"/>
      <c r="LJX44" s="82"/>
      <c r="LJY44" s="82"/>
      <c r="LJZ44" s="82"/>
      <c r="LKA44" s="82"/>
      <c r="LKB44" s="82"/>
      <c r="LKC44" s="82"/>
      <c r="LKD44" s="82"/>
      <c r="LKE44" s="82"/>
      <c r="LKF44" s="82"/>
      <c r="LKG44" s="82"/>
      <c r="LKH44" s="82"/>
      <c r="LKI44" s="82"/>
      <c r="LKJ44" s="82"/>
      <c r="LKK44" s="82"/>
      <c r="LKL44" s="82"/>
      <c r="LKM44" s="82"/>
      <c r="LKN44" s="82"/>
      <c r="LKO44" s="82"/>
      <c r="LKP44" s="82"/>
      <c r="LKQ44" s="82"/>
      <c r="LKR44" s="82"/>
      <c r="LKS44" s="82"/>
      <c r="LKT44" s="82"/>
      <c r="LKU44" s="82"/>
      <c r="LKV44" s="82"/>
      <c r="LKW44" s="82"/>
      <c r="LKX44" s="82"/>
      <c r="LKY44" s="82"/>
      <c r="LKZ44" s="82"/>
      <c r="LLA44" s="82"/>
      <c r="LLB44" s="82"/>
      <c r="LLC44" s="82"/>
      <c r="LLD44" s="82"/>
      <c r="LLE44" s="82"/>
      <c r="LLF44" s="82"/>
      <c r="LLG44" s="82"/>
      <c r="LLH44" s="82"/>
      <c r="LLI44" s="82"/>
      <c r="LLJ44" s="82"/>
      <c r="LLK44" s="82"/>
      <c r="LLL44" s="82"/>
      <c r="LLM44" s="82"/>
      <c r="LLN44" s="82"/>
      <c r="LLO44" s="82"/>
      <c r="LLP44" s="82"/>
      <c r="LLQ44" s="82"/>
      <c r="LLR44" s="82"/>
      <c r="LLS44" s="82"/>
      <c r="LLT44" s="82"/>
      <c r="LLU44" s="82"/>
      <c r="LLV44" s="82"/>
      <c r="LLW44" s="82"/>
      <c r="LLX44" s="82"/>
      <c r="LLY44" s="82"/>
      <c r="LLZ44" s="82"/>
      <c r="LMA44" s="82"/>
      <c r="LMB44" s="82"/>
      <c r="LMC44" s="82"/>
      <c r="LMD44" s="82"/>
      <c r="LME44" s="82"/>
      <c r="LMF44" s="82"/>
      <c r="LMG44" s="82"/>
      <c r="LMH44" s="82"/>
      <c r="LMI44" s="82"/>
      <c r="LMJ44" s="82"/>
      <c r="LMK44" s="82"/>
      <c r="LML44" s="82"/>
      <c r="LMM44" s="82"/>
      <c r="LMN44" s="82"/>
      <c r="LMO44" s="82"/>
      <c r="LMP44" s="82"/>
      <c r="LMQ44" s="82"/>
      <c r="LMR44" s="82"/>
      <c r="LMS44" s="82"/>
      <c r="LMT44" s="82"/>
      <c r="LMU44" s="82"/>
      <c r="LMV44" s="82"/>
      <c r="LMW44" s="82"/>
      <c r="LMX44" s="82"/>
      <c r="LMY44" s="82"/>
      <c r="LMZ44" s="82"/>
      <c r="LNA44" s="82"/>
      <c r="LNB44" s="82"/>
      <c r="LNC44" s="82"/>
      <c r="LND44" s="82"/>
      <c r="LNE44" s="82"/>
      <c r="LNF44" s="82"/>
      <c r="LNG44" s="82"/>
      <c r="LNH44" s="82"/>
      <c r="LNI44" s="82"/>
      <c r="LNJ44" s="82"/>
      <c r="LNK44" s="82"/>
      <c r="LNL44" s="82"/>
      <c r="LNM44" s="82"/>
      <c r="LNN44" s="82"/>
      <c r="LNO44" s="82"/>
      <c r="LNP44" s="82"/>
      <c r="LNQ44" s="82"/>
      <c r="LNR44" s="82"/>
      <c r="LNS44" s="82"/>
      <c r="LNT44" s="82"/>
      <c r="LNU44" s="82"/>
      <c r="LNV44" s="82"/>
      <c r="LNW44" s="82"/>
      <c r="LNX44" s="82"/>
      <c r="LNY44" s="82"/>
      <c r="LNZ44" s="82"/>
      <c r="LOA44" s="82"/>
      <c r="LOB44" s="82"/>
      <c r="LOC44" s="82"/>
      <c r="LOD44" s="82"/>
      <c r="LOE44" s="82"/>
      <c r="LOF44" s="82"/>
      <c r="LOG44" s="82"/>
      <c r="LOH44" s="82"/>
      <c r="LOI44" s="82"/>
      <c r="LOJ44" s="82"/>
      <c r="LOK44" s="82"/>
      <c r="LOL44" s="82"/>
      <c r="LOM44" s="82"/>
      <c r="LON44" s="82"/>
      <c r="LOO44" s="82"/>
      <c r="LOP44" s="82"/>
      <c r="LOQ44" s="82"/>
      <c r="LOR44" s="82"/>
      <c r="LOS44" s="82"/>
      <c r="LOT44" s="82"/>
      <c r="LOU44" s="82"/>
      <c r="LOV44" s="82"/>
      <c r="LOW44" s="82"/>
      <c r="LOX44" s="82"/>
      <c r="LOY44" s="82"/>
      <c r="LOZ44" s="82"/>
      <c r="LPA44" s="82"/>
      <c r="LPB44" s="82"/>
      <c r="LPC44" s="82"/>
      <c r="LPD44" s="82"/>
      <c r="LPE44" s="82"/>
      <c r="LPF44" s="82"/>
      <c r="LPG44" s="82"/>
      <c r="LPH44" s="82"/>
      <c r="LPI44" s="82"/>
      <c r="LPJ44" s="82"/>
      <c r="LPK44" s="82"/>
      <c r="LPL44" s="82"/>
      <c r="LPM44" s="82"/>
      <c r="LPN44" s="82"/>
      <c r="LPO44" s="82"/>
      <c r="LPP44" s="82"/>
      <c r="LPQ44" s="82"/>
      <c r="LPR44" s="82"/>
      <c r="LPS44" s="82"/>
      <c r="LPT44" s="82"/>
      <c r="LPU44" s="82"/>
      <c r="LPV44" s="82"/>
      <c r="LPW44" s="82"/>
      <c r="LPX44" s="82"/>
      <c r="LPY44" s="82"/>
      <c r="LPZ44" s="82"/>
      <c r="LQA44" s="82"/>
      <c r="LQB44" s="82"/>
      <c r="LQC44" s="82"/>
      <c r="LQD44" s="82"/>
      <c r="LQE44" s="82"/>
      <c r="LQF44" s="82"/>
      <c r="LQG44" s="82"/>
      <c r="LQH44" s="82"/>
      <c r="LQI44" s="82"/>
      <c r="LQJ44" s="82"/>
      <c r="LQK44" s="82"/>
      <c r="LQL44" s="82"/>
      <c r="LQM44" s="82"/>
      <c r="LQN44" s="82"/>
      <c r="LQO44" s="82"/>
      <c r="LQP44" s="82"/>
      <c r="LQQ44" s="82"/>
      <c r="LQR44" s="82"/>
      <c r="LQS44" s="82"/>
      <c r="LQT44" s="82"/>
      <c r="LQU44" s="82"/>
      <c r="LQV44" s="82"/>
      <c r="LQW44" s="82"/>
      <c r="LQX44" s="82"/>
      <c r="LQY44" s="82"/>
      <c r="LQZ44" s="82"/>
      <c r="LRA44" s="82"/>
      <c r="LRB44" s="82"/>
      <c r="LRC44" s="82"/>
      <c r="LRD44" s="82"/>
      <c r="LRE44" s="82"/>
      <c r="LRF44" s="82"/>
      <c r="LRG44" s="82"/>
      <c r="LRH44" s="82"/>
      <c r="LRI44" s="82"/>
      <c r="LRJ44" s="82"/>
      <c r="LRK44" s="82"/>
      <c r="LRL44" s="82"/>
      <c r="LRM44" s="82"/>
      <c r="LRN44" s="82"/>
      <c r="LRO44" s="82"/>
      <c r="LRP44" s="82"/>
      <c r="LRQ44" s="82"/>
      <c r="LRR44" s="82"/>
      <c r="LRS44" s="82"/>
      <c r="LRT44" s="82"/>
      <c r="LRU44" s="82"/>
      <c r="LRV44" s="82"/>
      <c r="LRW44" s="82"/>
      <c r="LRX44" s="82"/>
      <c r="LRY44" s="82"/>
      <c r="LRZ44" s="82"/>
      <c r="LSA44" s="82"/>
      <c r="LSB44" s="82"/>
      <c r="LSC44" s="82"/>
      <c r="LSD44" s="82"/>
      <c r="LSE44" s="82"/>
      <c r="LSF44" s="82"/>
      <c r="LSG44" s="82"/>
      <c r="LSH44" s="82"/>
      <c r="LSI44" s="82"/>
      <c r="LSJ44" s="82"/>
      <c r="LSK44" s="82"/>
      <c r="LSL44" s="82"/>
      <c r="LSM44" s="82"/>
      <c r="LSN44" s="82"/>
      <c r="LSO44" s="82"/>
      <c r="LSP44" s="82"/>
      <c r="LSQ44" s="82"/>
      <c r="LSR44" s="82"/>
      <c r="LSS44" s="82"/>
      <c r="LST44" s="82"/>
      <c r="LSU44" s="82"/>
      <c r="LSV44" s="82"/>
      <c r="LSW44" s="82"/>
      <c r="LSX44" s="82"/>
      <c r="LSY44" s="82"/>
      <c r="LSZ44" s="82"/>
      <c r="LTA44" s="82"/>
      <c r="LTB44" s="82"/>
      <c r="LTC44" s="82"/>
      <c r="LTD44" s="82"/>
      <c r="LTE44" s="82"/>
      <c r="LTF44" s="82"/>
      <c r="LTG44" s="82"/>
      <c r="LTH44" s="82"/>
      <c r="LTI44" s="82"/>
      <c r="LTJ44" s="82"/>
      <c r="LTK44" s="82"/>
      <c r="LTL44" s="82"/>
      <c r="LTM44" s="82"/>
      <c r="LTN44" s="82"/>
      <c r="LTO44" s="82"/>
      <c r="LTP44" s="82"/>
      <c r="LTQ44" s="82"/>
      <c r="LTR44" s="82"/>
      <c r="LTS44" s="82"/>
      <c r="LTT44" s="82"/>
      <c r="LTU44" s="82"/>
      <c r="LTV44" s="82"/>
      <c r="LTW44" s="82"/>
      <c r="LTX44" s="82"/>
      <c r="LTY44" s="82"/>
      <c r="LTZ44" s="82"/>
      <c r="LUA44" s="82"/>
      <c r="LUB44" s="82"/>
      <c r="LUC44" s="82"/>
      <c r="LUD44" s="82"/>
      <c r="LUE44" s="82"/>
      <c r="LUF44" s="82"/>
      <c r="LUG44" s="82"/>
      <c r="LUH44" s="82"/>
      <c r="LUI44" s="82"/>
      <c r="LUJ44" s="82"/>
      <c r="LUK44" s="82"/>
      <c r="LUL44" s="82"/>
      <c r="LUM44" s="82"/>
      <c r="LUN44" s="82"/>
      <c r="LUO44" s="82"/>
      <c r="LUP44" s="82"/>
      <c r="LUQ44" s="82"/>
      <c r="LUR44" s="82"/>
      <c r="LUS44" s="82"/>
      <c r="LUT44" s="82"/>
      <c r="LUU44" s="82"/>
      <c r="LUV44" s="82"/>
      <c r="LUW44" s="82"/>
      <c r="LUX44" s="82"/>
      <c r="LUY44" s="82"/>
      <c r="LUZ44" s="82"/>
      <c r="LVA44" s="82"/>
      <c r="LVB44" s="82"/>
      <c r="LVC44" s="82"/>
      <c r="LVD44" s="82"/>
      <c r="LVE44" s="82"/>
      <c r="LVF44" s="82"/>
      <c r="LVG44" s="82"/>
      <c r="LVH44" s="82"/>
      <c r="LVI44" s="82"/>
      <c r="LVJ44" s="82"/>
      <c r="LVK44" s="82"/>
      <c r="LVL44" s="82"/>
      <c r="LVM44" s="82"/>
      <c r="LVN44" s="82"/>
      <c r="LVO44" s="82"/>
      <c r="LVP44" s="82"/>
      <c r="LVQ44" s="82"/>
      <c r="LVR44" s="82"/>
      <c r="LVS44" s="82"/>
      <c r="LVT44" s="82"/>
      <c r="LVU44" s="82"/>
      <c r="LVV44" s="82"/>
      <c r="LVW44" s="82"/>
      <c r="LVX44" s="82"/>
      <c r="LVY44" s="82"/>
      <c r="LVZ44" s="82"/>
      <c r="LWA44" s="82"/>
      <c r="LWB44" s="82"/>
      <c r="LWC44" s="82"/>
      <c r="LWD44" s="82"/>
      <c r="LWE44" s="82"/>
      <c r="LWF44" s="82"/>
      <c r="LWG44" s="82"/>
      <c r="LWH44" s="82"/>
      <c r="LWI44" s="82"/>
      <c r="LWJ44" s="82"/>
      <c r="LWK44" s="82"/>
      <c r="LWL44" s="82"/>
      <c r="LWM44" s="82"/>
      <c r="LWN44" s="82"/>
      <c r="LWO44" s="82"/>
      <c r="LWP44" s="82"/>
      <c r="LWQ44" s="82"/>
      <c r="LWR44" s="82"/>
      <c r="LWS44" s="82"/>
      <c r="LWT44" s="82"/>
      <c r="LWU44" s="82"/>
      <c r="LWV44" s="82"/>
      <c r="LWW44" s="82"/>
      <c r="LWX44" s="82"/>
      <c r="LWY44" s="82"/>
      <c r="LWZ44" s="82"/>
      <c r="LXA44" s="82"/>
      <c r="LXB44" s="82"/>
      <c r="LXC44" s="82"/>
      <c r="LXD44" s="82"/>
      <c r="LXE44" s="82"/>
      <c r="LXF44" s="82"/>
      <c r="LXG44" s="82"/>
      <c r="LXH44" s="82"/>
      <c r="LXI44" s="82"/>
      <c r="LXJ44" s="82"/>
      <c r="LXK44" s="82"/>
      <c r="LXL44" s="82"/>
      <c r="LXM44" s="82"/>
      <c r="LXN44" s="82"/>
      <c r="LXO44" s="82"/>
      <c r="LXP44" s="82"/>
      <c r="LXQ44" s="82"/>
      <c r="LXR44" s="82"/>
      <c r="LXS44" s="82"/>
      <c r="LXT44" s="82"/>
      <c r="LXU44" s="82"/>
      <c r="LXV44" s="82"/>
      <c r="LXW44" s="82"/>
      <c r="LXX44" s="82"/>
      <c r="LXY44" s="82"/>
      <c r="LXZ44" s="82"/>
      <c r="LYA44" s="82"/>
      <c r="LYB44" s="82"/>
      <c r="LYC44" s="82"/>
      <c r="LYD44" s="82"/>
      <c r="LYE44" s="82"/>
      <c r="LYF44" s="82"/>
      <c r="LYG44" s="82"/>
      <c r="LYH44" s="82"/>
      <c r="LYI44" s="82"/>
      <c r="LYJ44" s="82"/>
      <c r="LYK44" s="82"/>
      <c r="LYL44" s="82"/>
      <c r="LYM44" s="82"/>
      <c r="LYN44" s="82"/>
      <c r="LYO44" s="82"/>
      <c r="LYP44" s="82"/>
      <c r="LYQ44" s="82"/>
      <c r="LYR44" s="82"/>
      <c r="LYS44" s="82"/>
      <c r="LYT44" s="82"/>
      <c r="LYU44" s="82"/>
      <c r="LYV44" s="82"/>
      <c r="LYW44" s="82"/>
      <c r="LYX44" s="82"/>
      <c r="LYY44" s="82"/>
      <c r="LYZ44" s="82"/>
      <c r="LZA44" s="82"/>
      <c r="LZB44" s="82"/>
      <c r="LZC44" s="82"/>
      <c r="LZD44" s="82"/>
      <c r="LZE44" s="82"/>
      <c r="LZF44" s="82"/>
      <c r="LZG44" s="82"/>
      <c r="LZH44" s="82"/>
      <c r="LZI44" s="82"/>
      <c r="LZJ44" s="82"/>
      <c r="LZK44" s="82"/>
      <c r="LZL44" s="82"/>
      <c r="LZM44" s="82"/>
      <c r="LZN44" s="82"/>
      <c r="LZO44" s="82"/>
      <c r="LZP44" s="82"/>
      <c r="LZQ44" s="82"/>
      <c r="LZR44" s="82"/>
      <c r="LZS44" s="82"/>
      <c r="LZT44" s="82"/>
      <c r="LZU44" s="82"/>
      <c r="LZV44" s="82"/>
      <c r="LZW44" s="82"/>
      <c r="LZX44" s="82"/>
      <c r="LZY44" s="82"/>
      <c r="LZZ44" s="82"/>
      <c r="MAA44" s="82"/>
      <c r="MAB44" s="82"/>
      <c r="MAC44" s="82"/>
      <c r="MAD44" s="82"/>
      <c r="MAE44" s="82"/>
      <c r="MAF44" s="82"/>
      <c r="MAG44" s="82"/>
      <c r="MAH44" s="82"/>
      <c r="MAI44" s="82"/>
      <c r="MAJ44" s="82"/>
      <c r="MAK44" s="82"/>
      <c r="MAL44" s="82"/>
      <c r="MAM44" s="82"/>
      <c r="MAN44" s="82"/>
      <c r="MAO44" s="82"/>
      <c r="MAP44" s="82"/>
      <c r="MAQ44" s="82"/>
      <c r="MAR44" s="82"/>
      <c r="MAS44" s="82"/>
      <c r="MAT44" s="82"/>
      <c r="MAU44" s="82"/>
      <c r="MAV44" s="82"/>
      <c r="MAW44" s="82"/>
      <c r="MAX44" s="82"/>
      <c r="MAY44" s="82"/>
      <c r="MAZ44" s="82"/>
      <c r="MBA44" s="82"/>
      <c r="MBB44" s="82"/>
      <c r="MBC44" s="82"/>
      <c r="MBD44" s="82"/>
      <c r="MBE44" s="82"/>
      <c r="MBF44" s="82"/>
      <c r="MBG44" s="82"/>
      <c r="MBH44" s="82"/>
      <c r="MBI44" s="82"/>
      <c r="MBJ44" s="82"/>
      <c r="MBK44" s="82"/>
      <c r="MBL44" s="82"/>
      <c r="MBM44" s="82"/>
      <c r="MBN44" s="82"/>
      <c r="MBO44" s="82"/>
      <c r="MBP44" s="82"/>
      <c r="MBQ44" s="82"/>
      <c r="MBR44" s="82"/>
      <c r="MBS44" s="82"/>
      <c r="MBT44" s="82"/>
      <c r="MBU44" s="82"/>
      <c r="MBV44" s="82"/>
      <c r="MBW44" s="82"/>
      <c r="MBX44" s="82"/>
      <c r="MBY44" s="82"/>
      <c r="MBZ44" s="82"/>
      <c r="MCA44" s="82"/>
      <c r="MCB44" s="82"/>
      <c r="MCC44" s="82"/>
      <c r="MCD44" s="82"/>
      <c r="MCE44" s="82"/>
      <c r="MCF44" s="82"/>
      <c r="MCG44" s="82"/>
      <c r="MCH44" s="82"/>
      <c r="MCI44" s="82"/>
      <c r="MCJ44" s="82"/>
      <c r="MCK44" s="82"/>
      <c r="MCL44" s="82"/>
      <c r="MCM44" s="82"/>
      <c r="MCN44" s="82"/>
      <c r="MCO44" s="82"/>
      <c r="MCP44" s="82"/>
      <c r="MCQ44" s="82"/>
      <c r="MCR44" s="82"/>
      <c r="MCS44" s="82"/>
      <c r="MCT44" s="82"/>
      <c r="MCU44" s="82"/>
      <c r="MCV44" s="82"/>
      <c r="MCW44" s="82"/>
      <c r="MCX44" s="82"/>
      <c r="MCY44" s="82"/>
      <c r="MCZ44" s="82"/>
      <c r="MDA44" s="82"/>
      <c r="MDB44" s="82"/>
      <c r="MDC44" s="82"/>
      <c r="MDD44" s="82"/>
      <c r="MDE44" s="82"/>
      <c r="MDF44" s="82"/>
      <c r="MDG44" s="82"/>
      <c r="MDH44" s="82"/>
      <c r="MDI44" s="82"/>
      <c r="MDJ44" s="82"/>
      <c r="MDK44" s="82"/>
      <c r="MDL44" s="82"/>
      <c r="MDM44" s="82"/>
      <c r="MDN44" s="82"/>
      <c r="MDO44" s="82"/>
      <c r="MDP44" s="82"/>
      <c r="MDQ44" s="82"/>
      <c r="MDR44" s="82"/>
      <c r="MDS44" s="82"/>
      <c r="MDT44" s="82"/>
      <c r="MDU44" s="82"/>
      <c r="MDV44" s="82"/>
      <c r="MDW44" s="82"/>
      <c r="MDX44" s="82"/>
      <c r="MDY44" s="82"/>
      <c r="MDZ44" s="82"/>
      <c r="MEA44" s="82"/>
      <c r="MEB44" s="82"/>
      <c r="MEC44" s="82"/>
      <c r="MED44" s="82"/>
      <c r="MEE44" s="82"/>
      <c r="MEF44" s="82"/>
      <c r="MEG44" s="82"/>
      <c r="MEH44" s="82"/>
      <c r="MEI44" s="82"/>
      <c r="MEJ44" s="82"/>
      <c r="MEK44" s="82"/>
      <c r="MEL44" s="82"/>
      <c r="MEM44" s="82"/>
      <c r="MEN44" s="82"/>
      <c r="MEO44" s="82"/>
      <c r="MEP44" s="82"/>
      <c r="MEQ44" s="82"/>
      <c r="MER44" s="82"/>
      <c r="MES44" s="82"/>
      <c r="MET44" s="82"/>
      <c r="MEU44" s="82"/>
      <c r="MEV44" s="82"/>
      <c r="MEW44" s="82"/>
      <c r="MEX44" s="82"/>
      <c r="MEY44" s="82"/>
      <c r="MEZ44" s="82"/>
      <c r="MFA44" s="82"/>
      <c r="MFB44" s="82"/>
      <c r="MFC44" s="82"/>
      <c r="MFD44" s="82"/>
      <c r="MFE44" s="82"/>
      <c r="MFF44" s="82"/>
      <c r="MFG44" s="82"/>
      <c r="MFH44" s="82"/>
      <c r="MFI44" s="82"/>
      <c r="MFJ44" s="82"/>
      <c r="MFK44" s="82"/>
      <c r="MFL44" s="82"/>
      <c r="MFM44" s="82"/>
      <c r="MFN44" s="82"/>
      <c r="MFO44" s="82"/>
      <c r="MFP44" s="82"/>
      <c r="MFQ44" s="82"/>
      <c r="MFR44" s="82"/>
      <c r="MFS44" s="82"/>
      <c r="MFT44" s="82"/>
      <c r="MFU44" s="82"/>
      <c r="MFV44" s="82"/>
      <c r="MFW44" s="82"/>
      <c r="MFX44" s="82"/>
      <c r="MFY44" s="82"/>
      <c r="MFZ44" s="82"/>
      <c r="MGA44" s="82"/>
      <c r="MGB44" s="82"/>
      <c r="MGC44" s="82"/>
      <c r="MGD44" s="82"/>
      <c r="MGE44" s="82"/>
      <c r="MGF44" s="82"/>
      <c r="MGG44" s="82"/>
      <c r="MGH44" s="82"/>
      <c r="MGI44" s="82"/>
      <c r="MGJ44" s="82"/>
      <c r="MGK44" s="82"/>
      <c r="MGL44" s="82"/>
      <c r="MGM44" s="82"/>
      <c r="MGN44" s="82"/>
      <c r="MGO44" s="82"/>
      <c r="MGP44" s="82"/>
      <c r="MGQ44" s="82"/>
      <c r="MGR44" s="82"/>
      <c r="MGS44" s="82"/>
      <c r="MGT44" s="82"/>
      <c r="MGU44" s="82"/>
      <c r="MGV44" s="82"/>
      <c r="MGW44" s="82"/>
      <c r="MGX44" s="82"/>
      <c r="MGY44" s="82"/>
      <c r="MGZ44" s="82"/>
      <c r="MHA44" s="82"/>
      <c r="MHB44" s="82"/>
      <c r="MHC44" s="82"/>
      <c r="MHD44" s="82"/>
      <c r="MHE44" s="82"/>
      <c r="MHF44" s="82"/>
      <c r="MHG44" s="82"/>
      <c r="MHH44" s="82"/>
      <c r="MHI44" s="82"/>
      <c r="MHJ44" s="82"/>
      <c r="MHK44" s="82"/>
      <c r="MHL44" s="82"/>
      <c r="MHM44" s="82"/>
      <c r="MHN44" s="82"/>
      <c r="MHO44" s="82"/>
      <c r="MHP44" s="82"/>
      <c r="MHQ44" s="82"/>
      <c r="MHR44" s="82"/>
      <c r="MHS44" s="82"/>
      <c r="MHT44" s="82"/>
      <c r="MHU44" s="82"/>
      <c r="MHV44" s="82"/>
      <c r="MHW44" s="82"/>
      <c r="MHX44" s="82"/>
      <c r="MHY44" s="82"/>
      <c r="MHZ44" s="82"/>
      <c r="MIA44" s="82"/>
      <c r="MIB44" s="82"/>
      <c r="MIC44" s="82"/>
      <c r="MID44" s="82"/>
      <c r="MIE44" s="82"/>
      <c r="MIF44" s="82"/>
      <c r="MIG44" s="82"/>
      <c r="MIH44" s="82"/>
      <c r="MII44" s="82"/>
      <c r="MIJ44" s="82"/>
      <c r="MIK44" s="82"/>
      <c r="MIL44" s="82"/>
      <c r="MIM44" s="82"/>
      <c r="MIN44" s="82"/>
      <c r="MIO44" s="82"/>
      <c r="MIP44" s="82"/>
      <c r="MIQ44" s="82"/>
      <c r="MIR44" s="82"/>
      <c r="MIS44" s="82"/>
      <c r="MIT44" s="82"/>
      <c r="MIU44" s="82"/>
      <c r="MIV44" s="82"/>
      <c r="MIW44" s="82"/>
      <c r="MIX44" s="82"/>
      <c r="MIY44" s="82"/>
      <c r="MIZ44" s="82"/>
      <c r="MJA44" s="82"/>
      <c r="MJB44" s="82"/>
      <c r="MJC44" s="82"/>
      <c r="MJD44" s="82"/>
      <c r="MJE44" s="82"/>
      <c r="MJF44" s="82"/>
      <c r="MJG44" s="82"/>
      <c r="MJH44" s="82"/>
      <c r="MJI44" s="82"/>
      <c r="MJJ44" s="82"/>
      <c r="MJK44" s="82"/>
      <c r="MJL44" s="82"/>
      <c r="MJM44" s="82"/>
      <c r="MJN44" s="82"/>
      <c r="MJO44" s="82"/>
      <c r="MJP44" s="82"/>
      <c r="MJQ44" s="82"/>
      <c r="MJR44" s="82"/>
      <c r="MJS44" s="82"/>
      <c r="MJT44" s="82"/>
      <c r="MJU44" s="82"/>
      <c r="MJV44" s="82"/>
      <c r="MJW44" s="82"/>
      <c r="MJX44" s="82"/>
      <c r="MJY44" s="82"/>
      <c r="MJZ44" s="82"/>
      <c r="MKA44" s="82"/>
      <c r="MKB44" s="82"/>
      <c r="MKC44" s="82"/>
      <c r="MKD44" s="82"/>
      <c r="MKE44" s="82"/>
      <c r="MKF44" s="82"/>
      <c r="MKG44" s="82"/>
      <c r="MKH44" s="82"/>
      <c r="MKI44" s="82"/>
      <c r="MKJ44" s="82"/>
      <c r="MKK44" s="82"/>
      <c r="MKL44" s="82"/>
      <c r="MKM44" s="82"/>
      <c r="MKN44" s="82"/>
      <c r="MKO44" s="82"/>
      <c r="MKP44" s="82"/>
      <c r="MKQ44" s="82"/>
      <c r="MKR44" s="82"/>
      <c r="MKS44" s="82"/>
      <c r="MKT44" s="82"/>
      <c r="MKU44" s="82"/>
      <c r="MKV44" s="82"/>
      <c r="MKW44" s="82"/>
      <c r="MKX44" s="82"/>
      <c r="MKY44" s="82"/>
      <c r="MKZ44" s="82"/>
      <c r="MLA44" s="82"/>
      <c r="MLB44" s="82"/>
      <c r="MLC44" s="82"/>
      <c r="MLD44" s="82"/>
      <c r="MLE44" s="82"/>
      <c r="MLF44" s="82"/>
      <c r="MLG44" s="82"/>
      <c r="MLH44" s="82"/>
      <c r="MLI44" s="82"/>
      <c r="MLJ44" s="82"/>
      <c r="MLK44" s="82"/>
      <c r="MLL44" s="82"/>
      <c r="MLM44" s="82"/>
      <c r="MLN44" s="82"/>
      <c r="MLO44" s="82"/>
      <c r="MLP44" s="82"/>
      <c r="MLQ44" s="82"/>
      <c r="MLR44" s="82"/>
      <c r="MLS44" s="82"/>
      <c r="MLT44" s="82"/>
      <c r="MLU44" s="82"/>
      <c r="MLV44" s="82"/>
      <c r="MLW44" s="82"/>
      <c r="MLX44" s="82"/>
      <c r="MLY44" s="82"/>
      <c r="MLZ44" s="82"/>
      <c r="MMA44" s="82"/>
      <c r="MMB44" s="82"/>
      <c r="MMC44" s="82"/>
      <c r="MMD44" s="82"/>
      <c r="MME44" s="82"/>
      <c r="MMF44" s="82"/>
      <c r="MMG44" s="82"/>
      <c r="MMH44" s="82"/>
      <c r="MMI44" s="82"/>
      <c r="MMJ44" s="82"/>
      <c r="MMK44" s="82"/>
      <c r="MML44" s="82"/>
      <c r="MMM44" s="82"/>
      <c r="MMN44" s="82"/>
      <c r="MMO44" s="82"/>
      <c r="MMP44" s="82"/>
      <c r="MMQ44" s="82"/>
      <c r="MMR44" s="82"/>
      <c r="MMS44" s="82"/>
      <c r="MMT44" s="82"/>
      <c r="MMU44" s="82"/>
      <c r="MMV44" s="82"/>
      <c r="MMW44" s="82"/>
      <c r="MMX44" s="82"/>
      <c r="MMY44" s="82"/>
      <c r="MMZ44" s="82"/>
      <c r="MNA44" s="82"/>
      <c r="MNB44" s="82"/>
      <c r="MNC44" s="82"/>
      <c r="MND44" s="82"/>
      <c r="MNE44" s="82"/>
      <c r="MNF44" s="82"/>
      <c r="MNG44" s="82"/>
      <c r="MNH44" s="82"/>
      <c r="MNI44" s="82"/>
      <c r="MNJ44" s="82"/>
      <c r="MNK44" s="82"/>
      <c r="MNL44" s="82"/>
      <c r="MNM44" s="82"/>
      <c r="MNN44" s="82"/>
      <c r="MNO44" s="82"/>
      <c r="MNP44" s="82"/>
      <c r="MNQ44" s="82"/>
      <c r="MNR44" s="82"/>
      <c r="MNS44" s="82"/>
      <c r="MNT44" s="82"/>
      <c r="MNU44" s="82"/>
      <c r="MNV44" s="82"/>
      <c r="MNW44" s="82"/>
      <c r="MNX44" s="82"/>
      <c r="MNY44" s="82"/>
      <c r="MNZ44" s="82"/>
      <c r="MOA44" s="82"/>
      <c r="MOB44" s="82"/>
      <c r="MOC44" s="82"/>
      <c r="MOD44" s="82"/>
      <c r="MOE44" s="82"/>
      <c r="MOF44" s="82"/>
      <c r="MOG44" s="82"/>
      <c r="MOH44" s="82"/>
      <c r="MOI44" s="82"/>
      <c r="MOJ44" s="82"/>
      <c r="MOK44" s="82"/>
      <c r="MOL44" s="82"/>
      <c r="MOM44" s="82"/>
      <c r="MON44" s="82"/>
      <c r="MOO44" s="82"/>
      <c r="MOP44" s="82"/>
      <c r="MOQ44" s="82"/>
      <c r="MOR44" s="82"/>
      <c r="MOS44" s="82"/>
      <c r="MOT44" s="82"/>
      <c r="MOU44" s="82"/>
      <c r="MOV44" s="82"/>
      <c r="MOW44" s="82"/>
      <c r="MOX44" s="82"/>
      <c r="MOY44" s="82"/>
      <c r="MOZ44" s="82"/>
      <c r="MPA44" s="82"/>
      <c r="MPB44" s="82"/>
      <c r="MPC44" s="82"/>
      <c r="MPD44" s="82"/>
      <c r="MPE44" s="82"/>
      <c r="MPF44" s="82"/>
      <c r="MPG44" s="82"/>
      <c r="MPH44" s="82"/>
      <c r="MPI44" s="82"/>
      <c r="MPJ44" s="82"/>
      <c r="MPK44" s="82"/>
      <c r="MPL44" s="82"/>
      <c r="MPM44" s="82"/>
      <c r="MPN44" s="82"/>
      <c r="MPO44" s="82"/>
      <c r="MPP44" s="82"/>
      <c r="MPQ44" s="82"/>
      <c r="MPR44" s="82"/>
      <c r="MPS44" s="82"/>
      <c r="MPT44" s="82"/>
      <c r="MPU44" s="82"/>
      <c r="MPV44" s="82"/>
      <c r="MPW44" s="82"/>
      <c r="MPX44" s="82"/>
      <c r="MPY44" s="82"/>
      <c r="MPZ44" s="82"/>
      <c r="MQA44" s="82"/>
      <c r="MQB44" s="82"/>
      <c r="MQC44" s="82"/>
      <c r="MQD44" s="82"/>
      <c r="MQE44" s="82"/>
      <c r="MQF44" s="82"/>
      <c r="MQG44" s="82"/>
      <c r="MQH44" s="82"/>
      <c r="MQI44" s="82"/>
      <c r="MQJ44" s="82"/>
      <c r="MQK44" s="82"/>
      <c r="MQL44" s="82"/>
      <c r="MQM44" s="82"/>
      <c r="MQN44" s="82"/>
      <c r="MQO44" s="82"/>
      <c r="MQP44" s="82"/>
      <c r="MQQ44" s="82"/>
      <c r="MQR44" s="82"/>
      <c r="MQS44" s="82"/>
      <c r="MQT44" s="82"/>
      <c r="MQU44" s="82"/>
      <c r="MQV44" s="82"/>
      <c r="MQW44" s="82"/>
      <c r="MQX44" s="82"/>
      <c r="MQY44" s="82"/>
      <c r="MQZ44" s="82"/>
      <c r="MRA44" s="82"/>
      <c r="MRB44" s="82"/>
      <c r="MRC44" s="82"/>
      <c r="MRD44" s="82"/>
      <c r="MRE44" s="82"/>
      <c r="MRF44" s="82"/>
      <c r="MRG44" s="82"/>
      <c r="MRH44" s="82"/>
      <c r="MRI44" s="82"/>
      <c r="MRJ44" s="82"/>
      <c r="MRK44" s="82"/>
      <c r="MRL44" s="82"/>
      <c r="MRM44" s="82"/>
      <c r="MRN44" s="82"/>
      <c r="MRO44" s="82"/>
      <c r="MRP44" s="82"/>
      <c r="MRQ44" s="82"/>
      <c r="MRR44" s="82"/>
      <c r="MRS44" s="82"/>
      <c r="MRT44" s="82"/>
      <c r="MRU44" s="82"/>
      <c r="MRV44" s="82"/>
      <c r="MRW44" s="82"/>
      <c r="MRX44" s="82"/>
      <c r="MRY44" s="82"/>
      <c r="MRZ44" s="82"/>
      <c r="MSA44" s="82"/>
      <c r="MSB44" s="82"/>
      <c r="MSC44" s="82"/>
      <c r="MSD44" s="82"/>
      <c r="MSE44" s="82"/>
      <c r="MSF44" s="82"/>
      <c r="MSG44" s="82"/>
      <c r="MSH44" s="82"/>
      <c r="MSI44" s="82"/>
      <c r="MSJ44" s="82"/>
      <c r="MSK44" s="82"/>
      <c r="MSL44" s="82"/>
      <c r="MSM44" s="82"/>
      <c r="MSN44" s="82"/>
      <c r="MSO44" s="82"/>
      <c r="MSP44" s="82"/>
      <c r="MSQ44" s="82"/>
      <c r="MSR44" s="82"/>
      <c r="MSS44" s="82"/>
      <c r="MST44" s="82"/>
      <c r="MSU44" s="82"/>
      <c r="MSV44" s="82"/>
      <c r="MSW44" s="82"/>
      <c r="MSX44" s="82"/>
      <c r="MSY44" s="82"/>
      <c r="MSZ44" s="82"/>
      <c r="MTA44" s="82"/>
      <c r="MTB44" s="82"/>
      <c r="MTC44" s="82"/>
      <c r="MTD44" s="82"/>
      <c r="MTE44" s="82"/>
      <c r="MTF44" s="82"/>
      <c r="MTG44" s="82"/>
      <c r="MTH44" s="82"/>
      <c r="MTI44" s="82"/>
      <c r="MTJ44" s="82"/>
      <c r="MTK44" s="82"/>
      <c r="MTL44" s="82"/>
      <c r="MTM44" s="82"/>
      <c r="MTN44" s="82"/>
      <c r="MTO44" s="82"/>
      <c r="MTP44" s="82"/>
      <c r="MTQ44" s="82"/>
      <c r="MTR44" s="82"/>
      <c r="MTS44" s="82"/>
      <c r="MTT44" s="82"/>
      <c r="MTU44" s="82"/>
      <c r="MTV44" s="82"/>
      <c r="MTW44" s="82"/>
      <c r="MTX44" s="82"/>
      <c r="MTY44" s="82"/>
      <c r="MTZ44" s="82"/>
      <c r="MUA44" s="82"/>
      <c r="MUB44" s="82"/>
      <c r="MUC44" s="82"/>
      <c r="MUD44" s="82"/>
      <c r="MUE44" s="82"/>
      <c r="MUF44" s="82"/>
      <c r="MUG44" s="82"/>
      <c r="MUH44" s="82"/>
      <c r="MUI44" s="82"/>
      <c r="MUJ44" s="82"/>
      <c r="MUK44" s="82"/>
      <c r="MUL44" s="82"/>
      <c r="MUM44" s="82"/>
      <c r="MUN44" s="82"/>
      <c r="MUO44" s="82"/>
      <c r="MUP44" s="82"/>
      <c r="MUQ44" s="82"/>
      <c r="MUR44" s="82"/>
      <c r="MUS44" s="82"/>
      <c r="MUT44" s="82"/>
      <c r="MUU44" s="82"/>
      <c r="MUV44" s="82"/>
      <c r="MUW44" s="82"/>
      <c r="MUX44" s="82"/>
      <c r="MUY44" s="82"/>
      <c r="MUZ44" s="82"/>
      <c r="MVA44" s="82"/>
      <c r="MVB44" s="82"/>
      <c r="MVC44" s="82"/>
      <c r="MVD44" s="82"/>
      <c r="MVE44" s="82"/>
      <c r="MVF44" s="82"/>
      <c r="MVG44" s="82"/>
      <c r="MVH44" s="82"/>
      <c r="MVI44" s="82"/>
      <c r="MVJ44" s="82"/>
      <c r="MVK44" s="82"/>
      <c r="MVL44" s="82"/>
      <c r="MVM44" s="82"/>
      <c r="MVN44" s="82"/>
      <c r="MVO44" s="82"/>
      <c r="MVP44" s="82"/>
      <c r="MVQ44" s="82"/>
      <c r="MVR44" s="82"/>
      <c r="MVS44" s="82"/>
      <c r="MVT44" s="82"/>
      <c r="MVU44" s="82"/>
      <c r="MVV44" s="82"/>
      <c r="MVW44" s="82"/>
      <c r="MVX44" s="82"/>
      <c r="MVY44" s="82"/>
      <c r="MVZ44" s="82"/>
      <c r="MWA44" s="82"/>
      <c r="MWB44" s="82"/>
      <c r="MWC44" s="82"/>
      <c r="MWD44" s="82"/>
      <c r="MWE44" s="82"/>
      <c r="MWF44" s="82"/>
      <c r="MWG44" s="82"/>
      <c r="MWH44" s="82"/>
      <c r="MWI44" s="82"/>
      <c r="MWJ44" s="82"/>
      <c r="MWK44" s="82"/>
      <c r="MWL44" s="82"/>
      <c r="MWM44" s="82"/>
      <c r="MWN44" s="82"/>
      <c r="MWO44" s="82"/>
      <c r="MWP44" s="82"/>
      <c r="MWQ44" s="82"/>
      <c r="MWR44" s="82"/>
      <c r="MWS44" s="82"/>
      <c r="MWT44" s="82"/>
      <c r="MWU44" s="82"/>
      <c r="MWV44" s="82"/>
      <c r="MWW44" s="82"/>
      <c r="MWX44" s="82"/>
      <c r="MWY44" s="82"/>
      <c r="MWZ44" s="82"/>
      <c r="MXA44" s="82"/>
      <c r="MXB44" s="82"/>
      <c r="MXC44" s="82"/>
      <c r="MXD44" s="82"/>
      <c r="MXE44" s="82"/>
      <c r="MXF44" s="82"/>
      <c r="MXG44" s="82"/>
      <c r="MXH44" s="82"/>
      <c r="MXI44" s="82"/>
      <c r="MXJ44" s="82"/>
      <c r="MXK44" s="82"/>
      <c r="MXL44" s="82"/>
      <c r="MXM44" s="82"/>
      <c r="MXN44" s="82"/>
      <c r="MXO44" s="82"/>
      <c r="MXP44" s="82"/>
      <c r="MXQ44" s="82"/>
      <c r="MXR44" s="82"/>
      <c r="MXS44" s="82"/>
      <c r="MXT44" s="82"/>
      <c r="MXU44" s="82"/>
      <c r="MXV44" s="82"/>
      <c r="MXW44" s="82"/>
      <c r="MXX44" s="82"/>
      <c r="MXY44" s="82"/>
      <c r="MXZ44" s="82"/>
      <c r="MYA44" s="82"/>
      <c r="MYB44" s="82"/>
      <c r="MYC44" s="82"/>
      <c r="MYD44" s="82"/>
      <c r="MYE44" s="82"/>
      <c r="MYF44" s="82"/>
      <c r="MYG44" s="82"/>
      <c r="MYH44" s="82"/>
      <c r="MYI44" s="82"/>
      <c r="MYJ44" s="82"/>
      <c r="MYK44" s="82"/>
      <c r="MYL44" s="82"/>
      <c r="MYM44" s="82"/>
      <c r="MYN44" s="82"/>
      <c r="MYO44" s="82"/>
      <c r="MYP44" s="82"/>
      <c r="MYQ44" s="82"/>
      <c r="MYR44" s="82"/>
      <c r="MYS44" s="82"/>
      <c r="MYT44" s="82"/>
      <c r="MYU44" s="82"/>
      <c r="MYV44" s="82"/>
      <c r="MYW44" s="82"/>
      <c r="MYX44" s="82"/>
      <c r="MYY44" s="82"/>
      <c r="MYZ44" s="82"/>
      <c r="MZA44" s="82"/>
      <c r="MZB44" s="82"/>
      <c r="MZC44" s="82"/>
      <c r="MZD44" s="82"/>
      <c r="MZE44" s="82"/>
      <c r="MZF44" s="82"/>
      <c r="MZG44" s="82"/>
      <c r="MZH44" s="82"/>
      <c r="MZI44" s="82"/>
      <c r="MZJ44" s="82"/>
      <c r="MZK44" s="82"/>
      <c r="MZL44" s="82"/>
      <c r="MZM44" s="82"/>
      <c r="MZN44" s="82"/>
      <c r="MZO44" s="82"/>
      <c r="MZP44" s="82"/>
      <c r="MZQ44" s="82"/>
      <c r="MZR44" s="82"/>
      <c r="MZS44" s="82"/>
      <c r="MZT44" s="82"/>
      <c r="MZU44" s="82"/>
      <c r="MZV44" s="82"/>
      <c r="MZW44" s="82"/>
      <c r="MZX44" s="82"/>
      <c r="MZY44" s="82"/>
      <c r="MZZ44" s="82"/>
      <c r="NAA44" s="82"/>
      <c r="NAB44" s="82"/>
      <c r="NAC44" s="82"/>
      <c r="NAD44" s="82"/>
      <c r="NAE44" s="82"/>
      <c r="NAF44" s="82"/>
      <c r="NAG44" s="82"/>
      <c r="NAH44" s="82"/>
      <c r="NAI44" s="82"/>
      <c r="NAJ44" s="82"/>
      <c r="NAK44" s="82"/>
      <c r="NAL44" s="82"/>
      <c r="NAM44" s="82"/>
      <c r="NAN44" s="82"/>
      <c r="NAO44" s="82"/>
      <c r="NAP44" s="82"/>
      <c r="NAQ44" s="82"/>
      <c r="NAR44" s="82"/>
      <c r="NAS44" s="82"/>
      <c r="NAT44" s="82"/>
      <c r="NAU44" s="82"/>
      <c r="NAV44" s="82"/>
      <c r="NAW44" s="82"/>
      <c r="NAX44" s="82"/>
      <c r="NAY44" s="82"/>
      <c r="NAZ44" s="82"/>
      <c r="NBA44" s="82"/>
      <c r="NBB44" s="82"/>
      <c r="NBC44" s="82"/>
      <c r="NBD44" s="82"/>
      <c r="NBE44" s="82"/>
      <c r="NBF44" s="82"/>
      <c r="NBG44" s="82"/>
      <c r="NBH44" s="82"/>
      <c r="NBI44" s="82"/>
      <c r="NBJ44" s="82"/>
      <c r="NBK44" s="82"/>
      <c r="NBL44" s="82"/>
      <c r="NBM44" s="82"/>
      <c r="NBN44" s="82"/>
      <c r="NBO44" s="82"/>
      <c r="NBP44" s="82"/>
      <c r="NBQ44" s="82"/>
      <c r="NBR44" s="82"/>
      <c r="NBS44" s="82"/>
      <c r="NBT44" s="82"/>
      <c r="NBU44" s="82"/>
      <c r="NBV44" s="82"/>
      <c r="NBW44" s="82"/>
      <c r="NBX44" s="82"/>
      <c r="NBY44" s="82"/>
      <c r="NBZ44" s="82"/>
      <c r="NCA44" s="82"/>
      <c r="NCB44" s="82"/>
      <c r="NCC44" s="82"/>
      <c r="NCD44" s="82"/>
      <c r="NCE44" s="82"/>
      <c r="NCF44" s="82"/>
      <c r="NCG44" s="82"/>
      <c r="NCH44" s="82"/>
      <c r="NCI44" s="82"/>
      <c r="NCJ44" s="82"/>
      <c r="NCK44" s="82"/>
      <c r="NCL44" s="82"/>
      <c r="NCM44" s="82"/>
      <c r="NCN44" s="82"/>
      <c r="NCO44" s="82"/>
      <c r="NCP44" s="82"/>
      <c r="NCQ44" s="82"/>
      <c r="NCR44" s="82"/>
      <c r="NCS44" s="82"/>
      <c r="NCT44" s="82"/>
      <c r="NCU44" s="82"/>
      <c r="NCV44" s="82"/>
      <c r="NCW44" s="82"/>
      <c r="NCX44" s="82"/>
      <c r="NCY44" s="82"/>
      <c r="NCZ44" s="82"/>
      <c r="NDA44" s="82"/>
      <c r="NDB44" s="82"/>
      <c r="NDC44" s="82"/>
      <c r="NDD44" s="82"/>
      <c r="NDE44" s="82"/>
      <c r="NDF44" s="82"/>
      <c r="NDG44" s="82"/>
      <c r="NDH44" s="82"/>
      <c r="NDI44" s="82"/>
      <c r="NDJ44" s="82"/>
      <c r="NDK44" s="82"/>
      <c r="NDL44" s="82"/>
      <c r="NDM44" s="82"/>
      <c r="NDN44" s="82"/>
      <c r="NDO44" s="82"/>
      <c r="NDP44" s="82"/>
      <c r="NDQ44" s="82"/>
      <c r="NDR44" s="82"/>
      <c r="NDS44" s="82"/>
      <c r="NDT44" s="82"/>
      <c r="NDU44" s="82"/>
      <c r="NDV44" s="82"/>
      <c r="NDW44" s="82"/>
      <c r="NDX44" s="82"/>
      <c r="NDY44" s="82"/>
      <c r="NDZ44" s="82"/>
      <c r="NEA44" s="82"/>
      <c r="NEB44" s="82"/>
      <c r="NEC44" s="82"/>
      <c r="NED44" s="82"/>
      <c r="NEE44" s="82"/>
      <c r="NEF44" s="82"/>
      <c r="NEG44" s="82"/>
      <c r="NEH44" s="82"/>
      <c r="NEI44" s="82"/>
      <c r="NEJ44" s="82"/>
      <c r="NEK44" s="82"/>
      <c r="NEL44" s="82"/>
      <c r="NEM44" s="82"/>
      <c r="NEN44" s="82"/>
      <c r="NEO44" s="82"/>
      <c r="NEP44" s="82"/>
      <c r="NEQ44" s="82"/>
      <c r="NER44" s="82"/>
      <c r="NES44" s="82"/>
      <c r="NET44" s="82"/>
      <c r="NEU44" s="82"/>
      <c r="NEV44" s="82"/>
      <c r="NEW44" s="82"/>
      <c r="NEX44" s="82"/>
      <c r="NEY44" s="82"/>
      <c r="NEZ44" s="82"/>
      <c r="NFA44" s="82"/>
      <c r="NFB44" s="82"/>
      <c r="NFC44" s="82"/>
      <c r="NFD44" s="82"/>
      <c r="NFE44" s="82"/>
      <c r="NFF44" s="82"/>
      <c r="NFG44" s="82"/>
      <c r="NFH44" s="82"/>
      <c r="NFI44" s="82"/>
      <c r="NFJ44" s="82"/>
      <c r="NFK44" s="82"/>
      <c r="NFL44" s="82"/>
      <c r="NFM44" s="82"/>
      <c r="NFN44" s="82"/>
      <c r="NFO44" s="82"/>
      <c r="NFP44" s="82"/>
      <c r="NFQ44" s="82"/>
      <c r="NFR44" s="82"/>
      <c r="NFS44" s="82"/>
      <c r="NFT44" s="82"/>
      <c r="NFU44" s="82"/>
      <c r="NFV44" s="82"/>
      <c r="NFW44" s="82"/>
      <c r="NFX44" s="82"/>
      <c r="NFY44" s="82"/>
      <c r="NFZ44" s="82"/>
      <c r="NGA44" s="82"/>
      <c r="NGB44" s="82"/>
      <c r="NGC44" s="82"/>
      <c r="NGD44" s="82"/>
      <c r="NGE44" s="82"/>
      <c r="NGF44" s="82"/>
      <c r="NGG44" s="82"/>
      <c r="NGH44" s="82"/>
      <c r="NGI44" s="82"/>
      <c r="NGJ44" s="82"/>
      <c r="NGK44" s="82"/>
      <c r="NGL44" s="82"/>
      <c r="NGM44" s="82"/>
      <c r="NGN44" s="82"/>
      <c r="NGO44" s="82"/>
      <c r="NGP44" s="82"/>
      <c r="NGQ44" s="82"/>
      <c r="NGR44" s="82"/>
      <c r="NGS44" s="82"/>
      <c r="NGT44" s="82"/>
      <c r="NGU44" s="82"/>
      <c r="NGV44" s="82"/>
      <c r="NGW44" s="82"/>
      <c r="NGX44" s="82"/>
      <c r="NGY44" s="82"/>
      <c r="NGZ44" s="82"/>
      <c r="NHA44" s="82"/>
      <c r="NHB44" s="82"/>
      <c r="NHC44" s="82"/>
      <c r="NHD44" s="82"/>
      <c r="NHE44" s="82"/>
      <c r="NHF44" s="82"/>
      <c r="NHG44" s="82"/>
      <c r="NHH44" s="82"/>
      <c r="NHI44" s="82"/>
      <c r="NHJ44" s="82"/>
      <c r="NHK44" s="82"/>
      <c r="NHL44" s="82"/>
      <c r="NHM44" s="82"/>
      <c r="NHN44" s="82"/>
      <c r="NHO44" s="82"/>
      <c r="NHP44" s="82"/>
      <c r="NHQ44" s="82"/>
      <c r="NHR44" s="82"/>
      <c r="NHS44" s="82"/>
      <c r="NHT44" s="82"/>
      <c r="NHU44" s="82"/>
      <c r="NHV44" s="82"/>
      <c r="NHW44" s="82"/>
      <c r="NHX44" s="82"/>
      <c r="NHY44" s="82"/>
      <c r="NHZ44" s="82"/>
      <c r="NIA44" s="82"/>
      <c r="NIB44" s="82"/>
      <c r="NIC44" s="82"/>
      <c r="NID44" s="82"/>
      <c r="NIE44" s="82"/>
      <c r="NIF44" s="82"/>
      <c r="NIG44" s="82"/>
      <c r="NIH44" s="82"/>
      <c r="NII44" s="82"/>
      <c r="NIJ44" s="82"/>
      <c r="NIK44" s="82"/>
      <c r="NIL44" s="82"/>
      <c r="NIM44" s="82"/>
      <c r="NIN44" s="82"/>
      <c r="NIO44" s="82"/>
      <c r="NIP44" s="82"/>
      <c r="NIQ44" s="82"/>
      <c r="NIR44" s="82"/>
      <c r="NIS44" s="82"/>
      <c r="NIT44" s="82"/>
      <c r="NIU44" s="82"/>
      <c r="NIV44" s="82"/>
      <c r="NIW44" s="82"/>
      <c r="NIX44" s="82"/>
      <c r="NIY44" s="82"/>
      <c r="NIZ44" s="82"/>
      <c r="NJA44" s="82"/>
      <c r="NJB44" s="82"/>
      <c r="NJC44" s="82"/>
      <c r="NJD44" s="82"/>
      <c r="NJE44" s="82"/>
      <c r="NJF44" s="82"/>
      <c r="NJG44" s="82"/>
      <c r="NJH44" s="82"/>
      <c r="NJI44" s="82"/>
      <c r="NJJ44" s="82"/>
      <c r="NJK44" s="82"/>
      <c r="NJL44" s="82"/>
      <c r="NJM44" s="82"/>
      <c r="NJN44" s="82"/>
      <c r="NJO44" s="82"/>
      <c r="NJP44" s="82"/>
      <c r="NJQ44" s="82"/>
      <c r="NJR44" s="82"/>
      <c r="NJS44" s="82"/>
      <c r="NJT44" s="82"/>
      <c r="NJU44" s="82"/>
      <c r="NJV44" s="82"/>
      <c r="NJW44" s="82"/>
      <c r="NJX44" s="82"/>
      <c r="NJY44" s="82"/>
      <c r="NJZ44" s="82"/>
      <c r="NKA44" s="82"/>
      <c r="NKB44" s="82"/>
      <c r="NKC44" s="82"/>
      <c r="NKD44" s="82"/>
      <c r="NKE44" s="82"/>
      <c r="NKF44" s="82"/>
      <c r="NKG44" s="82"/>
      <c r="NKH44" s="82"/>
      <c r="NKI44" s="82"/>
      <c r="NKJ44" s="82"/>
      <c r="NKK44" s="82"/>
      <c r="NKL44" s="82"/>
      <c r="NKM44" s="82"/>
      <c r="NKN44" s="82"/>
      <c r="NKO44" s="82"/>
      <c r="NKP44" s="82"/>
      <c r="NKQ44" s="82"/>
      <c r="NKR44" s="82"/>
      <c r="NKS44" s="82"/>
      <c r="NKT44" s="82"/>
      <c r="NKU44" s="82"/>
      <c r="NKV44" s="82"/>
      <c r="NKW44" s="82"/>
      <c r="NKX44" s="82"/>
      <c r="NKY44" s="82"/>
      <c r="NKZ44" s="82"/>
      <c r="NLA44" s="82"/>
      <c r="NLB44" s="82"/>
      <c r="NLC44" s="82"/>
      <c r="NLD44" s="82"/>
      <c r="NLE44" s="82"/>
      <c r="NLF44" s="82"/>
      <c r="NLG44" s="82"/>
      <c r="NLH44" s="82"/>
      <c r="NLI44" s="82"/>
      <c r="NLJ44" s="82"/>
      <c r="NLK44" s="82"/>
      <c r="NLL44" s="82"/>
      <c r="NLM44" s="82"/>
      <c r="NLN44" s="82"/>
      <c r="NLO44" s="82"/>
      <c r="NLP44" s="82"/>
      <c r="NLQ44" s="82"/>
      <c r="NLR44" s="82"/>
      <c r="NLS44" s="82"/>
      <c r="NLT44" s="82"/>
      <c r="NLU44" s="82"/>
      <c r="NLV44" s="82"/>
      <c r="NLW44" s="82"/>
      <c r="NLX44" s="82"/>
      <c r="NLY44" s="82"/>
      <c r="NLZ44" s="82"/>
      <c r="NMA44" s="82"/>
      <c r="NMB44" s="82"/>
      <c r="NMC44" s="82"/>
      <c r="NMD44" s="82"/>
      <c r="NME44" s="82"/>
      <c r="NMF44" s="82"/>
      <c r="NMG44" s="82"/>
      <c r="NMH44" s="82"/>
      <c r="NMI44" s="82"/>
      <c r="NMJ44" s="82"/>
      <c r="NMK44" s="82"/>
      <c r="NML44" s="82"/>
      <c r="NMM44" s="82"/>
      <c r="NMN44" s="82"/>
      <c r="NMO44" s="82"/>
      <c r="NMP44" s="82"/>
      <c r="NMQ44" s="82"/>
      <c r="NMR44" s="82"/>
      <c r="NMS44" s="82"/>
      <c r="NMT44" s="82"/>
      <c r="NMU44" s="82"/>
      <c r="NMV44" s="82"/>
      <c r="NMW44" s="82"/>
      <c r="NMX44" s="82"/>
      <c r="NMY44" s="82"/>
      <c r="NMZ44" s="82"/>
      <c r="NNA44" s="82"/>
      <c r="NNB44" s="82"/>
      <c r="NNC44" s="82"/>
      <c r="NND44" s="82"/>
      <c r="NNE44" s="82"/>
      <c r="NNF44" s="82"/>
      <c r="NNG44" s="82"/>
      <c r="NNH44" s="82"/>
      <c r="NNI44" s="82"/>
      <c r="NNJ44" s="82"/>
      <c r="NNK44" s="82"/>
      <c r="NNL44" s="82"/>
      <c r="NNM44" s="82"/>
      <c r="NNN44" s="82"/>
      <c r="NNO44" s="82"/>
      <c r="NNP44" s="82"/>
      <c r="NNQ44" s="82"/>
      <c r="NNR44" s="82"/>
      <c r="NNS44" s="82"/>
      <c r="NNT44" s="82"/>
      <c r="NNU44" s="82"/>
      <c r="NNV44" s="82"/>
      <c r="NNW44" s="82"/>
      <c r="NNX44" s="82"/>
      <c r="NNY44" s="82"/>
      <c r="NNZ44" s="82"/>
      <c r="NOA44" s="82"/>
      <c r="NOB44" s="82"/>
      <c r="NOC44" s="82"/>
      <c r="NOD44" s="82"/>
      <c r="NOE44" s="82"/>
      <c r="NOF44" s="82"/>
      <c r="NOG44" s="82"/>
      <c r="NOH44" s="82"/>
      <c r="NOI44" s="82"/>
      <c r="NOJ44" s="82"/>
      <c r="NOK44" s="82"/>
      <c r="NOL44" s="82"/>
      <c r="NOM44" s="82"/>
      <c r="NON44" s="82"/>
      <c r="NOO44" s="82"/>
      <c r="NOP44" s="82"/>
      <c r="NOQ44" s="82"/>
      <c r="NOR44" s="82"/>
      <c r="NOS44" s="82"/>
      <c r="NOT44" s="82"/>
      <c r="NOU44" s="82"/>
      <c r="NOV44" s="82"/>
      <c r="NOW44" s="82"/>
      <c r="NOX44" s="82"/>
      <c r="NOY44" s="82"/>
      <c r="NOZ44" s="82"/>
      <c r="NPA44" s="82"/>
      <c r="NPB44" s="82"/>
      <c r="NPC44" s="82"/>
      <c r="NPD44" s="82"/>
      <c r="NPE44" s="82"/>
      <c r="NPF44" s="82"/>
      <c r="NPG44" s="82"/>
      <c r="NPH44" s="82"/>
      <c r="NPI44" s="82"/>
      <c r="NPJ44" s="82"/>
      <c r="NPK44" s="82"/>
      <c r="NPL44" s="82"/>
      <c r="NPM44" s="82"/>
      <c r="NPN44" s="82"/>
      <c r="NPO44" s="82"/>
      <c r="NPP44" s="82"/>
      <c r="NPQ44" s="82"/>
      <c r="NPR44" s="82"/>
      <c r="NPS44" s="82"/>
      <c r="NPT44" s="82"/>
      <c r="NPU44" s="82"/>
      <c r="NPV44" s="82"/>
      <c r="NPW44" s="82"/>
      <c r="NPX44" s="82"/>
      <c r="NPY44" s="82"/>
      <c r="NPZ44" s="82"/>
      <c r="NQA44" s="82"/>
      <c r="NQB44" s="82"/>
      <c r="NQC44" s="82"/>
      <c r="NQD44" s="82"/>
      <c r="NQE44" s="82"/>
      <c r="NQF44" s="82"/>
      <c r="NQG44" s="82"/>
      <c r="NQH44" s="82"/>
      <c r="NQI44" s="82"/>
      <c r="NQJ44" s="82"/>
      <c r="NQK44" s="82"/>
      <c r="NQL44" s="82"/>
      <c r="NQM44" s="82"/>
      <c r="NQN44" s="82"/>
      <c r="NQO44" s="82"/>
      <c r="NQP44" s="82"/>
      <c r="NQQ44" s="82"/>
      <c r="NQR44" s="82"/>
      <c r="NQS44" s="82"/>
      <c r="NQT44" s="82"/>
      <c r="NQU44" s="82"/>
      <c r="NQV44" s="82"/>
      <c r="NQW44" s="82"/>
      <c r="NQX44" s="82"/>
      <c r="NQY44" s="82"/>
      <c r="NQZ44" s="82"/>
      <c r="NRA44" s="82"/>
      <c r="NRB44" s="82"/>
      <c r="NRC44" s="82"/>
      <c r="NRD44" s="82"/>
      <c r="NRE44" s="82"/>
      <c r="NRF44" s="82"/>
      <c r="NRG44" s="82"/>
      <c r="NRH44" s="82"/>
      <c r="NRI44" s="82"/>
      <c r="NRJ44" s="82"/>
      <c r="NRK44" s="82"/>
      <c r="NRL44" s="82"/>
      <c r="NRM44" s="82"/>
      <c r="NRN44" s="82"/>
      <c r="NRO44" s="82"/>
      <c r="NRP44" s="82"/>
      <c r="NRQ44" s="82"/>
      <c r="NRR44" s="82"/>
      <c r="NRS44" s="82"/>
      <c r="NRT44" s="82"/>
      <c r="NRU44" s="82"/>
      <c r="NRV44" s="82"/>
      <c r="NRW44" s="82"/>
      <c r="NRX44" s="82"/>
      <c r="NRY44" s="82"/>
      <c r="NRZ44" s="82"/>
      <c r="NSA44" s="82"/>
      <c r="NSB44" s="82"/>
      <c r="NSC44" s="82"/>
      <c r="NSD44" s="82"/>
      <c r="NSE44" s="82"/>
      <c r="NSF44" s="82"/>
      <c r="NSG44" s="82"/>
      <c r="NSH44" s="82"/>
      <c r="NSI44" s="82"/>
      <c r="NSJ44" s="82"/>
      <c r="NSK44" s="82"/>
      <c r="NSL44" s="82"/>
      <c r="NSM44" s="82"/>
      <c r="NSN44" s="82"/>
      <c r="NSO44" s="82"/>
      <c r="NSP44" s="82"/>
      <c r="NSQ44" s="82"/>
      <c r="NSR44" s="82"/>
      <c r="NSS44" s="82"/>
      <c r="NST44" s="82"/>
      <c r="NSU44" s="82"/>
      <c r="NSV44" s="82"/>
      <c r="NSW44" s="82"/>
      <c r="NSX44" s="82"/>
      <c r="NSY44" s="82"/>
      <c r="NSZ44" s="82"/>
      <c r="NTA44" s="82"/>
      <c r="NTB44" s="82"/>
      <c r="NTC44" s="82"/>
      <c r="NTD44" s="82"/>
      <c r="NTE44" s="82"/>
      <c r="NTF44" s="82"/>
      <c r="NTG44" s="82"/>
      <c r="NTH44" s="82"/>
      <c r="NTI44" s="82"/>
      <c r="NTJ44" s="82"/>
      <c r="NTK44" s="82"/>
      <c r="NTL44" s="82"/>
      <c r="NTM44" s="82"/>
      <c r="NTN44" s="82"/>
      <c r="NTO44" s="82"/>
      <c r="NTP44" s="82"/>
      <c r="NTQ44" s="82"/>
      <c r="NTR44" s="82"/>
      <c r="NTS44" s="82"/>
      <c r="NTT44" s="82"/>
      <c r="NTU44" s="82"/>
      <c r="NTV44" s="82"/>
      <c r="NTW44" s="82"/>
      <c r="NTX44" s="82"/>
      <c r="NTY44" s="82"/>
      <c r="NTZ44" s="82"/>
      <c r="NUA44" s="82"/>
      <c r="NUB44" s="82"/>
      <c r="NUC44" s="82"/>
      <c r="NUD44" s="82"/>
      <c r="NUE44" s="82"/>
      <c r="NUF44" s="82"/>
      <c r="NUG44" s="82"/>
      <c r="NUH44" s="82"/>
      <c r="NUI44" s="82"/>
      <c r="NUJ44" s="82"/>
      <c r="NUK44" s="82"/>
      <c r="NUL44" s="82"/>
      <c r="NUM44" s="82"/>
      <c r="NUN44" s="82"/>
      <c r="NUO44" s="82"/>
      <c r="NUP44" s="82"/>
      <c r="NUQ44" s="82"/>
      <c r="NUR44" s="82"/>
      <c r="NUS44" s="82"/>
      <c r="NUT44" s="82"/>
      <c r="NUU44" s="82"/>
      <c r="NUV44" s="82"/>
      <c r="NUW44" s="82"/>
      <c r="NUX44" s="82"/>
      <c r="NUY44" s="82"/>
      <c r="NUZ44" s="82"/>
      <c r="NVA44" s="82"/>
      <c r="NVB44" s="82"/>
      <c r="NVC44" s="82"/>
      <c r="NVD44" s="82"/>
      <c r="NVE44" s="82"/>
      <c r="NVF44" s="82"/>
      <c r="NVG44" s="82"/>
      <c r="NVH44" s="82"/>
      <c r="NVI44" s="82"/>
      <c r="NVJ44" s="82"/>
      <c r="NVK44" s="82"/>
      <c r="NVL44" s="82"/>
      <c r="NVM44" s="82"/>
      <c r="NVN44" s="82"/>
      <c r="NVO44" s="82"/>
      <c r="NVP44" s="82"/>
      <c r="NVQ44" s="82"/>
      <c r="NVR44" s="82"/>
      <c r="NVS44" s="82"/>
      <c r="NVT44" s="82"/>
      <c r="NVU44" s="82"/>
      <c r="NVV44" s="82"/>
      <c r="NVW44" s="82"/>
      <c r="NVX44" s="82"/>
      <c r="NVY44" s="82"/>
      <c r="NVZ44" s="82"/>
      <c r="NWA44" s="82"/>
      <c r="NWB44" s="82"/>
      <c r="NWC44" s="82"/>
      <c r="NWD44" s="82"/>
      <c r="NWE44" s="82"/>
      <c r="NWF44" s="82"/>
      <c r="NWG44" s="82"/>
      <c r="NWH44" s="82"/>
      <c r="NWI44" s="82"/>
      <c r="NWJ44" s="82"/>
      <c r="NWK44" s="82"/>
      <c r="NWL44" s="82"/>
      <c r="NWM44" s="82"/>
      <c r="NWN44" s="82"/>
      <c r="NWO44" s="82"/>
      <c r="NWP44" s="82"/>
      <c r="NWQ44" s="82"/>
      <c r="NWR44" s="82"/>
      <c r="NWS44" s="82"/>
      <c r="NWT44" s="82"/>
      <c r="NWU44" s="82"/>
      <c r="NWV44" s="82"/>
      <c r="NWW44" s="82"/>
      <c r="NWX44" s="82"/>
      <c r="NWY44" s="82"/>
      <c r="NWZ44" s="82"/>
      <c r="NXA44" s="82"/>
      <c r="NXB44" s="82"/>
      <c r="NXC44" s="82"/>
      <c r="NXD44" s="82"/>
      <c r="NXE44" s="82"/>
      <c r="NXF44" s="82"/>
      <c r="NXG44" s="82"/>
      <c r="NXH44" s="82"/>
      <c r="NXI44" s="82"/>
      <c r="NXJ44" s="82"/>
      <c r="NXK44" s="82"/>
      <c r="NXL44" s="82"/>
      <c r="NXM44" s="82"/>
      <c r="NXN44" s="82"/>
      <c r="NXO44" s="82"/>
      <c r="NXP44" s="82"/>
      <c r="NXQ44" s="82"/>
      <c r="NXR44" s="82"/>
      <c r="NXS44" s="82"/>
      <c r="NXT44" s="82"/>
      <c r="NXU44" s="82"/>
      <c r="NXV44" s="82"/>
      <c r="NXW44" s="82"/>
      <c r="NXX44" s="82"/>
      <c r="NXY44" s="82"/>
      <c r="NXZ44" s="82"/>
      <c r="NYA44" s="82"/>
      <c r="NYB44" s="82"/>
      <c r="NYC44" s="82"/>
      <c r="NYD44" s="82"/>
      <c r="NYE44" s="82"/>
      <c r="NYF44" s="82"/>
      <c r="NYG44" s="82"/>
      <c r="NYH44" s="82"/>
      <c r="NYI44" s="82"/>
      <c r="NYJ44" s="82"/>
      <c r="NYK44" s="82"/>
      <c r="NYL44" s="82"/>
      <c r="NYM44" s="82"/>
      <c r="NYN44" s="82"/>
      <c r="NYO44" s="82"/>
      <c r="NYP44" s="82"/>
      <c r="NYQ44" s="82"/>
      <c r="NYR44" s="82"/>
      <c r="NYS44" s="82"/>
      <c r="NYT44" s="82"/>
      <c r="NYU44" s="82"/>
      <c r="NYV44" s="82"/>
      <c r="NYW44" s="82"/>
      <c r="NYX44" s="82"/>
      <c r="NYY44" s="82"/>
      <c r="NYZ44" s="82"/>
      <c r="NZA44" s="82"/>
      <c r="NZB44" s="82"/>
      <c r="NZC44" s="82"/>
      <c r="NZD44" s="82"/>
      <c r="NZE44" s="82"/>
      <c r="NZF44" s="82"/>
      <c r="NZG44" s="82"/>
      <c r="NZH44" s="82"/>
      <c r="NZI44" s="82"/>
      <c r="NZJ44" s="82"/>
      <c r="NZK44" s="82"/>
      <c r="NZL44" s="82"/>
      <c r="NZM44" s="82"/>
      <c r="NZN44" s="82"/>
      <c r="NZO44" s="82"/>
      <c r="NZP44" s="82"/>
      <c r="NZQ44" s="82"/>
      <c r="NZR44" s="82"/>
      <c r="NZS44" s="82"/>
      <c r="NZT44" s="82"/>
      <c r="NZU44" s="82"/>
      <c r="NZV44" s="82"/>
      <c r="NZW44" s="82"/>
      <c r="NZX44" s="82"/>
      <c r="NZY44" s="82"/>
      <c r="NZZ44" s="82"/>
      <c r="OAA44" s="82"/>
      <c r="OAB44" s="82"/>
      <c r="OAC44" s="82"/>
      <c r="OAD44" s="82"/>
      <c r="OAE44" s="82"/>
      <c r="OAF44" s="82"/>
      <c r="OAG44" s="82"/>
      <c r="OAH44" s="82"/>
      <c r="OAI44" s="82"/>
      <c r="OAJ44" s="82"/>
      <c r="OAK44" s="82"/>
      <c r="OAL44" s="82"/>
      <c r="OAM44" s="82"/>
      <c r="OAN44" s="82"/>
      <c r="OAO44" s="82"/>
      <c r="OAP44" s="82"/>
      <c r="OAQ44" s="82"/>
      <c r="OAR44" s="82"/>
      <c r="OAS44" s="82"/>
      <c r="OAT44" s="82"/>
      <c r="OAU44" s="82"/>
      <c r="OAV44" s="82"/>
      <c r="OAW44" s="82"/>
      <c r="OAX44" s="82"/>
      <c r="OAY44" s="82"/>
      <c r="OAZ44" s="82"/>
      <c r="OBA44" s="82"/>
      <c r="OBB44" s="82"/>
      <c r="OBC44" s="82"/>
      <c r="OBD44" s="82"/>
      <c r="OBE44" s="82"/>
      <c r="OBF44" s="82"/>
      <c r="OBG44" s="82"/>
      <c r="OBH44" s="82"/>
      <c r="OBI44" s="82"/>
      <c r="OBJ44" s="82"/>
      <c r="OBK44" s="82"/>
      <c r="OBL44" s="82"/>
      <c r="OBM44" s="82"/>
      <c r="OBN44" s="82"/>
      <c r="OBO44" s="82"/>
      <c r="OBP44" s="82"/>
      <c r="OBQ44" s="82"/>
      <c r="OBR44" s="82"/>
      <c r="OBS44" s="82"/>
      <c r="OBT44" s="82"/>
      <c r="OBU44" s="82"/>
      <c r="OBV44" s="82"/>
      <c r="OBW44" s="82"/>
      <c r="OBX44" s="82"/>
      <c r="OBY44" s="82"/>
      <c r="OBZ44" s="82"/>
      <c r="OCA44" s="82"/>
      <c r="OCB44" s="82"/>
      <c r="OCC44" s="82"/>
      <c r="OCD44" s="82"/>
      <c r="OCE44" s="82"/>
      <c r="OCF44" s="82"/>
      <c r="OCG44" s="82"/>
      <c r="OCH44" s="82"/>
      <c r="OCI44" s="82"/>
      <c r="OCJ44" s="82"/>
      <c r="OCK44" s="82"/>
      <c r="OCL44" s="82"/>
      <c r="OCM44" s="82"/>
      <c r="OCN44" s="82"/>
      <c r="OCO44" s="82"/>
      <c r="OCP44" s="82"/>
      <c r="OCQ44" s="82"/>
      <c r="OCR44" s="82"/>
      <c r="OCS44" s="82"/>
      <c r="OCT44" s="82"/>
      <c r="OCU44" s="82"/>
      <c r="OCV44" s="82"/>
      <c r="OCW44" s="82"/>
      <c r="OCX44" s="82"/>
      <c r="OCY44" s="82"/>
      <c r="OCZ44" s="82"/>
      <c r="ODA44" s="82"/>
      <c r="ODB44" s="82"/>
      <c r="ODC44" s="82"/>
      <c r="ODD44" s="82"/>
      <c r="ODE44" s="82"/>
      <c r="ODF44" s="82"/>
      <c r="ODG44" s="82"/>
      <c r="ODH44" s="82"/>
      <c r="ODI44" s="82"/>
      <c r="ODJ44" s="82"/>
      <c r="ODK44" s="82"/>
      <c r="ODL44" s="82"/>
      <c r="ODM44" s="82"/>
      <c r="ODN44" s="82"/>
      <c r="ODO44" s="82"/>
      <c r="ODP44" s="82"/>
      <c r="ODQ44" s="82"/>
      <c r="ODR44" s="82"/>
      <c r="ODS44" s="82"/>
      <c r="ODT44" s="82"/>
      <c r="ODU44" s="82"/>
      <c r="ODV44" s="82"/>
      <c r="ODW44" s="82"/>
      <c r="ODX44" s="82"/>
      <c r="ODY44" s="82"/>
      <c r="ODZ44" s="82"/>
      <c r="OEA44" s="82"/>
      <c r="OEB44" s="82"/>
      <c r="OEC44" s="82"/>
      <c r="OED44" s="82"/>
      <c r="OEE44" s="82"/>
      <c r="OEF44" s="82"/>
      <c r="OEG44" s="82"/>
      <c r="OEH44" s="82"/>
      <c r="OEI44" s="82"/>
      <c r="OEJ44" s="82"/>
      <c r="OEK44" s="82"/>
      <c r="OEL44" s="82"/>
      <c r="OEM44" s="82"/>
      <c r="OEN44" s="82"/>
      <c r="OEO44" s="82"/>
      <c r="OEP44" s="82"/>
      <c r="OEQ44" s="82"/>
      <c r="OER44" s="82"/>
      <c r="OES44" s="82"/>
      <c r="OET44" s="82"/>
      <c r="OEU44" s="82"/>
      <c r="OEV44" s="82"/>
      <c r="OEW44" s="82"/>
      <c r="OEX44" s="82"/>
      <c r="OEY44" s="82"/>
      <c r="OEZ44" s="82"/>
      <c r="OFA44" s="82"/>
      <c r="OFB44" s="82"/>
      <c r="OFC44" s="82"/>
      <c r="OFD44" s="82"/>
      <c r="OFE44" s="82"/>
      <c r="OFF44" s="82"/>
      <c r="OFG44" s="82"/>
      <c r="OFH44" s="82"/>
      <c r="OFI44" s="82"/>
      <c r="OFJ44" s="82"/>
      <c r="OFK44" s="82"/>
      <c r="OFL44" s="82"/>
      <c r="OFM44" s="82"/>
      <c r="OFN44" s="82"/>
      <c r="OFO44" s="82"/>
      <c r="OFP44" s="82"/>
      <c r="OFQ44" s="82"/>
      <c r="OFR44" s="82"/>
      <c r="OFS44" s="82"/>
      <c r="OFT44" s="82"/>
      <c r="OFU44" s="82"/>
      <c r="OFV44" s="82"/>
      <c r="OFW44" s="82"/>
      <c r="OFX44" s="82"/>
      <c r="OFY44" s="82"/>
      <c r="OFZ44" s="82"/>
      <c r="OGA44" s="82"/>
      <c r="OGB44" s="82"/>
      <c r="OGC44" s="82"/>
      <c r="OGD44" s="82"/>
      <c r="OGE44" s="82"/>
      <c r="OGF44" s="82"/>
      <c r="OGG44" s="82"/>
      <c r="OGH44" s="82"/>
      <c r="OGI44" s="82"/>
      <c r="OGJ44" s="82"/>
      <c r="OGK44" s="82"/>
      <c r="OGL44" s="82"/>
      <c r="OGM44" s="82"/>
      <c r="OGN44" s="82"/>
      <c r="OGO44" s="82"/>
      <c r="OGP44" s="82"/>
      <c r="OGQ44" s="82"/>
      <c r="OGR44" s="82"/>
      <c r="OGS44" s="82"/>
      <c r="OGT44" s="82"/>
      <c r="OGU44" s="82"/>
      <c r="OGV44" s="82"/>
      <c r="OGW44" s="82"/>
      <c r="OGX44" s="82"/>
      <c r="OGY44" s="82"/>
      <c r="OGZ44" s="82"/>
      <c r="OHA44" s="82"/>
      <c r="OHB44" s="82"/>
      <c r="OHC44" s="82"/>
      <c r="OHD44" s="82"/>
      <c r="OHE44" s="82"/>
      <c r="OHF44" s="82"/>
      <c r="OHG44" s="82"/>
      <c r="OHH44" s="82"/>
      <c r="OHI44" s="82"/>
      <c r="OHJ44" s="82"/>
      <c r="OHK44" s="82"/>
      <c r="OHL44" s="82"/>
      <c r="OHM44" s="82"/>
      <c r="OHN44" s="82"/>
      <c r="OHO44" s="82"/>
      <c r="OHP44" s="82"/>
      <c r="OHQ44" s="82"/>
      <c r="OHR44" s="82"/>
      <c r="OHS44" s="82"/>
      <c r="OHT44" s="82"/>
      <c r="OHU44" s="82"/>
      <c r="OHV44" s="82"/>
      <c r="OHW44" s="82"/>
      <c r="OHX44" s="82"/>
      <c r="OHY44" s="82"/>
      <c r="OHZ44" s="82"/>
      <c r="OIA44" s="82"/>
      <c r="OIB44" s="82"/>
      <c r="OIC44" s="82"/>
      <c r="OID44" s="82"/>
      <c r="OIE44" s="82"/>
      <c r="OIF44" s="82"/>
      <c r="OIG44" s="82"/>
      <c r="OIH44" s="82"/>
      <c r="OII44" s="82"/>
      <c r="OIJ44" s="82"/>
      <c r="OIK44" s="82"/>
      <c r="OIL44" s="82"/>
      <c r="OIM44" s="82"/>
      <c r="OIN44" s="82"/>
      <c r="OIO44" s="82"/>
      <c r="OIP44" s="82"/>
      <c r="OIQ44" s="82"/>
      <c r="OIR44" s="82"/>
      <c r="OIS44" s="82"/>
      <c r="OIT44" s="82"/>
      <c r="OIU44" s="82"/>
      <c r="OIV44" s="82"/>
      <c r="OIW44" s="82"/>
      <c r="OIX44" s="82"/>
      <c r="OIY44" s="82"/>
      <c r="OIZ44" s="82"/>
      <c r="OJA44" s="82"/>
      <c r="OJB44" s="82"/>
      <c r="OJC44" s="82"/>
      <c r="OJD44" s="82"/>
      <c r="OJE44" s="82"/>
      <c r="OJF44" s="82"/>
      <c r="OJG44" s="82"/>
      <c r="OJH44" s="82"/>
      <c r="OJI44" s="82"/>
      <c r="OJJ44" s="82"/>
      <c r="OJK44" s="82"/>
      <c r="OJL44" s="82"/>
      <c r="OJM44" s="82"/>
      <c r="OJN44" s="82"/>
      <c r="OJO44" s="82"/>
      <c r="OJP44" s="82"/>
      <c r="OJQ44" s="82"/>
      <c r="OJR44" s="82"/>
      <c r="OJS44" s="82"/>
      <c r="OJT44" s="82"/>
      <c r="OJU44" s="82"/>
      <c r="OJV44" s="82"/>
      <c r="OJW44" s="82"/>
      <c r="OJX44" s="82"/>
      <c r="OJY44" s="82"/>
      <c r="OJZ44" s="82"/>
      <c r="OKA44" s="82"/>
      <c r="OKB44" s="82"/>
      <c r="OKC44" s="82"/>
      <c r="OKD44" s="82"/>
      <c r="OKE44" s="82"/>
      <c r="OKF44" s="82"/>
      <c r="OKG44" s="82"/>
      <c r="OKH44" s="82"/>
      <c r="OKI44" s="82"/>
      <c r="OKJ44" s="82"/>
      <c r="OKK44" s="82"/>
      <c r="OKL44" s="82"/>
      <c r="OKM44" s="82"/>
      <c r="OKN44" s="82"/>
      <c r="OKO44" s="82"/>
      <c r="OKP44" s="82"/>
      <c r="OKQ44" s="82"/>
      <c r="OKR44" s="82"/>
      <c r="OKS44" s="82"/>
      <c r="OKT44" s="82"/>
      <c r="OKU44" s="82"/>
      <c r="OKV44" s="82"/>
      <c r="OKW44" s="82"/>
      <c r="OKX44" s="82"/>
      <c r="OKY44" s="82"/>
      <c r="OKZ44" s="82"/>
      <c r="OLA44" s="82"/>
      <c r="OLB44" s="82"/>
      <c r="OLC44" s="82"/>
      <c r="OLD44" s="82"/>
      <c r="OLE44" s="82"/>
      <c r="OLF44" s="82"/>
      <c r="OLG44" s="82"/>
      <c r="OLH44" s="82"/>
      <c r="OLI44" s="82"/>
      <c r="OLJ44" s="82"/>
      <c r="OLK44" s="82"/>
      <c r="OLL44" s="82"/>
      <c r="OLM44" s="82"/>
      <c r="OLN44" s="82"/>
      <c r="OLO44" s="82"/>
      <c r="OLP44" s="82"/>
      <c r="OLQ44" s="82"/>
      <c r="OLR44" s="82"/>
      <c r="OLS44" s="82"/>
      <c r="OLT44" s="82"/>
      <c r="OLU44" s="82"/>
      <c r="OLV44" s="82"/>
      <c r="OLW44" s="82"/>
      <c r="OLX44" s="82"/>
      <c r="OLY44" s="82"/>
      <c r="OLZ44" s="82"/>
      <c r="OMA44" s="82"/>
      <c r="OMB44" s="82"/>
      <c r="OMC44" s="82"/>
      <c r="OMD44" s="82"/>
      <c r="OME44" s="82"/>
      <c r="OMF44" s="82"/>
      <c r="OMG44" s="82"/>
      <c r="OMH44" s="82"/>
      <c r="OMI44" s="82"/>
      <c r="OMJ44" s="82"/>
      <c r="OMK44" s="82"/>
      <c r="OML44" s="82"/>
      <c r="OMM44" s="82"/>
      <c r="OMN44" s="82"/>
      <c r="OMO44" s="82"/>
      <c r="OMP44" s="82"/>
      <c r="OMQ44" s="82"/>
      <c r="OMR44" s="82"/>
      <c r="OMS44" s="82"/>
      <c r="OMT44" s="82"/>
      <c r="OMU44" s="82"/>
      <c r="OMV44" s="82"/>
      <c r="OMW44" s="82"/>
      <c r="OMX44" s="82"/>
      <c r="OMY44" s="82"/>
      <c r="OMZ44" s="82"/>
      <c r="ONA44" s="82"/>
      <c r="ONB44" s="82"/>
      <c r="ONC44" s="82"/>
      <c r="OND44" s="82"/>
      <c r="ONE44" s="82"/>
      <c r="ONF44" s="82"/>
      <c r="ONG44" s="82"/>
      <c r="ONH44" s="82"/>
      <c r="ONI44" s="82"/>
      <c r="ONJ44" s="82"/>
      <c r="ONK44" s="82"/>
      <c r="ONL44" s="82"/>
      <c r="ONM44" s="82"/>
      <c r="ONN44" s="82"/>
      <c r="ONO44" s="82"/>
      <c r="ONP44" s="82"/>
      <c r="ONQ44" s="82"/>
      <c r="ONR44" s="82"/>
      <c r="ONS44" s="82"/>
      <c r="ONT44" s="82"/>
      <c r="ONU44" s="82"/>
      <c r="ONV44" s="82"/>
      <c r="ONW44" s="82"/>
      <c r="ONX44" s="82"/>
      <c r="ONY44" s="82"/>
      <c r="ONZ44" s="82"/>
      <c r="OOA44" s="82"/>
      <c r="OOB44" s="82"/>
      <c r="OOC44" s="82"/>
      <c r="OOD44" s="82"/>
      <c r="OOE44" s="82"/>
      <c r="OOF44" s="82"/>
      <c r="OOG44" s="82"/>
      <c r="OOH44" s="82"/>
      <c r="OOI44" s="82"/>
      <c r="OOJ44" s="82"/>
      <c r="OOK44" s="82"/>
      <c r="OOL44" s="82"/>
      <c r="OOM44" s="82"/>
      <c r="OON44" s="82"/>
      <c r="OOO44" s="82"/>
      <c r="OOP44" s="82"/>
      <c r="OOQ44" s="82"/>
      <c r="OOR44" s="82"/>
      <c r="OOS44" s="82"/>
      <c r="OOT44" s="82"/>
      <c r="OOU44" s="82"/>
      <c r="OOV44" s="82"/>
      <c r="OOW44" s="82"/>
      <c r="OOX44" s="82"/>
      <c r="OOY44" s="82"/>
      <c r="OOZ44" s="82"/>
      <c r="OPA44" s="82"/>
      <c r="OPB44" s="82"/>
      <c r="OPC44" s="82"/>
      <c r="OPD44" s="82"/>
      <c r="OPE44" s="82"/>
      <c r="OPF44" s="82"/>
      <c r="OPG44" s="82"/>
      <c r="OPH44" s="82"/>
      <c r="OPI44" s="82"/>
      <c r="OPJ44" s="82"/>
      <c r="OPK44" s="82"/>
      <c r="OPL44" s="82"/>
      <c r="OPM44" s="82"/>
      <c r="OPN44" s="82"/>
      <c r="OPO44" s="82"/>
      <c r="OPP44" s="82"/>
      <c r="OPQ44" s="82"/>
      <c r="OPR44" s="82"/>
      <c r="OPS44" s="82"/>
      <c r="OPT44" s="82"/>
      <c r="OPU44" s="82"/>
      <c r="OPV44" s="82"/>
      <c r="OPW44" s="82"/>
      <c r="OPX44" s="82"/>
      <c r="OPY44" s="82"/>
      <c r="OPZ44" s="82"/>
      <c r="OQA44" s="82"/>
      <c r="OQB44" s="82"/>
      <c r="OQC44" s="82"/>
      <c r="OQD44" s="82"/>
      <c r="OQE44" s="82"/>
      <c r="OQF44" s="82"/>
      <c r="OQG44" s="82"/>
      <c r="OQH44" s="82"/>
      <c r="OQI44" s="82"/>
      <c r="OQJ44" s="82"/>
      <c r="OQK44" s="82"/>
      <c r="OQL44" s="82"/>
      <c r="OQM44" s="82"/>
      <c r="OQN44" s="82"/>
      <c r="OQO44" s="82"/>
      <c r="OQP44" s="82"/>
      <c r="OQQ44" s="82"/>
      <c r="OQR44" s="82"/>
      <c r="OQS44" s="82"/>
      <c r="OQT44" s="82"/>
      <c r="OQU44" s="82"/>
      <c r="OQV44" s="82"/>
      <c r="OQW44" s="82"/>
      <c r="OQX44" s="82"/>
      <c r="OQY44" s="82"/>
      <c r="OQZ44" s="82"/>
      <c r="ORA44" s="82"/>
      <c r="ORB44" s="82"/>
      <c r="ORC44" s="82"/>
      <c r="ORD44" s="82"/>
      <c r="ORE44" s="82"/>
      <c r="ORF44" s="82"/>
      <c r="ORG44" s="82"/>
      <c r="ORH44" s="82"/>
      <c r="ORI44" s="82"/>
      <c r="ORJ44" s="82"/>
      <c r="ORK44" s="82"/>
      <c r="ORL44" s="82"/>
      <c r="ORM44" s="82"/>
      <c r="ORN44" s="82"/>
      <c r="ORO44" s="82"/>
      <c r="ORP44" s="82"/>
      <c r="ORQ44" s="82"/>
      <c r="ORR44" s="82"/>
      <c r="ORS44" s="82"/>
      <c r="ORT44" s="82"/>
      <c r="ORU44" s="82"/>
      <c r="ORV44" s="82"/>
      <c r="ORW44" s="82"/>
      <c r="ORX44" s="82"/>
      <c r="ORY44" s="82"/>
      <c r="ORZ44" s="82"/>
      <c r="OSA44" s="82"/>
      <c r="OSB44" s="82"/>
      <c r="OSC44" s="82"/>
      <c r="OSD44" s="82"/>
      <c r="OSE44" s="82"/>
      <c r="OSF44" s="82"/>
      <c r="OSG44" s="82"/>
      <c r="OSH44" s="82"/>
      <c r="OSI44" s="82"/>
      <c r="OSJ44" s="82"/>
      <c r="OSK44" s="82"/>
      <c r="OSL44" s="82"/>
      <c r="OSM44" s="82"/>
      <c r="OSN44" s="82"/>
      <c r="OSO44" s="82"/>
      <c r="OSP44" s="82"/>
      <c r="OSQ44" s="82"/>
      <c r="OSR44" s="82"/>
      <c r="OSS44" s="82"/>
      <c r="OST44" s="82"/>
      <c r="OSU44" s="82"/>
      <c r="OSV44" s="82"/>
      <c r="OSW44" s="82"/>
      <c r="OSX44" s="82"/>
      <c r="OSY44" s="82"/>
      <c r="OSZ44" s="82"/>
      <c r="OTA44" s="82"/>
      <c r="OTB44" s="82"/>
      <c r="OTC44" s="82"/>
      <c r="OTD44" s="82"/>
      <c r="OTE44" s="82"/>
      <c r="OTF44" s="82"/>
      <c r="OTG44" s="82"/>
      <c r="OTH44" s="82"/>
      <c r="OTI44" s="82"/>
      <c r="OTJ44" s="82"/>
      <c r="OTK44" s="82"/>
      <c r="OTL44" s="82"/>
      <c r="OTM44" s="82"/>
      <c r="OTN44" s="82"/>
      <c r="OTO44" s="82"/>
      <c r="OTP44" s="82"/>
      <c r="OTQ44" s="82"/>
      <c r="OTR44" s="82"/>
      <c r="OTS44" s="82"/>
      <c r="OTT44" s="82"/>
      <c r="OTU44" s="82"/>
      <c r="OTV44" s="82"/>
      <c r="OTW44" s="82"/>
      <c r="OTX44" s="82"/>
      <c r="OTY44" s="82"/>
      <c r="OTZ44" s="82"/>
      <c r="OUA44" s="82"/>
      <c r="OUB44" s="82"/>
      <c r="OUC44" s="82"/>
      <c r="OUD44" s="82"/>
      <c r="OUE44" s="82"/>
      <c r="OUF44" s="82"/>
      <c r="OUG44" s="82"/>
      <c r="OUH44" s="82"/>
      <c r="OUI44" s="82"/>
      <c r="OUJ44" s="82"/>
      <c r="OUK44" s="82"/>
      <c r="OUL44" s="82"/>
      <c r="OUM44" s="82"/>
      <c r="OUN44" s="82"/>
      <c r="OUO44" s="82"/>
      <c r="OUP44" s="82"/>
      <c r="OUQ44" s="82"/>
      <c r="OUR44" s="82"/>
      <c r="OUS44" s="82"/>
      <c r="OUT44" s="82"/>
      <c r="OUU44" s="82"/>
      <c r="OUV44" s="82"/>
      <c r="OUW44" s="82"/>
      <c r="OUX44" s="82"/>
      <c r="OUY44" s="82"/>
      <c r="OUZ44" s="82"/>
      <c r="OVA44" s="82"/>
      <c r="OVB44" s="82"/>
      <c r="OVC44" s="82"/>
      <c r="OVD44" s="82"/>
      <c r="OVE44" s="82"/>
      <c r="OVF44" s="82"/>
      <c r="OVG44" s="82"/>
      <c r="OVH44" s="82"/>
      <c r="OVI44" s="82"/>
      <c r="OVJ44" s="82"/>
      <c r="OVK44" s="82"/>
      <c r="OVL44" s="82"/>
      <c r="OVM44" s="82"/>
      <c r="OVN44" s="82"/>
      <c r="OVO44" s="82"/>
      <c r="OVP44" s="82"/>
      <c r="OVQ44" s="82"/>
      <c r="OVR44" s="82"/>
      <c r="OVS44" s="82"/>
      <c r="OVT44" s="82"/>
      <c r="OVU44" s="82"/>
      <c r="OVV44" s="82"/>
      <c r="OVW44" s="82"/>
      <c r="OVX44" s="82"/>
      <c r="OVY44" s="82"/>
      <c r="OVZ44" s="82"/>
      <c r="OWA44" s="82"/>
      <c r="OWB44" s="82"/>
      <c r="OWC44" s="82"/>
      <c r="OWD44" s="82"/>
      <c r="OWE44" s="82"/>
      <c r="OWF44" s="82"/>
      <c r="OWG44" s="82"/>
      <c r="OWH44" s="82"/>
      <c r="OWI44" s="82"/>
      <c r="OWJ44" s="82"/>
      <c r="OWK44" s="82"/>
      <c r="OWL44" s="82"/>
      <c r="OWM44" s="82"/>
      <c r="OWN44" s="82"/>
      <c r="OWO44" s="82"/>
      <c r="OWP44" s="82"/>
      <c r="OWQ44" s="82"/>
      <c r="OWR44" s="82"/>
      <c r="OWS44" s="82"/>
      <c r="OWT44" s="82"/>
      <c r="OWU44" s="82"/>
      <c r="OWV44" s="82"/>
      <c r="OWW44" s="82"/>
      <c r="OWX44" s="82"/>
      <c r="OWY44" s="82"/>
      <c r="OWZ44" s="82"/>
      <c r="OXA44" s="82"/>
      <c r="OXB44" s="82"/>
      <c r="OXC44" s="82"/>
      <c r="OXD44" s="82"/>
      <c r="OXE44" s="82"/>
      <c r="OXF44" s="82"/>
      <c r="OXG44" s="82"/>
      <c r="OXH44" s="82"/>
      <c r="OXI44" s="82"/>
      <c r="OXJ44" s="82"/>
      <c r="OXK44" s="82"/>
      <c r="OXL44" s="82"/>
      <c r="OXM44" s="82"/>
      <c r="OXN44" s="82"/>
      <c r="OXO44" s="82"/>
      <c r="OXP44" s="82"/>
      <c r="OXQ44" s="82"/>
      <c r="OXR44" s="82"/>
      <c r="OXS44" s="82"/>
      <c r="OXT44" s="82"/>
      <c r="OXU44" s="82"/>
      <c r="OXV44" s="82"/>
      <c r="OXW44" s="82"/>
      <c r="OXX44" s="82"/>
      <c r="OXY44" s="82"/>
      <c r="OXZ44" s="82"/>
      <c r="OYA44" s="82"/>
      <c r="OYB44" s="82"/>
      <c r="OYC44" s="82"/>
      <c r="OYD44" s="82"/>
      <c r="OYE44" s="82"/>
      <c r="OYF44" s="82"/>
      <c r="OYG44" s="82"/>
      <c r="OYH44" s="82"/>
      <c r="OYI44" s="82"/>
      <c r="OYJ44" s="82"/>
      <c r="OYK44" s="82"/>
      <c r="OYL44" s="82"/>
      <c r="OYM44" s="82"/>
      <c r="OYN44" s="82"/>
      <c r="OYO44" s="82"/>
      <c r="OYP44" s="82"/>
      <c r="OYQ44" s="82"/>
      <c r="OYR44" s="82"/>
      <c r="OYS44" s="82"/>
      <c r="OYT44" s="82"/>
      <c r="OYU44" s="82"/>
      <c r="OYV44" s="82"/>
      <c r="OYW44" s="82"/>
      <c r="OYX44" s="82"/>
      <c r="OYY44" s="82"/>
      <c r="OYZ44" s="82"/>
      <c r="OZA44" s="82"/>
      <c r="OZB44" s="82"/>
      <c r="OZC44" s="82"/>
      <c r="OZD44" s="82"/>
      <c r="OZE44" s="82"/>
      <c r="OZF44" s="82"/>
      <c r="OZG44" s="82"/>
      <c r="OZH44" s="82"/>
      <c r="OZI44" s="82"/>
      <c r="OZJ44" s="82"/>
      <c r="OZK44" s="82"/>
      <c r="OZL44" s="82"/>
      <c r="OZM44" s="82"/>
      <c r="OZN44" s="82"/>
      <c r="OZO44" s="82"/>
      <c r="OZP44" s="82"/>
      <c r="OZQ44" s="82"/>
      <c r="OZR44" s="82"/>
      <c r="OZS44" s="82"/>
      <c r="OZT44" s="82"/>
      <c r="OZU44" s="82"/>
      <c r="OZV44" s="82"/>
      <c r="OZW44" s="82"/>
      <c r="OZX44" s="82"/>
      <c r="OZY44" s="82"/>
      <c r="OZZ44" s="82"/>
      <c r="PAA44" s="82"/>
      <c r="PAB44" s="82"/>
      <c r="PAC44" s="82"/>
      <c r="PAD44" s="82"/>
      <c r="PAE44" s="82"/>
      <c r="PAF44" s="82"/>
      <c r="PAG44" s="82"/>
      <c r="PAH44" s="82"/>
      <c r="PAI44" s="82"/>
      <c r="PAJ44" s="82"/>
      <c r="PAK44" s="82"/>
      <c r="PAL44" s="82"/>
      <c r="PAM44" s="82"/>
      <c r="PAN44" s="82"/>
      <c r="PAO44" s="82"/>
      <c r="PAP44" s="82"/>
      <c r="PAQ44" s="82"/>
      <c r="PAR44" s="82"/>
      <c r="PAS44" s="82"/>
      <c r="PAT44" s="82"/>
      <c r="PAU44" s="82"/>
      <c r="PAV44" s="82"/>
      <c r="PAW44" s="82"/>
      <c r="PAX44" s="82"/>
      <c r="PAY44" s="82"/>
      <c r="PAZ44" s="82"/>
      <c r="PBA44" s="82"/>
      <c r="PBB44" s="82"/>
      <c r="PBC44" s="82"/>
      <c r="PBD44" s="82"/>
      <c r="PBE44" s="82"/>
      <c r="PBF44" s="82"/>
      <c r="PBG44" s="82"/>
      <c r="PBH44" s="82"/>
      <c r="PBI44" s="82"/>
      <c r="PBJ44" s="82"/>
      <c r="PBK44" s="82"/>
      <c r="PBL44" s="82"/>
      <c r="PBM44" s="82"/>
      <c r="PBN44" s="82"/>
      <c r="PBO44" s="82"/>
      <c r="PBP44" s="82"/>
      <c r="PBQ44" s="82"/>
      <c r="PBR44" s="82"/>
      <c r="PBS44" s="82"/>
      <c r="PBT44" s="82"/>
      <c r="PBU44" s="82"/>
      <c r="PBV44" s="82"/>
      <c r="PBW44" s="82"/>
      <c r="PBX44" s="82"/>
      <c r="PBY44" s="82"/>
      <c r="PBZ44" s="82"/>
      <c r="PCA44" s="82"/>
      <c r="PCB44" s="82"/>
      <c r="PCC44" s="82"/>
      <c r="PCD44" s="82"/>
      <c r="PCE44" s="82"/>
      <c r="PCF44" s="82"/>
      <c r="PCG44" s="82"/>
      <c r="PCH44" s="82"/>
      <c r="PCI44" s="82"/>
      <c r="PCJ44" s="82"/>
      <c r="PCK44" s="82"/>
      <c r="PCL44" s="82"/>
      <c r="PCM44" s="82"/>
      <c r="PCN44" s="82"/>
      <c r="PCO44" s="82"/>
      <c r="PCP44" s="82"/>
      <c r="PCQ44" s="82"/>
      <c r="PCR44" s="82"/>
      <c r="PCS44" s="82"/>
      <c r="PCT44" s="82"/>
      <c r="PCU44" s="82"/>
      <c r="PCV44" s="82"/>
      <c r="PCW44" s="82"/>
      <c r="PCX44" s="82"/>
      <c r="PCY44" s="82"/>
      <c r="PCZ44" s="82"/>
      <c r="PDA44" s="82"/>
      <c r="PDB44" s="82"/>
      <c r="PDC44" s="82"/>
      <c r="PDD44" s="82"/>
      <c r="PDE44" s="82"/>
      <c r="PDF44" s="82"/>
      <c r="PDG44" s="82"/>
      <c r="PDH44" s="82"/>
      <c r="PDI44" s="82"/>
      <c r="PDJ44" s="82"/>
      <c r="PDK44" s="82"/>
      <c r="PDL44" s="82"/>
      <c r="PDM44" s="82"/>
      <c r="PDN44" s="82"/>
      <c r="PDO44" s="82"/>
      <c r="PDP44" s="82"/>
      <c r="PDQ44" s="82"/>
      <c r="PDR44" s="82"/>
      <c r="PDS44" s="82"/>
      <c r="PDT44" s="82"/>
      <c r="PDU44" s="82"/>
      <c r="PDV44" s="82"/>
      <c r="PDW44" s="82"/>
      <c r="PDX44" s="82"/>
      <c r="PDY44" s="82"/>
      <c r="PDZ44" s="82"/>
      <c r="PEA44" s="82"/>
      <c r="PEB44" s="82"/>
      <c r="PEC44" s="82"/>
      <c r="PED44" s="82"/>
      <c r="PEE44" s="82"/>
      <c r="PEF44" s="82"/>
      <c r="PEG44" s="82"/>
      <c r="PEH44" s="82"/>
      <c r="PEI44" s="82"/>
      <c r="PEJ44" s="82"/>
      <c r="PEK44" s="82"/>
      <c r="PEL44" s="82"/>
      <c r="PEM44" s="82"/>
      <c r="PEN44" s="82"/>
      <c r="PEO44" s="82"/>
      <c r="PEP44" s="82"/>
      <c r="PEQ44" s="82"/>
      <c r="PER44" s="82"/>
      <c r="PES44" s="82"/>
      <c r="PET44" s="82"/>
      <c r="PEU44" s="82"/>
      <c r="PEV44" s="82"/>
      <c r="PEW44" s="82"/>
      <c r="PEX44" s="82"/>
      <c r="PEY44" s="82"/>
      <c r="PEZ44" s="82"/>
      <c r="PFA44" s="82"/>
      <c r="PFB44" s="82"/>
      <c r="PFC44" s="82"/>
      <c r="PFD44" s="82"/>
      <c r="PFE44" s="82"/>
      <c r="PFF44" s="82"/>
      <c r="PFG44" s="82"/>
      <c r="PFH44" s="82"/>
      <c r="PFI44" s="82"/>
      <c r="PFJ44" s="82"/>
      <c r="PFK44" s="82"/>
      <c r="PFL44" s="82"/>
      <c r="PFM44" s="82"/>
      <c r="PFN44" s="82"/>
      <c r="PFO44" s="82"/>
      <c r="PFP44" s="82"/>
      <c r="PFQ44" s="82"/>
      <c r="PFR44" s="82"/>
      <c r="PFS44" s="82"/>
      <c r="PFT44" s="82"/>
      <c r="PFU44" s="82"/>
      <c r="PFV44" s="82"/>
      <c r="PFW44" s="82"/>
      <c r="PFX44" s="82"/>
      <c r="PFY44" s="82"/>
      <c r="PFZ44" s="82"/>
      <c r="PGA44" s="82"/>
      <c r="PGB44" s="82"/>
      <c r="PGC44" s="82"/>
      <c r="PGD44" s="82"/>
      <c r="PGE44" s="82"/>
      <c r="PGF44" s="82"/>
      <c r="PGG44" s="82"/>
      <c r="PGH44" s="82"/>
      <c r="PGI44" s="82"/>
      <c r="PGJ44" s="82"/>
      <c r="PGK44" s="82"/>
      <c r="PGL44" s="82"/>
      <c r="PGM44" s="82"/>
      <c r="PGN44" s="82"/>
      <c r="PGO44" s="82"/>
      <c r="PGP44" s="82"/>
      <c r="PGQ44" s="82"/>
      <c r="PGR44" s="82"/>
      <c r="PGS44" s="82"/>
      <c r="PGT44" s="82"/>
      <c r="PGU44" s="82"/>
      <c r="PGV44" s="82"/>
      <c r="PGW44" s="82"/>
      <c r="PGX44" s="82"/>
      <c r="PGY44" s="82"/>
      <c r="PGZ44" s="82"/>
      <c r="PHA44" s="82"/>
      <c r="PHB44" s="82"/>
      <c r="PHC44" s="82"/>
      <c r="PHD44" s="82"/>
      <c r="PHE44" s="82"/>
      <c r="PHF44" s="82"/>
      <c r="PHG44" s="82"/>
      <c r="PHH44" s="82"/>
      <c r="PHI44" s="82"/>
      <c r="PHJ44" s="82"/>
      <c r="PHK44" s="82"/>
      <c r="PHL44" s="82"/>
      <c r="PHM44" s="82"/>
      <c r="PHN44" s="82"/>
      <c r="PHO44" s="82"/>
      <c r="PHP44" s="82"/>
      <c r="PHQ44" s="82"/>
      <c r="PHR44" s="82"/>
      <c r="PHS44" s="82"/>
      <c r="PHT44" s="82"/>
      <c r="PHU44" s="82"/>
      <c r="PHV44" s="82"/>
      <c r="PHW44" s="82"/>
      <c r="PHX44" s="82"/>
      <c r="PHY44" s="82"/>
      <c r="PHZ44" s="82"/>
      <c r="PIA44" s="82"/>
      <c r="PIB44" s="82"/>
      <c r="PIC44" s="82"/>
      <c r="PID44" s="82"/>
      <c r="PIE44" s="82"/>
      <c r="PIF44" s="82"/>
      <c r="PIG44" s="82"/>
      <c r="PIH44" s="82"/>
      <c r="PII44" s="82"/>
      <c r="PIJ44" s="82"/>
      <c r="PIK44" s="82"/>
      <c r="PIL44" s="82"/>
      <c r="PIM44" s="82"/>
      <c r="PIN44" s="82"/>
      <c r="PIO44" s="82"/>
      <c r="PIP44" s="82"/>
      <c r="PIQ44" s="82"/>
      <c r="PIR44" s="82"/>
      <c r="PIS44" s="82"/>
      <c r="PIT44" s="82"/>
      <c r="PIU44" s="82"/>
      <c r="PIV44" s="82"/>
      <c r="PIW44" s="82"/>
      <c r="PIX44" s="82"/>
      <c r="PIY44" s="82"/>
      <c r="PIZ44" s="82"/>
      <c r="PJA44" s="82"/>
      <c r="PJB44" s="82"/>
      <c r="PJC44" s="82"/>
      <c r="PJD44" s="82"/>
      <c r="PJE44" s="82"/>
      <c r="PJF44" s="82"/>
      <c r="PJG44" s="82"/>
      <c r="PJH44" s="82"/>
      <c r="PJI44" s="82"/>
      <c r="PJJ44" s="82"/>
      <c r="PJK44" s="82"/>
      <c r="PJL44" s="82"/>
      <c r="PJM44" s="82"/>
      <c r="PJN44" s="82"/>
      <c r="PJO44" s="82"/>
      <c r="PJP44" s="82"/>
      <c r="PJQ44" s="82"/>
      <c r="PJR44" s="82"/>
      <c r="PJS44" s="82"/>
      <c r="PJT44" s="82"/>
      <c r="PJU44" s="82"/>
      <c r="PJV44" s="82"/>
      <c r="PJW44" s="82"/>
      <c r="PJX44" s="82"/>
      <c r="PJY44" s="82"/>
      <c r="PJZ44" s="82"/>
      <c r="PKA44" s="82"/>
      <c r="PKB44" s="82"/>
      <c r="PKC44" s="82"/>
      <c r="PKD44" s="82"/>
      <c r="PKE44" s="82"/>
      <c r="PKF44" s="82"/>
      <c r="PKG44" s="82"/>
      <c r="PKH44" s="82"/>
      <c r="PKI44" s="82"/>
      <c r="PKJ44" s="82"/>
      <c r="PKK44" s="82"/>
      <c r="PKL44" s="82"/>
      <c r="PKM44" s="82"/>
      <c r="PKN44" s="82"/>
      <c r="PKO44" s="82"/>
      <c r="PKP44" s="82"/>
      <c r="PKQ44" s="82"/>
      <c r="PKR44" s="82"/>
      <c r="PKS44" s="82"/>
      <c r="PKT44" s="82"/>
      <c r="PKU44" s="82"/>
      <c r="PKV44" s="82"/>
      <c r="PKW44" s="82"/>
      <c r="PKX44" s="82"/>
      <c r="PKY44" s="82"/>
      <c r="PKZ44" s="82"/>
      <c r="PLA44" s="82"/>
      <c r="PLB44" s="82"/>
      <c r="PLC44" s="82"/>
      <c r="PLD44" s="82"/>
      <c r="PLE44" s="82"/>
      <c r="PLF44" s="82"/>
      <c r="PLG44" s="82"/>
      <c r="PLH44" s="82"/>
      <c r="PLI44" s="82"/>
      <c r="PLJ44" s="82"/>
      <c r="PLK44" s="82"/>
      <c r="PLL44" s="82"/>
      <c r="PLM44" s="82"/>
      <c r="PLN44" s="82"/>
      <c r="PLO44" s="82"/>
      <c r="PLP44" s="82"/>
      <c r="PLQ44" s="82"/>
      <c r="PLR44" s="82"/>
      <c r="PLS44" s="82"/>
      <c r="PLT44" s="82"/>
      <c r="PLU44" s="82"/>
      <c r="PLV44" s="82"/>
      <c r="PLW44" s="82"/>
      <c r="PLX44" s="82"/>
      <c r="PLY44" s="82"/>
      <c r="PLZ44" s="82"/>
      <c r="PMA44" s="82"/>
      <c r="PMB44" s="82"/>
      <c r="PMC44" s="82"/>
      <c r="PMD44" s="82"/>
      <c r="PME44" s="82"/>
      <c r="PMF44" s="82"/>
      <c r="PMG44" s="82"/>
      <c r="PMH44" s="82"/>
      <c r="PMI44" s="82"/>
      <c r="PMJ44" s="82"/>
      <c r="PMK44" s="82"/>
      <c r="PML44" s="82"/>
      <c r="PMM44" s="82"/>
      <c r="PMN44" s="82"/>
      <c r="PMO44" s="82"/>
      <c r="PMP44" s="82"/>
      <c r="PMQ44" s="82"/>
      <c r="PMR44" s="82"/>
      <c r="PMS44" s="82"/>
      <c r="PMT44" s="82"/>
      <c r="PMU44" s="82"/>
      <c r="PMV44" s="82"/>
      <c r="PMW44" s="82"/>
      <c r="PMX44" s="82"/>
      <c r="PMY44" s="82"/>
      <c r="PMZ44" s="82"/>
      <c r="PNA44" s="82"/>
      <c r="PNB44" s="82"/>
      <c r="PNC44" s="82"/>
      <c r="PND44" s="82"/>
      <c r="PNE44" s="82"/>
      <c r="PNF44" s="82"/>
      <c r="PNG44" s="82"/>
      <c r="PNH44" s="82"/>
      <c r="PNI44" s="82"/>
      <c r="PNJ44" s="82"/>
      <c r="PNK44" s="82"/>
      <c r="PNL44" s="82"/>
      <c r="PNM44" s="82"/>
      <c r="PNN44" s="82"/>
      <c r="PNO44" s="82"/>
      <c r="PNP44" s="82"/>
      <c r="PNQ44" s="82"/>
      <c r="PNR44" s="82"/>
      <c r="PNS44" s="82"/>
      <c r="PNT44" s="82"/>
      <c r="PNU44" s="82"/>
      <c r="PNV44" s="82"/>
      <c r="PNW44" s="82"/>
      <c r="PNX44" s="82"/>
      <c r="PNY44" s="82"/>
      <c r="PNZ44" s="82"/>
      <c r="POA44" s="82"/>
      <c r="POB44" s="82"/>
      <c r="POC44" s="82"/>
      <c r="POD44" s="82"/>
      <c r="POE44" s="82"/>
      <c r="POF44" s="82"/>
      <c r="POG44" s="82"/>
      <c r="POH44" s="82"/>
      <c r="POI44" s="82"/>
      <c r="POJ44" s="82"/>
      <c r="POK44" s="82"/>
      <c r="POL44" s="82"/>
      <c r="POM44" s="82"/>
      <c r="PON44" s="82"/>
      <c r="POO44" s="82"/>
      <c r="POP44" s="82"/>
      <c r="POQ44" s="82"/>
      <c r="POR44" s="82"/>
      <c r="POS44" s="82"/>
      <c r="POT44" s="82"/>
      <c r="POU44" s="82"/>
      <c r="POV44" s="82"/>
      <c r="POW44" s="82"/>
      <c r="POX44" s="82"/>
      <c r="POY44" s="82"/>
      <c r="POZ44" s="82"/>
      <c r="PPA44" s="82"/>
      <c r="PPB44" s="82"/>
      <c r="PPC44" s="82"/>
      <c r="PPD44" s="82"/>
      <c r="PPE44" s="82"/>
      <c r="PPF44" s="82"/>
      <c r="PPG44" s="82"/>
      <c r="PPH44" s="82"/>
      <c r="PPI44" s="82"/>
      <c r="PPJ44" s="82"/>
      <c r="PPK44" s="82"/>
      <c r="PPL44" s="82"/>
      <c r="PPM44" s="82"/>
      <c r="PPN44" s="82"/>
      <c r="PPO44" s="82"/>
      <c r="PPP44" s="82"/>
      <c r="PPQ44" s="82"/>
      <c r="PPR44" s="82"/>
      <c r="PPS44" s="82"/>
      <c r="PPT44" s="82"/>
      <c r="PPU44" s="82"/>
      <c r="PPV44" s="82"/>
      <c r="PPW44" s="82"/>
      <c r="PPX44" s="82"/>
      <c r="PPY44" s="82"/>
      <c r="PPZ44" s="82"/>
      <c r="PQA44" s="82"/>
      <c r="PQB44" s="82"/>
      <c r="PQC44" s="82"/>
      <c r="PQD44" s="82"/>
      <c r="PQE44" s="82"/>
      <c r="PQF44" s="82"/>
      <c r="PQG44" s="82"/>
      <c r="PQH44" s="82"/>
      <c r="PQI44" s="82"/>
      <c r="PQJ44" s="82"/>
      <c r="PQK44" s="82"/>
      <c r="PQL44" s="82"/>
      <c r="PQM44" s="82"/>
      <c r="PQN44" s="82"/>
      <c r="PQO44" s="82"/>
      <c r="PQP44" s="82"/>
      <c r="PQQ44" s="82"/>
      <c r="PQR44" s="82"/>
      <c r="PQS44" s="82"/>
      <c r="PQT44" s="82"/>
      <c r="PQU44" s="82"/>
      <c r="PQV44" s="82"/>
      <c r="PQW44" s="82"/>
      <c r="PQX44" s="82"/>
      <c r="PQY44" s="82"/>
      <c r="PQZ44" s="82"/>
      <c r="PRA44" s="82"/>
      <c r="PRB44" s="82"/>
      <c r="PRC44" s="82"/>
      <c r="PRD44" s="82"/>
      <c r="PRE44" s="82"/>
      <c r="PRF44" s="82"/>
      <c r="PRG44" s="82"/>
      <c r="PRH44" s="82"/>
      <c r="PRI44" s="82"/>
      <c r="PRJ44" s="82"/>
      <c r="PRK44" s="82"/>
      <c r="PRL44" s="82"/>
      <c r="PRM44" s="82"/>
      <c r="PRN44" s="82"/>
      <c r="PRO44" s="82"/>
      <c r="PRP44" s="82"/>
      <c r="PRQ44" s="82"/>
      <c r="PRR44" s="82"/>
      <c r="PRS44" s="82"/>
      <c r="PRT44" s="82"/>
      <c r="PRU44" s="82"/>
      <c r="PRV44" s="82"/>
      <c r="PRW44" s="82"/>
      <c r="PRX44" s="82"/>
      <c r="PRY44" s="82"/>
      <c r="PRZ44" s="82"/>
      <c r="PSA44" s="82"/>
      <c r="PSB44" s="82"/>
      <c r="PSC44" s="82"/>
      <c r="PSD44" s="82"/>
      <c r="PSE44" s="82"/>
      <c r="PSF44" s="82"/>
      <c r="PSG44" s="82"/>
      <c r="PSH44" s="82"/>
      <c r="PSI44" s="82"/>
      <c r="PSJ44" s="82"/>
      <c r="PSK44" s="82"/>
      <c r="PSL44" s="82"/>
      <c r="PSM44" s="82"/>
      <c r="PSN44" s="82"/>
      <c r="PSO44" s="82"/>
      <c r="PSP44" s="82"/>
      <c r="PSQ44" s="82"/>
      <c r="PSR44" s="82"/>
      <c r="PSS44" s="82"/>
      <c r="PST44" s="82"/>
      <c r="PSU44" s="82"/>
      <c r="PSV44" s="82"/>
      <c r="PSW44" s="82"/>
      <c r="PSX44" s="82"/>
      <c r="PSY44" s="82"/>
      <c r="PSZ44" s="82"/>
      <c r="PTA44" s="82"/>
      <c r="PTB44" s="82"/>
      <c r="PTC44" s="82"/>
      <c r="PTD44" s="82"/>
      <c r="PTE44" s="82"/>
      <c r="PTF44" s="82"/>
      <c r="PTG44" s="82"/>
      <c r="PTH44" s="82"/>
      <c r="PTI44" s="82"/>
      <c r="PTJ44" s="82"/>
      <c r="PTK44" s="82"/>
      <c r="PTL44" s="82"/>
      <c r="PTM44" s="82"/>
      <c r="PTN44" s="82"/>
      <c r="PTO44" s="82"/>
      <c r="PTP44" s="82"/>
      <c r="PTQ44" s="82"/>
      <c r="PTR44" s="82"/>
      <c r="PTS44" s="82"/>
      <c r="PTT44" s="82"/>
      <c r="PTU44" s="82"/>
      <c r="PTV44" s="82"/>
      <c r="PTW44" s="82"/>
      <c r="PTX44" s="82"/>
      <c r="PTY44" s="82"/>
      <c r="PTZ44" s="82"/>
      <c r="PUA44" s="82"/>
      <c r="PUB44" s="82"/>
      <c r="PUC44" s="82"/>
      <c r="PUD44" s="82"/>
      <c r="PUE44" s="82"/>
      <c r="PUF44" s="82"/>
      <c r="PUG44" s="82"/>
      <c r="PUH44" s="82"/>
      <c r="PUI44" s="82"/>
      <c r="PUJ44" s="82"/>
      <c r="PUK44" s="82"/>
      <c r="PUL44" s="82"/>
      <c r="PUM44" s="82"/>
      <c r="PUN44" s="82"/>
      <c r="PUO44" s="82"/>
      <c r="PUP44" s="82"/>
      <c r="PUQ44" s="82"/>
      <c r="PUR44" s="82"/>
      <c r="PUS44" s="82"/>
      <c r="PUT44" s="82"/>
      <c r="PUU44" s="82"/>
      <c r="PUV44" s="82"/>
      <c r="PUW44" s="82"/>
      <c r="PUX44" s="82"/>
      <c r="PUY44" s="82"/>
      <c r="PUZ44" s="82"/>
      <c r="PVA44" s="82"/>
      <c r="PVB44" s="82"/>
      <c r="PVC44" s="82"/>
      <c r="PVD44" s="82"/>
      <c r="PVE44" s="82"/>
      <c r="PVF44" s="82"/>
      <c r="PVG44" s="82"/>
      <c r="PVH44" s="82"/>
      <c r="PVI44" s="82"/>
      <c r="PVJ44" s="82"/>
      <c r="PVK44" s="82"/>
      <c r="PVL44" s="82"/>
      <c r="PVM44" s="82"/>
      <c r="PVN44" s="82"/>
      <c r="PVO44" s="82"/>
      <c r="PVP44" s="82"/>
      <c r="PVQ44" s="82"/>
      <c r="PVR44" s="82"/>
      <c r="PVS44" s="82"/>
      <c r="PVT44" s="82"/>
      <c r="PVU44" s="82"/>
      <c r="PVV44" s="82"/>
      <c r="PVW44" s="82"/>
      <c r="PVX44" s="82"/>
      <c r="PVY44" s="82"/>
      <c r="PVZ44" s="82"/>
      <c r="PWA44" s="82"/>
      <c r="PWB44" s="82"/>
      <c r="PWC44" s="82"/>
      <c r="PWD44" s="82"/>
      <c r="PWE44" s="82"/>
      <c r="PWF44" s="82"/>
      <c r="PWG44" s="82"/>
      <c r="PWH44" s="82"/>
      <c r="PWI44" s="82"/>
      <c r="PWJ44" s="82"/>
      <c r="PWK44" s="82"/>
      <c r="PWL44" s="82"/>
      <c r="PWM44" s="82"/>
      <c r="PWN44" s="82"/>
      <c r="PWO44" s="82"/>
      <c r="PWP44" s="82"/>
      <c r="PWQ44" s="82"/>
      <c r="PWR44" s="82"/>
      <c r="PWS44" s="82"/>
      <c r="PWT44" s="82"/>
      <c r="PWU44" s="82"/>
      <c r="PWV44" s="82"/>
      <c r="PWW44" s="82"/>
      <c r="PWX44" s="82"/>
      <c r="PWY44" s="82"/>
      <c r="PWZ44" s="82"/>
      <c r="PXA44" s="82"/>
      <c r="PXB44" s="82"/>
      <c r="PXC44" s="82"/>
      <c r="PXD44" s="82"/>
      <c r="PXE44" s="82"/>
      <c r="PXF44" s="82"/>
      <c r="PXG44" s="82"/>
      <c r="PXH44" s="82"/>
      <c r="PXI44" s="82"/>
      <c r="PXJ44" s="82"/>
      <c r="PXK44" s="82"/>
      <c r="PXL44" s="82"/>
      <c r="PXM44" s="82"/>
      <c r="PXN44" s="82"/>
      <c r="PXO44" s="82"/>
      <c r="PXP44" s="82"/>
      <c r="PXQ44" s="82"/>
      <c r="PXR44" s="82"/>
      <c r="PXS44" s="82"/>
      <c r="PXT44" s="82"/>
      <c r="PXU44" s="82"/>
      <c r="PXV44" s="82"/>
      <c r="PXW44" s="82"/>
      <c r="PXX44" s="82"/>
      <c r="PXY44" s="82"/>
      <c r="PXZ44" s="82"/>
      <c r="PYA44" s="82"/>
      <c r="PYB44" s="82"/>
      <c r="PYC44" s="82"/>
      <c r="PYD44" s="82"/>
      <c r="PYE44" s="82"/>
      <c r="PYF44" s="82"/>
      <c r="PYG44" s="82"/>
      <c r="PYH44" s="82"/>
      <c r="PYI44" s="82"/>
      <c r="PYJ44" s="82"/>
      <c r="PYK44" s="82"/>
      <c r="PYL44" s="82"/>
      <c r="PYM44" s="82"/>
      <c r="PYN44" s="82"/>
      <c r="PYO44" s="82"/>
      <c r="PYP44" s="82"/>
      <c r="PYQ44" s="82"/>
      <c r="PYR44" s="82"/>
      <c r="PYS44" s="82"/>
      <c r="PYT44" s="82"/>
      <c r="PYU44" s="82"/>
      <c r="PYV44" s="82"/>
      <c r="PYW44" s="82"/>
      <c r="PYX44" s="82"/>
      <c r="PYY44" s="82"/>
      <c r="PYZ44" s="82"/>
      <c r="PZA44" s="82"/>
      <c r="PZB44" s="82"/>
      <c r="PZC44" s="82"/>
      <c r="PZD44" s="82"/>
      <c r="PZE44" s="82"/>
      <c r="PZF44" s="82"/>
      <c r="PZG44" s="82"/>
      <c r="PZH44" s="82"/>
      <c r="PZI44" s="82"/>
      <c r="PZJ44" s="82"/>
      <c r="PZK44" s="82"/>
      <c r="PZL44" s="82"/>
      <c r="PZM44" s="82"/>
      <c r="PZN44" s="82"/>
      <c r="PZO44" s="82"/>
      <c r="PZP44" s="82"/>
      <c r="PZQ44" s="82"/>
      <c r="PZR44" s="82"/>
      <c r="PZS44" s="82"/>
      <c r="PZT44" s="82"/>
      <c r="PZU44" s="82"/>
      <c r="PZV44" s="82"/>
      <c r="PZW44" s="82"/>
      <c r="PZX44" s="82"/>
      <c r="PZY44" s="82"/>
      <c r="PZZ44" s="82"/>
      <c r="QAA44" s="82"/>
      <c r="QAB44" s="82"/>
      <c r="QAC44" s="82"/>
      <c r="QAD44" s="82"/>
      <c r="QAE44" s="82"/>
      <c r="QAF44" s="82"/>
      <c r="QAG44" s="82"/>
      <c r="QAH44" s="82"/>
      <c r="QAI44" s="82"/>
      <c r="QAJ44" s="82"/>
      <c r="QAK44" s="82"/>
      <c r="QAL44" s="82"/>
      <c r="QAM44" s="82"/>
      <c r="QAN44" s="82"/>
      <c r="QAO44" s="82"/>
      <c r="QAP44" s="82"/>
      <c r="QAQ44" s="82"/>
      <c r="QAR44" s="82"/>
      <c r="QAS44" s="82"/>
      <c r="QAT44" s="82"/>
      <c r="QAU44" s="82"/>
      <c r="QAV44" s="82"/>
      <c r="QAW44" s="82"/>
      <c r="QAX44" s="82"/>
      <c r="QAY44" s="82"/>
      <c r="QAZ44" s="82"/>
      <c r="QBA44" s="82"/>
      <c r="QBB44" s="82"/>
      <c r="QBC44" s="82"/>
      <c r="QBD44" s="82"/>
      <c r="QBE44" s="82"/>
      <c r="QBF44" s="82"/>
      <c r="QBG44" s="82"/>
      <c r="QBH44" s="82"/>
      <c r="QBI44" s="82"/>
      <c r="QBJ44" s="82"/>
      <c r="QBK44" s="82"/>
      <c r="QBL44" s="82"/>
      <c r="QBM44" s="82"/>
      <c r="QBN44" s="82"/>
      <c r="QBO44" s="82"/>
      <c r="QBP44" s="82"/>
      <c r="QBQ44" s="82"/>
      <c r="QBR44" s="82"/>
      <c r="QBS44" s="82"/>
      <c r="QBT44" s="82"/>
      <c r="QBU44" s="82"/>
      <c r="QBV44" s="82"/>
      <c r="QBW44" s="82"/>
      <c r="QBX44" s="82"/>
      <c r="QBY44" s="82"/>
      <c r="QBZ44" s="82"/>
      <c r="QCA44" s="82"/>
      <c r="QCB44" s="82"/>
      <c r="QCC44" s="82"/>
      <c r="QCD44" s="82"/>
      <c r="QCE44" s="82"/>
      <c r="QCF44" s="82"/>
      <c r="QCG44" s="82"/>
      <c r="QCH44" s="82"/>
      <c r="QCI44" s="82"/>
      <c r="QCJ44" s="82"/>
      <c r="QCK44" s="82"/>
      <c r="QCL44" s="82"/>
      <c r="QCM44" s="82"/>
      <c r="QCN44" s="82"/>
      <c r="QCO44" s="82"/>
      <c r="QCP44" s="82"/>
      <c r="QCQ44" s="82"/>
      <c r="QCR44" s="82"/>
      <c r="QCS44" s="82"/>
      <c r="QCT44" s="82"/>
      <c r="QCU44" s="82"/>
      <c r="QCV44" s="82"/>
      <c r="QCW44" s="82"/>
      <c r="QCX44" s="82"/>
      <c r="QCY44" s="82"/>
      <c r="QCZ44" s="82"/>
      <c r="QDA44" s="82"/>
      <c r="QDB44" s="82"/>
      <c r="QDC44" s="82"/>
      <c r="QDD44" s="82"/>
      <c r="QDE44" s="82"/>
      <c r="QDF44" s="82"/>
      <c r="QDG44" s="82"/>
      <c r="QDH44" s="82"/>
      <c r="QDI44" s="82"/>
      <c r="QDJ44" s="82"/>
      <c r="QDK44" s="82"/>
      <c r="QDL44" s="82"/>
      <c r="QDM44" s="82"/>
      <c r="QDN44" s="82"/>
      <c r="QDO44" s="82"/>
      <c r="QDP44" s="82"/>
      <c r="QDQ44" s="82"/>
      <c r="QDR44" s="82"/>
      <c r="QDS44" s="82"/>
      <c r="QDT44" s="82"/>
      <c r="QDU44" s="82"/>
      <c r="QDV44" s="82"/>
      <c r="QDW44" s="82"/>
      <c r="QDX44" s="82"/>
      <c r="QDY44" s="82"/>
      <c r="QDZ44" s="82"/>
      <c r="QEA44" s="82"/>
      <c r="QEB44" s="82"/>
      <c r="QEC44" s="82"/>
      <c r="QED44" s="82"/>
      <c r="QEE44" s="82"/>
      <c r="QEF44" s="82"/>
      <c r="QEG44" s="82"/>
      <c r="QEH44" s="82"/>
      <c r="QEI44" s="82"/>
      <c r="QEJ44" s="82"/>
      <c r="QEK44" s="82"/>
      <c r="QEL44" s="82"/>
      <c r="QEM44" s="82"/>
      <c r="QEN44" s="82"/>
      <c r="QEO44" s="82"/>
      <c r="QEP44" s="82"/>
      <c r="QEQ44" s="82"/>
      <c r="QER44" s="82"/>
      <c r="QES44" s="82"/>
      <c r="QET44" s="82"/>
      <c r="QEU44" s="82"/>
      <c r="QEV44" s="82"/>
      <c r="QEW44" s="82"/>
      <c r="QEX44" s="82"/>
      <c r="QEY44" s="82"/>
      <c r="QEZ44" s="82"/>
      <c r="QFA44" s="82"/>
      <c r="QFB44" s="82"/>
      <c r="QFC44" s="82"/>
      <c r="QFD44" s="82"/>
      <c r="QFE44" s="82"/>
      <c r="QFF44" s="82"/>
      <c r="QFG44" s="82"/>
      <c r="QFH44" s="82"/>
      <c r="QFI44" s="82"/>
      <c r="QFJ44" s="82"/>
      <c r="QFK44" s="82"/>
      <c r="QFL44" s="82"/>
      <c r="QFM44" s="82"/>
      <c r="QFN44" s="82"/>
      <c r="QFO44" s="82"/>
      <c r="QFP44" s="82"/>
      <c r="QFQ44" s="82"/>
      <c r="QFR44" s="82"/>
      <c r="QFS44" s="82"/>
      <c r="QFT44" s="82"/>
      <c r="QFU44" s="82"/>
      <c r="QFV44" s="82"/>
      <c r="QFW44" s="82"/>
      <c r="QFX44" s="82"/>
      <c r="QFY44" s="82"/>
      <c r="QFZ44" s="82"/>
      <c r="QGA44" s="82"/>
      <c r="QGB44" s="82"/>
      <c r="QGC44" s="82"/>
      <c r="QGD44" s="82"/>
      <c r="QGE44" s="82"/>
      <c r="QGF44" s="82"/>
      <c r="QGG44" s="82"/>
      <c r="QGH44" s="82"/>
      <c r="QGI44" s="82"/>
      <c r="QGJ44" s="82"/>
      <c r="QGK44" s="82"/>
      <c r="QGL44" s="82"/>
      <c r="QGM44" s="82"/>
      <c r="QGN44" s="82"/>
      <c r="QGO44" s="82"/>
      <c r="QGP44" s="82"/>
      <c r="QGQ44" s="82"/>
      <c r="QGR44" s="82"/>
      <c r="QGS44" s="82"/>
      <c r="QGT44" s="82"/>
      <c r="QGU44" s="82"/>
      <c r="QGV44" s="82"/>
      <c r="QGW44" s="82"/>
      <c r="QGX44" s="82"/>
      <c r="QGY44" s="82"/>
      <c r="QGZ44" s="82"/>
      <c r="QHA44" s="82"/>
      <c r="QHB44" s="82"/>
      <c r="QHC44" s="82"/>
      <c r="QHD44" s="82"/>
      <c r="QHE44" s="82"/>
      <c r="QHF44" s="82"/>
      <c r="QHG44" s="82"/>
      <c r="QHH44" s="82"/>
      <c r="QHI44" s="82"/>
      <c r="QHJ44" s="82"/>
      <c r="QHK44" s="82"/>
      <c r="QHL44" s="82"/>
      <c r="QHM44" s="82"/>
      <c r="QHN44" s="82"/>
      <c r="QHO44" s="82"/>
      <c r="QHP44" s="82"/>
      <c r="QHQ44" s="82"/>
      <c r="QHR44" s="82"/>
      <c r="QHS44" s="82"/>
      <c r="QHT44" s="82"/>
      <c r="QHU44" s="82"/>
      <c r="QHV44" s="82"/>
      <c r="QHW44" s="82"/>
      <c r="QHX44" s="82"/>
      <c r="QHY44" s="82"/>
      <c r="QHZ44" s="82"/>
      <c r="QIA44" s="82"/>
      <c r="QIB44" s="82"/>
      <c r="QIC44" s="82"/>
      <c r="QID44" s="82"/>
      <c r="QIE44" s="82"/>
      <c r="QIF44" s="82"/>
      <c r="QIG44" s="82"/>
      <c r="QIH44" s="82"/>
      <c r="QII44" s="82"/>
      <c r="QIJ44" s="82"/>
      <c r="QIK44" s="82"/>
      <c r="QIL44" s="82"/>
      <c r="QIM44" s="82"/>
      <c r="QIN44" s="82"/>
      <c r="QIO44" s="82"/>
      <c r="QIP44" s="82"/>
      <c r="QIQ44" s="82"/>
      <c r="QIR44" s="82"/>
      <c r="QIS44" s="82"/>
      <c r="QIT44" s="82"/>
      <c r="QIU44" s="82"/>
      <c r="QIV44" s="82"/>
      <c r="QIW44" s="82"/>
      <c r="QIX44" s="82"/>
      <c r="QIY44" s="82"/>
      <c r="QIZ44" s="82"/>
      <c r="QJA44" s="82"/>
      <c r="QJB44" s="82"/>
      <c r="QJC44" s="82"/>
      <c r="QJD44" s="82"/>
      <c r="QJE44" s="82"/>
      <c r="QJF44" s="82"/>
      <c r="QJG44" s="82"/>
      <c r="QJH44" s="82"/>
      <c r="QJI44" s="82"/>
      <c r="QJJ44" s="82"/>
      <c r="QJK44" s="82"/>
      <c r="QJL44" s="82"/>
      <c r="QJM44" s="82"/>
      <c r="QJN44" s="82"/>
      <c r="QJO44" s="82"/>
      <c r="QJP44" s="82"/>
      <c r="QJQ44" s="82"/>
      <c r="QJR44" s="82"/>
      <c r="QJS44" s="82"/>
      <c r="QJT44" s="82"/>
      <c r="QJU44" s="82"/>
      <c r="QJV44" s="82"/>
      <c r="QJW44" s="82"/>
      <c r="QJX44" s="82"/>
      <c r="QJY44" s="82"/>
      <c r="QJZ44" s="82"/>
      <c r="QKA44" s="82"/>
      <c r="QKB44" s="82"/>
      <c r="QKC44" s="82"/>
      <c r="QKD44" s="82"/>
      <c r="QKE44" s="82"/>
      <c r="QKF44" s="82"/>
      <c r="QKG44" s="82"/>
      <c r="QKH44" s="82"/>
      <c r="QKI44" s="82"/>
      <c r="QKJ44" s="82"/>
      <c r="QKK44" s="82"/>
      <c r="QKL44" s="82"/>
      <c r="QKM44" s="82"/>
      <c r="QKN44" s="82"/>
      <c r="QKO44" s="82"/>
      <c r="QKP44" s="82"/>
      <c r="QKQ44" s="82"/>
      <c r="QKR44" s="82"/>
      <c r="QKS44" s="82"/>
      <c r="QKT44" s="82"/>
      <c r="QKU44" s="82"/>
      <c r="QKV44" s="82"/>
      <c r="QKW44" s="82"/>
      <c r="QKX44" s="82"/>
      <c r="QKY44" s="82"/>
      <c r="QKZ44" s="82"/>
      <c r="QLA44" s="82"/>
      <c r="QLB44" s="82"/>
      <c r="QLC44" s="82"/>
      <c r="QLD44" s="82"/>
      <c r="QLE44" s="82"/>
      <c r="QLF44" s="82"/>
      <c r="QLG44" s="82"/>
      <c r="QLH44" s="82"/>
      <c r="QLI44" s="82"/>
      <c r="QLJ44" s="82"/>
      <c r="QLK44" s="82"/>
      <c r="QLL44" s="82"/>
      <c r="QLM44" s="82"/>
      <c r="QLN44" s="82"/>
      <c r="QLO44" s="82"/>
      <c r="QLP44" s="82"/>
      <c r="QLQ44" s="82"/>
      <c r="QLR44" s="82"/>
      <c r="QLS44" s="82"/>
      <c r="QLT44" s="82"/>
      <c r="QLU44" s="82"/>
      <c r="QLV44" s="82"/>
      <c r="QLW44" s="82"/>
      <c r="QLX44" s="82"/>
      <c r="QLY44" s="82"/>
      <c r="QLZ44" s="82"/>
      <c r="QMA44" s="82"/>
      <c r="QMB44" s="82"/>
      <c r="QMC44" s="82"/>
      <c r="QMD44" s="82"/>
      <c r="QME44" s="82"/>
      <c r="QMF44" s="82"/>
      <c r="QMG44" s="82"/>
      <c r="QMH44" s="82"/>
      <c r="QMI44" s="82"/>
      <c r="QMJ44" s="82"/>
      <c r="QMK44" s="82"/>
      <c r="QML44" s="82"/>
      <c r="QMM44" s="82"/>
      <c r="QMN44" s="82"/>
      <c r="QMO44" s="82"/>
      <c r="QMP44" s="82"/>
      <c r="QMQ44" s="82"/>
      <c r="QMR44" s="82"/>
      <c r="QMS44" s="82"/>
      <c r="QMT44" s="82"/>
      <c r="QMU44" s="82"/>
      <c r="QMV44" s="82"/>
      <c r="QMW44" s="82"/>
      <c r="QMX44" s="82"/>
      <c r="QMY44" s="82"/>
      <c r="QMZ44" s="82"/>
      <c r="QNA44" s="82"/>
      <c r="QNB44" s="82"/>
      <c r="QNC44" s="82"/>
      <c r="QND44" s="82"/>
      <c r="QNE44" s="82"/>
      <c r="QNF44" s="82"/>
      <c r="QNG44" s="82"/>
      <c r="QNH44" s="82"/>
      <c r="QNI44" s="82"/>
      <c r="QNJ44" s="82"/>
      <c r="QNK44" s="82"/>
      <c r="QNL44" s="82"/>
      <c r="QNM44" s="82"/>
      <c r="QNN44" s="82"/>
      <c r="QNO44" s="82"/>
      <c r="QNP44" s="82"/>
      <c r="QNQ44" s="82"/>
      <c r="QNR44" s="82"/>
      <c r="QNS44" s="82"/>
      <c r="QNT44" s="82"/>
      <c r="QNU44" s="82"/>
      <c r="QNV44" s="82"/>
      <c r="QNW44" s="82"/>
      <c r="QNX44" s="82"/>
      <c r="QNY44" s="82"/>
      <c r="QNZ44" s="82"/>
      <c r="QOA44" s="82"/>
      <c r="QOB44" s="82"/>
      <c r="QOC44" s="82"/>
      <c r="QOD44" s="82"/>
      <c r="QOE44" s="82"/>
      <c r="QOF44" s="82"/>
      <c r="QOG44" s="82"/>
      <c r="QOH44" s="82"/>
      <c r="QOI44" s="82"/>
      <c r="QOJ44" s="82"/>
      <c r="QOK44" s="82"/>
      <c r="QOL44" s="82"/>
      <c r="QOM44" s="82"/>
      <c r="QON44" s="82"/>
      <c r="QOO44" s="82"/>
      <c r="QOP44" s="82"/>
      <c r="QOQ44" s="82"/>
      <c r="QOR44" s="82"/>
      <c r="QOS44" s="82"/>
      <c r="QOT44" s="82"/>
      <c r="QOU44" s="82"/>
      <c r="QOV44" s="82"/>
      <c r="QOW44" s="82"/>
      <c r="QOX44" s="82"/>
      <c r="QOY44" s="82"/>
      <c r="QOZ44" s="82"/>
      <c r="QPA44" s="82"/>
      <c r="QPB44" s="82"/>
      <c r="QPC44" s="82"/>
      <c r="QPD44" s="82"/>
      <c r="QPE44" s="82"/>
      <c r="QPF44" s="82"/>
      <c r="QPG44" s="82"/>
      <c r="QPH44" s="82"/>
      <c r="QPI44" s="82"/>
      <c r="QPJ44" s="82"/>
      <c r="QPK44" s="82"/>
      <c r="QPL44" s="82"/>
      <c r="QPM44" s="82"/>
      <c r="QPN44" s="82"/>
      <c r="QPO44" s="82"/>
      <c r="QPP44" s="82"/>
      <c r="QPQ44" s="82"/>
      <c r="QPR44" s="82"/>
      <c r="QPS44" s="82"/>
      <c r="QPT44" s="82"/>
      <c r="QPU44" s="82"/>
      <c r="QPV44" s="82"/>
      <c r="QPW44" s="82"/>
      <c r="QPX44" s="82"/>
      <c r="QPY44" s="82"/>
      <c r="QPZ44" s="82"/>
      <c r="QQA44" s="82"/>
      <c r="QQB44" s="82"/>
      <c r="QQC44" s="82"/>
      <c r="QQD44" s="82"/>
      <c r="QQE44" s="82"/>
      <c r="QQF44" s="82"/>
      <c r="QQG44" s="82"/>
      <c r="QQH44" s="82"/>
      <c r="QQI44" s="82"/>
      <c r="QQJ44" s="82"/>
      <c r="QQK44" s="82"/>
      <c r="QQL44" s="82"/>
      <c r="QQM44" s="82"/>
      <c r="QQN44" s="82"/>
      <c r="QQO44" s="82"/>
      <c r="QQP44" s="82"/>
      <c r="QQQ44" s="82"/>
      <c r="QQR44" s="82"/>
      <c r="QQS44" s="82"/>
      <c r="QQT44" s="82"/>
      <c r="QQU44" s="82"/>
      <c r="QQV44" s="82"/>
      <c r="QQW44" s="82"/>
      <c r="QQX44" s="82"/>
      <c r="QQY44" s="82"/>
      <c r="QQZ44" s="82"/>
      <c r="QRA44" s="82"/>
      <c r="QRB44" s="82"/>
      <c r="QRC44" s="82"/>
      <c r="QRD44" s="82"/>
      <c r="QRE44" s="82"/>
      <c r="QRF44" s="82"/>
      <c r="QRG44" s="82"/>
      <c r="QRH44" s="82"/>
      <c r="QRI44" s="82"/>
      <c r="QRJ44" s="82"/>
      <c r="QRK44" s="82"/>
      <c r="QRL44" s="82"/>
      <c r="QRM44" s="82"/>
      <c r="QRN44" s="82"/>
      <c r="QRO44" s="82"/>
      <c r="QRP44" s="82"/>
      <c r="QRQ44" s="82"/>
      <c r="QRR44" s="82"/>
      <c r="QRS44" s="82"/>
      <c r="QRT44" s="82"/>
      <c r="QRU44" s="82"/>
      <c r="QRV44" s="82"/>
      <c r="QRW44" s="82"/>
      <c r="QRX44" s="82"/>
      <c r="QRY44" s="82"/>
      <c r="QRZ44" s="82"/>
      <c r="QSA44" s="82"/>
      <c r="QSB44" s="82"/>
      <c r="QSC44" s="82"/>
      <c r="QSD44" s="82"/>
      <c r="QSE44" s="82"/>
      <c r="QSF44" s="82"/>
      <c r="QSG44" s="82"/>
      <c r="QSH44" s="82"/>
      <c r="QSI44" s="82"/>
      <c r="QSJ44" s="82"/>
      <c r="QSK44" s="82"/>
      <c r="QSL44" s="82"/>
      <c r="QSM44" s="82"/>
      <c r="QSN44" s="82"/>
      <c r="QSO44" s="82"/>
      <c r="QSP44" s="82"/>
      <c r="QSQ44" s="82"/>
      <c r="QSR44" s="82"/>
      <c r="QSS44" s="82"/>
      <c r="QST44" s="82"/>
      <c r="QSU44" s="82"/>
      <c r="QSV44" s="82"/>
      <c r="QSW44" s="82"/>
      <c r="QSX44" s="82"/>
      <c r="QSY44" s="82"/>
      <c r="QSZ44" s="82"/>
      <c r="QTA44" s="82"/>
      <c r="QTB44" s="82"/>
      <c r="QTC44" s="82"/>
      <c r="QTD44" s="82"/>
      <c r="QTE44" s="82"/>
      <c r="QTF44" s="82"/>
      <c r="QTG44" s="82"/>
      <c r="QTH44" s="82"/>
      <c r="QTI44" s="82"/>
      <c r="QTJ44" s="82"/>
      <c r="QTK44" s="82"/>
      <c r="QTL44" s="82"/>
      <c r="QTM44" s="82"/>
      <c r="QTN44" s="82"/>
      <c r="QTO44" s="82"/>
      <c r="QTP44" s="82"/>
      <c r="QTQ44" s="82"/>
      <c r="QTR44" s="82"/>
      <c r="QTS44" s="82"/>
      <c r="QTT44" s="82"/>
      <c r="QTU44" s="82"/>
      <c r="QTV44" s="82"/>
      <c r="QTW44" s="82"/>
      <c r="QTX44" s="82"/>
      <c r="QTY44" s="82"/>
      <c r="QTZ44" s="82"/>
      <c r="QUA44" s="82"/>
      <c r="QUB44" s="82"/>
      <c r="QUC44" s="82"/>
      <c r="QUD44" s="82"/>
      <c r="QUE44" s="82"/>
      <c r="QUF44" s="82"/>
      <c r="QUG44" s="82"/>
      <c r="QUH44" s="82"/>
      <c r="QUI44" s="82"/>
      <c r="QUJ44" s="82"/>
      <c r="QUK44" s="82"/>
      <c r="QUL44" s="82"/>
      <c r="QUM44" s="82"/>
      <c r="QUN44" s="82"/>
      <c r="QUO44" s="82"/>
      <c r="QUP44" s="82"/>
      <c r="QUQ44" s="82"/>
      <c r="QUR44" s="82"/>
      <c r="QUS44" s="82"/>
      <c r="QUT44" s="82"/>
      <c r="QUU44" s="82"/>
      <c r="QUV44" s="82"/>
      <c r="QUW44" s="82"/>
      <c r="QUX44" s="82"/>
      <c r="QUY44" s="82"/>
      <c r="QUZ44" s="82"/>
      <c r="QVA44" s="82"/>
      <c r="QVB44" s="82"/>
      <c r="QVC44" s="82"/>
      <c r="QVD44" s="82"/>
      <c r="QVE44" s="82"/>
      <c r="QVF44" s="82"/>
      <c r="QVG44" s="82"/>
      <c r="QVH44" s="82"/>
      <c r="QVI44" s="82"/>
      <c r="QVJ44" s="82"/>
      <c r="QVK44" s="82"/>
      <c r="QVL44" s="82"/>
      <c r="QVM44" s="82"/>
      <c r="QVN44" s="82"/>
      <c r="QVO44" s="82"/>
      <c r="QVP44" s="82"/>
      <c r="QVQ44" s="82"/>
      <c r="QVR44" s="82"/>
      <c r="QVS44" s="82"/>
      <c r="QVT44" s="82"/>
      <c r="QVU44" s="82"/>
      <c r="QVV44" s="82"/>
      <c r="QVW44" s="82"/>
      <c r="QVX44" s="82"/>
      <c r="QVY44" s="82"/>
      <c r="QVZ44" s="82"/>
      <c r="QWA44" s="82"/>
      <c r="QWB44" s="82"/>
      <c r="QWC44" s="82"/>
      <c r="QWD44" s="82"/>
      <c r="QWE44" s="82"/>
      <c r="QWF44" s="82"/>
      <c r="QWG44" s="82"/>
      <c r="QWH44" s="82"/>
      <c r="QWI44" s="82"/>
      <c r="QWJ44" s="82"/>
      <c r="QWK44" s="82"/>
      <c r="QWL44" s="82"/>
      <c r="QWM44" s="82"/>
      <c r="QWN44" s="82"/>
      <c r="QWO44" s="82"/>
      <c r="QWP44" s="82"/>
      <c r="QWQ44" s="82"/>
      <c r="QWR44" s="82"/>
      <c r="QWS44" s="82"/>
      <c r="QWT44" s="82"/>
      <c r="QWU44" s="82"/>
      <c r="QWV44" s="82"/>
      <c r="QWW44" s="82"/>
      <c r="QWX44" s="82"/>
      <c r="QWY44" s="82"/>
      <c r="QWZ44" s="82"/>
      <c r="QXA44" s="82"/>
      <c r="QXB44" s="82"/>
      <c r="QXC44" s="82"/>
      <c r="QXD44" s="82"/>
      <c r="QXE44" s="82"/>
      <c r="QXF44" s="82"/>
      <c r="QXG44" s="82"/>
      <c r="QXH44" s="82"/>
      <c r="QXI44" s="82"/>
      <c r="QXJ44" s="82"/>
      <c r="QXK44" s="82"/>
      <c r="QXL44" s="82"/>
      <c r="QXM44" s="82"/>
      <c r="QXN44" s="82"/>
      <c r="QXO44" s="82"/>
      <c r="QXP44" s="82"/>
      <c r="QXQ44" s="82"/>
      <c r="QXR44" s="82"/>
      <c r="QXS44" s="82"/>
      <c r="QXT44" s="82"/>
      <c r="QXU44" s="82"/>
      <c r="QXV44" s="82"/>
      <c r="QXW44" s="82"/>
      <c r="QXX44" s="82"/>
      <c r="QXY44" s="82"/>
      <c r="QXZ44" s="82"/>
      <c r="QYA44" s="82"/>
      <c r="QYB44" s="82"/>
      <c r="QYC44" s="82"/>
      <c r="QYD44" s="82"/>
      <c r="QYE44" s="82"/>
      <c r="QYF44" s="82"/>
      <c r="QYG44" s="82"/>
      <c r="QYH44" s="82"/>
      <c r="QYI44" s="82"/>
      <c r="QYJ44" s="82"/>
      <c r="QYK44" s="82"/>
      <c r="QYL44" s="82"/>
      <c r="QYM44" s="82"/>
      <c r="QYN44" s="82"/>
      <c r="QYO44" s="82"/>
      <c r="QYP44" s="82"/>
      <c r="QYQ44" s="82"/>
      <c r="QYR44" s="82"/>
      <c r="QYS44" s="82"/>
      <c r="QYT44" s="82"/>
      <c r="QYU44" s="82"/>
      <c r="QYV44" s="82"/>
      <c r="QYW44" s="82"/>
      <c r="QYX44" s="82"/>
      <c r="QYY44" s="82"/>
      <c r="QYZ44" s="82"/>
      <c r="QZA44" s="82"/>
      <c r="QZB44" s="82"/>
      <c r="QZC44" s="82"/>
      <c r="QZD44" s="82"/>
      <c r="QZE44" s="82"/>
      <c r="QZF44" s="82"/>
      <c r="QZG44" s="82"/>
      <c r="QZH44" s="82"/>
      <c r="QZI44" s="82"/>
      <c r="QZJ44" s="82"/>
      <c r="QZK44" s="82"/>
      <c r="QZL44" s="82"/>
      <c r="QZM44" s="82"/>
      <c r="QZN44" s="82"/>
      <c r="QZO44" s="82"/>
      <c r="QZP44" s="82"/>
      <c r="QZQ44" s="82"/>
      <c r="QZR44" s="82"/>
      <c r="QZS44" s="82"/>
      <c r="QZT44" s="82"/>
      <c r="QZU44" s="82"/>
      <c r="QZV44" s="82"/>
      <c r="QZW44" s="82"/>
      <c r="QZX44" s="82"/>
      <c r="QZY44" s="82"/>
      <c r="QZZ44" s="82"/>
      <c r="RAA44" s="82"/>
      <c r="RAB44" s="82"/>
      <c r="RAC44" s="82"/>
      <c r="RAD44" s="82"/>
      <c r="RAE44" s="82"/>
      <c r="RAF44" s="82"/>
      <c r="RAG44" s="82"/>
      <c r="RAH44" s="82"/>
      <c r="RAI44" s="82"/>
      <c r="RAJ44" s="82"/>
      <c r="RAK44" s="82"/>
      <c r="RAL44" s="82"/>
      <c r="RAM44" s="82"/>
      <c r="RAN44" s="82"/>
      <c r="RAO44" s="82"/>
      <c r="RAP44" s="82"/>
      <c r="RAQ44" s="82"/>
      <c r="RAR44" s="82"/>
      <c r="RAS44" s="82"/>
      <c r="RAT44" s="82"/>
      <c r="RAU44" s="82"/>
      <c r="RAV44" s="82"/>
      <c r="RAW44" s="82"/>
      <c r="RAX44" s="82"/>
      <c r="RAY44" s="82"/>
      <c r="RAZ44" s="82"/>
      <c r="RBA44" s="82"/>
      <c r="RBB44" s="82"/>
      <c r="RBC44" s="82"/>
      <c r="RBD44" s="82"/>
      <c r="RBE44" s="82"/>
      <c r="RBF44" s="82"/>
      <c r="RBG44" s="82"/>
      <c r="RBH44" s="82"/>
      <c r="RBI44" s="82"/>
      <c r="RBJ44" s="82"/>
      <c r="RBK44" s="82"/>
      <c r="RBL44" s="82"/>
      <c r="RBM44" s="82"/>
      <c r="RBN44" s="82"/>
      <c r="RBO44" s="82"/>
      <c r="RBP44" s="82"/>
      <c r="RBQ44" s="82"/>
      <c r="RBR44" s="82"/>
      <c r="RBS44" s="82"/>
      <c r="RBT44" s="82"/>
      <c r="RBU44" s="82"/>
      <c r="RBV44" s="82"/>
      <c r="RBW44" s="82"/>
      <c r="RBX44" s="82"/>
      <c r="RBY44" s="82"/>
      <c r="RBZ44" s="82"/>
      <c r="RCA44" s="82"/>
      <c r="RCB44" s="82"/>
      <c r="RCC44" s="82"/>
      <c r="RCD44" s="82"/>
      <c r="RCE44" s="82"/>
      <c r="RCF44" s="82"/>
      <c r="RCG44" s="82"/>
      <c r="RCH44" s="82"/>
      <c r="RCI44" s="82"/>
      <c r="RCJ44" s="82"/>
      <c r="RCK44" s="82"/>
      <c r="RCL44" s="82"/>
      <c r="RCM44" s="82"/>
      <c r="RCN44" s="82"/>
      <c r="RCO44" s="82"/>
      <c r="RCP44" s="82"/>
      <c r="RCQ44" s="82"/>
      <c r="RCR44" s="82"/>
      <c r="RCS44" s="82"/>
      <c r="RCT44" s="82"/>
      <c r="RCU44" s="82"/>
      <c r="RCV44" s="82"/>
      <c r="RCW44" s="82"/>
      <c r="RCX44" s="82"/>
      <c r="RCY44" s="82"/>
      <c r="RCZ44" s="82"/>
      <c r="RDA44" s="82"/>
      <c r="RDB44" s="82"/>
      <c r="RDC44" s="82"/>
      <c r="RDD44" s="82"/>
      <c r="RDE44" s="82"/>
      <c r="RDF44" s="82"/>
      <c r="RDG44" s="82"/>
      <c r="RDH44" s="82"/>
      <c r="RDI44" s="82"/>
      <c r="RDJ44" s="82"/>
      <c r="RDK44" s="82"/>
      <c r="RDL44" s="82"/>
      <c r="RDM44" s="82"/>
      <c r="RDN44" s="82"/>
      <c r="RDO44" s="82"/>
      <c r="RDP44" s="82"/>
      <c r="RDQ44" s="82"/>
      <c r="RDR44" s="82"/>
      <c r="RDS44" s="82"/>
      <c r="RDT44" s="82"/>
      <c r="RDU44" s="82"/>
      <c r="RDV44" s="82"/>
      <c r="RDW44" s="82"/>
      <c r="RDX44" s="82"/>
      <c r="RDY44" s="82"/>
      <c r="RDZ44" s="82"/>
      <c r="REA44" s="82"/>
      <c r="REB44" s="82"/>
      <c r="REC44" s="82"/>
      <c r="RED44" s="82"/>
      <c r="REE44" s="82"/>
      <c r="REF44" s="82"/>
      <c r="REG44" s="82"/>
      <c r="REH44" s="82"/>
      <c r="REI44" s="82"/>
      <c r="REJ44" s="82"/>
      <c r="REK44" s="82"/>
      <c r="REL44" s="82"/>
      <c r="REM44" s="82"/>
      <c r="REN44" s="82"/>
      <c r="REO44" s="82"/>
      <c r="REP44" s="82"/>
      <c r="REQ44" s="82"/>
      <c r="RER44" s="82"/>
      <c r="RES44" s="82"/>
      <c r="RET44" s="82"/>
      <c r="REU44" s="82"/>
      <c r="REV44" s="82"/>
      <c r="REW44" s="82"/>
      <c r="REX44" s="82"/>
      <c r="REY44" s="82"/>
      <c r="REZ44" s="82"/>
      <c r="RFA44" s="82"/>
      <c r="RFB44" s="82"/>
      <c r="RFC44" s="82"/>
      <c r="RFD44" s="82"/>
      <c r="RFE44" s="82"/>
      <c r="RFF44" s="82"/>
      <c r="RFG44" s="82"/>
      <c r="RFH44" s="82"/>
      <c r="RFI44" s="82"/>
      <c r="RFJ44" s="82"/>
      <c r="RFK44" s="82"/>
      <c r="RFL44" s="82"/>
      <c r="RFM44" s="82"/>
      <c r="RFN44" s="82"/>
      <c r="RFO44" s="82"/>
      <c r="RFP44" s="82"/>
      <c r="RFQ44" s="82"/>
      <c r="RFR44" s="82"/>
      <c r="RFS44" s="82"/>
      <c r="RFT44" s="82"/>
      <c r="RFU44" s="82"/>
      <c r="RFV44" s="82"/>
      <c r="RFW44" s="82"/>
      <c r="RFX44" s="82"/>
      <c r="RFY44" s="82"/>
      <c r="RFZ44" s="82"/>
      <c r="RGA44" s="82"/>
      <c r="RGB44" s="82"/>
      <c r="RGC44" s="82"/>
      <c r="RGD44" s="82"/>
      <c r="RGE44" s="82"/>
      <c r="RGF44" s="82"/>
      <c r="RGG44" s="82"/>
      <c r="RGH44" s="82"/>
      <c r="RGI44" s="82"/>
      <c r="RGJ44" s="82"/>
      <c r="RGK44" s="82"/>
      <c r="RGL44" s="82"/>
      <c r="RGM44" s="82"/>
      <c r="RGN44" s="82"/>
      <c r="RGO44" s="82"/>
      <c r="RGP44" s="82"/>
      <c r="RGQ44" s="82"/>
      <c r="RGR44" s="82"/>
      <c r="RGS44" s="82"/>
      <c r="RGT44" s="82"/>
      <c r="RGU44" s="82"/>
      <c r="RGV44" s="82"/>
      <c r="RGW44" s="82"/>
      <c r="RGX44" s="82"/>
      <c r="RGY44" s="82"/>
      <c r="RGZ44" s="82"/>
      <c r="RHA44" s="82"/>
      <c r="RHB44" s="82"/>
      <c r="RHC44" s="82"/>
      <c r="RHD44" s="82"/>
      <c r="RHE44" s="82"/>
      <c r="RHF44" s="82"/>
      <c r="RHG44" s="82"/>
      <c r="RHH44" s="82"/>
      <c r="RHI44" s="82"/>
      <c r="RHJ44" s="82"/>
      <c r="RHK44" s="82"/>
      <c r="RHL44" s="82"/>
      <c r="RHM44" s="82"/>
      <c r="RHN44" s="82"/>
      <c r="RHO44" s="82"/>
      <c r="RHP44" s="82"/>
      <c r="RHQ44" s="82"/>
      <c r="RHR44" s="82"/>
      <c r="RHS44" s="82"/>
      <c r="RHT44" s="82"/>
      <c r="RHU44" s="82"/>
      <c r="RHV44" s="82"/>
      <c r="RHW44" s="82"/>
      <c r="RHX44" s="82"/>
      <c r="RHY44" s="82"/>
      <c r="RHZ44" s="82"/>
      <c r="RIA44" s="82"/>
      <c r="RIB44" s="82"/>
      <c r="RIC44" s="82"/>
      <c r="RID44" s="82"/>
      <c r="RIE44" s="82"/>
      <c r="RIF44" s="82"/>
      <c r="RIG44" s="82"/>
      <c r="RIH44" s="82"/>
      <c r="RII44" s="82"/>
      <c r="RIJ44" s="82"/>
      <c r="RIK44" s="82"/>
      <c r="RIL44" s="82"/>
      <c r="RIM44" s="82"/>
      <c r="RIN44" s="82"/>
      <c r="RIO44" s="82"/>
      <c r="RIP44" s="82"/>
      <c r="RIQ44" s="82"/>
      <c r="RIR44" s="82"/>
      <c r="RIS44" s="82"/>
      <c r="RIT44" s="82"/>
      <c r="RIU44" s="82"/>
      <c r="RIV44" s="82"/>
      <c r="RIW44" s="82"/>
      <c r="RIX44" s="82"/>
      <c r="RIY44" s="82"/>
      <c r="RIZ44" s="82"/>
      <c r="RJA44" s="82"/>
      <c r="RJB44" s="82"/>
      <c r="RJC44" s="82"/>
      <c r="RJD44" s="82"/>
      <c r="RJE44" s="82"/>
      <c r="RJF44" s="82"/>
      <c r="RJG44" s="82"/>
      <c r="RJH44" s="82"/>
      <c r="RJI44" s="82"/>
      <c r="RJJ44" s="82"/>
      <c r="RJK44" s="82"/>
      <c r="RJL44" s="82"/>
      <c r="RJM44" s="82"/>
      <c r="RJN44" s="82"/>
      <c r="RJO44" s="82"/>
      <c r="RJP44" s="82"/>
      <c r="RJQ44" s="82"/>
      <c r="RJR44" s="82"/>
      <c r="RJS44" s="82"/>
      <c r="RJT44" s="82"/>
      <c r="RJU44" s="82"/>
      <c r="RJV44" s="82"/>
      <c r="RJW44" s="82"/>
      <c r="RJX44" s="82"/>
      <c r="RJY44" s="82"/>
      <c r="RJZ44" s="82"/>
      <c r="RKA44" s="82"/>
      <c r="RKB44" s="82"/>
      <c r="RKC44" s="82"/>
      <c r="RKD44" s="82"/>
      <c r="RKE44" s="82"/>
      <c r="RKF44" s="82"/>
      <c r="RKG44" s="82"/>
      <c r="RKH44" s="82"/>
      <c r="RKI44" s="82"/>
      <c r="RKJ44" s="82"/>
      <c r="RKK44" s="82"/>
      <c r="RKL44" s="82"/>
      <c r="RKM44" s="82"/>
      <c r="RKN44" s="82"/>
      <c r="RKO44" s="82"/>
      <c r="RKP44" s="82"/>
      <c r="RKQ44" s="82"/>
      <c r="RKR44" s="82"/>
      <c r="RKS44" s="82"/>
      <c r="RKT44" s="82"/>
      <c r="RKU44" s="82"/>
      <c r="RKV44" s="82"/>
      <c r="RKW44" s="82"/>
      <c r="RKX44" s="82"/>
      <c r="RKY44" s="82"/>
      <c r="RKZ44" s="82"/>
      <c r="RLA44" s="82"/>
      <c r="RLB44" s="82"/>
      <c r="RLC44" s="82"/>
      <c r="RLD44" s="82"/>
      <c r="RLE44" s="82"/>
      <c r="RLF44" s="82"/>
      <c r="RLG44" s="82"/>
      <c r="RLH44" s="82"/>
      <c r="RLI44" s="82"/>
      <c r="RLJ44" s="82"/>
      <c r="RLK44" s="82"/>
      <c r="RLL44" s="82"/>
      <c r="RLM44" s="82"/>
      <c r="RLN44" s="82"/>
      <c r="RLO44" s="82"/>
      <c r="RLP44" s="82"/>
      <c r="RLQ44" s="82"/>
      <c r="RLR44" s="82"/>
      <c r="RLS44" s="82"/>
      <c r="RLT44" s="82"/>
      <c r="RLU44" s="82"/>
      <c r="RLV44" s="82"/>
      <c r="RLW44" s="82"/>
      <c r="RLX44" s="82"/>
      <c r="RLY44" s="82"/>
      <c r="RLZ44" s="82"/>
      <c r="RMA44" s="82"/>
      <c r="RMB44" s="82"/>
      <c r="RMC44" s="82"/>
      <c r="RMD44" s="82"/>
      <c r="RME44" s="82"/>
      <c r="RMF44" s="82"/>
      <c r="RMG44" s="82"/>
      <c r="RMH44" s="82"/>
      <c r="RMI44" s="82"/>
      <c r="RMJ44" s="82"/>
      <c r="RMK44" s="82"/>
      <c r="RML44" s="82"/>
      <c r="RMM44" s="82"/>
      <c r="RMN44" s="82"/>
      <c r="RMO44" s="82"/>
      <c r="RMP44" s="82"/>
      <c r="RMQ44" s="82"/>
      <c r="RMR44" s="82"/>
      <c r="RMS44" s="82"/>
      <c r="RMT44" s="82"/>
      <c r="RMU44" s="82"/>
      <c r="RMV44" s="82"/>
      <c r="RMW44" s="82"/>
      <c r="RMX44" s="82"/>
      <c r="RMY44" s="82"/>
      <c r="RMZ44" s="82"/>
      <c r="RNA44" s="82"/>
      <c r="RNB44" s="82"/>
      <c r="RNC44" s="82"/>
      <c r="RND44" s="82"/>
      <c r="RNE44" s="82"/>
      <c r="RNF44" s="82"/>
      <c r="RNG44" s="82"/>
      <c r="RNH44" s="82"/>
      <c r="RNI44" s="82"/>
      <c r="RNJ44" s="82"/>
      <c r="RNK44" s="82"/>
      <c r="RNL44" s="82"/>
      <c r="RNM44" s="82"/>
      <c r="RNN44" s="82"/>
      <c r="RNO44" s="82"/>
      <c r="RNP44" s="82"/>
      <c r="RNQ44" s="82"/>
      <c r="RNR44" s="82"/>
      <c r="RNS44" s="82"/>
      <c r="RNT44" s="82"/>
      <c r="RNU44" s="82"/>
      <c r="RNV44" s="82"/>
      <c r="RNW44" s="82"/>
      <c r="RNX44" s="82"/>
      <c r="RNY44" s="82"/>
      <c r="RNZ44" s="82"/>
      <c r="ROA44" s="82"/>
      <c r="ROB44" s="82"/>
      <c r="ROC44" s="82"/>
      <c r="ROD44" s="82"/>
      <c r="ROE44" s="82"/>
      <c r="ROF44" s="82"/>
      <c r="ROG44" s="82"/>
      <c r="ROH44" s="82"/>
      <c r="ROI44" s="82"/>
      <c r="ROJ44" s="82"/>
      <c r="ROK44" s="82"/>
      <c r="ROL44" s="82"/>
      <c r="ROM44" s="82"/>
      <c r="RON44" s="82"/>
      <c r="ROO44" s="82"/>
      <c r="ROP44" s="82"/>
      <c r="ROQ44" s="82"/>
      <c r="ROR44" s="82"/>
      <c r="ROS44" s="82"/>
      <c r="ROT44" s="82"/>
      <c r="ROU44" s="82"/>
      <c r="ROV44" s="82"/>
      <c r="ROW44" s="82"/>
      <c r="ROX44" s="82"/>
      <c r="ROY44" s="82"/>
      <c r="ROZ44" s="82"/>
      <c r="RPA44" s="82"/>
      <c r="RPB44" s="82"/>
      <c r="RPC44" s="82"/>
      <c r="RPD44" s="82"/>
      <c r="RPE44" s="82"/>
      <c r="RPF44" s="82"/>
      <c r="RPG44" s="82"/>
      <c r="RPH44" s="82"/>
      <c r="RPI44" s="82"/>
      <c r="RPJ44" s="82"/>
      <c r="RPK44" s="82"/>
      <c r="RPL44" s="82"/>
      <c r="RPM44" s="82"/>
      <c r="RPN44" s="82"/>
      <c r="RPO44" s="82"/>
      <c r="RPP44" s="82"/>
      <c r="RPQ44" s="82"/>
      <c r="RPR44" s="82"/>
      <c r="RPS44" s="82"/>
      <c r="RPT44" s="82"/>
      <c r="RPU44" s="82"/>
      <c r="RPV44" s="82"/>
      <c r="RPW44" s="82"/>
      <c r="RPX44" s="82"/>
      <c r="RPY44" s="82"/>
      <c r="RPZ44" s="82"/>
      <c r="RQA44" s="82"/>
      <c r="RQB44" s="82"/>
      <c r="RQC44" s="82"/>
      <c r="RQD44" s="82"/>
      <c r="RQE44" s="82"/>
      <c r="RQF44" s="82"/>
      <c r="RQG44" s="82"/>
      <c r="RQH44" s="82"/>
      <c r="RQI44" s="82"/>
      <c r="RQJ44" s="82"/>
      <c r="RQK44" s="82"/>
      <c r="RQL44" s="82"/>
      <c r="RQM44" s="82"/>
      <c r="RQN44" s="82"/>
      <c r="RQO44" s="82"/>
      <c r="RQP44" s="82"/>
      <c r="RQQ44" s="82"/>
      <c r="RQR44" s="82"/>
      <c r="RQS44" s="82"/>
      <c r="RQT44" s="82"/>
      <c r="RQU44" s="82"/>
      <c r="RQV44" s="82"/>
      <c r="RQW44" s="82"/>
      <c r="RQX44" s="82"/>
      <c r="RQY44" s="82"/>
      <c r="RQZ44" s="82"/>
      <c r="RRA44" s="82"/>
      <c r="RRB44" s="82"/>
      <c r="RRC44" s="82"/>
      <c r="RRD44" s="82"/>
      <c r="RRE44" s="82"/>
      <c r="RRF44" s="82"/>
      <c r="RRG44" s="82"/>
      <c r="RRH44" s="82"/>
      <c r="RRI44" s="82"/>
      <c r="RRJ44" s="82"/>
      <c r="RRK44" s="82"/>
      <c r="RRL44" s="82"/>
      <c r="RRM44" s="82"/>
      <c r="RRN44" s="82"/>
      <c r="RRO44" s="82"/>
      <c r="RRP44" s="82"/>
      <c r="RRQ44" s="82"/>
      <c r="RRR44" s="82"/>
      <c r="RRS44" s="82"/>
      <c r="RRT44" s="82"/>
      <c r="RRU44" s="82"/>
      <c r="RRV44" s="82"/>
      <c r="RRW44" s="82"/>
      <c r="RRX44" s="82"/>
      <c r="RRY44" s="82"/>
      <c r="RRZ44" s="82"/>
      <c r="RSA44" s="82"/>
      <c r="RSB44" s="82"/>
      <c r="RSC44" s="82"/>
      <c r="RSD44" s="82"/>
      <c r="RSE44" s="82"/>
      <c r="RSF44" s="82"/>
      <c r="RSG44" s="82"/>
      <c r="RSH44" s="82"/>
      <c r="RSI44" s="82"/>
      <c r="RSJ44" s="82"/>
      <c r="RSK44" s="82"/>
      <c r="RSL44" s="82"/>
      <c r="RSM44" s="82"/>
      <c r="RSN44" s="82"/>
      <c r="RSO44" s="82"/>
      <c r="RSP44" s="82"/>
      <c r="RSQ44" s="82"/>
      <c r="RSR44" s="82"/>
      <c r="RSS44" s="82"/>
      <c r="RST44" s="82"/>
      <c r="RSU44" s="82"/>
      <c r="RSV44" s="82"/>
      <c r="RSW44" s="82"/>
      <c r="RSX44" s="82"/>
      <c r="RSY44" s="82"/>
      <c r="RSZ44" s="82"/>
      <c r="RTA44" s="82"/>
      <c r="RTB44" s="82"/>
      <c r="RTC44" s="82"/>
      <c r="RTD44" s="82"/>
      <c r="RTE44" s="82"/>
      <c r="RTF44" s="82"/>
      <c r="RTG44" s="82"/>
      <c r="RTH44" s="82"/>
      <c r="RTI44" s="82"/>
      <c r="RTJ44" s="82"/>
      <c r="RTK44" s="82"/>
      <c r="RTL44" s="82"/>
      <c r="RTM44" s="82"/>
      <c r="RTN44" s="82"/>
      <c r="RTO44" s="82"/>
      <c r="RTP44" s="82"/>
      <c r="RTQ44" s="82"/>
      <c r="RTR44" s="82"/>
      <c r="RTS44" s="82"/>
      <c r="RTT44" s="82"/>
      <c r="RTU44" s="82"/>
      <c r="RTV44" s="82"/>
      <c r="RTW44" s="82"/>
      <c r="RTX44" s="82"/>
      <c r="RTY44" s="82"/>
      <c r="RTZ44" s="82"/>
      <c r="RUA44" s="82"/>
      <c r="RUB44" s="82"/>
      <c r="RUC44" s="82"/>
      <c r="RUD44" s="82"/>
      <c r="RUE44" s="82"/>
      <c r="RUF44" s="82"/>
      <c r="RUG44" s="82"/>
      <c r="RUH44" s="82"/>
      <c r="RUI44" s="82"/>
      <c r="RUJ44" s="82"/>
      <c r="RUK44" s="82"/>
      <c r="RUL44" s="82"/>
      <c r="RUM44" s="82"/>
      <c r="RUN44" s="82"/>
      <c r="RUO44" s="82"/>
      <c r="RUP44" s="82"/>
      <c r="RUQ44" s="82"/>
      <c r="RUR44" s="82"/>
      <c r="RUS44" s="82"/>
      <c r="RUT44" s="82"/>
      <c r="RUU44" s="82"/>
      <c r="RUV44" s="82"/>
      <c r="RUW44" s="82"/>
      <c r="RUX44" s="82"/>
      <c r="RUY44" s="82"/>
      <c r="RUZ44" s="82"/>
      <c r="RVA44" s="82"/>
      <c r="RVB44" s="82"/>
      <c r="RVC44" s="82"/>
      <c r="RVD44" s="82"/>
      <c r="RVE44" s="82"/>
      <c r="RVF44" s="82"/>
      <c r="RVG44" s="82"/>
      <c r="RVH44" s="82"/>
      <c r="RVI44" s="82"/>
      <c r="RVJ44" s="82"/>
      <c r="RVK44" s="82"/>
      <c r="RVL44" s="82"/>
      <c r="RVM44" s="82"/>
      <c r="RVN44" s="82"/>
      <c r="RVO44" s="82"/>
      <c r="RVP44" s="82"/>
      <c r="RVQ44" s="82"/>
      <c r="RVR44" s="82"/>
      <c r="RVS44" s="82"/>
      <c r="RVT44" s="82"/>
      <c r="RVU44" s="82"/>
      <c r="RVV44" s="82"/>
      <c r="RVW44" s="82"/>
      <c r="RVX44" s="82"/>
      <c r="RVY44" s="82"/>
      <c r="RVZ44" s="82"/>
      <c r="RWA44" s="82"/>
      <c r="RWB44" s="82"/>
      <c r="RWC44" s="82"/>
      <c r="RWD44" s="82"/>
      <c r="RWE44" s="82"/>
      <c r="RWF44" s="82"/>
      <c r="RWG44" s="82"/>
      <c r="RWH44" s="82"/>
      <c r="RWI44" s="82"/>
      <c r="RWJ44" s="82"/>
      <c r="RWK44" s="82"/>
      <c r="RWL44" s="82"/>
      <c r="RWM44" s="82"/>
      <c r="RWN44" s="82"/>
      <c r="RWO44" s="82"/>
      <c r="RWP44" s="82"/>
      <c r="RWQ44" s="82"/>
      <c r="RWR44" s="82"/>
      <c r="RWS44" s="82"/>
      <c r="RWT44" s="82"/>
      <c r="RWU44" s="82"/>
      <c r="RWV44" s="82"/>
      <c r="RWW44" s="82"/>
      <c r="RWX44" s="82"/>
      <c r="RWY44" s="82"/>
      <c r="RWZ44" s="82"/>
      <c r="RXA44" s="82"/>
      <c r="RXB44" s="82"/>
      <c r="RXC44" s="82"/>
      <c r="RXD44" s="82"/>
      <c r="RXE44" s="82"/>
      <c r="RXF44" s="82"/>
      <c r="RXG44" s="82"/>
      <c r="RXH44" s="82"/>
      <c r="RXI44" s="82"/>
      <c r="RXJ44" s="82"/>
      <c r="RXK44" s="82"/>
      <c r="RXL44" s="82"/>
      <c r="RXM44" s="82"/>
      <c r="RXN44" s="82"/>
      <c r="RXO44" s="82"/>
      <c r="RXP44" s="82"/>
      <c r="RXQ44" s="82"/>
      <c r="RXR44" s="82"/>
      <c r="RXS44" s="82"/>
      <c r="RXT44" s="82"/>
      <c r="RXU44" s="82"/>
      <c r="RXV44" s="82"/>
      <c r="RXW44" s="82"/>
      <c r="RXX44" s="82"/>
      <c r="RXY44" s="82"/>
      <c r="RXZ44" s="82"/>
      <c r="RYA44" s="82"/>
      <c r="RYB44" s="82"/>
      <c r="RYC44" s="82"/>
      <c r="RYD44" s="82"/>
      <c r="RYE44" s="82"/>
      <c r="RYF44" s="82"/>
      <c r="RYG44" s="82"/>
      <c r="RYH44" s="82"/>
      <c r="RYI44" s="82"/>
      <c r="RYJ44" s="82"/>
      <c r="RYK44" s="82"/>
      <c r="RYL44" s="82"/>
      <c r="RYM44" s="82"/>
      <c r="RYN44" s="82"/>
      <c r="RYO44" s="82"/>
      <c r="RYP44" s="82"/>
      <c r="RYQ44" s="82"/>
      <c r="RYR44" s="82"/>
      <c r="RYS44" s="82"/>
      <c r="RYT44" s="82"/>
      <c r="RYU44" s="82"/>
      <c r="RYV44" s="82"/>
      <c r="RYW44" s="82"/>
      <c r="RYX44" s="82"/>
      <c r="RYY44" s="82"/>
      <c r="RYZ44" s="82"/>
      <c r="RZA44" s="82"/>
      <c r="RZB44" s="82"/>
      <c r="RZC44" s="82"/>
      <c r="RZD44" s="82"/>
      <c r="RZE44" s="82"/>
      <c r="RZF44" s="82"/>
      <c r="RZG44" s="82"/>
      <c r="RZH44" s="82"/>
      <c r="RZI44" s="82"/>
      <c r="RZJ44" s="82"/>
      <c r="RZK44" s="82"/>
      <c r="RZL44" s="82"/>
      <c r="RZM44" s="82"/>
      <c r="RZN44" s="82"/>
      <c r="RZO44" s="82"/>
      <c r="RZP44" s="82"/>
      <c r="RZQ44" s="82"/>
      <c r="RZR44" s="82"/>
      <c r="RZS44" s="82"/>
      <c r="RZT44" s="82"/>
      <c r="RZU44" s="82"/>
      <c r="RZV44" s="82"/>
      <c r="RZW44" s="82"/>
      <c r="RZX44" s="82"/>
      <c r="RZY44" s="82"/>
      <c r="RZZ44" s="82"/>
      <c r="SAA44" s="82"/>
      <c r="SAB44" s="82"/>
      <c r="SAC44" s="82"/>
      <c r="SAD44" s="82"/>
      <c r="SAE44" s="82"/>
      <c r="SAF44" s="82"/>
      <c r="SAG44" s="82"/>
      <c r="SAH44" s="82"/>
      <c r="SAI44" s="82"/>
      <c r="SAJ44" s="82"/>
      <c r="SAK44" s="82"/>
      <c r="SAL44" s="82"/>
      <c r="SAM44" s="82"/>
      <c r="SAN44" s="82"/>
      <c r="SAO44" s="82"/>
      <c r="SAP44" s="82"/>
      <c r="SAQ44" s="82"/>
      <c r="SAR44" s="82"/>
      <c r="SAS44" s="82"/>
      <c r="SAT44" s="82"/>
      <c r="SAU44" s="82"/>
      <c r="SAV44" s="82"/>
      <c r="SAW44" s="82"/>
      <c r="SAX44" s="82"/>
      <c r="SAY44" s="82"/>
      <c r="SAZ44" s="82"/>
      <c r="SBA44" s="82"/>
      <c r="SBB44" s="82"/>
      <c r="SBC44" s="82"/>
      <c r="SBD44" s="82"/>
      <c r="SBE44" s="82"/>
      <c r="SBF44" s="82"/>
      <c r="SBG44" s="82"/>
      <c r="SBH44" s="82"/>
      <c r="SBI44" s="82"/>
      <c r="SBJ44" s="82"/>
      <c r="SBK44" s="82"/>
      <c r="SBL44" s="82"/>
      <c r="SBM44" s="82"/>
      <c r="SBN44" s="82"/>
      <c r="SBO44" s="82"/>
      <c r="SBP44" s="82"/>
      <c r="SBQ44" s="82"/>
      <c r="SBR44" s="82"/>
      <c r="SBS44" s="82"/>
      <c r="SBT44" s="82"/>
      <c r="SBU44" s="82"/>
      <c r="SBV44" s="82"/>
      <c r="SBW44" s="82"/>
      <c r="SBX44" s="82"/>
      <c r="SBY44" s="82"/>
      <c r="SBZ44" s="82"/>
      <c r="SCA44" s="82"/>
      <c r="SCB44" s="82"/>
      <c r="SCC44" s="82"/>
      <c r="SCD44" s="82"/>
      <c r="SCE44" s="82"/>
      <c r="SCF44" s="82"/>
      <c r="SCG44" s="82"/>
      <c r="SCH44" s="82"/>
      <c r="SCI44" s="82"/>
      <c r="SCJ44" s="82"/>
      <c r="SCK44" s="82"/>
      <c r="SCL44" s="82"/>
      <c r="SCM44" s="82"/>
      <c r="SCN44" s="82"/>
      <c r="SCO44" s="82"/>
      <c r="SCP44" s="82"/>
      <c r="SCQ44" s="82"/>
      <c r="SCR44" s="82"/>
      <c r="SCS44" s="82"/>
      <c r="SCT44" s="82"/>
      <c r="SCU44" s="82"/>
      <c r="SCV44" s="82"/>
      <c r="SCW44" s="82"/>
      <c r="SCX44" s="82"/>
      <c r="SCY44" s="82"/>
      <c r="SCZ44" s="82"/>
      <c r="SDA44" s="82"/>
      <c r="SDB44" s="82"/>
      <c r="SDC44" s="82"/>
      <c r="SDD44" s="82"/>
      <c r="SDE44" s="82"/>
      <c r="SDF44" s="82"/>
      <c r="SDG44" s="82"/>
      <c r="SDH44" s="82"/>
      <c r="SDI44" s="82"/>
      <c r="SDJ44" s="82"/>
      <c r="SDK44" s="82"/>
      <c r="SDL44" s="82"/>
      <c r="SDM44" s="82"/>
      <c r="SDN44" s="82"/>
      <c r="SDO44" s="82"/>
      <c r="SDP44" s="82"/>
      <c r="SDQ44" s="82"/>
      <c r="SDR44" s="82"/>
      <c r="SDS44" s="82"/>
      <c r="SDT44" s="82"/>
      <c r="SDU44" s="82"/>
      <c r="SDV44" s="82"/>
      <c r="SDW44" s="82"/>
      <c r="SDX44" s="82"/>
      <c r="SDY44" s="82"/>
      <c r="SDZ44" s="82"/>
      <c r="SEA44" s="82"/>
      <c r="SEB44" s="82"/>
      <c r="SEC44" s="82"/>
      <c r="SED44" s="82"/>
      <c r="SEE44" s="82"/>
      <c r="SEF44" s="82"/>
      <c r="SEG44" s="82"/>
      <c r="SEH44" s="82"/>
      <c r="SEI44" s="82"/>
      <c r="SEJ44" s="82"/>
      <c r="SEK44" s="82"/>
      <c r="SEL44" s="82"/>
      <c r="SEM44" s="82"/>
      <c r="SEN44" s="82"/>
      <c r="SEO44" s="82"/>
      <c r="SEP44" s="82"/>
      <c r="SEQ44" s="82"/>
      <c r="SER44" s="82"/>
      <c r="SES44" s="82"/>
      <c r="SET44" s="82"/>
      <c r="SEU44" s="82"/>
      <c r="SEV44" s="82"/>
      <c r="SEW44" s="82"/>
      <c r="SEX44" s="82"/>
      <c r="SEY44" s="82"/>
      <c r="SEZ44" s="82"/>
      <c r="SFA44" s="82"/>
      <c r="SFB44" s="82"/>
      <c r="SFC44" s="82"/>
      <c r="SFD44" s="82"/>
      <c r="SFE44" s="82"/>
      <c r="SFF44" s="82"/>
      <c r="SFG44" s="82"/>
      <c r="SFH44" s="82"/>
      <c r="SFI44" s="82"/>
      <c r="SFJ44" s="82"/>
      <c r="SFK44" s="82"/>
      <c r="SFL44" s="82"/>
      <c r="SFM44" s="82"/>
      <c r="SFN44" s="82"/>
      <c r="SFO44" s="82"/>
      <c r="SFP44" s="82"/>
      <c r="SFQ44" s="82"/>
      <c r="SFR44" s="82"/>
      <c r="SFS44" s="82"/>
      <c r="SFT44" s="82"/>
      <c r="SFU44" s="82"/>
      <c r="SFV44" s="82"/>
      <c r="SFW44" s="82"/>
      <c r="SFX44" s="82"/>
      <c r="SFY44" s="82"/>
      <c r="SFZ44" s="82"/>
      <c r="SGA44" s="82"/>
      <c r="SGB44" s="82"/>
      <c r="SGC44" s="82"/>
      <c r="SGD44" s="82"/>
      <c r="SGE44" s="82"/>
      <c r="SGF44" s="82"/>
      <c r="SGG44" s="82"/>
      <c r="SGH44" s="82"/>
      <c r="SGI44" s="82"/>
      <c r="SGJ44" s="82"/>
      <c r="SGK44" s="82"/>
      <c r="SGL44" s="82"/>
      <c r="SGM44" s="82"/>
      <c r="SGN44" s="82"/>
      <c r="SGO44" s="82"/>
      <c r="SGP44" s="82"/>
      <c r="SGQ44" s="82"/>
      <c r="SGR44" s="82"/>
      <c r="SGS44" s="82"/>
      <c r="SGT44" s="82"/>
      <c r="SGU44" s="82"/>
      <c r="SGV44" s="82"/>
      <c r="SGW44" s="82"/>
      <c r="SGX44" s="82"/>
      <c r="SGY44" s="82"/>
      <c r="SGZ44" s="82"/>
      <c r="SHA44" s="82"/>
      <c r="SHB44" s="82"/>
      <c r="SHC44" s="82"/>
      <c r="SHD44" s="82"/>
      <c r="SHE44" s="82"/>
      <c r="SHF44" s="82"/>
      <c r="SHG44" s="82"/>
      <c r="SHH44" s="82"/>
      <c r="SHI44" s="82"/>
      <c r="SHJ44" s="82"/>
      <c r="SHK44" s="82"/>
      <c r="SHL44" s="82"/>
      <c r="SHM44" s="82"/>
      <c r="SHN44" s="82"/>
      <c r="SHO44" s="82"/>
      <c r="SHP44" s="82"/>
      <c r="SHQ44" s="82"/>
      <c r="SHR44" s="82"/>
      <c r="SHS44" s="82"/>
      <c r="SHT44" s="82"/>
      <c r="SHU44" s="82"/>
      <c r="SHV44" s="82"/>
      <c r="SHW44" s="82"/>
      <c r="SHX44" s="82"/>
      <c r="SHY44" s="82"/>
      <c r="SHZ44" s="82"/>
      <c r="SIA44" s="82"/>
      <c r="SIB44" s="82"/>
      <c r="SIC44" s="82"/>
      <c r="SID44" s="82"/>
      <c r="SIE44" s="82"/>
      <c r="SIF44" s="82"/>
      <c r="SIG44" s="82"/>
      <c r="SIH44" s="82"/>
      <c r="SII44" s="82"/>
      <c r="SIJ44" s="82"/>
      <c r="SIK44" s="82"/>
      <c r="SIL44" s="82"/>
      <c r="SIM44" s="82"/>
      <c r="SIN44" s="82"/>
      <c r="SIO44" s="82"/>
      <c r="SIP44" s="82"/>
      <c r="SIQ44" s="82"/>
      <c r="SIR44" s="82"/>
      <c r="SIS44" s="82"/>
      <c r="SIT44" s="82"/>
      <c r="SIU44" s="82"/>
      <c r="SIV44" s="82"/>
      <c r="SIW44" s="82"/>
      <c r="SIX44" s="82"/>
      <c r="SIY44" s="82"/>
      <c r="SIZ44" s="82"/>
      <c r="SJA44" s="82"/>
      <c r="SJB44" s="82"/>
      <c r="SJC44" s="82"/>
      <c r="SJD44" s="82"/>
      <c r="SJE44" s="82"/>
      <c r="SJF44" s="82"/>
      <c r="SJG44" s="82"/>
      <c r="SJH44" s="82"/>
      <c r="SJI44" s="82"/>
      <c r="SJJ44" s="82"/>
      <c r="SJK44" s="82"/>
      <c r="SJL44" s="82"/>
      <c r="SJM44" s="82"/>
      <c r="SJN44" s="82"/>
      <c r="SJO44" s="82"/>
      <c r="SJP44" s="82"/>
      <c r="SJQ44" s="82"/>
      <c r="SJR44" s="82"/>
      <c r="SJS44" s="82"/>
      <c r="SJT44" s="82"/>
      <c r="SJU44" s="82"/>
      <c r="SJV44" s="82"/>
      <c r="SJW44" s="82"/>
      <c r="SJX44" s="82"/>
      <c r="SJY44" s="82"/>
      <c r="SJZ44" s="82"/>
      <c r="SKA44" s="82"/>
      <c r="SKB44" s="82"/>
      <c r="SKC44" s="82"/>
      <c r="SKD44" s="82"/>
      <c r="SKE44" s="82"/>
      <c r="SKF44" s="82"/>
      <c r="SKG44" s="82"/>
      <c r="SKH44" s="82"/>
      <c r="SKI44" s="82"/>
      <c r="SKJ44" s="82"/>
      <c r="SKK44" s="82"/>
      <c r="SKL44" s="82"/>
      <c r="SKM44" s="82"/>
      <c r="SKN44" s="82"/>
      <c r="SKO44" s="82"/>
      <c r="SKP44" s="82"/>
      <c r="SKQ44" s="82"/>
      <c r="SKR44" s="82"/>
      <c r="SKS44" s="82"/>
      <c r="SKT44" s="82"/>
      <c r="SKU44" s="82"/>
      <c r="SKV44" s="82"/>
      <c r="SKW44" s="82"/>
      <c r="SKX44" s="82"/>
      <c r="SKY44" s="82"/>
      <c r="SKZ44" s="82"/>
      <c r="SLA44" s="82"/>
      <c r="SLB44" s="82"/>
      <c r="SLC44" s="82"/>
      <c r="SLD44" s="82"/>
      <c r="SLE44" s="82"/>
      <c r="SLF44" s="82"/>
      <c r="SLG44" s="82"/>
      <c r="SLH44" s="82"/>
      <c r="SLI44" s="82"/>
      <c r="SLJ44" s="82"/>
      <c r="SLK44" s="82"/>
      <c r="SLL44" s="82"/>
      <c r="SLM44" s="82"/>
      <c r="SLN44" s="82"/>
      <c r="SLO44" s="82"/>
      <c r="SLP44" s="82"/>
      <c r="SLQ44" s="82"/>
      <c r="SLR44" s="82"/>
      <c r="SLS44" s="82"/>
      <c r="SLT44" s="82"/>
      <c r="SLU44" s="82"/>
      <c r="SLV44" s="82"/>
      <c r="SLW44" s="82"/>
      <c r="SLX44" s="82"/>
      <c r="SLY44" s="82"/>
      <c r="SLZ44" s="82"/>
      <c r="SMA44" s="82"/>
      <c r="SMB44" s="82"/>
      <c r="SMC44" s="82"/>
      <c r="SMD44" s="82"/>
      <c r="SME44" s="82"/>
      <c r="SMF44" s="82"/>
      <c r="SMG44" s="82"/>
      <c r="SMH44" s="82"/>
      <c r="SMI44" s="82"/>
      <c r="SMJ44" s="82"/>
      <c r="SMK44" s="82"/>
      <c r="SML44" s="82"/>
      <c r="SMM44" s="82"/>
      <c r="SMN44" s="82"/>
      <c r="SMO44" s="82"/>
      <c r="SMP44" s="82"/>
      <c r="SMQ44" s="82"/>
      <c r="SMR44" s="82"/>
      <c r="SMS44" s="82"/>
      <c r="SMT44" s="82"/>
      <c r="SMU44" s="82"/>
      <c r="SMV44" s="82"/>
      <c r="SMW44" s="82"/>
      <c r="SMX44" s="82"/>
      <c r="SMY44" s="82"/>
      <c r="SMZ44" s="82"/>
      <c r="SNA44" s="82"/>
      <c r="SNB44" s="82"/>
      <c r="SNC44" s="82"/>
      <c r="SND44" s="82"/>
      <c r="SNE44" s="82"/>
      <c r="SNF44" s="82"/>
      <c r="SNG44" s="82"/>
      <c r="SNH44" s="82"/>
      <c r="SNI44" s="82"/>
      <c r="SNJ44" s="82"/>
      <c r="SNK44" s="82"/>
      <c r="SNL44" s="82"/>
      <c r="SNM44" s="82"/>
      <c r="SNN44" s="82"/>
      <c r="SNO44" s="82"/>
      <c r="SNP44" s="82"/>
      <c r="SNQ44" s="82"/>
      <c r="SNR44" s="82"/>
      <c r="SNS44" s="82"/>
      <c r="SNT44" s="82"/>
      <c r="SNU44" s="82"/>
      <c r="SNV44" s="82"/>
      <c r="SNW44" s="82"/>
      <c r="SNX44" s="82"/>
      <c r="SNY44" s="82"/>
      <c r="SNZ44" s="82"/>
      <c r="SOA44" s="82"/>
      <c r="SOB44" s="82"/>
      <c r="SOC44" s="82"/>
      <c r="SOD44" s="82"/>
      <c r="SOE44" s="82"/>
      <c r="SOF44" s="82"/>
      <c r="SOG44" s="82"/>
      <c r="SOH44" s="82"/>
      <c r="SOI44" s="82"/>
      <c r="SOJ44" s="82"/>
      <c r="SOK44" s="82"/>
      <c r="SOL44" s="82"/>
      <c r="SOM44" s="82"/>
      <c r="SON44" s="82"/>
      <c r="SOO44" s="82"/>
      <c r="SOP44" s="82"/>
      <c r="SOQ44" s="82"/>
      <c r="SOR44" s="82"/>
      <c r="SOS44" s="82"/>
      <c r="SOT44" s="82"/>
      <c r="SOU44" s="82"/>
      <c r="SOV44" s="82"/>
      <c r="SOW44" s="82"/>
      <c r="SOX44" s="82"/>
      <c r="SOY44" s="82"/>
      <c r="SOZ44" s="82"/>
      <c r="SPA44" s="82"/>
      <c r="SPB44" s="82"/>
      <c r="SPC44" s="82"/>
      <c r="SPD44" s="82"/>
      <c r="SPE44" s="82"/>
      <c r="SPF44" s="82"/>
      <c r="SPG44" s="82"/>
      <c r="SPH44" s="82"/>
      <c r="SPI44" s="82"/>
      <c r="SPJ44" s="82"/>
      <c r="SPK44" s="82"/>
      <c r="SPL44" s="82"/>
      <c r="SPM44" s="82"/>
      <c r="SPN44" s="82"/>
      <c r="SPO44" s="82"/>
      <c r="SPP44" s="82"/>
      <c r="SPQ44" s="82"/>
      <c r="SPR44" s="82"/>
      <c r="SPS44" s="82"/>
      <c r="SPT44" s="82"/>
      <c r="SPU44" s="82"/>
      <c r="SPV44" s="82"/>
      <c r="SPW44" s="82"/>
      <c r="SPX44" s="82"/>
      <c r="SPY44" s="82"/>
      <c r="SPZ44" s="82"/>
      <c r="SQA44" s="82"/>
      <c r="SQB44" s="82"/>
      <c r="SQC44" s="82"/>
      <c r="SQD44" s="82"/>
      <c r="SQE44" s="82"/>
      <c r="SQF44" s="82"/>
      <c r="SQG44" s="82"/>
      <c r="SQH44" s="82"/>
      <c r="SQI44" s="82"/>
      <c r="SQJ44" s="82"/>
      <c r="SQK44" s="82"/>
      <c r="SQL44" s="82"/>
      <c r="SQM44" s="82"/>
      <c r="SQN44" s="82"/>
      <c r="SQO44" s="82"/>
      <c r="SQP44" s="82"/>
      <c r="SQQ44" s="82"/>
      <c r="SQR44" s="82"/>
      <c r="SQS44" s="82"/>
      <c r="SQT44" s="82"/>
      <c r="SQU44" s="82"/>
      <c r="SQV44" s="82"/>
      <c r="SQW44" s="82"/>
      <c r="SQX44" s="82"/>
      <c r="SQY44" s="82"/>
      <c r="SQZ44" s="82"/>
      <c r="SRA44" s="82"/>
      <c r="SRB44" s="82"/>
      <c r="SRC44" s="82"/>
      <c r="SRD44" s="82"/>
      <c r="SRE44" s="82"/>
      <c r="SRF44" s="82"/>
      <c r="SRG44" s="82"/>
      <c r="SRH44" s="82"/>
      <c r="SRI44" s="82"/>
      <c r="SRJ44" s="82"/>
      <c r="SRK44" s="82"/>
      <c r="SRL44" s="82"/>
      <c r="SRM44" s="82"/>
      <c r="SRN44" s="82"/>
      <c r="SRO44" s="82"/>
      <c r="SRP44" s="82"/>
      <c r="SRQ44" s="82"/>
      <c r="SRR44" s="82"/>
      <c r="SRS44" s="82"/>
      <c r="SRT44" s="82"/>
      <c r="SRU44" s="82"/>
      <c r="SRV44" s="82"/>
      <c r="SRW44" s="82"/>
      <c r="SRX44" s="82"/>
      <c r="SRY44" s="82"/>
      <c r="SRZ44" s="82"/>
      <c r="SSA44" s="82"/>
      <c r="SSB44" s="82"/>
      <c r="SSC44" s="82"/>
      <c r="SSD44" s="82"/>
      <c r="SSE44" s="82"/>
      <c r="SSF44" s="82"/>
      <c r="SSG44" s="82"/>
      <c r="SSH44" s="82"/>
      <c r="SSI44" s="82"/>
      <c r="SSJ44" s="82"/>
      <c r="SSK44" s="82"/>
      <c r="SSL44" s="82"/>
      <c r="SSM44" s="82"/>
      <c r="SSN44" s="82"/>
      <c r="SSO44" s="82"/>
      <c r="SSP44" s="82"/>
      <c r="SSQ44" s="82"/>
      <c r="SSR44" s="82"/>
      <c r="SSS44" s="82"/>
      <c r="SST44" s="82"/>
      <c r="SSU44" s="82"/>
      <c r="SSV44" s="82"/>
      <c r="SSW44" s="82"/>
      <c r="SSX44" s="82"/>
      <c r="SSY44" s="82"/>
      <c r="SSZ44" s="82"/>
      <c r="STA44" s="82"/>
      <c r="STB44" s="82"/>
      <c r="STC44" s="82"/>
      <c r="STD44" s="82"/>
      <c r="STE44" s="82"/>
      <c r="STF44" s="82"/>
      <c r="STG44" s="82"/>
      <c r="STH44" s="82"/>
      <c r="STI44" s="82"/>
      <c r="STJ44" s="82"/>
      <c r="STK44" s="82"/>
      <c r="STL44" s="82"/>
      <c r="STM44" s="82"/>
      <c r="STN44" s="82"/>
      <c r="STO44" s="82"/>
      <c r="STP44" s="82"/>
      <c r="STQ44" s="82"/>
      <c r="STR44" s="82"/>
      <c r="STS44" s="82"/>
      <c r="STT44" s="82"/>
      <c r="STU44" s="82"/>
      <c r="STV44" s="82"/>
      <c r="STW44" s="82"/>
      <c r="STX44" s="82"/>
      <c r="STY44" s="82"/>
      <c r="STZ44" s="82"/>
      <c r="SUA44" s="82"/>
      <c r="SUB44" s="82"/>
      <c r="SUC44" s="82"/>
      <c r="SUD44" s="82"/>
      <c r="SUE44" s="82"/>
      <c r="SUF44" s="82"/>
      <c r="SUG44" s="82"/>
      <c r="SUH44" s="82"/>
      <c r="SUI44" s="82"/>
      <c r="SUJ44" s="82"/>
      <c r="SUK44" s="82"/>
      <c r="SUL44" s="82"/>
      <c r="SUM44" s="82"/>
      <c r="SUN44" s="82"/>
      <c r="SUO44" s="82"/>
      <c r="SUP44" s="82"/>
      <c r="SUQ44" s="82"/>
      <c r="SUR44" s="82"/>
      <c r="SUS44" s="82"/>
      <c r="SUT44" s="82"/>
      <c r="SUU44" s="82"/>
      <c r="SUV44" s="82"/>
      <c r="SUW44" s="82"/>
      <c r="SUX44" s="82"/>
      <c r="SUY44" s="82"/>
      <c r="SUZ44" s="82"/>
      <c r="SVA44" s="82"/>
      <c r="SVB44" s="82"/>
      <c r="SVC44" s="82"/>
      <c r="SVD44" s="82"/>
      <c r="SVE44" s="82"/>
      <c r="SVF44" s="82"/>
      <c r="SVG44" s="82"/>
      <c r="SVH44" s="82"/>
      <c r="SVI44" s="82"/>
      <c r="SVJ44" s="82"/>
      <c r="SVK44" s="82"/>
      <c r="SVL44" s="82"/>
      <c r="SVM44" s="82"/>
      <c r="SVN44" s="82"/>
      <c r="SVO44" s="82"/>
      <c r="SVP44" s="82"/>
      <c r="SVQ44" s="82"/>
      <c r="SVR44" s="82"/>
      <c r="SVS44" s="82"/>
      <c r="SVT44" s="82"/>
      <c r="SVU44" s="82"/>
      <c r="SVV44" s="82"/>
      <c r="SVW44" s="82"/>
      <c r="SVX44" s="82"/>
      <c r="SVY44" s="82"/>
      <c r="SVZ44" s="82"/>
      <c r="SWA44" s="82"/>
      <c r="SWB44" s="82"/>
      <c r="SWC44" s="82"/>
      <c r="SWD44" s="82"/>
      <c r="SWE44" s="82"/>
      <c r="SWF44" s="82"/>
      <c r="SWG44" s="82"/>
      <c r="SWH44" s="82"/>
      <c r="SWI44" s="82"/>
      <c r="SWJ44" s="82"/>
      <c r="SWK44" s="82"/>
      <c r="SWL44" s="82"/>
      <c r="SWM44" s="82"/>
      <c r="SWN44" s="82"/>
      <c r="SWO44" s="82"/>
      <c r="SWP44" s="82"/>
      <c r="SWQ44" s="82"/>
      <c r="SWR44" s="82"/>
      <c r="SWS44" s="82"/>
      <c r="SWT44" s="82"/>
      <c r="SWU44" s="82"/>
      <c r="SWV44" s="82"/>
      <c r="SWW44" s="82"/>
      <c r="SWX44" s="82"/>
      <c r="SWY44" s="82"/>
      <c r="SWZ44" s="82"/>
      <c r="SXA44" s="82"/>
      <c r="SXB44" s="82"/>
      <c r="SXC44" s="82"/>
      <c r="SXD44" s="82"/>
      <c r="SXE44" s="82"/>
      <c r="SXF44" s="82"/>
      <c r="SXG44" s="82"/>
      <c r="SXH44" s="82"/>
      <c r="SXI44" s="82"/>
      <c r="SXJ44" s="82"/>
      <c r="SXK44" s="82"/>
      <c r="SXL44" s="82"/>
      <c r="SXM44" s="82"/>
      <c r="SXN44" s="82"/>
      <c r="SXO44" s="82"/>
      <c r="SXP44" s="82"/>
      <c r="SXQ44" s="82"/>
      <c r="SXR44" s="82"/>
      <c r="SXS44" s="82"/>
      <c r="SXT44" s="82"/>
      <c r="SXU44" s="82"/>
      <c r="SXV44" s="82"/>
      <c r="SXW44" s="82"/>
      <c r="SXX44" s="82"/>
      <c r="SXY44" s="82"/>
      <c r="SXZ44" s="82"/>
      <c r="SYA44" s="82"/>
      <c r="SYB44" s="82"/>
      <c r="SYC44" s="82"/>
      <c r="SYD44" s="82"/>
      <c r="SYE44" s="82"/>
      <c r="SYF44" s="82"/>
      <c r="SYG44" s="82"/>
      <c r="SYH44" s="82"/>
      <c r="SYI44" s="82"/>
      <c r="SYJ44" s="82"/>
      <c r="SYK44" s="82"/>
      <c r="SYL44" s="82"/>
      <c r="SYM44" s="82"/>
      <c r="SYN44" s="82"/>
      <c r="SYO44" s="82"/>
      <c r="SYP44" s="82"/>
      <c r="SYQ44" s="82"/>
      <c r="SYR44" s="82"/>
      <c r="SYS44" s="82"/>
      <c r="SYT44" s="82"/>
      <c r="SYU44" s="82"/>
      <c r="SYV44" s="82"/>
      <c r="SYW44" s="82"/>
      <c r="SYX44" s="82"/>
      <c r="SYY44" s="82"/>
      <c r="SYZ44" s="82"/>
      <c r="SZA44" s="82"/>
      <c r="SZB44" s="82"/>
      <c r="SZC44" s="82"/>
      <c r="SZD44" s="82"/>
      <c r="SZE44" s="82"/>
      <c r="SZF44" s="82"/>
      <c r="SZG44" s="82"/>
      <c r="SZH44" s="82"/>
      <c r="SZI44" s="82"/>
      <c r="SZJ44" s="82"/>
      <c r="SZK44" s="82"/>
      <c r="SZL44" s="82"/>
      <c r="SZM44" s="82"/>
      <c r="SZN44" s="82"/>
      <c r="SZO44" s="82"/>
      <c r="SZP44" s="82"/>
      <c r="SZQ44" s="82"/>
      <c r="SZR44" s="82"/>
      <c r="SZS44" s="82"/>
      <c r="SZT44" s="82"/>
      <c r="SZU44" s="82"/>
      <c r="SZV44" s="82"/>
      <c r="SZW44" s="82"/>
      <c r="SZX44" s="82"/>
      <c r="SZY44" s="82"/>
      <c r="SZZ44" s="82"/>
      <c r="TAA44" s="82"/>
      <c r="TAB44" s="82"/>
      <c r="TAC44" s="82"/>
      <c r="TAD44" s="82"/>
      <c r="TAE44" s="82"/>
      <c r="TAF44" s="82"/>
      <c r="TAG44" s="82"/>
      <c r="TAH44" s="82"/>
      <c r="TAI44" s="82"/>
      <c r="TAJ44" s="82"/>
      <c r="TAK44" s="82"/>
      <c r="TAL44" s="82"/>
      <c r="TAM44" s="82"/>
      <c r="TAN44" s="82"/>
      <c r="TAO44" s="82"/>
      <c r="TAP44" s="82"/>
      <c r="TAQ44" s="82"/>
      <c r="TAR44" s="82"/>
      <c r="TAS44" s="82"/>
      <c r="TAT44" s="82"/>
      <c r="TAU44" s="82"/>
      <c r="TAV44" s="82"/>
      <c r="TAW44" s="82"/>
      <c r="TAX44" s="82"/>
      <c r="TAY44" s="82"/>
      <c r="TAZ44" s="82"/>
      <c r="TBA44" s="82"/>
      <c r="TBB44" s="82"/>
      <c r="TBC44" s="82"/>
      <c r="TBD44" s="82"/>
      <c r="TBE44" s="82"/>
      <c r="TBF44" s="82"/>
      <c r="TBG44" s="82"/>
      <c r="TBH44" s="82"/>
      <c r="TBI44" s="82"/>
      <c r="TBJ44" s="82"/>
      <c r="TBK44" s="82"/>
      <c r="TBL44" s="82"/>
      <c r="TBM44" s="82"/>
      <c r="TBN44" s="82"/>
      <c r="TBO44" s="82"/>
      <c r="TBP44" s="82"/>
      <c r="TBQ44" s="82"/>
      <c r="TBR44" s="82"/>
      <c r="TBS44" s="82"/>
      <c r="TBT44" s="82"/>
      <c r="TBU44" s="82"/>
      <c r="TBV44" s="82"/>
      <c r="TBW44" s="82"/>
      <c r="TBX44" s="82"/>
      <c r="TBY44" s="82"/>
      <c r="TBZ44" s="82"/>
      <c r="TCA44" s="82"/>
      <c r="TCB44" s="82"/>
      <c r="TCC44" s="82"/>
      <c r="TCD44" s="82"/>
      <c r="TCE44" s="82"/>
      <c r="TCF44" s="82"/>
      <c r="TCG44" s="82"/>
      <c r="TCH44" s="82"/>
      <c r="TCI44" s="82"/>
      <c r="TCJ44" s="82"/>
      <c r="TCK44" s="82"/>
      <c r="TCL44" s="82"/>
      <c r="TCM44" s="82"/>
      <c r="TCN44" s="82"/>
      <c r="TCO44" s="82"/>
      <c r="TCP44" s="82"/>
      <c r="TCQ44" s="82"/>
      <c r="TCR44" s="82"/>
      <c r="TCS44" s="82"/>
      <c r="TCT44" s="82"/>
      <c r="TCU44" s="82"/>
      <c r="TCV44" s="82"/>
      <c r="TCW44" s="82"/>
      <c r="TCX44" s="82"/>
      <c r="TCY44" s="82"/>
      <c r="TCZ44" s="82"/>
      <c r="TDA44" s="82"/>
      <c r="TDB44" s="82"/>
      <c r="TDC44" s="82"/>
      <c r="TDD44" s="82"/>
      <c r="TDE44" s="82"/>
      <c r="TDF44" s="82"/>
      <c r="TDG44" s="82"/>
      <c r="TDH44" s="82"/>
      <c r="TDI44" s="82"/>
      <c r="TDJ44" s="82"/>
      <c r="TDK44" s="82"/>
      <c r="TDL44" s="82"/>
      <c r="TDM44" s="82"/>
      <c r="TDN44" s="82"/>
      <c r="TDO44" s="82"/>
      <c r="TDP44" s="82"/>
      <c r="TDQ44" s="82"/>
      <c r="TDR44" s="82"/>
      <c r="TDS44" s="82"/>
      <c r="TDT44" s="82"/>
      <c r="TDU44" s="82"/>
      <c r="TDV44" s="82"/>
      <c r="TDW44" s="82"/>
      <c r="TDX44" s="82"/>
      <c r="TDY44" s="82"/>
      <c r="TDZ44" s="82"/>
      <c r="TEA44" s="82"/>
      <c r="TEB44" s="82"/>
      <c r="TEC44" s="82"/>
      <c r="TED44" s="82"/>
      <c r="TEE44" s="82"/>
      <c r="TEF44" s="82"/>
      <c r="TEG44" s="82"/>
      <c r="TEH44" s="82"/>
      <c r="TEI44" s="82"/>
      <c r="TEJ44" s="82"/>
      <c r="TEK44" s="82"/>
      <c r="TEL44" s="82"/>
      <c r="TEM44" s="82"/>
      <c r="TEN44" s="82"/>
      <c r="TEO44" s="82"/>
      <c r="TEP44" s="82"/>
      <c r="TEQ44" s="82"/>
      <c r="TER44" s="82"/>
      <c r="TES44" s="82"/>
      <c r="TET44" s="82"/>
      <c r="TEU44" s="82"/>
      <c r="TEV44" s="82"/>
      <c r="TEW44" s="82"/>
      <c r="TEX44" s="82"/>
      <c r="TEY44" s="82"/>
      <c r="TEZ44" s="82"/>
      <c r="TFA44" s="82"/>
      <c r="TFB44" s="82"/>
      <c r="TFC44" s="82"/>
      <c r="TFD44" s="82"/>
      <c r="TFE44" s="82"/>
      <c r="TFF44" s="82"/>
      <c r="TFG44" s="82"/>
      <c r="TFH44" s="82"/>
      <c r="TFI44" s="82"/>
      <c r="TFJ44" s="82"/>
      <c r="TFK44" s="82"/>
      <c r="TFL44" s="82"/>
      <c r="TFM44" s="82"/>
      <c r="TFN44" s="82"/>
      <c r="TFO44" s="82"/>
      <c r="TFP44" s="82"/>
      <c r="TFQ44" s="82"/>
      <c r="TFR44" s="82"/>
      <c r="TFS44" s="82"/>
      <c r="TFT44" s="82"/>
      <c r="TFU44" s="82"/>
      <c r="TFV44" s="82"/>
      <c r="TFW44" s="82"/>
      <c r="TFX44" s="82"/>
      <c r="TFY44" s="82"/>
      <c r="TFZ44" s="82"/>
      <c r="TGA44" s="82"/>
      <c r="TGB44" s="82"/>
      <c r="TGC44" s="82"/>
      <c r="TGD44" s="82"/>
      <c r="TGE44" s="82"/>
      <c r="TGF44" s="82"/>
      <c r="TGG44" s="82"/>
      <c r="TGH44" s="82"/>
      <c r="TGI44" s="82"/>
      <c r="TGJ44" s="82"/>
      <c r="TGK44" s="82"/>
      <c r="TGL44" s="82"/>
      <c r="TGM44" s="82"/>
      <c r="TGN44" s="82"/>
      <c r="TGO44" s="82"/>
      <c r="TGP44" s="82"/>
      <c r="TGQ44" s="82"/>
      <c r="TGR44" s="82"/>
      <c r="TGS44" s="82"/>
      <c r="TGT44" s="82"/>
      <c r="TGU44" s="82"/>
      <c r="TGV44" s="82"/>
      <c r="TGW44" s="82"/>
      <c r="TGX44" s="82"/>
      <c r="TGY44" s="82"/>
      <c r="TGZ44" s="82"/>
      <c r="THA44" s="82"/>
      <c r="THB44" s="82"/>
      <c r="THC44" s="82"/>
      <c r="THD44" s="82"/>
      <c r="THE44" s="82"/>
      <c r="THF44" s="82"/>
      <c r="THG44" s="82"/>
      <c r="THH44" s="82"/>
      <c r="THI44" s="82"/>
      <c r="THJ44" s="82"/>
      <c r="THK44" s="82"/>
      <c r="THL44" s="82"/>
      <c r="THM44" s="82"/>
      <c r="THN44" s="82"/>
      <c r="THO44" s="82"/>
      <c r="THP44" s="82"/>
      <c r="THQ44" s="82"/>
      <c r="THR44" s="82"/>
      <c r="THS44" s="82"/>
      <c r="THT44" s="82"/>
      <c r="THU44" s="82"/>
      <c r="THV44" s="82"/>
      <c r="THW44" s="82"/>
      <c r="THX44" s="82"/>
      <c r="THY44" s="82"/>
      <c r="THZ44" s="82"/>
      <c r="TIA44" s="82"/>
      <c r="TIB44" s="82"/>
      <c r="TIC44" s="82"/>
      <c r="TID44" s="82"/>
      <c r="TIE44" s="82"/>
      <c r="TIF44" s="82"/>
      <c r="TIG44" s="82"/>
      <c r="TIH44" s="82"/>
      <c r="TII44" s="82"/>
      <c r="TIJ44" s="82"/>
      <c r="TIK44" s="82"/>
      <c r="TIL44" s="82"/>
      <c r="TIM44" s="82"/>
      <c r="TIN44" s="82"/>
      <c r="TIO44" s="82"/>
      <c r="TIP44" s="82"/>
      <c r="TIQ44" s="82"/>
      <c r="TIR44" s="82"/>
      <c r="TIS44" s="82"/>
      <c r="TIT44" s="82"/>
      <c r="TIU44" s="82"/>
      <c r="TIV44" s="82"/>
      <c r="TIW44" s="82"/>
      <c r="TIX44" s="82"/>
      <c r="TIY44" s="82"/>
      <c r="TIZ44" s="82"/>
      <c r="TJA44" s="82"/>
      <c r="TJB44" s="82"/>
      <c r="TJC44" s="82"/>
      <c r="TJD44" s="82"/>
      <c r="TJE44" s="82"/>
      <c r="TJF44" s="82"/>
      <c r="TJG44" s="82"/>
      <c r="TJH44" s="82"/>
      <c r="TJI44" s="82"/>
      <c r="TJJ44" s="82"/>
      <c r="TJK44" s="82"/>
      <c r="TJL44" s="82"/>
      <c r="TJM44" s="82"/>
      <c r="TJN44" s="82"/>
      <c r="TJO44" s="82"/>
      <c r="TJP44" s="82"/>
      <c r="TJQ44" s="82"/>
      <c r="TJR44" s="82"/>
      <c r="TJS44" s="82"/>
      <c r="TJT44" s="82"/>
      <c r="TJU44" s="82"/>
      <c r="TJV44" s="82"/>
      <c r="TJW44" s="82"/>
      <c r="TJX44" s="82"/>
      <c r="TJY44" s="82"/>
      <c r="TJZ44" s="82"/>
      <c r="TKA44" s="82"/>
      <c r="TKB44" s="82"/>
      <c r="TKC44" s="82"/>
      <c r="TKD44" s="82"/>
      <c r="TKE44" s="82"/>
      <c r="TKF44" s="82"/>
      <c r="TKG44" s="82"/>
      <c r="TKH44" s="82"/>
      <c r="TKI44" s="82"/>
      <c r="TKJ44" s="82"/>
      <c r="TKK44" s="82"/>
      <c r="TKL44" s="82"/>
      <c r="TKM44" s="82"/>
      <c r="TKN44" s="82"/>
      <c r="TKO44" s="82"/>
      <c r="TKP44" s="82"/>
      <c r="TKQ44" s="82"/>
      <c r="TKR44" s="82"/>
      <c r="TKS44" s="82"/>
      <c r="TKT44" s="82"/>
      <c r="TKU44" s="82"/>
      <c r="TKV44" s="82"/>
      <c r="TKW44" s="82"/>
      <c r="TKX44" s="82"/>
      <c r="TKY44" s="82"/>
      <c r="TKZ44" s="82"/>
      <c r="TLA44" s="82"/>
      <c r="TLB44" s="82"/>
      <c r="TLC44" s="82"/>
      <c r="TLD44" s="82"/>
      <c r="TLE44" s="82"/>
      <c r="TLF44" s="82"/>
      <c r="TLG44" s="82"/>
      <c r="TLH44" s="82"/>
      <c r="TLI44" s="82"/>
      <c r="TLJ44" s="82"/>
      <c r="TLK44" s="82"/>
      <c r="TLL44" s="82"/>
      <c r="TLM44" s="82"/>
      <c r="TLN44" s="82"/>
      <c r="TLO44" s="82"/>
      <c r="TLP44" s="82"/>
      <c r="TLQ44" s="82"/>
      <c r="TLR44" s="82"/>
      <c r="TLS44" s="82"/>
      <c r="TLT44" s="82"/>
      <c r="TLU44" s="82"/>
      <c r="TLV44" s="82"/>
      <c r="TLW44" s="82"/>
      <c r="TLX44" s="82"/>
      <c r="TLY44" s="82"/>
      <c r="TLZ44" s="82"/>
      <c r="TMA44" s="82"/>
      <c r="TMB44" s="82"/>
      <c r="TMC44" s="82"/>
      <c r="TMD44" s="82"/>
      <c r="TME44" s="82"/>
      <c r="TMF44" s="82"/>
      <c r="TMG44" s="82"/>
      <c r="TMH44" s="82"/>
      <c r="TMI44" s="82"/>
      <c r="TMJ44" s="82"/>
      <c r="TMK44" s="82"/>
      <c r="TML44" s="82"/>
      <c r="TMM44" s="82"/>
      <c r="TMN44" s="82"/>
      <c r="TMO44" s="82"/>
      <c r="TMP44" s="82"/>
      <c r="TMQ44" s="82"/>
      <c r="TMR44" s="82"/>
      <c r="TMS44" s="82"/>
      <c r="TMT44" s="82"/>
      <c r="TMU44" s="82"/>
      <c r="TMV44" s="82"/>
      <c r="TMW44" s="82"/>
      <c r="TMX44" s="82"/>
      <c r="TMY44" s="82"/>
      <c r="TMZ44" s="82"/>
      <c r="TNA44" s="82"/>
      <c r="TNB44" s="82"/>
      <c r="TNC44" s="82"/>
      <c r="TND44" s="82"/>
      <c r="TNE44" s="82"/>
      <c r="TNF44" s="82"/>
      <c r="TNG44" s="82"/>
      <c r="TNH44" s="82"/>
      <c r="TNI44" s="82"/>
      <c r="TNJ44" s="82"/>
      <c r="TNK44" s="82"/>
      <c r="TNL44" s="82"/>
      <c r="TNM44" s="82"/>
      <c r="TNN44" s="82"/>
      <c r="TNO44" s="82"/>
      <c r="TNP44" s="82"/>
      <c r="TNQ44" s="82"/>
      <c r="TNR44" s="82"/>
      <c r="TNS44" s="82"/>
      <c r="TNT44" s="82"/>
      <c r="TNU44" s="82"/>
      <c r="TNV44" s="82"/>
      <c r="TNW44" s="82"/>
      <c r="TNX44" s="82"/>
      <c r="TNY44" s="82"/>
      <c r="TNZ44" s="82"/>
      <c r="TOA44" s="82"/>
      <c r="TOB44" s="82"/>
      <c r="TOC44" s="82"/>
      <c r="TOD44" s="82"/>
      <c r="TOE44" s="82"/>
      <c r="TOF44" s="82"/>
      <c r="TOG44" s="82"/>
      <c r="TOH44" s="82"/>
      <c r="TOI44" s="82"/>
      <c r="TOJ44" s="82"/>
      <c r="TOK44" s="82"/>
      <c r="TOL44" s="82"/>
      <c r="TOM44" s="82"/>
      <c r="TON44" s="82"/>
      <c r="TOO44" s="82"/>
      <c r="TOP44" s="82"/>
      <c r="TOQ44" s="82"/>
      <c r="TOR44" s="82"/>
      <c r="TOS44" s="82"/>
      <c r="TOT44" s="82"/>
      <c r="TOU44" s="82"/>
      <c r="TOV44" s="82"/>
      <c r="TOW44" s="82"/>
      <c r="TOX44" s="82"/>
      <c r="TOY44" s="82"/>
      <c r="TOZ44" s="82"/>
      <c r="TPA44" s="82"/>
      <c r="TPB44" s="82"/>
      <c r="TPC44" s="82"/>
      <c r="TPD44" s="82"/>
      <c r="TPE44" s="82"/>
      <c r="TPF44" s="82"/>
      <c r="TPG44" s="82"/>
      <c r="TPH44" s="82"/>
      <c r="TPI44" s="82"/>
      <c r="TPJ44" s="82"/>
      <c r="TPK44" s="82"/>
      <c r="TPL44" s="82"/>
      <c r="TPM44" s="82"/>
      <c r="TPN44" s="82"/>
      <c r="TPO44" s="82"/>
      <c r="TPP44" s="82"/>
      <c r="TPQ44" s="82"/>
      <c r="TPR44" s="82"/>
      <c r="TPS44" s="82"/>
      <c r="TPT44" s="82"/>
      <c r="TPU44" s="82"/>
      <c r="TPV44" s="82"/>
      <c r="TPW44" s="82"/>
      <c r="TPX44" s="82"/>
      <c r="TPY44" s="82"/>
      <c r="TPZ44" s="82"/>
      <c r="TQA44" s="82"/>
      <c r="TQB44" s="82"/>
      <c r="TQC44" s="82"/>
      <c r="TQD44" s="82"/>
      <c r="TQE44" s="82"/>
      <c r="TQF44" s="82"/>
      <c r="TQG44" s="82"/>
      <c r="TQH44" s="82"/>
      <c r="TQI44" s="82"/>
      <c r="TQJ44" s="82"/>
      <c r="TQK44" s="82"/>
      <c r="TQL44" s="82"/>
      <c r="TQM44" s="82"/>
      <c r="TQN44" s="82"/>
      <c r="TQO44" s="82"/>
      <c r="TQP44" s="82"/>
      <c r="TQQ44" s="82"/>
      <c r="TQR44" s="82"/>
      <c r="TQS44" s="82"/>
      <c r="TQT44" s="82"/>
      <c r="TQU44" s="82"/>
      <c r="TQV44" s="82"/>
      <c r="TQW44" s="82"/>
      <c r="TQX44" s="82"/>
      <c r="TQY44" s="82"/>
      <c r="TQZ44" s="82"/>
      <c r="TRA44" s="82"/>
      <c r="TRB44" s="82"/>
      <c r="TRC44" s="82"/>
      <c r="TRD44" s="82"/>
      <c r="TRE44" s="82"/>
      <c r="TRF44" s="82"/>
      <c r="TRG44" s="82"/>
      <c r="TRH44" s="82"/>
      <c r="TRI44" s="82"/>
      <c r="TRJ44" s="82"/>
      <c r="TRK44" s="82"/>
      <c r="TRL44" s="82"/>
      <c r="TRM44" s="82"/>
      <c r="TRN44" s="82"/>
      <c r="TRO44" s="82"/>
      <c r="TRP44" s="82"/>
      <c r="TRQ44" s="82"/>
      <c r="TRR44" s="82"/>
      <c r="TRS44" s="82"/>
      <c r="TRT44" s="82"/>
      <c r="TRU44" s="82"/>
      <c r="TRV44" s="82"/>
      <c r="TRW44" s="82"/>
      <c r="TRX44" s="82"/>
      <c r="TRY44" s="82"/>
      <c r="TRZ44" s="82"/>
      <c r="TSA44" s="82"/>
      <c r="TSB44" s="82"/>
      <c r="TSC44" s="82"/>
      <c r="TSD44" s="82"/>
      <c r="TSE44" s="82"/>
      <c r="TSF44" s="82"/>
      <c r="TSG44" s="82"/>
      <c r="TSH44" s="82"/>
      <c r="TSI44" s="82"/>
      <c r="TSJ44" s="82"/>
      <c r="TSK44" s="82"/>
      <c r="TSL44" s="82"/>
      <c r="TSM44" s="82"/>
      <c r="TSN44" s="82"/>
      <c r="TSO44" s="82"/>
      <c r="TSP44" s="82"/>
      <c r="TSQ44" s="82"/>
      <c r="TSR44" s="82"/>
      <c r="TSS44" s="82"/>
      <c r="TST44" s="82"/>
      <c r="TSU44" s="82"/>
      <c r="TSV44" s="82"/>
      <c r="TSW44" s="82"/>
      <c r="TSX44" s="82"/>
      <c r="TSY44" s="82"/>
      <c r="TSZ44" s="82"/>
      <c r="TTA44" s="82"/>
      <c r="TTB44" s="82"/>
      <c r="TTC44" s="82"/>
      <c r="TTD44" s="82"/>
      <c r="TTE44" s="82"/>
      <c r="TTF44" s="82"/>
      <c r="TTG44" s="82"/>
      <c r="TTH44" s="82"/>
      <c r="TTI44" s="82"/>
      <c r="TTJ44" s="82"/>
      <c r="TTK44" s="82"/>
      <c r="TTL44" s="82"/>
      <c r="TTM44" s="82"/>
      <c r="TTN44" s="82"/>
      <c r="TTO44" s="82"/>
      <c r="TTP44" s="82"/>
      <c r="TTQ44" s="82"/>
      <c r="TTR44" s="82"/>
      <c r="TTS44" s="82"/>
      <c r="TTT44" s="82"/>
      <c r="TTU44" s="82"/>
      <c r="TTV44" s="82"/>
      <c r="TTW44" s="82"/>
      <c r="TTX44" s="82"/>
      <c r="TTY44" s="82"/>
      <c r="TTZ44" s="82"/>
      <c r="TUA44" s="82"/>
      <c r="TUB44" s="82"/>
      <c r="TUC44" s="82"/>
      <c r="TUD44" s="82"/>
      <c r="TUE44" s="82"/>
      <c r="TUF44" s="82"/>
      <c r="TUG44" s="82"/>
      <c r="TUH44" s="82"/>
      <c r="TUI44" s="82"/>
      <c r="TUJ44" s="82"/>
      <c r="TUK44" s="82"/>
      <c r="TUL44" s="82"/>
      <c r="TUM44" s="82"/>
      <c r="TUN44" s="82"/>
      <c r="TUO44" s="82"/>
      <c r="TUP44" s="82"/>
      <c r="TUQ44" s="82"/>
      <c r="TUR44" s="82"/>
      <c r="TUS44" s="82"/>
      <c r="TUT44" s="82"/>
      <c r="TUU44" s="82"/>
      <c r="TUV44" s="82"/>
      <c r="TUW44" s="82"/>
      <c r="TUX44" s="82"/>
      <c r="TUY44" s="82"/>
      <c r="TUZ44" s="82"/>
      <c r="TVA44" s="82"/>
      <c r="TVB44" s="82"/>
      <c r="TVC44" s="82"/>
      <c r="TVD44" s="82"/>
      <c r="TVE44" s="82"/>
      <c r="TVF44" s="82"/>
      <c r="TVG44" s="82"/>
      <c r="TVH44" s="82"/>
      <c r="TVI44" s="82"/>
      <c r="TVJ44" s="82"/>
      <c r="TVK44" s="82"/>
      <c r="TVL44" s="82"/>
      <c r="TVM44" s="82"/>
      <c r="TVN44" s="82"/>
      <c r="TVO44" s="82"/>
      <c r="TVP44" s="82"/>
      <c r="TVQ44" s="82"/>
      <c r="TVR44" s="82"/>
      <c r="TVS44" s="82"/>
      <c r="TVT44" s="82"/>
      <c r="TVU44" s="82"/>
      <c r="TVV44" s="82"/>
      <c r="TVW44" s="82"/>
      <c r="TVX44" s="82"/>
      <c r="TVY44" s="82"/>
      <c r="TVZ44" s="82"/>
      <c r="TWA44" s="82"/>
      <c r="TWB44" s="82"/>
      <c r="TWC44" s="82"/>
      <c r="TWD44" s="82"/>
      <c r="TWE44" s="82"/>
      <c r="TWF44" s="82"/>
      <c r="TWG44" s="82"/>
      <c r="TWH44" s="82"/>
      <c r="TWI44" s="82"/>
      <c r="TWJ44" s="82"/>
      <c r="TWK44" s="82"/>
      <c r="TWL44" s="82"/>
      <c r="TWM44" s="82"/>
      <c r="TWN44" s="82"/>
      <c r="TWO44" s="82"/>
      <c r="TWP44" s="82"/>
      <c r="TWQ44" s="82"/>
      <c r="TWR44" s="82"/>
      <c r="TWS44" s="82"/>
      <c r="TWT44" s="82"/>
      <c r="TWU44" s="82"/>
      <c r="TWV44" s="82"/>
      <c r="TWW44" s="82"/>
      <c r="TWX44" s="82"/>
      <c r="TWY44" s="82"/>
      <c r="TWZ44" s="82"/>
      <c r="TXA44" s="82"/>
      <c r="TXB44" s="82"/>
      <c r="TXC44" s="82"/>
      <c r="TXD44" s="82"/>
      <c r="TXE44" s="82"/>
      <c r="TXF44" s="82"/>
      <c r="TXG44" s="82"/>
      <c r="TXH44" s="82"/>
      <c r="TXI44" s="82"/>
      <c r="TXJ44" s="82"/>
      <c r="TXK44" s="82"/>
      <c r="TXL44" s="82"/>
      <c r="TXM44" s="82"/>
      <c r="TXN44" s="82"/>
      <c r="TXO44" s="82"/>
      <c r="TXP44" s="82"/>
      <c r="TXQ44" s="82"/>
      <c r="TXR44" s="82"/>
      <c r="TXS44" s="82"/>
      <c r="TXT44" s="82"/>
      <c r="TXU44" s="82"/>
      <c r="TXV44" s="82"/>
      <c r="TXW44" s="82"/>
      <c r="TXX44" s="82"/>
      <c r="TXY44" s="82"/>
      <c r="TXZ44" s="82"/>
      <c r="TYA44" s="82"/>
      <c r="TYB44" s="82"/>
      <c r="TYC44" s="82"/>
      <c r="TYD44" s="82"/>
      <c r="TYE44" s="82"/>
      <c r="TYF44" s="82"/>
      <c r="TYG44" s="82"/>
      <c r="TYH44" s="82"/>
      <c r="TYI44" s="82"/>
      <c r="TYJ44" s="82"/>
      <c r="TYK44" s="82"/>
      <c r="TYL44" s="82"/>
      <c r="TYM44" s="82"/>
      <c r="TYN44" s="82"/>
      <c r="TYO44" s="82"/>
      <c r="TYP44" s="82"/>
      <c r="TYQ44" s="82"/>
      <c r="TYR44" s="82"/>
      <c r="TYS44" s="82"/>
      <c r="TYT44" s="82"/>
      <c r="TYU44" s="82"/>
      <c r="TYV44" s="82"/>
      <c r="TYW44" s="82"/>
      <c r="TYX44" s="82"/>
      <c r="TYY44" s="82"/>
      <c r="TYZ44" s="82"/>
      <c r="TZA44" s="82"/>
      <c r="TZB44" s="82"/>
      <c r="TZC44" s="82"/>
      <c r="TZD44" s="82"/>
      <c r="TZE44" s="82"/>
      <c r="TZF44" s="82"/>
      <c r="TZG44" s="82"/>
      <c r="TZH44" s="82"/>
      <c r="TZI44" s="82"/>
      <c r="TZJ44" s="82"/>
      <c r="TZK44" s="82"/>
      <c r="TZL44" s="82"/>
      <c r="TZM44" s="82"/>
      <c r="TZN44" s="82"/>
      <c r="TZO44" s="82"/>
      <c r="TZP44" s="82"/>
      <c r="TZQ44" s="82"/>
      <c r="TZR44" s="82"/>
      <c r="TZS44" s="82"/>
      <c r="TZT44" s="82"/>
      <c r="TZU44" s="82"/>
      <c r="TZV44" s="82"/>
      <c r="TZW44" s="82"/>
      <c r="TZX44" s="82"/>
      <c r="TZY44" s="82"/>
      <c r="TZZ44" s="82"/>
      <c r="UAA44" s="82"/>
      <c r="UAB44" s="82"/>
      <c r="UAC44" s="82"/>
      <c r="UAD44" s="82"/>
      <c r="UAE44" s="82"/>
      <c r="UAF44" s="82"/>
      <c r="UAG44" s="82"/>
      <c r="UAH44" s="82"/>
      <c r="UAI44" s="82"/>
      <c r="UAJ44" s="82"/>
      <c r="UAK44" s="82"/>
      <c r="UAL44" s="82"/>
      <c r="UAM44" s="82"/>
      <c r="UAN44" s="82"/>
      <c r="UAO44" s="82"/>
      <c r="UAP44" s="82"/>
      <c r="UAQ44" s="82"/>
      <c r="UAR44" s="82"/>
      <c r="UAS44" s="82"/>
      <c r="UAT44" s="82"/>
      <c r="UAU44" s="82"/>
      <c r="UAV44" s="82"/>
      <c r="UAW44" s="82"/>
      <c r="UAX44" s="82"/>
      <c r="UAY44" s="82"/>
      <c r="UAZ44" s="82"/>
      <c r="UBA44" s="82"/>
      <c r="UBB44" s="82"/>
      <c r="UBC44" s="82"/>
      <c r="UBD44" s="82"/>
      <c r="UBE44" s="82"/>
      <c r="UBF44" s="82"/>
      <c r="UBG44" s="82"/>
      <c r="UBH44" s="82"/>
      <c r="UBI44" s="82"/>
      <c r="UBJ44" s="82"/>
      <c r="UBK44" s="82"/>
      <c r="UBL44" s="82"/>
      <c r="UBM44" s="82"/>
      <c r="UBN44" s="82"/>
      <c r="UBO44" s="82"/>
      <c r="UBP44" s="82"/>
      <c r="UBQ44" s="82"/>
      <c r="UBR44" s="82"/>
      <c r="UBS44" s="82"/>
      <c r="UBT44" s="82"/>
      <c r="UBU44" s="82"/>
      <c r="UBV44" s="82"/>
      <c r="UBW44" s="82"/>
      <c r="UBX44" s="82"/>
      <c r="UBY44" s="82"/>
      <c r="UBZ44" s="82"/>
      <c r="UCA44" s="82"/>
      <c r="UCB44" s="82"/>
      <c r="UCC44" s="82"/>
      <c r="UCD44" s="82"/>
      <c r="UCE44" s="82"/>
      <c r="UCF44" s="82"/>
      <c r="UCG44" s="82"/>
      <c r="UCH44" s="82"/>
      <c r="UCI44" s="82"/>
      <c r="UCJ44" s="82"/>
      <c r="UCK44" s="82"/>
      <c r="UCL44" s="82"/>
      <c r="UCM44" s="82"/>
      <c r="UCN44" s="82"/>
      <c r="UCO44" s="82"/>
      <c r="UCP44" s="82"/>
      <c r="UCQ44" s="82"/>
      <c r="UCR44" s="82"/>
      <c r="UCS44" s="82"/>
      <c r="UCT44" s="82"/>
      <c r="UCU44" s="82"/>
      <c r="UCV44" s="82"/>
      <c r="UCW44" s="82"/>
      <c r="UCX44" s="82"/>
      <c r="UCY44" s="82"/>
      <c r="UCZ44" s="82"/>
      <c r="UDA44" s="82"/>
      <c r="UDB44" s="82"/>
      <c r="UDC44" s="82"/>
      <c r="UDD44" s="82"/>
      <c r="UDE44" s="82"/>
      <c r="UDF44" s="82"/>
      <c r="UDG44" s="82"/>
      <c r="UDH44" s="82"/>
      <c r="UDI44" s="82"/>
      <c r="UDJ44" s="82"/>
      <c r="UDK44" s="82"/>
      <c r="UDL44" s="82"/>
      <c r="UDM44" s="82"/>
      <c r="UDN44" s="82"/>
      <c r="UDO44" s="82"/>
      <c r="UDP44" s="82"/>
      <c r="UDQ44" s="82"/>
      <c r="UDR44" s="82"/>
      <c r="UDS44" s="82"/>
      <c r="UDT44" s="82"/>
      <c r="UDU44" s="82"/>
      <c r="UDV44" s="82"/>
      <c r="UDW44" s="82"/>
      <c r="UDX44" s="82"/>
      <c r="UDY44" s="82"/>
      <c r="UDZ44" s="82"/>
      <c r="UEA44" s="82"/>
      <c r="UEB44" s="82"/>
      <c r="UEC44" s="82"/>
      <c r="UED44" s="82"/>
      <c r="UEE44" s="82"/>
      <c r="UEF44" s="82"/>
      <c r="UEG44" s="82"/>
      <c r="UEH44" s="82"/>
      <c r="UEI44" s="82"/>
      <c r="UEJ44" s="82"/>
      <c r="UEK44" s="82"/>
      <c r="UEL44" s="82"/>
      <c r="UEM44" s="82"/>
      <c r="UEN44" s="82"/>
      <c r="UEO44" s="82"/>
      <c r="UEP44" s="82"/>
      <c r="UEQ44" s="82"/>
      <c r="UER44" s="82"/>
      <c r="UES44" s="82"/>
      <c r="UET44" s="82"/>
      <c r="UEU44" s="82"/>
      <c r="UEV44" s="82"/>
      <c r="UEW44" s="82"/>
      <c r="UEX44" s="82"/>
      <c r="UEY44" s="82"/>
      <c r="UEZ44" s="82"/>
      <c r="UFA44" s="82"/>
      <c r="UFB44" s="82"/>
      <c r="UFC44" s="82"/>
      <c r="UFD44" s="82"/>
      <c r="UFE44" s="82"/>
      <c r="UFF44" s="82"/>
      <c r="UFG44" s="82"/>
      <c r="UFH44" s="82"/>
      <c r="UFI44" s="82"/>
      <c r="UFJ44" s="82"/>
      <c r="UFK44" s="82"/>
      <c r="UFL44" s="82"/>
      <c r="UFM44" s="82"/>
      <c r="UFN44" s="82"/>
      <c r="UFO44" s="82"/>
      <c r="UFP44" s="82"/>
      <c r="UFQ44" s="82"/>
      <c r="UFR44" s="82"/>
      <c r="UFS44" s="82"/>
      <c r="UFT44" s="82"/>
      <c r="UFU44" s="82"/>
      <c r="UFV44" s="82"/>
      <c r="UFW44" s="82"/>
      <c r="UFX44" s="82"/>
      <c r="UFY44" s="82"/>
      <c r="UFZ44" s="82"/>
      <c r="UGA44" s="82"/>
      <c r="UGB44" s="82"/>
      <c r="UGC44" s="82"/>
      <c r="UGD44" s="82"/>
      <c r="UGE44" s="82"/>
      <c r="UGF44" s="82"/>
      <c r="UGG44" s="82"/>
      <c r="UGH44" s="82"/>
      <c r="UGI44" s="82"/>
      <c r="UGJ44" s="82"/>
      <c r="UGK44" s="82"/>
      <c r="UGL44" s="82"/>
      <c r="UGM44" s="82"/>
      <c r="UGN44" s="82"/>
      <c r="UGO44" s="82"/>
      <c r="UGP44" s="82"/>
      <c r="UGQ44" s="82"/>
      <c r="UGR44" s="82"/>
      <c r="UGS44" s="82"/>
      <c r="UGT44" s="82"/>
      <c r="UGU44" s="82"/>
      <c r="UGV44" s="82"/>
      <c r="UGW44" s="82"/>
      <c r="UGX44" s="82"/>
      <c r="UGY44" s="82"/>
      <c r="UGZ44" s="82"/>
      <c r="UHA44" s="82"/>
      <c r="UHB44" s="82"/>
      <c r="UHC44" s="82"/>
      <c r="UHD44" s="82"/>
      <c r="UHE44" s="82"/>
      <c r="UHF44" s="82"/>
      <c r="UHG44" s="82"/>
      <c r="UHH44" s="82"/>
      <c r="UHI44" s="82"/>
      <c r="UHJ44" s="82"/>
      <c r="UHK44" s="82"/>
      <c r="UHL44" s="82"/>
      <c r="UHM44" s="82"/>
      <c r="UHN44" s="82"/>
      <c r="UHO44" s="82"/>
      <c r="UHP44" s="82"/>
      <c r="UHQ44" s="82"/>
      <c r="UHR44" s="82"/>
      <c r="UHS44" s="82"/>
      <c r="UHT44" s="82"/>
      <c r="UHU44" s="82"/>
      <c r="UHV44" s="82"/>
      <c r="UHW44" s="82"/>
      <c r="UHX44" s="82"/>
      <c r="UHY44" s="82"/>
      <c r="UHZ44" s="82"/>
      <c r="UIA44" s="82"/>
      <c r="UIB44" s="82"/>
      <c r="UIC44" s="82"/>
      <c r="UID44" s="82"/>
      <c r="UIE44" s="82"/>
      <c r="UIF44" s="82"/>
      <c r="UIG44" s="82"/>
      <c r="UIH44" s="82"/>
      <c r="UII44" s="82"/>
      <c r="UIJ44" s="82"/>
      <c r="UIK44" s="82"/>
      <c r="UIL44" s="82"/>
      <c r="UIM44" s="82"/>
      <c r="UIN44" s="82"/>
      <c r="UIO44" s="82"/>
      <c r="UIP44" s="82"/>
      <c r="UIQ44" s="82"/>
      <c r="UIR44" s="82"/>
      <c r="UIS44" s="82"/>
      <c r="UIT44" s="82"/>
      <c r="UIU44" s="82"/>
      <c r="UIV44" s="82"/>
      <c r="UIW44" s="82"/>
      <c r="UIX44" s="82"/>
      <c r="UIY44" s="82"/>
      <c r="UIZ44" s="82"/>
      <c r="UJA44" s="82"/>
      <c r="UJB44" s="82"/>
      <c r="UJC44" s="82"/>
      <c r="UJD44" s="82"/>
      <c r="UJE44" s="82"/>
      <c r="UJF44" s="82"/>
      <c r="UJG44" s="82"/>
      <c r="UJH44" s="82"/>
      <c r="UJI44" s="82"/>
      <c r="UJJ44" s="82"/>
      <c r="UJK44" s="82"/>
      <c r="UJL44" s="82"/>
      <c r="UJM44" s="82"/>
      <c r="UJN44" s="82"/>
      <c r="UJO44" s="82"/>
      <c r="UJP44" s="82"/>
      <c r="UJQ44" s="82"/>
      <c r="UJR44" s="82"/>
      <c r="UJS44" s="82"/>
      <c r="UJT44" s="82"/>
      <c r="UJU44" s="82"/>
      <c r="UJV44" s="82"/>
      <c r="UJW44" s="82"/>
      <c r="UJX44" s="82"/>
      <c r="UJY44" s="82"/>
      <c r="UJZ44" s="82"/>
      <c r="UKA44" s="82"/>
      <c r="UKB44" s="82"/>
      <c r="UKC44" s="82"/>
      <c r="UKD44" s="82"/>
      <c r="UKE44" s="82"/>
      <c r="UKF44" s="82"/>
      <c r="UKG44" s="82"/>
      <c r="UKH44" s="82"/>
      <c r="UKI44" s="82"/>
      <c r="UKJ44" s="82"/>
      <c r="UKK44" s="82"/>
      <c r="UKL44" s="82"/>
      <c r="UKM44" s="82"/>
      <c r="UKN44" s="82"/>
      <c r="UKO44" s="82"/>
      <c r="UKP44" s="82"/>
      <c r="UKQ44" s="82"/>
      <c r="UKR44" s="82"/>
      <c r="UKS44" s="82"/>
      <c r="UKT44" s="82"/>
      <c r="UKU44" s="82"/>
      <c r="UKV44" s="82"/>
      <c r="UKW44" s="82"/>
      <c r="UKX44" s="82"/>
      <c r="UKY44" s="82"/>
      <c r="UKZ44" s="82"/>
      <c r="ULA44" s="82"/>
      <c r="ULB44" s="82"/>
      <c r="ULC44" s="82"/>
      <c r="ULD44" s="82"/>
      <c r="ULE44" s="82"/>
      <c r="ULF44" s="82"/>
      <c r="ULG44" s="82"/>
      <c r="ULH44" s="82"/>
      <c r="ULI44" s="82"/>
      <c r="ULJ44" s="82"/>
      <c r="ULK44" s="82"/>
      <c r="ULL44" s="82"/>
      <c r="ULM44" s="82"/>
      <c r="ULN44" s="82"/>
      <c r="ULO44" s="82"/>
      <c r="ULP44" s="82"/>
      <c r="ULQ44" s="82"/>
      <c r="ULR44" s="82"/>
      <c r="ULS44" s="82"/>
      <c r="ULT44" s="82"/>
      <c r="ULU44" s="82"/>
      <c r="ULV44" s="82"/>
      <c r="ULW44" s="82"/>
      <c r="ULX44" s="82"/>
      <c r="ULY44" s="82"/>
      <c r="ULZ44" s="82"/>
      <c r="UMA44" s="82"/>
      <c r="UMB44" s="82"/>
      <c r="UMC44" s="82"/>
      <c r="UMD44" s="82"/>
      <c r="UME44" s="82"/>
      <c r="UMF44" s="82"/>
      <c r="UMG44" s="82"/>
      <c r="UMH44" s="82"/>
      <c r="UMI44" s="82"/>
      <c r="UMJ44" s="82"/>
      <c r="UMK44" s="82"/>
      <c r="UML44" s="82"/>
      <c r="UMM44" s="82"/>
      <c r="UMN44" s="82"/>
      <c r="UMO44" s="82"/>
      <c r="UMP44" s="82"/>
      <c r="UMQ44" s="82"/>
      <c r="UMR44" s="82"/>
      <c r="UMS44" s="82"/>
      <c r="UMT44" s="82"/>
      <c r="UMU44" s="82"/>
      <c r="UMV44" s="82"/>
      <c r="UMW44" s="82"/>
      <c r="UMX44" s="82"/>
      <c r="UMY44" s="82"/>
      <c r="UMZ44" s="82"/>
      <c r="UNA44" s="82"/>
      <c r="UNB44" s="82"/>
      <c r="UNC44" s="82"/>
      <c r="UND44" s="82"/>
      <c r="UNE44" s="82"/>
      <c r="UNF44" s="82"/>
      <c r="UNG44" s="82"/>
      <c r="UNH44" s="82"/>
      <c r="UNI44" s="82"/>
      <c r="UNJ44" s="82"/>
      <c r="UNK44" s="82"/>
      <c r="UNL44" s="82"/>
      <c r="UNM44" s="82"/>
      <c r="UNN44" s="82"/>
      <c r="UNO44" s="82"/>
      <c r="UNP44" s="82"/>
      <c r="UNQ44" s="82"/>
      <c r="UNR44" s="82"/>
      <c r="UNS44" s="82"/>
      <c r="UNT44" s="82"/>
      <c r="UNU44" s="82"/>
      <c r="UNV44" s="82"/>
      <c r="UNW44" s="82"/>
      <c r="UNX44" s="82"/>
      <c r="UNY44" s="82"/>
      <c r="UNZ44" s="82"/>
      <c r="UOA44" s="82"/>
      <c r="UOB44" s="82"/>
      <c r="UOC44" s="82"/>
      <c r="UOD44" s="82"/>
      <c r="UOE44" s="82"/>
      <c r="UOF44" s="82"/>
      <c r="UOG44" s="82"/>
      <c r="UOH44" s="82"/>
      <c r="UOI44" s="82"/>
      <c r="UOJ44" s="82"/>
      <c r="UOK44" s="82"/>
      <c r="UOL44" s="82"/>
      <c r="UOM44" s="82"/>
      <c r="UON44" s="82"/>
      <c r="UOO44" s="82"/>
      <c r="UOP44" s="82"/>
      <c r="UOQ44" s="82"/>
      <c r="UOR44" s="82"/>
      <c r="UOS44" s="82"/>
      <c r="UOT44" s="82"/>
      <c r="UOU44" s="82"/>
      <c r="UOV44" s="82"/>
      <c r="UOW44" s="82"/>
      <c r="UOX44" s="82"/>
      <c r="UOY44" s="82"/>
      <c r="UOZ44" s="82"/>
      <c r="UPA44" s="82"/>
      <c r="UPB44" s="82"/>
      <c r="UPC44" s="82"/>
      <c r="UPD44" s="82"/>
      <c r="UPE44" s="82"/>
      <c r="UPF44" s="82"/>
      <c r="UPG44" s="82"/>
      <c r="UPH44" s="82"/>
      <c r="UPI44" s="82"/>
      <c r="UPJ44" s="82"/>
      <c r="UPK44" s="82"/>
      <c r="UPL44" s="82"/>
      <c r="UPM44" s="82"/>
      <c r="UPN44" s="82"/>
      <c r="UPO44" s="82"/>
      <c r="UPP44" s="82"/>
      <c r="UPQ44" s="82"/>
      <c r="UPR44" s="82"/>
      <c r="UPS44" s="82"/>
      <c r="UPT44" s="82"/>
      <c r="UPU44" s="82"/>
      <c r="UPV44" s="82"/>
      <c r="UPW44" s="82"/>
      <c r="UPX44" s="82"/>
      <c r="UPY44" s="82"/>
      <c r="UPZ44" s="82"/>
      <c r="UQA44" s="82"/>
      <c r="UQB44" s="82"/>
      <c r="UQC44" s="82"/>
      <c r="UQD44" s="82"/>
      <c r="UQE44" s="82"/>
      <c r="UQF44" s="82"/>
      <c r="UQG44" s="82"/>
      <c r="UQH44" s="82"/>
      <c r="UQI44" s="82"/>
      <c r="UQJ44" s="82"/>
      <c r="UQK44" s="82"/>
      <c r="UQL44" s="82"/>
      <c r="UQM44" s="82"/>
      <c r="UQN44" s="82"/>
      <c r="UQO44" s="82"/>
      <c r="UQP44" s="82"/>
      <c r="UQQ44" s="82"/>
      <c r="UQR44" s="82"/>
      <c r="UQS44" s="82"/>
      <c r="UQT44" s="82"/>
      <c r="UQU44" s="82"/>
      <c r="UQV44" s="82"/>
      <c r="UQW44" s="82"/>
      <c r="UQX44" s="82"/>
      <c r="UQY44" s="82"/>
      <c r="UQZ44" s="82"/>
      <c r="URA44" s="82"/>
      <c r="URB44" s="82"/>
      <c r="URC44" s="82"/>
      <c r="URD44" s="82"/>
      <c r="URE44" s="82"/>
      <c r="URF44" s="82"/>
      <c r="URG44" s="82"/>
      <c r="URH44" s="82"/>
      <c r="URI44" s="82"/>
      <c r="URJ44" s="82"/>
      <c r="URK44" s="82"/>
      <c r="URL44" s="82"/>
      <c r="URM44" s="82"/>
      <c r="URN44" s="82"/>
      <c r="URO44" s="82"/>
      <c r="URP44" s="82"/>
      <c r="URQ44" s="82"/>
      <c r="URR44" s="82"/>
      <c r="URS44" s="82"/>
      <c r="URT44" s="82"/>
      <c r="URU44" s="82"/>
      <c r="URV44" s="82"/>
      <c r="URW44" s="82"/>
      <c r="URX44" s="82"/>
      <c r="URY44" s="82"/>
      <c r="URZ44" s="82"/>
      <c r="USA44" s="82"/>
      <c r="USB44" s="82"/>
      <c r="USC44" s="82"/>
      <c r="USD44" s="82"/>
      <c r="USE44" s="82"/>
      <c r="USF44" s="82"/>
      <c r="USG44" s="82"/>
      <c r="USH44" s="82"/>
      <c r="USI44" s="82"/>
      <c r="USJ44" s="82"/>
      <c r="USK44" s="82"/>
      <c r="USL44" s="82"/>
      <c r="USM44" s="82"/>
      <c r="USN44" s="82"/>
      <c r="USO44" s="82"/>
      <c r="USP44" s="82"/>
      <c r="USQ44" s="82"/>
      <c r="USR44" s="82"/>
      <c r="USS44" s="82"/>
      <c r="UST44" s="82"/>
      <c r="USU44" s="82"/>
      <c r="USV44" s="82"/>
      <c r="USW44" s="82"/>
      <c r="USX44" s="82"/>
      <c r="USY44" s="82"/>
      <c r="USZ44" s="82"/>
      <c r="UTA44" s="82"/>
      <c r="UTB44" s="82"/>
      <c r="UTC44" s="82"/>
      <c r="UTD44" s="82"/>
      <c r="UTE44" s="82"/>
      <c r="UTF44" s="82"/>
      <c r="UTG44" s="82"/>
      <c r="UTH44" s="82"/>
      <c r="UTI44" s="82"/>
      <c r="UTJ44" s="82"/>
      <c r="UTK44" s="82"/>
      <c r="UTL44" s="82"/>
      <c r="UTM44" s="82"/>
      <c r="UTN44" s="82"/>
      <c r="UTO44" s="82"/>
      <c r="UTP44" s="82"/>
      <c r="UTQ44" s="82"/>
      <c r="UTR44" s="82"/>
      <c r="UTS44" s="82"/>
      <c r="UTT44" s="82"/>
      <c r="UTU44" s="82"/>
      <c r="UTV44" s="82"/>
      <c r="UTW44" s="82"/>
      <c r="UTX44" s="82"/>
      <c r="UTY44" s="82"/>
      <c r="UTZ44" s="82"/>
      <c r="UUA44" s="82"/>
      <c r="UUB44" s="82"/>
      <c r="UUC44" s="82"/>
      <c r="UUD44" s="82"/>
      <c r="UUE44" s="82"/>
      <c r="UUF44" s="82"/>
      <c r="UUG44" s="82"/>
      <c r="UUH44" s="82"/>
      <c r="UUI44" s="82"/>
      <c r="UUJ44" s="82"/>
      <c r="UUK44" s="82"/>
      <c r="UUL44" s="82"/>
      <c r="UUM44" s="82"/>
      <c r="UUN44" s="82"/>
      <c r="UUO44" s="82"/>
      <c r="UUP44" s="82"/>
      <c r="UUQ44" s="82"/>
      <c r="UUR44" s="82"/>
      <c r="UUS44" s="82"/>
      <c r="UUT44" s="82"/>
      <c r="UUU44" s="82"/>
      <c r="UUV44" s="82"/>
      <c r="UUW44" s="82"/>
      <c r="UUX44" s="82"/>
      <c r="UUY44" s="82"/>
      <c r="UUZ44" s="82"/>
      <c r="UVA44" s="82"/>
      <c r="UVB44" s="82"/>
      <c r="UVC44" s="82"/>
      <c r="UVD44" s="82"/>
      <c r="UVE44" s="82"/>
      <c r="UVF44" s="82"/>
      <c r="UVG44" s="82"/>
      <c r="UVH44" s="82"/>
      <c r="UVI44" s="82"/>
      <c r="UVJ44" s="82"/>
      <c r="UVK44" s="82"/>
      <c r="UVL44" s="82"/>
      <c r="UVM44" s="82"/>
      <c r="UVN44" s="82"/>
      <c r="UVO44" s="82"/>
      <c r="UVP44" s="82"/>
      <c r="UVQ44" s="82"/>
      <c r="UVR44" s="82"/>
      <c r="UVS44" s="82"/>
      <c r="UVT44" s="82"/>
      <c r="UVU44" s="82"/>
      <c r="UVV44" s="82"/>
      <c r="UVW44" s="82"/>
      <c r="UVX44" s="82"/>
      <c r="UVY44" s="82"/>
      <c r="UVZ44" s="82"/>
      <c r="UWA44" s="82"/>
      <c r="UWB44" s="82"/>
      <c r="UWC44" s="82"/>
      <c r="UWD44" s="82"/>
      <c r="UWE44" s="82"/>
      <c r="UWF44" s="82"/>
      <c r="UWG44" s="82"/>
      <c r="UWH44" s="82"/>
      <c r="UWI44" s="82"/>
      <c r="UWJ44" s="82"/>
      <c r="UWK44" s="82"/>
      <c r="UWL44" s="82"/>
      <c r="UWM44" s="82"/>
      <c r="UWN44" s="82"/>
      <c r="UWO44" s="82"/>
      <c r="UWP44" s="82"/>
      <c r="UWQ44" s="82"/>
      <c r="UWR44" s="82"/>
      <c r="UWS44" s="82"/>
      <c r="UWT44" s="82"/>
      <c r="UWU44" s="82"/>
      <c r="UWV44" s="82"/>
      <c r="UWW44" s="82"/>
      <c r="UWX44" s="82"/>
      <c r="UWY44" s="82"/>
      <c r="UWZ44" s="82"/>
      <c r="UXA44" s="82"/>
      <c r="UXB44" s="82"/>
      <c r="UXC44" s="82"/>
      <c r="UXD44" s="82"/>
      <c r="UXE44" s="82"/>
      <c r="UXF44" s="82"/>
      <c r="UXG44" s="82"/>
      <c r="UXH44" s="82"/>
      <c r="UXI44" s="82"/>
      <c r="UXJ44" s="82"/>
      <c r="UXK44" s="82"/>
      <c r="UXL44" s="82"/>
      <c r="UXM44" s="82"/>
      <c r="UXN44" s="82"/>
      <c r="UXO44" s="82"/>
      <c r="UXP44" s="82"/>
      <c r="UXQ44" s="82"/>
      <c r="UXR44" s="82"/>
      <c r="UXS44" s="82"/>
      <c r="UXT44" s="82"/>
      <c r="UXU44" s="82"/>
      <c r="UXV44" s="82"/>
      <c r="UXW44" s="82"/>
      <c r="UXX44" s="82"/>
      <c r="UXY44" s="82"/>
      <c r="UXZ44" s="82"/>
      <c r="UYA44" s="82"/>
      <c r="UYB44" s="82"/>
      <c r="UYC44" s="82"/>
      <c r="UYD44" s="82"/>
      <c r="UYE44" s="82"/>
      <c r="UYF44" s="82"/>
      <c r="UYG44" s="82"/>
      <c r="UYH44" s="82"/>
      <c r="UYI44" s="82"/>
      <c r="UYJ44" s="82"/>
      <c r="UYK44" s="82"/>
      <c r="UYL44" s="82"/>
      <c r="UYM44" s="82"/>
      <c r="UYN44" s="82"/>
      <c r="UYO44" s="82"/>
      <c r="UYP44" s="82"/>
      <c r="UYQ44" s="82"/>
      <c r="UYR44" s="82"/>
      <c r="UYS44" s="82"/>
      <c r="UYT44" s="82"/>
      <c r="UYU44" s="82"/>
      <c r="UYV44" s="82"/>
      <c r="UYW44" s="82"/>
      <c r="UYX44" s="82"/>
      <c r="UYY44" s="82"/>
      <c r="UYZ44" s="82"/>
      <c r="UZA44" s="82"/>
      <c r="UZB44" s="82"/>
      <c r="UZC44" s="82"/>
      <c r="UZD44" s="82"/>
      <c r="UZE44" s="82"/>
      <c r="UZF44" s="82"/>
      <c r="UZG44" s="82"/>
      <c r="UZH44" s="82"/>
      <c r="UZI44" s="82"/>
      <c r="UZJ44" s="82"/>
      <c r="UZK44" s="82"/>
      <c r="UZL44" s="82"/>
      <c r="UZM44" s="82"/>
      <c r="UZN44" s="82"/>
      <c r="UZO44" s="82"/>
      <c r="UZP44" s="82"/>
      <c r="UZQ44" s="82"/>
      <c r="UZR44" s="82"/>
      <c r="UZS44" s="82"/>
      <c r="UZT44" s="82"/>
      <c r="UZU44" s="82"/>
      <c r="UZV44" s="82"/>
      <c r="UZW44" s="82"/>
      <c r="UZX44" s="82"/>
      <c r="UZY44" s="82"/>
      <c r="UZZ44" s="82"/>
      <c r="VAA44" s="82"/>
      <c r="VAB44" s="82"/>
      <c r="VAC44" s="82"/>
      <c r="VAD44" s="82"/>
      <c r="VAE44" s="82"/>
      <c r="VAF44" s="82"/>
      <c r="VAG44" s="82"/>
      <c r="VAH44" s="82"/>
      <c r="VAI44" s="82"/>
      <c r="VAJ44" s="82"/>
      <c r="VAK44" s="82"/>
      <c r="VAL44" s="82"/>
      <c r="VAM44" s="82"/>
      <c r="VAN44" s="82"/>
      <c r="VAO44" s="82"/>
      <c r="VAP44" s="82"/>
      <c r="VAQ44" s="82"/>
      <c r="VAR44" s="82"/>
      <c r="VAS44" s="82"/>
      <c r="VAT44" s="82"/>
      <c r="VAU44" s="82"/>
      <c r="VAV44" s="82"/>
      <c r="VAW44" s="82"/>
      <c r="VAX44" s="82"/>
      <c r="VAY44" s="82"/>
      <c r="VAZ44" s="82"/>
      <c r="VBA44" s="82"/>
      <c r="VBB44" s="82"/>
      <c r="VBC44" s="82"/>
      <c r="VBD44" s="82"/>
      <c r="VBE44" s="82"/>
      <c r="VBF44" s="82"/>
      <c r="VBG44" s="82"/>
      <c r="VBH44" s="82"/>
      <c r="VBI44" s="82"/>
      <c r="VBJ44" s="82"/>
      <c r="VBK44" s="82"/>
      <c r="VBL44" s="82"/>
      <c r="VBM44" s="82"/>
      <c r="VBN44" s="82"/>
      <c r="VBO44" s="82"/>
      <c r="VBP44" s="82"/>
      <c r="VBQ44" s="82"/>
      <c r="VBR44" s="82"/>
      <c r="VBS44" s="82"/>
      <c r="VBT44" s="82"/>
      <c r="VBU44" s="82"/>
      <c r="VBV44" s="82"/>
      <c r="VBW44" s="82"/>
      <c r="VBX44" s="82"/>
      <c r="VBY44" s="82"/>
      <c r="VBZ44" s="82"/>
      <c r="VCA44" s="82"/>
      <c r="VCB44" s="82"/>
      <c r="VCC44" s="82"/>
      <c r="VCD44" s="82"/>
      <c r="VCE44" s="82"/>
      <c r="VCF44" s="82"/>
      <c r="VCG44" s="82"/>
      <c r="VCH44" s="82"/>
      <c r="VCI44" s="82"/>
      <c r="VCJ44" s="82"/>
      <c r="VCK44" s="82"/>
      <c r="VCL44" s="82"/>
      <c r="VCM44" s="82"/>
      <c r="VCN44" s="82"/>
      <c r="VCO44" s="82"/>
      <c r="VCP44" s="82"/>
      <c r="VCQ44" s="82"/>
      <c r="VCR44" s="82"/>
      <c r="VCS44" s="82"/>
    </row>
    <row r="45" spans="1:14969" ht="15" customHeight="1" x14ac:dyDescent="0.25">
      <c r="B45" s="134"/>
      <c r="C45" s="193" t="s">
        <v>91</v>
      </c>
      <c r="D45" s="198">
        <f>SUM(D46:D47)</f>
        <v>0</v>
      </c>
      <c r="E45" s="194" t="s">
        <v>16</v>
      </c>
      <c r="F45" s="189">
        <f>SUM(F46:F47)</f>
        <v>0</v>
      </c>
      <c r="G45" s="189">
        <f t="shared" ref="G45:AJ45" si="10">SUM(G46:G47)</f>
        <v>0</v>
      </c>
      <c r="H45" s="189">
        <f t="shared" si="10"/>
        <v>0</v>
      </c>
      <c r="I45" s="189">
        <f t="shared" si="10"/>
        <v>0</v>
      </c>
      <c r="J45" s="189">
        <f t="shared" si="10"/>
        <v>0</v>
      </c>
      <c r="K45" s="189">
        <f t="shared" si="10"/>
        <v>0</v>
      </c>
      <c r="L45" s="189">
        <f t="shared" si="10"/>
        <v>0</v>
      </c>
      <c r="M45" s="189">
        <f t="shared" si="10"/>
        <v>0</v>
      </c>
      <c r="N45" s="189">
        <f t="shared" si="10"/>
        <v>0</v>
      </c>
      <c r="O45" s="189">
        <f t="shared" si="10"/>
        <v>0</v>
      </c>
      <c r="P45" s="189">
        <f t="shared" si="10"/>
        <v>0</v>
      </c>
      <c r="Q45" s="189">
        <f t="shared" si="10"/>
        <v>0</v>
      </c>
      <c r="R45" s="189">
        <f t="shared" si="10"/>
        <v>100301</v>
      </c>
      <c r="S45" s="189">
        <f t="shared" si="10"/>
        <v>132160</v>
      </c>
      <c r="T45" s="189">
        <f t="shared" si="10"/>
        <v>128800</v>
      </c>
      <c r="U45" s="189">
        <f t="shared" si="10"/>
        <v>47832</v>
      </c>
      <c r="V45" s="189">
        <f t="shared" si="10"/>
        <v>0</v>
      </c>
      <c r="W45" s="189">
        <f t="shared" si="10"/>
        <v>0</v>
      </c>
      <c r="X45" s="189">
        <f t="shared" si="10"/>
        <v>0</v>
      </c>
      <c r="Y45" s="189">
        <f t="shared" si="10"/>
        <v>0</v>
      </c>
      <c r="Z45" s="189">
        <f t="shared" si="10"/>
        <v>0</v>
      </c>
      <c r="AA45" s="189">
        <f t="shared" si="10"/>
        <v>0</v>
      </c>
      <c r="AB45" s="189">
        <f t="shared" si="10"/>
        <v>0</v>
      </c>
      <c r="AC45" s="189">
        <f t="shared" si="10"/>
        <v>0</v>
      </c>
      <c r="AD45" s="189">
        <f t="shared" si="10"/>
        <v>0</v>
      </c>
      <c r="AE45" s="189">
        <f t="shared" si="10"/>
        <v>0</v>
      </c>
      <c r="AF45" s="189">
        <f t="shared" si="10"/>
        <v>0</v>
      </c>
      <c r="AG45" s="189">
        <f t="shared" si="10"/>
        <v>0</v>
      </c>
      <c r="AH45" s="189">
        <f t="shared" si="10"/>
        <v>0</v>
      </c>
      <c r="AI45" s="189">
        <f t="shared" si="10"/>
        <v>0</v>
      </c>
      <c r="AJ45" s="189">
        <f t="shared" si="10"/>
        <v>0</v>
      </c>
      <c r="AK45" s="10"/>
      <c r="AL45" s="50">
        <f>SUM(F45:AJ45)</f>
        <v>409093</v>
      </c>
      <c r="AM45" s="40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BX45" s="40"/>
      <c r="BY45" s="40"/>
      <c r="DB45" s="40"/>
      <c r="EI45" s="86"/>
      <c r="EJ45" s="30"/>
      <c r="EK45" s="5"/>
      <c r="EL45" s="5"/>
      <c r="EM45" s="5"/>
      <c r="EN45" s="40"/>
      <c r="GQ45" s="40"/>
      <c r="KL45" s="40"/>
      <c r="KM45" s="40"/>
      <c r="KN45" s="40"/>
      <c r="KO45" s="40"/>
      <c r="PS45" s="40"/>
      <c r="PT45" s="40"/>
      <c r="PU45" s="39"/>
      <c r="PV45" s="40"/>
      <c r="QJ45" s="39">
        <f>SUM(QJ42:QJ43)</f>
        <v>40.247160000000001</v>
      </c>
      <c r="QN45" s="40"/>
      <c r="SQ45" s="39"/>
      <c r="AHZ45" s="5"/>
      <c r="AJO45" s="5"/>
      <c r="AJP45" s="5"/>
      <c r="AJQ45" s="5"/>
    </row>
    <row r="46" spans="1:14969" ht="15" customHeight="1" x14ac:dyDescent="0.25">
      <c r="B46" s="134"/>
      <c r="C46" s="193" t="s">
        <v>95</v>
      </c>
      <c r="D46" s="198"/>
      <c r="E46" s="194" t="s">
        <v>16</v>
      </c>
      <c r="F46" s="189">
        <v>0</v>
      </c>
      <c r="G46" s="189">
        <v>0</v>
      </c>
      <c r="H46" s="189">
        <v>0</v>
      </c>
      <c r="I46" s="189">
        <v>0</v>
      </c>
      <c r="J46" s="189">
        <v>0</v>
      </c>
      <c r="K46" s="189">
        <v>0</v>
      </c>
      <c r="L46" s="189">
        <v>0</v>
      </c>
      <c r="M46" s="189">
        <v>0</v>
      </c>
      <c r="N46" s="189">
        <v>0</v>
      </c>
      <c r="O46" s="189">
        <v>0</v>
      </c>
      <c r="P46" s="189">
        <v>0</v>
      </c>
      <c r="Q46" s="189">
        <v>0</v>
      </c>
      <c r="R46" s="189">
        <v>70500</v>
      </c>
      <c r="S46" s="189">
        <v>92560</v>
      </c>
      <c r="T46" s="189">
        <v>90200</v>
      </c>
      <c r="U46" s="189">
        <v>36794</v>
      </c>
      <c r="V46" s="189">
        <v>0</v>
      </c>
      <c r="W46" s="189">
        <v>0</v>
      </c>
      <c r="X46" s="189">
        <v>0</v>
      </c>
      <c r="Y46" s="189">
        <v>0</v>
      </c>
      <c r="Z46" s="189">
        <v>0</v>
      </c>
      <c r="AA46" s="189" t="s">
        <v>85</v>
      </c>
      <c r="AB46" s="189">
        <v>0</v>
      </c>
      <c r="AC46" s="189">
        <v>0</v>
      </c>
      <c r="AD46" s="189"/>
      <c r="AE46" s="189"/>
      <c r="AF46" s="189"/>
      <c r="AG46" s="189"/>
      <c r="AH46" s="189"/>
      <c r="AI46" s="189"/>
      <c r="AJ46" s="189"/>
      <c r="AK46" s="10"/>
      <c r="AL46" s="85">
        <f>SUM(F46:AJ46)</f>
        <v>290054</v>
      </c>
      <c r="AM46" s="40"/>
      <c r="AN46" s="39"/>
      <c r="AP46" s="35"/>
      <c r="BX46" s="40"/>
      <c r="BY46" s="40"/>
      <c r="DB46" s="40"/>
      <c r="EJ46" s="30"/>
      <c r="EK46" s="39"/>
      <c r="EL46" s="39"/>
      <c r="EM46" s="39"/>
      <c r="EN46" s="40"/>
      <c r="GQ46" s="40"/>
      <c r="KL46" s="40"/>
      <c r="KM46" s="40"/>
      <c r="KN46" s="40"/>
      <c r="KO46" s="40"/>
      <c r="PS46" s="40"/>
      <c r="PT46" s="40"/>
      <c r="PU46" s="39"/>
      <c r="PV46" s="40"/>
      <c r="QJ46" s="39"/>
      <c r="QN46" s="40"/>
      <c r="SQ46" s="39"/>
      <c r="AHZ46" s="5"/>
      <c r="AJO46" s="5"/>
      <c r="AJP46" s="5"/>
      <c r="AJQ46" s="5"/>
    </row>
    <row r="47" spans="1:14969" ht="15" customHeight="1" x14ac:dyDescent="0.25">
      <c r="B47" s="134"/>
      <c r="C47" s="186" t="s">
        <v>94</v>
      </c>
      <c r="D47" s="198"/>
      <c r="E47" s="194" t="s">
        <v>16</v>
      </c>
      <c r="F47" s="189">
        <v>0</v>
      </c>
      <c r="G47" s="189">
        <v>0</v>
      </c>
      <c r="H47" s="189">
        <v>0</v>
      </c>
      <c r="I47" s="189">
        <v>0</v>
      </c>
      <c r="J47" s="189">
        <v>0</v>
      </c>
      <c r="K47" s="189">
        <v>0</v>
      </c>
      <c r="L47" s="189">
        <v>0</v>
      </c>
      <c r="M47" s="189">
        <v>0</v>
      </c>
      <c r="N47" s="189">
        <v>0</v>
      </c>
      <c r="O47" s="189">
        <v>0</v>
      </c>
      <c r="P47" s="189">
        <v>0</v>
      </c>
      <c r="Q47" s="189">
        <v>0</v>
      </c>
      <c r="R47" s="189">
        <v>29801</v>
      </c>
      <c r="S47" s="189">
        <v>39600</v>
      </c>
      <c r="T47" s="189">
        <v>38600</v>
      </c>
      <c r="U47" s="189">
        <v>11038</v>
      </c>
      <c r="V47" s="189">
        <v>0</v>
      </c>
      <c r="W47" s="189">
        <v>0</v>
      </c>
      <c r="X47" s="189">
        <v>0</v>
      </c>
      <c r="Y47" s="189">
        <v>0</v>
      </c>
      <c r="Z47" s="189">
        <v>0</v>
      </c>
      <c r="AA47" s="189">
        <v>0</v>
      </c>
      <c r="AB47" s="189">
        <v>0</v>
      </c>
      <c r="AC47" s="189">
        <v>0</v>
      </c>
      <c r="AD47" s="189"/>
      <c r="AE47" s="189"/>
      <c r="AF47" s="189"/>
      <c r="AG47" s="189"/>
      <c r="AH47" s="189"/>
      <c r="AI47" s="189"/>
      <c r="AJ47" s="189"/>
      <c r="AK47" s="10"/>
      <c r="AL47" s="50">
        <f>SUM(F47:AJ47)</f>
        <v>119039</v>
      </c>
      <c r="AM47" s="39"/>
      <c r="AN47" s="39"/>
      <c r="AP47" s="35"/>
      <c r="BX47" s="40"/>
      <c r="BY47" s="40"/>
      <c r="DB47" s="40"/>
      <c r="EJ47" s="30"/>
      <c r="EK47" s="40"/>
      <c r="EL47" s="40"/>
      <c r="EM47" s="40"/>
      <c r="EN47" s="40"/>
      <c r="GQ47" s="40"/>
      <c r="KL47" s="40"/>
      <c r="KM47" s="40"/>
      <c r="KN47" s="40"/>
      <c r="KO47" s="40"/>
      <c r="PS47" s="40"/>
      <c r="PT47" s="40"/>
      <c r="PV47" s="40"/>
      <c r="QJ47" s="39"/>
      <c r="QN47" s="40"/>
      <c r="SQ47" s="39"/>
      <c r="AHZ47" s="5"/>
      <c r="AJO47" s="5"/>
      <c r="AJP47" s="5"/>
      <c r="AJQ47" s="5"/>
    </row>
    <row r="48" spans="1:14969" ht="15" customHeight="1" x14ac:dyDescent="0.25">
      <c r="B48" s="134"/>
      <c r="C48" s="195" t="s">
        <v>93</v>
      </c>
      <c r="D48" s="199"/>
      <c r="E48" s="197"/>
      <c r="F48" s="183"/>
      <c r="G48" s="183"/>
      <c r="H48" s="183"/>
      <c r="I48" s="200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201"/>
      <c r="AE48" s="201"/>
      <c r="AF48" s="201"/>
      <c r="AG48" s="201"/>
      <c r="AH48" s="201"/>
      <c r="AI48" s="201"/>
      <c r="AJ48" s="201"/>
      <c r="AK48" s="10"/>
      <c r="AL48" s="84" t="s">
        <v>79</v>
      </c>
      <c r="AN48" s="27"/>
      <c r="AP48" s="35"/>
    </row>
    <row r="49" spans="1:14969" ht="15" customHeight="1" x14ac:dyDescent="0.25">
      <c r="A49" s="82"/>
      <c r="B49" s="166"/>
      <c r="C49" s="203" t="s">
        <v>92</v>
      </c>
      <c r="D49" s="204"/>
      <c r="E49" s="205" t="s">
        <v>16</v>
      </c>
      <c r="F49" s="189">
        <v>0</v>
      </c>
      <c r="G49" s="189">
        <v>0</v>
      </c>
      <c r="H49" s="189">
        <v>0</v>
      </c>
      <c r="I49" s="189">
        <v>0</v>
      </c>
      <c r="J49" s="189">
        <v>1529568</v>
      </c>
      <c r="K49" s="189">
        <v>1644142</v>
      </c>
      <c r="L49" s="189">
        <v>0</v>
      </c>
      <c r="M49" s="189">
        <v>0</v>
      </c>
      <c r="N49" s="189">
        <v>0</v>
      </c>
      <c r="O49" s="189">
        <v>0</v>
      </c>
      <c r="P49" s="189">
        <v>0</v>
      </c>
      <c r="Q49" s="189">
        <v>0</v>
      </c>
      <c r="R49" s="189">
        <v>0</v>
      </c>
      <c r="S49" s="189">
        <v>0</v>
      </c>
      <c r="T49" s="189">
        <v>0</v>
      </c>
      <c r="U49" s="189">
        <v>0</v>
      </c>
      <c r="V49" s="189">
        <v>0</v>
      </c>
      <c r="W49" s="189">
        <v>0</v>
      </c>
      <c r="X49" s="189">
        <v>0</v>
      </c>
      <c r="Y49" s="189">
        <v>0</v>
      </c>
      <c r="Z49" s="189">
        <v>0</v>
      </c>
      <c r="AA49" s="189">
        <v>0</v>
      </c>
      <c r="AB49" s="189">
        <v>0</v>
      </c>
      <c r="AC49" s="189">
        <v>0</v>
      </c>
      <c r="AD49" s="189">
        <v>0</v>
      </c>
      <c r="AE49" s="189">
        <v>0</v>
      </c>
      <c r="AF49" s="189">
        <v>0</v>
      </c>
      <c r="AG49" s="189">
        <v>0</v>
      </c>
      <c r="AH49" s="189">
        <v>0</v>
      </c>
      <c r="AI49" s="189">
        <v>0</v>
      </c>
      <c r="AJ49" s="189">
        <v>0</v>
      </c>
      <c r="AK49" s="51"/>
      <c r="AL49" s="26">
        <f>SUM(F49:AJ49)</f>
        <v>3173710</v>
      </c>
      <c r="AM49" s="82"/>
      <c r="AN49" s="17"/>
      <c r="AO49" s="83"/>
      <c r="AP49" s="5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14"/>
      <c r="BY49" s="14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Z49" s="82"/>
      <c r="DA49" s="82"/>
      <c r="DB49" s="14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82"/>
      <c r="DZ49" s="82"/>
      <c r="EA49" s="82"/>
      <c r="EB49" s="82"/>
      <c r="EC49" s="82"/>
      <c r="ED49" s="82"/>
      <c r="EE49" s="82"/>
      <c r="EF49" s="82"/>
      <c r="EG49" s="82"/>
      <c r="EH49" s="82"/>
      <c r="EI49" s="82"/>
      <c r="EJ49" s="16"/>
      <c r="EK49" s="14"/>
      <c r="EL49" s="14"/>
      <c r="EM49" s="14"/>
      <c r="EN49" s="14"/>
      <c r="EO49" s="82"/>
      <c r="EP49" s="82"/>
      <c r="EQ49" s="82"/>
      <c r="ER49" s="82"/>
      <c r="ES49" s="82"/>
      <c r="ET49" s="82"/>
      <c r="EU49" s="82"/>
      <c r="EV49" s="82"/>
      <c r="EW49" s="82"/>
      <c r="EX49" s="82"/>
      <c r="EY49" s="82"/>
      <c r="EZ49" s="82"/>
      <c r="FA49" s="82"/>
      <c r="FB49" s="82"/>
      <c r="FC49" s="82"/>
      <c r="FD49" s="82"/>
      <c r="FE49" s="82"/>
      <c r="FF49" s="82"/>
      <c r="FG49" s="82"/>
      <c r="FH49" s="82"/>
      <c r="FI49" s="82"/>
      <c r="FJ49" s="82"/>
      <c r="FK49" s="82"/>
      <c r="FL49" s="82"/>
      <c r="FM49" s="82"/>
      <c r="FN49" s="82"/>
      <c r="FO49" s="82"/>
      <c r="FP49" s="82"/>
      <c r="FQ49" s="82"/>
      <c r="FR49" s="82"/>
      <c r="FS49" s="82"/>
      <c r="FT49" s="82"/>
      <c r="FU49" s="82"/>
      <c r="FV49" s="82"/>
      <c r="FW49" s="82"/>
      <c r="FX49" s="82"/>
      <c r="FY49" s="82"/>
      <c r="FZ49" s="82"/>
      <c r="GA49" s="82"/>
      <c r="GB49" s="82"/>
      <c r="GC49" s="82"/>
      <c r="GD49" s="82"/>
      <c r="GE49" s="82"/>
      <c r="GF49" s="82"/>
      <c r="GG49" s="82"/>
      <c r="GH49" s="82"/>
      <c r="GI49" s="82"/>
      <c r="GJ49" s="82"/>
      <c r="GK49" s="82"/>
      <c r="GL49" s="82"/>
      <c r="GM49" s="82"/>
      <c r="GN49" s="82"/>
      <c r="GO49" s="82"/>
      <c r="GP49" s="82"/>
      <c r="GQ49" s="14"/>
      <c r="GR49" s="82"/>
      <c r="GS49" s="82"/>
      <c r="GT49" s="82"/>
      <c r="GU49" s="82"/>
      <c r="GV49" s="82"/>
      <c r="GW49" s="82"/>
      <c r="GX49" s="82"/>
      <c r="GY49" s="82"/>
      <c r="GZ49" s="82"/>
      <c r="HA49" s="82"/>
      <c r="HB49" s="82"/>
      <c r="HC49" s="82"/>
      <c r="HD49" s="82"/>
      <c r="HE49" s="82"/>
      <c r="HF49" s="82"/>
      <c r="HG49" s="82"/>
      <c r="HH49" s="82"/>
      <c r="HI49" s="82"/>
      <c r="HJ49" s="82"/>
      <c r="HK49" s="82"/>
      <c r="HL49" s="82"/>
      <c r="HM49" s="82"/>
      <c r="HN49" s="82"/>
      <c r="HO49" s="82"/>
      <c r="HP49" s="82"/>
      <c r="HQ49" s="82"/>
      <c r="HR49" s="82"/>
      <c r="HS49" s="82"/>
      <c r="HT49" s="82"/>
      <c r="HU49" s="82"/>
      <c r="HV49" s="82"/>
      <c r="HW49" s="82"/>
      <c r="HX49" s="82"/>
      <c r="HY49" s="82"/>
      <c r="HZ49" s="82"/>
      <c r="IA49" s="82"/>
      <c r="IB49" s="82"/>
      <c r="IC49" s="82"/>
      <c r="ID49" s="82"/>
      <c r="IE49" s="82"/>
      <c r="IF49" s="82"/>
      <c r="IG49" s="82"/>
      <c r="IH49" s="82"/>
      <c r="II49" s="82"/>
      <c r="IJ49" s="82"/>
      <c r="IK49" s="82"/>
      <c r="IL49" s="82"/>
      <c r="IM49" s="82"/>
      <c r="IN49" s="82"/>
      <c r="IO49" s="82"/>
      <c r="IP49" s="82"/>
      <c r="IQ49" s="82"/>
      <c r="IR49" s="82"/>
      <c r="IS49" s="82"/>
      <c r="IT49" s="82"/>
      <c r="IU49" s="82"/>
      <c r="IV49" s="82"/>
      <c r="IW49" s="82"/>
      <c r="IX49" s="82"/>
      <c r="IY49" s="82"/>
      <c r="IZ49" s="82"/>
      <c r="JA49" s="82"/>
      <c r="JB49" s="82"/>
      <c r="JC49" s="82"/>
      <c r="JD49" s="82"/>
      <c r="JE49" s="82"/>
      <c r="JF49" s="82"/>
      <c r="JG49" s="82"/>
      <c r="JH49" s="82"/>
      <c r="JI49" s="82"/>
      <c r="JJ49" s="82"/>
      <c r="JK49" s="82"/>
      <c r="JL49" s="82"/>
      <c r="JM49" s="82"/>
      <c r="JN49" s="82"/>
      <c r="JO49" s="82"/>
      <c r="JP49" s="82"/>
      <c r="JQ49" s="82"/>
      <c r="JR49" s="82"/>
      <c r="JS49" s="82"/>
      <c r="JT49" s="82"/>
      <c r="JU49" s="82"/>
      <c r="JV49" s="82"/>
      <c r="JW49" s="82"/>
      <c r="JX49" s="82"/>
      <c r="JY49" s="82"/>
      <c r="JZ49" s="82"/>
      <c r="KA49" s="82"/>
      <c r="KB49" s="82"/>
      <c r="KC49" s="82"/>
      <c r="KD49" s="82"/>
      <c r="KE49" s="82"/>
      <c r="KF49" s="82"/>
      <c r="KG49" s="82"/>
      <c r="KH49" s="82"/>
      <c r="KI49" s="82"/>
      <c r="KJ49" s="82"/>
      <c r="KK49" s="82"/>
      <c r="KL49" s="14"/>
      <c r="KM49" s="14"/>
      <c r="KN49" s="14"/>
      <c r="KO49" s="14"/>
      <c r="KP49" s="82"/>
      <c r="KQ49" s="82"/>
      <c r="KR49" s="82"/>
      <c r="KS49" s="82"/>
      <c r="KT49" s="82"/>
      <c r="KU49" s="82"/>
      <c r="KV49" s="82"/>
      <c r="KW49" s="82"/>
      <c r="KX49" s="82"/>
      <c r="KY49" s="82"/>
      <c r="KZ49" s="82"/>
      <c r="LA49" s="82"/>
      <c r="LB49" s="82"/>
      <c r="LC49" s="82"/>
      <c r="LD49" s="82"/>
      <c r="LE49" s="82"/>
      <c r="LF49" s="82"/>
      <c r="LG49" s="82"/>
      <c r="LH49" s="82"/>
      <c r="LI49" s="82"/>
      <c r="LJ49" s="82"/>
      <c r="LK49" s="82"/>
      <c r="LL49" s="82"/>
      <c r="LM49" s="82"/>
      <c r="LN49" s="82"/>
      <c r="LO49" s="82"/>
      <c r="LP49" s="82"/>
      <c r="LQ49" s="82"/>
      <c r="LR49" s="82"/>
      <c r="LS49" s="82"/>
      <c r="LT49" s="82"/>
      <c r="LU49" s="82"/>
      <c r="LV49" s="82"/>
      <c r="LW49" s="82"/>
      <c r="LX49" s="82"/>
      <c r="LY49" s="82"/>
      <c r="LZ49" s="82"/>
      <c r="MA49" s="82"/>
      <c r="MB49" s="82"/>
      <c r="MC49" s="82"/>
      <c r="MD49" s="82"/>
      <c r="ME49" s="82"/>
      <c r="MF49" s="82"/>
      <c r="MG49" s="82"/>
      <c r="MH49" s="82"/>
      <c r="MI49" s="82"/>
      <c r="MJ49" s="82"/>
      <c r="MK49" s="82"/>
      <c r="ML49" s="82"/>
      <c r="MM49" s="82"/>
      <c r="MN49" s="82"/>
      <c r="MO49" s="82"/>
      <c r="MP49" s="82"/>
      <c r="MQ49" s="82"/>
      <c r="MR49" s="82"/>
      <c r="MS49" s="82"/>
      <c r="MT49" s="82"/>
      <c r="MU49" s="82"/>
      <c r="MV49" s="82"/>
      <c r="MW49" s="82"/>
      <c r="MX49" s="82"/>
      <c r="MY49" s="82"/>
      <c r="MZ49" s="82"/>
      <c r="NA49" s="82"/>
      <c r="NB49" s="82"/>
      <c r="NC49" s="82"/>
      <c r="ND49" s="82"/>
      <c r="NE49" s="82"/>
      <c r="NF49" s="82"/>
      <c r="NG49" s="82"/>
      <c r="NH49" s="82"/>
      <c r="NI49" s="82"/>
      <c r="NJ49" s="82"/>
      <c r="NK49" s="82"/>
      <c r="NL49" s="82"/>
      <c r="NM49" s="82"/>
      <c r="NN49" s="82"/>
      <c r="NO49" s="82"/>
      <c r="NP49" s="82"/>
      <c r="NQ49" s="82"/>
      <c r="NR49" s="82"/>
      <c r="NS49" s="82"/>
      <c r="NT49" s="82"/>
      <c r="NU49" s="82"/>
      <c r="NV49" s="82"/>
      <c r="NW49" s="82"/>
      <c r="NX49" s="82"/>
      <c r="NY49" s="82"/>
      <c r="NZ49" s="82"/>
      <c r="OA49" s="82"/>
      <c r="OB49" s="82"/>
      <c r="OC49" s="82"/>
      <c r="OD49" s="82"/>
      <c r="OE49" s="82"/>
      <c r="OF49" s="82"/>
      <c r="OG49" s="82"/>
      <c r="OH49" s="82"/>
      <c r="OI49" s="82"/>
      <c r="OJ49" s="82"/>
      <c r="OK49" s="82"/>
      <c r="OL49" s="82"/>
      <c r="OM49" s="82"/>
      <c r="ON49" s="82"/>
      <c r="OO49" s="82"/>
      <c r="OP49" s="82"/>
      <c r="OQ49" s="82"/>
      <c r="OR49" s="82"/>
      <c r="OS49" s="82"/>
      <c r="OT49" s="82"/>
      <c r="OU49" s="82"/>
      <c r="OV49" s="82"/>
      <c r="OW49" s="82"/>
      <c r="OX49" s="82"/>
      <c r="OY49" s="82"/>
      <c r="OZ49" s="82"/>
      <c r="PA49" s="82"/>
      <c r="PB49" s="82"/>
      <c r="PC49" s="82"/>
      <c r="PD49" s="82"/>
      <c r="PE49" s="82"/>
      <c r="PF49" s="82"/>
      <c r="PG49" s="82"/>
      <c r="PH49" s="82"/>
      <c r="PI49" s="82"/>
      <c r="PJ49" s="82"/>
      <c r="PK49" s="82"/>
      <c r="PL49" s="82"/>
      <c r="PM49" s="82"/>
      <c r="PN49" s="82"/>
      <c r="PO49" s="82"/>
      <c r="PP49" s="82"/>
      <c r="PQ49" s="82"/>
      <c r="PR49" s="82"/>
      <c r="PS49" s="14"/>
      <c r="PT49" s="14"/>
      <c r="PU49" s="82"/>
      <c r="PV49" s="14"/>
      <c r="PW49" s="82"/>
      <c r="PX49" s="82"/>
      <c r="PY49" s="82"/>
      <c r="PZ49" s="82"/>
      <c r="QA49" s="82"/>
      <c r="QB49" s="82"/>
      <c r="QC49" s="82"/>
      <c r="QD49" s="82"/>
      <c r="QE49" s="82"/>
      <c r="QF49" s="82"/>
      <c r="QG49" s="82"/>
      <c r="QH49" s="82"/>
      <c r="QI49" s="82"/>
      <c r="QJ49" s="15"/>
      <c r="QK49" s="82"/>
      <c r="QL49" s="82"/>
      <c r="QM49" s="82"/>
      <c r="QN49" s="14"/>
      <c r="QO49" s="82"/>
      <c r="QP49" s="82"/>
      <c r="QQ49" s="82"/>
      <c r="QR49" s="82"/>
      <c r="QS49" s="82"/>
      <c r="QT49" s="82"/>
      <c r="QU49" s="82"/>
      <c r="QV49" s="82"/>
      <c r="QW49" s="82"/>
      <c r="QX49" s="82"/>
      <c r="QY49" s="82"/>
      <c r="QZ49" s="82"/>
      <c r="RA49" s="82"/>
      <c r="RB49" s="82"/>
      <c r="RC49" s="82"/>
      <c r="RD49" s="82"/>
      <c r="RE49" s="82"/>
      <c r="RF49" s="82"/>
      <c r="RG49" s="82"/>
      <c r="RH49" s="82"/>
      <c r="RI49" s="82"/>
      <c r="RJ49" s="82"/>
      <c r="RK49" s="82"/>
      <c r="RL49" s="82"/>
      <c r="RM49" s="82"/>
      <c r="RN49" s="82"/>
      <c r="RO49" s="82"/>
      <c r="RP49" s="82"/>
      <c r="RQ49" s="82"/>
      <c r="RR49" s="82"/>
      <c r="RS49" s="82"/>
      <c r="RT49" s="82"/>
      <c r="RU49" s="82"/>
      <c r="RV49" s="82"/>
      <c r="RW49" s="82"/>
      <c r="RX49" s="82"/>
      <c r="RY49" s="82"/>
      <c r="RZ49" s="82"/>
      <c r="SA49" s="82"/>
      <c r="SB49" s="82"/>
      <c r="SC49" s="82"/>
      <c r="SD49" s="82"/>
      <c r="SE49" s="82"/>
      <c r="SF49" s="82"/>
      <c r="SG49" s="82"/>
      <c r="SH49" s="82"/>
      <c r="SI49" s="82"/>
      <c r="SJ49" s="82"/>
      <c r="SK49" s="82"/>
      <c r="SL49" s="82"/>
      <c r="SM49" s="82"/>
      <c r="SN49" s="82"/>
      <c r="SO49" s="82"/>
      <c r="SP49" s="82"/>
      <c r="SQ49" s="15"/>
      <c r="SR49" s="82"/>
      <c r="SS49" s="82"/>
      <c r="ST49" s="82"/>
      <c r="SU49" s="82"/>
      <c r="SV49" s="82"/>
      <c r="SW49" s="82"/>
      <c r="SX49" s="82"/>
      <c r="SY49" s="82"/>
      <c r="SZ49" s="82"/>
      <c r="TA49" s="82"/>
      <c r="TB49" s="82"/>
      <c r="TC49" s="82"/>
      <c r="TD49" s="82"/>
      <c r="TE49" s="82"/>
      <c r="TF49" s="82"/>
      <c r="TG49" s="82"/>
      <c r="TH49" s="82"/>
      <c r="TI49" s="82"/>
      <c r="TJ49" s="82"/>
      <c r="TK49" s="82"/>
      <c r="TL49" s="82"/>
      <c r="TM49" s="82"/>
      <c r="TN49" s="82"/>
      <c r="TO49" s="82"/>
      <c r="TP49" s="82"/>
      <c r="TQ49" s="82"/>
      <c r="TR49" s="82"/>
      <c r="TS49" s="82"/>
      <c r="TT49" s="82"/>
      <c r="TU49" s="82"/>
      <c r="TV49" s="82"/>
      <c r="TW49" s="82"/>
      <c r="TX49" s="82"/>
      <c r="TY49" s="82"/>
      <c r="TZ49" s="82"/>
      <c r="UA49" s="82"/>
      <c r="UB49" s="82"/>
      <c r="UC49" s="82"/>
      <c r="UD49" s="82"/>
      <c r="UE49" s="82"/>
      <c r="UF49" s="82"/>
      <c r="UG49" s="82"/>
      <c r="UH49" s="82"/>
      <c r="UI49" s="82"/>
      <c r="UJ49" s="82"/>
      <c r="UK49" s="82"/>
      <c r="UL49" s="82"/>
      <c r="UM49" s="82"/>
      <c r="UN49" s="82"/>
      <c r="UO49" s="82"/>
      <c r="UP49" s="82"/>
      <c r="UQ49" s="82"/>
      <c r="UR49" s="82"/>
      <c r="US49" s="82"/>
      <c r="UT49" s="82"/>
      <c r="UU49" s="82"/>
      <c r="UV49" s="82"/>
      <c r="UW49" s="82"/>
      <c r="UX49" s="82"/>
      <c r="UY49" s="82"/>
      <c r="UZ49" s="82"/>
      <c r="VA49" s="82"/>
      <c r="VB49" s="82"/>
      <c r="VC49" s="82"/>
      <c r="VD49" s="82"/>
      <c r="VE49" s="82"/>
      <c r="VF49" s="82"/>
      <c r="VG49" s="82"/>
      <c r="VH49" s="82"/>
      <c r="VI49" s="82"/>
      <c r="VJ49" s="82"/>
      <c r="VK49" s="82"/>
      <c r="VL49" s="82"/>
      <c r="VM49" s="82"/>
      <c r="VN49" s="82"/>
      <c r="VO49" s="82"/>
      <c r="VP49" s="82"/>
      <c r="VQ49" s="82"/>
      <c r="VR49" s="82"/>
      <c r="VS49" s="82"/>
      <c r="VT49" s="82"/>
      <c r="VU49" s="82"/>
      <c r="VV49" s="82"/>
      <c r="VW49" s="82"/>
      <c r="VX49" s="82"/>
      <c r="VY49" s="82"/>
      <c r="VZ49" s="82"/>
      <c r="WA49" s="82"/>
      <c r="WB49" s="82"/>
      <c r="WC49" s="82"/>
      <c r="WD49" s="82"/>
      <c r="WE49" s="82"/>
      <c r="WF49" s="82"/>
      <c r="WG49" s="82"/>
      <c r="WH49" s="82"/>
      <c r="WI49" s="82"/>
      <c r="WJ49" s="82"/>
      <c r="WK49" s="82"/>
      <c r="WL49" s="82"/>
      <c r="WM49" s="82"/>
      <c r="WN49" s="82"/>
      <c r="WO49" s="82"/>
      <c r="WP49" s="82"/>
      <c r="WQ49" s="82"/>
      <c r="WR49" s="82"/>
      <c r="WS49" s="82"/>
      <c r="WT49" s="82"/>
      <c r="WU49" s="82"/>
      <c r="WV49" s="82"/>
      <c r="WW49" s="82"/>
      <c r="WX49" s="82"/>
      <c r="WY49" s="82"/>
      <c r="WZ49" s="82"/>
      <c r="XA49" s="82"/>
      <c r="XB49" s="82"/>
      <c r="XC49" s="82"/>
      <c r="XD49" s="82"/>
      <c r="XE49" s="82"/>
      <c r="XF49" s="82"/>
      <c r="XG49" s="82"/>
      <c r="XH49" s="82"/>
      <c r="XI49" s="82"/>
      <c r="XJ49" s="82"/>
      <c r="XK49" s="82"/>
      <c r="XL49" s="82"/>
      <c r="XM49" s="82"/>
      <c r="XN49" s="82"/>
      <c r="XO49" s="82"/>
      <c r="XP49" s="82"/>
      <c r="XQ49" s="82"/>
      <c r="XR49" s="82"/>
      <c r="XS49" s="82"/>
      <c r="XT49" s="82"/>
      <c r="XU49" s="82"/>
      <c r="XV49" s="82"/>
      <c r="XW49" s="82"/>
      <c r="XX49" s="82"/>
      <c r="XY49" s="82"/>
      <c r="XZ49" s="82"/>
      <c r="YA49" s="82"/>
      <c r="YB49" s="82"/>
      <c r="YC49" s="82"/>
      <c r="YD49" s="82"/>
      <c r="YE49" s="82"/>
      <c r="YF49" s="82"/>
      <c r="YG49" s="82"/>
      <c r="YH49" s="82"/>
      <c r="YI49" s="82"/>
      <c r="YJ49" s="82"/>
      <c r="YK49" s="82"/>
      <c r="YL49" s="82"/>
      <c r="YM49" s="82"/>
      <c r="YN49" s="82"/>
      <c r="YO49" s="82"/>
      <c r="YP49" s="82"/>
      <c r="YQ49" s="82"/>
      <c r="YR49" s="82"/>
      <c r="YS49" s="82"/>
      <c r="YT49" s="82"/>
      <c r="YU49" s="82"/>
      <c r="YV49" s="82"/>
      <c r="YW49" s="82"/>
      <c r="YX49" s="82"/>
      <c r="YY49" s="82"/>
      <c r="YZ49" s="82"/>
      <c r="ZA49" s="82"/>
      <c r="ZB49" s="82"/>
      <c r="ZC49" s="82"/>
      <c r="ZD49" s="82"/>
      <c r="ZE49" s="82"/>
      <c r="ZF49" s="82"/>
      <c r="ZG49" s="82"/>
      <c r="ZH49" s="82"/>
      <c r="ZI49" s="82"/>
      <c r="ZJ49" s="82"/>
      <c r="ZK49" s="82"/>
      <c r="ZL49" s="82"/>
      <c r="ZM49" s="82"/>
      <c r="ZN49" s="82"/>
      <c r="ZO49" s="82"/>
      <c r="ZP49" s="82"/>
      <c r="ZQ49" s="82"/>
      <c r="ZR49" s="82"/>
      <c r="ZS49" s="82"/>
      <c r="ZT49" s="82"/>
      <c r="ZU49" s="82"/>
      <c r="ZV49" s="82"/>
      <c r="ZW49" s="82"/>
      <c r="ZX49" s="82"/>
      <c r="ZY49" s="82"/>
      <c r="ZZ49" s="82"/>
      <c r="AAA49" s="82"/>
      <c r="AAB49" s="82"/>
      <c r="AAC49" s="82"/>
      <c r="AAD49" s="82"/>
      <c r="AAE49" s="82"/>
      <c r="AAF49" s="82"/>
      <c r="AAG49" s="82"/>
      <c r="AAH49" s="82"/>
      <c r="AAI49" s="82"/>
      <c r="AAJ49" s="82"/>
      <c r="AAK49" s="82"/>
      <c r="AAL49" s="82"/>
      <c r="AAM49" s="82"/>
      <c r="AAN49" s="82"/>
      <c r="AAO49" s="82"/>
      <c r="AAP49" s="82"/>
      <c r="AAQ49" s="82"/>
      <c r="AAR49" s="82"/>
      <c r="AAS49" s="82"/>
      <c r="AAT49" s="82"/>
      <c r="AAU49" s="82"/>
      <c r="AAV49" s="82"/>
      <c r="AAW49" s="82"/>
      <c r="AAX49" s="82"/>
      <c r="AAY49" s="82"/>
      <c r="AAZ49" s="82"/>
      <c r="ABA49" s="82"/>
      <c r="ABB49" s="82"/>
      <c r="ABC49" s="82"/>
      <c r="ABD49" s="82"/>
      <c r="ABE49" s="82"/>
      <c r="ABF49" s="82"/>
      <c r="ABG49" s="82"/>
      <c r="ABH49" s="82"/>
      <c r="ABI49" s="82"/>
      <c r="ABJ49" s="82"/>
      <c r="ABK49" s="82"/>
      <c r="ABL49" s="82"/>
      <c r="ABM49" s="82"/>
      <c r="ABN49" s="82"/>
      <c r="ABO49" s="82"/>
      <c r="ABP49" s="82"/>
      <c r="ABQ49" s="82"/>
      <c r="ABR49" s="82"/>
      <c r="ABS49" s="82"/>
      <c r="ABT49" s="82"/>
      <c r="ABU49" s="82"/>
      <c r="ABV49" s="82"/>
      <c r="ABW49" s="82"/>
      <c r="ABX49" s="82"/>
      <c r="ABY49" s="82"/>
      <c r="ABZ49" s="82"/>
      <c r="ACA49" s="82"/>
      <c r="ACB49" s="82"/>
      <c r="ACC49" s="82"/>
      <c r="ACD49" s="82"/>
      <c r="ACE49" s="82"/>
      <c r="ACF49" s="82"/>
      <c r="ACG49" s="82"/>
      <c r="ACH49" s="82"/>
      <c r="ACI49" s="82"/>
      <c r="ACJ49" s="82"/>
      <c r="ACK49" s="82"/>
      <c r="ACL49" s="82"/>
      <c r="ACM49" s="82"/>
      <c r="ACN49" s="82"/>
      <c r="ACO49" s="82"/>
      <c r="ACP49" s="82"/>
      <c r="ACQ49" s="82"/>
      <c r="ACR49" s="82"/>
      <c r="ACS49" s="82"/>
      <c r="ACT49" s="82"/>
      <c r="ACU49" s="82"/>
      <c r="ACV49" s="82"/>
      <c r="ACW49" s="82"/>
      <c r="ACX49" s="82"/>
      <c r="ACY49" s="82"/>
      <c r="ACZ49" s="82"/>
      <c r="ADA49" s="82"/>
      <c r="ADB49" s="82"/>
      <c r="ADC49" s="82"/>
      <c r="ADD49" s="82"/>
      <c r="ADE49" s="82"/>
      <c r="ADF49" s="82"/>
      <c r="ADG49" s="82"/>
      <c r="ADH49" s="82"/>
      <c r="ADI49" s="82"/>
      <c r="ADJ49" s="82"/>
      <c r="ADK49" s="82"/>
      <c r="ADL49" s="82"/>
      <c r="ADM49" s="82"/>
      <c r="ADN49" s="82"/>
      <c r="ADO49" s="82"/>
      <c r="ADP49" s="82"/>
      <c r="ADQ49" s="82"/>
      <c r="ADR49" s="82"/>
      <c r="ADS49" s="82"/>
      <c r="ADT49" s="82"/>
      <c r="ADU49" s="82"/>
      <c r="ADV49" s="82"/>
      <c r="ADW49" s="82"/>
      <c r="ADX49" s="82"/>
      <c r="ADY49" s="82"/>
      <c r="ADZ49" s="82"/>
      <c r="AEA49" s="82"/>
      <c r="AEB49" s="82"/>
      <c r="AEC49" s="82"/>
      <c r="AED49" s="82"/>
      <c r="AEE49" s="82"/>
      <c r="AEF49" s="82"/>
      <c r="AEG49" s="82"/>
      <c r="AEH49" s="82"/>
      <c r="AEI49" s="82"/>
      <c r="AEJ49" s="82"/>
      <c r="AEK49" s="82"/>
      <c r="AEL49" s="82"/>
      <c r="AEM49" s="82"/>
      <c r="AEN49" s="82"/>
      <c r="AEO49" s="82"/>
      <c r="AEP49" s="82"/>
      <c r="AEQ49" s="82"/>
      <c r="AER49" s="82"/>
      <c r="AES49" s="82"/>
      <c r="AET49" s="82"/>
      <c r="AEU49" s="82"/>
      <c r="AEV49" s="82"/>
      <c r="AEW49" s="82"/>
      <c r="AEX49" s="82"/>
      <c r="AEY49" s="82"/>
      <c r="AEZ49" s="82"/>
      <c r="AFA49" s="82"/>
      <c r="AFB49" s="82"/>
      <c r="AFC49" s="82"/>
      <c r="AFD49" s="82"/>
      <c r="AFE49" s="82"/>
      <c r="AFF49" s="82"/>
      <c r="AFG49" s="82"/>
      <c r="AFH49" s="82"/>
      <c r="AFI49" s="82"/>
      <c r="AFJ49" s="82"/>
      <c r="AFK49" s="82"/>
      <c r="AFL49" s="82"/>
      <c r="AFM49" s="82"/>
      <c r="AFN49" s="82"/>
      <c r="AFO49" s="82"/>
      <c r="AFP49" s="82"/>
      <c r="AFQ49" s="82"/>
      <c r="AFR49" s="82"/>
      <c r="AFS49" s="82"/>
      <c r="AFT49" s="82"/>
      <c r="AFU49" s="82"/>
      <c r="AFV49" s="82"/>
      <c r="AFW49" s="82"/>
      <c r="AFX49" s="82"/>
      <c r="AFY49" s="82"/>
      <c r="AFZ49" s="82"/>
      <c r="AGA49" s="82"/>
      <c r="AGB49" s="82"/>
      <c r="AGC49" s="82"/>
      <c r="AGD49" s="82"/>
      <c r="AGE49" s="82"/>
      <c r="AGF49" s="82"/>
      <c r="AGG49" s="82"/>
      <c r="AGH49" s="82"/>
      <c r="AGI49" s="82"/>
      <c r="AGJ49" s="82"/>
      <c r="AGK49" s="82"/>
      <c r="AGL49" s="82"/>
      <c r="AGM49" s="82"/>
      <c r="AGN49" s="82"/>
      <c r="AGO49" s="82"/>
      <c r="AGP49" s="82"/>
      <c r="AGQ49" s="82"/>
      <c r="AGR49" s="82"/>
      <c r="AGS49" s="82"/>
      <c r="AGT49" s="82"/>
      <c r="AGU49" s="82"/>
      <c r="AGV49" s="82"/>
      <c r="AGW49" s="82"/>
      <c r="AGX49" s="82"/>
      <c r="AGY49" s="82"/>
      <c r="AGZ49" s="82"/>
      <c r="AHA49" s="82"/>
      <c r="AHB49" s="82"/>
      <c r="AHC49" s="82"/>
      <c r="AHD49" s="82"/>
      <c r="AHE49" s="82"/>
      <c r="AHF49" s="82"/>
      <c r="AHG49" s="82"/>
      <c r="AHH49" s="82"/>
      <c r="AHI49" s="82"/>
      <c r="AHJ49" s="82"/>
      <c r="AHK49" s="82"/>
      <c r="AHL49" s="82"/>
      <c r="AHM49" s="82"/>
      <c r="AHN49" s="82"/>
      <c r="AHO49" s="82"/>
      <c r="AHP49" s="82"/>
      <c r="AHQ49" s="82"/>
      <c r="AHR49" s="82"/>
      <c r="AHS49" s="82"/>
      <c r="AHT49" s="82"/>
      <c r="AHU49" s="82"/>
      <c r="AHV49" s="82"/>
      <c r="AHW49" s="82"/>
      <c r="AHX49" s="82"/>
      <c r="AHY49" s="82"/>
      <c r="AHZ49" s="14"/>
      <c r="AIA49" s="82"/>
      <c r="AIB49" s="82"/>
      <c r="AIC49" s="82"/>
      <c r="AID49" s="82"/>
      <c r="AIE49" s="82"/>
      <c r="AIF49" s="82"/>
      <c r="AIG49" s="82"/>
      <c r="AIH49" s="82"/>
      <c r="AII49" s="82"/>
      <c r="AIJ49" s="82"/>
      <c r="AIK49" s="82"/>
      <c r="AIL49" s="82"/>
      <c r="AIM49" s="82"/>
      <c r="AIN49" s="82"/>
      <c r="AIO49" s="82"/>
      <c r="AIP49" s="82"/>
      <c r="AIQ49" s="82"/>
      <c r="AIR49" s="82"/>
      <c r="AIS49" s="82"/>
      <c r="AIT49" s="82"/>
      <c r="AIU49" s="82"/>
      <c r="AIV49" s="82"/>
      <c r="AIW49" s="82"/>
      <c r="AIX49" s="82"/>
      <c r="AIY49" s="82"/>
      <c r="AIZ49" s="82"/>
      <c r="AJA49" s="82"/>
      <c r="AJB49" s="82"/>
      <c r="AJC49" s="82"/>
      <c r="AJD49" s="82"/>
      <c r="AJE49" s="82"/>
      <c r="AJF49" s="82"/>
      <c r="AJG49" s="82"/>
      <c r="AJH49" s="82"/>
      <c r="AJI49" s="82"/>
      <c r="AJJ49" s="82"/>
      <c r="AJK49" s="82"/>
      <c r="AJL49" s="82"/>
      <c r="AJM49" s="82"/>
      <c r="AJN49" s="82"/>
      <c r="AJO49" s="14"/>
      <c r="AJP49" s="14"/>
      <c r="AJQ49" s="14"/>
      <c r="AJR49" s="82"/>
      <c r="AJS49" s="82"/>
      <c r="AJT49" s="82"/>
      <c r="AJU49" s="82"/>
      <c r="AJV49" s="82"/>
      <c r="AJW49" s="82"/>
      <c r="AJX49" s="82"/>
      <c r="AJY49" s="82"/>
      <c r="AJZ49" s="82"/>
      <c r="AKA49" s="82"/>
      <c r="AKB49" s="82"/>
      <c r="AKC49" s="82"/>
      <c r="AKD49" s="82"/>
      <c r="AKE49" s="82"/>
      <c r="AKF49" s="82"/>
      <c r="AKG49" s="82"/>
      <c r="AKH49" s="82"/>
      <c r="AKI49" s="82"/>
      <c r="AKJ49" s="82"/>
      <c r="AKK49" s="82"/>
      <c r="AKL49" s="82"/>
      <c r="AKM49" s="82"/>
      <c r="AKN49" s="82"/>
      <c r="AKO49" s="82"/>
      <c r="AKP49" s="82"/>
      <c r="AKQ49" s="82"/>
      <c r="AKR49" s="82"/>
      <c r="AKS49" s="82"/>
      <c r="AKT49" s="82"/>
      <c r="AKU49" s="82"/>
      <c r="AKV49" s="82"/>
      <c r="AKW49" s="82"/>
      <c r="AKX49" s="82"/>
      <c r="AKY49" s="82"/>
      <c r="AKZ49" s="82"/>
      <c r="ALA49" s="82"/>
      <c r="ALB49" s="82"/>
      <c r="ALC49" s="82"/>
      <c r="ALD49" s="82"/>
      <c r="ALE49" s="82"/>
      <c r="ALF49" s="82"/>
      <c r="ALG49" s="82"/>
      <c r="ALH49" s="82"/>
      <c r="ALI49" s="82"/>
      <c r="ALJ49" s="82"/>
      <c r="ALK49" s="82"/>
      <c r="ALL49" s="82"/>
      <c r="ALM49" s="82"/>
      <c r="ALN49" s="82"/>
      <c r="ALO49" s="82"/>
      <c r="ALP49" s="82"/>
      <c r="ALQ49" s="82"/>
      <c r="ALR49" s="82"/>
      <c r="ALS49" s="82"/>
      <c r="ALT49" s="82"/>
      <c r="ALU49" s="82"/>
      <c r="ALV49" s="82"/>
      <c r="ALW49" s="82"/>
      <c r="ALX49" s="82"/>
      <c r="ALY49" s="82"/>
      <c r="ALZ49" s="82"/>
      <c r="AMA49" s="82"/>
      <c r="AMB49" s="82"/>
      <c r="AMC49" s="82"/>
      <c r="AMD49" s="82"/>
      <c r="AME49" s="82"/>
      <c r="AMF49" s="82"/>
      <c r="AMG49" s="82"/>
      <c r="AMH49" s="82"/>
      <c r="AMI49" s="82"/>
      <c r="AMJ49" s="82"/>
      <c r="AMK49" s="82"/>
      <c r="AML49" s="82"/>
      <c r="AMM49" s="82"/>
      <c r="AMN49" s="82"/>
      <c r="AMO49" s="82"/>
      <c r="AMP49" s="82"/>
      <c r="AMQ49" s="82"/>
      <c r="AMR49" s="82"/>
      <c r="AMS49" s="82"/>
      <c r="AMT49" s="82"/>
      <c r="AMU49" s="82"/>
      <c r="AMV49" s="82"/>
      <c r="AMW49" s="82"/>
      <c r="AMX49" s="82"/>
      <c r="AMY49" s="82"/>
      <c r="AMZ49" s="82"/>
      <c r="ANA49" s="82"/>
      <c r="ANB49" s="82"/>
      <c r="ANC49" s="82"/>
      <c r="AND49" s="82"/>
      <c r="ANE49" s="82"/>
      <c r="ANF49" s="82"/>
      <c r="ANG49" s="82"/>
      <c r="ANH49" s="82"/>
      <c r="ANI49" s="82"/>
      <c r="ANJ49" s="82"/>
      <c r="ANK49" s="82"/>
      <c r="ANL49" s="82"/>
      <c r="ANM49" s="82"/>
      <c r="ANN49" s="82"/>
      <c r="ANO49" s="82"/>
      <c r="ANP49" s="82"/>
      <c r="ANQ49" s="82"/>
      <c r="ANR49" s="82"/>
      <c r="ANS49" s="82"/>
      <c r="ANT49" s="82"/>
      <c r="ANU49" s="82"/>
      <c r="ANV49" s="82"/>
      <c r="ANW49" s="82"/>
      <c r="ANX49" s="82"/>
      <c r="ANY49" s="82"/>
      <c r="ANZ49" s="82"/>
      <c r="AOA49" s="82"/>
      <c r="AOB49" s="82"/>
      <c r="AOC49" s="82"/>
      <c r="AOD49" s="82"/>
      <c r="AOE49" s="82"/>
      <c r="AOF49" s="82"/>
      <c r="AOG49" s="82"/>
      <c r="AOH49" s="82"/>
      <c r="AOI49" s="82"/>
      <c r="AOJ49" s="82"/>
      <c r="AOK49" s="82"/>
      <c r="AOL49" s="82"/>
      <c r="AOM49" s="82"/>
      <c r="AON49" s="82"/>
      <c r="AOO49" s="82"/>
      <c r="AOP49" s="82"/>
      <c r="AOQ49" s="82"/>
      <c r="AOR49" s="82"/>
      <c r="AOS49" s="82"/>
      <c r="AOT49" s="82"/>
      <c r="AOU49" s="82"/>
      <c r="AOV49" s="82"/>
      <c r="AOW49" s="82"/>
      <c r="AOX49" s="82"/>
      <c r="AOY49" s="82"/>
      <c r="AOZ49" s="82"/>
      <c r="APA49" s="82"/>
      <c r="APB49" s="82"/>
      <c r="APC49" s="82"/>
      <c r="APD49" s="82"/>
      <c r="APE49" s="82"/>
      <c r="APF49" s="82"/>
      <c r="APG49" s="82"/>
      <c r="APH49" s="82"/>
      <c r="API49" s="82"/>
      <c r="APJ49" s="82"/>
      <c r="APK49" s="82"/>
      <c r="APL49" s="82"/>
      <c r="APM49" s="82"/>
      <c r="APN49" s="82"/>
      <c r="APO49" s="82"/>
      <c r="APP49" s="82"/>
      <c r="APQ49" s="82"/>
      <c r="APR49" s="82"/>
      <c r="APS49" s="82"/>
      <c r="APT49" s="82"/>
      <c r="APU49" s="82"/>
      <c r="APV49" s="82"/>
      <c r="APW49" s="82"/>
      <c r="APX49" s="82"/>
      <c r="APY49" s="82"/>
      <c r="APZ49" s="82"/>
      <c r="AQA49" s="82"/>
      <c r="AQB49" s="82"/>
      <c r="AQC49" s="82"/>
      <c r="AQD49" s="82"/>
      <c r="AQE49" s="82"/>
      <c r="AQF49" s="82"/>
      <c r="AQG49" s="82"/>
      <c r="AQH49" s="82"/>
      <c r="AQI49" s="82"/>
      <c r="AQJ49" s="82"/>
      <c r="AQK49" s="82"/>
      <c r="AQL49" s="82"/>
      <c r="AQM49" s="82"/>
      <c r="AQN49" s="82"/>
      <c r="AQO49" s="82"/>
      <c r="AQP49" s="82"/>
      <c r="AQQ49" s="82"/>
      <c r="AQR49" s="82"/>
      <c r="AQS49" s="82"/>
      <c r="AQT49" s="82"/>
      <c r="AQU49" s="82"/>
      <c r="AQV49" s="82"/>
      <c r="AQW49" s="82"/>
      <c r="AQX49" s="82"/>
      <c r="AQY49" s="82"/>
      <c r="AQZ49" s="82"/>
      <c r="ARA49" s="82"/>
      <c r="ARB49" s="82"/>
      <c r="ARC49" s="82"/>
      <c r="ARD49" s="82"/>
      <c r="ARE49" s="82"/>
      <c r="ARF49" s="82"/>
      <c r="ARG49" s="82"/>
      <c r="ARH49" s="82"/>
      <c r="ARI49" s="82"/>
      <c r="ARJ49" s="82"/>
      <c r="ARK49" s="82"/>
      <c r="ARL49" s="82"/>
      <c r="ARM49" s="82"/>
      <c r="ARN49" s="82"/>
      <c r="ARO49" s="82"/>
      <c r="ARP49" s="82"/>
      <c r="ARQ49" s="82"/>
      <c r="ARR49" s="82"/>
      <c r="ARS49" s="82"/>
      <c r="ART49" s="82"/>
      <c r="ARU49" s="82"/>
      <c r="ARV49" s="82"/>
      <c r="ARW49" s="82"/>
      <c r="ARX49" s="82"/>
      <c r="ARY49" s="82"/>
      <c r="ARZ49" s="82"/>
      <c r="ASA49" s="82"/>
      <c r="ASB49" s="82"/>
      <c r="ASC49" s="82"/>
      <c r="ASD49" s="82"/>
      <c r="ASE49" s="82"/>
      <c r="ASF49" s="82"/>
      <c r="ASG49" s="82"/>
      <c r="ASH49" s="82"/>
      <c r="ASI49" s="82"/>
      <c r="ASJ49" s="82"/>
      <c r="ASK49" s="82"/>
      <c r="ASL49" s="82"/>
      <c r="ASM49" s="82"/>
      <c r="ASN49" s="82"/>
      <c r="ASO49" s="82"/>
      <c r="ASP49" s="82"/>
      <c r="ASQ49" s="82"/>
      <c r="ASR49" s="82"/>
      <c r="ASS49" s="82"/>
      <c r="AST49" s="82"/>
      <c r="ASU49" s="82"/>
      <c r="ASV49" s="82"/>
      <c r="ASW49" s="82"/>
      <c r="ASX49" s="82"/>
      <c r="ASY49" s="82"/>
      <c r="ASZ49" s="82"/>
      <c r="ATA49" s="82"/>
      <c r="ATB49" s="82"/>
      <c r="ATC49" s="82"/>
      <c r="ATD49" s="82"/>
      <c r="ATE49" s="82"/>
      <c r="ATF49" s="82"/>
      <c r="ATG49" s="82"/>
      <c r="ATH49" s="82"/>
      <c r="ATI49" s="82"/>
      <c r="ATJ49" s="82"/>
      <c r="ATK49" s="82"/>
      <c r="ATL49" s="82"/>
      <c r="ATM49" s="82"/>
      <c r="ATN49" s="82"/>
      <c r="ATO49" s="82"/>
      <c r="ATP49" s="82"/>
      <c r="ATQ49" s="82"/>
      <c r="ATR49" s="82"/>
      <c r="ATS49" s="82"/>
      <c r="ATT49" s="82"/>
      <c r="ATU49" s="82"/>
      <c r="ATV49" s="82"/>
      <c r="ATW49" s="82"/>
      <c r="ATX49" s="82"/>
      <c r="ATY49" s="82"/>
      <c r="ATZ49" s="82"/>
      <c r="AUA49" s="82"/>
      <c r="AUB49" s="82"/>
      <c r="AUC49" s="82"/>
      <c r="AUD49" s="82"/>
      <c r="AUE49" s="82"/>
      <c r="AUF49" s="82"/>
      <c r="AUG49" s="82"/>
      <c r="AUH49" s="82"/>
      <c r="AUI49" s="82"/>
      <c r="AUJ49" s="82"/>
      <c r="AUK49" s="82"/>
      <c r="AUL49" s="82"/>
      <c r="AUM49" s="82"/>
      <c r="AUN49" s="82"/>
      <c r="AUO49" s="82"/>
      <c r="AUP49" s="82"/>
      <c r="AUQ49" s="82"/>
      <c r="AUR49" s="82"/>
      <c r="AUS49" s="82"/>
      <c r="AUT49" s="82"/>
      <c r="AUU49" s="82"/>
      <c r="AUV49" s="82"/>
      <c r="AUW49" s="82"/>
      <c r="AUX49" s="82"/>
      <c r="AUY49" s="82"/>
      <c r="AUZ49" s="82"/>
      <c r="AVA49" s="82"/>
      <c r="AVB49" s="82"/>
      <c r="AVC49" s="82"/>
      <c r="AVD49" s="82"/>
      <c r="AVE49" s="82"/>
      <c r="AVF49" s="82"/>
      <c r="AVG49" s="82"/>
      <c r="AVH49" s="82"/>
      <c r="AVI49" s="82"/>
      <c r="AVJ49" s="82"/>
      <c r="AVK49" s="82"/>
      <c r="AVL49" s="82"/>
      <c r="AVM49" s="82"/>
      <c r="AVN49" s="82"/>
      <c r="AVO49" s="82"/>
      <c r="AVP49" s="82"/>
      <c r="AVQ49" s="82"/>
      <c r="AVR49" s="82"/>
      <c r="AVS49" s="82"/>
      <c r="AVT49" s="82"/>
      <c r="AVU49" s="82"/>
      <c r="AVV49" s="82"/>
      <c r="AVW49" s="82"/>
      <c r="AVX49" s="82"/>
      <c r="AVY49" s="82"/>
      <c r="AVZ49" s="82"/>
      <c r="AWA49" s="82"/>
      <c r="AWB49" s="82"/>
      <c r="AWC49" s="82"/>
      <c r="AWD49" s="82"/>
      <c r="AWE49" s="82"/>
      <c r="AWF49" s="82"/>
      <c r="AWG49" s="82"/>
      <c r="AWH49" s="82"/>
      <c r="AWI49" s="82"/>
      <c r="AWJ49" s="82"/>
      <c r="AWK49" s="82"/>
      <c r="AWL49" s="82"/>
      <c r="AWM49" s="82"/>
      <c r="AWN49" s="82"/>
      <c r="AWO49" s="82"/>
      <c r="AWP49" s="82"/>
      <c r="AWQ49" s="82"/>
      <c r="AWR49" s="82"/>
      <c r="AWS49" s="82"/>
      <c r="AWT49" s="82"/>
      <c r="AWU49" s="82"/>
      <c r="AWV49" s="82"/>
      <c r="AWW49" s="82"/>
      <c r="AWX49" s="82"/>
      <c r="AWY49" s="82"/>
      <c r="AWZ49" s="82"/>
      <c r="AXA49" s="82"/>
      <c r="AXB49" s="82"/>
      <c r="AXC49" s="82"/>
      <c r="AXD49" s="82"/>
      <c r="AXE49" s="82"/>
      <c r="AXF49" s="82"/>
      <c r="AXG49" s="82"/>
      <c r="AXH49" s="82"/>
      <c r="AXI49" s="82"/>
      <c r="AXJ49" s="82"/>
      <c r="AXK49" s="82"/>
      <c r="AXL49" s="82"/>
      <c r="AXM49" s="82"/>
      <c r="AXN49" s="82"/>
      <c r="AXO49" s="82"/>
      <c r="AXP49" s="82"/>
      <c r="AXQ49" s="82"/>
      <c r="AXR49" s="82"/>
      <c r="AXS49" s="82"/>
      <c r="AXT49" s="82"/>
      <c r="AXU49" s="82"/>
      <c r="AXV49" s="82"/>
      <c r="AXW49" s="82"/>
      <c r="AXX49" s="82"/>
      <c r="AXY49" s="82"/>
      <c r="AXZ49" s="82"/>
      <c r="AYA49" s="82"/>
      <c r="AYB49" s="82"/>
      <c r="AYC49" s="82"/>
      <c r="AYD49" s="82"/>
      <c r="AYE49" s="82"/>
      <c r="AYF49" s="82"/>
      <c r="AYG49" s="82"/>
      <c r="AYH49" s="82"/>
      <c r="AYI49" s="82"/>
      <c r="AYJ49" s="82"/>
      <c r="AYK49" s="82"/>
      <c r="AYL49" s="82"/>
      <c r="AYM49" s="82"/>
      <c r="AYN49" s="82"/>
      <c r="AYO49" s="82"/>
      <c r="AYP49" s="82"/>
      <c r="AYQ49" s="82"/>
      <c r="AYR49" s="82"/>
      <c r="AYS49" s="82"/>
      <c r="AYT49" s="82"/>
      <c r="AYU49" s="82"/>
      <c r="AYV49" s="82"/>
      <c r="AYW49" s="82"/>
      <c r="AYX49" s="82"/>
      <c r="AYY49" s="82"/>
      <c r="AYZ49" s="82"/>
      <c r="AZA49" s="82"/>
      <c r="AZB49" s="82"/>
      <c r="AZC49" s="82"/>
      <c r="AZD49" s="82"/>
      <c r="AZE49" s="82"/>
      <c r="AZF49" s="82"/>
      <c r="AZG49" s="82"/>
      <c r="AZH49" s="82"/>
      <c r="AZI49" s="82"/>
      <c r="AZJ49" s="82"/>
      <c r="AZK49" s="82"/>
      <c r="AZL49" s="82"/>
      <c r="AZM49" s="82"/>
      <c r="AZN49" s="82"/>
      <c r="AZO49" s="82"/>
      <c r="AZP49" s="82"/>
      <c r="AZQ49" s="82"/>
      <c r="AZR49" s="82"/>
      <c r="AZS49" s="82"/>
      <c r="AZT49" s="82"/>
      <c r="AZU49" s="82"/>
      <c r="AZV49" s="82"/>
      <c r="AZW49" s="82"/>
      <c r="AZX49" s="82"/>
      <c r="AZY49" s="82"/>
      <c r="AZZ49" s="82"/>
      <c r="BAA49" s="82"/>
      <c r="BAB49" s="82"/>
      <c r="BAC49" s="82"/>
      <c r="BAD49" s="82"/>
      <c r="BAE49" s="82"/>
      <c r="BAF49" s="82"/>
      <c r="BAG49" s="82"/>
      <c r="BAH49" s="82"/>
      <c r="BAI49" s="82"/>
      <c r="BAJ49" s="82"/>
      <c r="BAK49" s="82"/>
      <c r="BAL49" s="82"/>
      <c r="BAM49" s="82"/>
      <c r="BAN49" s="82"/>
      <c r="BAO49" s="82"/>
      <c r="BAP49" s="82"/>
      <c r="BAQ49" s="82"/>
      <c r="BAR49" s="82"/>
      <c r="BAS49" s="82"/>
      <c r="BAT49" s="82"/>
      <c r="BAU49" s="82"/>
      <c r="BAV49" s="82"/>
      <c r="BAW49" s="82"/>
      <c r="BAX49" s="82"/>
      <c r="BAY49" s="82"/>
      <c r="BAZ49" s="82"/>
      <c r="BBA49" s="82"/>
      <c r="BBB49" s="82"/>
      <c r="BBC49" s="82"/>
      <c r="BBD49" s="82"/>
      <c r="BBE49" s="82"/>
      <c r="BBF49" s="82"/>
      <c r="BBG49" s="82"/>
      <c r="BBH49" s="82"/>
      <c r="BBI49" s="82"/>
      <c r="BBJ49" s="82"/>
      <c r="BBK49" s="82"/>
      <c r="BBL49" s="82"/>
      <c r="BBM49" s="82"/>
      <c r="BBN49" s="82"/>
      <c r="BBO49" s="82"/>
      <c r="BBP49" s="82"/>
      <c r="BBQ49" s="82"/>
      <c r="BBR49" s="82"/>
      <c r="BBS49" s="82"/>
      <c r="BBT49" s="82"/>
      <c r="BBU49" s="82"/>
      <c r="BBV49" s="82"/>
      <c r="BBW49" s="82"/>
      <c r="BBX49" s="82"/>
      <c r="BBY49" s="82"/>
      <c r="BBZ49" s="82"/>
      <c r="BCA49" s="82"/>
      <c r="BCB49" s="82"/>
      <c r="BCC49" s="82"/>
      <c r="BCD49" s="82"/>
      <c r="BCE49" s="82"/>
      <c r="BCF49" s="82"/>
      <c r="BCG49" s="82"/>
      <c r="BCH49" s="82"/>
      <c r="BCI49" s="82"/>
      <c r="BCJ49" s="82"/>
      <c r="BCK49" s="82"/>
      <c r="BCL49" s="82"/>
      <c r="BCM49" s="82"/>
      <c r="BCN49" s="82"/>
      <c r="BCO49" s="82"/>
      <c r="BCP49" s="82"/>
      <c r="BCQ49" s="82"/>
      <c r="BCR49" s="82"/>
      <c r="BCS49" s="82"/>
      <c r="BCT49" s="82"/>
      <c r="BCU49" s="82"/>
      <c r="BCV49" s="82"/>
      <c r="BCW49" s="82"/>
      <c r="BCX49" s="82"/>
      <c r="BCY49" s="82"/>
      <c r="BCZ49" s="82"/>
      <c r="BDA49" s="82"/>
      <c r="BDB49" s="82"/>
      <c r="BDC49" s="82"/>
      <c r="BDD49" s="82"/>
      <c r="BDE49" s="82"/>
      <c r="BDF49" s="82"/>
      <c r="BDG49" s="82"/>
      <c r="BDH49" s="82"/>
      <c r="BDI49" s="82"/>
      <c r="BDJ49" s="82"/>
      <c r="BDK49" s="82"/>
      <c r="BDL49" s="82"/>
      <c r="BDM49" s="82"/>
      <c r="BDN49" s="82"/>
      <c r="BDO49" s="82"/>
      <c r="BDP49" s="82"/>
      <c r="BDQ49" s="82"/>
      <c r="BDR49" s="82"/>
      <c r="BDS49" s="82"/>
      <c r="BDT49" s="82"/>
      <c r="BDU49" s="82"/>
      <c r="BDV49" s="82"/>
      <c r="BDW49" s="82"/>
      <c r="BDX49" s="82"/>
      <c r="BDY49" s="82"/>
      <c r="BDZ49" s="82"/>
      <c r="BEA49" s="82"/>
      <c r="BEB49" s="82"/>
      <c r="BEC49" s="82"/>
      <c r="BED49" s="82"/>
      <c r="BEE49" s="82"/>
      <c r="BEF49" s="82"/>
      <c r="BEG49" s="82"/>
      <c r="BEH49" s="82"/>
      <c r="BEI49" s="82"/>
      <c r="BEJ49" s="82"/>
      <c r="BEK49" s="82"/>
      <c r="BEL49" s="82"/>
      <c r="BEM49" s="82"/>
      <c r="BEN49" s="82"/>
      <c r="BEO49" s="82"/>
      <c r="BEP49" s="82"/>
      <c r="BEQ49" s="82"/>
      <c r="BER49" s="82"/>
      <c r="BES49" s="82"/>
      <c r="BET49" s="82"/>
      <c r="BEU49" s="82"/>
      <c r="BEV49" s="82"/>
      <c r="BEW49" s="82"/>
      <c r="BEX49" s="82"/>
      <c r="BEY49" s="82"/>
      <c r="BEZ49" s="82"/>
      <c r="BFA49" s="82"/>
      <c r="BFB49" s="82"/>
      <c r="BFC49" s="82"/>
      <c r="BFD49" s="82"/>
      <c r="BFE49" s="82"/>
      <c r="BFF49" s="82"/>
      <c r="BFG49" s="82"/>
      <c r="BFH49" s="82"/>
      <c r="BFI49" s="82"/>
      <c r="BFJ49" s="82"/>
      <c r="BFK49" s="82"/>
      <c r="BFL49" s="82"/>
      <c r="BFM49" s="82"/>
      <c r="BFN49" s="82"/>
      <c r="BFO49" s="82"/>
      <c r="BFP49" s="82"/>
      <c r="BFQ49" s="82"/>
      <c r="BFR49" s="82"/>
      <c r="BFS49" s="82"/>
      <c r="BFT49" s="82"/>
      <c r="BFU49" s="82"/>
      <c r="BFV49" s="82"/>
      <c r="BFW49" s="82"/>
      <c r="BFX49" s="82"/>
      <c r="BFY49" s="82"/>
      <c r="BFZ49" s="82"/>
      <c r="BGA49" s="82"/>
      <c r="BGB49" s="82"/>
      <c r="BGC49" s="82"/>
      <c r="BGD49" s="82"/>
      <c r="BGE49" s="82"/>
      <c r="BGF49" s="82"/>
      <c r="BGG49" s="82"/>
      <c r="BGH49" s="82"/>
      <c r="BGI49" s="82"/>
      <c r="BGJ49" s="82"/>
      <c r="BGK49" s="82"/>
      <c r="BGL49" s="82"/>
      <c r="BGM49" s="82"/>
      <c r="BGN49" s="82"/>
      <c r="BGO49" s="82"/>
      <c r="BGP49" s="82"/>
      <c r="BGQ49" s="82"/>
      <c r="BGR49" s="82"/>
      <c r="BGS49" s="82"/>
      <c r="BGT49" s="82"/>
      <c r="BGU49" s="82"/>
      <c r="BGV49" s="82"/>
      <c r="BGW49" s="82"/>
      <c r="BGX49" s="82"/>
      <c r="BGY49" s="82"/>
      <c r="BGZ49" s="82"/>
      <c r="BHA49" s="82"/>
      <c r="BHB49" s="82"/>
      <c r="BHC49" s="82"/>
      <c r="BHD49" s="82"/>
      <c r="BHE49" s="82"/>
      <c r="BHF49" s="82"/>
      <c r="BHG49" s="82"/>
      <c r="BHH49" s="82"/>
      <c r="BHI49" s="82"/>
      <c r="BHJ49" s="82"/>
      <c r="BHK49" s="82"/>
      <c r="BHL49" s="82"/>
      <c r="BHM49" s="82"/>
      <c r="BHN49" s="82"/>
      <c r="BHO49" s="82"/>
      <c r="BHP49" s="82"/>
      <c r="BHQ49" s="82"/>
      <c r="BHR49" s="82"/>
      <c r="BHS49" s="82"/>
      <c r="BHT49" s="82"/>
      <c r="BHU49" s="82"/>
      <c r="BHV49" s="82"/>
      <c r="BHW49" s="82"/>
      <c r="BHX49" s="82"/>
      <c r="BHY49" s="82"/>
      <c r="BHZ49" s="82"/>
      <c r="BIA49" s="82"/>
      <c r="BIB49" s="82"/>
      <c r="BIC49" s="82"/>
      <c r="BID49" s="82"/>
      <c r="BIE49" s="82"/>
      <c r="BIF49" s="82"/>
      <c r="BIG49" s="82"/>
      <c r="BIH49" s="82"/>
      <c r="BII49" s="82"/>
      <c r="BIJ49" s="82"/>
      <c r="BIK49" s="82"/>
      <c r="BIL49" s="82"/>
      <c r="BIM49" s="82"/>
      <c r="BIN49" s="82"/>
      <c r="BIO49" s="82"/>
      <c r="BIP49" s="82"/>
      <c r="BIQ49" s="82"/>
      <c r="BIR49" s="82"/>
      <c r="BIS49" s="82"/>
      <c r="BIT49" s="82"/>
      <c r="BIU49" s="82"/>
      <c r="BIV49" s="82"/>
      <c r="BIW49" s="82"/>
      <c r="BIX49" s="82"/>
      <c r="BIY49" s="82"/>
      <c r="BIZ49" s="82"/>
      <c r="BJA49" s="82"/>
      <c r="BJB49" s="82"/>
      <c r="BJC49" s="82"/>
      <c r="BJD49" s="82"/>
      <c r="BJE49" s="82"/>
      <c r="BJF49" s="82"/>
      <c r="BJG49" s="82"/>
      <c r="BJH49" s="82"/>
      <c r="BJI49" s="82"/>
      <c r="BJJ49" s="82"/>
      <c r="BJK49" s="82"/>
      <c r="BJL49" s="82"/>
      <c r="BJM49" s="82"/>
      <c r="BJN49" s="82"/>
      <c r="BJO49" s="82"/>
      <c r="BJP49" s="82"/>
      <c r="BJQ49" s="82"/>
      <c r="BJR49" s="82"/>
      <c r="BJS49" s="82"/>
      <c r="BJT49" s="82"/>
      <c r="BJU49" s="82"/>
      <c r="BJV49" s="82"/>
      <c r="BJW49" s="82"/>
      <c r="BJX49" s="82"/>
      <c r="BJY49" s="82"/>
      <c r="BJZ49" s="82"/>
      <c r="BKA49" s="82"/>
      <c r="BKB49" s="82"/>
      <c r="BKC49" s="82"/>
      <c r="BKD49" s="82"/>
      <c r="BKE49" s="82"/>
      <c r="BKF49" s="82"/>
      <c r="BKG49" s="82"/>
      <c r="BKH49" s="82"/>
      <c r="BKI49" s="82"/>
      <c r="BKJ49" s="82"/>
      <c r="BKK49" s="82"/>
      <c r="BKL49" s="82"/>
      <c r="BKM49" s="82"/>
      <c r="BKN49" s="82"/>
      <c r="BKO49" s="82"/>
      <c r="BKP49" s="82"/>
      <c r="BKQ49" s="82"/>
      <c r="BKR49" s="82"/>
      <c r="BKS49" s="82"/>
      <c r="BKT49" s="82"/>
      <c r="BKU49" s="82"/>
      <c r="BKV49" s="82"/>
      <c r="BKW49" s="82"/>
      <c r="BKX49" s="82"/>
      <c r="BKY49" s="82"/>
      <c r="BKZ49" s="82"/>
      <c r="BLA49" s="82"/>
      <c r="BLB49" s="82"/>
      <c r="BLC49" s="82"/>
      <c r="BLD49" s="82"/>
      <c r="BLE49" s="82"/>
      <c r="BLF49" s="82"/>
      <c r="BLG49" s="82"/>
      <c r="BLH49" s="82"/>
      <c r="BLI49" s="82"/>
      <c r="BLJ49" s="82"/>
      <c r="BLK49" s="82"/>
      <c r="BLL49" s="82"/>
      <c r="BLM49" s="82"/>
      <c r="BLN49" s="82"/>
      <c r="BLO49" s="82"/>
      <c r="BLP49" s="82"/>
      <c r="BLQ49" s="82"/>
      <c r="BLR49" s="82"/>
      <c r="BLS49" s="82"/>
      <c r="BLT49" s="82"/>
      <c r="BLU49" s="82"/>
      <c r="BLV49" s="82"/>
      <c r="BLW49" s="82"/>
      <c r="BLX49" s="82"/>
      <c r="BLY49" s="82"/>
      <c r="BLZ49" s="82"/>
      <c r="BMA49" s="82"/>
      <c r="BMB49" s="82"/>
      <c r="BMC49" s="82"/>
      <c r="BMD49" s="82"/>
      <c r="BME49" s="82"/>
      <c r="BMF49" s="82"/>
      <c r="BMG49" s="82"/>
      <c r="BMH49" s="82"/>
      <c r="BMI49" s="82"/>
      <c r="BMJ49" s="82"/>
      <c r="BMK49" s="82"/>
      <c r="BML49" s="82"/>
      <c r="BMM49" s="82"/>
      <c r="BMN49" s="82"/>
      <c r="BMO49" s="82"/>
      <c r="BMP49" s="82"/>
      <c r="BMQ49" s="82"/>
      <c r="BMR49" s="82"/>
      <c r="BMS49" s="82"/>
      <c r="BMT49" s="82"/>
      <c r="BMU49" s="82"/>
      <c r="BMV49" s="82"/>
      <c r="BMW49" s="82"/>
      <c r="BMX49" s="82"/>
      <c r="BMY49" s="82"/>
      <c r="BMZ49" s="82"/>
      <c r="BNA49" s="82"/>
      <c r="BNB49" s="82"/>
      <c r="BNC49" s="82"/>
      <c r="BND49" s="82"/>
      <c r="BNE49" s="82"/>
      <c r="BNF49" s="82"/>
      <c r="BNG49" s="82"/>
      <c r="BNH49" s="82"/>
      <c r="BNI49" s="82"/>
      <c r="BNJ49" s="82"/>
      <c r="BNK49" s="82"/>
      <c r="BNL49" s="82"/>
      <c r="BNM49" s="82"/>
      <c r="BNN49" s="82"/>
      <c r="BNO49" s="82"/>
      <c r="BNP49" s="82"/>
      <c r="BNQ49" s="82"/>
      <c r="BNR49" s="82"/>
      <c r="BNS49" s="82"/>
      <c r="BNT49" s="82"/>
      <c r="BNU49" s="82"/>
      <c r="BNV49" s="82"/>
      <c r="BNW49" s="82"/>
      <c r="BNX49" s="82"/>
      <c r="BNY49" s="82"/>
      <c r="BNZ49" s="82"/>
      <c r="BOA49" s="82"/>
      <c r="BOB49" s="82"/>
      <c r="BOC49" s="82"/>
      <c r="BOD49" s="82"/>
      <c r="BOE49" s="82"/>
      <c r="BOF49" s="82"/>
      <c r="BOG49" s="82"/>
      <c r="BOH49" s="82"/>
      <c r="BOI49" s="82"/>
      <c r="BOJ49" s="82"/>
      <c r="BOK49" s="82"/>
      <c r="BOL49" s="82"/>
      <c r="BOM49" s="82"/>
      <c r="BON49" s="82"/>
      <c r="BOO49" s="82"/>
      <c r="BOP49" s="82"/>
      <c r="BOQ49" s="82"/>
      <c r="BOR49" s="82"/>
      <c r="BOS49" s="82"/>
      <c r="BOT49" s="82"/>
      <c r="BOU49" s="82"/>
      <c r="BOV49" s="82"/>
      <c r="BOW49" s="82"/>
      <c r="BOX49" s="82"/>
      <c r="BOY49" s="82"/>
      <c r="BOZ49" s="82"/>
      <c r="BPA49" s="82"/>
      <c r="BPB49" s="82"/>
      <c r="BPC49" s="82"/>
      <c r="BPD49" s="82"/>
      <c r="BPE49" s="82"/>
      <c r="BPF49" s="82"/>
      <c r="BPG49" s="82"/>
      <c r="BPH49" s="82"/>
      <c r="BPI49" s="82"/>
      <c r="BPJ49" s="82"/>
      <c r="BPK49" s="82"/>
      <c r="BPL49" s="82"/>
      <c r="BPM49" s="82"/>
      <c r="BPN49" s="82"/>
      <c r="BPO49" s="82"/>
      <c r="BPP49" s="82"/>
      <c r="BPQ49" s="82"/>
      <c r="BPR49" s="82"/>
      <c r="BPS49" s="82"/>
      <c r="BPT49" s="82"/>
      <c r="BPU49" s="82"/>
      <c r="BPV49" s="82"/>
      <c r="BPW49" s="82"/>
      <c r="BPX49" s="82"/>
      <c r="BPY49" s="82"/>
      <c r="BPZ49" s="82"/>
      <c r="BQA49" s="82"/>
      <c r="BQB49" s="82"/>
      <c r="BQC49" s="82"/>
      <c r="BQD49" s="82"/>
      <c r="BQE49" s="82"/>
      <c r="BQF49" s="82"/>
      <c r="BQG49" s="82"/>
      <c r="BQH49" s="82"/>
      <c r="BQI49" s="82"/>
      <c r="BQJ49" s="82"/>
      <c r="BQK49" s="82"/>
      <c r="BQL49" s="82"/>
      <c r="BQM49" s="82"/>
      <c r="BQN49" s="82"/>
      <c r="BQO49" s="82"/>
      <c r="BQP49" s="82"/>
      <c r="BQQ49" s="82"/>
      <c r="BQR49" s="82"/>
      <c r="BQS49" s="82"/>
      <c r="BQT49" s="82"/>
      <c r="BQU49" s="82"/>
      <c r="BQV49" s="82"/>
      <c r="BQW49" s="82"/>
      <c r="BQX49" s="82"/>
      <c r="BQY49" s="82"/>
      <c r="BQZ49" s="82"/>
      <c r="BRA49" s="82"/>
      <c r="BRB49" s="82"/>
      <c r="BRC49" s="82"/>
      <c r="BRD49" s="82"/>
      <c r="BRE49" s="82"/>
      <c r="BRF49" s="82"/>
      <c r="BRG49" s="82"/>
      <c r="BRH49" s="82"/>
      <c r="BRI49" s="82"/>
      <c r="BRJ49" s="82"/>
      <c r="BRK49" s="82"/>
      <c r="BRL49" s="82"/>
      <c r="BRM49" s="82"/>
      <c r="BRN49" s="82"/>
      <c r="BRO49" s="82"/>
      <c r="BRP49" s="82"/>
      <c r="BRQ49" s="82"/>
      <c r="BRR49" s="82"/>
      <c r="BRS49" s="82"/>
      <c r="BRT49" s="82"/>
      <c r="BRU49" s="82"/>
      <c r="BRV49" s="82"/>
      <c r="BRW49" s="82"/>
      <c r="BRX49" s="82"/>
      <c r="BRY49" s="82"/>
      <c r="BRZ49" s="82"/>
      <c r="BSA49" s="82"/>
      <c r="BSB49" s="82"/>
      <c r="BSC49" s="82"/>
      <c r="BSD49" s="82"/>
      <c r="BSE49" s="82"/>
      <c r="BSF49" s="82"/>
      <c r="BSG49" s="82"/>
      <c r="BSH49" s="82"/>
      <c r="BSI49" s="82"/>
      <c r="BSJ49" s="82"/>
      <c r="BSK49" s="82"/>
      <c r="BSL49" s="82"/>
      <c r="BSM49" s="82"/>
      <c r="BSN49" s="82"/>
      <c r="BSO49" s="82"/>
      <c r="BSP49" s="82"/>
      <c r="BSQ49" s="82"/>
      <c r="BSR49" s="82"/>
      <c r="BSS49" s="82"/>
      <c r="BST49" s="82"/>
      <c r="BSU49" s="82"/>
      <c r="BSV49" s="82"/>
      <c r="BSW49" s="82"/>
      <c r="BSX49" s="82"/>
      <c r="BSY49" s="82"/>
      <c r="BSZ49" s="82"/>
      <c r="BTA49" s="82"/>
      <c r="BTB49" s="82"/>
      <c r="BTC49" s="82"/>
      <c r="BTD49" s="82"/>
      <c r="BTE49" s="82"/>
      <c r="BTF49" s="82"/>
      <c r="BTG49" s="82"/>
      <c r="BTH49" s="82"/>
      <c r="BTI49" s="82"/>
      <c r="BTJ49" s="82"/>
      <c r="BTK49" s="82"/>
      <c r="BTL49" s="82"/>
      <c r="BTM49" s="82"/>
      <c r="BTN49" s="82"/>
      <c r="BTO49" s="82"/>
      <c r="BTP49" s="82"/>
      <c r="BTQ49" s="82"/>
      <c r="BTR49" s="82"/>
      <c r="BTS49" s="82"/>
      <c r="BTT49" s="82"/>
      <c r="BTU49" s="82"/>
      <c r="BTV49" s="82"/>
      <c r="BTW49" s="82"/>
      <c r="BTX49" s="82"/>
      <c r="BTY49" s="82"/>
      <c r="BTZ49" s="82"/>
      <c r="BUA49" s="82"/>
      <c r="BUB49" s="82"/>
      <c r="BUC49" s="82"/>
      <c r="BUD49" s="82"/>
      <c r="BUE49" s="82"/>
      <c r="BUF49" s="82"/>
      <c r="BUG49" s="82"/>
      <c r="BUH49" s="82"/>
      <c r="BUI49" s="82"/>
      <c r="BUJ49" s="82"/>
      <c r="BUK49" s="82"/>
      <c r="BUL49" s="82"/>
      <c r="BUM49" s="82"/>
      <c r="BUN49" s="82"/>
      <c r="BUO49" s="82"/>
      <c r="BUP49" s="82"/>
      <c r="BUQ49" s="82"/>
      <c r="BUR49" s="82"/>
      <c r="BUS49" s="82"/>
      <c r="BUT49" s="82"/>
      <c r="BUU49" s="82"/>
      <c r="BUV49" s="82"/>
      <c r="BUW49" s="82"/>
      <c r="BUX49" s="82"/>
      <c r="BUY49" s="82"/>
      <c r="BUZ49" s="82"/>
      <c r="BVA49" s="82"/>
      <c r="BVB49" s="82"/>
      <c r="BVC49" s="82"/>
      <c r="BVD49" s="82"/>
      <c r="BVE49" s="82"/>
      <c r="BVF49" s="82"/>
      <c r="BVG49" s="82"/>
      <c r="BVH49" s="82"/>
      <c r="BVI49" s="82"/>
      <c r="BVJ49" s="82"/>
      <c r="BVK49" s="82"/>
      <c r="BVL49" s="82"/>
      <c r="BVM49" s="82"/>
      <c r="BVN49" s="82"/>
      <c r="BVO49" s="82"/>
      <c r="BVP49" s="82"/>
      <c r="BVQ49" s="82"/>
      <c r="BVR49" s="82"/>
      <c r="BVS49" s="82"/>
      <c r="BVT49" s="82"/>
      <c r="BVU49" s="82"/>
      <c r="BVV49" s="82"/>
      <c r="BVW49" s="82"/>
      <c r="BVX49" s="82"/>
      <c r="BVY49" s="82"/>
      <c r="BVZ49" s="82"/>
      <c r="BWA49" s="82"/>
      <c r="BWB49" s="82"/>
      <c r="BWC49" s="82"/>
      <c r="BWD49" s="82"/>
      <c r="BWE49" s="82"/>
      <c r="BWF49" s="82"/>
      <c r="BWG49" s="82"/>
      <c r="BWH49" s="82"/>
      <c r="BWI49" s="82"/>
      <c r="BWJ49" s="82"/>
      <c r="BWK49" s="82"/>
      <c r="BWL49" s="82"/>
      <c r="BWM49" s="82"/>
      <c r="BWN49" s="82"/>
      <c r="BWO49" s="82"/>
      <c r="BWP49" s="82"/>
      <c r="BWQ49" s="82"/>
      <c r="BWR49" s="82"/>
      <c r="BWS49" s="82"/>
      <c r="BWT49" s="82"/>
      <c r="BWU49" s="82"/>
      <c r="BWV49" s="82"/>
      <c r="BWW49" s="82"/>
      <c r="BWX49" s="82"/>
      <c r="BWY49" s="82"/>
      <c r="BWZ49" s="82"/>
      <c r="BXA49" s="82"/>
      <c r="BXB49" s="82"/>
      <c r="BXC49" s="82"/>
      <c r="BXD49" s="82"/>
      <c r="BXE49" s="82"/>
      <c r="BXF49" s="82"/>
      <c r="BXG49" s="82"/>
      <c r="BXH49" s="82"/>
      <c r="BXI49" s="82"/>
      <c r="BXJ49" s="82"/>
      <c r="BXK49" s="82"/>
      <c r="BXL49" s="82"/>
      <c r="BXM49" s="82"/>
      <c r="BXN49" s="82"/>
      <c r="BXO49" s="82"/>
      <c r="BXP49" s="82"/>
      <c r="BXQ49" s="82"/>
      <c r="BXR49" s="82"/>
      <c r="BXS49" s="82"/>
      <c r="BXT49" s="82"/>
      <c r="BXU49" s="82"/>
      <c r="BXV49" s="82"/>
      <c r="BXW49" s="82"/>
      <c r="BXX49" s="82"/>
      <c r="BXY49" s="82"/>
      <c r="BXZ49" s="82"/>
      <c r="BYA49" s="82"/>
      <c r="BYB49" s="82"/>
      <c r="BYC49" s="82"/>
      <c r="BYD49" s="82"/>
      <c r="BYE49" s="82"/>
      <c r="BYF49" s="82"/>
      <c r="BYG49" s="82"/>
      <c r="BYH49" s="82"/>
      <c r="BYI49" s="82"/>
      <c r="BYJ49" s="82"/>
      <c r="BYK49" s="82"/>
      <c r="BYL49" s="82"/>
      <c r="BYM49" s="82"/>
      <c r="BYN49" s="82"/>
      <c r="BYO49" s="82"/>
      <c r="BYP49" s="82"/>
      <c r="BYQ49" s="82"/>
      <c r="BYR49" s="82"/>
      <c r="BYS49" s="82"/>
      <c r="BYT49" s="82"/>
      <c r="BYU49" s="82"/>
      <c r="BYV49" s="82"/>
      <c r="BYW49" s="82"/>
      <c r="BYX49" s="82"/>
      <c r="BYY49" s="82"/>
      <c r="BYZ49" s="82"/>
      <c r="BZA49" s="82"/>
      <c r="BZB49" s="82"/>
      <c r="BZC49" s="82"/>
      <c r="BZD49" s="82"/>
      <c r="BZE49" s="82"/>
      <c r="BZF49" s="82"/>
      <c r="BZG49" s="82"/>
      <c r="BZH49" s="82"/>
      <c r="BZI49" s="82"/>
      <c r="BZJ49" s="82"/>
      <c r="BZK49" s="82"/>
      <c r="BZL49" s="82"/>
      <c r="BZM49" s="82"/>
      <c r="BZN49" s="82"/>
      <c r="BZO49" s="82"/>
      <c r="BZP49" s="82"/>
      <c r="BZQ49" s="82"/>
      <c r="BZR49" s="82"/>
      <c r="BZS49" s="82"/>
      <c r="BZT49" s="82"/>
      <c r="BZU49" s="82"/>
      <c r="BZV49" s="82"/>
      <c r="BZW49" s="82"/>
      <c r="BZX49" s="82"/>
      <c r="BZY49" s="82"/>
      <c r="BZZ49" s="82"/>
      <c r="CAA49" s="82"/>
      <c r="CAB49" s="82"/>
      <c r="CAC49" s="82"/>
      <c r="CAD49" s="82"/>
      <c r="CAE49" s="82"/>
      <c r="CAF49" s="82"/>
      <c r="CAG49" s="82"/>
      <c r="CAH49" s="82"/>
      <c r="CAI49" s="82"/>
      <c r="CAJ49" s="82"/>
      <c r="CAK49" s="82"/>
      <c r="CAL49" s="82"/>
      <c r="CAM49" s="82"/>
      <c r="CAN49" s="82"/>
      <c r="CAO49" s="82"/>
      <c r="CAP49" s="82"/>
      <c r="CAQ49" s="82"/>
      <c r="CAR49" s="82"/>
      <c r="CAS49" s="82"/>
      <c r="CAT49" s="82"/>
      <c r="CAU49" s="82"/>
      <c r="CAV49" s="82"/>
      <c r="CAW49" s="82"/>
      <c r="CAX49" s="82"/>
      <c r="CAY49" s="82"/>
      <c r="CAZ49" s="82"/>
      <c r="CBA49" s="82"/>
      <c r="CBB49" s="82"/>
      <c r="CBC49" s="82"/>
      <c r="CBD49" s="82"/>
      <c r="CBE49" s="82"/>
      <c r="CBF49" s="82"/>
      <c r="CBG49" s="82"/>
      <c r="CBH49" s="82"/>
      <c r="CBI49" s="82"/>
      <c r="CBJ49" s="82"/>
      <c r="CBK49" s="82"/>
      <c r="CBL49" s="82"/>
      <c r="CBM49" s="82"/>
      <c r="CBN49" s="82"/>
      <c r="CBO49" s="82"/>
      <c r="CBP49" s="82"/>
      <c r="CBQ49" s="82"/>
      <c r="CBR49" s="82"/>
      <c r="CBS49" s="82"/>
      <c r="CBT49" s="82"/>
      <c r="CBU49" s="82"/>
      <c r="CBV49" s="82"/>
      <c r="CBW49" s="82"/>
      <c r="CBX49" s="82"/>
      <c r="CBY49" s="82"/>
      <c r="CBZ49" s="82"/>
      <c r="CCA49" s="82"/>
      <c r="CCB49" s="82"/>
      <c r="CCC49" s="82"/>
      <c r="CCD49" s="82"/>
      <c r="CCE49" s="82"/>
      <c r="CCF49" s="82"/>
      <c r="CCG49" s="82"/>
      <c r="CCH49" s="82"/>
      <c r="CCI49" s="82"/>
      <c r="CCJ49" s="82"/>
      <c r="CCK49" s="82"/>
      <c r="CCL49" s="82"/>
      <c r="CCM49" s="82"/>
      <c r="CCN49" s="82"/>
      <c r="CCO49" s="82"/>
      <c r="CCP49" s="82"/>
      <c r="CCQ49" s="82"/>
      <c r="CCR49" s="82"/>
      <c r="CCS49" s="82"/>
      <c r="CCT49" s="82"/>
      <c r="CCU49" s="82"/>
      <c r="CCV49" s="82"/>
      <c r="CCW49" s="82"/>
      <c r="CCX49" s="82"/>
      <c r="CCY49" s="82"/>
      <c r="CCZ49" s="82"/>
      <c r="CDA49" s="82"/>
      <c r="CDB49" s="82"/>
      <c r="CDC49" s="82"/>
      <c r="CDD49" s="82"/>
      <c r="CDE49" s="82"/>
      <c r="CDF49" s="82"/>
      <c r="CDG49" s="82"/>
      <c r="CDH49" s="82"/>
      <c r="CDI49" s="82"/>
      <c r="CDJ49" s="82"/>
      <c r="CDK49" s="82"/>
      <c r="CDL49" s="82"/>
      <c r="CDM49" s="82"/>
      <c r="CDN49" s="82"/>
      <c r="CDO49" s="82"/>
      <c r="CDP49" s="82"/>
      <c r="CDQ49" s="82"/>
      <c r="CDR49" s="82"/>
      <c r="CDS49" s="82"/>
      <c r="CDT49" s="82"/>
      <c r="CDU49" s="82"/>
      <c r="CDV49" s="82"/>
      <c r="CDW49" s="82"/>
      <c r="CDX49" s="82"/>
      <c r="CDY49" s="82"/>
      <c r="CDZ49" s="82"/>
      <c r="CEA49" s="82"/>
      <c r="CEB49" s="82"/>
      <c r="CEC49" s="82"/>
      <c r="CED49" s="82"/>
      <c r="CEE49" s="82"/>
      <c r="CEF49" s="82"/>
      <c r="CEG49" s="82"/>
      <c r="CEH49" s="82"/>
      <c r="CEI49" s="82"/>
      <c r="CEJ49" s="82"/>
      <c r="CEK49" s="82"/>
      <c r="CEL49" s="82"/>
      <c r="CEM49" s="82"/>
      <c r="CEN49" s="82"/>
      <c r="CEO49" s="82"/>
      <c r="CEP49" s="82"/>
      <c r="CEQ49" s="82"/>
      <c r="CER49" s="82"/>
      <c r="CES49" s="82"/>
      <c r="CET49" s="82"/>
      <c r="CEU49" s="82"/>
      <c r="CEV49" s="82"/>
      <c r="CEW49" s="82"/>
      <c r="CEX49" s="82"/>
      <c r="CEY49" s="82"/>
      <c r="CEZ49" s="82"/>
      <c r="CFA49" s="82"/>
      <c r="CFB49" s="82"/>
      <c r="CFC49" s="82"/>
      <c r="CFD49" s="82"/>
      <c r="CFE49" s="82"/>
      <c r="CFF49" s="82"/>
      <c r="CFG49" s="82"/>
      <c r="CFH49" s="82"/>
      <c r="CFI49" s="82"/>
      <c r="CFJ49" s="82"/>
      <c r="CFK49" s="82"/>
      <c r="CFL49" s="82"/>
      <c r="CFM49" s="82"/>
      <c r="CFN49" s="82"/>
      <c r="CFO49" s="82"/>
      <c r="CFP49" s="82"/>
      <c r="CFQ49" s="82"/>
      <c r="CFR49" s="82"/>
      <c r="CFS49" s="82"/>
      <c r="CFT49" s="82"/>
      <c r="CFU49" s="82"/>
      <c r="CFV49" s="82"/>
      <c r="CFW49" s="82"/>
      <c r="CFX49" s="82"/>
      <c r="CFY49" s="82"/>
      <c r="CFZ49" s="82"/>
      <c r="CGA49" s="82"/>
      <c r="CGB49" s="82"/>
      <c r="CGC49" s="82"/>
      <c r="CGD49" s="82"/>
      <c r="CGE49" s="82"/>
      <c r="CGF49" s="82"/>
      <c r="CGG49" s="82"/>
      <c r="CGH49" s="82"/>
      <c r="CGI49" s="82"/>
      <c r="CGJ49" s="82"/>
      <c r="CGK49" s="82"/>
      <c r="CGL49" s="82"/>
      <c r="CGM49" s="82"/>
      <c r="CGN49" s="82"/>
      <c r="CGO49" s="82"/>
      <c r="CGP49" s="82"/>
      <c r="CGQ49" s="82"/>
      <c r="CGR49" s="82"/>
      <c r="CGS49" s="82"/>
      <c r="CGT49" s="82"/>
      <c r="CGU49" s="82"/>
      <c r="CGV49" s="82"/>
      <c r="CGW49" s="82"/>
      <c r="CGX49" s="82"/>
      <c r="CGY49" s="82"/>
      <c r="CGZ49" s="82"/>
      <c r="CHA49" s="82"/>
      <c r="CHB49" s="82"/>
      <c r="CHC49" s="82"/>
      <c r="CHD49" s="82"/>
      <c r="CHE49" s="82"/>
      <c r="CHF49" s="82"/>
      <c r="CHG49" s="82"/>
      <c r="CHH49" s="82"/>
      <c r="CHI49" s="82"/>
      <c r="CHJ49" s="82"/>
      <c r="CHK49" s="82"/>
      <c r="CHL49" s="82"/>
      <c r="CHM49" s="82"/>
      <c r="CHN49" s="82"/>
      <c r="CHO49" s="82"/>
      <c r="CHP49" s="82"/>
      <c r="CHQ49" s="82"/>
      <c r="CHR49" s="82"/>
      <c r="CHS49" s="82"/>
      <c r="CHT49" s="82"/>
      <c r="CHU49" s="82"/>
      <c r="CHV49" s="82"/>
      <c r="CHW49" s="82"/>
      <c r="CHX49" s="82"/>
      <c r="CHY49" s="82"/>
      <c r="CHZ49" s="82"/>
      <c r="CIA49" s="82"/>
      <c r="CIB49" s="82"/>
      <c r="CIC49" s="82"/>
      <c r="CID49" s="82"/>
      <c r="CIE49" s="82"/>
      <c r="CIF49" s="82"/>
      <c r="CIG49" s="82"/>
      <c r="CIH49" s="82"/>
      <c r="CII49" s="82"/>
      <c r="CIJ49" s="82"/>
      <c r="CIK49" s="82"/>
      <c r="CIL49" s="82"/>
      <c r="CIM49" s="82"/>
      <c r="CIN49" s="82"/>
      <c r="CIO49" s="82"/>
      <c r="CIP49" s="82"/>
      <c r="CIQ49" s="82"/>
      <c r="CIR49" s="82"/>
      <c r="CIS49" s="82"/>
      <c r="CIT49" s="82"/>
      <c r="CIU49" s="82"/>
      <c r="CIV49" s="82"/>
      <c r="CIW49" s="82"/>
      <c r="CIX49" s="82"/>
      <c r="CIY49" s="82"/>
      <c r="CIZ49" s="82"/>
      <c r="CJA49" s="82"/>
      <c r="CJB49" s="82"/>
      <c r="CJC49" s="82"/>
      <c r="CJD49" s="82"/>
      <c r="CJE49" s="82"/>
      <c r="CJF49" s="82"/>
      <c r="CJG49" s="82"/>
      <c r="CJH49" s="82"/>
      <c r="CJI49" s="82"/>
      <c r="CJJ49" s="82"/>
      <c r="CJK49" s="82"/>
      <c r="CJL49" s="82"/>
      <c r="CJM49" s="82"/>
      <c r="CJN49" s="82"/>
      <c r="CJO49" s="82"/>
      <c r="CJP49" s="82"/>
      <c r="CJQ49" s="82"/>
      <c r="CJR49" s="82"/>
      <c r="CJS49" s="82"/>
      <c r="CJT49" s="82"/>
      <c r="CJU49" s="82"/>
      <c r="CJV49" s="82"/>
      <c r="CJW49" s="82"/>
      <c r="CJX49" s="82"/>
      <c r="CJY49" s="82"/>
      <c r="CJZ49" s="82"/>
      <c r="CKA49" s="82"/>
      <c r="CKB49" s="82"/>
      <c r="CKC49" s="82"/>
      <c r="CKD49" s="82"/>
      <c r="CKE49" s="82"/>
      <c r="CKF49" s="82"/>
      <c r="CKG49" s="82"/>
      <c r="CKH49" s="82"/>
      <c r="CKI49" s="82"/>
      <c r="CKJ49" s="82"/>
      <c r="CKK49" s="82"/>
      <c r="CKL49" s="82"/>
      <c r="CKM49" s="82"/>
      <c r="CKN49" s="82"/>
      <c r="CKO49" s="82"/>
      <c r="CKP49" s="82"/>
      <c r="CKQ49" s="82"/>
      <c r="CKR49" s="82"/>
      <c r="CKS49" s="82"/>
      <c r="CKT49" s="82"/>
      <c r="CKU49" s="82"/>
      <c r="CKV49" s="82"/>
      <c r="CKW49" s="82"/>
      <c r="CKX49" s="82"/>
      <c r="CKY49" s="82"/>
      <c r="CKZ49" s="82"/>
      <c r="CLA49" s="82"/>
      <c r="CLB49" s="82"/>
      <c r="CLC49" s="82"/>
      <c r="CLD49" s="82"/>
      <c r="CLE49" s="82"/>
      <c r="CLF49" s="82"/>
      <c r="CLG49" s="82"/>
      <c r="CLH49" s="82"/>
      <c r="CLI49" s="82"/>
      <c r="CLJ49" s="82"/>
      <c r="CLK49" s="82"/>
      <c r="CLL49" s="82"/>
      <c r="CLM49" s="82"/>
      <c r="CLN49" s="82"/>
      <c r="CLO49" s="82"/>
      <c r="CLP49" s="82"/>
      <c r="CLQ49" s="82"/>
      <c r="CLR49" s="82"/>
      <c r="CLS49" s="82"/>
      <c r="CLT49" s="82"/>
      <c r="CLU49" s="82"/>
      <c r="CLV49" s="82"/>
      <c r="CLW49" s="82"/>
      <c r="CLX49" s="82"/>
      <c r="CLY49" s="82"/>
      <c r="CLZ49" s="82"/>
      <c r="CMA49" s="82"/>
      <c r="CMB49" s="82"/>
      <c r="CMC49" s="82"/>
      <c r="CMD49" s="82"/>
      <c r="CME49" s="82"/>
      <c r="CMF49" s="82"/>
      <c r="CMG49" s="82"/>
      <c r="CMH49" s="82"/>
      <c r="CMI49" s="82"/>
      <c r="CMJ49" s="82"/>
      <c r="CMK49" s="82"/>
      <c r="CML49" s="82"/>
      <c r="CMM49" s="82"/>
      <c r="CMN49" s="82"/>
      <c r="CMO49" s="82"/>
      <c r="CMP49" s="82"/>
      <c r="CMQ49" s="82"/>
      <c r="CMR49" s="82"/>
      <c r="CMS49" s="82"/>
      <c r="CMT49" s="82"/>
      <c r="CMU49" s="82"/>
      <c r="CMV49" s="82"/>
      <c r="CMW49" s="82"/>
      <c r="CMX49" s="82"/>
      <c r="CMY49" s="82"/>
      <c r="CMZ49" s="82"/>
      <c r="CNA49" s="82"/>
      <c r="CNB49" s="82"/>
      <c r="CNC49" s="82"/>
      <c r="CND49" s="82"/>
      <c r="CNE49" s="82"/>
      <c r="CNF49" s="82"/>
      <c r="CNG49" s="82"/>
      <c r="CNH49" s="82"/>
      <c r="CNI49" s="82"/>
      <c r="CNJ49" s="82"/>
      <c r="CNK49" s="82"/>
      <c r="CNL49" s="82"/>
      <c r="CNM49" s="82"/>
      <c r="CNN49" s="82"/>
      <c r="CNO49" s="82"/>
      <c r="CNP49" s="82"/>
      <c r="CNQ49" s="82"/>
      <c r="CNR49" s="82"/>
      <c r="CNS49" s="82"/>
      <c r="CNT49" s="82"/>
      <c r="CNU49" s="82"/>
      <c r="CNV49" s="82"/>
      <c r="CNW49" s="82"/>
      <c r="CNX49" s="82"/>
      <c r="CNY49" s="82"/>
      <c r="CNZ49" s="82"/>
      <c r="COA49" s="82"/>
      <c r="COB49" s="82"/>
      <c r="COC49" s="82"/>
      <c r="COD49" s="82"/>
      <c r="COE49" s="82"/>
      <c r="COF49" s="82"/>
      <c r="COG49" s="82"/>
      <c r="COH49" s="82"/>
      <c r="COI49" s="82"/>
      <c r="COJ49" s="82"/>
      <c r="COK49" s="82"/>
      <c r="COL49" s="82"/>
      <c r="COM49" s="82"/>
      <c r="CON49" s="82"/>
      <c r="COO49" s="82"/>
      <c r="COP49" s="82"/>
      <c r="COQ49" s="82"/>
      <c r="COR49" s="82"/>
      <c r="COS49" s="82"/>
      <c r="COT49" s="82"/>
      <c r="COU49" s="82"/>
      <c r="COV49" s="82"/>
      <c r="COW49" s="82"/>
      <c r="COX49" s="82"/>
      <c r="COY49" s="82"/>
      <c r="COZ49" s="82"/>
      <c r="CPA49" s="82"/>
      <c r="CPB49" s="82"/>
      <c r="CPC49" s="82"/>
      <c r="CPD49" s="82"/>
      <c r="CPE49" s="82"/>
      <c r="CPF49" s="82"/>
      <c r="CPG49" s="82"/>
      <c r="CPH49" s="82"/>
      <c r="CPI49" s="82"/>
      <c r="CPJ49" s="82"/>
      <c r="CPK49" s="82"/>
      <c r="CPL49" s="82"/>
      <c r="CPM49" s="82"/>
      <c r="CPN49" s="82"/>
      <c r="CPO49" s="82"/>
      <c r="CPP49" s="82"/>
      <c r="CPQ49" s="82"/>
      <c r="CPR49" s="82"/>
      <c r="CPS49" s="82"/>
      <c r="CPT49" s="82"/>
      <c r="CPU49" s="82"/>
      <c r="CPV49" s="82"/>
      <c r="CPW49" s="82"/>
      <c r="CPX49" s="82"/>
      <c r="CPY49" s="82"/>
      <c r="CPZ49" s="82"/>
      <c r="CQA49" s="82"/>
      <c r="CQB49" s="82"/>
      <c r="CQC49" s="82"/>
      <c r="CQD49" s="82"/>
      <c r="CQE49" s="82"/>
      <c r="CQF49" s="82"/>
      <c r="CQG49" s="82"/>
      <c r="CQH49" s="82"/>
      <c r="CQI49" s="82"/>
      <c r="CQJ49" s="82"/>
      <c r="CQK49" s="82"/>
      <c r="CQL49" s="82"/>
      <c r="CQM49" s="82"/>
      <c r="CQN49" s="82"/>
      <c r="CQO49" s="82"/>
      <c r="CQP49" s="82"/>
      <c r="CQQ49" s="82"/>
      <c r="CQR49" s="82"/>
      <c r="CQS49" s="82"/>
      <c r="CQT49" s="82"/>
      <c r="CQU49" s="82"/>
      <c r="CQV49" s="82"/>
      <c r="CQW49" s="82"/>
      <c r="CQX49" s="82"/>
      <c r="CQY49" s="82"/>
      <c r="CQZ49" s="82"/>
      <c r="CRA49" s="82"/>
      <c r="CRB49" s="82"/>
      <c r="CRC49" s="82"/>
      <c r="CRD49" s="82"/>
      <c r="CRE49" s="82"/>
      <c r="CRF49" s="82"/>
      <c r="CRG49" s="82"/>
      <c r="CRH49" s="82"/>
      <c r="CRI49" s="82"/>
      <c r="CRJ49" s="82"/>
      <c r="CRK49" s="82"/>
      <c r="CRL49" s="82"/>
      <c r="CRM49" s="82"/>
      <c r="CRN49" s="82"/>
      <c r="CRO49" s="82"/>
      <c r="CRP49" s="82"/>
      <c r="CRQ49" s="82"/>
      <c r="CRR49" s="82"/>
      <c r="CRS49" s="82"/>
      <c r="CRT49" s="82"/>
      <c r="CRU49" s="82"/>
      <c r="CRV49" s="82"/>
      <c r="CRW49" s="82"/>
      <c r="CRX49" s="82"/>
      <c r="CRY49" s="82"/>
      <c r="CRZ49" s="82"/>
      <c r="CSA49" s="82"/>
      <c r="CSB49" s="82"/>
      <c r="CSC49" s="82"/>
      <c r="CSD49" s="82"/>
      <c r="CSE49" s="82"/>
      <c r="CSF49" s="82"/>
      <c r="CSG49" s="82"/>
      <c r="CSH49" s="82"/>
      <c r="CSI49" s="82"/>
      <c r="CSJ49" s="82"/>
      <c r="CSK49" s="82"/>
      <c r="CSL49" s="82"/>
      <c r="CSM49" s="82"/>
      <c r="CSN49" s="82"/>
      <c r="CSO49" s="82"/>
      <c r="CSP49" s="82"/>
      <c r="CSQ49" s="82"/>
      <c r="CSR49" s="82"/>
      <c r="CSS49" s="82"/>
      <c r="CST49" s="82"/>
      <c r="CSU49" s="82"/>
      <c r="CSV49" s="82"/>
      <c r="CSW49" s="82"/>
      <c r="CSX49" s="82"/>
      <c r="CSY49" s="82"/>
      <c r="CSZ49" s="82"/>
      <c r="CTA49" s="82"/>
      <c r="CTB49" s="82"/>
      <c r="CTC49" s="82"/>
      <c r="CTD49" s="82"/>
      <c r="CTE49" s="82"/>
      <c r="CTF49" s="82"/>
      <c r="CTG49" s="82"/>
      <c r="CTH49" s="82"/>
      <c r="CTI49" s="82"/>
      <c r="CTJ49" s="82"/>
      <c r="CTK49" s="82"/>
      <c r="CTL49" s="82"/>
      <c r="CTM49" s="82"/>
      <c r="CTN49" s="82"/>
      <c r="CTO49" s="82"/>
      <c r="CTP49" s="82"/>
      <c r="CTQ49" s="82"/>
      <c r="CTR49" s="82"/>
      <c r="CTS49" s="82"/>
      <c r="CTT49" s="82"/>
      <c r="CTU49" s="82"/>
      <c r="CTV49" s="82"/>
      <c r="CTW49" s="82"/>
      <c r="CTX49" s="82"/>
      <c r="CTY49" s="82"/>
      <c r="CTZ49" s="82"/>
      <c r="CUA49" s="82"/>
      <c r="CUB49" s="82"/>
      <c r="CUC49" s="82"/>
      <c r="CUD49" s="82"/>
      <c r="CUE49" s="82"/>
      <c r="CUF49" s="82"/>
      <c r="CUG49" s="82"/>
      <c r="CUH49" s="82"/>
      <c r="CUI49" s="82"/>
      <c r="CUJ49" s="82"/>
      <c r="CUK49" s="82"/>
      <c r="CUL49" s="82"/>
      <c r="CUM49" s="82"/>
      <c r="CUN49" s="82"/>
      <c r="CUO49" s="82"/>
      <c r="CUP49" s="82"/>
      <c r="CUQ49" s="82"/>
      <c r="CUR49" s="82"/>
      <c r="CUS49" s="82"/>
      <c r="CUT49" s="82"/>
      <c r="CUU49" s="82"/>
      <c r="CUV49" s="82"/>
      <c r="CUW49" s="82"/>
      <c r="CUX49" s="82"/>
      <c r="CUY49" s="82"/>
      <c r="CUZ49" s="82"/>
      <c r="CVA49" s="82"/>
      <c r="CVB49" s="82"/>
      <c r="CVC49" s="82"/>
      <c r="CVD49" s="82"/>
      <c r="CVE49" s="82"/>
      <c r="CVF49" s="82"/>
      <c r="CVG49" s="82"/>
      <c r="CVH49" s="82"/>
      <c r="CVI49" s="82"/>
      <c r="CVJ49" s="82"/>
      <c r="CVK49" s="82"/>
      <c r="CVL49" s="82"/>
      <c r="CVM49" s="82"/>
      <c r="CVN49" s="82"/>
      <c r="CVO49" s="82"/>
      <c r="CVP49" s="82"/>
      <c r="CVQ49" s="82"/>
      <c r="CVR49" s="82"/>
      <c r="CVS49" s="82"/>
      <c r="CVT49" s="82"/>
      <c r="CVU49" s="82"/>
      <c r="CVV49" s="82"/>
      <c r="CVW49" s="82"/>
      <c r="CVX49" s="82"/>
      <c r="CVY49" s="82"/>
      <c r="CVZ49" s="82"/>
      <c r="CWA49" s="82"/>
      <c r="CWB49" s="82"/>
      <c r="CWC49" s="82"/>
      <c r="CWD49" s="82"/>
      <c r="CWE49" s="82"/>
      <c r="CWF49" s="82"/>
      <c r="CWG49" s="82"/>
      <c r="CWH49" s="82"/>
      <c r="CWI49" s="82"/>
      <c r="CWJ49" s="82"/>
      <c r="CWK49" s="82"/>
      <c r="CWL49" s="82"/>
      <c r="CWM49" s="82"/>
      <c r="CWN49" s="82"/>
      <c r="CWO49" s="82"/>
      <c r="CWP49" s="82"/>
      <c r="CWQ49" s="82"/>
      <c r="CWR49" s="82"/>
      <c r="CWS49" s="82"/>
      <c r="CWT49" s="82"/>
      <c r="CWU49" s="82"/>
      <c r="CWV49" s="82"/>
      <c r="CWW49" s="82"/>
      <c r="CWX49" s="82"/>
      <c r="CWY49" s="82"/>
      <c r="CWZ49" s="82"/>
      <c r="CXA49" s="82"/>
      <c r="CXB49" s="82"/>
      <c r="CXC49" s="82"/>
      <c r="CXD49" s="82"/>
      <c r="CXE49" s="82"/>
      <c r="CXF49" s="82"/>
      <c r="CXG49" s="82"/>
      <c r="CXH49" s="82"/>
      <c r="CXI49" s="82"/>
      <c r="CXJ49" s="82"/>
      <c r="CXK49" s="82"/>
      <c r="CXL49" s="82"/>
      <c r="CXM49" s="82"/>
      <c r="CXN49" s="82"/>
      <c r="CXO49" s="82"/>
      <c r="CXP49" s="82"/>
      <c r="CXQ49" s="82"/>
      <c r="CXR49" s="82"/>
      <c r="CXS49" s="82"/>
      <c r="CXT49" s="82"/>
      <c r="CXU49" s="82"/>
      <c r="CXV49" s="82"/>
      <c r="CXW49" s="82"/>
      <c r="CXX49" s="82"/>
      <c r="CXY49" s="82"/>
      <c r="CXZ49" s="82"/>
      <c r="CYA49" s="82"/>
      <c r="CYB49" s="82"/>
      <c r="CYC49" s="82"/>
      <c r="CYD49" s="82"/>
      <c r="CYE49" s="82"/>
      <c r="CYF49" s="82"/>
      <c r="CYG49" s="82"/>
      <c r="CYH49" s="82"/>
      <c r="CYI49" s="82"/>
      <c r="CYJ49" s="82"/>
      <c r="CYK49" s="82"/>
      <c r="CYL49" s="82"/>
      <c r="CYM49" s="82"/>
      <c r="CYN49" s="82"/>
      <c r="CYO49" s="82"/>
      <c r="CYP49" s="82"/>
      <c r="CYQ49" s="82"/>
      <c r="CYR49" s="82"/>
      <c r="CYS49" s="82"/>
      <c r="CYT49" s="82"/>
      <c r="CYU49" s="82"/>
      <c r="CYV49" s="82"/>
      <c r="CYW49" s="82"/>
      <c r="CYX49" s="82"/>
      <c r="CYY49" s="82"/>
      <c r="CYZ49" s="82"/>
      <c r="CZA49" s="82"/>
      <c r="CZB49" s="82"/>
      <c r="CZC49" s="82"/>
      <c r="CZD49" s="82"/>
      <c r="CZE49" s="82"/>
      <c r="CZF49" s="82"/>
      <c r="CZG49" s="82"/>
      <c r="CZH49" s="82"/>
      <c r="CZI49" s="82"/>
      <c r="CZJ49" s="82"/>
      <c r="CZK49" s="82"/>
      <c r="CZL49" s="82"/>
      <c r="CZM49" s="82"/>
      <c r="CZN49" s="82"/>
      <c r="CZO49" s="82"/>
      <c r="CZP49" s="82"/>
      <c r="CZQ49" s="82"/>
      <c r="CZR49" s="82"/>
      <c r="CZS49" s="82"/>
      <c r="CZT49" s="82"/>
      <c r="CZU49" s="82"/>
      <c r="CZV49" s="82"/>
      <c r="CZW49" s="82"/>
      <c r="CZX49" s="82"/>
      <c r="CZY49" s="82"/>
      <c r="CZZ49" s="82"/>
      <c r="DAA49" s="82"/>
      <c r="DAB49" s="82"/>
      <c r="DAC49" s="82"/>
      <c r="DAD49" s="82"/>
      <c r="DAE49" s="82"/>
      <c r="DAF49" s="82"/>
      <c r="DAG49" s="82"/>
      <c r="DAH49" s="82"/>
      <c r="DAI49" s="82"/>
      <c r="DAJ49" s="82"/>
      <c r="DAK49" s="82"/>
      <c r="DAL49" s="82"/>
      <c r="DAM49" s="82"/>
      <c r="DAN49" s="82"/>
      <c r="DAO49" s="82"/>
      <c r="DAP49" s="82"/>
      <c r="DAQ49" s="82"/>
      <c r="DAR49" s="82"/>
      <c r="DAS49" s="82"/>
      <c r="DAT49" s="82"/>
      <c r="DAU49" s="82"/>
      <c r="DAV49" s="82"/>
      <c r="DAW49" s="82"/>
      <c r="DAX49" s="82"/>
      <c r="DAY49" s="82"/>
      <c r="DAZ49" s="82"/>
      <c r="DBA49" s="82"/>
      <c r="DBB49" s="82"/>
      <c r="DBC49" s="82"/>
      <c r="DBD49" s="82"/>
      <c r="DBE49" s="82"/>
      <c r="DBF49" s="82"/>
      <c r="DBG49" s="82"/>
      <c r="DBH49" s="82"/>
      <c r="DBI49" s="82"/>
      <c r="DBJ49" s="82"/>
      <c r="DBK49" s="82"/>
      <c r="DBL49" s="82"/>
      <c r="DBM49" s="82"/>
      <c r="DBN49" s="82"/>
      <c r="DBO49" s="82"/>
      <c r="DBP49" s="82"/>
      <c r="DBQ49" s="82"/>
      <c r="DBR49" s="82"/>
      <c r="DBS49" s="82"/>
      <c r="DBT49" s="82"/>
      <c r="DBU49" s="82"/>
      <c r="DBV49" s="82"/>
      <c r="DBW49" s="82"/>
      <c r="DBX49" s="82"/>
      <c r="DBY49" s="82"/>
      <c r="DBZ49" s="82"/>
      <c r="DCA49" s="82"/>
      <c r="DCB49" s="82"/>
      <c r="DCC49" s="82"/>
      <c r="DCD49" s="82"/>
      <c r="DCE49" s="82"/>
      <c r="DCF49" s="82"/>
      <c r="DCG49" s="82"/>
      <c r="DCH49" s="82"/>
      <c r="DCI49" s="82"/>
      <c r="DCJ49" s="82"/>
      <c r="DCK49" s="82"/>
      <c r="DCL49" s="82"/>
      <c r="DCM49" s="82"/>
      <c r="DCN49" s="82"/>
      <c r="DCO49" s="82"/>
      <c r="DCP49" s="82"/>
      <c r="DCQ49" s="82"/>
      <c r="DCR49" s="82"/>
      <c r="DCS49" s="82"/>
      <c r="DCT49" s="82"/>
      <c r="DCU49" s="82"/>
      <c r="DCV49" s="82"/>
      <c r="DCW49" s="82"/>
      <c r="DCX49" s="82"/>
      <c r="DCY49" s="82"/>
      <c r="DCZ49" s="82"/>
      <c r="DDA49" s="82"/>
      <c r="DDB49" s="82"/>
      <c r="DDC49" s="82"/>
      <c r="DDD49" s="82"/>
      <c r="DDE49" s="82"/>
      <c r="DDF49" s="82"/>
      <c r="DDG49" s="82"/>
      <c r="DDH49" s="82"/>
      <c r="DDI49" s="82"/>
      <c r="DDJ49" s="82"/>
      <c r="DDK49" s="82"/>
      <c r="DDL49" s="82"/>
      <c r="DDM49" s="82"/>
      <c r="DDN49" s="82"/>
      <c r="DDO49" s="82"/>
      <c r="DDP49" s="82"/>
      <c r="DDQ49" s="82"/>
      <c r="DDR49" s="82"/>
      <c r="DDS49" s="82"/>
      <c r="DDT49" s="82"/>
      <c r="DDU49" s="82"/>
      <c r="DDV49" s="82"/>
      <c r="DDW49" s="82"/>
      <c r="DDX49" s="82"/>
      <c r="DDY49" s="82"/>
      <c r="DDZ49" s="82"/>
      <c r="DEA49" s="82"/>
      <c r="DEB49" s="82"/>
      <c r="DEC49" s="82"/>
      <c r="DED49" s="82"/>
      <c r="DEE49" s="82"/>
      <c r="DEF49" s="82"/>
      <c r="DEG49" s="82"/>
      <c r="DEH49" s="82"/>
      <c r="DEI49" s="82"/>
      <c r="DEJ49" s="82"/>
      <c r="DEK49" s="82"/>
      <c r="DEL49" s="82"/>
      <c r="DEM49" s="82"/>
      <c r="DEN49" s="82"/>
      <c r="DEO49" s="82"/>
      <c r="DEP49" s="82"/>
      <c r="DEQ49" s="82"/>
      <c r="DER49" s="82"/>
      <c r="DES49" s="82"/>
      <c r="DET49" s="82"/>
      <c r="DEU49" s="82"/>
      <c r="DEV49" s="82"/>
      <c r="DEW49" s="82"/>
      <c r="DEX49" s="82"/>
      <c r="DEY49" s="82"/>
      <c r="DEZ49" s="82"/>
      <c r="DFA49" s="82"/>
      <c r="DFB49" s="82"/>
      <c r="DFC49" s="82"/>
      <c r="DFD49" s="82"/>
      <c r="DFE49" s="82"/>
      <c r="DFF49" s="82"/>
      <c r="DFG49" s="82"/>
      <c r="DFH49" s="82"/>
      <c r="DFI49" s="82"/>
      <c r="DFJ49" s="82"/>
      <c r="DFK49" s="82"/>
      <c r="DFL49" s="82"/>
      <c r="DFM49" s="82"/>
      <c r="DFN49" s="82"/>
      <c r="DFO49" s="82"/>
      <c r="DFP49" s="82"/>
      <c r="DFQ49" s="82"/>
      <c r="DFR49" s="82"/>
      <c r="DFS49" s="82"/>
      <c r="DFT49" s="82"/>
      <c r="DFU49" s="82"/>
      <c r="DFV49" s="82"/>
      <c r="DFW49" s="82"/>
      <c r="DFX49" s="82"/>
      <c r="DFY49" s="82"/>
      <c r="DFZ49" s="82"/>
      <c r="DGA49" s="82"/>
      <c r="DGB49" s="82"/>
      <c r="DGC49" s="82"/>
      <c r="DGD49" s="82"/>
      <c r="DGE49" s="82"/>
      <c r="DGF49" s="82"/>
      <c r="DGG49" s="82"/>
      <c r="DGH49" s="82"/>
      <c r="DGI49" s="82"/>
      <c r="DGJ49" s="82"/>
      <c r="DGK49" s="82"/>
      <c r="DGL49" s="82"/>
      <c r="DGM49" s="82"/>
      <c r="DGN49" s="82"/>
      <c r="DGO49" s="82"/>
      <c r="DGP49" s="82"/>
      <c r="DGQ49" s="82"/>
      <c r="DGR49" s="82"/>
      <c r="DGS49" s="82"/>
      <c r="DGT49" s="82"/>
      <c r="DGU49" s="82"/>
      <c r="DGV49" s="82"/>
      <c r="DGW49" s="82"/>
      <c r="DGX49" s="82"/>
      <c r="DGY49" s="82"/>
      <c r="DGZ49" s="82"/>
      <c r="DHA49" s="82"/>
      <c r="DHB49" s="82"/>
      <c r="DHC49" s="82"/>
      <c r="DHD49" s="82"/>
      <c r="DHE49" s="82"/>
      <c r="DHF49" s="82"/>
      <c r="DHG49" s="82"/>
      <c r="DHH49" s="82"/>
      <c r="DHI49" s="82"/>
      <c r="DHJ49" s="82"/>
      <c r="DHK49" s="82"/>
      <c r="DHL49" s="82"/>
      <c r="DHM49" s="82"/>
      <c r="DHN49" s="82"/>
      <c r="DHO49" s="82"/>
      <c r="DHP49" s="82"/>
      <c r="DHQ49" s="82"/>
      <c r="DHR49" s="82"/>
      <c r="DHS49" s="82"/>
      <c r="DHT49" s="82"/>
      <c r="DHU49" s="82"/>
      <c r="DHV49" s="82"/>
      <c r="DHW49" s="82"/>
      <c r="DHX49" s="82"/>
      <c r="DHY49" s="82"/>
      <c r="DHZ49" s="82"/>
      <c r="DIA49" s="82"/>
      <c r="DIB49" s="82"/>
      <c r="DIC49" s="82"/>
      <c r="DID49" s="82"/>
      <c r="DIE49" s="82"/>
      <c r="DIF49" s="82"/>
      <c r="DIG49" s="82"/>
      <c r="DIH49" s="82"/>
      <c r="DII49" s="82"/>
      <c r="DIJ49" s="82"/>
      <c r="DIK49" s="82"/>
      <c r="DIL49" s="82"/>
      <c r="DIM49" s="82"/>
      <c r="DIN49" s="82"/>
      <c r="DIO49" s="82"/>
      <c r="DIP49" s="82"/>
      <c r="DIQ49" s="82"/>
      <c r="DIR49" s="82"/>
      <c r="DIS49" s="82"/>
      <c r="DIT49" s="82"/>
      <c r="DIU49" s="82"/>
      <c r="DIV49" s="82"/>
      <c r="DIW49" s="82"/>
      <c r="DIX49" s="82"/>
      <c r="DIY49" s="82"/>
      <c r="DIZ49" s="82"/>
      <c r="DJA49" s="82"/>
      <c r="DJB49" s="82"/>
      <c r="DJC49" s="82"/>
      <c r="DJD49" s="82"/>
      <c r="DJE49" s="82"/>
      <c r="DJF49" s="82"/>
      <c r="DJG49" s="82"/>
      <c r="DJH49" s="82"/>
      <c r="DJI49" s="82"/>
      <c r="DJJ49" s="82"/>
      <c r="DJK49" s="82"/>
      <c r="DJL49" s="82"/>
      <c r="DJM49" s="82"/>
      <c r="DJN49" s="82"/>
      <c r="DJO49" s="82"/>
      <c r="DJP49" s="82"/>
      <c r="DJQ49" s="82"/>
      <c r="DJR49" s="82"/>
      <c r="DJS49" s="82"/>
      <c r="DJT49" s="82"/>
      <c r="DJU49" s="82"/>
      <c r="DJV49" s="82"/>
      <c r="DJW49" s="82"/>
      <c r="DJX49" s="82"/>
      <c r="DJY49" s="82"/>
      <c r="DJZ49" s="82"/>
      <c r="DKA49" s="82"/>
      <c r="DKB49" s="82"/>
      <c r="DKC49" s="82"/>
      <c r="DKD49" s="82"/>
      <c r="DKE49" s="82"/>
      <c r="DKF49" s="82"/>
      <c r="DKG49" s="82"/>
      <c r="DKH49" s="82"/>
      <c r="DKI49" s="82"/>
      <c r="DKJ49" s="82"/>
      <c r="DKK49" s="82"/>
      <c r="DKL49" s="82"/>
      <c r="DKM49" s="82"/>
      <c r="DKN49" s="82"/>
      <c r="DKO49" s="82"/>
      <c r="DKP49" s="82"/>
      <c r="DKQ49" s="82"/>
      <c r="DKR49" s="82"/>
      <c r="DKS49" s="82"/>
      <c r="DKT49" s="82"/>
      <c r="DKU49" s="82"/>
      <c r="DKV49" s="82"/>
      <c r="DKW49" s="82"/>
      <c r="DKX49" s="82"/>
      <c r="DKY49" s="82"/>
      <c r="DKZ49" s="82"/>
      <c r="DLA49" s="82"/>
      <c r="DLB49" s="82"/>
      <c r="DLC49" s="82"/>
      <c r="DLD49" s="82"/>
      <c r="DLE49" s="82"/>
      <c r="DLF49" s="82"/>
      <c r="DLG49" s="82"/>
      <c r="DLH49" s="82"/>
      <c r="DLI49" s="82"/>
      <c r="DLJ49" s="82"/>
      <c r="DLK49" s="82"/>
      <c r="DLL49" s="82"/>
      <c r="DLM49" s="82"/>
      <c r="DLN49" s="82"/>
      <c r="DLO49" s="82"/>
      <c r="DLP49" s="82"/>
      <c r="DLQ49" s="82"/>
      <c r="DLR49" s="82"/>
      <c r="DLS49" s="82"/>
      <c r="DLT49" s="82"/>
      <c r="DLU49" s="82"/>
      <c r="DLV49" s="82"/>
      <c r="DLW49" s="82"/>
      <c r="DLX49" s="82"/>
      <c r="DLY49" s="82"/>
      <c r="DLZ49" s="82"/>
      <c r="DMA49" s="82"/>
      <c r="DMB49" s="82"/>
      <c r="DMC49" s="82"/>
      <c r="DMD49" s="82"/>
      <c r="DME49" s="82"/>
      <c r="DMF49" s="82"/>
      <c r="DMG49" s="82"/>
      <c r="DMH49" s="82"/>
      <c r="DMI49" s="82"/>
      <c r="DMJ49" s="82"/>
      <c r="DMK49" s="82"/>
      <c r="DML49" s="82"/>
      <c r="DMM49" s="82"/>
      <c r="DMN49" s="82"/>
      <c r="DMO49" s="82"/>
      <c r="DMP49" s="82"/>
      <c r="DMQ49" s="82"/>
      <c r="DMR49" s="82"/>
      <c r="DMS49" s="82"/>
      <c r="DMT49" s="82"/>
      <c r="DMU49" s="82"/>
      <c r="DMV49" s="82"/>
      <c r="DMW49" s="82"/>
      <c r="DMX49" s="82"/>
      <c r="DMY49" s="82"/>
      <c r="DMZ49" s="82"/>
      <c r="DNA49" s="82"/>
      <c r="DNB49" s="82"/>
      <c r="DNC49" s="82"/>
      <c r="DND49" s="82"/>
      <c r="DNE49" s="82"/>
      <c r="DNF49" s="82"/>
      <c r="DNG49" s="82"/>
      <c r="DNH49" s="82"/>
      <c r="DNI49" s="82"/>
      <c r="DNJ49" s="82"/>
      <c r="DNK49" s="82"/>
      <c r="DNL49" s="82"/>
      <c r="DNM49" s="82"/>
      <c r="DNN49" s="82"/>
      <c r="DNO49" s="82"/>
      <c r="DNP49" s="82"/>
      <c r="DNQ49" s="82"/>
      <c r="DNR49" s="82"/>
      <c r="DNS49" s="82"/>
      <c r="DNT49" s="82"/>
      <c r="DNU49" s="82"/>
      <c r="DNV49" s="82"/>
      <c r="DNW49" s="82"/>
      <c r="DNX49" s="82"/>
      <c r="DNY49" s="82"/>
      <c r="DNZ49" s="82"/>
      <c r="DOA49" s="82"/>
      <c r="DOB49" s="82"/>
      <c r="DOC49" s="82"/>
      <c r="DOD49" s="82"/>
      <c r="DOE49" s="82"/>
      <c r="DOF49" s="82"/>
      <c r="DOG49" s="82"/>
      <c r="DOH49" s="82"/>
      <c r="DOI49" s="82"/>
      <c r="DOJ49" s="82"/>
      <c r="DOK49" s="82"/>
      <c r="DOL49" s="82"/>
      <c r="DOM49" s="82"/>
      <c r="DON49" s="82"/>
      <c r="DOO49" s="82"/>
      <c r="DOP49" s="82"/>
      <c r="DOQ49" s="82"/>
      <c r="DOR49" s="82"/>
      <c r="DOS49" s="82"/>
      <c r="DOT49" s="82"/>
      <c r="DOU49" s="82"/>
      <c r="DOV49" s="82"/>
      <c r="DOW49" s="82"/>
      <c r="DOX49" s="82"/>
      <c r="DOY49" s="82"/>
      <c r="DOZ49" s="82"/>
      <c r="DPA49" s="82"/>
      <c r="DPB49" s="82"/>
      <c r="DPC49" s="82"/>
      <c r="DPD49" s="82"/>
      <c r="DPE49" s="82"/>
      <c r="DPF49" s="82"/>
      <c r="DPG49" s="82"/>
      <c r="DPH49" s="82"/>
      <c r="DPI49" s="82"/>
      <c r="DPJ49" s="82"/>
      <c r="DPK49" s="82"/>
      <c r="DPL49" s="82"/>
      <c r="DPM49" s="82"/>
      <c r="DPN49" s="82"/>
      <c r="DPO49" s="82"/>
      <c r="DPP49" s="82"/>
      <c r="DPQ49" s="82"/>
      <c r="DPR49" s="82"/>
      <c r="DPS49" s="82"/>
      <c r="DPT49" s="82"/>
      <c r="DPU49" s="82"/>
      <c r="DPV49" s="82"/>
      <c r="DPW49" s="82"/>
      <c r="DPX49" s="82"/>
      <c r="DPY49" s="82"/>
      <c r="DPZ49" s="82"/>
      <c r="DQA49" s="82"/>
      <c r="DQB49" s="82"/>
      <c r="DQC49" s="82"/>
      <c r="DQD49" s="82"/>
      <c r="DQE49" s="82"/>
      <c r="DQF49" s="82"/>
      <c r="DQG49" s="82"/>
      <c r="DQH49" s="82"/>
      <c r="DQI49" s="82"/>
      <c r="DQJ49" s="82"/>
      <c r="DQK49" s="82"/>
      <c r="DQL49" s="82"/>
      <c r="DQM49" s="82"/>
      <c r="DQN49" s="82"/>
      <c r="DQO49" s="82"/>
      <c r="DQP49" s="82"/>
      <c r="DQQ49" s="82"/>
      <c r="DQR49" s="82"/>
      <c r="DQS49" s="82"/>
      <c r="DQT49" s="82"/>
      <c r="DQU49" s="82"/>
      <c r="DQV49" s="82"/>
      <c r="DQW49" s="82"/>
      <c r="DQX49" s="82"/>
      <c r="DQY49" s="82"/>
      <c r="DQZ49" s="82"/>
      <c r="DRA49" s="82"/>
      <c r="DRB49" s="82"/>
      <c r="DRC49" s="82"/>
      <c r="DRD49" s="82"/>
      <c r="DRE49" s="82"/>
      <c r="DRF49" s="82"/>
      <c r="DRG49" s="82"/>
      <c r="DRH49" s="82"/>
      <c r="DRI49" s="82"/>
      <c r="DRJ49" s="82"/>
      <c r="DRK49" s="82"/>
      <c r="DRL49" s="82"/>
      <c r="DRM49" s="82"/>
      <c r="DRN49" s="82"/>
      <c r="DRO49" s="82"/>
      <c r="DRP49" s="82"/>
      <c r="DRQ49" s="82"/>
      <c r="DRR49" s="82"/>
      <c r="DRS49" s="82"/>
      <c r="DRT49" s="82"/>
      <c r="DRU49" s="82"/>
      <c r="DRV49" s="82"/>
      <c r="DRW49" s="82"/>
      <c r="DRX49" s="82"/>
      <c r="DRY49" s="82"/>
      <c r="DRZ49" s="82"/>
      <c r="DSA49" s="82"/>
      <c r="DSB49" s="82"/>
      <c r="DSC49" s="82"/>
      <c r="DSD49" s="82"/>
      <c r="DSE49" s="82"/>
      <c r="DSF49" s="82"/>
      <c r="DSG49" s="82"/>
      <c r="DSH49" s="82"/>
      <c r="DSI49" s="82"/>
      <c r="DSJ49" s="82"/>
      <c r="DSK49" s="82"/>
      <c r="DSL49" s="82"/>
      <c r="DSM49" s="82"/>
      <c r="DSN49" s="82"/>
      <c r="DSO49" s="82"/>
      <c r="DSP49" s="82"/>
      <c r="DSQ49" s="82"/>
      <c r="DSR49" s="82"/>
      <c r="DSS49" s="82"/>
      <c r="DST49" s="82"/>
      <c r="DSU49" s="82"/>
      <c r="DSV49" s="82"/>
      <c r="DSW49" s="82"/>
      <c r="DSX49" s="82"/>
      <c r="DSY49" s="82"/>
      <c r="DSZ49" s="82"/>
      <c r="DTA49" s="82"/>
      <c r="DTB49" s="82"/>
      <c r="DTC49" s="82"/>
      <c r="DTD49" s="82"/>
      <c r="DTE49" s="82"/>
      <c r="DTF49" s="82"/>
      <c r="DTG49" s="82"/>
      <c r="DTH49" s="82"/>
      <c r="DTI49" s="82"/>
      <c r="DTJ49" s="82"/>
      <c r="DTK49" s="82"/>
      <c r="DTL49" s="82"/>
      <c r="DTM49" s="82"/>
      <c r="DTN49" s="82"/>
      <c r="DTO49" s="82"/>
      <c r="DTP49" s="82"/>
      <c r="DTQ49" s="82"/>
      <c r="DTR49" s="82"/>
      <c r="DTS49" s="82"/>
      <c r="DTT49" s="82"/>
      <c r="DTU49" s="82"/>
      <c r="DTV49" s="82"/>
      <c r="DTW49" s="82"/>
      <c r="DTX49" s="82"/>
      <c r="DTY49" s="82"/>
      <c r="DTZ49" s="82"/>
      <c r="DUA49" s="82"/>
      <c r="DUB49" s="82"/>
      <c r="DUC49" s="82"/>
      <c r="DUD49" s="82"/>
      <c r="DUE49" s="82"/>
      <c r="DUF49" s="82"/>
      <c r="DUG49" s="82"/>
      <c r="DUH49" s="82"/>
      <c r="DUI49" s="82"/>
      <c r="DUJ49" s="82"/>
      <c r="DUK49" s="82"/>
      <c r="DUL49" s="82"/>
      <c r="DUM49" s="82"/>
      <c r="DUN49" s="82"/>
      <c r="DUO49" s="82"/>
      <c r="DUP49" s="82"/>
      <c r="DUQ49" s="82"/>
      <c r="DUR49" s="82"/>
      <c r="DUS49" s="82"/>
      <c r="DUT49" s="82"/>
      <c r="DUU49" s="82"/>
      <c r="DUV49" s="82"/>
      <c r="DUW49" s="82"/>
      <c r="DUX49" s="82"/>
      <c r="DUY49" s="82"/>
      <c r="DUZ49" s="82"/>
      <c r="DVA49" s="82"/>
      <c r="DVB49" s="82"/>
      <c r="DVC49" s="82"/>
      <c r="DVD49" s="82"/>
      <c r="DVE49" s="82"/>
      <c r="DVF49" s="82"/>
      <c r="DVG49" s="82"/>
      <c r="DVH49" s="82"/>
      <c r="DVI49" s="82"/>
      <c r="DVJ49" s="82"/>
      <c r="DVK49" s="82"/>
      <c r="DVL49" s="82"/>
      <c r="DVM49" s="82"/>
      <c r="DVN49" s="82"/>
      <c r="DVO49" s="82"/>
      <c r="DVP49" s="82"/>
      <c r="DVQ49" s="82"/>
      <c r="DVR49" s="82"/>
      <c r="DVS49" s="82"/>
      <c r="DVT49" s="82"/>
      <c r="DVU49" s="82"/>
      <c r="DVV49" s="82"/>
      <c r="DVW49" s="82"/>
      <c r="DVX49" s="82"/>
      <c r="DVY49" s="82"/>
      <c r="DVZ49" s="82"/>
      <c r="DWA49" s="82"/>
      <c r="DWB49" s="82"/>
      <c r="DWC49" s="82"/>
      <c r="DWD49" s="82"/>
      <c r="DWE49" s="82"/>
      <c r="DWF49" s="82"/>
      <c r="DWG49" s="82"/>
      <c r="DWH49" s="82"/>
      <c r="DWI49" s="82"/>
      <c r="DWJ49" s="82"/>
      <c r="DWK49" s="82"/>
      <c r="DWL49" s="82"/>
      <c r="DWM49" s="82"/>
      <c r="DWN49" s="82"/>
      <c r="DWO49" s="82"/>
      <c r="DWP49" s="82"/>
      <c r="DWQ49" s="82"/>
      <c r="DWR49" s="82"/>
      <c r="DWS49" s="82"/>
      <c r="DWT49" s="82"/>
      <c r="DWU49" s="82"/>
      <c r="DWV49" s="82"/>
      <c r="DWW49" s="82"/>
      <c r="DWX49" s="82"/>
      <c r="DWY49" s="82"/>
      <c r="DWZ49" s="82"/>
      <c r="DXA49" s="82"/>
      <c r="DXB49" s="82"/>
      <c r="DXC49" s="82"/>
      <c r="DXD49" s="82"/>
      <c r="DXE49" s="82"/>
      <c r="DXF49" s="82"/>
      <c r="DXG49" s="82"/>
      <c r="DXH49" s="82"/>
      <c r="DXI49" s="82"/>
      <c r="DXJ49" s="82"/>
      <c r="DXK49" s="82"/>
      <c r="DXL49" s="82"/>
      <c r="DXM49" s="82"/>
      <c r="DXN49" s="82"/>
      <c r="DXO49" s="82"/>
      <c r="DXP49" s="82"/>
      <c r="DXQ49" s="82"/>
      <c r="DXR49" s="82"/>
      <c r="DXS49" s="82"/>
      <c r="DXT49" s="82"/>
      <c r="DXU49" s="82"/>
      <c r="DXV49" s="82"/>
      <c r="DXW49" s="82"/>
      <c r="DXX49" s="82"/>
      <c r="DXY49" s="82"/>
      <c r="DXZ49" s="82"/>
      <c r="DYA49" s="82"/>
      <c r="DYB49" s="82"/>
      <c r="DYC49" s="82"/>
      <c r="DYD49" s="82"/>
      <c r="DYE49" s="82"/>
      <c r="DYF49" s="82"/>
      <c r="DYG49" s="82"/>
      <c r="DYH49" s="82"/>
      <c r="DYI49" s="82"/>
      <c r="DYJ49" s="82"/>
      <c r="DYK49" s="82"/>
      <c r="DYL49" s="82"/>
      <c r="DYM49" s="82"/>
      <c r="DYN49" s="82"/>
      <c r="DYO49" s="82"/>
      <c r="DYP49" s="82"/>
      <c r="DYQ49" s="82"/>
      <c r="DYR49" s="82"/>
      <c r="DYS49" s="82"/>
      <c r="DYT49" s="82"/>
      <c r="DYU49" s="82"/>
      <c r="DYV49" s="82"/>
      <c r="DYW49" s="82"/>
      <c r="DYX49" s="82"/>
      <c r="DYY49" s="82"/>
      <c r="DYZ49" s="82"/>
      <c r="DZA49" s="82"/>
      <c r="DZB49" s="82"/>
      <c r="DZC49" s="82"/>
      <c r="DZD49" s="82"/>
      <c r="DZE49" s="82"/>
      <c r="DZF49" s="82"/>
      <c r="DZG49" s="82"/>
      <c r="DZH49" s="82"/>
      <c r="DZI49" s="82"/>
      <c r="DZJ49" s="82"/>
      <c r="DZK49" s="82"/>
      <c r="DZL49" s="82"/>
      <c r="DZM49" s="82"/>
      <c r="DZN49" s="82"/>
      <c r="DZO49" s="82"/>
      <c r="DZP49" s="82"/>
      <c r="DZQ49" s="82"/>
      <c r="DZR49" s="82"/>
      <c r="DZS49" s="82"/>
      <c r="DZT49" s="82"/>
      <c r="DZU49" s="82"/>
      <c r="DZV49" s="82"/>
      <c r="DZW49" s="82"/>
      <c r="DZX49" s="82"/>
      <c r="DZY49" s="82"/>
      <c r="DZZ49" s="82"/>
      <c r="EAA49" s="82"/>
      <c r="EAB49" s="82"/>
      <c r="EAC49" s="82"/>
      <c r="EAD49" s="82"/>
      <c r="EAE49" s="82"/>
      <c r="EAF49" s="82"/>
      <c r="EAG49" s="82"/>
      <c r="EAH49" s="82"/>
      <c r="EAI49" s="82"/>
      <c r="EAJ49" s="82"/>
      <c r="EAK49" s="82"/>
      <c r="EAL49" s="82"/>
      <c r="EAM49" s="82"/>
      <c r="EAN49" s="82"/>
      <c r="EAO49" s="82"/>
      <c r="EAP49" s="82"/>
      <c r="EAQ49" s="82"/>
      <c r="EAR49" s="82"/>
      <c r="EAS49" s="82"/>
      <c r="EAT49" s="82"/>
      <c r="EAU49" s="82"/>
      <c r="EAV49" s="82"/>
      <c r="EAW49" s="82"/>
      <c r="EAX49" s="82"/>
      <c r="EAY49" s="82"/>
      <c r="EAZ49" s="82"/>
      <c r="EBA49" s="82"/>
      <c r="EBB49" s="82"/>
      <c r="EBC49" s="82"/>
      <c r="EBD49" s="82"/>
      <c r="EBE49" s="82"/>
      <c r="EBF49" s="82"/>
      <c r="EBG49" s="82"/>
      <c r="EBH49" s="82"/>
      <c r="EBI49" s="82"/>
      <c r="EBJ49" s="82"/>
      <c r="EBK49" s="82"/>
      <c r="EBL49" s="82"/>
      <c r="EBM49" s="82"/>
      <c r="EBN49" s="82"/>
      <c r="EBO49" s="82"/>
      <c r="EBP49" s="82"/>
      <c r="EBQ49" s="82"/>
      <c r="EBR49" s="82"/>
      <c r="EBS49" s="82"/>
      <c r="EBT49" s="82"/>
      <c r="EBU49" s="82"/>
      <c r="EBV49" s="82"/>
      <c r="EBW49" s="82"/>
      <c r="EBX49" s="82"/>
      <c r="EBY49" s="82"/>
      <c r="EBZ49" s="82"/>
      <c r="ECA49" s="82"/>
      <c r="ECB49" s="82"/>
      <c r="ECC49" s="82"/>
      <c r="ECD49" s="82"/>
      <c r="ECE49" s="82"/>
      <c r="ECF49" s="82"/>
      <c r="ECG49" s="82"/>
      <c r="ECH49" s="82"/>
      <c r="ECI49" s="82"/>
      <c r="ECJ49" s="82"/>
      <c r="ECK49" s="82"/>
      <c r="ECL49" s="82"/>
      <c r="ECM49" s="82"/>
      <c r="ECN49" s="82"/>
      <c r="ECO49" s="82"/>
      <c r="ECP49" s="82"/>
      <c r="ECQ49" s="82"/>
      <c r="ECR49" s="82"/>
      <c r="ECS49" s="82"/>
      <c r="ECT49" s="82"/>
      <c r="ECU49" s="82"/>
      <c r="ECV49" s="82"/>
      <c r="ECW49" s="82"/>
      <c r="ECX49" s="82"/>
      <c r="ECY49" s="82"/>
      <c r="ECZ49" s="82"/>
      <c r="EDA49" s="82"/>
      <c r="EDB49" s="82"/>
      <c r="EDC49" s="82"/>
      <c r="EDD49" s="82"/>
      <c r="EDE49" s="82"/>
      <c r="EDF49" s="82"/>
      <c r="EDG49" s="82"/>
      <c r="EDH49" s="82"/>
      <c r="EDI49" s="82"/>
      <c r="EDJ49" s="82"/>
      <c r="EDK49" s="82"/>
      <c r="EDL49" s="82"/>
      <c r="EDM49" s="82"/>
      <c r="EDN49" s="82"/>
      <c r="EDO49" s="82"/>
      <c r="EDP49" s="82"/>
      <c r="EDQ49" s="82"/>
      <c r="EDR49" s="82"/>
      <c r="EDS49" s="82"/>
      <c r="EDT49" s="82"/>
      <c r="EDU49" s="82"/>
      <c r="EDV49" s="82"/>
      <c r="EDW49" s="82"/>
      <c r="EDX49" s="82"/>
      <c r="EDY49" s="82"/>
      <c r="EDZ49" s="82"/>
      <c r="EEA49" s="82"/>
      <c r="EEB49" s="82"/>
      <c r="EEC49" s="82"/>
      <c r="EED49" s="82"/>
      <c r="EEE49" s="82"/>
      <c r="EEF49" s="82"/>
      <c r="EEG49" s="82"/>
      <c r="EEH49" s="82"/>
      <c r="EEI49" s="82"/>
      <c r="EEJ49" s="82"/>
      <c r="EEK49" s="82"/>
      <c r="EEL49" s="82"/>
      <c r="EEM49" s="82"/>
      <c r="EEN49" s="82"/>
      <c r="EEO49" s="82"/>
      <c r="EEP49" s="82"/>
      <c r="EEQ49" s="82"/>
      <c r="EER49" s="82"/>
      <c r="EES49" s="82"/>
      <c r="EET49" s="82"/>
      <c r="EEU49" s="82"/>
      <c r="EEV49" s="82"/>
      <c r="EEW49" s="82"/>
      <c r="EEX49" s="82"/>
      <c r="EEY49" s="82"/>
      <c r="EEZ49" s="82"/>
      <c r="EFA49" s="82"/>
      <c r="EFB49" s="82"/>
      <c r="EFC49" s="82"/>
      <c r="EFD49" s="82"/>
      <c r="EFE49" s="82"/>
      <c r="EFF49" s="82"/>
      <c r="EFG49" s="82"/>
      <c r="EFH49" s="82"/>
      <c r="EFI49" s="82"/>
      <c r="EFJ49" s="82"/>
      <c r="EFK49" s="82"/>
      <c r="EFL49" s="82"/>
      <c r="EFM49" s="82"/>
      <c r="EFN49" s="82"/>
      <c r="EFO49" s="82"/>
      <c r="EFP49" s="82"/>
      <c r="EFQ49" s="82"/>
      <c r="EFR49" s="82"/>
      <c r="EFS49" s="82"/>
      <c r="EFT49" s="82"/>
      <c r="EFU49" s="82"/>
      <c r="EFV49" s="82"/>
      <c r="EFW49" s="82"/>
      <c r="EFX49" s="82"/>
      <c r="EFY49" s="82"/>
      <c r="EFZ49" s="82"/>
      <c r="EGA49" s="82"/>
      <c r="EGB49" s="82"/>
      <c r="EGC49" s="82"/>
      <c r="EGD49" s="82"/>
      <c r="EGE49" s="82"/>
      <c r="EGF49" s="82"/>
      <c r="EGG49" s="82"/>
      <c r="EGH49" s="82"/>
      <c r="EGI49" s="82"/>
      <c r="EGJ49" s="82"/>
      <c r="EGK49" s="82"/>
      <c r="EGL49" s="82"/>
      <c r="EGM49" s="82"/>
      <c r="EGN49" s="82"/>
      <c r="EGO49" s="82"/>
      <c r="EGP49" s="82"/>
      <c r="EGQ49" s="82"/>
      <c r="EGR49" s="82"/>
      <c r="EGS49" s="82"/>
      <c r="EGT49" s="82"/>
      <c r="EGU49" s="82"/>
      <c r="EGV49" s="82"/>
      <c r="EGW49" s="82"/>
      <c r="EGX49" s="82"/>
      <c r="EGY49" s="82"/>
      <c r="EGZ49" s="82"/>
      <c r="EHA49" s="82"/>
      <c r="EHB49" s="82"/>
      <c r="EHC49" s="82"/>
      <c r="EHD49" s="82"/>
      <c r="EHE49" s="82"/>
      <c r="EHF49" s="82"/>
      <c r="EHG49" s="82"/>
      <c r="EHH49" s="82"/>
      <c r="EHI49" s="82"/>
      <c r="EHJ49" s="82"/>
      <c r="EHK49" s="82"/>
      <c r="EHL49" s="82"/>
      <c r="EHM49" s="82"/>
      <c r="EHN49" s="82"/>
      <c r="EHO49" s="82"/>
      <c r="EHP49" s="82"/>
      <c r="EHQ49" s="82"/>
      <c r="EHR49" s="82"/>
      <c r="EHS49" s="82"/>
      <c r="EHT49" s="82"/>
      <c r="EHU49" s="82"/>
      <c r="EHV49" s="82"/>
      <c r="EHW49" s="82"/>
      <c r="EHX49" s="82"/>
      <c r="EHY49" s="82"/>
      <c r="EHZ49" s="82"/>
      <c r="EIA49" s="82"/>
      <c r="EIB49" s="82"/>
      <c r="EIC49" s="82"/>
      <c r="EID49" s="82"/>
      <c r="EIE49" s="82"/>
      <c r="EIF49" s="82"/>
      <c r="EIG49" s="82"/>
      <c r="EIH49" s="82"/>
      <c r="EII49" s="82"/>
      <c r="EIJ49" s="82"/>
      <c r="EIK49" s="82"/>
      <c r="EIL49" s="82"/>
      <c r="EIM49" s="82"/>
      <c r="EIN49" s="82"/>
      <c r="EIO49" s="82"/>
      <c r="EIP49" s="82"/>
      <c r="EIQ49" s="82"/>
      <c r="EIR49" s="82"/>
      <c r="EIS49" s="82"/>
      <c r="EIT49" s="82"/>
      <c r="EIU49" s="82"/>
      <c r="EIV49" s="82"/>
      <c r="EIW49" s="82"/>
      <c r="EIX49" s="82"/>
      <c r="EIY49" s="82"/>
      <c r="EIZ49" s="82"/>
      <c r="EJA49" s="82"/>
      <c r="EJB49" s="82"/>
      <c r="EJC49" s="82"/>
      <c r="EJD49" s="82"/>
      <c r="EJE49" s="82"/>
      <c r="EJF49" s="82"/>
      <c r="EJG49" s="82"/>
      <c r="EJH49" s="82"/>
      <c r="EJI49" s="82"/>
      <c r="EJJ49" s="82"/>
      <c r="EJK49" s="82"/>
      <c r="EJL49" s="82"/>
      <c r="EJM49" s="82"/>
      <c r="EJN49" s="82"/>
      <c r="EJO49" s="82"/>
      <c r="EJP49" s="82"/>
      <c r="EJQ49" s="82"/>
      <c r="EJR49" s="82"/>
      <c r="EJS49" s="82"/>
      <c r="EJT49" s="82"/>
      <c r="EJU49" s="82"/>
      <c r="EJV49" s="82"/>
      <c r="EJW49" s="82"/>
      <c r="EJX49" s="82"/>
      <c r="EJY49" s="82"/>
      <c r="EJZ49" s="82"/>
      <c r="EKA49" s="82"/>
      <c r="EKB49" s="82"/>
      <c r="EKC49" s="82"/>
      <c r="EKD49" s="82"/>
      <c r="EKE49" s="82"/>
      <c r="EKF49" s="82"/>
      <c r="EKG49" s="82"/>
      <c r="EKH49" s="82"/>
      <c r="EKI49" s="82"/>
      <c r="EKJ49" s="82"/>
      <c r="EKK49" s="82"/>
      <c r="EKL49" s="82"/>
      <c r="EKM49" s="82"/>
      <c r="EKN49" s="82"/>
      <c r="EKO49" s="82"/>
      <c r="EKP49" s="82"/>
      <c r="EKQ49" s="82"/>
      <c r="EKR49" s="82"/>
      <c r="EKS49" s="82"/>
      <c r="EKT49" s="82"/>
      <c r="EKU49" s="82"/>
      <c r="EKV49" s="82"/>
      <c r="EKW49" s="82"/>
      <c r="EKX49" s="82"/>
      <c r="EKY49" s="82"/>
      <c r="EKZ49" s="82"/>
      <c r="ELA49" s="82"/>
      <c r="ELB49" s="82"/>
      <c r="ELC49" s="82"/>
      <c r="ELD49" s="82"/>
      <c r="ELE49" s="82"/>
      <c r="ELF49" s="82"/>
      <c r="ELG49" s="82"/>
      <c r="ELH49" s="82"/>
      <c r="ELI49" s="82"/>
      <c r="ELJ49" s="82"/>
      <c r="ELK49" s="82"/>
      <c r="ELL49" s="82"/>
      <c r="ELM49" s="82"/>
      <c r="ELN49" s="82"/>
      <c r="ELO49" s="82"/>
      <c r="ELP49" s="82"/>
      <c r="ELQ49" s="82"/>
      <c r="ELR49" s="82"/>
      <c r="ELS49" s="82"/>
      <c r="ELT49" s="82"/>
      <c r="ELU49" s="82"/>
      <c r="ELV49" s="82"/>
      <c r="ELW49" s="82"/>
      <c r="ELX49" s="82"/>
      <c r="ELY49" s="82"/>
      <c r="ELZ49" s="82"/>
      <c r="EMA49" s="82"/>
      <c r="EMB49" s="82"/>
      <c r="EMC49" s="82"/>
      <c r="EMD49" s="82"/>
      <c r="EME49" s="82"/>
      <c r="EMF49" s="82"/>
      <c r="EMG49" s="82"/>
      <c r="EMH49" s="82"/>
      <c r="EMI49" s="82"/>
      <c r="EMJ49" s="82"/>
      <c r="EMK49" s="82"/>
      <c r="EML49" s="82"/>
      <c r="EMM49" s="82"/>
      <c r="EMN49" s="82"/>
      <c r="EMO49" s="82"/>
      <c r="EMP49" s="82"/>
      <c r="EMQ49" s="82"/>
      <c r="EMR49" s="82"/>
      <c r="EMS49" s="82"/>
      <c r="EMT49" s="82"/>
      <c r="EMU49" s="82"/>
      <c r="EMV49" s="82"/>
      <c r="EMW49" s="82"/>
      <c r="EMX49" s="82"/>
      <c r="EMY49" s="82"/>
      <c r="EMZ49" s="82"/>
      <c r="ENA49" s="82"/>
      <c r="ENB49" s="82"/>
      <c r="ENC49" s="82"/>
      <c r="END49" s="82"/>
      <c r="ENE49" s="82"/>
      <c r="ENF49" s="82"/>
      <c r="ENG49" s="82"/>
      <c r="ENH49" s="82"/>
      <c r="ENI49" s="82"/>
      <c r="ENJ49" s="82"/>
      <c r="ENK49" s="82"/>
      <c r="ENL49" s="82"/>
      <c r="ENM49" s="82"/>
      <c r="ENN49" s="82"/>
      <c r="ENO49" s="82"/>
      <c r="ENP49" s="82"/>
      <c r="ENQ49" s="82"/>
      <c r="ENR49" s="82"/>
      <c r="ENS49" s="82"/>
      <c r="ENT49" s="82"/>
      <c r="ENU49" s="82"/>
      <c r="ENV49" s="82"/>
      <c r="ENW49" s="82"/>
      <c r="ENX49" s="82"/>
      <c r="ENY49" s="82"/>
      <c r="ENZ49" s="82"/>
      <c r="EOA49" s="82"/>
      <c r="EOB49" s="82"/>
      <c r="EOC49" s="82"/>
      <c r="EOD49" s="82"/>
      <c r="EOE49" s="82"/>
      <c r="EOF49" s="82"/>
      <c r="EOG49" s="82"/>
      <c r="EOH49" s="82"/>
      <c r="EOI49" s="82"/>
      <c r="EOJ49" s="82"/>
      <c r="EOK49" s="82"/>
      <c r="EOL49" s="82"/>
      <c r="EOM49" s="82"/>
      <c r="EON49" s="82"/>
      <c r="EOO49" s="82"/>
      <c r="EOP49" s="82"/>
      <c r="EOQ49" s="82"/>
      <c r="EOR49" s="82"/>
      <c r="EOS49" s="82"/>
      <c r="EOT49" s="82"/>
      <c r="EOU49" s="82"/>
      <c r="EOV49" s="82"/>
      <c r="EOW49" s="82"/>
      <c r="EOX49" s="82"/>
      <c r="EOY49" s="82"/>
      <c r="EOZ49" s="82"/>
      <c r="EPA49" s="82"/>
      <c r="EPB49" s="82"/>
      <c r="EPC49" s="82"/>
      <c r="EPD49" s="82"/>
      <c r="EPE49" s="82"/>
      <c r="EPF49" s="82"/>
      <c r="EPG49" s="82"/>
      <c r="EPH49" s="82"/>
      <c r="EPI49" s="82"/>
      <c r="EPJ49" s="82"/>
      <c r="EPK49" s="82"/>
      <c r="EPL49" s="82"/>
      <c r="EPM49" s="82"/>
      <c r="EPN49" s="82"/>
      <c r="EPO49" s="82"/>
      <c r="EPP49" s="82"/>
      <c r="EPQ49" s="82"/>
      <c r="EPR49" s="82"/>
      <c r="EPS49" s="82"/>
      <c r="EPT49" s="82"/>
      <c r="EPU49" s="82"/>
      <c r="EPV49" s="82"/>
      <c r="EPW49" s="82"/>
      <c r="EPX49" s="82"/>
      <c r="EPY49" s="82"/>
      <c r="EPZ49" s="82"/>
      <c r="EQA49" s="82"/>
      <c r="EQB49" s="82"/>
      <c r="EQC49" s="82"/>
      <c r="EQD49" s="82"/>
      <c r="EQE49" s="82"/>
      <c r="EQF49" s="82"/>
      <c r="EQG49" s="82"/>
      <c r="EQH49" s="82"/>
      <c r="EQI49" s="82"/>
      <c r="EQJ49" s="82"/>
      <c r="EQK49" s="82"/>
      <c r="EQL49" s="82"/>
      <c r="EQM49" s="82"/>
      <c r="EQN49" s="82"/>
      <c r="EQO49" s="82"/>
      <c r="EQP49" s="82"/>
      <c r="EQQ49" s="82"/>
      <c r="EQR49" s="82"/>
      <c r="EQS49" s="82"/>
      <c r="EQT49" s="82"/>
      <c r="EQU49" s="82"/>
      <c r="EQV49" s="82"/>
      <c r="EQW49" s="82"/>
      <c r="EQX49" s="82"/>
      <c r="EQY49" s="82"/>
      <c r="EQZ49" s="82"/>
      <c r="ERA49" s="82"/>
      <c r="ERB49" s="82"/>
      <c r="ERC49" s="82"/>
      <c r="ERD49" s="82"/>
      <c r="ERE49" s="82"/>
      <c r="ERF49" s="82"/>
      <c r="ERG49" s="82"/>
      <c r="ERH49" s="82"/>
      <c r="ERI49" s="82"/>
      <c r="ERJ49" s="82"/>
      <c r="ERK49" s="82"/>
      <c r="ERL49" s="82"/>
      <c r="ERM49" s="82"/>
      <c r="ERN49" s="82"/>
      <c r="ERO49" s="82"/>
      <c r="ERP49" s="82"/>
      <c r="ERQ49" s="82"/>
      <c r="ERR49" s="82"/>
      <c r="ERS49" s="82"/>
      <c r="ERT49" s="82"/>
      <c r="ERU49" s="82"/>
      <c r="ERV49" s="82"/>
      <c r="ERW49" s="82"/>
      <c r="ERX49" s="82"/>
      <c r="ERY49" s="82"/>
      <c r="ERZ49" s="82"/>
      <c r="ESA49" s="82"/>
      <c r="ESB49" s="82"/>
      <c r="ESC49" s="82"/>
      <c r="ESD49" s="82"/>
      <c r="ESE49" s="82"/>
      <c r="ESF49" s="82"/>
      <c r="ESG49" s="82"/>
      <c r="ESH49" s="82"/>
      <c r="ESI49" s="82"/>
      <c r="ESJ49" s="82"/>
      <c r="ESK49" s="82"/>
      <c r="ESL49" s="82"/>
      <c r="ESM49" s="82"/>
      <c r="ESN49" s="82"/>
      <c r="ESO49" s="82"/>
      <c r="ESP49" s="82"/>
      <c r="ESQ49" s="82"/>
      <c r="ESR49" s="82"/>
      <c r="ESS49" s="82"/>
      <c r="EST49" s="82"/>
      <c r="ESU49" s="82"/>
      <c r="ESV49" s="82"/>
      <c r="ESW49" s="82"/>
      <c r="ESX49" s="82"/>
      <c r="ESY49" s="82"/>
      <c r="ESZ49" s="82"/>
      <c r="ETA49" s="82"/>
      <c r="ETB49" s="82"/>
      <c r="ETC49" s="82"/>
      <c r="ETD49" s="82"/>
      <c r="ETE49" s="82"/>
      <c r="ETF49" s="82"/>
      <c r="ETG49" s="82"/>
      <c r="ETH49" s="82"/>
      <c r="ETI49" s="82"/>
      <c r="ETJ49" s="82"/>
      <c r="ETK49" s="82"/>
      <c r="ETL49" s="82"/>
      <c r="ETM49" s="82"/>
      <c r="ETN49" s="82"/>
      <c r="ETO49" s="82"/>
      <c r="ETP49" s="82"/>
      <c r="ETQ49" s="82"/>
      <c r="ETR49" s="82"/>
      <c r="ETS49" s="82"/>
      <c r="ETT49" s="82"/>
      <c r="ETU49" s="82"/>
      <c r="ETV49" s="82"/>
      <c r="ETW49" s="82"/>
      <c r="ETX49" s="82"/>
      <c r="ETY49" s="82"/>
      <c r="ETZ49" s="82"/>
      <c r="EUA49" s="82"/>
      <c r="EUB49" s="82"/>
      <c r="EUC49" s="82"/>
      <c r="EUD49" s="82"/>
      <c r="EUE49" s="82"/>
      <c r="EUF49" s="82"/>
      <c r="EUG49" s="82"/>
      <c r="EUH49" s="82"/>
      <c r="EUI49" s="82"/>
      <c r="EUJ49" s="82"/>
      <c r="EUK49" s="82"/>
      <c r="EUL49" s="82"/>
      <c r="EUM49" s="82"/>
      <c r="EUN49" s="82"/>
      <c r="EUO49" s="82"/>
      <c r="EUP49" s="82"/>
      <c r="EUQ49" s="82"/>
      <c r="EUR49" s="82"/>
      <c r="EUS49" s="82"/>
      <c r="EUT49" s="82"/>
      <c r="EUU49" s="82"/>
      <c r="EUV49" s="82"/>
      <c r="EUW49" s="82"/>
      <c r="EUX49" s="82"/>
      <c r="EUY49" s="82"/>
      <c r="EUZ49" s="82"/>
      <c r="EVA49" s="82"/>
      <c r="EVB49" s="82"/>
      <c r="EVC49" s="82"/>
      <c r="EVD49" s="82"/>
      <c r="EVE49" s="82"/>
      <c r="EVF49" s="82"/>
      <c r="EVG49" s="82"/>
      <c r="EVH49" s="82"/>
      <c r="EVI49" s="82"/>
      <c r="EVJ49" s="82"/>
      <c r="EVK49" s="82"/>
      <c r="EVL49" s="82"/>
      <c r="EVM49" s="82"/>
      <c r="EVN49" s="82"/>
      <c r="EVO49" s="82"/>
      <c r="EVP49" s="82"/>
      <c r="EVQ49" s="82"/>
      <c r="EVR49" s="82"/>
      <c r="EVS49" s="82"/>
      <c r="EVT49" s="82"/>
      <c r="EVU49" s="82"/>
      <c r="EVV49" s="82"/>
      <c r="EVW49" s="82"/>
      <c r="EVX49" s="82"/>
      <c r="EVY49" s="82"/>
      <c r="EVZ49" s="82"/>
      <c r="EWA49" s="82"/>
      <c r="EWB49" s="82"/>
      <c r="EWC49" s="82"/>
      <c r="EWD49" s="82"/>
      <c r="EWE49" s="82"/>
      <c r="EWF49" s="82"/>
      <c r="EWG49" s="82"/>
      <c r="EWH49" s="82"/>
      <c r="EWI49" s="82"/>
      <c r="EWJ49" s="82"/>
      <c r="EWK49" s="82"/>
      <c r="EWL49" s="82"/>
      <c r="EWM49" s="82"/>
      <c r="EWN49" s="82"/>
      <c r="EWO49" s="82"/>
      <c r="EWP49" s="82"/>
      <c r="EWQ49" s="82"/>
      <c r="EWR49" s="82"/>
      <c r="EWS49" s="82"/>
      <c r="EWT49" s="82"/>
      <c r="EWU49" s="82"/>
      <c r="EWV49" s="82"/>
      <c r="EWW49" s="82"/>
      <c r="EWX49" s="82"/>
      <c r="EWY49" s="82"/>
      <c r="EWZ49" s="82"/>
      <c r="EXA49" s="82"/>
      <c r="EXB49" s="82"/>
      <c r="EXC49" s="82"/>
      <c r="EXD49" s="82"/>
      <c r="EXE49" s="82"/>
      <c r="EXF49" s="82"/>
      <c r="EXG49" s="82"/>
      <c r="EXH49" s="82"/>
      <c r="EXI49" s="82"/>
      <c r="EXJ49" s="82"/>
      <c r="EXK49" s="82"/>
      <c r="EXL49" s="82"/>
      <c r="EXM49" s="82"/>
      <c r="EXN49" s="82"/>
      <c r="EXO49" s="82"/>
      <c r="EXP49" s="82"/>
      <c r="EXQ49" s="82"/>
      <c r="EXR49" s="82"/>
      <c r="EXS49" s="82"/>
      <c r="EXT49" s="82"/>
      <c r="EXU49" s="82"/>
      <c r="EXV49" s="82"/>
      <c r="EXW49" s="82"/>
      <c r="EXX49" s="82"/>
      <c r="EXY49" s="82"/>
      <c r="EXZ49" s="82"/>
      <c r="EYA49" s="82"/>
      <c r="EYB49" s="82"/>
      <c r="EYC49" s="82"/>
      <c r="EYD49" s="82"/>
      <c r="EYE49" s="82"/>
      <c r="EYF49" s="82"/>
      <c r="EYG49" s="82"/>
      <c r="EYH49" s="82"/>
      <c r="EYI49" s="82"/>
      <c r="EYJ49" s="82"/>
      <c r="EYK49" s="82"/>
      <c r="EYL49" s="82"/>
      <c r="EYM49" s="82"/>
      <c r="EYN49" s="82"/>
      <c r="EYO49" s="82"/>
      <c r="EYP49" s="82"/>
      <c r="EYQ49" s="82"/>
      <c r="EYR49" s="82"/>
      <c r="EYS49" s="82"/>
      <c r="EYT49" s="82"/>
      <c r="EYU49" s="82"/>
      <c r="EYV49" s="82"/>
      <c r="EYW49" s="82"/>
      <c r="EYX49" s="82"/>
      <c r="EYY49" s="82"/>
      <c r="EYZ49" s="82"/>
      <c r="EZA49" s="82"/>
      <c r="EZB49" s="82"/>
      <c r="EZC49" s="82"/>
      <c r="EZD49" s="82"/>
      <c r="EZE49" s="82"/>
      <c r="EZF49" s="82"/>
      <c r="EZG49" s="82"/>
      <c r="EZH49" s="82"/>
      <c r="EZI49" s="82"/>
      <c r="EZJ49" s="82"/>
      <c r="EZK49" s="82"/>
      <c r="EZL49" s="82"/>
      <c r="EZM49" s="82"/>
      <c r="EZN49" s="82"/>
      <c r="EZO49" s="82"/>
      <c r="EZP49" s="82"/>
      <c r="EZQ49" s="82"/>
      <c r="EZR49" s="82"/>
      <c r="EZS49" s="82"/>
      <c r="EZT49" s="82"/>
      <c r="EZU49" s="82"/>
      <c r="EZV49" s="82"/>
      <c r="EZW49" s="82"/>
      <c r="EZX49" s="82"/>
      <c r="EZY49" s="82"/>
      <c r="EZZ49" s="82"/>
      <c r="FAA49" s="82"/>
      <c r="FAB49" s="82"/>
      <c r="FAC49" s="82"/>
      <c r="FAD49" s="82"/>
      <c r="FAE49" s="82"/>
      <c r="FAF49" s="82"/>
      <c r="FAG49" s="82"/>
      <c r="FAH49" s="82"/>
      <c r="FAI49" s="82"/>
      <c r="FAJ49" s="82"/>
      <c r="FAK49" s="82"/>
      <c r="FAL49" s="82"/>
      <c r="FAM49" s="82"/>
      <c r="FAN49" s="82"/>
      <c r="FAO49" s="82"/>
      <c r="FAP49" s="82"/>
      <c r="FAQ49" s="82"/>
      <c r="FAR49" s="82"/>
      <c r="FAS49" s="82"/>
      <c r="FAT49" s="82"/>
      <c r="FAU49" s="82"/>
      <c r="FAV49" s="82"/>
      <c r="FAW49" s="82"/>
      <c r="FAX49" s="82"/>
      <c r="FAY49" s="82"/>
      <c r="FAZ49" s="82"/>
      <c r="FBA49" s="82"/>
      <c r="FBB49" s="82"/>
      <c r="FBC49" s="82"/>
      <c r="FBD49" s="82"/>
      <c r="FBE49" s="82"/>
      <c r="FBF49" s="82"/>
      <c r="FBG49" s="82"/>
      <c r="FBH49" s="82"/>
      <c r="FBI49" s="82"/>
      <c r="FBJ49" s="82"/>
      <c r="FBK49" s="82"/>
      <c r="FBL49" s="82"/>
      <c r="FBM49" s="82"/>
      <c r="FBN49" s="82"/>
      <c r="FBO49" s="82"/>
      <c r="FBP49" s="82"/>
      <c r="FBQ49" s="82"/>
      <c r="FBR49" s="82"/>
      <c r="FBS49" s="82"/>
      <c r="FBT49" s="82"/>
      <c r="FBU49" s="82"/>
      <c r="FBV49" s="82"/>
      <c r="FBW49" s="82"/>
      <c r="FBX49" s="82"/>
      <c r="FBY49" s="82"/>
      <c r="FBZ49" s="82"/>
      <c r="FCA49" s="82"/>
      <c r="FCB49" s="82"/>
      <c r="FCC49" s="82"/>
      <c r="FCD49" s="82"/>
      <c r="FCE49" s="82"/>
      <c r="FCF49" s="82"/>
      <c r="FCG49" s="82"/>
      <c r="FCH49" s="82"/>
      <c r="FCI49" s="82"/>
      <c r="FCJ49" s="82"/>
      <c r="FCK49" s="82"/>
      <c r="FCL49" s="82"/>
      <c r="FCM49" s="82"/>
      <c r="FCN49" s="82"/>
      <c r="FCO49" s="82"/>
      <c r="FCP49" s="82"/>
      <c r="FCQ49" s="82"/>
      <c r="FCR49" s="82"/>
      <c r="FCS49" s="82"/>
      <c r="FCT49" s="82"/>
      <c r="FCU49" s="82"/>
      <c r="FCV49" s="82"/>
      <c r="FCW49" s="82"/>
      <c r="FCX49" s="82"/>
      <c r="FCY49" s="82"/>
      <c r="FCZ49" s="82"/>
      <c r="FDA49" s="82"/>
      <c r="FDB49" s="82"/>
      <c r="FDC49" s="82"/>
      <c r="FDD49" s="82"/>
      <c r="FDE49" s="82"/>
      <c r="FDF49" s="82"/>
      <c r="FDG49" s="82"/>
      <c r="FDH49" s="82"/>
      <c r="FDI49" s="82"/>
      <c r="FDJ49" s="82"/>
      <c r="FDK49" s="82"/>
      <c r="FDL49" s="82"/>
      <c r="FDM49" s="82"/>
      <c r="FDN49" s="82"/>
      <c r="FDO49" s="82"/>
      <c r="FDP49" s="82"/>
      <c r="FDQ49" s="82"/>
      <c r="FDR49" s="82"/>
      <c r="FDS49" s="82"/>
      <c r="FDT49" s="82"/>
      <c r="FDU49" s="82"/>
      <c r="FDV49" s="82"/>
      <c r="FDW49" s="82"/>
      <c r="FDX49" s="82"/>
      <c r="FDY49" s="82"/>
      <c r="FDZ49" s="82"/>
      <c r="FEA49" s="82"/>
      <c r="FEB49" s="82"/>
      <c r="FEC49" s="82"/>
      <c r="FED49" s="82"/>
      <c r="FEE49" s="82"/>
      <c r="FEF49" s="82"/>
      <c r="FEG49" s="82"/>
      <c r="FEH49" s="82"/>
      <c r="FEI49" s="82"/>
      <c r="FEJ49" s="82"/>
      <c r="FEK49" s="82"/>
      <c r="FEL49" s="82"/>
      <c r="FEM49" s="82"/>
      <c r="FEN49" s="82"/>
      <c r="FEO49" s="82"/>
      <c r="FEP49" s="82"/>
      <c r="FEQ49" s="82"/>
      <c r="FER49" s="82"/>
      <c r="FES49" s="82"/>
      <c r="FET49" s="82"/>
      <c r="FEU49" s="82"/>
      <c r="FEV49" s="82"/>
      <c r="FEW49" s="82"/>
      <c r="FEX49" s="82"/>
      <c r="FEY49" s="82"/>
      <c r="FEZ49" s="82"/>
      <c r="FFA49" s="82"/>
      <c r="FFB49" s="82"/>
      <c r="FFC49" s="82"/>
      <c r="FFD49" s="82"/>
      <c r="FFE49" s="82"/>
      <c r="FFF49" s="82"/>
      <c r="FFG49" s="82"/>
      <c r="FFH49" s="82"/>
      <c r="FFI49" s="82"/>
      <c r="FFJ49" s="82"/>
      <c r="FFK49" s="82"/>
      <c r="FFL49" s="82"/>
      <c r="FFM49" s="82"/>
      <c r="FFN49" s="82"/>
      <c r="FFO49" s="82"/>
      <c r="FFP49" s="82"/>
      <c r="FFQ49" s="82"/>
      <c r="FFR49" s="82"/>
      <c r="FFS49" s="82"/>
      <c r="FFT49" s="82"/>
      <c r="FFU49" s="82"/>
      <c r="FFV49" s="82"/>
      <c r="FFW49" s="82"/>
      <c r="FFX49" s="82"/>
      <c r="FFY49" s="82"/>
      <c r="FFZ49" s="82"/>
      <c r="FGA49" s="82"/>
      <c r="FGB49" s="82"/>
      <c r="FGC49" s="82"/>
      <c r="FGD49" s="82"/>
      <c r="FGE49" s="82"/>
      <c r="FGF49" s="82"/>
      <c r="FGG49" s="82"/>
      <c r="FGH49" s="82"/>
      <c r="FGI49" s="82"/>
      <c r="FGJ49" s="82"/>
      <c r="FGK49" s="82"/>
      <c r="FGL49" s="82"/>
      <c r="FGM49" s="82"/>
      <c r="FGN49" s="82"/>
      <c r="FGO49" s="82"/>
      <c r="FGP49" s="82"/>
      <c r="FGQ49" s="82"/>
      <c r="FGR49" s="82"/>
      <c r="FGS49" s="82"/>
      <c r="FGT49" s="82"/>
      <c r="FGU49" s="82"/>
      <c r="FGV49" s="82"/>
      <c r="FGW49" s="82"/>
      <c r="FGX49" s="82"/>
      <c r="FGY49" s="82"/>
      <c r="FGZ49" s="82"/>
      <c r="FHA49" s="82"/>
      <c r="FHB49" s="82"/>
      <c r="FHC49" s="82"/>
      <c r="FHD49" s="82"/>
      <c r="FHE49" s="82"/>
      <c r="FHF49" s="82"/>
      <c r="FHG49" s="82"/>
      <c r="FHH49" s="82"/>
      <c r="FHI49" s="82"/>
      <c r="FHJ49" s="82"/>
      <c r="FHK49" s="82"/>
      <c r="FHL49" s="82"/>
      <c r="FHM49" s="82"/>
      <c r="FHN49" s="82"/>
      <c r="FHO49" s="82"/>
      <c r="FHP49" s="82"/>
      <c r="FHQ49" s="82"/>
      <c r="FHR49" s="82"/>
      <c r="FHS49" s="82"/>
      <c r="FHT49" s="82"/>
      <c r="FHU49" s="82"/>
      <c r="FHV49" s="82"/>
      <c r="FHW49" s="82"/>
      <c r="FHX49" s="82"/>
      <c r="FHY49" s="82"/>
      <c r="FHZ49" s="82"/>
      <c r="FIA49" s="82"/>
      <c r="FIB49" s="82"/>
      <c r="FIC49" s="82"/>
      <c r="FID49" s="82"/>
      <c r="FIE49" s="82"/>
      <c r="FIF49" s="82"/>
      <c r="FIG49" s="82"/>
      <c r="FIH49" s="82"/>
      <c r="FII49" s="82"/>
      <c r="FIJ49" s="82"/>
      <c r="FIK49" s="82"/>
      <c r="FIL49" s="82"/>
      <c r="FIM49" s="82"/>
      <c r="FIN49" s="82"/>
      <c r="FIO49" s="82"/>
      <c r="FIP49" s="82"/>
      <c r="FIQ49" s="82"/>
      <c r="FIR49" s="82"/>
      <c r="FIS49" s="82"/>
      <c r="FIT49" s="82"/>
      <c r="FIU49" s="82"/>
      <c r="FIV49" s="82"/>
      <c r="FIW49" s="82"/>
      <c r="FIX49" s="82"/>
      <c r="FIY49" s="82"/>
      <c r="FIZ49" s="82"/>
      <c r="FJA49" s="82"/>
      <c r="FJB49" s="82"/>
      <c r="FJC49" s="82"/>
      <c r="FJD49" s="82"/>
      <c r="FJE49" s="82"/>
      <c r="FJF49" s="82"/>
      <c r="FJG49" s="82"/>
      <c r="FJH49" s="82"/>
      <c r="FJI49" s="82"/>
      <c r="FJJ49" s="82"/>
      <c r="FJK49" s="82"/>
      <c r="FJL49" s="82"/>
      <c r="FJM49" s="82"/>
      <c r="FJN49" s="82"/>
      <c r="FJO49" s="82"/>
      <c r="FJP49" s="82"/>
      <c r="FJQ49" s="82"/>
      <c r="FJR49" s="82"/>
      <c r="FJS49" s="82"/>
      <c r="FJT49" s="82"/>
      <c r="FJU49" s="82"/>
      <c r="FJV49" s="82"/>
      <c r="FJW49" s="82"/>
      <c r="FJX49" s="82"/>
      <c r="FJY49" s="82"/>
      <c r="FJZ49" s="82"/>
      <c r="FKA49" s="82"/>
      <c r="FKB49" s="82"/>
      <c r="FKC49" s="82"/>
      <c r="FKD49" s="82"/>
      <c r="FKE49" s="82"/>
      <c r="FKF49" s="82"/>
      <c r="FKG49" s="82"/>
      <c r="FKH49" s="82"/>
      <c r="FKI49" s="82"/>
      <c r="FKJ49" s="82"/>
      <c r="FKK49" s="82"/>
      <c r="FKL49" s="82"/>
      <c r="FKM49" s="82"/>
      <c r="FKN49" s="82"/>
      <c r="FKO49" s="82"/>
      <c r="FKP49" s="82"/>
      <c r="FKQ49" s="82"/>
      <c r="FKR49" s="82"/>
      <c r="FKS49" s="82"/>
      <c r="FKT49" s="82"/>
      <c r="FKU49" s="82"/>
      <c r="FKV49" s="82"/>
      <c r="FKW49" s="82"/>
      <c r="FKX49" s="82"/>
      <c r="FKY49" s="82"/>
      <c r="FKZ49" s="82"/>
      <c r="FLA49" s="82"/>
      <c r="FLB49" s="82"/>
      <c r="FLC49" s="82"/>
      <c r="FLD49" s="82"/>
      <c r="FLE49" s="82"/>
      <c r="FLF49" s="82"/>
      <c r="FLG49" s="82"/>
      <c r="FLH49" s="82"/>
      <c r="FLI49" s="82"/>
      <c r="FLJ49" s="82"/>
      <c r="FLK49" s="82"/>
      <c r="FLL49" s="82"/>
      <c r="FLM49" s="82"/>
      <c r="FLN49" s="82"/>
      <c r="FLO49" s="82"/>
      <c r="FLP49" s="82"/>
      <c r="FLQ49" s="82"/>
      <c r="FLR49" s="82"/>
      <c r="FLS49" s="82"/>
      <c r="FLT49" s="82"/>
      <c r="FLU49" s="82"/>
      <c r="FLV49" s="82"/>
      <c r="FLW49" s="82"/>
      <c r="FLX49" s="82"/>
      <c r="FLY49" s="82"/>
      <c r="FLZ49" s="82"/>
      <c r="FMA49" s="82"/>
      <c r="FMB49" s="82"/>
      <c r="FMC49" s="82"/>
      <c r="FMD49" s="82"/>
      <c r="FME49" s="82"/>
      <c r="FMF49" s="82"/>
      <c r="FMG49" s="82"/>
      <c r="FMH49" s="82"/>
      <c r="FMI49" s="82"/>
      <c r="FMJ49" s="82"/>
      <c r="FMK49" s="82"/>
      <c r="FML49" s="82"/>
      <c r="FMM49" s="82"/>
      <c r="FMN49" s="82"/>
      <c r="FMO49" s="82"/>
      <c r="FMP49" s="82"/>
      <c r="FMQ49" s="82"/>
      <c r="FMR49" s="82"/>
      <c r="FMS49" s="82"/>
      <c r="FMT49" s="82"/>
      <c r="FMU49" s="82"/>
      <c r="FMV49" s="82"/>
      <c r="FMW49" s="82"/>
      <c r="FMX49" s="82"/>
      <c r="FMY49" s="82"/>
      <c r="FMZ49" s="82"/>
      <c r="FNA49" s="82"/>
      <c r="FNB49" s="82"/>
      <c r="FNC49" s="82"/>
      <c r="FND49" s="82"/>
      <c r="FNE49" s="82"/>
      <c r="FNF49" s="82"/>
      <c r="FNG49" s="82"/>
      <c r="FNH49" s="82"/>
      <c r="FNI49" s="82"/>
      <c r="FNJ49" s="82"/>
      <c r="FNK49" s="82"/>
      <c r="FNL49" s="82"/>
      <c r="FNM49" s="82"/>
      <c r="FNN49" s="82"/>
      <c r="FNO49" s="82"/>
      <c r="FNP49" s="82"/>
      <c r="FNQ49" s="82"/>
      <c r="FNR49" s="82"/>
      <c r="FNS49" s="82"/>
      <c r="FNT49" s="82"/>
      <c r="FNU49" s="82"/>
      <c r="FNV49" s="82"/>
      <c r="FNW49" s="82"/>
      <c r="FNX49" s="82"/>
      <c r="FNY49" s="82"/>
      <c r="FNZ49" s="82"/>
      <c r="FOA49" s="82"/>
      <c r="FOB49" s="82"/>
      <c r="FOC49" s="82"/>
      <c r="FOD49" s="82"/>
      <c r="FOE49" s="82"/>
      <c r="FOF49" s="82"/>
      <c r="FOG49" s="82"/>
      <c r="FOH49" s="82"/>
      <c r="FOI49" s="82"/>
      <c r="FOJ49" s="82"/>
      <c r="FOK49" s="82"/>
      <c r="FOL49" s="82"/>
      <c r="FOM49" s="82"/>
      <c r="FON49" s="82"/>
      <c r="FOO49" s="82"/>
      <c r="FOP49" s="82"/>
      <c r="FOQ49" s="82"/>
      <c r="FOR49" s="82"/>
      <c r="FOS49" s="82"/>
      <c r="FOT49" s="82"/>
      <c r="FOU49" s="82"/>
      <c r="FOV49" s="82"/>
      <c r="FOW49" s="82"/>
      <c r="FOX49" s="82"/>
      <c r="FOY49" s="82"/>
      <c r="FOZ49" s="82"/>
      <c r="FPA49" s="82"/>
      <c r="FPB49" s="82"/>
      <c r="FPC49" s="82"/>
      <c r="FPD49" s="82"/>
      <c r="FPE49" s="82"/>
      <c r="FPF49" s="82"/>
      <c r="FPG49" s="82"/>
      <c r="FPH49" s="82"/>
      <c r="FPI49" s="82"/>
      <c r="FPJ49" s="82"/>
      <c r="FPK49" s="82"/>
      <c r="FPL49" s="82"/>
      <c r="FPM49" s="82"/>
      <c r="FPN49" s="82"/>
      <c r="FPO49" s="82"/>
      <c r="FPP49" s="82"/>
      <c r="FPQ49" s="82"/>
      <c r="FPR49" s="82"/>
      <c r="FPS49" s="82"/>
      <c r="FPT49" s="82"/>
      <c r="FPU49" s="82"/>
      <c r="FPV49" s="82"/>
      <c r="FPW49" s="82"/>
      <c r="FPX49" s="82"/>
      <c r="FPY49" s="82"/>
      <c r="FPZ49" s="82"/>
      <c r="FQA49" s="82"/>
      <c r="FQB49" s="82"/>
      <c r="FQC49" s="82"/>
      <c r="FQD49" s="82"/>
      <c r="FQE49" s="82"/>
      <c r="FQF49" s="82"/>
      <c r="FQG49" s="82"/>
      <c r="FQH49" s="82"/>
      <c r="FQI49" s="82"/>
      <c r="FQJ49" s="82"/>
      <c r="FQK49" s="82"/>
      <c r="FQL49" s="82"/>
      <c r="FQM49" s="82"/>
      <c r="FQN49" s="82"/>
      <c r="FQO49" s="82"/>
      <c r="FQP49" s="82"/>
      <c r="FQQ49" s="82"/>
      <c r="FQR49" s="82"/>
      <c r="FQS49" s="82"/>
      <c r="FQT49" s="82"/>
      <c r="FQU49" s="82"/>
      <c r="FQV49" s="82"/>
      <c r="FQW49" s="82"/>
      <c r="FQX49" s="82"/>
      <c r="FQY49" s="82"/>
      <c r="FQZ49" s="82"/>
      <c r="FRA49" s="82"/>
      <c r="FRB49" s="82"/>
      <c r="FRC49" s="82"/>
      <c r="FRD49" s="82"/>
      <c r="FRE49" s="82"/>
      <c r="FRF49" s="82"/>
      <c r="FRG49" s="82"/>
      <c r="FRH49" s="82"/>
      <c r="FRI49" s="82"/>
      <c r="FRJ49" s="82"/>
      <c r="FRK49" s="82"/>
      <c r="FRL49" s="82"/>
      <c r="FRM49" s="82"/>
      <c r="FRN49" s="82"/>
      <c r="FRO49" s="82"/>
      <c r="FRP49" s="82"/>
      <c r="FRQ49" s="82"/>
      <c r="FRR49" s="82"/>
      <c r="FRS49" s="82"/>
      <c r="FRT49" s="82"/>
      <c r="FRU49" s="82"/>
      <c r="FRV49" s="82"/>
      <c r="FRW49" s="82"/>
      <c r="FRX49" s="82"/>
      <c r="FRY49" s="82"/>
      <c r="FRZ49" s="82"/>
      <c r="FSA49" s="82"/>
      <c r="FSB49" s="82"/>
      <c r="FSC49" s="82"/>
      <c r="FSD49" s="82"/>
      <c r="FSE49" s="82"/>
      <c r="FSF49" s="82"/>
      <c r="FSG49" s="82"/>
      <c r="FSH49" s="82"/>
      <c r="FSI49" s="82"/>
      <c r="FSJ49" s="82"/>
      <c r="FSK49" s="82"/>
      <c r="FSL49" s="82"/>
      <c r="FSM49" s="82"/>
      <c r="FSN49" s="82"/>
      <c r="FSO49" s="82"/>
      <c r="FSP49" s="82"/>
      <c r="FSQ49" s="82"/>
      <c r="FSR49" s="82"/>
      <c r="FSS49" s="82"/>
      <c r="FST49" s="82"/>
      <c r="FSU49" s="82"/>
      <c r="FSV49" s="82"/>
      <c r="FSW49" s="82"/>
      <c r="FSX49" s="82"/>
      <c r="FSY49" s="82"/>
      <c r="FSZ49" s="82"/>
      <c r="FTA49" s="82"/>
      <c r="FTB49" s="82"/>
      <c r="FTC49" s="82"/>
      <c r="FTD49" s="82"/>
      <c r="FTE49" s="82"/>
      <c r="FTF49" s="82"/>
      <c r="FTG49" s="82"/>
      <c r="FTH49" s="82"/>
      <c r="FTI49" s="82"/>
      <c r="FTJ49" s="82"/>
      <c r="FTK49" s="82"/>
      <c r="FTL49" s="82"/>
      <c r="FTM49" s="82"/>
      <c r="FTN49" s="82"/>
      <c r="FTO49" s="82"/>
      <c r="FTP49" s="82"/>
      <c r="FTQ49" s="82"/>
      <c r="FTR49" s="82"/>
      <c r="FTS49" s="82"/>
      <c r="FTT49" s="82"/>
      <c r="FTU49" s="82"/>
      <c r="FTV49" s="82"/>
      <c r="FTW49" s="82"/>
      <c r="FTX49" s="82"/>
      <c r="FTY49" s="82"/>
      <c r="FTZ49" s="82"/>
      <c r="FUA49" s="82"/>
      <c r="FUB49" s="82"/>
      <c r="FUC49" s="82"/>
      <c r="FUD49" s="82"/>
      <c r="FUE49" s="82"/>
      <c r="FUF49" s="82"/>
      <c r="FUG49" s="82"/>
      <c r="FUH49" s="82"/>
      <c r="FUI49" s="82"/>
      <c r="FUJ49" s="82"/>
      <c r="FUK49" s="82"/>
      <c r="FUL49" s="82"/>
      <c r="FUM49" s="82"/>
      <c r="FUN49" s="82"/>
      <c r="FUO49" s="82"/>
      <c r="FUP49" s="82"/>
      <c r="FUQ49" s="82"/>
      <c r="FUR49" s="82"/>
      <c r="FUS49" s="82"/>
      <c r="FUT49" s="82"/>
      <c r="FUU49" s="82"/>
      <c r="FUV49" s="82"/>
      <c r="FUW49" s="82"/>
      <c r="FUX49" s="82"/>
      <c r="FUY49" s="82"/>
      <c r="FUZ49" s="82"/>
      <c r="FVA49" s="82"/>
      <c r="FVB49" s="82"/>
      <c r="FVC49" s="82"/>
      <c r="FVD49" s="82"/>
      <c r="FVE49" s="82"/>
      <c r="FVF49" s="82"/>
      <c r="FVG49" s="82"/>
      <c r="FVH49" s="82"/>
      <c r="FVI49" s="82"/>
      <c r="FVJ49" s="82"/>
      <c r="FVK49" s="82"/>
      <c r="FVL49" s="82"/>
      <c r="FVM49" s="82"/>
      <c r="FVN49" s="82"/>
      <c r="FVO49" s="82"/>
      <c r="FVP49" s="82"/>
      <c r="FVQ49" s="82"/>
      <c r="FVR49" s="82"/>
      <c r="FVS49" s="82"/>
      <c r="FVT49" s="82"/>
      <c r="FVU49" s="82"/>
      <c r="FVV49" s="82"/>
      <c r="FVW49" s="82"/>
      <c r="FVX49" s="82"/>
      <c r="FVY49" s="82"/>
      <c r="FVZ49" s="82"/>
      <c r="FWA49" s="82"/>
      <c r="FWB49" s="82"/>
      <c r="FWC49" s="82"/>
      <c r="FWD49" s="82"/>
      <c r="FWE49" s="82"/>
      <c r="FWF49" s="82"/>
      <c r="FWG49" s="82"/>
      <c r="FWH49" s="82"/>
      <c r="FWI49" s="82"/>
      <c r="FWJ49" s="82"/>
      <c r="FWK49" s="82"/>
      <c r="FWL49" s="82"/>
      <c r="FWM49" s="82"/>
      <c r="FWN49" s="82"/>
      <c r="FWO49" s="82"/>
      <c r="FWP49" s="82"/>
      <c r="FWQ49" s="82"/>
      <c r="FWR49" s="82"/>
      <c r="FWS49" s="82"/>
      <c r="FWT49" s="82"/>
      <c r="FWU49" s="82"/>
      <c r="FWV49" s="82"/>
      <c r="FWW49" s="82"/>
      <c r="FWX49" s="82"/>
      <c r="FWY49" s="82"/>
      <c r="FWZ49" s="82"/>
      <c r="FXA49" s="82"/>
      <c r="FXB49" s="82"/>
      <c r="FXC49" s="82"/>
      <c r="FXD49" s="82"/>
      <c r="FXE49" s="82"/>
      <c r="FXF49" s="82"/>
      <c r="FXG49" s="82"/>
      <c r="FXH49" s="82"/>
      <c r="FXI49" s="82"/>
      <c r="FXJ49" s="82"/>
      <c r="FXK49" s="82"/>
      <c r="FXL49" s="82"/>
      <c r="FXM49" s="82"/>
      <c r="FXN49" s="82"/>
      <c r="FXO49" s="82"/>
      <c r="FXP49" s="82"/>
      <c r="FXQ49" s="82"/>
      <c r="FXR49" s="82"/>
      <c r="FXS49" s="82"/>
      <c r="FXT49" s="82"/>
      <c r="FXU49" s="82"/>
      <c r="FXV49" s="82"/>
      <c r="FXW49" s="82"/>
      <c r="FXX49" s="82"/>
      <c r="FXY49" s="82"/>
      <c r="FXZ49" s="82"/>
      <c r="FYA49" s="82"/>
      <c r="FYB49" s="82"/>
      <c r="FYC49" s="82"/>
      <c r="FYD49" s="82"/>
      <c r="FYE49" s="82"/>
      <c r="FYF49" s="82"/>
      <c r="FYG49" s="82"/>
      <c r="FYH49" s="82"/>
      <c r="FYI49" s="82"/>
      <c r="FYJ49" s="82"/>
      <c r="FYK49" s="82"/>
      <c r="FYL49" s="82"/>
      <c r="FYM49" s="82"/>
      <c r="FYN49" s="82"/>
      <c r="FYO49" s="82"/>
      <c r="FYP49" s="82"/>
      <c r="FYQ49" s="82"/>
      <c r="FYR49" s="82"/>
      <c r="FYS49" s="82"/>
      <c r="FYT49" s="82"/>
      <c r="FYU49" s="82"/>
      <c r="FYV49" s="82"/>
      <c r="FYW49" s="82"/>
      <c r="FYX49" s="82"/>
      <c r="FYY49" s="82"/>
      <c r="FYZ49" s="82"/>
      <c r="FZA49" s="82"/>
      <c r="FZB49" s="82"/>
      <c r="FZC49" s="82"/>
      <c r="FZD49" s="82"/>
      <c r="FZE49" s="82"/>
      <c r="FZF49" s="82"/>
      <c r="FZG49" s="82"/>
      <c r="FZH49" s="82"/>
      <c r="FZI49" s="82"/>
      <c r="FZJ49" s="82"/>
      <c r="FZK49" s="82"/>
      <c r="FZL49" s="82"/>
      <c r="FZM49" s="82"/>
      <c r="FZN49" s="82"/>
      <c r="FZO49" s="82"/>
      <c r="FZP49" s="82"/>
      <c r="FZQ49" s="82"/>
      <c r="FZR49" s="82"/>
      <c r="FZS49" s="82"/>
      <c r="FZT49" s="82"/>
      <c r="FZU49" s="82"/>
      <c r="FZV49" s="82"/>
      <c r="FZW49" s="82"/>
      <c r="FZX49" s="82"/>
      <c r="FZY49" s="82"/>
      <c r="FZZ49" s="82"/>
      <c r="GAA49" s="82"/>
      <c r="GAB49" s="82"/>
      <c r="GAC49" s="82"/>
      <c r="GAD49" s="82"/>
      <c r="GAE49" s="82"/>
      <c r="GAF49" s="82"/>
      <c r="GAG49" s="82"/>
      <c r="GAH49" s="82"/>
      <c r="GAI49" s="82"/>
      <c r="GAJ49" s="82"/>
      <c r="GAK49" s="82"/>
      <c r="GAL49" s="82"/>
      <c r="GAM49" s="82"/>
      <c r="GAN49" s="82"/>
      <c r="GAO49" s="82"/>
      <c r="GAP49" s="82"/>
      <c r="GAQ49" s="82"/>
      <c r="GAR49" s="82"/>
      <c r="GAS49" s="82"/>
      <c r="GAT49" s="82"/>
      <c r="GAU49" s="82"/>
      <c r="GAV49" s="82"/>
      <c r="GAW49" s="82"/>
      <c r="GAX49" s="82"/>
      <c r="GAY49" s="82"/>
      <c r="GAZ49" s="82"/>
      <c r="GBA49" s="82"/>
      <c r="GBB49" s="82"/>
      <c r="GBC49" s="82"/>
      <c r="GBD49" s="82"/>
      <c r="GBE49" s="82"/>
      <c r="GBF49" s="82"/>
      <c r="GBG49" s="82"/>
      <c r="GBH49" s="82"/>
      <c r="GBI49" s="82"/>
      <c r="GBJ49" s="82"/>
      <c r="GBK49" s="82"/>
      <c r="GBL49" s="82"/>
      <c r="GBM49" s="82"/>
      <c r="GBN49" s="82"/>
      <c r="GBO49" s="82"/>
      <c r="GBP49" s="82"/>
      <c r="GBQ49" s="82"/>
      <c r="GBR49" s="82"/>
      <c r="GBS49" s="82"/>
      <c r="GBT49" s="82"/>
      <c r="GBU49" s="82"/>
      <c r="GBV49" s="82"/>
      <c r="GBW49" s="82"/>
      <c r="GBX49" s="82"/>
      <c r="GBY49" s="82"/>
      <c r="GBZ49" s="82"/>
      <c r="GCA49" s="82"/>
      <c r="GCB49" s="82"/>
      <c r="GCC49" s="82"/>
      <c r="GCD49" s="82"/>
      <c r="GCE49" s="82"/>
      <c r="GCF49" s="82"/>
      <c r="GCG49" s="82"/>
      <c r="GCH49" s="82"/>
      <c r="GCI49" s="82"/>
      <c r="GCJ49" s="82"/>
      <c r="GCK49" s="82"/>
      <c r="GCL49" s="82"/>
      <c r="GCM49" s="82"/>
      <c r="GCN49" s="82"/>
      <c r="GCO49" s="82"/>
      <c r="GCP49" s="82"/>
      <c r="GCQ49" s="82"/>
      <c r="GCR49" s="82"/>
      <c r="GCS49" s="82"/>
      <c r="GCT49" s="82"/>
      <c r="GCU49" s="82"/>
      <c r="GCV49" s="82"/>
      <c r="GCW49" s="82"/>
      <c r="GCX49" s="82"/>
      <c r="GCY49" s="82"/>
      <c r="GCZ49" s="82"/>
      <c r="GDA49" s="82"/>
      <c r="GDB49" s="82"/>
      <c r="GDC49" s="82"/>
      <c r="GDD49" s="82"/>
      <c r="GDE49" s="82"/>
      <c r="GDF49" s="82"/>
      <c r="GDG49" s="82"/>
      <c r="GDH49" s="82"/>
      <c r="GDI49" s="82"/>
      <c r="GDJ49" s="82"/>
      <c r="GDK49" s="82"/>
      <c r="GDL49" s="82"/>
      <c r="GDM49" s="82"/>
      <c r="GDN49" s="82"/>
      <c r="GDO49" s="82"/>
      <c r="GDP49" s="82"/>
      <c r="GDQ49" s="82"/>
      <c r="GDR49" s="82"/>
      <c r="GDS49" s="82"/>
      <c r="GDT49" s="82"/>
      <c r="GDU49" s="82"/>
      <c r="GDV49" s="82"/>
      <c r="GDW49" s="82"/>
      <c r="GDX49" s="82"/>
      <c r="GDY49" s="82"/>
      <c r="GDZ49" s="82"/>
      <c r="GEA49" s="82"/>
      <c r="GEB49" s="82"/>
      <c r="GEC49" s="82"/>
      <c r="GED49" s="82"/>
      <c r="GEE49" s="82"/>
      <c r="GEF49" s="82"/>
      <c r="GEG49" s="82"/>
      <c r="GEH49" s="82"/>
      <c r="GEI49" s="82"/>
      <c r="GEJ49" s="82"/>
      <c r="GEK49" s="82"/>
      <c r="GEL49" s="82"/>
      <c r="GEM49" s="82"/>
      <c r="GEN49" s="82"/>
      <c r="GEO49" s="82"/>
      <c r="GEP49" s="82"/>
      <c r="GEQ49" s="82"/>
      <c r="GER49" s="82"/>
      <c r="GES49" s="82"/>
      <c r="GET49" s="82"/>
      <c r="GEU49" s="82"/>
      <c r="GEV49" s="82"/>
      <c r="GEW49" s="82"/>
      <c r="GEX49" s="82"/>
      <c r="GEY49" s="82"/>
      <c r="GEZ49" s="82"/>
      <c r="GFA49" s="82"/>
      <c r="GFB49" s="82"/>
      <c r="GFC49" s="82"/>
      <c r="GFD49" s="82"/>
      <c r="GFE49" s="82"/>
      <c r="GFF49" s="82"/>
      <c r="GFG49" s="82"/>
      <c r="GFH49" s="82"/>
      <c r="GFI49" s="82"/>
      <c r="GFJ49" s="82"/>
      <c r="GFK49" s="82"/>
      <c r="GFL49" s="82"/>
      <c r="GFM49" s="82"/>
      <c r="GFN49" s="82"/>
      <c r="GFO49" s="82"/>
      <c r="GFP49" s="82"/>
      <c r="GFQ49" s="82"/>
      <c r="GFR49" s="82"/>
      <c r="GFS49" s="82"/>
      <c r="GFT49" s="82"/>
      <c r="GFU49" s="82"/>
      <c r="GFV49" s="82"/>
      <c r="GFW49" s="82"/>
      <c r="GFX49" s="82"/>
      <c r="GFY49" s="82"/>
      <c r="GFZ49" s="82"/>
      <c r="GGA49" s="82"/>
      <c r="GGB49" s="82"/>
      <c r="GGC49" s="82"/>
      <c r="GGD49" s="82"/>
      <c r="GGE49" s="82"/>
      <c r="GGF49" s="82"/>
      <c r="GGG49" s="82"/>
      <c r="GGH49" s="82"/>
      <c r="GGI49" s="82"/>
      <c r="GGJ49" s="82"/>
      <c r="GGK49" s="82"/>
      <c r="GGL49" s="82"/>
      <c r="GGM49" s="82"/>
      <c r="GGN49" s="82"/>
      <c r="GGO49" s="82"/>
      <c r="GGP49" s="82"/>
      <c r="GGQ49" s="82"/>
      <c r="GGR49" s="82"/>
      <c r="GGS49" s="82"/>
      <c r="GGT49" s="82"/>
      <c r="GGU49" s="82"/>
      <c r="GGV49" s="82"/>
      <c r="GGW49" s="82"/>
      <c r="GGX49" s="82"/>
      <c r="GGY49" s="82"/>
      <c r="GGZ49" s="82"/>
      <c r="GHA49" s="82"/>
      <c r="GHB49" s="82"/>
      <c r="GHC49" s="82"/>
      <c r="GHD49" s="82"/>
      <c r="GHE49" s="82"/>
      <c r="GHF49" s="82"/>
      <c r="GHG49" s="82"/>
      <c r="GHH49" s="82"/>
      <c r="GHI49" s="82"/>
      <c r="GHJ49" s="82"/>
      <c r="GHK49" s="82"/>
      <c r="GHL49" s="82"/>
      <c r="GHM49" s="82"/>
      <c r="GHN49" s="82"/>
      <c r="GHO49" s="82"/>
      <c r="GHP49" s="82"/>
      <c r="GHQ49" s="82"/>
      <c r="GHR49" s="82"/>
      <c r="GHS49" s="82"/>
      <c r="GHT49" s="82"/>
      <c r="GHU49" s="82"/>
      <c r="GHV49" s="82"/>
      <c r="GHW49" s="82"/>
      <c r="GHX49" s="82"/>
      <c r="GHY49" s="82"/>
      <c r="GHZ49" s="82"/>
      <c r="GIA49" s="82"/>
      <c r="GIB49" s="82"/>
      <c r="GIC49" s="82"/>
      <c r="GID49" s="82"/>
      <c r="GIE49" s="82"/>
      <c r="GIF49" s="82"/>
      <c r="GIG49" s="82"/>
      <c r="GIH49" s="82"/>
      <c r="GII49" s="82"/>
      <c r="GIJ49" s="82"/>
      <c r="GIK49" s="82"/>
      <c r="GIL49" s="82"/>
      <c r="GIM49" s="82"/>
      <c r="GIN49" s="82"/>
      <c r="GIO49" s="82"/>
      <c r="GIP49" s="82"/>
      <c r="GIQ49" s="82"/>
      <c r="GIR49" s="82"/>
      <c r="GIS49" s="82"/>
      <c r="GIT49" s="82"/>
      <c r="GIU49" s="82"/>
      <c r="GIV49" s="82"/>
      <c r="GIW49" s="82"/>
      <c r="GIX49" s="82"/>
      <c r="GIY49" s="82"/>
      <c r="GIZ49" s="82"/>
      <c r="GJA49" s="82"/>
      <c r="GJB49" s="82"/>
      <c r="GJC49" s="82"/>
      <c r="GJD49" s="82"/>
      <c r="GJE49" s="82"/>
      <c r="GJF49" s="82"/>
      <c r="GJG49" s="82"/>
      <c r="GJH49" s="82"/>
      <c r="GJI49" s="82"/>
      <c r="GJJ49" s="82"/>
      <c r="GJK49" s="82"/>
      <c r="GJL49" s="82"/>
      <c r="GJM49" s="82"/>
      <c r="GJN49" s="82"/>
      <c r="GJO49" s="82"/>
      <c r="GJP49" s="82"/>
      <c r="GJQ49" s="82"/>
      <c r="GJR49" s="82"/>
      <c r="GJS49" s="82"/>
      <c r="GJT49" s="82"/>
      <c r="GJU49" s="82"/>
      <c r="GJV49" s="82"/>
      <c r="GJW49" s="82"/>
      <c r="GJX49" s="82"/>
      <c r="GJY49" s="82"/>
      <c r="GJZ49" s="82"/>
      <c r="GKA49" s="82"/>
      <c r="GKB49" s="82"/>
      <c r="GKC49" s="82"/>
      <c r="GKD49" s="82"/>
      <c r="GKE49" s="82"/>
      <c r="GKF49" s="82"/>
      <c r="GKG49" s="82"/>
      <c r="GKH49" s="82"/>
      <c r="GKI49" s="82"/>
      <c r="GKJ49" s="82"/>
      <c r="GKK49" s="82"/>
      <c r="GKL49" s="82"/>
      <c r="GKM49" s="82"/>
      <c r="GKN49" s="82"/>
      <c r="GKO49" s="82"/>
      <c r="GKP49" s="82"/>
      <c r="GKQ49" s="82"/>
      <c r="GKR49" s="82"/>
      <c r="GKS49" s="82"/>
      <c r="GKT49" s="82"/>
      <c r="GKU49" s="82"/>
      <c r="GKV49" s="82"/>
      <c r="GKW49" s="82"/>
      <c r="GKX49" s="82"/>
      <c r="GKY49" s="82"/>
      <c r="GKZ49" s="82"/>
      <c r="GLA49" s="82"/>
      <c r="GLB49" s="82"/>
      <c r="GLC49" s="82"/>
      <c r="GLD49" s="82"/>
      <c r="GLE49" s="82"/>
      <c r="GLF49" s="82"/>
      <c r="GLG49" s="82"/>
      <c r="GLH49" s="82"/>
      <c r="GLI49" s="82"/>
      <c r="GLJ49" s="82"/>
      <c r="GLK49" s="82"/>
      <c r="GLL49" s="82"/>
      <c r="GLM49" s="82"/>
      <c r="GLN49" s="82"/>
      <c r="GLO49" s="82"/>
      <c r="GLP49" s="82"/>
      <c r="GLQ49" s="82"/>
      <c r="GLR49" s="82"/>
      <c r="GLS49" s="82"/>
      <c r="GLT49" s="82"/>
      <c r="GLU49" s="82"/>
      <c r="GLV49" s="82"/>
      <c r="GLW49" s="82"/>
      <c r="GLX49" s="82"/>
      <c r="GLY49" s="82"/>
      <c r="GLZ49" s="82"/>
      <c r="GMA49" s="82"/>
      <c r="GMB49" s="82"/>
      <c r="GMC49" s="82"/>
      <c r="GMD49" s="82"/>
      <c r="GME49" s="82"/>
      <c r="GMF49" s="82"/>
      <c r="GMG49" s="82"/>
      <c r="GMH49" s="82"/>
      <c r="GMI49" s="82"/>
      <c r="GMJ49" s="82"/>
      <c r="GMK49" s="82"/>
      <c r="GML49" s="82"/>
      <c r="GMM49" s="82"/>
      <c r="GMN49" s="82"/>
      <c r="GMO49" s="82"/>
      <c r="GMP49" s="82"/>
      <c r="GMQ49" s="82"/>
      <c r="GMR49" s="82"/>
      <c r="GMS49" s="82"/>
      <c r="GMT49" s="82"/>
      <c r="GMU49" s="82"/>
      <c r="GMV49" s="82"/>
      <c r="GMW49" s="82"/>
      <c r="GMX49" s="82"/>
      <c r="GMY49" s="82"/>
      <c r="GMZ49" s="82"/>
      <c r="GNA49" s="82"/>
      <c r="GNB49" s="82"/>
      <c r="GNC49" s="82"/>
      <c r="GND49" s="82"/>
      <c r="GNE49" s="82"/>
      <c r="GNF49" s="82"/>
      <c r="GNG49" s="82"/>
      <c r="GNH49" s="82"/>
      <c r="GNI49" s="82"/>
      <c r="GNJ49" s="82"/>
      <c r="GNK49" s="82"/>
      <c r="GNL49" s="82"/>
      <c r="GNM49" s="82"/>
      <c r="GNN49" s="82"/>
      <c r="GNO49" s="82"/>
      <c r="GNP49" s="82"/>
      <c r="GNQ49" s="82"/>
      <c r="GNR49" s="82"/>
      <c r="GNS49" s="82"/>
      <c r="GNT49" s="82"/>
      <c r="GNU49" s="82"/>
      <c r="GNV49" s="82"/>
      <c r="GNW49" s="82"/>
      <c r="GNX49" s="82"/>
      <c r="GNY49" s="82"/>
      <c r="GNZ49" s="82"/>
      <c r="GOA49" s="82"/>
      <c r="GOB49" s="82"/>
      <c r="GOC49" s="82"/>
      <c r="GOD49" s="82"/>
      <c r="GOE49" s="82"/>
      <c r="GOF49" s="82"/>
      <c r="GOG49" s="82"/>
      <c r="GOH49" s="82"/>
      <c r="GOI49" s="82"/>
      <c r="GOJ49" s="82"/>
      <c r="GOK49" s="82"/>
      <c r="GOL49" s="82"/>
      <c r="GOM49" s="82"/>
      <c r="GON49" s="82"/>
      <c r="GOO49" s="82"/>
      <c r="GOP49" s="82"/>
      <c r="GOQ49" s="82"/>
      <c r="GOR49" s="82"/>
      <c r="GOS49" s="82"/>
      <c r="GOT49" s="82"/>
      <c r="GOU49" s="82"/>
      <c r="GOV49" s="82"/>
      <c r="GOW49" s="82"/>
      <c r="GOX49" s="82"/>
      <c r="GOY49" s="82"/>
      <c r="GOZ49" s="82"/>
      <c r="GPA49" s="82"/>
      <c r="GPB49" s="82"/>
      <c r="GPC49" s="82"/>
      <c r="GPD49" s="82"/>
      <c r="GPE49" s="82"/>
      <c r="GPF49" s="82"/>
      <c r="GPG49" s="82"/>
      <c r="GPH49" s="82"/>
      <c r="GPI49" s="82"/>
      <c r="GPJ49" s="82"/>
      <c r="GPK49" s="82"/>
      <c r="GPL49" s="82"/>
      <c r="GPM49" s="82"/>
      <c r="GPN49" s="82"/>
      <c r="GPO49" s="82"/>
      <c r="GPP49" s="82"/>
      <c r="GPQ49" s="82"/>
      <c r="GPR49" s="82"/>
      <c r="GPS49" s="82"/>
      <c r="GPT49" s="82"/>
      <c r="GPU49" s="82"/>
      <c r="GPV49" s="82"/>
      <c r="GPW49" s="82"/>
      <c r="GPX49" s="82"/>
      <c r="GPY49" s="82"/>
      <c r="GPZ49" s="82"/>
      <c r="GQA49" s="82"/>
      <c r="GQB49" s="82"/>
      <c r="GQC49" s="82"/>
      <c r="GQD49" s="82"/>
      <c r="GQE49" s="82"/>
      <c r="GQF49" s="82"/>
      <c r="GQG49" s="82"/>
      <c r="GQH49" s="82"/>
      <c r="GQI49" s="82"/>
      <c r="GQJ49" s="82"/>
      <c r="GQK49" s="82"/>
      <c r="GQL49" s="82"/>
      <c r="GQM49" s="82"/>
      <c r="GQN49" s="82"/>
      <c r="GQO49" s="82"/>
      <c r="GQP49" s="82"/>
      <c r="GQQ49" s="82"/>
      <c r="GQR49" s="82"/>
      <c r="GQS49" s="82"/>
      <c r="GQT49" s="82"/>
      <c r="GQU49" s="82"/>
      <c r="GQV49" s="82"/>
      <c r="GQW49" s="82"/>
      <c r="GQX49" s="82"/>
      <c r="GQY49" s="82"/>
      <c r="GQZ49" s="82"/>
      <c r="GRA49" s="82"/>
      <c r="GRB49" s="82"/>
      <c r="GRC49" s="82"/>
      <c r="GRD49" s="82"/>
      <c r="GRE49" s="82"/>
      <c r="GRF49" s="82"/>
      <c r="GRG49" s="82"/>
      <c r="GRH49" s="82"/>
      <c r="GRI49" s="82"/>
      <c r="GRJ49" s="82"/>
      <c r="GRK49" s="82"/>
      <c r="GRL49" s="82"/>
      <c r="GRM49" s="82"/>
      <c r="GRN49" s="82"/>
      <c r="GRO49" s="82"/>
      <c r="GRP49" s="82"/>
      <c r="GRQ49" s="82"/>
      <c r="GRR49" s="82"/>
      <c r="GRS49" s="82"/>
      <c r="GRT49" s="82"/>
      <c r="GRU49" s="82"/>
      <c r="GRV49" s="82"/>
      <c r="GRW49" s="82"/>
      <c r="GRX49" s="82"/>
      <c r="GRY49" s="82"/>
      <c r="GRZ49" s="82"/>
      <c r="GSA49" s="82"/>
      <c r="GSB49" s="82"/>
      <c r="GSC49" s="82"/>
      <c r="GSD49" s="82"/>
      <c r="GSE49" s="82"/>
      <c r="GSF49" s="82"/>
      <c r="GSG49" s="82"/>
      <c r="GSH49" s="82"/>
      <c r="GSI49" s="82"/>
      <c r="GSJ49" s="82"/>
      <c r="GSK49" s="82"/>
      <c r="GSL49" s="82"/>
      <c r="GSM49" s="82"/>
      <c r="GSN49" s="82"/>
      <c r="GSO49" s="82"/>
      <c r="GSP49" s="82"/>
      <c r="GSQ49" s="82"/>
      <c r="GSR49" s="82"/>
      <c r="GSS49" s="82"/>
      <c r="GST49" s="82"/>
      <c r="GSU49" s="82"/>
      <c r="GSV49" s="82"/>
      <c r="GSW49" s="82"/>
      <c r="GSX49" s="82"/>
      <c r="GSY49" s="82"/>
      <c r="GSZ49" s="82"/>
      <c r="GTA49" s="82"/>
      <c r="GTB49" s="82"/>
      <c r="GTC49" s="82"/>
      <c r="GTD49" s="82"/>
      <c r="GTE49" s="82"/>
      <c r="GTF49" s="82"/>
      <c r="GTG49" s="82"/>
      <c r="GTH49" s="82"/>
      <c r="GTI49" s="82"/>
      <c r="GTJ49" s="82"/>
      <c r="GTK49" s="82"/>
      <c r="GTL49" s="82"/>
      <c r="GTM49" s="82"/>
      <c r="GTN49" s="82"/>
      <c r="GTO49" s="82"/>
      <c r="GTP49" s="82"/>
      <c r="GTQ49" s="82"/>
      <c r="GTR49" s="82"/>
      <c r="GTS49" s="82"/>
      <c r="GTT49" s="82"/>
      <c r="GTU49" s="82"/>
      <c r="GTV49" s="82"/>
      <c r="GTW49" s="82"/>
      <c r="GTX49" s="82"/>
      <c r="GTY49" s="82"/>
      <c r="GTZ49" s="82"/>
      <c r="GUA49" s="82"/>
      <c r="GUB49" s="82"/>
      <c r="GUC49" s="82"/>
      <c r="GUD49" s="82"/>
      <c r="GUE49" s="82"/>
      <c r="GUF49" s="82"/>
      <c r="GUG49" s="82"/>
      <c r="GUH49" s="82"/>
      <c r="GUI49" s="82"/>
      <c r="GUJ49" s="82"/>
      <c r="GUK49" s="82"/>
      <c r="GUL49" s="82"/>
      <c r="GUM49" s="82"/>
      <c r="GUN49" s="82"/>
      <c r="GUO49" s="82"/>
      <c r="GUP49" s="82"/>
      <c r="GUQ49" s="82"/>
      <c r="GUR49" s="82"/>
      <c r="GUS49" s="82"/>
      <c r="GUT49" s="82"/>
      <c r="GUU49" s="82"/>
      <c r="GUV49" s="82"/>
      <c r="GUW49" s="82"/>
      <c r="GUX49" s="82"/>
      <c r="GUY49" s="82"/>
      <c r="GUZ49" s="82"/>
      <c r="GVA49" s="82"/>
      <c r="GVB49" s="82"/>
      <c r="GVC49" s="82"/>
      <c r="GVD49" s="82"/>
      <c r="GVE49" s="82"/>
      <c r="GVF49" s="82"/>
      <c r="GVG49" s="82"/>
      <c r="GVH49" s="82"/>
      <c r="GVI49" s="82"/>
      <c r="GVJ49" s="82"/>
      <c r="GVK49" s="82"/>
      <c r="GVL49" s="82"/>
      <c r="GVM49" s="82"/>
      <c r="GVN49" s="82"/>
      <c r="GVO49" s="82"/>
      <c r="GVP49" s="82"/>
      <c r="GVQ49" s="82"/>
      <c r="GVR49" s="82"/>
      <c r="GVS49" s="82"/>
      <c r="GVT49" s="82"/>
      <c r="GVU49" s="82"/>
      <c r="GVV49" s="82"/>
      <c r="GVW49" s="82"/>
      <c r="GVX49" s="82"/>
      <c r="GVY49" s="82"/>
      <c r="GVZ49" s="82"/>
      <c r="GWA49" s="82"/>
      <c r="GWB49" s="82"/>
      <c r="GWC49" s="82"/>
      <c r="GWD49" s="82"/>
      <c r="GWE49" s="82"/>
      <c r="GWF49" s="82"/>
      <c r="GWG49" s="82"/>
      <c r="GWH49" s="82"/>
      <c r="GWI49" s="82"/>
      <c r="GWJ49" s="82"/>
      <c r="GWK49" s="82"/>
      <c r="GWL49" s="82"/>
      <c r="GWM49" s="82"/>
      <c r="GWN49" s="82"/>
      <c r="GWO49" s="82"/>
      <c r="GWP49" s="82"/>
      <c r="GWQ49" s="82"/>
      <c r="GWR49" s="82"/>
      <c r="GWS49" s="82"/>
      <c r="GWT49" s="82"/>
      <c r="GWU49" s="82"/>
      <c r="GWV49" s="82"/>
      <c r="GWW49" s="82"/>
      <c r="GWX49" s="82"/>
      <c r="GWY49" s="82"/>
      <c r="GWZ49" s="82"/>
      <c r="GXA49" s="82"/>
      <c r="GXB49" s="82"/>
      <c r="GXC49" s="82"/>
      <c r="GXD49" s="82"/>
      <c r="GXE49" s="82"/>
      <c r="GXF49" s="82"/>
      <c r="GXG49" s="82"/>
      <c r="GXH49" s="82"/>
      <c r="GXI49" s="82"/>
      <c r="GXJ49" s="82"/>
      <c r="GXK49" s="82"/>
      <c r="GXL49" s="82"/>
      <c r="GXM49" s="82"/>
      <c r="GXN49" s="82"/>
      <c r="GXO49" s="82"/>
      <c r="GXP49" s="82"/>
      <c r="GXQ49" s="82"/>
      <c r="GXR49" s="82"/>
      <c r="GXS49" s="82"/>
      <c r="GXT49" s="82"/>
      <c r="GXU49" s="82"/>
      <c r="GXV49" s="82"/>
      <c r="GXW49" s="82"/>
      <c r="GXX49" s="82"/>
      <c r="GXY49" s="82"/>
      <c r="GXZ49" s="82"/>
      <c r="GYA49" s="82"/>
      <c r="GYB49" s="82"/>
      <c r="GYC49" s="82"/>
      <c r="GYD49" s="82"/>
      <c r="GYE49" s="82"/>
      <c r="GYF49" s="82"/>
      <c r="GYG49" s="82"/>
      <c r="GYH49" s="82"/>
      <c r="GYI49" s="82"/>
      <c r="GYJ49" s="82"/>
      <c r="GYK49" s="82"/>
      <c r="GYL49" s="82"/>
      <c r="GYM49" s="82"/>
      <c r="GYN49" s="82"/>
      <c r="GYO49" s="82"/>
      <c r="GYP49" s="82"/>
      <c r="GYQ49" s="82"/>
      <c r="GYR49" s="82"/>
      <c r="GYS49" s="82"/>
      <c r="GYT49" s="82"/>
      <c r="GYU49" s="82"/>
      <c r="GYV49" s="82"/>
      <c r="GYW49" s="82"/>
      <c r="GYX49" s="82"/>
      <c r="GYY49" s="82"/>
      <c r="GYZ49" s="82"/>
      <c r="GZA49" s="82"/>
      <c r="GZB49" s="82"/>
      <c r="GZC49" s="82"/>
      <c r="GZD49" s="82"/>
      <c r="GZE49" s="82"/>
      <c r="GZF49" s="82"/>
      <c r="GZG49" s="82"/>
      <c r="GZH49" s="82"/>
      <c r="GZI49" s="82"/>
      <c r="GZJ49" s="82"/>
      <c r="GZK49" s="82"/>
      <c r="GZL49" s="82"/>
      <c r="GZM49" s="82"/>
      <c r="GZN49" s="82"/>
      <c r="GZO49" s="82"/>
      <c r="GZP49" s="82"/>
      <c r="GZQ49" s="82"/>
      <c r="GZR49" s="82"/>
      <c r="GZS49" s="82"/>
      <c r="GZT49" s="82"/>
      <c r="GZU49" s="82"/>
      <c r="GZV49" s="82"/>
      <c r="GZW49" s="82"/>
      <c r="GZX49" s="82"/>
      <c r="GZY49" s="82"/>
      <c r="GZZ49" s="82"/>
      <c r="HAA49" s="82"/>
      <c r="HAB49" s="82"/>
      <c r="HAC49" s="82"/>
      <c r="HAD49" s="82"/>
      <c r="HAE49" s="82"/>
      <c r="HAF49" s="82"/>
      <c r="HAG49" s="82"/>
      <c r="HAH49" s="82"/>
      <c r="HAI49" s="82"/>
      <c r="HAJ49" s="82"/>
      <c r="HAK49" s="82"/>
      <c r="HAL49" s="82"/>
      <c r="HAM49" s="82"/>
      <c r="HAN49" s="82"/>
      <c r="HAO49" s="82"/>
      <c r="HAP49" s="82"/>
      <c r="HAQ49" s="82"/>
      <c r="HAR49" s="82"/>
      <c r="HAS49" s="82"/>
      <c r="HAT49" s="82"/>
      <c r="HAU49" s="82"/>
      <c r="HAV49" s="82"/>
      <c r="HAW49" s="82"/>
      <c r="HAX49" s="82"/>
      <c r="HAY49" s="82"/>
      <c r="HAZ49" s="82"/>
      <c r="HBA49" s="82"/>
      <c r="HBB49" s="82"/>
      <c r="HBC49" s="82"/>
      <c r="HBD49" s="82"/>
      <c r="HBE49" s="82"/>
      <c r="HBF49" s="82"/>
      <c r="HBG49" s="82"/>
      <c r="HBH49" s="82"/>
      <c r="HBI49" s="82"/>
      <c r="HBJ49" s="82"/>
      <c r="HBK49" s="82"/>
      <c r="HBL49" s="82"/>
      <c r="HBM49" s="82"/>
      <c r="HBN49" s="82"/>
      <c r="HBO49" s="82"/>
      <c r="HBP49" s="82"/>
      <c r="HBQ49" s="82"/>
      <c r="HBR49" s="82"/>
      <c r="HBS49" s="82"/>
      <c r="HBT49" s="82"/>
      <c r="HBU49" s="82"/>
      <c r="HBV49" s="82"/>
      <c r="HBW49" s="82"/>
      <c r="HBX49" s="82"/>
      <c r="HBY49" s="82"/>
      <c r="HBZ49" s="82"/>
      <c r="HCA49" s="82"/>
      <c r="HCB49" s="82"/>
      <c r="HCC49" s="82"/>
      <c r="HCD49" s="82"/>
      <c r="HCE49" s="82"/>
      <c r="HCF49" s="82"/>
      <c r="HCG49" s="82"/>
      <c r="HCH49" s="82"/>
      <c r="HCI49" s="82"/>
      <c r="HCJ49" s="82"/>
      <c r="HCK49" s="82"/>
      <c r="HCL49" s="82"/>
      <c r="HCM49" s="82"/>
      <c r="HCN49" s="82"/>
      <c r="HCO49" s="82"/>
      <c r="HCP49" s="82"/>
      <c r="HCQ49" s="82"/>
      <c r="HCR49" s="82"/>
      <c r="HCS49" s="82"/>
      <c r="HCT49" s="82"/>
      <c r="HCU49" s="82"/>
      <c r="HCV49" s="82"/>
      <c r="HCW49" s="82"/>
      <c r="HCX49" s="82"/>
      <c r="HCY49" s="82"/>
      <c r="HCZ49" s="82"/>
      <c r="HDA49" s="82"/>
      <c r="HDB49" s="82"/>
      <c r="HDC49" s="82"/>
      <c r="HDD49" s="82"/>
      <c r="HDE49" s="82"/>
      <c r="HDF49" s="82"/>
      <c r="HDG49" s="82"/>
      <c r="HDH49" s="82"/>
      <c r="HDI49" s="82"/>
      <c r="HDJ49" s="82"/>
      <c r="HDK49" s="82"/>
      <c r="HDL49" s="82"/>
      <c r="HDM49" s="82"/>
      <c r="HDN49" s="82"/>
      <c r="HDO49" s="82"/>
      <c r="HDP49" s="82"/>
      <c r="HDQ49" s="82"/>
      <c r="HDR49" s="82"/>
      <c r="HDS49" s="82"/>
      <c r="HDT49" s="82"/>
      <c r="HDU49" s="82"/>
      <c r="HDV49" s="82"/>
      <c r="HDW49" s="82"/>
      <c r="HDX49" s="82"/>
      <c r="HDY49" s="82"/>
      <c r="HDZ49" s="82"/>
      <c r="HEA49" s="82"/>
      <c r="HEB49" s="82"/>
      <c r="HEC49" s="82"/>
      <c r="HED49" s="82"/>
      <c r="HEE49" s="82"/>
      <c r="HEF49" s="82"/>
      <c r="HEG49" s="82"/>
      <c r="HEH49" s="82"/>
      <c r="HEI49" s="82"/>
      <c r="HEJ49" s="82"/>
      <c r="HEK49" s="82"/>
      <c r="HEL49" s="82"/>
      <c r="HEM49" s="82"/>
      <c r="HEN49" s="82"/>
      <c r="HEO49" s="82"/>
      <c r="HEP49" s="82"/>
      <c r="HEQ49" s="82"/>
      <c r="HER49" s="82"/>
      <c r="HES49" s="82"/>
      <c r="HET49" s="82"/>
      <c r="HEU49" s="82"/>
      <c r="HEV49" s="82"/>
      <c r="HEW49" s="82"/>
      <c r="HEX49" s="82"/>
      <c r="HEY49" s="82"/>
      <c r="HEZ49" s="82"/>
      <c r="HFA49" s="82"/>
      <c r="HFB49" s="82"/>
      <c r="HFC49" s="82"/>
      <c r="HFD49" s="82"/>
      <c r="HFE49" s="82"/>
      <c r="HFF49" s="82"/>
      <c r="HFG49" s="82"/>
      <c r="HFH49" s="82"/>
      <c r="HFI49" s="82"/>
      <c r="HFJ49" s="82"/>
      <c r="HFK49" s="82"/>
      <c r="HFL49" s="82"/>
      <c r="HFM49" s="82"/>
      <c r="HFN49" s="82"/>
      <c r="HFO49" s="82"/>
      <c r="HFP49" s="82"/>
      <c r="HFQ49" s="82"/>
      <c r="HFR49" s="82"/>
      <c r="HFS49" s="82"/>
      <c r="HFT49" s="82"/>
      <c r="HFU49" s="82"/>
      <c r="HFV49" s="82"/>
      <c r="HFW49" s="82"/>
      <c r="HFX49" s="82"/>
      <c r="HFY49" s="82"/>
      <c r="HFZ49" s="82"/>
      <c r="HGA49" s="82"/>
      <c r="HGB49" s="82"/>
      <c r="HGC49" s="82"/>
      <c r="HGD49" s="82"/>
      <c r="HGE49" s="82"/>
      <c r="HGF49" s="82"/>
      <c r="HGG49" s="82"/>
      <c r="HGH49" s="82"/>
      <c r="HGI49" s="82"/>
      <c r="HGJ49" s="82"/>
      <c r="HGK49" s="82"/>
      <c r="HGL49" s="82"/>
      <c r="HGM49" s="82"/>
      <c r="HGN49" s="82"/>
      <c r="HGO49" s="82"/>
      <c r="HGP49" s="82"/>
      <c r="HGQ49" s="82"/>
      <c r="HGR49" s="82"/>
      <c r="HGS49" s="82"/>
      <c r="HGT49" s="82"/>
      <c r="HGU49" s="82"/>
      <c r="HGV49" s="82"/>
      <c r="HGW49" s="82"/>
      <c r="HGX49" s="82"/>
      <c r="HGY49" s="82"/>
      <c r="HGZ49" s="82"/>
      <c r="HHA49" s="82"/>
      <c r="HHB49" s="82"/>
      <c r="HHC49" s="82"/>
      <c r="HHD49" s="82"/>
      <c r="HHE49" s="82"/>
      <c r="HHF49" s="82"/>
      <c r="HHG49" s="82"/>
      <c r="HHH49" s="82"/>
      <c r="HHI49" s="82"/>
      <c r="HHJ49" s="82"/>
      <c r="HHK49" s="82"/>
      <c r="HHL49" s="82"/>
      <c r="HHM49" s="82"/>
      <c r="HHN49" s="82"/>
      <c r="HHO49" s="82"/>
      <c r="HHP49" s="82"/>
      <c r="HHQ49" s="82"/>
      <c r="HHR49" s="82"/>
      <c r="HHS49" s="82"/>
      <c r="HHT49" s="82"/>
      <c r="HHU49" s="82"/>
      <c r="HHV49" s="82"/>
      <c r="HHW49" s="82"/>
      <c r="HHX49" s="82"/>
      <c r="HHY49" s="82"/>
      <c r="HHZ49" s="82"/>
      <c r="HIA49" s="82"/>
      <c r="HIB49" s="82"/>
      <c r="HIC49" s="82"/>
      <c r="HID49" s="82"/>
      <c r="HIE49" s="82"/>
      <c r="HIF49" s="82"/>
      <c r="HIG49" s="82"/>
      <c r="HIH49" s="82"/>
      <c r="HII49" s="82"/>
      <c r="HIJ49" s="82"/>
      <c r="HIK49" s="82"/>
      <c r="HIL49" s="82"/>
      <c r="HIM49" s="82"/>
      <c r="HIN49" s="82"/>
      <c r="HIO49" s="82"/>
      <c r="HIP49" s="82"/>
      <c r="HIQ49" s="82"/>
      <c r="HIR49" s="82"/>
      <c r="HIS49" s="82"/>
      <c r="HIT49" s="82"/>
      <c r="HIU49" s="82"/>
      <c r="HIV49" s="82"/>
      <c r="HIW49" s="82"/>
      <c r="HIX49" s="82"/>
      <c r="HIY49" s="82"/>
      <c r="HIZ49" s="82"/>
      <c r="HJA49" s="82"/>
      <c r="HJB49" s="82"/>
      <c r="HJC49" s="82"/>
      <c r="HJD49" s="82"/>
      <c r="HJE49" s="82"/>
      <c r="HJF49" s="82"/>
      <c r="HJG49" s="82"/>
      <c r="HJH49" s="82"/>
      <c r="HJI49" s="82"/>
      <c r="HJJ49" s="82"/>
      <c r="HJK49" s="82"/>
      <c r="HJL49" s="82"/>
      <c r="HJM49" s="82"/>
      <c r="HJN49" s="82"/>
      <c r="HJO49" s="82"/>
      <c r="HJP49" s="82"/>
      <c r="HJQ49" s="82"/>
      <c r="HJR49" s="82"/>
      <c r="HJS49" s="82"/>
      <c r="HJT49" s="82"/>
      <c r="HJU49" s="82"/>
      <c r="HJV49" s="82"/>
      <c r="HJW49" s="82"/>
      <c r="HJX49" s="82"/>
      <c r="HJY49" s="82"/>
      <c r="HJZ49" s="82"/>
      <c r="HKA49" s="82"/>
      <c r="HKB49" s="82"/>
      <c r="HKC49" s="82"/>
      <c r="HKD49" s="82"/>
      <c r="HKE49" s="82"/>
      <c r="HKF49" s="82"/>
      <c r="HKG49" s="82"/>
      <c r="HKH49" s="82"/>
      <c r="HKI49" s="82"/>
      <c r="HKJ49" s="82"/>
      <c r="HKK49" s="82"/>
      <c r="HKL49" s="82"/>
      <c r="HKM49" s="82"/>
      <c r="HKN49" s="82"/>
      <c r="HKO49" s="82"/>
      <c r="HKP49" s="82"/>
      <c r="HKQ49" s="82"/>
      <c r="HKR49" s="82"/>
      <c r="HKS49" s="82"/>
      <c r="HKT49" s="82"/>
      <c r="HKU49" s="82"/>
      <c r="HKV49" s="82"/>
      <c r="HKW49" s="82"/>
      <c r="HKX49" s="82"/>
      <c r="HKY49" s="82"/>
      <c r="HKZ49" s="82"/>
      <c r="HLA49" s="82"/>
      <c r="HLB49" s="82"/>
      <c r="HLC49" s="82"/>
      <c r="HLD49" s="82"/>
      <c r="HLE49" s="82"/>
      <c r="HLF49" s="82"/>
      <c r="HLG49" s="82"/>
      <c r="HLH49" s="82"/>
      <c r="HLI49" s="82"/>
      <c r="HLJ49" s="82"/>
      <c r="HLK49" s="82"/>
      <c r="HLL49" s="82"/>
      <c r="HLM49" s="82"/>
      <c r="HLN49" s="82"/>
      <c r="HLO49" s="82"/>
      <c r="HLP49" s="82"/>
      <c r="HLQ49" s="82"/>
      <c r="HLR49" s="82"/>
      <c r="HLS49" s="82"/>
      <c r="HLT49" s="82"/>
      <c r="HLU49" s="82"/>
      <c r="HLV49" s="82"/>
      <c r="HLW49" s="82"/>
      <c r="HLX49" s="82"/>
      <c r="HLY49" s="82"/>
      <c r="HLZ49" s="82"/>
      <c r="HMA49" s="82"/>
      <c r="HMB49" s="82"/>
      <c r="HMC49" s="82"/>
      <c r="HMD49" s="82"/>
      <c r="HME49" s="82"/>
      <c r="HMF49" s="82"/>
      <c r="HMG49" s="82"/>
      <c r="HMH49" s="82"/>
      <c r="HMI49" s="82"/>
      <c r="HMJ49" s="82"/>
      <c r="HMK49" s="82"/>
      <c r="HML49" s="82"/>
      <c r="HMM49" s="82"/>
      <c r="HMN49" s="82"/>
      <c r="HMO49" s="82"/>
      <c r="HMP49" s="82"/>
      <c r="HMQ49" s="82"/>
      <c r="HMR49" s="82"/>
      <c r="HMS49" s="82"/>
      <c r="HMT49" s="82"/>
      <c r="HMU49" s="82"/>
      <c r="HMV49" s="82"/>
      <c r="HMW49" s="82"/>
      <c r="HMX49" s="82"/>
      <c r="HMY49" s="82"/>
      <c r="HMZ49" s="82"/>
      <c r="HNA49" s="82"/>
      <c r="HNB49" s="82"/>
      <c r="HNC49" s="82"/>
      <c r="HND49" s="82"/>
      <c r="HNE49" s="82"/>
      <c r="HNF49" s="82"/>
      <c r="HNG49" s="82"/>
      <c r="HNH49" s="82"/>
      <c r="HNI49" s="82"/>
      <c r="HNJ49" s="82"/>
      <c r="HNK49" s="82"/>
      <c r="HNL49" s="82"/>
      <c r="HNM49" s="82"/>
      <c r="HNN49" s="82"/>
      <c r="HNO49" s="82"/>
      <c r="HNP49" s="82"/>
      <c r="HNQ49" s="82"/>
      <c r="HNR49" s="82"/>
      <c r="HNS49" s="82"/>
      <c r="HNT49" s="82"/>
      <c r="HNU49" s="82"/>
      <c r="HNV49" s="82"/>
      <c r="HNW49" s="82"/>
      <c r="HNX49" s="82"/>
      <c r="HNY49" s="82"/>
      <c r="HNZ49" s="82"/>
      <c r="HOA49" s="82"/>
      <c r="HOB49" s="82"/>
      <c r="HOC49" s="82"/>
      <c r="HOD49" s="82"/>
      <c r="HOE49" s="82"/>
      <c r="HOF49" s="82"/>
      <c r="HOG49" s="82"/>
      <c r="HOH49" s="82"/>
      <c r="HOI49" s="82"/>
      <c r="HOJ49" s="82"/>
      <c r="HOK49" s="82"/>
      <c r="HOL49" s="82"/>
      <c r="HOM49" s="82"/>
      <c r="HON49" s="82"/>
      <c r="HOO49" s="82"/>
      <c r="HOP49" s="82"/>
      <c r="HOQ49" s="82"/>
      <c r="HOR49" s="82"/>
      <c r="HOS49" s="82"/>
      <c r="HOT49" s="82"/>
      <c r="HOU49" s="82"/>
      <c r="HOV49" s="82"/>
      <c r="HOW49" s="82"/>
      <c r="HOX49" s="82"/>
      <c r="HOY49" s="82"/>
      <c r="HOZ49" s="82"/>
      <c r="HPA49" s="82"/>
      <c r="HPB49" s="82"/>
      <c r="HPC49" s="82"/>
      <c r="HPD49" s="82"/>
      <c r="HPE49" s="82"/>
      <c r="HPF49" s="82"/>
      <c r="HPG49" s="82"/>
      <c r="HPH49" s="82"/>
      <c r="HPI49" s="82"/>
      <c r="HPJ49" s="82"/>
      <c r="HPK49" s="82"/>
      <c r="HPL49" s="82"/>
      <c r="HPM49" s="82"/>
      <c r="HPN49" s="82"/>
      <c r="HPO49" s="82"/>
      <c r="HPP49" s="82"/>
      <c r="HPQ49" s="82"/>
      <c r="HPR49" s="82"/>
      <c r="HPS49" s="82"/>
      <c r="HPT49" s="82"/>
      <c r="HPU49" s="82"/>
      <c r="HPV49" s="82"/>
      <c r="HPW49" s="82"/>
      <c r="HPX49" s="82"/>
      <c r="HPY49" s="82"/>
      <c r="HPZ49" s="82"/>
      <c r="HQA49" s="82"/>
      <c r="HQB49" s="82"/>
      <c r="HQC49" s="82"/>
      <c r="HQD49" s="82"/>
      <c r="HQE49" s="82"/>
      <c r="HQF49" s="82"/>
      <c r="HQG49" s="82"/>
      <c r="HQH49" s="82"/>
      <c r="HQI49" s="82"/>
      <c r="HQJ49" s="82"/>
      <c r="HQK49" s="82"/>
      <c r="HQL49" s="82"/>
      <c r="HQM49" s="82"/>
      <c r="HQN49" s="82"/>
      <c r="HQO49" s="82"/>
      <c r="HQP49" s="82"/>
      <c r="HQQ49" s="82"/>
      <c r="HQR49" s="82"/>
      <c r="HQS49" s="82"/>
      <c r="HQT49" s="82"/>
      <c r="HQU49" s="82"/>
      <c r="HQV49" s="82"/>
      <c r="HQW49" s="82"/>
      <c r="HQX49" s="82"/>
      <c r="HQY49" s="82"/>
      <c r="HQZ49" s="82"/>
      <c r="HRA49" s="82"/>
      <c r="HRB49" s="82"/>
      <c r="HRC49" s="82"/>
      <c r="HRD49" s="82"/>
      <c r="HRE49" s="82"/>
      <c r="HRF49" s="82"/>
      <c r="HRG49" s="82"/>
      <c r="HRH49" s="82"/>
      <c r="HRI49" s="82"/>
      <c r="HRJ49" s="82"/>
      <c r="HRK49" s="82"/>
      <c r="HRL49" s="82"/>
      <c r="HRM49" s="82"/>
      <c r="HRN49" s="82"/>
      <c r="HRO49" s="82"/>
      <c r="HRP49" s="82"/>
      <c r="HRQ49" s="82"/>
      <c r="HRR49" s="82"/>
      <c r="HRS49" s="82"/>
      <c r="HRT49" s="82"/>
      <c r="HRU49" s="82"/>
      <c r="HRV49" s="82"/>
      <c r="HRW49" s="82"/>
      <c r="HRX49" s="82"/>
      <c r="HRY49" s="82"/>
      <c r="HRZ49" s="82"/>
      <c r="HSA49" s="82"/>
      <c r="HSB49" s="82"/>
      <c r="HSC49" s="82"/>
      <c r="HSD49" s="82"/>
      <c r="HSE49" s="82"/>
      <c r="HSF49" s="82"/>
      <c r="HSG49" s="82"/>
      <c r="HSH49" s="82"/>
      <c r="HSI49" s="82"/>
      <c r="HSJ49" s="82"/>
      <c r="HSK49" s="82"/>
      <c r="HSL49" s="82"/>
      <c r="HSM49" s="82"/>
      <c r="HSN49" s="82"/>
      <c r="HSO49" s="82"/>
      <c r="HSP49" s="82"/>
      <c r="HSQ49" s="82"/>
      <c r="HSR49" s="82"/>
      <c r="HSS49" s="82"/>
      <c r="HST49" s="82"/>
      <c r="HSU49" s="82"/>
      <c r="HSV49" s="82"/>
      <c r="HSW49" s="82"/>
      <c r="HSX49" s="82"/>
      <c r="HSY49" s="82"/>
      <c r="HSZ49" s="82"/>
      <c r="HTA49" s="82"/>
      <c r="HTB49" s="82"/>
      <c r="HTC49" s="82"/>
      <c r="HTD49" s="82"/>
      <c r="HTE49" s="82"/>
      <c r="HTF49" s="82"/>
      <c r="HTG49" s="82"/>
      <c r="HTH49" s="82"/>
      <c r="HTI49" s="82"/>
      <c r="HTJ49" s="82"/>
      <c r="HTK49" s="82"/>
      <c r="HTL49" s="82"/>
      <c r="HTM49" s="82"/>
      <c r="HTN49" s="82"/>
      <c r="HTO49" s="82"/>
      <c r="HTP49" s="82"/>
      <c r="HTQ49" s="82"/>
      <c r="HTR49" s="82"/>
      <c r="HTS49" s="82"/>
      <c r="HTT49" s="82"/>
      <c r="HTU49" s="82"/>
      <c r="HTV49" s="82"/>
      <c r="HTW49" s="82"/>
      <c r="HTX49" s="82"/>
      <c r="HTY49" s="82"/>
      <c r="HTZ49" s="82"/>
      <c r="HUA49" s="82"/>
      <c r="HUB49" s="82"/>
      <c r="HUC49" s="82"/>
      <c r="HUD49" s="82"/>
      <c r="HUE49" s="82"/>
      <c r="HUF49" s="82"/>
      <c r="HUG49" s="82"/>
      <c r="HUH49" s="82"/>
      <c r="HUI49" s="82"/>
      <c r="HUJ49" s="82"/>
      <c r="HUK49" s="82"/>
      <c r="HUL49" s="82"/>
      <c r="HUM49" s="82"/>
      <c r="HUN49" s="82"/>
      <c r="HUO49" s="82"/>
      <c r="HUP49" s="82"/>
      <c r="HUQ49" s="82"/>
      <c r="HUR49" s="82"/>
      <c r="HUS49" s="82"/>
      <c r="HUT49" s="82"/>
      <c r="HUU49" s="82"/>
      <c r="HUV49" s="82"/>
      <c r="HUW49" s="82"/>
      <c r="HUX49" s="82"/>
      <c r="HUY49" s="82"/>
      <c r="HUZ49" s="82"/>
      <c r="HVA49" s="82"/>
      <c r="HVB49" s="82"/>
      <c r="HVC49" s="82"/>
      <c r="HVD49" s="82"/>
      <c r="HVE49" s="82"/>
      <c r="HVF49" s="82"/>
      <c r="HVG49" s="82"/>
      <c r="HVH49" s="82"/>
      <c r="HVI49" s="82"/>
      <c r="HVJ49" s="82"/>
      <c r="HVK49" s="82"/>
      <c r="HVL49" s="82"/>
      <c r="HVM49" s="82"/>
      <c r="HVN49" s="82"/>
      <c r="HVO49" s="82"/>
      <c r="HVP49" s="82"/>
      <c r="HVQ49" s="82"/>
      <c r="HVR49" s="82"/>
      <c r="HVS49" s="82"/>
      <c r="HVT49" s="82"/>
      <c r="HVU49" s="82"/>
      <c r="HVV49" s="82"/>
      <c r="HVW49" s="82"/>
      <c r="HVX49" s="82"/>
      <c r="HVY49" s="82"/>
      <c r="HVZ49" s="82"/>
      <c r="HWA49" s="82"/>
      <c r="HWB49" s="82"/>
      <c r="HWC49" s="82"/>
      <c r="HWD49" s="82"/>
      <c r="HWE49" s="82"/>
      <c r="HWF49" s="82"/>
      <c r="HWG49" s="82"/>
      <c r="HWH49" s="82"/>
      <c r="HWI49" s="82"/>
      <c r="HWJ49" s="82"/>
      <c r="HWK49" s="82"/>
      <c r="HWL49" s="82"/>
      <c r="HWM49" s="82"/>
      <c r="HWN49" s="82"/>
      <c r="HWO49" s="82"/>
      <c r="HWP49" s="82"/>
      <c r="HWQ49" s="82"/>
      <c r="HWR49" s="82"/>
      <c r="HWS49" s="82"/>
      <c r="HWT49" s="82"/>
      <c r="HWU49" s="82"/>
      <c r="HWV49" s="82"/>
      <c r="HWW49" s="82"/>
      <c r="HWX49" s="82"/>
      <c r="HWY49" s="82"/>
      <c r="HWZ49" s="82"/>
      <c r="HXA49" s="82"/>
      <c r="HXB49" s="82"/>
      <c r="HXC49" s="82"/>
      <c r="HXD49" s="82"/>
      <c r="HXE49" s="82"/>
      <c r="HXF49" s="82"/>
      <c r="HXG49" s="82"/>
      <c r="HXH49" s="82"/>
      <c r="HXI49" s="82"/>
      <c r="HXJ49" s="82"/>
      <c r="HXK49" s="82"/>
      <c r="HXL49" s="82"/>
      <c r="HXM49" s="82"/>
      <c r="HXN49" s="82"/>
      <c r="HXO49" s="82"/>
      <c r="HXP49" s="82"/>
      <c r="HXQ49" s="82"/>
      <c r="HXR49" s="82"/>
      <c r="HXS49" s="82"/>
      <c r="HXT49" s="82"/>
      <c r="HXU49" s="82"/>
      <c r="HXV49" s="82"/>
      <c r="HXW49" s="82"/>
      <c r="HXX49" s="82"/>
      <c r="HXY49" s="82"/>
      <c r="HXZ49" s="82"/>
      <c r="HYA49" s="82"/>
      <c r="HYB49" s="82"/>
      <c r="HYC49" s="82"/>
      <c r="HYD49" s="82"/>
      <c r="HYE49" s="82"/>
      <c r="HYF49" s="82"/>
      <c r="HYG49" s="82"/>
      <c r="HYH49" s="82"/>
      <c r="HYI49" s="82"/>
      <c r="HYJ49" s="82"/>
      <c r="HYK49" s="82"/>
      <c r="HYL49" s="82"/>
      <c r="HYM49" s="82"/>
      <c r="HYN49" s="82"/>
      <c r="HYO49" s="82"/>
      <c r="HYP49" s="82"/>
      <c r="HYQ49" s="82"/>
      <c r="HYR49" s="82"/>
      <c r="HYS49" s="82"/>
      <c r="HYT49" s="82"/>
      <c r="HYU49" s="82"/>
      <c r="HYV49" s="82"/>
      <c r="HYW49" s="82"/>
      <c r="HYX49" s="82"/>
      <c r="HYY49" s="82"/>
      <c r="HYZ49" s="82"/>
      <c r="HZA49" s="82"/>
      <c r="HZB49" s="82"/>
      <c r="HZC49" s="82"/>
      <c r="HZD49" s="82"/>
      <c r="HZE49" s="82"/>
      <c r="HZF49" s="82"/>
      <c r="HZG49" s="82"/>
      <c r="HZH49" s="82"/>
      <c r="HZI49" s="82"/>
      <c r="HZJ49" s="82"/>
      <c r="HZK49" s="82"/>
      <c r="HZL49" s="82"/>
      <c r="HZM49" s="82"/>
      <c r="HZN49" s="82"/>
      <c r="HZO49" s="82"/>
      <c r="HZP49" s="82"/>
      <c r="HZQ49" s="82"/>
      <c r="HZR49" s="82"/>
      <c r="HZS49" s="82"/>
      <c r="HZT49" s="82"/>
      <c r="HZU49" s="82"/>
      <c r="HZV49" s="82"/>
      <c r="HZW49" s="82"/>
      <c r="HZX49" s="82"/>
      <c r="HZY49" s="82"/>
      <c r="HZZ49" s="82"/>
      <c r="IAA49" s="82"/>
      <c r="IAB49" s="82"/>
      <c r="IAC49" s="82"/>
      <c r="IAD49" s="82"/>
      <c r="IAE49" s="82"/>
      <c r="IAF49" s="82"/>
      <c r="IAG49" s="82"/>
      <c r="IAH49" s="82"/>
      <c r="IAI49" s="82"/>
      <c r="IAJ49" s="82"/>
      <c r="IAK49" s="82"/>
      <c r="IAL49" s="82"/>
      <c r="IAM49" s="82"/>
      <c r="IAN49" s="82"/>
      <c r="IAO49" s="82"/>
      <c r="IAP49" s="82"/>
      <c r="IAQ49" s="82"/>
      <c r="IAR49" s="82"/>
      <c r="IAS49" s="82"/>
      <c r="IAT49" s="82"/>
      <c r="IAU49" s="82"/>
      <c r="IAV49" s="82"/>
      <c r="IAW49" s="82"/>
      <c r="IAX49" s="82"/>
      <c r="IAY49" s="82"/>
      <c r="IAZ49" s="82"/>
      <c r="IBA49" s="82"/>
      <c r="IBB49" s="82"/>
      <c r="IBC49" s="82"/>
      <c r="IBD49" s="82"/>
      <c r="IBE49" s="82"/>
      <c r="IBF49" s="82"/>
      <c r="IBG49" s="82"/>
      <c r="IBH49" s="82"/>
      <c r="IBI49" s="82"/>
      <c r="IBJ49" s="82"/>
      <c r="IBK49" s="82"/>
      <c r="IBL49" s="82"/>
      <c r="IBM49" s="82"/>
      <c r="IBN49" s="82"/>
      <c r="IBO49" s="82"/>
      <c r="IBP49" s="82"/>
      <c r="IBQ49" s="82"/>
      <c r="IBR49" s="82"/>
      <c r="IBS49" s="82"/>
      <c r="IBT49" s="82"/>
      <c r="IBU49" s="82"/>
      <c r="IBV49" s="82"/>
      <c r="IBW49" s="82"/>
      <c r="IBX49" s="82"/>
      <c r="IBY49" s="82"/>
      <c r="IBZ49" s="82"/>
      <c r="ICA49" s="82"/>
      <c r="ICB49" s="82"/>
      <c r="ICC49" s="82"/>
      <c r="ICD49" s="82"/>
      <c r="ICE49" s="82"/>
      <c r="ICF49" s="82"/>
      <c r="ICG49" s="82"/>
      <c r="ICH49" s="82"/>
      <c r="ICI49" s="82"/>
      <c r="ICJ49" s="82"/>
      <c r="ICK49" s="82"/>
      <c r="ICL49" s="82"/>
      <c r="ICM49" s="82"/>
      <c r="ICN49" s="82"/>
      <c r="ICO49" s="82"/>
      <c r="ICP49" s="82"/>
      <c r="ICQ49" s="82"/>
      <c r="ICR49" s="82"/>
      <c r="ICS49" s="82"/>
      <c r="ICT49" s="82"/>
      <c r="ICU49" s="82"/>
      <c r="ICV49" s="82"/>
      <c r="ICW49" s="82"/>
      <c r="ICX49" s="82"/>
      <c r="ICY49" s="82"/>
      <c r="ICZ49" s="82"/>
      <c r="IDA49" s="82"/>
      <c r="IDB49" s="82"/>
      <c r="IDC49" s="82"/>
      <c r="IDD49" s="82"/>
      <c r="IDE49" s="82"/>
      <c r="IDF49" s="82"/>
      <c r="IDG49" s="82"/>
      <c r="IDH49" s="82"/>
      <c r="IDI49" s="82"/>
      <c r="IDJ49" s="82"/>
      <c r="IDK49" s="82"/>
      <c r="IDL49" s="82"/>
      <c r="IDM49" s="82"/>
      <c r="IDN49" s="82"/>
      <c r="IDO49" s="82"/>
      <c r="IDP49" s="82"/>
      <c r="IDQ49" s="82"/>
      <c r="IDR49" s="82"/>
      <c r="IDS49" s="82"/>
      <c r="IDT49" s="82"/>
      <c r="IDU49" s="82"/>
      <c r="IDV49" s="82"/>
      <c r="IDW49" s="82"/>
      <c r="IDX49" s="82"/>
      <c r="IDY49" s="82"/>
      <c r="IDZ49" s="82"/>
      <c r="IEA49" s="82"/>
      <c r="IEB49" s="82"/>
      <c r="IEC49" s="82"/>
      <c r="IED49" s="82"/>
      <c r="IEE49" s="82"/>
      <c r="IEF49" s="82"/>
      <c r="IEG49" s="82"/>
      <c r="IEH49" s="82"/>
      <c r="IEI49" s="82"/>
      <c r="IEJ49" s="82"/>
      <c r="IEK49" s="82"/>
      <c r="IEL49" s="82"/>
      <c r="IEM49" s="82"/>
      <c r="IEN49" s="82"/>
      <c r="IEO49" s="82"/>
      <c r="IEP49" s="82"/>
      <c r="IEQ49" s="82"/>
      <c r="IER49" s="82"/>
      <c r="IES49" s="82"/>
      <c r="IET49" s="82"/>
      <c r="IEU49" s="82"/>
      <c r="IEV49" s="82"/>
      <c r="IEW49" s="82"/>
      <c r="IEX49" s="82"/>
      <c r="IEY49" s="82"/>
      <c r="IEZ49" s="82"/>
      <c r="IFA49" s="82"/>
      <c r="IFB49" s="82"/>
      <c r="IFC49" s="82"/>
      <c r="IFD49" s="82"/>
      <c r="IFE49" s="82"/>
      <c r="IFF49" s="82"/>
      <c r="IFG49" s="82"/>
      <c r="IFH49" s="82"/>
      <c r="IFI49" s="82"/>
      <c r="IFJ49" s="82"/>
      <c r="IFK49" s="82"/>
      <c r="IFL49" s="82"/>
      <c r="IFM49" s="82"/>
      <c r="IFN49" s="82"/>
      <c r="IFO49" s="82"/>
      <c r="IFP49" s="82"/>
      <c r="IFQ49" s="82"/>
      <c r="IFR49" s="82"/>
      <c r="IFS49" s="82"/>
      <c r="IFT49" s="82"/>
      <c r="IFU49" s="82"/>
      <c r="IFV49" s="82"/>
      <c r="IFW49" s="82"/>
      <c r="IFX49" s="82"/>
      <c r="IFY49" s="82"/>
      <c r="IFZ49" s="82"/>
      <c r="IGA49" s="82"/>
      <c r="IGB49" s="82"/>
      <c r="IGC49" s="82"/>
      <c r="IGD49" s="82"/>
      <c r="IGE49" s="82"/>
      <c r="IGF49" s="82"/>
      <c r="IGG49" s="82"/>
      <c r="IGH49" s="82"/>
      <c r="IGI49" s="82"/>
      <c r="IGJ49" s="82"/>
      <c r="IGK49" s="82"/>
      <c r="IGL49" s="82"/>
      <c r="IGM49" s="82"/>
      <c r="IGN49" s="82"/>
      <c r="IGO49" s="82"/>
      <c r="IGP49" s="82"/>
      <c r="IGQ49" s="82"/>
      <c r="IGR49" s="82"/>
      <c r="IGS49" s="82"/>
      <c r="IGT49" s="82"/>
      <c r="IGU49" s="82"/>
      <c r="IGV49" s="82"/>
      <c r="IGW49" s="82"/>
      <c r="IGX49" s="82"/>
      <c r="IGY49" s="82"/>
      <c r="IGZ49" s="82"/>
      <c r="IHA49" s="82"/>
      <c r="IHB49" s="82"/>
      <c r="IHC49" s="82"/>
      <c r="IHD49" s="82"/>
      <c r="IHE49" s="82"/>
      <c r="IHF49" s="82"/>
      <c r="IHG49" s="82"/>
      <c r="IHH49" s="82"/>
      <c r="IHI49" s="82"/>
      <c r="IHJ49" s="82"/>
      <c r="IHK49" s="82"/>
      <c r="IHL49" s="82"/>
      <c r="IHM49" s="82"/>
      <c r="IHN49" s="82"/>
      <c r="IHO49" s="82"/>
      <c r="IHP49" s="82"/>
      <c r="IHQ49" s="82"/>
      <c r="IHR49" s="82"/>
      <c r="IHS49" s="82"/>
      <c r="IHT49" s="82"/>
      <c r="IHU49" s="82"/>
      <c r="IHV49" s="82"/>
      <c r="IHW49" s="82"/>
      <c r="IHX49" s="82"/>
      <c r="IHY49" s="82"/>
      <c r="IHZ49" s="82"/>
      <c r="IIA49" s="82"/>
      <c r="IIB49" s="82"/>
      <c r="IIC49" s="82"/>
      <c r="IID49" s="82"/>
      <c r="IIE49" s="82"/>
      <c r="IIF49" s="82"/>
      <c r="IIG49" s="82"/>
      <c r="IIH49" s="82"/>
      <c r="III49" s="82"/>
      <c r="IIJ49" s="82"/>
      <c r="IIK49" s="82"/>
      <c r="IIL49" s="82"/>
      <c r="IIM49" s="82"/>
      <c r="IIN49" s="82"/>
      <c r="IIO49" s="82"/>
      <c r="IIP49" s="82"/>
      <c r="IIQ49" s="82"/>
      <c r="IIR49" s="82"/>
      <c r="IIS49" s="82"/>
      <c r="IIT49" s="82"/>
      <c r="IIU49" s="82"/>
      <c r="IIV49" s="82"/>
      <c r="IIW49" s="82"/>
      <c r="IIX49" s="82"/>
      <c r="IIY49" s="82"/>
      <c r="IIZ49" s="82"/>
      <c r="IJA49" s="82"/>
      <c r="IJB49" s="82"/>
      <c r="IJC49" s="82"/>
      <c r="IJD49" s="82"/>
      <c r="IJE49" s="82"/>
      <c r="IJF49" s="82"/>
      <c r="IJG49" s="82"/>
      <c r="IJH49" s="82"/>
      <c r="IJI49" s="82"/>
      <c r="IJJ49" s="82"/>
      <c r="IJK49" s="82"/>
      <c r="IJL49" s="82"/>
      <c r="IJM49" s="82"/>
      <c r="IJN49" s="82"/>
      <c r="IJO49" s="82"/>
      <c r="IJP49" s="82"/>
      <c r="IJQ49" s="82"/>
      <c r="IJR49" s="82"/>
      <c r="IJS49" s="82"/>
      <c r="IJT49" s="82"/>
      <c r="IJU49" s="82"/>
      <c r="IJV49" s="82"/>
      <c r="IJW49" s="82"/>
      <c r="IJX49" s="82"/>
      <c r="IJY49" s="82"/>
      <c r="IJZ49" s="82"/>
      <c r="IKA49" s="82"/>
      <c r="IKB49" s="82"/>
      <c r="IKC49" s="82"/>
      <c r="IKD49" s="82"/>
      <c r="IKE49" s="82"/>
      <c r="IKF49" s="82"/>
      <c r="IKG49" s="82"/>
      <c r="IKH49" s="82"/>
      <c r="IKI49" s="82"/>
      <c r="IKJ49" s="82"/>
      <c r="IKK49" s="82"/>
      <c r="IKL49" s="82"/>
      <c r="IKM49" s="82"/>
      <c r="IKN49" s="82"/>
      <c r="IKO49" s="82"/>
      <c r="IKP49" s="82"/>
      <c r="IKQ49" s="82"/>
      <c r="IKR49" s="82"/>
      <c r="IKS49" s="82"/>
      <c r="IKT49" s="82"/>
      <c r="IKU49" s="82"/>
      <c r="IKV49" s="82"/>
      <c r="IKW49" s="82"/>
      <c r="IKX49" s="82"/>
      <c r="IKY49" s="82"/>
      <c r="IKZ49" s="82"/>
      <c r="ILA49" s="82"/>
      <c r="ILB49" s="82"/>
      <c r="ILC49" s="82"/>
      <c r="ILD49" s="82"/>
      <c r="ILE49" s="82"/>
      <c r="ILF49" s="82"/>
      <c r="ILG49" s="82"/>
      <c r="ILH49" s="82"/>
      <c r="ILI49" s="82"/>
      <c r="ILJ49" s="82"/>
      <c r="ILK49" s="82"/>
      <c r="ILL49" s="82"/>
      <c r="ILM49" s="82"/>
      <c r="ILN49" s="82"/>
      <c r="ILO49" s="82"/>
      <c r="ILP49" s="82"/>
      <c r="ILQ49" s="82"/>
      <c r="ILR49" s="82"/>
      <c r="ILS49" s="82"/>
      <c r="ILT49" s="82"/>
      <c r="ILU49" s="82"/>
      <c r="ILV49" s="82"/>
      <c r="ILW49" s="82"/>
      <c r="ILX49" s="82"/>
      <c r="ILY49" s="82"/>
      <c r="ILZ49" s="82"/>
      <c r="IMA49" s="82"/>
      <c r="IMB49" s="82"/>
      <c r="IMC49" s="82"/>
      <c r="IMD49" s="82"/>
      <c r="IME49" s="82"/>
      <c r="IMF49" s="82"/>
      <c r="IMG49" s="82"/>
      <c r="IMH49" s="82"/>
      <c r="IMI49" s="82"/>
      <c r="IMJ49" s="82"/>
      <c r="IMK49" s="82"/>
      <c r="IML49" s="82"/>
      <c r="IMM49" s="82"/>
      <c r="IMN49" s="82"/>
      <c r="IMO49" s="82"/>
      <c r="IMP49" s="82"/>
      <c r="IMQ49" s="82"/>
      <c r="IMR49" s="82"/>
      <c r="IMS49" s="82"/>
      <c r="IMT49" s="82"/>
      <c r="IMU49" s="82"/>
      <c r="IMV49" s="82"/>
      <c r="IMW49" s="82"/>
      <c r="IMX49" s="82"/>
      <c r="IMY49" s="82"/>
      <c r="IMZ49" s="82"/>
      <c r="INA49" s="82"/>
      <c r="INB49" s="82"/>
      <c r="INC49" s="82"/>
      <c r="IND49" s="82"/>
      <c r="INE49" s="82"/>
      <c r="INF49" s="82"/>
      <c r="ING49" s="82"/>
      <c r="INH49" s="82"/>
      <c r="INI49" s="82"/>
      <c r="INJ49" s="82"/>
      <c r="INK49" s="82"/>
      <c r="INL49" s="82"/>
      <c r="INM49" s="82"/>
      <c r="INN49" s="82"/>
      <c r="INO49" s="82"/>
      <c r="INP49" s="82"/>
      <c r="INQ49" s="82"/>
      <c r="INR49" s="82"/>
      <c r="INS49" s="82"/>
      <c r="INT49" s="82"/>
      <c r="INU49" s="82"/>
      <c r="INV49" s="82"/>
      <c r="INW49" s="82"/>
      <c r="INX49" s="82"/>
      <c r="INY49" s="82"/>
      <c r="INZ49" s="82"/>
      <c r="IOA49" s="82"/>
      <c r="IOB49" s="82"/>
      <c r="IOC49" s="82"/>
      <c r="IOD49" s="82"/>
      <c r="IOE49" s="82"/>
      <c r="IOF49" s="82"/>
      <c r="IOG49" s="82"/>
      <c r="IOH49" s="82"/>
      <c r="IOI49" s="82"/>
      <c r="IOJ49" s="82"/>
      <c r="IOK49" s="82"/>
      <c r="IOL49" s="82"/>
      <c r="IOM49" s="82"/>
      <c r="ION49" s="82"/>
      <c r="IOO49" s="82"/>
      <c r="IOP49" s="82"/>
      <c r="IOQ49" s="82"/>
      <c r="IOR49" s="82"/>
      <c r="IOS49" s="82"/>
      <c r="IOT49" s="82"/>
      <c r="IOU49" s="82"/>
      <c r="IOV49" s="82"/>
      <c r="IOW49" s="82"/>
      <c r="IOX49" s="82"/>
      <c r="IOY49" s="82"/>
      <c r="IOZ49" s="82"/>
      <c r="IPA49" s="82"/>
      <c r="IPB49" s="82"/>
      <c r="IPC49" s="82"/>
      <c r="IPD49" s="82"/>
      <c r="IPE49" s="82"/>
      <c r="IPF49" s="82"/>
      <c r="IPG49" s="82"/>
      <c r="IPH49" s="82"/>
      <c r="IPI49" s="82"/>
      <c r="IPJ49" s="82"/>
      <c r="IPK49" s="82"/>
      <c r="IPL49" s="82"/>
      <c r="IPM49" s="82"/>
      <c r="IPN49" s="82"/>
      <c r="IPO49" s="82"/>
      <c r="IPP49" s="82"/>
      <c r="IPQ49" s="82"/>
      <c r="IPR49" s="82"/>
      <c r="IPS49" s="82"/>
      <c r="IPT49" s="82"/>
      <c r="IPU49" s="82"/>
      <c r="IPV49" s="82"/>
      <c r="IPW49" s="82"/>
      <c r="IPX49" s="82"/>
      <c r="IPY49" s="82"/>
      <c r="IPZ49" s="82"/>
      <c r="IQA49" s="82"/>
      <c r="IQB49" s="82"/>
      <c r="IQC49" s="82"/>
      <c r="IQD49" s="82"/>
      <c r="IQE49" s="82"/>
      <c r="IQF49" s="82"/>
      <c r="IQG49" s="82"/>
      <c r="IQH49" s="82"/>
      <c r="IQI49" s="82"/>
      <c r="IQJ49" s="82"/>
      <c r="IQK49" s="82"/>
      <c r="IQL49" s="82"/>
      <c r="IQM49" s="82"/>
      <c r="IQN49" s="82"/>
      <c r="IQO49" s="82"/>
      <c r="IQP49" s="82"/>
      <c r="IQQ49" s="82"/>
      <c r="IQR49" s="82"/>
      <c r="IQS49" s="82"/>
      <c r="IQT49" s="82"/>
      <c r="IQU49" s="82"/>
      <c r="IQV49" s="82"/>
      <c r="IQW49" s="82"/>
      <c r="IQX49" s="82"/>
      <c r="IQY49" s="82"/>
      <c r="IQZ49" s="82"/>
      <c r="IRA49" s="82"/>
      <c r="IRB49" s="82"/>
      <c r="IRC49" s="82"/>
      <c r="IRD49" s="82"/>
      <c r="IRE49" s="82"/>
      <c r="IRF49" s="82"/>
      <c r="IRG49" s="82"/>
      <c r="IRH49" s="82"/>
      <c r="IRI49" s="82"/>
      <c r="IRJ49" s="82"/>
      <c r="IRK49" s="82"/>
      <c r="IRL49" s="82"/>
      <c r="IRM49" s="82"/>
      <c r="IRN49" s="82"/>
      <c r="IRO49" s="82"/>
      <c r="IRP49" s="82"/>
      <c r="IRQ49" s="82"/>
      <c r="IRR49" s="82"/>
      <c r="IRS49" s="82"/>
      <c r="IRT49" s="82"/>
      <c r="IRU49" s="82"/>
      <c r="IRV49" s="82"/>
      <c r="IRW49" s="82"/>
      <c r="IRX49" s="82"/>
      <c r="IRY49" s="82"/>
      <c r="IRZ49" s="82"/>
      <c r="ISA49" s="82"/>
      <c r="ISB49" s="82"/>
      <c r="ISC49" s="82"/>
      <c r="ISD49" s="82"/>
      <c r="ISE49" s="82"/>
      <c r="ISF49" s="82"/>
      <c r="ISG49" s="82"/>
      <c r="ISH49" s="82"/>
      <c r="ISI49" s="82"/>
      <c r="ISJ49" s="82"/>
      <c r="ISK49" s="82"/>
      <c r="ISL49" s="82"/>
      <c r="ISM49" s="82"/>
      <c r="ISN49" s="82"/>
      <c r="ISO49" s="82"/>
      <c r="ISP49" s="82"/>
      <c r="ISQ49" s="82"/>
      <c r="ISR49" s="82"/>
      <c r="ISS49" s="82"/>
      <c r="IST49" s="82"/>
      <c r="ISU49" s="82"/>
      <c r="ISV49" s="82"/>
      <c r="ISW49" s="82"/>
      <c r="ISX49" s="82"/>
      <c r="ISY49" s="82"/>
      <c r="ISZ49" s="82"/>
      <c r="ITA49" s="82"/>
      <c r="ITB49" s="82"/>
      <c r="ITC49" s="82"/>
      <c r="ITD49" s="82"/>
      <c r="ITE49" s="82"/>
      <c r="ITF49" s="82"/>
      <c r="ITG49" s="82"/>
      <c r="ITH49" s="82"/>
      <c r="ITI49" s="82"/>
      <c r="ITJ49" s="82"/>
      <c r="ITK49" s="82"/>
      <c r="ITL49" s="82"/>
      <c r="ITM49" s="82"/>
      <c r="ITN49" s="82"/>
      <c r="ITO49" s="82"/>
      <c r="ITP49" s="82"/>
      <c r="ITQ49" s="82"/>
      <c r="ITR49" s="82"/>
      <c r="ITS49" s="82"/>
      <c r="ITT49" s="82"/>
      <c r="ITU49" s="82"/>
      <c r="ITV49" s="82"/>
      <c r="ITW49" s="82"/>
      <c r="ITX49" s="82"/>
      <c r="ITY49" s="82"/>
      <c r="ITZ49" s="82"/>
      <c r="IUA49" s="82"/>
      <c r="IUB49" s="82"/>
      <c r="IUC49" s="82"/>
      <c r="IUD49" s="82"/>
      <c r="IUE49" s="82"/>
      <c r="IUF49" s="82"/>
      <c r="IUG49" s="82"/>
      <c r="IUH49" s="82"/>
      <c r="IUI49" s="82"/>
      <c r="IUJ49" s="82"/>
      <c r="IUK49" s="82"/>
      <c r="IUL49" s="82"/>
      <c r="IUM49" s="82"/>
      <c r="IUN49" s="82"/>
      <c r="IUO49" s="82"/>
      <c r="IUP49" s="82"/>
      <c r="IUQ49" s="82"/>
      <c r="IUR49" s="82"/>
      <c r="IUS49" s="82"/>
      <c r="IUT49" s="82"/>
      <c r="IUU49" s="82"/>
      <c r="IUV49" s="82"/>
      <c r="IUW49" s="82"/>
      <c r="IUX49" s="82"/>
      <c r="IUY49" s="82"/>
      <c r="IUZ49" s="82"/>
      <c r="IVA49" s="82"/>
      <c r="IVB49" s="82"/>
      <c r="IVC49" s="82"/>
      <c r="IVD49" s="82"/>
      <c r="IVE49" s="82"/>
      <c r="IVF49" s="82"/>
      <c r="IVG49" s="82"/>
      <c r="IVH49" s="82"/>
      <c r="IVI49" s="82"/>
      <c r="IVJ49" s="82"/>
      <c r="IVK49" s="82"/>
      <c r="IVL49" s="82"/>
      <c r="IVM49" s="82"/>
      <c r="IVN49" s="82"/>
      <c r="IVO49" s="82"/>
      <c r="IVP49" s="82"/>
      <c r="IVQ49" s="82"/>
      <c r="IVR49" s="82"/>
      <c r="IVS49" s="82"/>
      <c r="IVT49" s="82"/>
      <c r="IVU49" s="82"/>
      <c r="IVV49" s="82"/>
      <c r="IVW49" s="82"/>
      <c r="IVX49" s="82"/>
      <c r="IVY49" s="82"/>
      <c r="IVZ49" s="82"/>
      <c r="IWA49" s="82"/>
      <c r="IWB49" s="82"/>
      <c r="IWC49" s="82"/>
      <c r="IWD49" s="82"/>
      <c r="IWE49" s="82"/>
      <c r="IWF49" s="82"/>
      <c r="IWG49" s="82"/>
      <c r="IWH49" s="82"/>
      <c r="IWI49" s="82"/>
      <c r="IWJ49" s="82"/>
      <c r="IWK49" s="82"/>
      <c r="IWL49" s="82"/>
      <c r="IWM49" s="82"/>
      <c r="IWN49" s="82"/>
      <c r="IWO49" s="82"/>
      <c r="IWP49" s="82"/>
      <c r="IWQ49" s="82"/>
      <c r="IWR49" s="82"/>
      <c r="IWS49" s="82"/>
      <c r="IWT49" s="82"/>
      <c r="IWU49" s="82"/>
      <c r="IWV49" s="82"/>
      <c r="IWW49" s="82"/>
      <c r="IWX49" s="82"/>
      <c r="IWY49" s="82"/>
      <c r="IWZ49" s="82"/>
      <c r="IXA49" s="82"/>
      <c r="IXB49" s="82"/>
      <c r="IXC49" s="82"/>
      <c r="IXD49" s="82"/>
      <c r="IXE49" s="82"/>
      <c r="IXF49" s="82"/>
      <c r="IXG49" s="82"/>
      <c r="IXH49" s="82"/>
      <c r="IXI49" s="82"/>
      <c r="IXJ49" s="82"/>
      <c r="IXK49" s="82"/>
      <c r="IXL49" s="82"/>
      <c r="IXM49" s="82"/>
      <c r="IXN49" s="82"/>
      <c r="IXO49" s="82"/>
      <c r="IXP49" s="82"/>
      <c r="IXQ49" s="82"/>
      <c r="IXR49" s="82"/>
      <c r="IXS49" s="82"/>
      <c r="IXT49" s="82"/>
      <c r="IXU49" s="82"/>
      <c r="IXV49" s="82"/>
      <c r="IXW49" s="82"/>
      <c r="IXX49" s="82"/>
      <c r="IXY49" s="82"/>
      <c r="IXZ49" s="82"/>
      <c r="IYA49" s="82"/>
      <c r="IYB49" s="82"/>
      <c r="IYC49" s="82"/>
      <c r="IYD49" s="82"/>
      <c r="IYE49" s="82"/>
      <c r="IYF49" s="82"/>
      <c r="IYG49" s="82"/>
      <c r="IYH49" s="82"/>
      <c r="IYI49" s="82"/>
      <c r="IYJ49" s="82"/>
      <c r="IYK49" s="82"/>
      <c r="IYL49" s="82"/>
      <c r="IYM49" s="82"/>
      <c r="IYN49" s="82"/>
      <c r="IYO49" s="82"/>
      <c r="IYP49" s="82"/>
      <c r="IYQ49" s="82"/>
      <c r="IYR49" s="82"/>
      <c r="IYS49" s="82"/>
      <c r="IYT49" s="82"/>
      <c r="IYU49" s="82"/>
      <c r="IYV49" s="82"/>
      <c r="IYW49" s="82"/>
      <c r="IYX49" s="82"/>
      <c r="IYY49" s="82"/>
      <c r="IYZ49" s="82"/>
      <c r="IZA49" s="82"/>
      <c r="IZB49" s="82"/>
      <c r="IZC49" s="82"/>
      <c r="IZD49" s="82"/>
      <c r="IZE49" s="82"/>
      <c r="IZF49" s="82"/>
      <c r="IZG49" s="82"/>
      <c r="IZH49" s="82"/>
      <c r="IZI49" s="82"/>
      <c r="IZJ49" s="82"/>
      <c r="IZK49" s="82"/>
      <c r="IZL49" s="82"/>
      <c r="IZM49" s="82"/>
      <c r="IZN49" s="82"/>
      <c r="IZO49" s="82"/>
      <c r="IZP49" s="82"/>
      <c r="IZQ49" s="82"/>
      <c r="IZR49" s="82"/>
      <c r="IZS49" s="82"/>
      <c r="IZT49" s="82"/>
      <c r="IZU49" s="82"/>
      <c r="IZV49" s="82"/>
      <c r="IZW49" s="82"/>
      <c r="IZX49" s="82"/>
      <c r="IZY49" s="82"/>
      <c r="IZZ49" s="82"/>
      <c r="JAA49" s="82"/>
      <c r="JAB49" s="82"/>
      <c r="JAC49" s="82"/>
      <c r="JAD49" s="82"/>
      <c r="JAE49" s="82"/>
      <c r="JAF49" s="82"/>
      <c r="JAG49" s="82"/>
      <c r="JAH49" s="82"/>
      <c r="JAI49" s="82"/>
      <c r="JAJ49" s="82"/>
      <c r="JAK49" s="82"/>
      <c r="JAL49" s="82"/>
      <c r="JAM49" s="82"/>
      <c r="JAN49" s="82"/>
      <c r="JAO49" s="82"/>
      <c r="JAP49" s="82"/>
      <c r="JAQ49" s="82"/>
      <c r="JAR49" s="82"/>
      <c r="JAS49" s="82"/>
      <c r="JAT49" s="82"/>
      <c r="JAU49" s="82"/>
      <c r="JAV49" s="82"/>
      <c r="JAW49" s="82"/>
      <c r="JAX49" s="82"/>
      <c r="JAY49" s="82"/>
      <c r="JAZ49" s="82"/>
      <c r="JBA49" s="82"/>
      <c r="JBB49" s="82"/>
      <c r="JBC49" s="82"/>
      <c r="JBD49" s="82"/>
      <c r="JBE49" s="82"/>
      <c r="JBF49" s="82"/>
      <c r="JBG49" s="82"/>
      <c r="JBH49" s="82"/>
      <c r="JBI49" s="82"/>
      <c r="JBJ49" s="82"/>
      <c r="JBK49" s="82"/>
      <c r="JBL49" s="82"/>
      <c r="JBM49" s="82"/>
      <c r="JBN49" s="82"/>
      <c r="JBO49" s="82"/>
      <c r="JBP49" s="82"/>
      <c r="JBQ49" s="82"/>
      <c r="JBR49" s="82"/>
      <c r="JBS49" s="82"/>
      <c r="JBT49" s="82"/>
      <c r="JBU49" s="82"/>
      <c r="JBV49" s="82"/>
      <c r="JBW49" s="82"/>
      <c r="JBX49" s="82"/>
      <c r="JBY49" s="82"/>
      <c r="JBZ49" s="82"/>
      <c r="JCA49" s="82"/>
      <c r="JCB49" s="82"/>
      <c r="JCC49" s="82"/>
      <c r="JCD49" s="82"/>
      <c r="JCE49" s="82"/>
      <c r="JCF49" s="82"/>
      <c r="JCG49" s="82"/>
      <c r="JCH49" s="82"/>
      <c r="JCI49" s="82"/>
      <c r="JCJ49" s="82"/>
      <c r="JCK49" s="82"/>
      <c r="JCL49" s="82"/>
      <c r="JCM49" s="82"/>
      <c r="JCN49" s="82"/>
      <c r="JCO49" s="82"/>
      <c r="JCP49" s="82"/>
      <c r="JCQ49" s="82"/>
      <c r="JCR49" s="82"/>
      <c r="JCS49" s="82"/>
      <c r="JCT49" s="82"/>
      <c r="JCU49" s="82"/>
      <c r="JCV49" s="82"/>
      <c r="JCW49" s="82"/>
      <c r="JCX49" s="82"/>
      <c r="JCY49" s="82"/>
      <c r="JCZ49" s="82"/>
      <c r="JDA49" s="82"/>
      <c r="JDB49" s="82"/>
      <c r="JDC49" s="82"/>
      <c r="JDD49" s="82"/>
      <c r="JDE49" s="82"/>
      <c r="JDF49" s="82"/>
      <c r="JDG49" s="82"/>
      <c r="JDH49" s="82"/>
      <c r="JDI49" s="82"/>
      <c r="JDJ49" s="82"/>
      <c r="JDK49" s="82"/>
      <c r="JDL49" s="82"/>
      <c r="JDM49" s="82"/>
      <c r="JDN49" s="82"/>
      <c r="JDO49" s="82"/>
      <c r="JDP49" s="82"/>
      <c r="JDQ49" s="82"/>
      <c r="JDR49" s="82"/>
      <c r="JDS49" s="82"/>
      <c r="JDT49" s="82"/>
      <c r="JDU49" s="82"/>
      <c r="JDV49" s="82"/>
      <c r="JDW49" s="82"/>
      <c r="JDX49" s="82"/>
      <c r="JDY49" s="82"/>
      <c r="JDZ49" s="82"/>
      <c r="JEA49" s="82"/>
      <c r="JEB49" s="82"/>
      <c r="JEC49" s="82"/>
      <c r="JED49" s="82"/>
      <c r="JEE49" s="82"/>
      <c r="JEF49" s="82"/>
      <c r="JEG49" s="82"/>
      <c r="JEH49" s="82"/>
      <c r="JEI49" s="82"/>
      <c r="JEJ49" s="82"/>
      <c r="JEK49" s="82"/>
      <c r="JEL49" s="82"/>
      <c r="JEM49" s="82"/>
      <c r="JEN49" s="82"/>
      <c r="JEO49" s="82"/>
      <c r="JEP49" s="82"/>
      <c r="JEQ49" s="82"/>
      <c r="JER49" s="82"/>
      <c r="JES49" s="82"/>
      <c r="JET49" s="82"/>
      <c r="JEU49" s="82"/>
      <c r="JEV49" s="82"/>
      <c r="JEW49" s="82"/>
      <c r="JEX49" s="82"/>
      <c r="JEY49" s="82"/>
      <c r="JEZ49" s="82"/>
      <c r="JFA49" s="82"/>
      <c r="JFB49" s="82"/>
      <c r="JFC49" s="82"/>
      <c r="JFD49" s="82"/>
      <c r="JFE49" s="82"/>
      <c r="JFF49" s="82"/>
      <c r="JFG49" s="82"/>
      <c r="JFH49" s="82"/>
      <c r="JFI49" s="82"/>
      <c r="JFJ49" s="82"/>
      <c r="JFK49" s="82"/>
      <c r="JFL49" s="82"/>
      <c r="JFM49" s="82"/>
      <c r="JFN49" s="82"/>
      <c r="JFO49" s="82"/>
      <c r="JFP49" s="82"/>
      <c r="JFQ49" s="82"/>
      <c r="JFR49" s="82"/>
      <c r="JFS49" s="82"/>
      <c r="JFT49" s="82"/>
      <c r="JFU49" s="82"/>
      <c r="JFV49" s="82"/>
      <c r="JFW49" s="82"/>
      <c r="JFX49" s="82"/>
      <c r="JFY49" s="82"/>
      <c r="JFZ49" s="82"/>
      <c r="JGA49" s="82"/>
      <c r="JGB49" s="82"/>
      <c r="JGC49" s="82"/>
      <c r="JGD49" s="82"/>
      <c r="JGE49" s="82"/>
      <c r="JGF49" s="82"/>
      <c r="JGG49" s="82"/>
      <c r="JGH49" s="82"/>
      <c r="JGI49" s="82"/>
      <c r="JGJ49" s="82"/>
      <c r="JGK49" s="82"/>
      <c r="JGL49" s="82"/>
      <c r="JGM49" s="82"/>
      <c r="JGN49" s="82"/>
      <c r="JGO49" s="82"/>
      <c r="JGP49" s="82"/>
      <c r="JGQ49" s="82"/>
      <c r="JGR49" s="82"/>
      <c r="JGS49" s="82"/>
      <c r="JGT49" s="82"/>
      <c r="JGU49" s="82"/>
      <c r="JGV49" s="82"/>
      <c r="JGW49" s="82"/>
      <c r="JGX49" s="82"/>
      <c r="JGY49" s="82"/>
      <c r="JGZ49" s="82"/>
      <c r="JHA49" s="82"/>
      <c r="JHB49" s="82"/>
      <c r="JHC49" s="82"/>
      <c r="JHD49" s="82"/>
      <c r="JHE49" s="82"/>
      <c r="JHF49" s="82"/>
      <c r="JHG49" s="82"/>
      <c r="JHH49" s="82"/>
      <c r="JHI49" s="82"/>
      <c r="JHJ49" s="82"/>
      <c r="JHK49" s="82"/>
      <c r="JHL49" s="82"/>
      <c r="JHM49" s="82"/>
      <c r="JHN49" s="82"/>
      <c r="JHO49" s="82"/>
      <c r="JHP49" s="82"/>
      <c r="JHQ49" s="82"/>
      <c r="JHR49" s="82"/>
      <c r="JHS49" s="82"/>
      <c r="JHT49" s="82"/>
      <c r="JHU49" s="82"/>
      <c r="JHV49" s="82"/>
      <c r="JHW49" s="82"/>
      <c r="JHX49" s="82"/>
      <c r="JHY49" s="82"/>
      <c r="JHZ49" s="82"/>
      <c r="JIA49" s="82"/>
      <c r="JIB49" s="82"/>
      <c r="JIC49" s="82"/>
      <c r="JID49" s="82"/>
      <c r="JIE49" s="82"/>
      <c r="JIF49" s="82"/>
      <c r="JIG49" s="82"/>
      <c r="JIH49" s="82"/>
      <c r="JII49" s="82"/>
      <c r="JIJ49" s="82"/>
      <c r="JIK49" s="82"/>
      <c r="JIL49" s="82"/>
      <c r="JIM49" s="82"/>
      <c r="JIN49" s="82"/>
      <c r="JIO49" s="82"/>
      <c r="JIP49" s="82"/>
      <c r="JIQ49" s="82"/>
      <c r="JIR49" s="82"/>
      <c r="JIS49" s="82"/>
      <c r="JIT49" s="82"/>
      <c r="JIU49" s="82"/>
      <c r="JIV49" s="82"/>
      <c r="JIW49" s="82"/>
      <c r="JIX49" s="82"/>
      <c r="JIY49" s="82"/>
      <c r="JIZ49" s="82"/>
      <c r="JJA49" s="82"/>
      <c r="JJB49" s="82"/>
      <c r="JJC49" s="82"/>
      <c r="JJD49" s="82"/>
      <c r="JJE49" s="82"/>
      <c r="JJF49" s="82"/>
      <c r="JJG49" s="82"/>
      <c r="JJH49" s="82"/>
      <c r="JJI49" s="82"/>
      <c r="JJJ49" s="82"/>
      <c r="JJK49" s="82"/>
      <c r="JJL49" s="82"/>
      <c r="JJM49" s="82"/>
      <c r="JJN49" s="82"/>
      <c r="JJO49" s="82"/>
      <c r="JJP49" s="82"/>
      <c r="JJQ49" s="82"/>
      <c r="JJR49" s="82"/>
      <c r="JJS49" s="82"/>
      <c r="JJT49" s="82"/>
      <c r="JJU49" s="82"/>
      <c r="JJV49" s="82"/>
      <c r="JJW49" s="82"/>
      <c r="JJX49" s="82"/>
      <c r="JJY49" s="82"/>
      <c r="JJZ49" s="82"/>
      <c r="JKA49" s="82"/>
      <c r="JKB49" s="82"/>
      <c r="JKC49" s="82"/>
      <c r="JKD49" s="82"/>
      <c r="JKE49" s="82"/>
      <c r="JKF49" s="82"/>
      <c r="JKG49" s="82"/>
      <c r="JKH49" s="82"/>
      <c r="JKI49" s="82"/>
      <c r="JKJ49" s="82"/>
      <c r="JKK49" s="82"/>
      <c r="JKL49" s="82"/>
      <c r="JKM49" s="82"/>
      <c r="JKN49" s="82"/>
      <c r="JKO49" s="82"/>
      <c r="JKP49" s="82"/>
      <c r="JKQ49" s="82"/>
      <c r="JKR49" s="82"/>
      <c r="JKS49" s="82"/>
      <c r="JKT49" s="82"/>
      <c r="JKU49" s="82"/>
      <c r="JKV49" s="82"/>
      <c r="JKW49" s="82"/>
      <c r="JKX49" s="82"/>
      <c r="JKY49" s="82"/>
      <c r="JKZ49" s="82"/>
      <c r="JLA49" s="82"/>
      <c r="JLB49" s="82"/>
      <c r="JLC49" s="82"/>
      <c r="JLD49" s="82"/>
      <c r="JLE49" s="82"/>
      <c r="JLF49" s="82"/>
      <c r="JLG49" s="82"/>
      <c r="JLH49" s="82"/>
      <c r="JLI49" s="82"/>
      <c r="JLJ49" s="82"/>
      <c r="JLK49" s="82"/>
      <c r="JLL49" s="82"/>
      <c r="JLM49" s="82"/>
      <c r="JLN49" s="82"/>
      <c r="JLO49" s="82"/>
      <c r="JLP49" s="82"/>
      <c r="JLQ49" s="82"/>
      <c r="JLR49" s="82"/>
      <c r="JLS49" s="82"/>
      <c r="JLT49" s="82"/>
      <c r="JLU49" s="82"/>
      <c r="JLV49" s="82"/>
      <c r="JLW49" s="82"/>
      <c r="JLX49" s="82"/>
      <c r="JLY49" s="82"/>
      <c r="JLZ49" s="82"/>
      <c r="JMA49" s="82"/>
      <c r="JMB49" s="82"/>
      <c r="JMC49" s="82"/>
      <c r="JMD49" s="82"/>
      <c r="JME49" s="82"/>
      <c r="JMF49" s="82"/>
      <c r="JMG49" s="82"/>
      <c r="JMH49" s="82"/>
      <c r="JMI49" s="82"/>
      <c r="JMJ49" s="82"/>
      <c r="JMK49" s="82"/>
      <c r="JML49" s="82"/>
      <c r="JMM49" s="82"/>
      <c r="JMN49" s="82"/>
      <c r="JMO49" s="82"/>
      <c r="JMP49" s="82"/>
      <c r="JMQ49" s="82"/>
      <c r="JMR49" s="82"/>
      <c r="JMS49" s="82"/>
      <c r="JMT49" s="82"/>
      <c r="JMU49" s="82"/>
      <c r="JMV49" s="82"/>
      <c r="JMW49" s="82"/>
      <c r="JMX49" s="82"/>
      <c r="JMY49" s="82"/>
      <c r="JMZ49" s="82"/>
      <c r="JNA49" s="82"/>
      <c r="JNB49" s="82"/>
      <c r="JNC49" s="82"/>
      <c r="JND49" s="82"/>
      <c r="JNE49" s="82"/>
      <c r="JNF49" s="82"/>
      <c r="JNG49" s="82"/>
      <c r="JNH49" s="82"/>
      <c r="JNI49" s="82"/>
      <c r="JNJ49" s="82"/>
      <c r="JNK49" s="82"/>
      <c r="JNL49" s="82"/>
      <c r="JNM49" s="82"/>
      <c r="JNN49" s="82"/>
      <c r="JNO49" s="82"/>
      <c r="JNP49" s="82"/>
      <c r="JNQ49" s="82"/>
      <c r="JNR49" s="82"/>
      <c r="JNS49" s="82"/>
      <c r="JNT49" s="82"/>
      <c r="JNU49" s="82"/>
      <c r="JNV49" s="82"/>
      <c r="JNW49" s="82"/>
      <c r="JNX49" s="82"/>
      <c r="JNY49" s="82"/>
      <c r="JNZ49" s="82"/>
      <c r="JOA49" s="82"/>
      <c r="JOB49" s="82"/>
      <c r="JOC49" s="82"/>
      <c r="JOD49" s="82"/>
      <c r="JOE49" s="82"/>
      <c r="JOF49" s="82"/>
      <c r="JOG49" s="82"/>
      <c r="JOH49" s="82"/>
      <c r="JOI49" s="82"/>
      <c r="JOJ49" s="82"/>
      <c r="JOK49" s="82"/>
      <c r="JOL49" s="82"/>
      <c r="JOM49" s="82"/>
      <c r="JON49" s="82"/>
      <c r="JOO49" s="82"/>
      <c r="JOP49" s="82"/>
      <c r="JOQ49" s="82"/>
      <c r="JOR49" s="82"/>
      <c r="JOS49" s="82"/>
      <c r="JOT49" s="82"/>
      <c r="JOU49" s="82"/>
      <c r="JOV49" s="82"/>
      <c r="JOW49" s="82"/>
      <c r="JOX49" s="82"/>
      <c r="JOY49" s="82"/>
      <c r="JOZ49" s="82"/>
      <c r="JPA49" s="82"/>
      <c r="JPB49" s="82"/>
      <c r="JPC49" s="82"/>
      <c r="JPD49" s="82"/>
      <c r="JPE49" s="82"/>
      <c r="JPF49" s="82"/>
      <c r="JPG49" s="82"/>
      <c r="JPH49" s="82"/>
      <c r="JPI49" s="82"/>
      <c r="JPJ49" s="82"/>
      <c r="JPK49" s="82"/>
      <c r="JPL49" s="82"/>
      <c r="JPM49" s="82"/>
      <c r="JPN49" s="82"/>
      <c r="JPO49" s="82"/>
      <c r="JPP49" s="82"/>
      <c r="JPQ49" s="82"/>
      <c r="JPR49" s="82"/>
      <c r="JPS49" s="82"/>
      <c r="JPT49" s="82"/>
      <c r="JPU49" s="82"/>
      <c r="JPV49" s="82"/>
      <c r="JPW49" s="82"/>
      <c r="JPX49" s="82"/>
      <c r="JPY49" s="82"/>
      <c r="JPZ49" s="82"/>
      <c r="JQA49" s="82"/>
      <c r="JQB49" s="82"/>
      <c r="JQC49" s="82"/>
      <c r="JQD49" s="82"/>
      <c r="JQE49" s="82"/>
      <c r="JQF49" s="82"/>
      <c r="JQG49" s="82"/>
      <c r="JQH49" s="82"/>
      <c r="JQI49" s="82"/>
      <c r="JQJ49" s="82"/>
      <c r="JQK49" s="82"/>
      <c r="JQL49" s="82"/>
      <c r="JQM49" s="82"/>
      <c r="JQN49" s="82"/>
      <c r="JQO49" s="82"/>
      <c r="JQP49" s="82"/>
      <c r="JQQ49" s="82"/>
      <c r="JQR49" s="82"/>
      <c r="JQS49" s="82"/>
      <c r="JQT49" s="82"/>
      <c r="JQU49" s="82"/>
      <c r="JQV49" s="82"/>
      <c r="JQW49" s="82"/>
      <c r="JQX49" s="82"/>
      <c r="JQY49" s="82"/>
      <c r="JQZ49" s="82"/>
      <c r="JRA49" s="82"/>
      <c r="JRB49" s="82"/>
      <c r="JRC49" s="82"/>
      <c r="JRD49" s="82"/>
      <c r="JRE49" s="82"/>
      <c r="JRF49" s="82"/>
      <c r="JRG49" s="82"/>
      <c r="JRH49" s="82"/>
      <c r="JRI49" s="82"/>
      <c r="JRJ49" s="82"/>
      <c r="JRK49" s="82"/>
      <c r="JRL49" s="82"/>
      <c r="JRM49" s="82"/>
      <c r="JRN49" s="82"/>
      <c r="JRO49" s="82"/>
      <c r="JRP49" s="82"/>
      <c r="JRQ49" s="82"/>
      <c r="JRR49" s="82"/>
      <c r="JRS49" s="82"/>
      <c r="JRT49" s="82"/>
      <c r="JRU49" s="82"/>
      <c r="JRV49" s="82"/>
      <c r="JRW49" s="82"/>
      <c r="JRX49" s="82"/>
      <c r="JRY49" s="82"/>
      <c r="JRZ49" s="82"/>
      <c r="JSA49" s="82"/>
      <c r="JSB49" s="82"/>
      <c r="JSC49" s="82"/>
      <c r="JSD49" s="82"/>
      <c r="JSE49" s="82"/>
      <c r="JSF49" s="82"/>
      <c r="JSG49" s="82"/>
      <c r="JSH49" s="82"/>
      <c r="JSI49" s="82"/>
      <c r="JSJ49" s="82"/>
      <c r="JSK49" s="82"/>
      <c r="JSL49" s="82"/>
      <c r="JSM49" s="82"/>
      <c r="JSN49" s="82"/>
      <c r="JSO49" s="82"/>
      <c r="JSP49" s="82"/>
      <c r="JSQ49" s="82"/>
      <c r="JSR49" s="82"/>
      <c r="JSS49" s="82"/>
      <c r="JST49" s="82"/>
      <c r="JSU49" s="82"/>
      <c r="JSV49" s="82"/>
      <c r="JSW49" s="82"/>
      <c r="JSX49" s="82"/>
      <c r="JSY49" s="82"/>
      <c r="JSZ49" s="82"/>
      <c r="JTA49" s="82"/>
      <c r="JTB49" s="82"/>
      <c r="JTC49" s="82"/>
      <c r="JTD49" s="82"/>
      <c r="JTE49" s="82"/>
      <c r="JTF49" s="82"/>
      <c r="JTG49" s="82"/>
      <c r="JTH49" s="82"/>
      <c r="JTI49" s="82"/>
      <c r="JTJ49" s="82"/>
      <c r="JTK49" s="82"/>
      <c r="JTL49" s="82"/>
      <c r="JTM49" s="82"/>
      <c r="JTN49" s="82"/>
      <c r="JTO49" s="82"/>
      <c r="JTP49" s="82"/>
      <c r="JTQ49" s="82"/>
      <c r="JTR49" s="82"/>
      <c r="JTS49" s="82"/>
      <c r="JTT49" s="82"/>
      <c r="JTU49" s="82"/>
      <c r="JTV49" s="82"/>
      <c r="JTW49" s="82"/>
      <c r="JTX49" s="82"/>
      <c r="JTY49" s="82"/>
      <c r="JTZ49" s="82"/>
      <c r="JUA49" s="82"/>
      <c r="JUB49" s="82"/>
      <c r="JUC49" s="82"/>
      <c r="JUD49" s="82"/>
      <c r="JUE49" s="82"/>
      <c r="JUF49" s="82"/>
      <c r="JUG49" s="82"/>
      <c r="JUH49" s="82"/>
      <c r="JUI49" s="82"/>
      <c r="JUJ49" s="82"/>
      <c r="JUK49" s="82"/>
      <c r="JUL49" s="82"/>
      <c r="JUM49" s="82"/>
      <c r="JUN49" s="82"/>
      <c r="JUO49" s="82"/>
      <c r="JUP49" s="82"/>
      <c r="JUQ49" s="82"/>
      <c r="JUR49" s="82"/>
      <c r="JUS49" s="82"/>
      <c r="JUT49" s="82"/>
      <c r="JUU49" s="82"/>
      <c r="JUV49" s="82"/>
      <c r="JUW49" s="82"/>
      <c r="JUX49" s="82"/>
      <c r="JUY49" s="82"/>
      <c r="JUZ49" s="82"/>
      <c r="JVA49" s="82"/>
      <c r="JVB49" s="82"/>
      <c r="JVC49" s="82"/>
      <c r="JVD49" s="82"/>
      <c r="JVE49" s="82"/>
      <c r="JVF49" s="82"/>
      <c r="JVG49" s="82"/>
      <c r="JVH49" s="82"/>
      <c r="JVI49" s="82"/>
      <c r="JVJ49" s="82"/>
      <c r="JVK49" s="82"/>
      <c r="JVL49" s="82"/>
      <c r="JVM49" s="82"/>
      <c r="JVN49" s="82"/>
      <c r="JVO49" s="82"/>
      <c r="JVP49" s="82"/>
      <c r="JVQ49" s="82"/>
      <c r="JVR49" s="82"/>
      <c r="JVS49" s="82"/>
      <c r="JVT49" s="82"/>
      <c r="JVU49" s="82"/>
      <c r="JVV49" s="82"/>
      <c r="JVW49" s="82"/>
      <c r="JVX49" s="82"/>
      <c r="JVY49" s="82"/>
      <c r="JVZ49" s="82"/>
      <c r="JWA49" s="82"/>
      <c r="JWB49" s="82"/>
      <c r="JWC49" s="82"/>
      <c r="JWD49" s="82"/>
      <c r="JWE49" s="82"/>
      <c r="JWF49" s="82"/>
      <c r="JWG49" s="82"/>
      <c r="JWH49" s="82"/>
      <c r="JWI49" s="82"/>
      <c r="JWJ49" s="82"/>
      <c r="JWK49" s="82"/>
      <c r="JWL49" s="82"/>
      <c r="JWM49" s="82"/>
      <c r="JWN49" s="82"/>
      <c r="JWO49" s="82"/>
      <c r="JWP49" s="82"/>
      <c r="JWQ49" s="82"/>
      <c r="JWR49" s="82"/>
      <c r="JWS49" s="82"/>
      <c r="JWT49" s="82"/>
      <c r="JWU49" s="82"/>
      <c r="JWV49" s="82"/>
      <c r="JWW49" s="82"/>
      <c r="JWX49" s="82"/>
      <c r="JWY49" s="82"/>
      <c r="JWZ49" s="82"/>
      <c r="JXA49" s="82"/>
      <c r="JXB49" s="82"/>
      <c r="JXC49" s="82"/>
      <c r="JXD49" s="82"/>
      <c r="JXE49" s="82"/>
      <c r="JXF49" s="82"/>
      <c r="JXG49" s="82"/>
      <c r="JXH49" s="82"/>
      <c r="JXI49" s="82"/>
      <c r="JXJ49" s="82"/>
      <c r="JXK49" s="82"/>
      <c r="JXL49" s="82"/>
      <c r="JXM49" s="82"/>
      <c r="JXN49" s="82"/>
      <c r="JXO49" s="82"/>
      <c r="JXP49" s="82"/>
      <c r="JXQ49" s="82"/>
      <c r="JXR49" s="82"/>
      <c r="JXS49" s="82"/>
      <c r="JXT49" s="82"/>
      <c r="JXU49" s="82"/>
      <c r="JXV49" s="82"/>
      <c r="JXW49" s="82"/>
      <c r="JXX49" s="82"/>
      <c r="JXY49" s="82"/>
      <c r="JXZ49" s="82"/>
      <c r="JYA49" s="82"/>
      <c r="JYB49" s="82"/>
      <c r="JYC49" s="82"/>
      <c r="JYD49" s="82"/>
      <c r="JYE49" s="82"/>
      <c r="JYF49" s="82"/>
      <c r="JYG49" s="82"/>
      <c r="JYH49" s="82"/>
      <c r="JYI49" s="82"/>
      <c r="JYJ49" s="82"/>
      <c r="JYK49" s="82"/>
      <c r="JYL49" s="82"/>
      <c r="JYM49" s="82"/>
      <c r="JYN49" s="82"/>
      <c r="JYO49" s="82"/>
      <c r="JYP49" s="82"/>
      <c r="JYQ49" s="82"/>
      <c r="JYR49" s="82"/>
      <c r="JYS49" s="82"/>
      <c r="JYT49" s="82"/>
      <c r="JYU49" s="82"/>
      <c r="JYV49" s="82"/>
      <c r="JYW49" s="82"/>
      <c r="JYX49" s="82"/>
      <c r="JYY49" s="82"/>
      <c r="JYZ49" s="82"/>
      <c r="JZA49" s="82"/>
      <c r="JZB49" s="82"/>
      <c r="JZC49" s="82"/>
      <c r="JZD49" s="82"/>
      <c r="JZE49" s="82"/>
      <c r="JZF49" s="82"/>
      <c r="JZG49" s="82"/>
      <c r="JZH49" s="82"/>
      <c r="JZI49" s="82"/>
      <c r="JZJ49" s="82"/>
      <c r="JZK49" s="82"/>
      <c r="JZL49" s="82"/>
      <c r="JZM49" s="82"/>
      <c r="JZN49" s="82"/>
      <c r="JZO49" s="82"/>
      <c r="JZP49" s="82"/>
      <c r="JZQ49" s="82"/>
      <c r="JZR49" s="82"/>
      <c r="JZS49" s="82"/>
      <c r="JZT49" s="82"/>
      <c r="JZU49" s="82"/>
      <c r="JZV49" s="82"/>
      <c r="JZW49" s="82"/>
      <c r="JZX49" s="82"/>
      <c r="JZY49" s="82"/>
      <c r="JZZ49" s="82"/>
      <c r="KAA49" s="82"/>
      <c r="KAB49" s="82"/>
      <c r="KAC49" s="82"/>
      <c r="KAD49" s="82"/>
      <c r="KAE49" s="82"/>
      <c r="KAF49" s="82"/>
      <c r="KAG49" s="82"/>
      <c r="KAH49" s="82"/>
      <c r="KAI49" s="82"/>
      <c r="KAJ49" s="82"/>
      <c r="KAK49" s="82"/>
      <c r="KAL49" s="82"/>
      <c r="KAM49" s="82"/>
      <c r="KAN49" s="82"/>
      <c r="KAO49" s="82"/>
      <c r="KAP49" s="82"/>
      <c r="KAQ49" s="82"/>
      <c r="KAR49" s="82"/>
      <c r="KAS49" s="82"/>
      <c r="KAT49" s="82"/>
      <c r="KAU49" s="82"/>
      <c r="KAV49" s="82"/>
      <c r="KAW49" s="82"/>
      <c r="KAX49" s="82"/>
      <c r="KAY49" s="82"/>
      <c r="KAZ49" s="82"/>
      <c r="KBA49" s="82"/>
      <c r="KBB49" s="82"/>
      <c r="KBC49" s="82"/>
      <c r="KBD49" s="82"/>
      <c r="KBE49" s="82"/>
      <c r="KBF49" s="82"/>
      <c r="KBG49" s="82"/>
      <c r="KBH49" s="82"/>
      <c r="KBI49" s="82"/>
      <c r="KBJ49" s="82"/>
      <c r="KBK49" s="82"/>
      <c r="KBL49" s="82"/>
      <c r="KBM49" s="82"/>
      <c r="KBN49" s="82"/>
      <c r="KBO49" s="82"/>
      <c r="KBP49" s="82"/>
      <c r="KBQ49" s="82"/>
      <c r="KBR49" s="82"/>
      <c r="KBS49" s="82"/>
      <c r="KBT49" s="82"/>
      <c r="KBU49" s="82"/>
      <c r="KBV49" s="82"/>
      <c r="KBW49" s="82"/>
      <c r="KBX49" s="82"/>
      <c r="KBY49" s="82"/>
      <c r="KBZ49" s="82"/>
      <c r="KCA49" s="82"/>
      <c r="KCB49" s="82"/>
      <c r="KCC49" s="82"/>
      <c r="KCD49" s="82"/>
      <c r="KCE49" s="82"/>
      <c r="KCF49" s="82"/>
      <c r="KCG49" s="82"/>
      <c r="KCH49" s="82"/>
      <c r="KCI49" s="82"/>
      <c r="KCJ49" s="82"/>
      <c r="KCK49" s="82"/>
      <c r="KCL49" s="82"/>
      <c r="KCM49" s="82"/>
      <c r="KCN49" s="82"/>
      <c r="KCO49" s="82"/>
      <c r="KCP49" s="82"/>
      <c r="KCQ49" s="82"/>
      <c r="KCR49" s="82"/>
      <c r="KCS49" s="82"/>
      <c r="KCT49" s="82"/>
      <c r="KCU49" s="82"/>
      <c r="KCV49" s="82"/>
      <c r="KCW49" s="82"/>
      <c r="KCX49" s="82"/>
      <c r="KCY49" s="82"/>
      <c r="KCZ49" s="82"/>
      <c r="KDA49" s="82"/>
      <c r="KDB49" s="82"/>
      <c r="KDC49" s="82"/>
      <c r="KDD49" s="82"/>
      <c r="KDE49" s="82"/>
      <c r="KDF49" s="82"/>
      <c r="KDG49" s="82"/>
      <c r="KDH49" s="82"/>
      <c r="KDI49" s="82"/>
      <c r="KDJ49" s="82"/>
      <c r="KDK49" s="82"/>
      <c r="KDL49" s="82"/>
      <c r="KDM49" s="82"/>
      <c r="KDN49" s="82"/>
      <c r="KDO49" s="82"/>
      <c r="KDP49" s="82"/>
      <c r="KDQ49" s="82"/>
      <c r="KDR49" s="82"/>
      <c r="KDS49" s="82"/>
      <c r="KDT49" s="82"/>
      <c r="KDU49" s="82"/>
      <c r="KDV49" s="82"/>
      <c r="KDW49" s="82"/>
      <c r="KDX49" s="82"/>
      <c r="KDY49" s="82"/>
      <c r="KDZ49" s="82"/>
      <c r="KEA49" s="82"/>
      <c r="KEB49" s="82"/>
      <c r="KEC49" s="82"/>
      <c r="KED49" s="82"/>
      <c r="KEE49" s="82"/>
      <c r="KEF49" s="82"/>
      <c r="KEG49" s="82"/>
      <c r="KEH49" s="82"/>
      <c r="KEI49" s="82"/>
      <c r="KEJ49" s="82"/>
      <c r="KEK49" s="82"/>
      <c r="KEL49" s="82"/>
      <c r="KEM49" s="82"/>
      <c r="KEN49" s="82"/>
      <c r="KEO49" s="82"/>
      <c r="KEP49" s="82"/>
      <c r="KEQ49" s="82"/>
      <c r="KER49" s="82"/>
      <c r="KES49" s="82"/>
      <c r="KET49" s="82"/>
      <c r="KEU49" s="82"/>
      <c r="KEV49" s="82"/>
      <c r="KEW49" s="82"/>
      <c r="KEX49" s="82"/>
      <c r="KEY49" s="82"/>
      <c r="KEZ49" s="82"/>
      <c r="KFA49" s="82"/>
      <c r="KFB49" s="82"/>
      <c r="KFC49" s="82"/>
      <c r="KFD49" s="82"/>
      <c r="KFE49" s="82"/>
      <c r="KFF49" s="82"/>
      <c r="KFG49" s="82"/>
      <c r="KFH49" s="82"/>
      <c r="KFI49" s="82"/>
      <c r="KFJ49" s="82"/>
      <c r="KFK49" s="82"/>
      <c r="KFL49" s="82"/>
      <c r="KFM49" s="82"/>
      <c r="KFN49" s="82"/>
      <c r="KFO49" s="82"/>
      <c r="KFP49" s="82"/>
      <c r="KFQ49" s="82"/>
      <c r="KFR49" s="82"/>
      <c r="KFS49" s="82"/>
      <c r="KFT49" s="82"/>
      <c r="KFU49" s="82"/>
      <c r="KFV49" s="82"/>
      <c r="KFW49" s="82"/>
      <c r="KFX49" s="82"/>
      <c r="KFY49" s="82"/>
      <c r="KFZ49" s="82"/>
      <c r="KGA49" s="82"/>
      <c r="KGB49" s="82"/>
      <c r="KGC49" s="82"/>
      <c r="KGD49" s="82"/>
      <c r="KGE49" s="82"/>
      <c r="KGF49" s="82"/>
      <c r="KGG49" s="82"/>
      <c r="KGH49" s="82"/>
      <c r="KGI49" s="82"/>
      <c r="KGJ49" s="82"/>
      <c r="KGK49" s="82"/>
      <c r="KGL49" s="82"/>
      <c r="KGM49" s="82"/>
      <c r="KGN49" s="82"/>
      <c r="KGO49" s="82"/>
      <c r="KGP49" s="82"/>
      <c r="KGQ49" s="82"/>
      <c r="KGR49" s="82"/>
      <c r="KGS49" s="82"/>
      <c r="KGT49" s="82"/>
      <c r="KGU49" s="82"/>
      <c r="KGV49" s="82"/>
      <c r="KGW49" s="82"/>
      <c r="KGX49" s="82"/>
      <c r="KGY49" s="82"/>
      <c r="KGZ49" s="82"/>
      <c r="KHA49" s="82"/>
      <c r="KHB49" s="82"/>
      <c r="KHC49" s="82"/>
      <c r="KHD49" s="82"/>
      <c r="KHE49" s="82"/>
      <c r="KHF49" s="82"/>
      <c r="KHG49" s="82"/>
      <c r="KHH49" s="82"/>
      <c r="KHI49" s="82"/>
      <c r="KHJ49" s="82"/>
      <c r="KHK49" s="82"/>
      <c r="KHL49" s="82"/>
      <c r="KHM49" s="82"/>
      <c r="KHN49" s="82"/>
      <c r="KHO49" s="82"/>
      <c r="KHP49" s="82"/>
      <c r="KHQ49" s="82"/>
      <c r="KHR49" s="82"/>
      <c r="KHS49" s="82"/>
      <c r="KHT49" s="82"/>
      <c r="KHU49" s="82"/>
      <c r="KHV49" s="82"/>
      <c r="KHW49" s="82"/>
      <c r="KHX49" s="82"/>
      <c r="KHY49" s="82"/>
      <c r="KHZ49" s="82"/>
      <c r="KIA49" s="82"/>
      <c r="KIB49" s="82"/>
      <c r="KIC49" s="82"/>
      <c r="KID49" s="82"/>
      <c r="KIE49" s="82"/>
      <c r="KIF49" s="82"/>
      <c r="KIG49" s="82"/>
      <c r="KIH49" s="82"/>
      <c r="KII49" s="82"/>
      <c r="KIJ49" s="82"/>
      <c r="KIK49" s="82"/>
      <c r="KIL49" s="82"/>
      <c r="KIM49" s="82"/>
      <c r="KIN49" s="82"/>
      <c r="KIO49" s="82"/>
      <c r="KIP49" s="82"/>
      <c r="KIQ49" s="82"/>
      <c r="KIR49" s="82"/>
      <c r="KIS49" s="82"/>
      <c r="KIT49" s="82"/>
      <c r="KIU49" s="82"/>
      <c r="KIV49" s="82"/>
      <c r="KIW49" s="82"/>
      <c r="KIX49" s="82"/>
      <c r="KIY49" s="82"/>
      <c r="KIZ49" s="82"/>
      <c r="KJA49" s="82"/>
      <c r="KJB49" s="82"/>
      <c r="KJC49" s="82"/>
      <c r="KJD49" s="82"/>
      <c r="KJE49" s="82"/>
      <c r="KJF49" s="82"/>
      <c r="KJG49" s="82"/>
      <c r="KJH49" s="82"/>
      <c r="KJI49" s="82"/>
      <c r="KJJ49" s="82"/>
      <c r="KJK49" s="82"/>
      <c r="KJL49" s="82"/>
      <c r="KJM49" s="82"/>
      <c r="KJN49" s="82"/>
      <c r="KJO49" s="82"/>
      <c r="KJP49" s="82"/>
      <c r="KJQ49" s="82"/>
      <c r="KJR49" s="82"/>
      <c r="KJS49" s="82"/>
      <c r="KJT49" s="82"/>
      <c r="KJU49" s="82"/>
      <c r="KJV49" s="82"/>
      <c r="KJW49" s="82"/>
      <c r="KJX49" s="82"/>
      <c r="KJY49" s="82"/>
      <c r="KJZ49" s="82"/>
      <c r="KKA49" s="82"/>
      <c r="KKB49" s="82"/>
      <c r="KKC49" s="82"/>
      <c r="KKD49" s="82"/>
      <c r="KKE49" s="82"/>
      <c r="KKF49" s="82"/>
      <c r="KKG49" s="82"/>
      <c r="KKH49" s="82"/>
      <c r="KKI49" s="82"/>
      <c r="KKJ49" s="82"/>
      <c r="KKK49" s="82"/>
      <c r="KKL49" s="82"/>
      <c r="KKM49" s="82"/>
      <c r="KKN49" s="82"/>
      <c r="KKO49" s="82"/>
      <c r="KKP49" s="82"/>
      <c r="KKQ49" s="82"/>
      <c r="KKR49" s="82"/>
      <c r="KKS49" s="82"/>
      <c r="KKT49" s="82"/>
      <c r="KKU49" s="82"/>
      <c r="KKV49" s="82"/>
      <c r="KKW49" s="82"/>
      <c r="KKX49" s="82"/>
      <c r="KKY49" s="82"/>
      <c r="KKZ49" s="82"/>
      <c r="KLA49" s="82"/>
      <c r="KLB49" s="82"/>
      <c r="KLC49" s="82"/>
      <c r="KLD49" s="82"/>
      <c r="KLE49" s="82"/>
      <c r="KLF49" s="82"/>
      <c r="KLG49" s="82"/>
      <c r="KLH49" s="82"/>
      <c r="KLI49" s="82"/>
      <c r="KLJ49" s="82"/>
      <c r="KLK49" s="82"/>
      <c r="KLL49" s="82"/>
      <c r="KLM49" s="82"/>
      <c r="KLN49" s="82"/>
      <c r="KLO49" s="82"/>
      <c r="KLP49" s="82"/>
      <c r="KLQ49" s="82"/>
      <c r="KLR49" s="82"/>
      <c r="KLS49" s="82"/>
      <c r="KLT49" s="82"/>
      <c r="KLU49" s="82"/>
      <c r="KLV49" s="82"/>
      <c r="KLW49" s="82"/>
      <c r="KLX49" s="82"/>
      <c r="KLY49" s="82"/>
      <c r="KLZ49" s="82"/>
      <c r="KMA49" s="82"/>
      <c r="KMB49" s="82"/>
      <c r="KMC49" s="82"/>
      <c r="KMD49" s="82"/>
      <c r="KME49" s="82"/>
      <c r="KMF49" s="82"/>
      <c r="KMG49" s="82"/>
      <c r="KMH49" s="82"/>
      <c r="KMI49" s="82"/>
      <c r="KMJ49" s="82"/>
      <c r="KMK49" s="82"/>
      <c r="KML49" s="82"/>
      <c r="KMM49" s="82"/>
      <c r="KMN49" s="82"/>
      <c r="KMO49" s="82"/>
      <c r="KMP49" s="82"/>
      <c r="KMQ49" s="82"/>
      <c r="KMR49" s="82"/>
      <c r="KMS49" s="82"/>
      <c r="KMT49" s="82"/>
      <c r="KMU49" s="82"/>
      <c r="KMV49" s="82"/>
      <c r="KMW49" s="82"/>
      <c r="KMX49" s="82"/>
      <c r="KMY49" s="82"/>
      <c r="KMZ49" s="82"/>
      <c r="KNA49" s="82"/>
      <c r="KNB49" s="82"/>
      <c r="KNC49" s="82"/>
      <c r="KND49" s="82"/>
      <c r="KNE49" s="82"/>
      <c r="KNF49" s="82"/>
      <c r="KNG49" s="82"/>
      <c r="KNH49" s="82"/>
      <c r="KNI49" s="82"/>
      <c r="KNJ49" s="82"/>
      <c r="KNK49" s="82"/>
      <c r="KNL49" s="82"/>
      <c r="KNM49" s="82"/>
      <c r="KNN49" s="82"/>
      <c r="KNO49" s="82"/>
      <c r="KNP49" s="82"/>
      <c r="KNQ49" s="82"/>
      <c r="KNR49" s="82"/>
      <c r="KNS49" s="82"/>
      <c r="KNT49" s="82"/>
      <c r="KNU49" s="82"/>
      <c r="KNV49" s="82"/>
      <c r="KNW49" s="82"/>
      <c r="KNX49" s="82"/>
      <c r="KNY49" s="82"/>
      <c r="KNZ49" s="82"/>
      <c r="KOA49" s="82"/>
      <c r="KOB49" s="82"/>
      <c r="KOC49" s="82"/>
      <c r="KOD49" s="82"/>
      <c r="KOE49" s="82"/>
      <c r="KOF49" s="82"/>
      <c r="KOG49" s="82"/>
      <c r="KOH49" s="82"/>
      <c r="KOI49" s="82"/>
      <c r="KOJ49" s="82"/>
      <c r="KOK49" s="82"/>
      <c r="KOL49" s="82"/>
      <c r="KOM49" s="82"/>
      <c r="KON49" s="82"/>
      <c r="KOO49" s="82"/>
      <c r="KOP49" s="82"/>
      <c r="KOQ49" s="82"/>
      <c r="KOR49" s="82"/>
      <c r="KOS49" s="82"/>
      <c r="KOT49" s="82"/>
      <c r="KOU49" s="82"/>
      <c r="KOV49" s="82"/>
      <c r="KOW49" s="82"/>
      <c r="KOX49" s="82"/>
      <c r="KOY49" s="82"/>
      <c r="KOZ49" s="82"/>
      <c r="KPA49" s="82"/>
      <c r="KPB49" s="82"/>
      <c r="KPC49" s="82"/>
      <c r="KPD49" s="82"/>
      <c r="KPE49" s="82"/>
      <c r="KPF49" s="82"/>
      <c r="KPG49" s="82"/>
      <c r="KPH49" s="82"/>
      <c r="KPI49" s="82"/>
      <c r="KPJ49" s="82"/>
      <c r="KPK49" s="82"/>
      <c r="KPL49" s="82"/>
      <c r="KPM49" s="82"/>
      <c r="KPN49" s="82"/>
      <c r="KPO49" s="82"/>
      <c r="KPP49" s="82"/>
      <c r="KPQ49" s="82"/>
      <c r="KPR49" s="82"/>
      <c r="KPS49" s="82"/>
      <c r="KPT49" s="82"/>
      <c r="KPU49" s="82"/>
      <c r="KPV49" s="82"/>
      <c r="KPW49" s="82"/>
      <c r="KPX49" s="82"/>
      <c r="KPY49" s="82"/>
      <c r="KPZ49" s="82"/>
      <c r="KQA49" s="82"/>
      <c r="KQB49" s="82"/>
      <c r="KQC49" s="82"/>
      <c r="KQD49" s="82"/>
      <c r="KQE49" s="82"/>
      <c r="KQF49" s="82"/>
      <c r="KQG49" s="82"/>
      <c r="KQH49" s="82"/>
      <c r="KQI49" s="82"/>
      <c r="KQJ49" s="82"/>
      <c r="KQK49" s="82"/>
      <c r="KQL49" s="82"/>
      <c r="KQM49" s="82"/>
      <c r="KQN49" s="82"/>
      <c r="KQO49" s="82"/>
      <c r="KQP49" s="82"/>
      <c r="KQQ49" s="82"/>
      <c r="KQR49" s="82"/>
      <c r="KQS49" s="82"/>
      <c r="KQT49" s="82"/>
      <c r="KQU49" s="82"/>
      <c r="KQV49" s="82"/>
      <c r="KQW49" s="82"/>
      <c r="KQX49" s="82"/>
      <c r="KQY49" s="82"/>
      <c r="KQZ49" s="82"/>
      <c r="KRA49" s="82"/>
      <c r="KRB49" s="82"/>
      <c r="KRC49" s="82"/>
      <c r="KRD49" s="82"/>
      <c r="KRE49" s="82"/>
      <c r="KRF49" s="82"/>
      <c r="KRG49" s="82"/>
      <c r="KRH49" s="82"/>
      <c r="KRI49" s="82"/>
      <c r="KRJ49" s="82"/>
      <c r="KRK49" s="82"/>
      <c r="KRL49" s="82"/>
      <c r="KRM49" s="82"/>
      <c r="KRN49" s="82"/>
      <c r="KRO49" s="82"/>
      <c r="KRP49" s="82"/>
      <c r="KRQ49" s="82"/>
      <c r="KRR49" s="82"/>
      <c r="KRS49" s="82"/>
      <c r="KRT49" s="82"/>
      <c r="KRU49" s="82"/>
      <c r="KRV49" s="82"/>
      <c r="KRW49" s="82"/>
      <c r="KRX49" s="82"/>
      <c r="KRY49" s="82"/>
      <c r="KRZ49" s="82"/>
      <c r="KSA49" s="82"/>
      <c r="KSB49" s="82"/>
      <c r="KSC49" s="82"/>
      <c r="KSD49" s="82"/>
      <c r="KSE49" s="82"/>
      <c r="KSF49" s="82"/>
      <c r="KSG49" s="82"/>
      <c r="KSH49" s="82"/>
      <c r="KSI49" s="82"/>
      <c r="KSJ49" s="82"/>
      <c r="KSK49" s="82"/>
      <c r="KSL49" s="82"/>
      <c r="KSM49" s="82"/>
      <c r="KSN49" s="82"/>
      <c r="KSO49" s="82"/>
      <c r="KSP49" s="82"/>
      <c r="KSQ49" s="82"/>
      <c r="KSR49" s="82"/>
      <c r="KSS49" s="82"/>
      <c r="KST49" s="82"/>
      <c r="KSU49" s="82"/>
      <c r="KSV49" s="82"/>
      <c r="KSW49" s="82"/>
      <c r="KSX49" s="82"/>
      <c r="KSY49" s="82"/>
      <c r="KSZ49" s="82"/>
      <c r="KTA49" s="82"/>
      <c r="KTB49" s="82"/>
      <c r="KTC49" s="82"/>
      <c r="KTD49" s="82"/>
      <c r="KTE49" s="82"/>
      <c r="KTF49" s="82"/>
      <c r="KTG49" s="82"/>
      <c r="KTH49" s="82"/>
      <c r="KTI49" s="82"/>
      <c r="KTJ49" s="82"/>
      <c r="KTK49" s="82"/>
      <c r="KTL49" s="82"/>
      <c r="KTM49" s="82"/>
      <c r="KTN49" s="82"/>
      <c r="KTO49" s="82"/>
      <c r="KTP49" s="82"/>
      <c r="KTQ49" s="82"/>
      <c r="KTR49" s="82"/>
      <c r="KTS49" s="82"/>
      <c r="KTT49" s="82"/>
      <c r="KTU49" s="82"/>
      <c r="KTV49" s="82"/>
      <c r="KTW49" s="82"/>
      <c r="KTX49" s="82"/>
      <c r="KTY49" s="82"/>
      <c r="KTZ49" s="82"/>
      <c r="KUA49" s="82"/>
      <c r="KUB49" s="82"/>
      <c r="KUC49" s="82"/>
      <c r="KUD49" s="82"/>
      <c r="KUE49" s="82"/>
      <c r="KUF49" s="82"/>
      <c r="KUG49" s="82"/>
      <c r="KUH49" s="82"/>
      <c r="KUI49" s="82"/>
      <c r="KUJ49" s="82"/>
      <c r="KUK49" s="82"/>
      <c r="KUL49" s="82"/>
      <c r="KUM49" s="82"/>
      <c r="KUN49" s="82"/>
      <c r="KUO49" s="82"/>
      <c r="KUP49" s="82"/>
      <c r="KUQ49" s="82"/>
      <c r="KUR49" s="82"/>
      <c r="KUS49" s="82"/>
      <c r="KUT49" s="82"/>
      <c r="KUU49" s="82"/>
      <c r="KUV49" s="82"/>
      <c r="KUW49" s="82"/>
      <c r="KUX49" s="82"/>
      <c r="KUY49" s="82"/>
      <c r="KUZ49" s="82"/>
      <c r="KVA49" s="82"/>
      <c r="KVB49" s="82"/>
      <c r="KVC49" s="82"/>
      <c r="KVD49" s="82"/>
      <c r="KVE49" s="82"/>
      <c r="KVF49" s="82"/>
      <c r="KVG49" s="82"/>
      <c r="KVH49" s="82"/>
      <c r="KVI49" s="82"/>
      <c r="KVJ49" s="82"/>
      <c r="KVK49" s="82"/>
      <c r="KVL49" s="82"/>
      <c r="KVM49" s="82"/>
      <c r="KVN49" s="82"/>
      <c r="KVO49" s="82"/>
      <c r="KVP49" s="82"/>
      <c r="KVQ49" s="82"/>
      <c r="KVR49" s="82"/>
      <c r="KVS49" s="82"/>
      <c r="KVT49" s="82"/>
      <c r="KVU49" s="82"/>
      <c r="KVV49" s="82"/>
      <c r="KVW49" s="82"/>
      <c r="KVX49" s="82"/>
      <c r="KVY49" s="82"/>
      <c r="KVZ49" s="82"/>
      <c r="KWA49" s="82"/>
      <c r="KWB49" s="82"/>
      <c r="KWC49" s="82"/>
      <c r="KWD49" s="82"/>
      <c r="KWE49" s="82"/>
      <c r="KWF49" s="82"/>
      <c r="KWG49" s="82"/>
      <c r="KWH49" s="82"/>
      <c r="KWI49" s="82"/>
      <c r="KWJ49" s="82"/>
      <c r="KWK49" s="82"/>
      <c r="KWL49" s="82"/>
      <c r="KWM49" s="82"/>
      <c r="KWN49" s="82"/>
      <c r="KWO49" s="82"/>
      <c r="KWP49" s="82"/>
      <c r="KWQ49" s="82"/>
      <c r="KWR49" s="82"/>
      <c r="KWS49" s="82"/>
      <c r="KWT49" s="82"/>
      <c r="KWU49" s="82"/>
      <c r="KWV49" s="82"/>
      <c r="KWW49" s="82"/>
      <c r="KWX49" s="82"/>
      <c r="KWY49" s="82"/>
      <c r="KWZ49" s="82"/>
      <c r="KXA49" s="82"/>
      <c r="KXB49" s="82"/>
      <c r="KXC49" s="82"/>
      <c r="KXD49" s="82"/>
      <c r="KXE49" s="82"/>
      <c r="KXF49" s="82"/>
      <c r="KXG49" s="82"/>
      <c r="KXH49" s="82"/>
      <c r="KXI49" s="82"/>
      <c r="KXJ49" s="82"/>
      <c r="KXK49" s="82"/>
      <c r="KXL49" s="82"/>
      <c r="KXM49" s="82"/>
      <c r="KXN49" s="82"/>
      <c r="KXO49" s="82"/>
      <c r="KXP49" s="82"/>
      <c r="KXQ49" s="82"/>
      <c r="KXR49" s="82"/>
      <c r="KXS49" s="82"/>
      <c r="KXT49" s="82"/>
      <c r="KXU49" s="82"/>
      <c r="KXV49" s="82"/>
      <c r="KXW49" s="82"/>
      <c r="KXX49" s="82"/>
      <c r="KXY49" s="82"/>
      <c r="KXZ49" s="82"/>
      <c r="KYA49" s="82"/>
      <c r="KYB49" s="82"/>
      <c r="KYC49" s="82"/>
      <c r="KYD49" s="82"/>
      <c r="KYE49" s="82"/>
      <c r="KYF49" s="82"/>
      <c r="KYG49" s="82"/>
      <c r="KYH49" s="82"/>
      <c r="KYI49" s="82"/>
      <c r="KYJ49" s="82"/>
      <c r="KYK49" s="82"/>
      <c r="KYL49" s="82"/>
      <c r="KYM49" s="82"/>
      <c r="KYN49" s="82"/>
      <c r="KYO49" s="82"/>
      <c r="KYP49" s="82"/>
      <c r="KYQ49" s="82"/>
      <c r="KYR49" s="82"/>
      <c r="KYS49" s="82"/>
      <c r="KYT49" s="82"/>
      <c r="KYU49" s="82"/>
      <c r="KYV49" s="82"/>
      <c r="KYW49" s="82"/>
      <c r="KYX49" s="82"/>
      <c r="KYY49" s="82"/>
      <c r="KYZ49" s="82"/>
      <c r="KZA49" s="82"/>
      <c r="KZB49" s="82"/>
      <c r="KZC49" s="82"/>
      <c r="KZD49" s="82"/>
      <c r="KZE49" s="82"/>
      <c r="KZF49" s="82"/>
      <c r="KZG49" s="82"/>
      <c r="KZH49" s="82"/>
      <c r="KZI49" s="82"/>
      <c r="KZJ49" s="82"/>
      <c r="KZK49" s="82"/>
      <c r="KZL49" s="82"/>
      <c r="KZM49" s="82"/>
      <c r="KZN49" s="82"/>
      <c r="KZO49" s="82"/>
      <c r="KZP49" s="82"/>
      <c r="KZQ49" s="82"/>
      <c r="KZR49" s="82"/>
      <c r="KZS49" s="82"/>
      <c r="KZT49" s="82"/>
      <c r="KZU49" s="82"/>
      <c r="KZV49" s="82"/>
      <c r="KZW49" s="82"/>
      <c r="KZX49" s="82"/>
      <c r="KZY49" s="82"/>
      <c r="KZZ49" s="82"/>
      <c r="LAA49" s="82"/>
      <c r="LAB49" s="82"/>
      <c r="LAC49" s="82"/>
      <c r="LAD49" s="82"/>
      <c r="LAE49" s="82"/>
      <c r="LAF49" s="82"/>
      <c r="LAG49" s="82"/>
      <c r="LAH49" s="82"/>
      <c r="LAI49" s="82"/>
      <c r="LAJ49" s="82"/>
      <c r="LAK49" s="82"/>
      <c r="LAL49" s="82"/>
      <c r="LAM49" s="82"/>
      <c r="LAN49" s="82"/>
      <c r="LAO49" s="82"/>
      <c r="LAP49" s="82"/>
      <c r="LAQ49" s="82"/>
      <c r="LAR49" s="82"/>
      <c r="LAS49" s="82"/>
      <c r="LAT49" s="82"/>
      <c r="LAU49" s="82"/>
      <c r="LAV49" s="82"/>
      <c r="LAW49" s="82"/>
      <c r="LAX49" s="82"/>
      <c r="LAY49" s="82"/>
      <c r="LAZ49" s="82"/>
      <c r="LBA49" s="82"/>
      <c r="LBB49" s="82"/>
      <c r="LBC49" s="82"/>
      <c r="LBD49" s="82"/>
      <c r="LBE49" s="82"/>
      <c r="LBF49" s="82"/>
      <c r="LBG49" s="82"/>
      <c r="LBH49" s="82"/>
      <c r="LBI49" s="82"/>
      <c r="LBJ49" s="82"/>
      <c r="LBK49" s="82"/>
      <c r="LBL49" s="82"/>
      <c r="LBM49" s="82"/>
      <c r="LBN49" s="82"/>
      <c r="LBO49" s="82"/>
      <c r="LBP49" s="82"/>
      <c r="LBQ49" s="82"/>
      <c r="LBR49" s="82"/>
      <c r="LBS49" s="82"/>
      <c r="LBT49" s="82"/>
      <c r="LBU49" s="82"/>
      <c r="LBV49" s="82"/>
      <c r="LBW49" s="82"/>
      <c r="LBX49" s="82"/>
      <c r="LBY49" s="82"/>
      <c r="LBZ49" s="82"/>
      <c r="LCA49" s="82"/>
      <c r="LCB49" s="82"/>
      <c r="LCC49" s="82"/>
      <c r="LCD49" s="82"/>
      <c r="LCE49" s="82"/>
      <c r="LCF49" s="82"/>
      <c r="LCG49" s="82"/>
      <c r="LCH49" s="82"/>
      <c r="LCI49" s="82"/>
      <c r="LCJ49" s="82"/>
      <c r="LCK49" s="82"/>
      <c r="LCL49" s="82"/>
      <c r="LCM49" s="82"/>
      <c r="LCN49" s="82"/>
      <c r="LCO49" s="82"/>
      <c r="LCP49" s="82"/>
      <c r="LCQ49" s="82"/>
      <c r="LCR49" s="82"/>
      <c r="LCS49" s="82"/>
      <c r="LCT49" s="82"/>
      <c r="LCU49" s="82"/>
      <c r="LCV49" s="82"/>
      <c r="LCW49" s="82"/>
      <c r="LCX49" s="82"/>
      <c r="LCY49" s="82"/>
      <c r="LCZ49" s="82"/>
      <c r="LDA49" s="82"/>
      <c r="LDB49" s="82"/>
      <c r="LDC49" s="82"/>
      <c r="LDD49" s="82"/>
      <c r="LDE49" s="82"/>
      <c r="LDF49" s="82"/>
      <c r="LDG49" s="82"/>
      <c r="LDH49" s="82"/>
      <c r="LDI49" s="82"/>
      <c r="LDJ49" s="82"/>
      <c r="LDK49" s="82"/>
      <c r="LDL49" s="82"/>
      <c r="LDM49" s="82"/>
      <c r="LDN49" s="82"/>
      <c r="LDO49" s="82"/>
      <c r="LDP49" s="82"/>
      <c r="LDQ49" s="82"/>
      <c r="LDR49" s="82"/>
      <c r="LDS49" s="82"/>
      <c r="LDT49" s="82"/>
      <c r="LDU49" s="82"/>
      <c r="LDV49" s="82"/>
      <c r="LDW49" s="82"/>
      <c r="LDX49" s="82"/>
      <c r="LDY49" s="82"/>
      <c r="LDZ49" s="82"/>
      <c r="LEA49" s="82"/>
      <c r="LEB49" s="82"/>
      <c r="LEC49" s="82"/>
      <c r="LED49" s="82"/>
      <c r="LEE49" s="82"/>
      <c r="LEF49" s="82"/>
      <c r="LEG49" s="82"/>
      <c r="LEH49" s="82"/>
      <c r="LEI49" s="82"/>
      <c r="LEJ49" s="82"/>
      <c r="LEK49" s="82"/>
      <c r="LEL49" s="82"/>
      <c r="LEM49" s="82"/>
      <c r="LEN49" s="82"/>
      <c r="LEO49" s="82"/>
      <c r="LEP49" s="82"/>
      <c r="LEQ49" s="82"/>
      <c r="LER49" s="82"/>
      <c r="LES49" s="82"/>
      <c r="LET49" s="82"/>
      <c r="LEU49" s="82"/>
      <c r="LEV49" s="82"/>
      <c r="LEW49" s="82"/>
      <c r="LEX49" s="82"/>
      <c r="LEY49" s="82"/>
      <c r="LEZ49" s="82"/>
      <c r="LFA49" s="82"/>
      <c r="LFB49" s="82"/>
      <c r="LFC49" s="82"/>
      <c r="LFD49" s="82"/>
      <c r="LFE49" s="82"/>
      <c r="LFF49" s="82"/>
      <c r="LFG49" s="82"/>
      <c r="LFH49" s="82"/>
      <c r="LFI49" s="82"/>
      <c r="LFJ49" s="82"/>
      <c r="LFK49" s="82"/>
      <c r="LFL49" s="82"/>
      <c r="LFM49" s="82"/>
      <c r="LFN49" s="82"/>
      <c r="LFO49" s="82"/>
      <c r="LFP49" s="82"/>
      <c r="LFQ49" s="82"/>
      <c r="LFR49" s="82"/>
      <c r="LFS49" s="82"/>
      <c r="LFT49" s="82"/>
      <c r="LFU49" s="82"/>
      <c r="LFV49" s="82"/>
      <c r="LFW49" s="82"/>
      <c r="LFX49" s="82"/>
      <c r="LFY49" s="82"/>
      <c r="LFZ49" s="82"/>
      <c r="LGA49" s="82"/>
      <c r="LGB49" s="82"/>
      <c r="LGC49" s="82"/>
      <c r="LGD49" s="82"/>
      <c r="LGE49" s="82"/>
      <c r="LGF49" s="82"/>
      <c r="LGG49" s="82"/>
      <c r="LGH49" s="82"/>
      <c r="LGI49" s="82"/>
      <c r="LGJ49" s="82"/>
      <c r="LGK49" s="82"/>
      <c r="LGL49" s="82"/>
      <c r="LGM49" s="82"/>
      <c r="LGN49" s="82"/>
      <c r="LGO49" s="82"/>
      <c r="LGP49" s="82"/>
      <c r="LGQ49" s="82"/>
      <c r="LGR49" s="82"/>
      <c r="LGS49" s="82"/>
      <c r="LGT49" s="82"/>
      <c r="LGU49" s="82"/>
      <c r="LGV49" s="82"/>
      <c r="LGW49" s="82"/>
      <c r="LGX49" s="82"/>
      <c r="LGY49" s="82"/>
      <c r="LGZ49" s="82"/>
      <c r="LHA49" s="82"/>
      <c r="LHB49" s="82"/>
      <c r="LHC49" s="82"/>
      <c r="LHD49" s="82"/>
      <c r="LHE49" s="82"/>
      <c r="LHF49" s="82"/>
      <c r="LHG49" s="82"/>
      <c r="LHH49" s="82"/>
      <c r="LHI49" s="82"/>
      <c r="LHJ49" s="82"/>
      <c r="LHK49" s="82"/>
      <c r="LHL49" s="82"/>
      <c r="LHM49" s="82"/>
      <c r="LHN49" s="82"/>
      <c r="LHO49" s="82"/>
      <c r="LHP49" s="82"/>
      <c r="LHQ49" s="82"/>
      <c r="LHR49" s="82"/>
      <c r="LHS49" s="82"/>
      <c r="LHT49" s="82"/>
      <c r="LHU49" s="82"/>
      <c r="LHV49" s="82"/>
      <c r="LHW49" s="82"/>
      <c r="LHX49" s="82"/>
      <c r="LHY49" s="82"/>
      <c r="LHZ49" s="82"/>
      <c r="LIA49" s="82"/>
      <c r="LIB49" s="82"/>
      <c r="LIC49" s="82"/>
      <c r="LID49" s="82"/>
      <c r="LIE49" s="82"/>
      <c r="LIF49" s="82"/>
      <c r="LIG49" s="82"/>
      <c r="LIH49" s="82"/>
      <c r="LII49" s="82"/>
      <c r="LIJ49" s="82"/>
      <c r="LIK49" s="82"/>
      <c r="LIL49" s="82"/>
      <c r="LIM49" s="82"/>
      <c r="LIN49" s="82"/>
      <c r="LIO49" s="82"/>
      <c r="LIP49" s="82"/>
      <c r="LIQ49" s="82"/>
      <c r="LIR49" s="82"/>
      <c r="LIS49" s="82"/>
      <c r="LIT49" s="82"/>
      <c r="LIU49" s="82"/>
      <c r="LIV49" s="82"/>
      <c r="LIW49" s="82"/>
      <c r="LIX49" s="82"/>
      <c r="LIY49" s="82"/>
      <c r="LIZ49" s="82"/>
      <c r="LJA49" s="82"/>
      <c r="LJB49" s="82"/>
      <c r="LJC49" s="82"/>
      <c r="LJD49" s="82"/>
      <c r="LJE49" s="82"/>
      <c r="LJF49" s="82"/>
      <c r="LJG49" s="82"/>
      <c r="LJH49" s="82"/>
      <c r="LJI49" s="82"/>
      <c r="LJJ49" s="82"/>
      <c r="LJK49" s="82"/>
      <c r="LJL49" s="82"/>
      <c r="LJM49" s="82"/>
      <c r="LJN49" s="82"/>
      <c r="LJO49" s="82"/>
      <c r="LJP49" s="82"/>
      <c r="LJQ49" s="82"/>
      <c r="LJR49" s="82"/>
      <c r="LJS49" s="82"/>
      <c r="LJT49" s="82"/>
      <c r="LJU49" s="82"/>
      <c r="LJV49" s="82"/>
      <c r="LJW49" s="82"/>
      <c r="LJX49" s="82"/>
      <c r="LJY49" s="82"/>
      <c r="LJZ49" s="82"/>
      <c r="LKA49" s="82"/>
      <c r="LKB49" s="82"/>
      <c r="LKC49" s="82"/>
      <c r="LKD49" s="82"/>
      <c r="LKE49" s="82"/>
      <c r="LKF49" s="82"/>
      <c r="LKG49" s="82"/>
      <c r="LKH49" s="82"/>
      <c r="LKI49" s="82"/>
      <c r="LKJ49" s="82"/>
      <c r="LKK49" s="82"/>
      <c r="LKL49" s="82"/>
      <c r="LKM49" s="82"/>
      <c r="LKN49" s="82"/>
      <c r="LKO49" s="82"/>
      <c r="LKP49" s="82"/>
      <c r="LKQ49" s="82"/>
      <c r="LKR49" s="82"/>
      <c r="LKS49" s="82"/>
      <c r="LKT49" s="82"/>
      <c r="LKU49" s="82"/>
      <c r="LKV49" s="82"/>
      <c r="LKW49" s="82"/>
      <c r="LKX49" s="82"/>
      <c r="LKY49" s="82"/>
      <c r="LKZ49" s="82"/>
      <c r="LLA49" s="82"/>
      <c r="LLB49" s="82"/>
      <c r="LLC49" s="82"/>
      <c r="LLD49" s="82"/>
      <c r="LLE49" s="82"/>
      <c r="LLF49" s="82"/>
      <c r="LLG49" s="82"/>
      <c r="LLH49" s="82"/>
      <c r="LLI49" s="82"/>
      <c r="LLJ49" s="82"/>
      <c r="LLK49" s="82"/>
      <c r="LLL49" s="82"/>
      <c r="LLM49" s="82"/>
      <c r="LLN49" s="82"/>
      <c r="LLO49" s="82"/>
      <c r="LLP49" s="82"/>
      <c r="LLQ49" s="82"/>
      <c r="LLR49" s="82"/>
      <c r="LLS49" s="82"/>
      <c r="LLT49" s="82"/>
      <c r="LLU49" s="82"/>
      <c r="LLV49" s="82"/>
      <c r="LLW49" s="82"/>
      <c r="LLX49" s="82"/>
      <c r="LLY49" s="82"/>
      <c r="LLZ49" s="82"/>
      <c r="LMA49" s="82"/>
      <c r="LMB49" s="82"/>
      <c r="LMC49" s="82"/>
      <c r="LMD49" s="82"/>
      <c r="LME49" s="82"/>
      <c r="LMF49" s="82"/>
      <c r="LMG49" s="82"/>
      <c r="LMH49" s="82"/>
      <c r="LMI49" s="82"/>
      <c r="LMJ49" s="82"/>
      <c r="LMK49" s="82"/>
      <c r="LML49" s="82"/>
      <c r="LMM49" s="82"/>
      <c r="LMN49" s="82"/>
      <c r="LMO49" s="82"/>
      <c r="LMP49" s="82"/>
      <c r="LMQ49" s="82"/>
      <c r="LMR49" s="82"/>
      <c r="LMS49" s="82"/>
      <c r="LMT49" s="82"/>
      <c r="LMU49" s="82"/>
      <c r="LMV49" s="82"/>
      <c r="LMW49" s="82"/>
      <c r="LMX49" s="82"/>
      <c r="LMY49" s="82"/>
      <c r="LMZ49" s="82"/>
      <c r="LNA49" s="82"/>
      <c r="LNB49" s="82"/>
      <c r="LNC49" s="82"/>
      <c r="LND49" s="82"/>
      <c r="LNE49" s="82"/>
      <c r="LNF49" s="82"/>
      <c r="LNG49" s="82"/>
      <c r="LNH49" s="82"/>
      <c r="LNI49" s="82"/>
      <c r="LNJ49" s="82"/>
      <c r="LNK49" s="82"/>
      <c r="LNL49" s="82"/>
      <c r="LNM49" s="82"/>
      <c r="LNN49" s="82"/>
      <c r="LNO49" s="82"/>
      <c r="LNP49" s="82"/>
      <c r="LNQ49" s="82"/>
      <c r="LNR49" s="82"/>
      <c r="LNS49" s="82"/>
      <c r="LNT49" s="82"/>
      <c r="LNU49" s="82"/>
      <c r="LNV49" s="82"/>
      <c r="LNW49" s="82"/>
      <c r="LNX49" s="82"/>
      <c r="LNY49" s="82"/>
      <c r="LNZ49" s="82"/>
      <c r="LOA49" s="82"/>
      <c r="LOB49" s="82"/>
      <c r="LOC49" s="82"/>
      <c r="LOD49" s="82"/>
      <c r="LOE49" s="82"/>
      <c r="LOF49" s="82"/>
      <c r="LOG49" s="82"/>
      <c r="LOH49" s="82"/>
      <c r="LOI49" s="82"/>
      <c r="LOJ49" s="82"/>
      <c r="LOK49" s="82"/>
      <c r="LOL49" s="82"/>
      <c r="LOM49" s="82"/>
      <c r="LON49" s="82"/>
      <c r="LOO49" s="82"/>
      <c r="LOP49" s="82"/>
      <c r="LOQ49" s="82"/>
      <c r="LOR49" s="82"/>
      <c r="LOS49" s="82"/>
      <c r="LOT49" s="82"/>
      <c r="LOU49" s="82"/>
      <c r="LOV49" s="82"/>
      <c r="LOW49" s="82"/>
      <c r="LOX49" s="82"/>
      <c r="LOY49" s="82"/>
      <c r="LOZ49" s="82"/>
      <c r="LPA49" s="82"/>
      <c r="LPB49" s="82"/>
      <c r="LPC49" s="82"/>
      <c r="LPD49" s="82"/>
      <c r="LPE49" s="82"/>
      <c r="LPF49" s="82"/>
      <c r="LPG49" s="82"/>
      <c r="LPH49" s="82"/>
      <c r="LPI49" s="82"/>
      <c r="LPJ49" s="82"/>
      <c r="LPK49" s="82"/>
      <c r="LPL49" s="82"/>
      <c r="LPM49" s="82"/>
      <c r="LPN49" s="82"/>
      <c r="LPO49" s="82"/>
      <c r="LPP49" s="82"/>
      <c r="LPQ49" s="82"/>
      <c r="LPR49" s="82"/>
      <c r="LPS49" s="82"/>
      <c r="LPT49" s="82"/>
      <c r="LPU49" s="82"/>
      <c r="LPV49" s="82"/>
      <c r="LPW49" s="82"/>
      <c r="LPX49" s="82"/>
      <c r="LPY49" s="82"/>
      <c r="LPZ49" s="82"/>
      <c r="LQA49" s="82"/>
      <c r="LQB49" s="82"/>
      <c r="LQC49" s="82"/>
      <c r="LQD49" s="82"/>
      <c r="LQE49" s="82"/>
      <c r="LQF49" s="82"/>
      <c r="LQG49" s="82"/>
      <c r="LQH49" s="82"/>
      <c r="LQI49" s="82"/>
      <c r="LQJ49" s="82"/>
      <c r="LQK49" s="82"/>
      <c r="LQL49" s="82"/>
      <c r="LQM49" s="82"/>
      <c r="LQN49" s="82"/>
      <c r="LQO49" s="82"/>
      <c r="LQP49" s="82"/>
      <c r="LQQ49" s="82"/>
      <c r="LQR49" s="82"/>
      <c r="LQS49" s="82"/>
      <c r="LQT49" s="82"/>
      <c r="LQU49" s="82"/>
      <c r="LQV49" s="82"/>
      <c r="LQW49" s="82"/>
      <c r="LQX49" s="82"/>
      <c r="LQY49" s="82"/>
      <c r="LQZ49" s="82"/>
      <c r="LRA49" s="82"/>
      <c r="LRB49" s="82"/>
      <c r="LRC49" s="82"/>
      <c r="LRD49" s="82"/>
      <c r="LRE49" s="82"/>
      <c r="LRF49" s="82"/>
      <c r="LRG49" s="82"/>
      <c r="LRH49" s="82"/>
      <c r="LRI49" s="82"/>
      <c r="LRJ49" s="82"/>
      <c r="LRK49" s="82"/>
      <c r="LRL49" s="82"/>
      <c r="LRM49" s="82"/>
      <c r="LRN49" s="82"/>
      <c r="LRO49" s="82"/>
      <c r="LRP49" s="82"/>
      <c r="LRQ49" s="82"/>
      <c r="LRR49" s="82"/>
      <c r="LRS49" s="82"/>
      <c r="LRT49" s="82"/>
      <c r="LRU49" s="82"/>
      <c r="LRV49" s="82"/>
      <c r="LRW49" s="82"/>
      <c r="LRX49" s="82"/>
      <c r="LRY49" s="82"/>
      <c r="LRZ49" s="82"/>
      <c r="LSA49" s="82"/>
      <c r="LSB49" s="82"/>
      <c r="LSC49" s="82"/>
      <c r="LSD49" s="82"/>
      <c r="LSE49" s="82"/>
      <c r="LSF49" s="82"/>
      <c r="LSG49" s="82"/>
      <c r="LSH49" s="82"/>
      <c r="LSI49" s="82"/>
      <c r="LSJ49" s="82"/>
      <c r="LSK49" s="82"/>
      <c r="LSL49" s="82"/>
      <c r="LSM49" s="82"/>
      <c r="LSN49" s="82"/>
      <c r="LSO49" s="82"/>
      <c r="LSP49" s="82"/>
      <c r="LSQ49" s="82"/>
      <c r="LSR49" s="82"/>
      <c r="LSS49" s="82"/>
      <c r="LST49" s="82"/>
      <c r="LSU49" s="82"/>
      <c r="LSV49" s="82"/>
      <c r="LSW49" s="82"/>
      <c r="LSX49" s="82"/>
      <c r="LSY49" s="82"/>
      <c r="LSZ49" s="82"/>
      <c r="LTA49" s="82"/>
      <c r="LTB49" s="82"/>
      <c r="LTC49" s="82"/>
      <c r="LTD49" s="82"/>
      <c r="LTE49" s="82"/>
      <c r="LTF49" s="82"/>
      <c r="LTG49" s="82"/>
      <c r="LTH49" s="82"/>
      <c r="LTI49" s="82"/>
      <c r="LTJ49" s="82"/>
      <c r="LTK49" s="82"/>
      <c r="LTL49" s="82"/>
      <c r="LTM49" s="82"/>
      <c r="LTN49" s="82"/>
      <c r="LTO49" s="82"/>
      <c r="LTP49" s="82"/>
      <c r="LTQ49" s="82"/>
      <c r="LTR49" s="82"/>
      <c r="LTS49" s="82"/>
      <c r="LTT49" s="82"/>
      <c r="LTU49" s="82"/>
      <c r="LTV49" s="82"/>
      <c r="LTW49" s="82"/>
      <c r="LTX49" s="82"/>
      <c r="LTY49" s="82"/>
      <c r="LTZ49" s="82"/>
      <c r="LUA49" s="82"/>
      <c r="LUB49" s="82"/>
      <c r="LUC49" s="82"/>
      <c r="LUD49" s="82"/>
      <c r="LUE49" s="82"/>
      <c r="LUF49" s="82"/>
      <c r="LUG49" s="82"/>
      <c r="LUH49" s="82"/>
      <c r="LUI49" s="82"/>
      <c r="LUJ49" s="82"/>
      <c r="LUK49" s="82"/>
      <c r="LUL49" s="82"/>
      <c r="LUM49" s="82"/>
      <c r="LUN49" s="82"/>
      <c r="LUO49" s="82"/>
      <c r="LUP49" s="82"/>
      <c r="LUQ49" s="82"/>
      <c r="LUR49" s="82"/>
      <c r="LUS49" s="82"/>
      <c r="LUT49" s="82"/>
      <c r="LUU49" s="82"/>
      <c r="LUV49" s="82"/>
      <c r="LUW49" s="82"/>
      <c r="LUX49" s="82"/>
      <c r="LUY49" s="82"/>
      <c r="LUZ49" s="82"/>
      <c r="LVA49" s="82"/>
      <c r="LVB49" s="82"/>
      <c r="LVC49" s="82"/>
      <c r="LVD49" s="82"/>
      <c r="LVE49" s="82"/>
      <c r="LVF49" s="82"/>
      <c r="LVG49" s="82"/>
      <c r="LVH49" s="82"/>
      <c r="LVI49" s="82"/>
      <c r="LVJ49" s="82"/>
      <c r="LVK49" s="82"/>
      <c r="LVL49" s="82"/>
      <c r="LVM49" s="82"/>
      <c r="LVN49" s="82"/>
      <c r="LVO49" s="82"/>
      <c r="LVP49" s="82"/>
      <c r="LVQ49" s="82"/>
      <c r="LVR49" s="82"/>
      <c r="LVS49" s="82"/>
      <c r="LVT49" s="82"/>
      <c r="LVU49" s="82"/>
      <c r="LVV49" s="82"/>
      <c r="LVW49" s="82"/>
      <c r="LVX49" s="82"/>
      <c r="LVY49" s="82"/>
      <c r="LVZ49" s="82"/>
      <c r="LWA49" s="82"/>
      <c r="LWB49" s="82"/>
      <c r="LWC49" s="82"/>
      <c r="LWD49" s="82"/>
      <c r="LWE49" s="82"/>
      <c r="LWF49" s="82"/>
      <c r="LWG49" s="82"/>
      <c r="LWH49" s="82"/>
      <c r="LWI49" s="82"/>
      <c r="LWJ49" s="82"/>
      <c r="LWK49" s="82"/>
      <c r="LWL49" s="82"/>
      <c r="LWM49" s="82"/>
      <c r="LWN49" s="82"/>
      <c r="LWO49" s="82"/>
      <c r="LWP49" s="82"/>
      <c r="LWQ49" s="82"/>
      <c r="LWR49" s="82"/>
      <c r="LWS49" s="82"/>
      <c r="LWT49" s="82"/>
      <c r="LWU49" s="82"/>
      <c r="LWV49" s="82"/>
      <c r="LWW49" s="82"/>
      <c r="LWX49" s="82"/>
      <c r="LWY49" s="82"/>
      <c r="LWZ49" s="82"/>
      <c r="LXA49" s="82"/>
      <c r="LXB49" s="82"/>
      <c r="LXC49" s="82"/>
      <c r="LXD49" s="82"/>
      <c r="LXE49" s="82"/>
      <c r="LXF49" s="82"/>
      <c r="LXG49" s="82"/>
      <c r="LXH49" s="82"/>
      <c r="LXI49" s="82"/>
      <c r="LXJ49" s="82"/>
      <c r="LXK49" s="82"/>
      <c r="LXL49" s="82"/>
      <c r="LXM49" s="82"/>
      <c r="LXN49" s="82"/>
      <c r="LXO49" s="82"/>
      <c r="LXP49" s="82"/>
      <c r="LXQ49" s="82"/>
      <c r="LXR49" s="82"/>
      <c r="LXS49" s="82"/>
      <c r="LXT49" s="82"/>
      <c r="LXU49" s="82"/>
      <c r="LXV49" s="82"/>
      <c r="LXW49" s="82"/>
      <c r="LXX49" s="82"/>
      <c r="LXY49" s="82"/>
      <c r="LXZ49" s="82"/>
      <c r="LYA49" s="82"/>
      <c r="LYB49" s="82"/>
      <c r="LYC49" s="82"/>
      <c r="LYD49" s="82"/>
      <c r="LYE49" s="82"/>
      <c r="LYF49" s="82"/>
      <c r="LYG49" s="82"/>
      <c r="LYH49" s="82"/>
      <c r="LYI49" s="82"/>
      <c r="LYJ49" s="82"/>
      <c r="LYK49" s="82"/>
      <c r="LYL49" s="82"/>
      <c r="LYM49" s="82"/>
      <c r="LYN49" s="82"/>
      <c r="LYO49" s="82"/>
      <c r="LYP49" s="82"/>
      <c r="LYQ49" s="82"/>
      <c r="LYR49" s="82"/>
      <c r="LYS49" s="82"/>
      <c r="LYT49" s="82"/>
      <c r="LYU49" s="82"/>
      <c r="LYV49" s="82"/>
      <c r="LYW49" s="82"/>
      <c r="LYX49" s="82"/>
      <c r="LYY49" s="82"/>
      <c r="LYZ49" s="82"/>
      <c r="LZA49" s="82"/>
      <c r="LZB49" s="82"/>
      <c r="LZC49" s="82"/>
      <c r="LZD49" s="82"/>
      <c r="LZE49" s="82"/>
      <c r="LZF49" s="82"/>
      <c r="LZG49" s="82"/>
      <c r="LZH49" s="82"/>
      <c r="LZI49" s="82"/>
      <c r="LZJ49" s="82"/>
      <c r="LZK49" s="82"/>
      <c r="LZL49" s="82"/>
      <c r="LZM49" s="82"/>
      <c r="LZN49" s="82"/>
      <c r="LZO49" s="82"/>
      <c r="LZP49" s="82"/>
      <c r="LZQ49" s="82"/>
      <c r="LZR49" s="82"/>
      <c r="LZS49" s="82"/>
      <c r="LZT49" s="82"/>
      <c r="LZU49" s="82"/>
      <c r="LZV49" s="82"/>
      <c r="LZW49" s="82"/>
      <c r="LZX49" s="82"/>
      <c r="LZY49" s="82"/>
      <c r="LZZ49" s="82"/>
      <c r="MAA49" s="82"/>
      <c r="MAB49" s="82"/>
      <c r="MAC49" s="82"/>
      <c r="MAD49" s="82"/>
      <c r="MAE49" s="82"/>
      <c r="MAF49" s="82"/>
      <c r="MAG49" s="82"/>
      <c r="MAH49" s="82"/>
      <c r="MAI49" s="82"/>
      <c r="MAJ49" s="82"/>
      <c r="MAK49" s="82"/>
      <c r="MAL49" s="82"/>
      <c r="MAM49" s="82"/>
      <c r="MAN49" s="82"/>
      <c r="MAO49" s="82"/>
      <c r="MAP49" s="82"/>
      <c r="MAQ49" s="82"/>
      <c r="MAR49" s="82"/>
      <c r="MAS49" s="82"/>
      <c r="MAT49" s="82"/>
      <c r="MAU49" s="82"/>
      <c r="MAV49" s="82"/>
      <c r="MAW49" s="82"/>
      <c r="MAX49" s="82"/>
      <c r="MAY49" s="82"/>
      <c r="MAZ49" s="82"/>
      <c r="MBA49" s="82"/>
      <c r="MBB49" s="82"/>
      <c r="MBC49" s="82"/>
      <c r="MBD49" s="82"/>
      <c r="MBE49" s="82"/>
      <c r="MBF49" s="82"/>
      <c r="MBG49" s="82"/>
      <c r="MBH49" s="82"/>
      <c r="MBI49" s="82"/>
      <c r="MBJ49" s="82"/>
      <c r="MBK49" s="82"/>
      <c r="MBL49" s="82"/>
      <c r="MBM49" s="82"/>
      <c r="MBN49" s="82"/>
      <c r="MBO49" s="82"/>
      <c r="MBP49" s="82"/>
      <c r="MBQ49" s="82"/>
      <c r="MBR49" s="82"/>
      <c r="MBS49" s="82"/>
      <c r="MBT49" s="82"/>
      <c r="MBU49" s="82"/>
      <c r="MBV49" s="82"/>
      <c r="MBW49" s="82"/>
      <c r="MBX49" s="82"/>
      <c r="MBY49" s="82"/>
      <c r="MBZ49" s="82"/>
      <c r="MCA49" s="82"/>
      <c r="MCB49" s="82"/>
      <c r="MCC49" s="82"/>
      <c r="MCD49" s="82"/>
      <c r="MCE49" s="82"/>
      <c r="MCF49" s="82"/>
      <c r="MCG49" s="82"/>
      <c r="MCH49" s="82"/>
      <c r="MCI49" s="82"/>
      <c r="MCJ49" s="82"/>
      <c r="MCK49" s="82"/>
      <c r="MCL49" s="82"/>
      <c r="MCM49" s="82"/>
      <c r="MCN49" s="82"/>
      <c r="MCO49" s="82"/>
      <c r="MCP49" s="82"/>
      <c r="MCQ49" s="82"/>
      <c r="MCR49" s="82"/>
      <c r="MCS49" s="82"/>
      <c r="MCT49" s="82"/>
      <c r="MCU49" s="82"/>
      <c r="MCV49" s="82"/>
      <c r="MCW49" s="82"/>
      <c r="MCX49" s="82"/>
      <c r="MCY49" s="82"/>
      <c r="MCZ49" s="82"/>
      <c r="MDA49" s="82"/>
      <c r="MDB49" s="82"/>
      <c r="MDC49" s="82"/>
      <c r="MDD49" s="82"/>
      <c r="MDE49" s="82"/>
      <c r="MDF49" s="82"/>
      <c r="MDG49" s="82"/>
      <c r="MDH49" s="82"/>
      <c r="MDI49" s="82"/>
      <c r="MDJ49" s="82"/>
      <c r="MDK49" s="82"/>
      <c r="MDL49" s="82"/>
      <c r="MDM49" s="82"/>
      <c r="MDN49" s="82"/>
      <c r="MDO49" s="82"/>
      <c r="MDP49" s="82"/>
      <c r="MDQ49" s="82"/>
      <c r="MDR49" s="82"/>
      <c r="MDS49" s="82"/>
      <c r="MDT49" s="82"/>
      <c r="MDU49" s="82"/>
      <c r="MDV49" s="82"/>
      <c r="MDW49" s="82"/>
      <c r="MDX49" s="82"/>
      <c r="MDY49" s="82"/>
      <c r="MDZ49" s="82"/>
      <c r="MEA49" s="82"/>
      <c r="MEB49" s="82"/>
      <c r="MEC49" s="82"/>
      <c r="MED49" s="82"/>
      <c r="MEE49" s="82"/>
      <c r="MEF49" s="82"/>
      <c r="MEG49" s="82"/>
      <c r="MEH49" s="82"/>
      <c r="MEI49" s="82"/>
      <c r="MEJ49" s="82"/>
      <c r="MEK49" s="82"/>
      <c r="MEL49" s="82"/>
      <c r="MEM49" s="82"/>
      <c r="MEN49" s="82"/>
      <c r="MEO49" s="82"/>
      <c r="MEP49" s="82"/>
      <c r="MEQ49" s="82"/>
      <c r="MER49" s="82"/>
      <c r="MES49" s="82"/>
      <c r="MET49" s="82"/>
      <c r="MEU49" s="82"/>
      <c r="MEV49" s="82"/>
      <c r="MEW49" s="82"/>
      <c r="MEX49" s="82"/>
      <c r="MEY49" s="82"/>
      <c r="MEZ49" s="82"/>
      <c r="MFA49" s="82"/>
      <c r="MFB49" s="82"/>
      <c r="MFC49" s="82"/>
      <c r="MFD49" s="82"/>
      <c r="MFE49" s="82"/>
      <c r="MFF49" s="82"/>
      <c r="MFG49" s="82"/>
      <c r="MFH49" s="82"/>
      <c r="MFI49" s="82"/>
      <c r="MFJ49" s="82"/>
      <c r="MFK49" s="82"/>
      <c r="MFL49" s="82"/>
      <c r="MFM49" s="82"/>
      <c r="MFN49" s="82"/>
      <c r="MFO49" s="82"/>
      <c r="MFP49" s="82"/>
      <c r="MFQ49" s="82"/>
      <c r="MFR49" s="82"/>
      <c r="MFS49" s="82"/>
      <c r="MFT49" s="82"/>
      <c r="MFU49" s="82"/>
      <c r="MFV49" s="82"/>
      <c r="MFW49" s="82"/>
      <c r="MFX49" s="82"/>
      <c r="MFY49" s="82"/>
      <c r="MFZ49" s="82"/>
      <c r="MGA49" s="82"/>
      <c r="MGB49" s="82"/>
      <c r="MGC49" s="82"/>
      <c r="MGD49" s="82"/>
      <c r="MGE49" s="82"/>
      <c r="MGF49" s="82"/>
      <c r="MGG49" s="82"/>
      <c r="MGH49" s="82"/>
      <c r="MGI49" s="82"/>
      <c r="MGJ49" s="82"/>
      <c r="MGK49" s="82"/>
      <c r="MGL49" s="82"/>
      <c r="MGM49" s="82"/>
      <c r="MGN49" s="82"/>
      <c r="MGO49" s="82"/>
      <c r="MGP49" s="82"/>
      <c r="MGQ49" s="82"/>
      <c r="MGR49" s="82"/>
      <c r="MGS49" s="82"/>
      <c r="MGT49" s="82"/>
      <c r="MGU49" s="82"/>
      <c r="MGV49" s="82"/>
      <c r="MGW49" s="82"/>
      <c r="MGX49" s="82"/>
      <c r="MGY49" s="82"/>
      <c r="MGZ49" s="82"/>
      <c r="MHA49" s="82"/>
      <c r="MHB49" s="82"/>
      <c r="MHC49" s="82"/>
      <c r="MHD49" s="82"/>
      <c r="MHE49" s="82"/>
      <c r="MHF49" s="82"/>
      <c r="MHG49" s="82"/>
      <c r="MHH49" s="82"/>
      <c r="MHI49" s="82"/>
      <c r="MHJ49" s="82"/>
      <c r="MHK49" s="82"/>
      <c r="MHL49" s="82"/>
      <c r="MHM49" s="82"/>
      <c r="MHN49" s="82"/>
      <c r="MHO49" s="82"/>
      <c r="MHP49" s="82"/>
      <c r="MHQ49" s="82"/>
      <c r="MHR49" s="82"/>
      <c r="MHS49" s="82"/>
      <c r="MHT49" s="82"/>
      <c r="MHU49" s="82"/>
      <c r="MHV49" s="82"/>
      <c r="MHW49" s="82"/>
      <c r="MHX49" s="82"/>
      <c r="MHY49" s="82"/>
      <c r="MHZ49" s="82"/>
      <c r="MIA49" s="82"/>
      <c r="MIB49" s="82"/>
      <c r="MIC49" s="82"/>
      <c r="MID49" s="82"/>
      <c r="MIE49" s="82"/>
      <c r="MIF49" s="82"/>
      <c r="MIG49" s="82"/>
      <c r="MIH49" s="82"/>
      <c r="MII49" s="82"/>
      <c r="MIJ49" s="82"/>
      <c r="MIK49" s="82"/>
      <c r="MIL49" s="82"/>
      <c r="MIM49" s="82"/>
      <c r="MIN49" s="82"/>
      <c r="MIO49" s="82"/>
      <c r="MIP49" s="82"/>
      <c r="MIQ49" s="82"/>
      <c r="MIR49" s="82"/>
      <c r="MIS49" s="82"/>
      <c r="MIT49" s="82"/>
      <c r="MIU49" s="82"/>
      <c r="MIV49" s="82"/>
      <c r="MIW49" s="82"/>
      <c r="MIX49" s="82"/>
      <c r="MIY49" s="82"/>
      <c r="MIZ49" s="82"/>
      <c r="MJA49" s="82"/>
      <c r="MJB49" s="82"/>
      <c r="MJC49" s="82"/>
      <c r="MJD49" s="82"/>
      <c r="MJE49" s="82"/>
      <c r="MJF49" s="82"/>
      <c r="MJG49" s="82"/>
      <c r="MJH49" s="82"/>
      <c r="MJI49" s="82"/>
      <c r="MJJ49" s="82"/>
      <c r="MJK49" s="82"/>
      <c r="MJL49" s="82"/>
      <c r="MJM49" s="82"/>
      <c r="MJN49" s="82"/>
      <c r="MJO49" s="82"/>
      <c r="MJP49" s="82"/>
      <c r="MJQ49" s="82"/>
      <c r="MJR49" s="82"/>
      <c r="MJS49" s="82"/>
      <c r="MJT49" s="82"/>
      <c r="MJU49" s="82"/>
      <c r="MJV49" s="82"/>
      <c r="MJW49" s="82"/>
      <c r="MJX49" s="82"/>
      <c r="MJY49" s="82"/>
      <c r="MJZ49" s="82"/>
      <c r="MKA49" s="82"/>
      <c r="MKB49" s="82"/>
      <c r="MKC49" s="82"/>
      <c r="MKD49" s="82"/>
      <c r="MKE49" s="82"/>
      <c r="MKF49" s="82"/>
      <c r="MKG49" s="82"/>
      <c r="MKH49" s="82"/>
      <c r="MKI49" s="82"/>
      <c r="MKJ49" s="82"/>
      <c r="MKK49" s="82"/>
      <c r="MKL49" s="82"/>
      <c r="MKM49" s="82"/>
      <c r="MKN49" s="82"/>
      <c r="MKO49" s="82"/>
      <c r="MKP49" s="82"/>
      <c r="MKQ49" s="82"/>
      <c r="MKR49" s="82"/>
      <c r="MKS49" s="82"/>
      <c r="MKT49" s="82"/>
      <c r="MKU49" s="82"/>
      <c r="MKV49" s="82"/>
      <c r="MKW49" s="82"/>
      <c r="MKX49" s="82"/>
      <c r="MKY49" s="82"/>
      <c r="MKZ49" s="82"/>
      <c r="MLA49" s="82"/>
      <c r="MLB49" s="82"/>
      <c r="MLC49" s="82"/>
      <c r="MLD49" s="82"/>
      <c r="MLE49" s="82"/>
      <c r="MLF49" s="82"/>
      <c r="MLG49" s="82"/>
      <c r="MLH49" s="82"/>
      <c r="MLI49" s="82"/>
      <c r="MLJ49" s="82"/>
      <c r="MLK49" s="82"/>
      <c r="MLL49" s="82"/>
      <c r="MLM49" s="82"/>
      <c r="MLN49" s="82"/>
      <c r="MLO49" s="82"/>
      <c r="MLP49" s="82"/>
      <c r="MLQ49" s="82"/>
      <c r="MLR49" s="82"/>
      <c r="MLS49" s="82"/>
      <c r="MLT49" s="82"/>
      <c r="MLU49" s="82"/>
      <c r="MLV49" s="82"/>
      <c r="MLW49" s="82"/>
      <c r="MLX49" s="82"/>
      <c r="MLY49" s="82"/>
      <c r="MLZ49" s="82"/>
      <c r="MMA49" s="82"/>
      <c r="MMB49" s="82"/>
      <c r="MMC49" s="82"/>
      <c r="MMD49" s="82"/>
      <c r="MME49" s="82"/>
      <c r="MMF49" s="82"/>
      <c r="MMG49" s="82"/>
      <c r="MMH49" s="82"/>
      <c r="MMI49" s="82"/>
      <c r="MMJ49" s="82"/>
      <c r="MMK49" s="82"/>
      <c r="MML49" s="82"/>
      <c r="MMM49" s="82"/>
      <c r="MMN49" s="82"/>
      <c r="MMO49" s="82"/>
      <c r="MMP49" s="82"/>
      <c r="MMQ49" s="82"/>
      <c r="MMR49" s="82"/>
      <c r="MMS49" s="82"/>
      <c r="MMT49" s="82"/>
      <c r="MMU49" s="82"/>
      <c r="MMV49" s="82"/>
      <c r="MMW49" s="82"/>
      <c r="MMX49" s="82"/>
      <c r="MMY49" s="82"/>
      <c r="MMZ49" s="82"/>
      <c r="MNA49" s="82"/>
      <c r="MNB49" s="82"/>
      <c r="MNC49" s="82"/>
      <c r="MND49" s="82"/>
      <c r="MNE49" s="82"/>
      <c r="MNF49" s="82"/>
      <c r="MNG49" s="82"/>
      <c r="MNH49" s="82"/>
      <c r="MNI49" s="82"/>
      <c r="MNJ49" s="82"/>
      <c r="MNK49" s="82"/>
      <c r="MNL49" s="82"/>
      <c r="MNM49" s="82"/>
      <c r="MNN49" s="82"/>
      <c r="MNO49" s="82"/>
      <c r="MNP49" s="82"/>
      <c r="MNQ49" s="82"/>
      <c r="MNR49" s="82"/>
      <c r="MNS49" s="82"/>
      <c r="MNT49" s="82"/>
      <c r="MNU49" s="82"/>
      <c r="MNV49" s="82"/>
      <c r="MNW49" s="82"/>
      <c r="MNX49" s="82"/>
      <c r="MNY49" s="82"/>
      <c r="MNZ49" s="82"/>
      <c r="MOA49" s="82"/>
      <c r="MOB49" s="82"/>
      <c r="MOC49" s="82"/>
      <c r="MOD49" s="82"/>
      <c r="MOE49" s="82"/>
      <c r="MOF49" s="82"/>
      <c r="MOG49" s="82"/>
      <c r="MOH49" s="82"/>
      <c r="MOI49" s="82"/>
      <c r="MOJ49" s="82"/>
      <c r="MOK49" s="82"/>
      <c r="MOL49" s="82"/>
      <c r="MOM49" s="82"/>
      <c r="MON49" s="82"/>
      <c r="MOO49" s="82"/>
      <c r="MOP49" s="82"/>
      <c r="MOQ49" s="82"/>
      <c r="MOR49" s="82"/>
      <c r="MOS49" s="82"/>
      <c r="MOT49" s="82"/>
      <c r="MOU49" s="82"/>
      <c r="MOV49" s="82"/>
      <c r="MOW49" s="82"/>
      <c r="MOX49" s="82"/>
      <c r="MOY49" s="82"/>
      <c r="MOZ49" s="82"/>
      <c r="MPA49" s="82"/>
      <c r="MPB49" s="82"/>
      <c r="MPC49" s="82"/>
      <c r="MPD49" s="82"/>
      <c r="MPE49" s="82"/>
      <c r="MPF49" s="82"/>
      <c r="MPG49" s="82"/>
      <c r="MPH49" s="82"/>
      <c r="MPI49" s="82"/>
      <c r="MPJ49" s="82"/>
      <c r="MPK49" s="82"/>
      <c r="MPL49" s="82"/>
      <c r="MPM49" s="82"/>
      <c r="MPN49" s="82"/>
      <c r="MPO49" s="82"/>
      <c r="MPP49" s="82"/>
      <c r="MPQ49" s="82"/>
      <c r="MPR49" s="82"/>
      <c r="MPS49" s="82"/>
      <c r="MPT49" s="82"/>
      <c r="MPU49" s="82"/>
      <c r="MPV49" s="82"/>
      <c r="MPW49" s="82"/>
      <c r="MPX49" s="82"/>
      <c r="MPY49" s="82"/>
      <c r="MPZ49" s="82"/>
      <c r="MQA49" s="82"/>
      <c r="MQB49" s="82"/>
      <c r="MQC49" s="82"/>
      <c r="MQD49" s="82"/>
      <c r="MQE49" s="82"/>
      <c r="MQF49" s="82"/>
      <c r="MQG49" s="82"/>
      <c r="MQH49" s="82"/>
      <c r="MQI49" s="82"/>
      <c r="MQJ49" s="82"/>
      <c r="MQK49" s="82"/>
      <c r="MQL49" s="82"/>
      <c r="MQM49" s="82"/>
      <c r="MQN49" s="82"/>
      <c r="MQO49" s="82"/>
      <c r="MQP49" s="82"/>
      <c r="MQQ49" s="82"/>
      <c r="MQR49" s="82"/>
      <c r="MQS49" s="82"/>
      <c r="MQT49" s="82"/>
      <c r="MQU49" s="82"/>
      <c r="MQV49" s="82"/>
      <c r="MQW49" s="82"/>
      <c r="MQX49" s="82"/>
      <c r="MQY49" s="82"/>
      <c r="MQZ49" s="82"/>
      <c r="MRA49" s="82"/>
      <c r="MRB49" s="82"/>
      <c r="MRC49" s="82"/>
      <c r="MRD49" s="82"/>
      <c r="MRE49" s="82"/>
      <c r="MRF49" s="82"/>
      <c r="MRG49" s="82"/>
      <c r="MRH49" s="82"/>
      <c r="MRI49" s="82"/>
      <c r="MRJ49" s="82"/>
      <c r="MRK49" s="82"/>
      <c r="MRL49" s="82"/>
      <c r="MRM49" s="82"/>
      <c r="MRN49" s="82"/>
      <c r="MRO49" s="82"/>
      <c r="MRP49" s="82"/>
      <c r="MRQ49" s="82"/>
      <c r="MRR49" s="82"/>
      <c r="MRS49" s="82"/>
      <c r="MRT49" s="82"/>
      <c r="MRU49" s="82"/>
      <c r="MRV49" s="82"/>
      <c r="MRW49" s="82"/>
      <c r="MRX49" s="82"/>
      <c r="MRY49" s="82"/>
      <c r="MRZ49" s="82"/>
      <c r="MSA49" s="82"/>
      <c r="MSB49" s="82"/>
      <c r="MSC49" s="82"/>
      <c r="MSD49" s="82"/>
      <c r="MSE49" s="82"/>
      <c r="MSF49" s="82"/>
      <c r="MSG49" s="82"/>
      <c r="MSH49" s="82"/>
      <c r="MSI49" s="82"/>
      <c r="MSJ49" s="82"/>
      <c r="MSK49" s="82"/>
      <c r="MSL49" s="82"/>
      <c r="MSM49" s="82"/>
      <c r="MSN49" s="82"/>
      <c r="MSO49" s="82"/>
      <c r="MSP49" s="82"/>
      <c r="MSQ49" s="82"/>
      <c r="MSR49" s="82"/>
      <c r="MSS49" s="82"/>
      <c r="MST49" s="82"/>
      <c r="MSU49" s="82"/>
      <c r="MSV49" s="82"/>
      <c r="MSW49" s="82"/>
      <c r="MSX49" s="82"/>
      <c r="MSY49" s="82"/>
      <c r="MSZ49" s="82"/>
      <c r="MTA49" s="82"/>
      <c r="MTB49" s="82"/>
      <c r="MTC49" s="82"/>
      <c r="MTD49" s="82"/>
      <c r="MTE49" s="82"/>
      <c r="MTF49" s="82"/>
      <c r="MTG49" s="82"/>
      <c r="MTH49" s="82"/>
      <c r="MTI49" s="82"/>
      <c r="MTJ49" s="82"/>
      <c r="MTK49" s="82"/>
      <c r="MTL49" s="82"/>
      <c r="MTM49" s="82"/>
      <c r="MTN49" s="82"/>
      <c r="MTO49" s="82"/>
      <c r="MTP49" s="82"/>
      <c r="MTQ49" s="82"/>
      <c r="MTR49" s="82"/>
      <c r="MTS49" s="82"/>
      <c r="MTT49" s="82"/>
      <c r="MTU49" s="82"/>
      <c r="MTV49" s="82"/>
      <c r="MTW49" s="82"/>
      <c r="MTX49" s="82"/>
      <c r="MTY49" s="82"/>
      <c r="MTZ49" s="82"/>
      <c r="MUA49" s="82"/>
      <c r="MUB49" s="82"/>
      <c r="MUC49" s="82"/>
      <c r="MUD49" s="82"/>
      <c r="MUE49" s="82"/>
      <c r="MUF49" s="82"/>
      <c r="MUG49" s="82"/>
      <c r="MUH49" s="82"/>
      <c r="MUI49" s="82"/>
      <c r="MUJ49" s="82"/>
      <c r="MUK49" s="82"/>
      <c r="MUL49" s="82"/>
      <c r="MUM49" s="82"/>
      <c r="MUN49" s="82"/>
      <c r="MUO49" s="82"/>
      <c r="MUP49" s="82"/>
      <c r="MUQ49" s="82"/>
      <c r="MUR49" s="82"/>
      <c r="MUS49" s="82"/>
      <c r="MUT49" s="82"/>
      <c r="MUU49" s="82"/>
      <c r="MUV49" s="82"/>
      <c r="MUW49" s="82"/>
      <c r="MUX49" s="82"/>
      <c r="MUY49" s="82"/>
      <c r="MUZ49" s="82"/>
      <c r="MVA49" s="82"/>
      <c r="MVB49" s="82"/>
      <c r="MVC49" s="82"/>
      <c r="MVD49" s="82"/>
      <c r="MVE49" s="82"/>
      <c r="MVF49" s="82"/>
      <c r="MVG49" s="82"/>
      <c r="MVH49" s="82"/>
      <c r="MVI49" s="82"/>
      <c r="MVJ49" s="82"/>
      <c r="MVK49" s="82"/>
      <c r="MVL49" s="82"/>
      <c r="MVM49" s="82"/>
      <c r="MVN49" s="82"/>
      <c r="MVO49" s="82"/>
      <c r="MVP49" s="82"/>
      <c r="MVQ49" s="82"/>
      <c r="MVR49" s="82"/>
      <c r="MVS49" s="82"/>
      <c r="MVT49" s="82"/>
      <c r="MVU49" s="82"/>
      <c r="MVV49" s="82"/>
      <c r="MVW49" s="82"/>
      <c r="MVX49" s="82"/>
      <c r="MVY49" s="82"/>
      <c r="MVZ49" s="82"/>
      <c r="MWA49" s="82"/>
      <c r="MWB49" s="82"/>
      <c r="MWC49" s="82"/>
      <c r="MWD49" s="82"/>
      <c r="MWE49" s="82"/>
      <c r="MWF49" s="82"/>
      <c r="MWG49" s="82"/>
      <c r="MWH49" s="82"/>
      <c r="MWI49" s="82"/>
      <c r="MWJ49" s="82"/>
      <c r="MWK49" s="82"/>
      <c r="MWL49" s="82"/>
      <c r="MWM49" s="82"/>
      <c r="MWN49" s="82"/>
      <c r="MWO49" s="82"/>
      <c r="MWP49" s="82"/>
      <c r="MWQ49" s="82"/>
      <c r="MWR49" s="82"/>
      <c r="MWS49" s="82"/>
      <c r="MWT49" s="82"/>
      <c r="MWU49" s="82"/>
      <c r="MWV49" s="82"/>
      <c r="MWW49" s="82"/>
      <c r="MWX49" s="82"/>
      <c r="MWY49" s="82"/>
      <c r="MWZ49" s="82"/>
      <c r="MXA49" s="82"/>
      <c r="MXB49" s="82"/>
      <c r="MXC49" s="82"/>
      <c r="MXD49" s="82"/>
      <c r="MXE49" s="82"/>
      <c r="MXF49" s="82"/>
      <c r="MXG49" s="82"/>
      <c r="MXH49" s="82"/>
      <c r="MXI49" s="82"/>
      <c r="MXJ49" s="82"/>
      <c r="MXK49" s="82"/>
      <c r="MXL49" s="82"/>
      <c r="MXM49" s="82"/>
      <c r="MXN49" s="82"/>
      <c r="MXO49" s="82"/>
      <c r="MXP49" s="82"/>
      <c r="MXQ49" s="82"/>
      <c r="MXR49" s="82"/>
      <c r="MXS49" s="82"/>
      <c r="MXT49" s="82"/>
      <c r="MXU49" s="82"/>
      <c r="MXV49" s="82"/>
      <c r="MXW49" s="82"/>
      <c r="MXX49" s="82"/>
      <c r="MXY49" s="82"/>
      <c r="MXZ49" s="82"/>
      <c r="MYA49" s="82"/>
      <c r="MYB49" s="82"/>
      <c r="MYC49" s="82"/>
      <c r="MYD49" s="82"/>
      <c r="MYE49" s="82"/>
      <c r="MYF49" s="82"/>
      <c r="MYG49" s="82"/>
      <c r="MYH49" s="82"/>
      <c r="MYI49" s="82"/>
      <c r="MYJ49" s="82"/>
      <c r="MYK49" s="82"/>
      <c r="MYL49" s="82"/>
      <c r="MYM49" s="82"/>
      <c r="MYN49" s="82"/>
      <c r="MYO49" s="82"/>
      <c r="MYP49" s="82"/>
      <c r="MYQ49" s="82"/>
      <c r="MYR49" s="82"/>
      <c r="MYS49" s="82"/>
      <c r="MYT49" s="82"/>
      <c r="MYU49" s="82"/>
      <c r="MYV49" s="82"/>
      <c r="MYW49" s="82"/>
      <c r="MYX49" s="82"/>
      <c r="MYY49" s="82"/>
      <c r="MYZ49" s="82"/>
      <c r="MZA49" s="82"/>
      <c r="MZB49" s="82"/>
      <c r="MZC49" s="82"/>
      <c r="MZD49" s="82"/>
      <c r="MZE49" s="82"/>
      <c r="MZF49" s="82"/>
      <c r="MZG49" s="82"/>
      <c r="MZH49" s="82"/>
      <c r="MZI49" s="82"/>
      <c r="MZJ49" s="82"/>
      <c r="MZK49" s="82"/>
      <c r="MZL49" s="82"/>
      <c r="MZM49" s="82"/>
      <c r="MZN49" s="82"/>
      <c r="MZO49" s="82"/>
      <c r="MZP49" s="82"/>
      <c r="MZQ49" s="82"/>
      <c r="MZR49" s="82"/>
      <c r="MZS49" s="82"/>
      <c r="MZT49" s="82"/>
      <c r="MZU49" s="82"/>
      <c r="MZV49" s="82"/>
      <c r="MZW49" s="82"/>
      <c r="MZX49" s="82"/>
      <c r="MZY49" s="82"/>
      <c r="MZZ49" s="82"/>
      <c r="NAA49" s="82"/>
      <c r="NAB49" s="82"/>
      <c r="NAC49" s="82"/>
      <c r="NAD49" s="82"/>
      <c r="NAE49" s="82"/>
      <c r="NAF49" s="82"/>
      <c r="NAG49" s="82"/>
      <c r="NAH49" s="82"/>
      <c r="NAI49" s="82"/>
      <c r="NAJ49" s="82"/>
      <c r="NAK49" s="82"/>
      <c r="NAL49" s="82"/>
      <c r="NAM49" s="82"/>
      <c r="NAN49" s="82"/>
      <c r="NAO49" s="82"/>
      <c r="NAP49" s="82"/>
      <c r="NAQ49" s="82"/>
      <c r="NAR49" s="82"/>
      <c r="NAS49" s="82"/>
      <c r="NAT49" s="82"/>
      <c r="NAU49" s="82"/>
      <c r="NAV49" s="82"/>
      <c r="NAW49" s="82"/>
      <c r="NAX49" s="82"/>
      <c r="NAY49" s="82"/>
      <c r="NAZ49" s="82"/>
      <c r="NBA49" s="82"/>
      <c r="NBB49" s="82"/>
      <c r="NBC49" s="82"/>
      <c r="NBD49" s="82"/>
      <c r="NBE49" s="82"/>
      <c r="NBF49" s="82"/>
      <c r="NBG49" s="82"/>
      <c r="NBH49" s="82"/>
      <c r="NBI49" s="82"/>
      <c r="NBJ49" s="82"/>
      <c r="NBK49" s="82"/>
      <c r="NBL49" s="82"/>
      <c r="NBM49" s="82"/>
      <c r="NBN49" s="82"/>
      <c r="NBO49" s="82"/>
      <c r="NBP49" s="82"/>
      <c r="NBQ49" s="82"/>
      <c r="NBR49" s="82"/>
      <c r="NBS49" s="82"/>
      <c r="NBT49" s="82"/>
      <c r="NBU49" s="82"/>
      <c r="NBV49" s="82"/>
      <c r="NBW49" s="82"/>
      <c r="NBX49" s="82"/>
      <c r="NBY49" s="82"/>
      <c r="NBZ49" s="82"/>
      <c r="NCA49" s="82"/>
      <c r="NCB49" s="82"/>
      <c r="NCC49" s="82"/>
      <c r="NCD49" s="82"/>
      <c r="NCE49" s="82"/>
      <c r="NCF49" s="82"/>
      <c r="NCG49" s="82"/>
      <c r="NCH49" s="82"/>
      <c r="NCI49" s="82"/>
      <c r="NCJ49" s="82"/>
      <c r="NCK49" s="82"/>
      <c r="NCL49" s="82"/>
      <c r="NCM49" s="82"/>
      <c r="NCN49" s="82"/>
      <c r="NCO49" s="82"/>
      <c r="NCP49" s="82"/>
      <c r="NCQ49" s="82"/>
      <c r="NCR49" s="82"/>
      <c r="NCS49" s="82"/>
      <c r="NCT49" s="82"/>
      <c r="NCU49" s="82"/>
      <c r="NCV49" s="82"/>
      <c r="NCW49" s="82"/>
      <c r="NCX49" s="82"/>
      <c r="NCY49" s="82"/>
      <c r="NCZ49" s="82"/>
      <c r="NDA49" s="82"/>
      <c r="NDB49" s="82"/>
      <c r="NDC49" s="82"/>
      <c r="NDD49" s="82"/>
      <c r="NDE49" s="82"/>
      <c r="NDF49" s="82"/>
      <c r="NDG49" s="82"/>
      <c r="NDH49" s="82"/>
      <c r="NDI49" s="82"/>
      <c r="NDJ49" s="82"/>
      <c r="NDK49" s="82"/>
      <c r="NDL49" s="82"/>
      <c r="NDM49" s="82"/>
      <c r="NDN49" s="82"/>
      <c r="NDO49" s="82"/>
      <c r="NDP49" s="82"/>
      <c r="NDQ49" s="82"/>
      <c r="NDR49" s="82"/>
      <c r="NDS49" s="82"/>
      <c r="NDT49" s="82"/>
      <c r="NDU49" s="82"/>
      <c r="NDV49" s="82"/>
      <c r="NDW49" s="82"/>
      <c r="NDX49" s="82"/>
      <c r="NDY49" s="82"/>
      <c r="NDZ49" s="82"/>
      <c r="NEA49" s="82"/>
      <c r="NEB49" s="82"/>
      <c r="NEC49" s="82"/>
      <c r="NED49" s="82"/>
      <c r="NEE49" s="82"/>
      <c r="NEF49" s="82"/>
      <c r="NEG49" s="82"/>
      <c r="NEH49" s="82"/>
      <c r="NEI49" s="82"/>
      <c r="NEJ49" s="82"/>
      <c r="NEK49" s="82"/>
      <c r="NEL49" s="82"/>
      <c r="NEM49" s="82"/>
      <c r="NEN49" s="82"/>
      <c r="NEO49" s="82"/>
      <c r="NEP49" s="82"/>
      <c r="NEQ49" s="82"/>
      <c r="NER49" s="82"/>
      <c r="NES49" s="82"/>
      <c r="NET49" s="82"/>
      <c r="NEU49" s="82"/>
      <c r="NEV49" s="82"/>
      <c r="NEW49" s="82"/>
      <c r="NEX49" s="82"/>
      <c r="NEY49" s="82"/>
      <c r="NEZ49" s="82"/>
      <c r="NFA49" s="82"/>
      <c r="NFB49" s="82"/>
      <c r="NFC49" s="82"/>
      <c r="NFD49" s="82"/>
      <c r="NFE49" s="82"/>
      <c r="NFF49" s="82"/>
      <c r="NFG49" s="82"/>
      <c r="NFH49" s="82"/>
      <c r="NFI49" s="82"/>
      <c r="NFJ49" s="82"/>
      <c r="NFK49" s="82"/>
      <c r="NFL49" s="82"/>
      <c r="NFM49" s="82"/>
      <c r="NFN49" s="82"/>
      <c r="NFO49" s="82"/>
      <c r="NFP49" s="82"/>
      <c r="NFQ49" s="82"/>
      <c r="NFR49" s="82"/>
      <c r="NFS49" s="82"/>
      <c r="NFT49" s="82"/>
      <c r="NFU49" s="82"/>
      <c r="NFV49" s="82"/>
      <c r="NFW49" s="82"/>
      <c r="NFX49" s="82"/>
      <c r="NFY49" s="82"/>
      <c r="NFZ49" s="82"/>
      <c r="NGA49" s="82"/>
      <c r="NGB49" s="82"/>
      <c r="NGC49" s="82"/>
      <c r="NGD49" s="82"/>
      <c r="NGE49" s="82"/>
      <c r="NGF49" s="82"/>
      <c r="NGG49" s="82"/>
      <c r="NGH49" s="82"/>
      <c r="NGI49" s="82"/>
      <c r="NGJ49" s="82"/>
      <c r="NGK49" s="82"/>
      <c r="NGL49" s="82"/>
      <c r="NGM49" s="82"/>
      <c r="NGN49" s="82"/>
      <c r="NGO49" s="82"/>
      <c r="NGP49" s="82"/>
      <c r="NGQ49" s="82"/>
      <c r="NGR49" s="82"/>
      <c r="NGS49" s="82"/>
      <c r="NGT49" s="82"/>
      <c r="NGU49" s="82"/>
      <c r="NGV49" s="82"/>
      <c r="NGW49" s="82"/>
      <c r="NGX49" s="82"/>
      <c r="NGY49" s="82"/>
      <c r="NGZ49" s="82"/>
      <c r="NHA49" s="82"/>
      <c r="NHB49" s="82"/>
      <c r="NHC49" s="82"/>
      <c r="NHD49" s="82"/>
      <c r="NHE49" s="82"/>
      <c r="NHF49" s="82"/>
      <c r="NHG49" s="82"/>
      <c r="NHH49" s="82"/>
      <c r="NHI49" s="82"/>
      <c r="NHJ49" s="82"/>
      <c r="NHK49" s="82"/>
      <c r="NHL49" s="82"/>
      <c r="NHM49" s="82"/>
      <c r="NHN49" s="82"/>
      <c r="NHO49" s="82"/>
      <c r="NHP49" s="82"/>
      <c r="NHQ49" s="82"/>
      <c r="NHR49" s="82"/>
      <c r="NHS49" s="82"/>
      <c r="NHT49" s="82"/>
      <c r="NHU49" s="82"/>
      <c r="NHV49" s="82"/>
      <c r="NHW49" s="82"/>
      <c r="NHX49" s="82"/>
      <c r="NHY49" s="82"/>
      <c r="NHZ49" s="82"/>
      <c r="NIA49" s="82"/>
      <c r="NIB49" s="82"/>
      <c r="NIC49" s="82"/>
      <c r="NID49" s="82"/>
      <c r="NIE49" s="82"/>
      <c r="NIF49" s="82"/>
      <c r="NIG49" s="82"/>
      <c r="NIH49" s="82"/>
      <c r="NII49" s="82"/>
      <c r="NIJ49" s="82"/>
      <c r="NIK49" s="82"/>
      <c r="NIL49" s="82"/>
      <c r="NIM49" s="82"/>
      <c r="NIN49" s="82"/>
      <c r="NIO49" s="82"/>
      <c r="NIP49" s="82"/>
      <c r="NIQ49" s="82"/>
      <c r="NIR49" s="82"/>
      <c r="NIS49" s="82"/>
      <c r="NIT49" s="82"/>
      <c r="NIU49" s="82"/>
      <c r="NIV49" s="82"/>
      <c r="NIW49" s="82"/>
      <c r="NIX49" s="82"/>
      <c r="NIY49" s="82"/>
      <c r="NIZ49" s="82"/>
      <c r="NJA49" s="82"/>
      <c r="NJB49" s="82"/>
      <c r="NJC49" s="82"/>
      <c r="NJD49" s="82"/>
      <c r="NJE49" s="82"/>
      <c r="NJF49" s="82"/>
      <c r="NJG49" s="82"/>
      <c r="NJH49" s="82"/>
      <c r="NJI49" s="82"/>
      <c r="NJJ49" s="82"/>
      <c r="NJK49" s="82"/>
      <c r="NJL49" s="82"/>
      <c r="NJM49" s="82"/>
      <c r="NJN49" s="82"/>
      <c r="NJO49" s="82"/>
      <c r="NJP49" s="82"/>
      <c r="NJQ49" s="82"/>
      <c r="NJR49" s="82"/>
      <c r="NJS49" s="82"/>
      <c r="NJT49" s="82"/>
      <c r="NJU49" s="82"/>
      <c r="NJV49" s="82"/>
      <c r="NJW49" s="82"/>
      <c r="NJX49" s="82"/>
      <c r="NJY49" s="82"/>
      <c r="NJZ49" s="82"/>
      <c r="NKA49" s="82"/>
      <c r="NKB49" s="82"/>
      <c r="NKC49" s="82"/>
      <c r="NKD49" s="82"/>
      <c r="NKE49" s="82"/>
      <c r="NKF49" s="82"/>
      <c r="NKG49" s="82"/>
      <c r="NKH49" s="82"/>
      <c r="NKI49" s="82"/>
      <c r="NKJ49" s="82"/>
      <c r="NKK49" s="82"/>
      <c r="NKL49" s="82"/>
      <c r="NKM49" s="82"/>
      <c r="NKN49" s="82"/>
      <c r="NKO49" s="82"/>
      <c r="NKP49" s="82"/>
      <c r="NKQ49" s="82"/>
      <c r="NKR49" s="82"/>
      <c r="NKS49" s="82"/>
      <c r="NKT49" s="82"/>
      <c r="NKU49" s="82"/>
      <c r="NKV49" s="82"/>
      <c r="NKW49" s="82"/>
      <c r="NKX49" s="82"/>
      <c r="NKY49" s="82"/>
      <c r="NKZ49" s="82"/>
      <c r="NLA49" s="82"/>
      <c r="NLB49" s="82"/>
      <c r="NLC49" s="82"/>
      <c r="NLD49" s="82"/>
      <c r="NLE49" s="82"/>
      <c r="NLF49" s="82"/>
      <c r="NLG49" s="82"/>
      <c r="NLH49" s="82"/>
      <c r="NLI49" s="82"/>
      <c r="NLJ49" s="82"/>
      <c r="NLK49" s="82"/>
      <c r="NLL49" s="82"/>
      <c r="NLM49" s="82"/>
      <c r="NLN49" s="82"/>
      <c r="NLO49" s="82"/>
      <c r="NLP49" s="82"/>
      <c r="NLQ49" s="82"/>
      <c r="NLR49" s="82"/>
      <c r="NLS49" s="82"/>
      <c r="NLT49" s="82"/>
      <c r="NLU49" s="82"/>
      <c r="NLV49" s="82"/>
      <c r="NLW49" s="82"/>
      <c r="NLX49" s="82"/>
      <c r="NLY49" s="82"/>
      <c r="NLZ49" s="82"/>
      <c r="NMA49" s="82"/>
      <c r="NMB49" s="82"/>
      <c r="NMC49" s="82"/>
      <c r="NMD49" s="82"/>
      <c r="NME49" s="82"/>
      <c r="NMF49" s="82"/>
      <c r="NMG49" s="82"/>
      <c r="NMH49" s="82"/>
      <c r="NMI49" s="82"/>
      <c r="NMJ49" s="82"/>
      <c r="NMK49" s="82"/>
      <c r="NML49" s="82"/>
      <c r="NMM49" s="82"/>
      <c r="NMN49" s="82"/>
      <c r="NMO49" s="82"/>
      <c r="NMP49" s="82"/>
      <c r="NMQ49" s="82"/>
      <c r="NMR49" s="82"/>
      <c r="NMS49" s="82"/>
      <c r="NMT49" s="82"/>
      <c r="NMU49" s="82"/>
      <c r="NMV49" s="82"/>
      <c r="NMW49" s="82"/>
      <c r="NMX49" s="82"/>
      <c r="NMY49" s="82"/>
      <c r="NMZ49" s="82"/>
      <c r="NNA49" s="82"/>
      <c r="NNB49" s="82"/>
      <c r="NNC49" s="82"/>
      <c r="NND49" s="82"/>
      <c r="NNE49" s="82"/>
      <c r="NNF49" s="82"/>
      <c r="NNG49" s="82"/>
      <c r="NNH49" s="82"/>
      <c r="NNI49" s="82"/>
      <c r="NNJ49" s="82"/>
      <c r="NNK49" s="82"/>
      <c r="NNL49" s="82"/>
      <c r="NNM49" s="82"/>
      <c r="NNN49" s="82"/>
      <c r="NNO49" s="82"/>
      <c r="NNP49" s="82"/>
      <c r="NNQ49" s="82"/>
      <c r="NNR49" s="82"/>
      <c r="NNS49" s="82"/>
      <c r="NNT49" s="82"/>
      <c r="NNU49" s="82"/>
      <c r="NNV49" s="82"/>
      <c r="NNW49" s="82"/>
      <c r="NNX49" s="82"/>
      <c r="NNY49" s="82"/>
      <c r="NNZ49" s="82"/>
      <c r="NOA49" s="82"/>
      <c r="NOB49" s="82"/>
      <c r="NOC49" s="82"/>
      <c r="NOD49" s="82"/>
      <c r="NOE49" s="82"/>
      <c r="NOF49" s="82"/>
      <c r="NOG49" s="82"/>
      <c r="NOH49" s="82"/>
      <c r="NOI49" s="82"/>
      <c r="NOJ49" s="82"/>
      <c r="NOK49" s="82"/>
      <c r="NOL49" s="82"/>
      <c r="NOM49" s="82"/>
      <c r="NON49" s="82"/>
      <c r="NOO49" s="82"/>
      <c r="NOP49" s="82"/>
      <c r="NOQ49" s="82"/>
      <c r="NOR49" s="82"/>
      <c r="NOS49" s="82"/>
      <c r="NOT49" s="82"/>
      <c r="NOU49" s="82"/>
      <c r="NOV49" s="82"/>
      <c r="NOW49" s="82"/>
      <c r="NOX49" s="82"/>
      <c r="NOY49" s="82"/>
      <c r="NOZ49" s="82"/>
      <c r="NPA49" s="82"/>
      <c r="NPB49" s="82"/>
      <c r="NPC49" s="82"/>
      <c r="NPD49" s="82"/>
      <c r="NPE49" s="82"/>
      <c r="NPF49" s="82"/>
      <c r="NPG49" s="82"/>
      <c r="NPH49" s="82"/>
      <c r="NPI49" s="82"/>
      <c r="NPJ49" s="82"/>
      <c r="NPK49" s="82"/>
      <c r="NPL49" s="82"/>
      <c r="NPM49" s="82"/>
      <c r="NPN49" s="82"/>
      <c r="NPO49" s="82"/>
      <c r="NPP49" s="82"/>
      <c r="NPQ49" s="82"/>
      <c r="NPR49" s="82"/>
      <c r="NPS49" s="82"/>
      <c r="NPT49" s="82"/>
      <c r="NPU49" s="82"/>
      <c r="NPV49" s="82"/>
      <c r="NPW49" s="82"/>
      <c r="NPX49" s="82"/>
      <c r="NPY49" s="82"/>
      <c r="NPZ49" s="82"/>
      <c r="NQA49" s="82"/>
      <c r="NQB49" s="82"/>
      <c r="NQC49" s="82"/>
      <c r="NQD49" s="82"/>
      <c r="NQE49" s="82"/>
      <c r="NQF49" s="82"/>
      <c r="NQG49" s="82"/>
      <c r="NQH49" s="82"/>
      <c r="NQI49" s="82"/>
      <c r="NQJ49" s="82"/>
      <c r="NQK49" s="82"/>
      <c r="NQL49" s="82"/>
      <c r="NQM49" s="82"/>
      <c r="NQN49" s="82"/>
      <c r="NQO49" s="82"/>
      <c r="NQP49" s="82"/>
      <c r="NQQ49" s="82"/>
      <c r="NQR49" s="82"/>
      <c r="NQS49" s="82"/>
      <c r="NQT49" s="82"/>
      <c r="NQU49" s="82"/>
      <c r="NQV49" s="82"/>
      <c r="NQW49" s="82"/>
      <c r="NQX49" s="82"/>
      <c r="NQY49" s="82"/>
      <c r="NQZ49" s="82"/>
      <c r="NRA49" s="82"/>
      <c r="NRB49" s="82"/>
      <c r="NRC49" s="82"/>
      <c r="NRD49" s="82"/>
      <c r="NRE49" s="82"/>
      <c r="NRF49" s="82"/>
      <c r="NRG49" s="82"/>
      <c r="NRH49" s="82"/>
      <c r="NRI49" s="82"/>
      <c r="NRJ49" s="82"/>
      <c r="NRK49" s="82"/>
      <c r="NRL49" s="82"/>
      <c r="NRM49" s="82"/>
      <c r="NRN49" s="82"/>
      <c r="NRO49" s="82"/>
      <c r="NRP49" s="82"/>
      <c r="NRQ49" s="82"/>
      <c r="NRR49" s="82"/>
      <c r="NRS49" s="82"/>
      <c r="NRT49" s="82"/>
      <c r="NRU49" s="82"/>
      <c r="NRV49" s="82"/>
      <c r="NRW49" s="82"/>
      <c r="NRX49" s="82"/>
      <c r="NRY49" s="82"/>
      <c r="NRZ49" s="82"/>
      <c r="NSA49" s="82"/>
      <c r="NSB49" s="82"/>
      <c r="NSC49" s="82"/>
      <c r="NSD49" s="82"/>
      <c r="NSE49" s="82"/>
      <c r="NSF49" s="82"/>
      <c r="NSG49" s="82"/>
      <c r="NSH49" s="82"/>
      <c r="NSI49" s="82"/>
      <c r="NSJ49" s="82"/>
      <c r="NSK49" s="82"/>
      <c r="NSL49" s="82"/>
      <c r="NSM49" s="82"/>
      <c r="NSN49" s="82"/>
      <c r="NSO49" s="82"/>
      <c r="NSP49" s="82"/>
      <c r="NSQ49" s="82"/>
      <c r="NSR49" s="82"/>
      <c r="NSS49" s="82"/>
      <c r="NST49" s="82"/>
      <c r="NSU49" s="82"/>
      <c r="NSV49" s="82"/>
      <c r="NSW49" s="82"/>
      <c r="NSX49" s="82"/>
      <c r="NSY49" s="82"/>
      <c r="NSZ49" s="82"/>
      <c r="NTA49" s="82"/>
      <c r="NTB49" s="82"/>
      <c r="NTC49" s="82"/>
      <c r="NTD49" s="82"/>
      <c r="NTE49" s="82"/>
      <c r="NTF49" s="82"/>
      <c r="NTG49" s="82"/>
      <c r="NTH49" s="82"/>
      <c r="NTI49" s="82"/>
      <c r="NTJ49" s="82"/>
      <c r="NTK49" s="82"/>
      <c r="NTL49" s="82"/>
      <c r="NTM49" s="82"/>
      <c r="NTN49" s="82"/>
      <c r="NTO49" s="82"/>
      <c r="NTP49" s="82"/>
      <c r="NTQ49" s="82"/>
      <c r="NTR49" s="82"/>
      <c r="NTS49" s="82"/>
      <c r="NTT49" s="82"/>
      <c r="NTU49" s="82"/>
      <c r="NTV49" s="82"/>
      <c r="NTW49" s="82"/>
      <c r="NTX49" s="82"/>
      <c r="NTY49" s="82"/>
      <c r="NTZ49" s="82"/>
      <c r="NUA49" s="82"/>
      <c r="NUB49" s="82"/>
      <c r="NUC49" s="82"/>
      <c r="NUD49" s="82"/>
      <c r="NUE49" s="82"/>
      <c r="NUF49" s="82"/>
      <c r="NUG49" s="82"/>
      <c r="NUH49" s="82"/>
      <c r="NUI49" s="82"/>
      <c r="NUJ49" s="82"/>
      <c r="NUK49" s="82"/>
      <c r="NUL49" s="82"/>
      <c r="NUM49" s="82"/>
      <c r="NUN49" s="82"/>
      <c r="NUO49" s="82"/>
      <c r="NUP49" s="82"/>
      <c r="NUQ49" s="82"/>
      <c r="NUR49" s="82"/>
      <c r="NUS49" s="82"/>
      <c r="NUT49" s="82"/>
      <c r="NUU49" s="82"/>
      <c r="NUV49" s="82"/>
      <c r="NUW49" s="82"/>
      <c r="NUX49" s="82"/>
      <c r="NUY49" s="82"/>
      <c r="NUZ49" s="82"/>
      <c r="NVA49" s="82"/>
      <c r="NVB49" s="82"/>
      <c r="NVC49" s="82"/>
      <c r="NVD49" s="82"/>
      <c r="NVE49" s="82"/>
      <c r="NVF49" s="82"/>
      <c r="NVG49" s="82"/>
      <c r="NVH49" s="82"/>
      <c r="NVI49" s="82"/>
      <c r="NVJ49" s="82"/>
      <c r="NVK49" s="82"/>
      <c r="NVL49" s="82"/>
      <c r="NVM49" s="82"/>
      <c r="NVN49" s="82"/>
      <c r="NVO49" s="82"/>
      <c r="NVP49" s="82"/>
      <c r="NVQ49" s="82"/>
      <c r="NVR49" s="82"/>
      <c r="NVS49" s="82"/>
      <c r="NVT49" s="82"/>
      <c r="NVU49" s="82"/>
      <c r="NVV49" s="82"/>
      <c r="NVW49" s="82"/>
      <c r="NVX49" s="82"/>
      <c r="NVY49" s="82"/>
      <c r="NVZ49" s="82"/>
      <c r="NWA49" s="82"/>
      <c r="NWB49" s="82"/>
      <c r="NWC49" s="82"/>
      <c r="NWD49" s="82"/>
      <c r="NWE49" s="82"/>
      <c r="NWF49" s="82"/>
      <c r="NWG49" s="82"/>
      <c r="NWH49" s="82"/>
      <c r="NWI49" s="82"/>
      <c r="NWJ49" s="82"/>
      <c r="NWK49" s="82"/>
      <c r="NWL49" s="82"/>
      <c r="NWM49" s="82"/>
      <c r="NWN49" s="82"/>
      <c r="NWO49" s="82"/>
      <c r="NWP49" s="82"/>
      <c r="NWQ49" s="82"/>
      <c r="NWR49" s="82"/>
      <c r="NWS49" s="82"/>
      <c r="NWT49" s="82"/>
      <c r="NWU49" s="82"/>
      <c r="NWV49" s="82"/>
      <c r="NWW49" s="82"/>
      <c r="NWX49" s="82"/>
      <c r="NWY49" s="82"/>
      <c r="NWZ49" s="82"/>
      <c r="NXA49" s="82"/>
      <c r="NXB49" s="82"/>
      <c r="NXC49" s="82"/>
      <c r="NXD49" s="82"/>
      <c r="NXE49" s="82"/>
      <c r="NXF49" s="82"/>
      <c r="NXG49" s="82"/>
      <c r="NXH49" s="82"/>
      <c r="NXI49" s="82"/>
      <c r="NXJ49" s="82"/>
      <c r="NXK49" s="82"/>
      <c r="NXL49" s="82"/>
      <c r="NXM49" s="82"/>
      <c r="NXN49" s="82"/>
      <c r="NXO49" s="82"/>
      <c r="NXP49" s="82"/>
      <c r="NXQ49" s="82"/>
      <c r="NXR49" s="82"/>
      <c r="NXS49" s="82"/>
      <c r="NXT49" s="82"/>
      <c r="NXU49" s="82"/>
      <c r="NXV49" s="82"/>
      <c r="NXW49" s="82"/>
      <c r="NXX49" s="82"/>
      <c r="NXY49" s="82"/>
      <c r="NXZ49" s="82"/>
      <c r="NYA49" s="82"/>
      <c r="NYB49" s="82"/>
      <c r="NYC49" s="82"/>
      <c r="NYD49" s="82"/>
      <c r="NYE49" s="82"/>
      <c r="NYF49" s="82"/>
      <c r="NYG49" s="82"/>
      <c r="NYH49" s="82"/>
      <c r="NYI49" s="82"/>
      <c r="NYJ49" s="82"/>
      <c r="NYK49" s="82"/>
      <c r="NYL49" s="82"/>
      <c r="NYM49" s="82"/>
      <c r="NYN49" s="82"/>
      <c r="NYO49" s="82"/>
      <c r="NYP49" s="82"/>
      <c r="NYQ49" s="82"/>
      <c r="NYR49" s="82"/>
      <c r="NYS49" s="82"/>
      <c r="NYT49" s="82"/>
      <c r="NYU49" s="82"/>
      <c r="NYV49" s="82"/>
      <c r="NYW49" s="82"/>
      <c r="NYX49" s="82"/>
      <c r="NYY49" s="82"/>
      <c r="NYZ49" s="82"/>
      <c r="NZA49" s="82"/>
      <c r="NZB49" s="82"/>
      <c r="NZC49" s="82"/>
      <c r="NZD49" s="82"/>
      <c r="NZE49" s="82"/>
      <c r="NZF49" s="82"/>
      <c r="NZG49" s="82"/>
      <c r="NZH49" s="82"/>
      <c r="NZI49" s="82"/>
      <c r="NZJ49" s="82"/>
      <c r="NZK49" s="82"/>
      <c r="NZL49" s="82"/>
      <c r="NZM49" s="82"/>
      <c r="NZN49" s="82"/>
      <c r="NZO49" s="82"/>
      <c r="NZP49" s="82"/>
      <c r="NZQ49" s="82"/>
      <c r="NZR49" s="82"/>
      <c r="NZS49" s="82"/>
      <c r="NZT49" s="82"/>
      <c r="NZU49" s="82"/>
      <c r="NZV49" s="82"/>
      <c r="NZW49" s="82"/>
      <c r="NZX49" s="82"/>
      <c r="NZY49" s="82"/>
      <c r="NZZ49" s="82"/>
      <c r="OAA49" s="82"/>
      <c r="OAB49" s="82"/>
      <c r="OAC49" s="82"/>
      <c r="OAD49" s="82"/>
      <c r="OAE49" s="82"/>
      <c r="OAF49" s="82"/>
      <c r="OAG49" s="82"/>
      <c r="OAH49" s="82"/>
      <c r="OAI49" s="82"/>
      <c r="OAJ49" s="82"/>
      <c r="OAK49" s="82"/>
      <c r="OAL49" s="82"/>
      <c r="OAM49" s="82"/>
      <c r="OAN49" s="82"/>
      <c r="OAO49" s="82"/>
      <c r="OAP49" s="82"/>
      <c r="OAQ49" s="82"/>
      <c r="OAR49" s="82"/>
      <c r="OAS49" s="82"/>
      <c r="OAT49" s="82"/>
      <c r="OAU49" s="82"/>
      <c r="OAV49" s="82"/>
      <c r="OAW49" s="82"/>
      <c r="OAX49" s="82"/>
      <c r="OAY49" s="82"/>
      <c r="OAZ49" s="82"/>
      <c r="OBA49" s="82"/>
      <c r="OBB49" s="82"/>
      <c r="OBC49" s="82"/>
      <c r="OBD49" s="82"/>
      <c r="OBE49" s="82"/>
      <c r="OBF49" s="82"/>
      <c r="OBG49" s="82"/>
      <c r="OBH49" s="82"/>
      <c r="OBI49" s="82"/>
      <c r="OBJ49" s="82"/>
      <c r="OBK49" s="82"/>
      <c r="OBL49" s="82"/>
      <c r="OBM49" s="82"/>
      <c r="OBN49" s="82"/>
      <c r="OBO49" s="82"/>
      <c r="OBP49" s="82"/>
      <c r="OBQ49" s="82"/>
      <c r="OBR49" s="82"/>
      <c r="OBS49" s="82"/>
      <c r="OBT49" s="82"/>
      <c r="OBU49" s="82"/>
      <c r="OBV49" s="82"/>
      <c r="OBW49" s="82"/>
      <c r="OBX49" s="82"/>
      <c r="OBY49" s="82"/>
      <c r="OBZ49" s="82"/>
      <c r="OCA49" s="82"/>
      <c r="OCB49" s="82"/>
      <c r="OCC49" s="82"/>
      <c r="OCD49" s="82"/>
      <c r="OCE49" s="82"/>
      <c r="OCF49" s="82"/>
      <c r="OCG49" s="82"/>
      <c r="OCH49" s="82"/>
      <c r="OCI49" s="82"/>
      <c r="OCJ49" s="82"/>
      <c r="OCK49" s="82"/>
      <c r="OCL49" s="82"/>
      <c r="OCM49" s="82"/>
      <c r="OCN49" s="82"/>
      <c r="OCO49" s="82"/>
      <c r="OCP49" s="82"/>
      <c r="OCQ49" s="82"/>
      <c r="OCR49" s="82"/>
      <c r="OCS49" s="82"/>
      <c r="OCT49" s="82"/>
      <c r="OCU49" s="82"/>
      <c r="OCV49" s="82"/>
      <c r="OCW49" s="82"/>
      <c r="OCX49" s="82"/>
      <c r="OCY49" s="82"/>
      <c r="OCZ49" s="82"/>
      <c r="ODA49" s="82"/>
      <c r="ODB49" s="82"/>
      <c r="ODC49" s="82"/>
      <c r="ODD49" s="82"/>
      <c r="ODE49" s="82"/>
      <c r="ODF49" s="82"/>
      <c r="ODG49" s="82"/>
      <c r="ODH49" s="82"/>
      <c r="ODI49" s="82"/>
      <c r="ODJ49" s="82"/>
      <c r="ODK49" s="82"/>
      <c r="ODL49" s="82"/>
      <c r="ODM49" s="82"/>
      <c r="ODN49" s="82"/>
      <c r="ODO49" s="82"/>
      <c r="ODP49" s="82"/>
      <c r="ODQ49" s="82"/>
      <c r="ODR49" s="82"/>
      <c r="ODS49" s="82"/>
      <c r="ODT49" s="82"/>
      <c r="ODU49" s="82"/>
      <c r="ODV49" s="82"/>
      <c r="ODW49" s="82"/>
      <c r="ODX49" s="82"/>
      <c r="ODY49" s="82"/>
      <c r="ODZ49" s="82"/>
      <c r="OEA49" s="82"/>
      <c r="OEB49" s="82"/>
      <c r="OEC49" s="82"/>
      <c r="OED49" s="82"/>
      <c r="OEE49" s="82"/>
      <c r="OEF49" s="82"/>
      <c r="OEG49" s="82"/>
      <c r="OEH49" s="82"/>
      <c r="OEI49" s="82"/>
      <c r="OEJ49" s="82"/>
      <c r="OEK49" s="82"/>
      <c r="OEL49" s="82"/>
      <c r="OEM49" s="82"/>
      <c r="OEN49" s="82"/>
      <c r="OEO49" s="82"/>
      <c r="OEP49" s="82"/>
      <c r="OEQ49" s="82"/>
      <c r="OER49" s="82"/>
      <c r="OES49" s="82"/>
      <c r="OET49" s="82"/>
      <c r="OEU49" s="82"/>
      <c r="OEV49" s="82"/>
      <c r="OEW49" s="82"/>
      <c r="OEX49" s="82"/>
      <c r="OEY49" s="82"/>
      <c r="OEZ49" s="82"/>
      <c r="OFA49" s="82"/>
      <c r="OFB49" s="82"/>
      <c r="OFC49" s="82"/>
      <c r="OFD49" s="82"/>
      <c r="OFE49" s="82"/>
      <c r="OFF49" s="82"/>
      <c r="OFG49" s="82"/>
      <c r="OFH49" s="82"/>
      <c r="OFI49" s="82"/>
      <c r="OFJ49" s="82"/>
      <c r="OFK49" s="82"/>
      <c r="OFL49" s="82"/>
      <c r="OFM49" s="82"/>
      <c r="OFN49" s="82"/>
      <c r="OFO49" s="82"/>
      <c r="OFP49" s="82"/>
      <c r="OFQ49" s="82"/>
      <c r="OFR49" s="82"/>
      <c r="OFS49" s="82"/>
      <c r="OFT49" s="82"/>
      <c r="OFU49" s="82"/>
      <c r="OFV49" s="82"/>
      <c r="OFW49" s="82"/>
      <c r="OFX49" s="82"/>
      <c r="OFY49" s="82"/>
      <c r="OFZ49" s="82"/>
      <c r="OGA49" s="82"/>
      <c r="OGB49" s="82"/>
      <c r="OGC49" s="82"/>
      <c r="OGD49" s="82"/>
      <c r="OGE49" s="82"/>
      <c r="OGF49" s="82"/>
      <c r="OGG49" s="82"/>
      <c r="OGH49" s="82"/>
      <c r="OGI49" s="82"/>
      <c r="OGJ49" s="82"/>
      <c r="OGK49" s="82"/>
      <c r="OGL49" s="82"/>
      <c r="OGM49" s="82"/>
      <c r="OGN49" s="82"/>
      <c r="OGO49" s="82"/>
      <c r="OGP49" s="82"/>
      <c r="OGQ49" s="82"/>
      <c r="OGR49" s="82"/>
      <c r="OGS49" s="82"/>
      <c r="OGT49" s="82"/>
      <c r="OGU49" s="82"/>
      <c r="OGV49" s="82"/>
      <c r="OGW49" s="82"/>
      <c r="OGX49" s="82"/>
      <c r="OGY49" s="82"/>
      <c r="OGZ49" s="82"/>
      <c r="OHA49" s="82"/>
      <c r="OHB49" s="82"/>
      <c r="OHC49" s="82"/>
      <c r="OHD49" s="82"/>
      <c r="OHE49" s="82"/>
      <c r="OHF49" s="82"/>
      <c r="OHG49" s="82"/>
      <c r="OHH49" s="82"/>
      <c r="OHI49" s="82"/>
      <c r="OHJ49" s="82"/>
      <c r="OHK49" s="82"/>
      <c r="OHL49" s="82"/>
      <c r="OHM49" s="82"/>
      <c r="OHN49" s="82"/>
      <c r="OHO49" s="82"/>
      <c r="OHP49" s="82"/>
      <c r="OHQ49" s="82"/>
      <c r="OHR49" s="82"/>
      <c r="OHS49" s="82"/>
      <c r="OHT49" s="82"/>
      <c r="OHU49" s="82"/>
      <c r="OHV49" s="82"/>
      <c r="OHW49" s="82"/>
      <c r="OHX49" s="82"/>
      <c r="OHY49" s="82"/>
      <c r="OHZ49" s="82"/>
      <c r="OIA49" s="82"/>
      <c r="OIB49" s="82"/>
      <c r="OIC49" s="82"/>
      <c r="OID49" s="82"/>
      <c r="OIE49" s="82"/>
      <c r="OIF49" s="82"/>
      <c r="OIG49" s="82"/>
      <c r="OIH49" s="82"/>
      <c r="OII49" s="82"/>
      <c r="OIJ49" s="82"/>
      <c r="OIK49" s="82"/>
      <c r="OIL49" s="82"/>
      <c r="OIM49" s="82"/>
      <c r="OIN49" s="82"/>
      <c r="OIO49" s="82"/>
      <c r="OIP49" s="82"/>
      <c r="OIQ49" s="82"/>
      <c r="OIR49" s="82"/>
      <c r="OIS49" s="82"/>
      <c r="OIT49" s="82"/>
      <c r="OIU49" s="82"/>
      <c r="OIV49" s="82"/>
      <c r="OIW49" s="82"/>
      <c r="OIX49" s="82"/>
      <c r="OIY49" s="82"/>
      <c r="OIZ49" s="82"/>
      <c r="OJA49" s="82"/>
      <c r="OJB49" s="82"/>
      <c r="OJC49" s="82"/>
      <c r="OJD49" s="82"/>
      <c r="OJE49" s="82"/>
      <c r="OJF49" s="82"/>
      <c r="OJG49" s="82"/>
      <c r="OJH49" s="82"/>
      <c r="OJI49" s="82"/>
      <c r="OJJ49" s="82"/>
      <c r="OJK49" s="82"/>
      <c r="OJL49" s="82"/>
      <c r="OJM49" s="82"/>
      <c r="OJN49" s="82"/>
      <c r="OJO49" s="82"/>
      <c r="OJP49" s="82"/>
      <c r="OJQ49" s="82"/>
      <c r="OJR49" s="82"/>
      <c r="OJS49" s="82"/>
      <c r="OJT49" s="82"/>
      <c r="OJU49" s="82"/>
      <c r="OJV49" s="82"/>
      <c r="OJW49" s="82"/>
      <c r="OJX49" s="82"/>
      <c r="OJY49" s="82"/>
      <c r="OJZ49" s="82"/>
      <c r="OKA49" s="82"/>
      <c r="OKB49" s="82"/>
      <c r="OKC49" s="82"/>
      <c r="OKD49" s="82"/>
      <c r="OKE49" s="82"/>
      <c r="OKF49" s="82"/>
      <c r="OKG49" s="82"/>
      <c r="OKH49" s="82"/>
      <c r="OKI49" s="82"/>
      <c r="OKJ49" s="82"/>
      <c r="OKK49" s="82"/>
      <c r="OKL49" s="82"/>
      <c r="OKM49" s="82"/>
      <c r="OKN49" s="82"/>
      <c r="OKO49" s="82"/>
      <c r="OKP49" s="82"/>
      <c r="OKQ49" s="82"/>
      <c r="OKR49" s="82"/>
      <c r="OKS49" s="82"/>
      <c r="OKT49" s="82"/>
      <c r="OKU49" s="82"/>
      <c r="OKV49" s="82"/>
      <c r="OKW49" s="82"/>
      <c r="OKX49" s="82"/>
      <c r="OKY49" s="82"/>
      <c r="OKZ49" s="82"/>
      <c r="OLA49" s="82"/>
      <c r="OLB49" s="82"/>
      <c r="OLC49" s="82"/>
      <c r="OLD49" s="82"/>
      <c r="OLE49" s="82"/>
      <c r="OLF49" s="82"/>
      <c r="OLG49" s="82"/>
      <c r="OLH49" s="82"/>
      <c r="OLI49" s="82"/>
      <c r="OLJ49" s="82"/>
      <c r="OLK49" s="82"/>
      <c r="OLL49" s="82"/>
      <c r="OLM49" s="82"/>
      <c r="OLN49" s="82"/>
      <c r="OLO49" s="82"/>
      <c r="OLP49" s="82"/>
      <c r="OLQ49" s="82"/>
      <c r="OLR49" s="82"/>
      <c r="OLS49" s="82"/>
      <c r="OLT49" s="82"/>
      <c r="OLU49" s="82"/>
      <c r="OLV49" s="82"/>
      <c r="OLW49" s="82"/>
      <c r="OLX49" s="82"/>
      <c r="OLY49" s="82"/>
      <c r="OLZ49" s="82"/>
      <c r="OMA49" s="82"/>
      <c r="OMB49" s="82"/>
      <c r="OMC49" s="82"/>
      <c r="OMD49" s="82"/>
      <c r="OME49" s="82"/>
      <c r="OMF49" s="82"/>
      <c r="OMG49" s="82"/>
      <c r="OMH49" s="82"/>
      <c r="OMI49" s="82"/>
      <c r="OMJ49" s="82"/>
      <c r="OMK49" s="82"/>
      <c r="OML49" s="82"/>
      <c r="OMM49" s="82"/>
      <c r="OMN49" s="82"/>
      <c r="OMO49" s="82"/>
      <c r="OMP49" s="82"/>
      <c r="OMQ49" s="82"/>
      <c r="OMR49" s="82"/>
      <c r="OMS49" s="82"/>
      <c r="OMT49" s="82"/>
      <c r="OMU49" s="82"/>
      <c r="OMV49" s="82"/>
      <c r="OMW49" s="82"/>
      <c r="OMX49" s="82"/>
      <c r="OMY49" s="82"/>
      <c r="OMZ49" s="82"/>
      <c r="ONA49" s="82"/>
      <c r="ONB49" s="82"/>
      <c r="ONC49" s="82"/>
      <c r="OND49" s="82"/>
      <c r="ONE49" s="82"/>
      <c r="ONF49" s="82"/>
      <c r="ONG49" s="82"/>
      <c r="ONH49" s="82"/>
      <c r="ONI49" s="82"/>
      <c r="ONJ49" s="82"/>
      <c r="ONK49" s="82"/>
      <c r="ONL49" s="82"/>
      <c r="ONM49" s="82"/>
      <c r="ONN49" s="82"/>
      <c r="ONO49" s="82"/>
      <c r="ONP49" s="82"/>
      <c r="ONQ49" s="82"/>
      <c r="ONR49" s="82"/>
      <c r="ONS49" s="82"/>
      <c r="ONT49" s="82"/>
      <c r="ONU49" s="82"/>
      <c r="ONV49" s="82"/>
      <c r="ONW49" s="82"/>
      <c r="ONX49" s="82"/>
      <c r="ONY49" s="82"/>
      <c r="ONZ49" s="82"/>
      <c r="OOA49" s="82"/>
      <c r="OOB49" s="82"/>
      <c r="OOC49" s="82"/>
      <c r="OOD49" s="82"/>
      <c r="OOE49" s="82"/>
      <c r="OOF49" s="82"/>
      <c r="OOG49" s="82"/>
      <c r="OOH49" s="82"/>
      <c r="OOI49" s="82"/>
      <c r="OOJ49" s="82"/>
      <c r="OOK49" s="82"/>
      <c r="OOL49" s="82"/>
      <c r="OOM49" s="82"/>
      <c r="OON49" s="82"/>
      <c r="OOO49" s="82"/>
      <c r="OOP49" s="82"/>
      <c r="OOQ49" s="82"/>
      <c r="OOR49" s="82"/>
      <c r="OOS49" s="82"/>
      <c r="OOT49" s="82"/>
      <c r="OOU49" s="82"/>
      <c r="OOV49" s="82"/>
      <c r="OOW49" s="82"/>
      <c r="OOX49" s="82"/>
      <c r="OOY49" s="82"/>
      <c r="OOZ49" s="82"/>
      <c r="OPA49" s="82"/>
      <c r="OPB49" s="82"/>
      <c r="OPC49" s="82"/>
      <c r="OPD49" s="82"/>
      <c r="OPE49" s="82"/>
      <c r="OPF49" s="82"/>
      <c r="OPG49" s="82"/>
      <c r="OPH49" s="82"/>
      <c r="OPI49" s="82"/>
      <c r="OPJ49" s="82"/>
      <c r="OPK49" s="82"/>
      <c r="OPL49" s="82"/>
      <c r="OPM49" s="82"/>
      <c r="OPN49" s="82"/>
      <c r="OPO49" s="82"/>
      <c r="OPP49" s="82"/>
      <c r="OPQ49" s="82"/>
      <c r="OPR49" s="82"/>
      <c r="OPS49" s="82"/>
      <c r="OPT49" s="82"/>
      <c r="OPU49" s="82"/>
      <c r="OPV49" s="82"/>
      <c r="OPW49" s="82"/>
      <c r="OPX49" s="82"/>
      <c r="OPY49" s="82"/>
      <c r="OPZ49" s="82"/>
      <c r="OQA49" s="82"/>
      <c r="OQB49" s="82"/>
      <c r="OQC49" s="82"/>
      <c r="OQD49" s="82"/>
      <c r="OQE49" s="82"/>
      <c r="OQF49" s="82"/>
      <c r="OQG49" s="82"/>
      <c r="OQH49" s="82"/>
      <c r="OQI49" s="82"/>
      <c r="OQJ49" s="82"/>
      <c r="OQK49" s="82"/>
      <c r="OQL49" s="82"/>
      <c r="OQM49" s="82"/>
      <c r="OQN49" s="82"/>
      <c r="OQO49" s="82"/>
      <c r="OQP49" s="82"/>
      <c r="OQQ49" s="82"/>
      <c r="OQR49" s="82"/>
      <c r="OQS49" s="82"/>
      <c r="OQT49" s="82"/>
      <c r="OQU49" s="82"/>
      <c r="OQV49" s="82"/>
      <c r="OQW49" s="82"/>
      <c r="OQX49" s="82"/>
      <c r="OQY49" s="82"/>
      <c r="OQZ49" s="82"/>
      <c r="ORA49" s="82"/>
      <c r="ORB49" s="82"/>
      <c r="ORC49" s="82"/>
      <c r="ORD49" s="82"/>
      <c r="ORE49" s="82"/>
      <c r="ORF49" s="82"/>
      <c r="ORG49" s="82"/>
      <c r="ORH49" s="82"/>
      <c r="ORI49" s="82"/>
      <c r="ORJ49" s="82"/>
      <c r="ORK49" s="82"/>
      <c r="ORL49" s="82"/>
      <c r="ORM49" s="82"/>
      <c r="ORN49" s="82"/>
      <c r="ORO49" s="82"/>
      <c r="ORP49" s="82"/>
      <c r="ORQ49" s="82"/>
      <c r="ORR49" s="82"/>
      <c r="ORS49" s="82"/>
      <c r="ORT49" s="82"/>
      <c r="ORU49" s="82"/>
      <c r="ORV49" s="82"/>
      <c r="ORW49" s="82"/>
      <c r="ORX49" s="82"/>
      <c r="ORY49" s="82"/>
      <c r="ORZ49" s="82"/>
      <c r="OSA49" s="82"/>
      <c r="OSB49" s="82"/>
      <c r="OSC49" s="82"/>
      <c r="OSD49" s="82"/>
      <c r="OSE49" s="82"/>
      <c r="OSF49" s="82"/>
      <c r="OSG49" s="82"/>
      <c r="OSH49" s="82"/>
      <c r="OSI49" s="82"/>
      <c r="OSJ49" s="82"/>
      <c r="OSK49" s="82"/>
      <c r="OSL49" s="82"/>
      <c r="OSM49" s="82"/>
      <c r="OSN49" s="82"/>
      <c r="OSO49" s="82"/>
      <c r="OSP49" s="82"/>
      <c r="OSQ49" s="82"/>
      <c r="OSR49" s="82"/>
      <c r="OSS49" s="82"/>
      <c r="OST49" s="82"/>
      <c r="OSU49" s="82"/>
      <c r="OSV49" s="82"/>
      <c r="OSW49" s="82"/>
      <c r="OSX49" s="82"/>
      <c r="OSY49" s="82"/>
      <c r="OSZ49" s="82"/>
      <c r="OTA49" s="82"/>
      <c r="OTB49" s="82"/>
      <c r="OTC49" s="82"/>
      <c r="OTD49" s="82"/>
      <c r="OTE49" s="82"/>
      <c r="OTF49" s="82"/>
      <c r="OTG49" s="82"/>
      <c r="OTH49" s="82"/>
      <c r="OTI49" s="82"/>
      <c r="OTJ49" s="82"/>
      <c r="OTK49" s="82"/>
      <c r="OTL49" s="82"/>
      <c r="OTM49" s="82"/>
      <c r="OTN49" s="82"/>
      <c r="OTO49" s="82"/>
      <c r="OTP49" s="82"/>
      <c r="OTQ49" s="82"/>
      <c r="OTR49" s="82"/>
      <c r="OTS49" s="82"/>
      <c r="OTT49" s="82"/>
      <c r="OTU49" s="82"/>
      <c r="OTV49" s="82"/>
      <c r="OTW49" s="82"/>
      <c r="OTX49" s="82"/>
      <c r="OTY49" s="82"/>
      <c r="OTZ49" s="82"/>
      <c r="OUA49" s="82"/>
      <c r="OUB49" s="82"/>
      <c r="OUC49" s="82"/>
      <c r="OUD49" s="82"/>
      <c r="OUE49" s="82"/>
      <c r="OUF49" s="82"/>
      <c r="OUG49" s="82"/>
      <c r="OUH49" s="82"/>
      <c r="OUI49" s="82"/>
      <c r="OUJ49" s="82"/>
      <c r="OUK49" s="82"/>
      <c r="OUL49" s="82"/>
      <c r="OUM49" s="82"/>
      <c r="OUN49" s="82"/>
      <c r="OUO49" s="82"/>
      <c r="OUP49" s="82"/>
      <c r="OUQ49" s="82"/>
      <c r="OUR49" s="82"/>
      <c r="OUS49" s="82"/>
      <c r="OUT49" s="82"/>
      <c r="OUU49" s="82"/>
      <c r="OUV49" s="82"/>
      <c r="OUW49" s="82"/>
      <c r="OUX49" s="82"/>
      <c r="OUY49" s="82"/>
      <c r="OUZ49" s="82"/>
      <c r="OVA49" s="82"/>
      <c r="OVB49" s="82"/>
      <c r="OVC49" s="82"/>
      <c r="OVD49" s="82"/>
      <c r="OVE49" s="82"/>
      <c r="OVF49" s="82"/>
      <c r="OVG49" s="82"/>
      <c r="OVH49" s="82"/>
      <c r="OVI49" s="82"/>
      <c r="OVJ49" s="82"/>
      <c r="OVK49" s="82"/>
      <c r="OVL49" s="82"/>
      <c r="OVM49" s="82"/>
      <c r="OVN49" s="82"/>
      <c r="OVO49" s="82"/>
      <c r="OVP49" s="82"/>
      <c r="OVQ49" s="82"/>
      <c r="OVR49" s="82"/>
      <c r="OVS49" s="82"/>
      <c r="OVT49" s="82"/>
      <c r="OVU49" s="82"/>
      <c r="OVV49" s="82"/>
      <c r="OVW49" s="82"/>
      <c r="OVX49" s="82"/>
      <c r="OVY49" s="82"/>
      <c r="OVZ49" s="82"/>
      <c r="OWA49" s="82"/>
      <c r="OWB49" s="82"/>
      <c r="OWC49" s="82"/>
      <c r="OWD49" s="82"/>
      <c r="OWE49" s="82"/>
      <c r="OWF49" s="82"/>
      <c r="OWG49" s="82"/>
      <c r="OWH49" s="82"/>
      <c r="OWI49" s="82"/>
      <c r="OWJ49" s="82"/>
      <c r="OWK49" s="82"/>
      <c r="OWL49" s="82"/>
      <c r="OWM49" s="82"/>
      <c r="OWN49" s="82"/>
      <c r="OWO49" s="82"/>
      <c r="OWP49" s="82"/>
      <c r="OWQ49" s="82"/>
      <c r="OWR49" s="82"/>
      <c r="OWS49" s="82"/>
      <c r="OWT49" s="82"/>
      <c r="OWU49" s="82"/>
      <c r="OWV49" s="82"/>
      <c r="OWW49" s="82"/>
      <c r="OWX49" s="82"/>
      <c r="OWY49" s="82"/>
      <c r="OWZ49" s="82"/>
      <c r="OXA49" s="82"/>
      <c r="OXB49" s="82"/>
      <c r="OXC49" s="82"/>
      <c r="OXD49" s="82"/>
      <c r="OXE49" s="82"/>
      <c r="OXF49" s="82"/>
      <c r="OXG49" s="82"/>
      <c r="OXH49" s="82"/>
      <c r="OXI49" s="82"/>
      <c r="OXJ49" s="82"/>
      <c r="OXK49" s="82"/>
      <c r="OXL49" s="82"/>
      <c r="OXM49" s="82"/>
      <c r="OXN49" s="82"/>
      <c r="OXO49" s="82"/>
      <c r="OXP49" s="82"/>
      <c r="OXQ49" s="82"/>
      <c r="OXR49" s="82"/>
      <c r="OXS49" s="82"/>
      <c r="OXT49" s="82"/>
      <c r="OXU49" s="82"/>
      <c r="OXV49" s="82"/>
      <c r="OXW49" s="82"/>
      <c r="OXX49" s="82"/>
      <c r="OXY49" s="82"/>
      <c r="OXZ49" s="82"/>
      <c r="OYA49" s="82"/>
      <c r="OYB49" s="82"/>
      <c r="OYC49" s="82"/>
      <c r="OYD49" s="82"/>
      <c r="OYE49" s="82"/>
      <c r="OYF49" s="82"/>
      <c r="OYG49" s="82"/>
      <c r="OYH49" s="82"/>
      <c r="OYI49" s="82"/>
      <c r="OYJ49" s="82"/>
      <c r="OYK49" s="82"/>
      <c r="OYL49" s="82"/>
      <c r="OYM49" s="82"/>
      <c r="OYN49" s="82"/>
      <c r="OYO49" s="82"/>
      <c r="OYP49" s="82"/>
      <c r="OYQ49" s="82"/>
      <c r="OYR49" s="82"/>
      <c r="OYS49" s="82"/>
      <c r="OYT49" s="82"/>
      <c r="OYU49" s="82"/>
      <c r="OYV49" s="82"/>
      <c r="OYW49" s="82"/>
      <c r="OYX49" s="82"/>
      <c r="OYY49" s="82"/>
      <c r="OYZ49" s="82"/>
      <c r="OZA49" s="82"/>
      <c r="OZB49" s="82"/>
      <c r="OZC49" s="82"/>
      <c r="OZD49" s="82"/>
      <c r="OZE49" s="82"/>
      <c r="OZF49" s="82"/>
      <c r="OZG49" s="82"/>
      <c r="OZH49" s="82"/>
      <c r="OZI49" s="82"/>
      <c r="OZJ49" s="82"/>
      <c r="OZK49" s="82"/>
      <c r="OZL49" s="82"/>
      <c r="OZM49" s="82"/>
      <c r="OZN49" s="82"/>
      <c r="OZO49" s="82"/>
      <c r="OZP49" s="82"/>
      <c r="OZQ49" s="82"/>
      <c r="OZR49" s="82"/>
      <c r="OZS49" s="82"/>
      <c r="OZT49" s="82"/>
      <c r="OZU49" s="82"/>
      <c r="OZV49" s="82"/>
      <c r="OZW49" s="82"/>
      <c r="OZX49" s="82"/>
      <c r="OZY49" s="82"/>
      <c r="OZZ49" s="82"/>
      <c r="PAA49" s="82"/>
      <c r="PAB49" s="82"/>
      <c r="PAC49" s="82"/>
      <c r="PAD49" s="82"/>
      <c r="PAE49" s="82"/>
      <c r="PAF49" s="82"/>
      <c r="PAG49" s="82"/>
      <c r="PAH49" s="82"/>
      <c r="PAI49" s="82"/>
      <c r="PAJ49" s="82"/>
      <c r="PAK49" s="82"/>
      <c r="PAL49" s="82"/>
      <c r="PAM49" s="82"/>
      <c r="PAN49" s="82"/>
      <c r="PAO49" s="82"/>
      <c r="PAP49" s="82"/>
      <c r="PAQ49" s="82"/>
      <c r="PAR49" s="82"/>
      <c r="PAS49" s="82"/>
      <c r="PAT49" s="82"/>
      <c r="PAU49" s="82"/>
      <c r="PAV49" s="82"/>
      <c r="PAW49" s="82"/>
      <c r="PAX49" s="82"/>
      <c r="PAY49" s="82"/>
      <c r="PAZ49" s="82"/>
      <c r="PBA49" s="82"/>
      <c r="PBB49" s="82"/>
      <c r="PBC49" s="82"/>
      <c r="PBD49" s="82"/>
      <c r="PBE49" s="82"/>
      <c r="PBF49" s="82"/>
      <c r="PBG49" s="82"/>
      <c r="PBH49" s="82"/>
      <c r="PBI49" s="82"/>
      <c r="PBJ49" s="82"/>
      <c r="PBK49" s="82"/>
      <c r="PBL49" s="82"/>
      <c r="PBM49" s="82"/>
      <c r="PBN49" s="82"/>
      <c r="PBO49" s="82"/>
      <c r="PBP49" s="82"/>
      <c r="PBQ49" s="82"/>
      <c r="PBR49" s="82"/>
      <c r="PBS49" s="82"/>
      <c r="PBT49" s="82"/>
      <c r="PBU49" s="82"/>
      <c r="PBV49" s="82"/>
      <c r="PBW49" s="82"/>
      <c r="PBX49" s="82"/>
      <c r="PBY49" s="82"/>
      <c r="PBZ49" s="82"/>
      <c r="PCA49" s="82"/>
      <c r="PCB49" s="82"/>
      <c r="PCC49" s="82"/>
      <c r="PCD49" s="82"/>
      <c r="PCE49" s="82"/>
      <c r="PCF49" s="82"/>
      <c r="PCG49" s="82"/>
      <c r="PCH49" s="82"/>
      <c r="PCI49" s="82"/>
      <c r="PCJ49" s="82"/>
      <c r="PCK49" s="82"/>
      <c r="PCL49" s="82"/>
      <c r="PCM49" s="82"/>
      <c r="PCN49" s="82"/>
      <c r="PCO49" s="82"/>
      <c r="PCP49" s="82"/>
      <c r="PCQ49" s="82"/>
      <c r="PCR49" s="82"/>
      <c r="PCS49" s="82"/>
      <c r="PCT49" s="82"/>
      <c r="PCU49" s="82"/>
      <c r="PCV49" s="82"/>
      <c r="PCW49" s="82"/>
      <c r="PCX49" s="82"/>
      <c r="PCY49" s="82"/>
      <c r="PCZ49" s="82"/>
      <c r="PDA49" s="82"/>
      <c r="PDB49" s="82"/>
      <c r="PDC49" s="82"/>
      <c r="PDD49" s="82"/>
      <c r="PDE49" s="82"/>
      <c r="PDF49" s="82"/>
      <c r="PDG49" s="82"/>
      <c r="PDH49" s="82"/>
      <c r="PDI49" s="82"/>
      <c r="PDJ49" s="82"/>
      <c r="PDK49" s="82"/>
      <c r="PDL49" s="82"/>
      <c r="PDM49" s="82"/>
      <c r="PDN49" s="82"/>
      <c r="PDO49" s="82"/>
      <c r="PDP49" s="82"/>
      <c r="PDQ49" s="82"/>
      <c r="PDR49" s="82"/>
      <c r="PDS49" s="82"/>
      <c r="PDT49" s="82"/>
      <c r="PDU49" s="82"/>
      <c r="PDV49" s="82"/>
      <c r="PDW49" s="82"/>
      <c r="PDX49" s="82"/>
      <c r="PDY49" s="82"/>
      <c r="PDZ49" s="82"/>
      <c r="PEA49" s="82"/>
      <c r="PEB49" s="82"/>
      <c r="PEC49" s="82"/>
      <c r="PED49" s="82"/>
      <c r="PEE49" s="82"/>
      <c r="PEF49" s="82"/>
      <c r="PEG49" s="82"/>
      <c r="PEH49" s="82"/>
      <c r="PEI49" s="82"/>
      <c r="PEJ49" s="82"/>
      <c r="PEK49" s="82"/>
      <c r="PEL49" s="82"/>
      <c r="PEM49" s="82"/>
      <c r="PEN49" s="82"/>
      <c r="PEO49" s="82"/>
      <c r="PEP49" s="82"/>
      <c r="PEQ49" s="82"/>
      <c r="PER49" s="82"/>
      <c r="PES49" s="82"/>
      <c r="PET49" s="82"/>
      <c r="PEU49" s="82"/>
      <c r="PEV49" s="82"/>
      <c r="PEW49" s="82"/>
      <c r="PEX49" s="82"/>
      <c r="PEY49" s="82"/>
      <c r="PEZ49" s="82"/>
      <c r="PFA49" s="82"/>
      <c r="PFB49" s="82"/>
      <c r="PFC49" s="82"/>
      <c r="PFD49" s="82"/>
      <c r="PFE49" s="82"/>
      <c r="PFF49" s="82"/>
      <c r="PFG49" s="82"/>
      <c r="PFH49" s="82"/>
      <c r="PFI49" s="82"/>
      <c r="PFJ49" s="82"/>
      <c r="PFK49" s="82"/>
      <c r="PFL49" s="82"/>
      <c r="PFM49" s="82"/>
      <c r="PFN49" s="82"/>
      <c r="PFO49" s="82"/>
      <c r="PFP49" s="82"/>
      <c r="PFQ49" s="82"/>
      <c r="PFR49" s="82"/>
      <c r="PFS49" s="82"/>
      <c r="PFT49" s="82"/>
      <c r="PFU49" s="82"/>
      <c r="PFV49" s="82"/>
      <c r="PFW49" s="82"/>
      <c r="PFX49" s="82"/>
      <c r="PFY49" s="82"/>
      <c r="PFZ49" s="82"/>
      <c r="PGA49" s="82"/>
      <c r="PGB49" s="82"/>
      <c r="PGC49" s="82"/>
      <c r="PGD49" s="82"/>
      <c r="PGE49" s="82"/>
      <c r="PGF49" s="82"/>
      <c r="PGG49" s="82"/>
      <c r="PGH49" s="82"/>
      <c r="PGI49" s="82"/>
      <c r="PGJ49" s="82"/>
      <c r="PGK49" s="82"/>
      <c r="PGL49" s="82"/>
      <c r="PGM49" s="82"/>
      <c r="PGN49" s="82"/>
      <c r="PGO49" s="82"/>
      <c r="PGP49" s="82"/>
      <c r="PGQ49" s="82"/>
      <c r="PGR49" s="82"/>
      <c r="PGS49" s="82"/>
      <c r="PGT49" s="82"/>
      <c r="PGU49" s="82"/>
      <c r="PGV49" s="82"/>
      <c r="PGW49" s="82"/>
      <c r="PGX49" s="82"/>
      <c r="PGY49" s="82"/>
      <c r="PGZ49" s="82"/>
      <c r="PHA49" s="82"/>
      <c r="PHB49" s="82"/>
      <c r="PHC49" s="82"/>
      <c r="PHD49" s="82"/>
      <c r="PHE49" s="82"/>
      <c r="PHF49" s="82"/>
      <c r="PHG49" s="82"/>
      <c r="PHH49" s="82"/>
      <c r="PHI49" s="82"/>
      <c r="PHJ49" s="82"/>
      <c r="PHK49" s="82"/>
      <c r="PHL49" s="82"/>
      <c r="PHM49" s="82"/>
      <c r="PHN49" s="82"/>
      <c r="PHO49" s="82"/>
      <c r="PHP49" s="82"/>
      <c r="PHQ49" s="82"/>
      <c r="PHR49" s="82"/>
      <c r="PHS49" s="82"/>
      <c r="PHT49" s="82"/>
      <c r="PHU49" s="82"/>
      <c r="PHV49" s="82"/>
      <c r="PHW49" s="82"/>
      <c r="PHX49" s="82"/>
      <c r="PHY49" s="82"/>
      <c r="PHZ49" s="82"/>
      <c r="PIA49" s="82"/>
      <c r="PIB49" s="82"/>
      <c r="PIC49" s="82"/>
      <c r="PID49" s="82"/>
      <c r="PIE49" s="82"/>
      <c r="PIF49" s="82"/>
      <c r="PIG49" s="82"/>
      <c r="PIH49" s="82"/>
      <c r="PII49" s="82"/>
      <c r="PIJ49" s="82"/>
      <c r="PIK49" s="82"/>
      <c r="PIL49" s="82"/>
      <c r="PIM49" s="82"/>
      <c r="PIN49" s="82"/>
      <c r="PIO49" s="82"/>
      <c r="PIP49" s="82"/>
      <c r="PIQ49" s="82"/>
      <c r="PIR49" s="82"/>
      <c r="PIS49" s="82"/>
      <c r="PIT49" s="82"/>
      <c r="PIU49" s="82"/>
      <c r="PIV49" s="82"/>
      <c r="PIW49" s="82"/>
      <c r="PIX49" s="82"/>
      <c r="PIY49" s="82"/>
      <c r="PIZ49" s="82"/>
      <c r="PJA49" s="82"/>
      <c r="PJB49" s="82"/>
      <c r="PJC49" s="82"/>
      <c r="PJD49" s="82"/>
      <c r="PJE49" s="82"/>
      <c r="PJF49" s="82"/>
      <c r="PJG49" s="82"/>
      <c r="PJH49" s="82"/>
      <c r="PJI49" s="82"/>
      <c r="PJJ49" s="82"/>
      <c r="PJK49" s="82"/>
      <c r="PJL49" s="82"/>
      <c r="PJM49" s="82"/>
      <c r="PJN49" s="82"/>
      <c r="PJO49" s="82"/>
      <c r="PJP49" s="82"/>
      <c r="PJQ49" s="82"/>
      <c r="PJR49" s="82"/>
      <c r="PJS49" s="82"/>
      <c r="PJT49" s="82"/>
      <c r="PJU49" s="82"/>
      <c r="PJV49" s="82"/>
      <c r="PJW49" s="82"/>
      <c r="PJX49" s="82"/>
      <c r="PJY49" s="82"/>
      <c r="PJZ49" s="82"/>
      <c r="PKA49" s="82"/>
      <c r="PKB49" s="82"/>
      <c r="PKC49" s="82"/>
      <c r="PKD49" s="82"/>
      <c r="PKE49" s="82"/>
      <c r="PKF49" s="82"/>
      <c r="PKG49" s="82"/>
      <c r="PKH49" s="82"/>
      <c r="PKI49" s="82"/>
      <c r="PKJ49" s="82"/>
      <c r="PKK49" s="82"/>
      <c r="PKL49" s="82"/>
      <c r="PKM49" s="82"/>
      <c r="PKN49" s="82"/>
      <c r="PKO49" s="82"/>
      <c r="PKP49" s="82"/>
      <c r="PKQ49" s="82"/>
      <c r="PKR49" s="82"/>
      <c r="PKS49" s="82"/>
      <c r="PKT49" s="82"/>
      <c r="PKU49" s="82"/>
      <c r="PKV49" s="82"/>
      <c r="PKW49" s="82"/>
      <c r="PKX49" s="82"/>
      <c r="PKY49" s="82"/>
      <c r="PKZ49" s="82"/>
      <c r="PLA49" s="82"/>
      <c r="PLB49" s="82"/>
      <c r="PLC49" s="82"/>
      <c r="PLD49" s="82"/>
      <c r="PLE49" s="82"/>
      <c r="PLF49" s="82"/>
      <c r="PLG49" s="82"/>
      <c r="PLH49" s="82"/>
      <c r="PLI49" s="82"/>
      <c r="PLJ49" s="82"/>
      <c r="PLK49" s="82"/>
      <c r="PLL49" s="82"/>
      <c r="PLM49" s="82"/>
      <c r="PLN49" s="82"/>
      <c r="PLO49" s="82"/>
      <c r="PLP49" s="82"/>
      <c r="PLQ49" s="82"/>
      <c r="PLR49" s="82"/>
      <c r="PLS49" s="82"/>
      <c r="PLT49" s="82"/>
      <c r="PLU49" s="82"/>
      <c r="PLV49" s="82"/>
      <c r="PLW49" s="82"/>
      <c r="PLX49" s="82"/>
      <c r="PLY49" s="82"/>
      <c r="PLZ49" s="82"/>
      <c r="PMA49" s="82"/>
      <c r="PMB49" s="82"/>
      <c r="PMC49" s="82"/>
      <c r="PMD49" s="82"/>
      <c r="PME49" s="82"/>
      <c r="PMF49" s="82"/>
      <c r="PMG49" s="82"/>
      <c r="PMH49" s="82"/>
      <c r="PMI49" s="82"/>
      <c r="PMJ49" s="82"/>
      <c r="PMK49" s="82"/>
      <c r="PML49" s="82"/>
      <c r="PMM49" s="82"/>
      <c r="PMN49" s="82"/>
      <c r="PMO49" s="82"/>
      <c r="PMP49" s="82"/>
      <c r="PMQ49" s="82"/>
      <c r="PMR49" s="82"/>
      <c r="PMS49" s="82"/>
      <c r="PMT49" s="82"/>
      <c r="PMU49" s="82"/>
      <c r="PMV49" s="82"/>
      <c r="PMW49" s="82"/>
      <c r="PMX49" s="82"/>
      <c r="PMY49" s="82"/>
      <c r="PMZ49" s="82"/>
      <c r="PNA49" s="82"/>
      <c r="PNB49" s="82"/>
      <c r="PNC49" s="82"/>
      <c r="PND49" s="82"/>
      <c r="PNE49" s="82"/>
      <c r="PNF49" s="82"/>
      <c r="PNG49" s="82"/>
      <c r="PNH49" s="82"/>
      <c r="PNI49" s="82"/>
      <c r="PNJ49" s="82"/>
      <c r="PNK49" s="82"/>
      <c r="PNL49" s="82"/>
      <c r="PNM49" s="82"/>
      <c r="PNN49" s="82"/>
      <c r="PNO49" s="82"/>
      <c r="PNP49" s="82"/>
      <c r="PNQ49" s="82"/>
      <c r="PNR49" s="82"/>
      <c r="PNS49" s="82"/>
      <c r="PNT49" s="82"/>
      <c r="PNU49" s="82"/>
      <c r="PNV49" s="82"/>
      <c r="PNW49" s="82"/>
      <c r="PNX49" s="82"/>
      <c r="PNY49" s="82"/>
      <c r="PNZ49" s="82"/>
      <c r="POA49" s="82"/>
      <c r="POB49" s="82"/>
      <c r="POC49" s="82"/>
      <c r="POD49" s="82"/>
      <c r="POE49" s="82"/>
      <c r="POF49" s="82"/>
      <c r="POG49" s="82"/>
      <c r="POH49" s="82"/>
      <c r="POI49" s="82"/>
      <c r="POJ49" s="82"/>
      <c r="POK49" s="82"/>
      <c r="POL49" s="82"/>
      <c r="POM49" s="82"/>
      <c r="PON49" s="82"/>
      <c r="POO49" s="82"/>
      <c r="POP49" s="82"/>
      <c r="POQ49" s="82"/>
      <c r="POR49" s="82"/>
      <c r="POS49" s="82"/>
      <c r="POT49" s="82"/>
      <c r="POU49" s="82"/>
      <c r="POV49" s="82"/>
      <c r="POW49" s="82"/>
      <c r="POX49" s="82"/>
      <c r="POY49" s="82"/>
      <c r="POZ49" s="82"/>
      <c r="PPA49" s="82"/>
      <c r="PPB49" s="82"/>
      <c r="PPC49" s="82"/>
      <c r="PPD49" s="82"/>
      <c r="PPE49" s="82"/>
      <c r="PPF49" s="82"/>
      <c r="PPG49" s="82"/>
      <c r="PPH49" s="82"/>
      <c r="PPI49" s="82"/>
      <c r="PPJ49" s="82"/>
      <c r="PPK49" s="82"/>
      <c r="PPL49" s="82"/>
      <c r="PPM49" s="82"/>
      <c r="PPN49" s="82"/>
      <c r="PPO49" s="82"/>
      <c r="PPP49" s="82"/>
      <c r="PPQ49" s="82"/>
      <c r="PPR49" s="82"/>
      <c r="PPS49" s="82"/>
      <c r="PPT49" s="82"/>
      <c r="PPU49" s="82"/>
      <c r="PPV49" s="82"/>
      <c r="PPW49" s="82"/>
      <c r="PPX49" s="82"/>
      <c r="PPY49" s="82"/>
      <c r="PPZ49" s="82"/>
      <c r="PQA49" s="82"/>
      <c r="PQB49" s="82"/>
      <c r="PQC49" s="82"/>
      <c r="PQD49" s="82"/>
      <c r="PQE49" s="82"/>
      <c r="PQF49" s="82"/>
      <c r="PQG49" s="82"/>
      <c r="PQH49" s="82"/>
      <c r="PQI49" s="82"/>
      <c r="PQJ49" s="82"/>
      <c r="PQK49" s="82"/>
      <c r="PQL49" s="82"/>
      <c r="PQM49" s="82"/>
      <c r="PQN49" s="82"/>
      <c r="PQO49" s="82"/>
      <c r="PQP49" s="82"/>
      <c r="PQQ49" s="82"/>
      <c r="PQR49" s="82"/>
      <c r="PQS49" s="82"/>
      <c r="PQT49" s="82"/>
      <c r="PQU49" s="82"/>
      <c r="PQV49" s="82"/>
      <c r="PQW49" s="82"/>
      <c r="PQX49" s="82"/>
      <c r="PQY49" s="82"/>
      <c r="PQZ49" s="82"/>
      <c r="PRA49" s="82"/>
      <c r="PRB49" s="82"/>
      <c r="PRC49" s="82"/>
      <c r="PRD49" s="82"/>
      <c r="PRE49" s="82"/>
      <c r="PRF49" s="82"/>
      <c r="PRG49" s="82"/>
      <c r="PRH49" s="82"/>
      <c r="PRI49" s="82"/>
      <c r="PRJ49" s="82"/>
      <c r="PRK49" s="82"/>
      <c r="PRL49" s="82"/>
      <c r="PRM49" s="82"/>
      <c r="PRN49" s="82"/>
      <c r="PRO49" s="82"/>
      <c r="PRP49" s="82"/>
      <c r="PRQ49" s="82"/>
      <c r="PRR49" s="82"/>
      <c r="PRS49" s="82"/>
      <c r="PRT49" s="82"/>
      <c r="PRU49" s="82"/>
      <c r="PRV49" s="82"/>
      <c r="PRW49" s="82"/>
      <c r="PRX49" s="82"/>
      <c r="PRY49" s="82"/>
      <c r="PRZ49" s="82"/>
      <c r="PSA49" s="82"/>
      <c r="PSB49" s="82"/>
      <c r="PSC49" s="82"/>
      <c r="PSD49" s="82"/>
      <c r="PSE49" s="82"/>
      <c r="PSF49" s="82"/>
      <c r="PSG49" s="82"/>
      <c r="PSH49" s="82"/>
      <c r="PSI49" s="82"/>
      <c r="PSJ49" s="82"/>
      <c r="PSK49" s="82"/>
      <c r="PSL49" s="82"/>
      <c r="PSM49" s="82"/>
      <c r="PSN49" s="82"/>
      <c r="PSO49" s="82"/>
      <c r="PSP49" s="82"/>
      <c r="PSQ49" s="82"/>
      <c r="PSR49" s="82"/>
      <c r="PSS49" s="82"/>
      <c r="PST49" s="82"/>
      <c r="PSU49" s="82"/>
      <c r="PSV49" s="82"/>
      <c r="PSW49" s="82"/>
      <c r="PSX49" s="82"/>
      <c r="PSY49" s="82"/>
      <c r="PSZ49" s="82"/>
      <c r="PTA49" s="82"/>
      <c r="PTB49" s="82"/>
      <c r="PTC49" s="82"/>
      <c r="PTD49" s="82"/>
      <c r="PTE49" s="82"/>
      <c r="PTF49" s="82"/>
      <c r="PTG49" s="82"/>
      <c r="PTH49" s="82"/>
      <c r="PTI49" s="82"/>
      <c r="PTJ49" s="82"/>
      <c r="PTK49" s="82"/>
      <c r="PTL49" s="82"/>
      <c r="PTM49" s="82"/>
      <c r="PTN49" s="82"/>
      <c r="PTO49" s="82"/>
      <c r="PTP49" s="82"/>
      <c r="PTQ49" s="82"/>
      <c r="PTR49" s="82"/>
      <c r="PTS49" s="82"/>
      <c r="PTT49" s="82"/>
      <c r="PTU49" s="82"/>
      <c r="PTV49" s="82"/>
      <c r="PTW49" s="82"/>
      <c r="PTX49" s="82"/>
      <c r="PTY49" s="82"/>
      <c r="PTZ49" s="82"/>
      <c r="PUA49" s="82"/>
      <c r="PUB49" s="82"/>
      <c r="PUC49" s="82"/>
      <c r="PUD49" s="82"/>
      <c r="PUE49" s="82"/>
      <c r="PUF49" s="82"/>
      <c r="PUG49" s="82"/>
      <c r="PUH49" s="82"/>
      <c r="PUI49" s="82"/>
      <c r="PUJ49" s="82"/>
      <c r="PUK49" s="82"/>
      <c r="PUL49" s="82"/>
      <c r="PUM49" s="82"/>
      <c r="PUN49" s="82"/>
      <c r="PUO49" s="82"/>
      <c r="PUP49" s="82"/>
      <c r="PUQ49" s="82"/>
      <c r="PUR49" s="82"/>
      <c r="PUS49" s="82"/>
      <c r="PUT49" s="82"/>
      <c r="PUU49" s="82"/>
      <c r="PUV49" s="82"/>
      <c r="PUW49" s="82"/>
      <c r="PUX49" s="82"/>
      <c r="PUY49" s="82"/>
      <c r="PUZ49" s="82"/>
      <c r="PVA49" s="82"/>
      <c r="PVB49" s="82"/>
      <c r="PVC49" s="82"/>
      <c r="PVD49" s="82"/>
      <c r="PVE49" s="82"/>
      <c r="PVF49" s="82"/>
      <c r="PVG49" s="82"/>
      <c r="PVH49" s="82"/>
      <c r="PVI49" s="82"/>
      <c r="PVJ49" s="82"/>
      <c r="PVK49" s="82"/>
      <c r="PVL49" s="82"/>
      <c r="PVM49" s="82"/>
      <c r="PVN49" s="82"/>
      <c r="PVO49" s="82"/>
      <c r="PVP49" s="82"/>
      <c r="PVQ49" s="82"/>
      <c r="PVR49" s="82"/>
      <c r="PVS49" s="82"/>
      <c r="PVT49" s="82"/>
      <c r="PVU49" s="82"/>
      <c r="PVV49" s="82"/>
      <c r="PVW49" s="82"/>
      <c r="PVX49" s="82"/>
      <c r="PVY49" s="82"/>
      <c r="PVZ49" s="82"/>
      <c r="PWA49" s="82"/>
      <c r="PWB49" s="82"/>
      <c r="PWC49" s="82"/>
      <c r="PWD49" s="82"/>
      <c r="PWE49" s="82"/>
      <c r="PWF49" s="82"/>
      <c r="PWG49" s="82"/>
      <c r="PWH49" s="82"/>
      <c r="PWI49" s="82"/>
      <c r="PWJ49" s="82"/>
      <c r="PWK49" s="82"/>
      <c r="PWL49" s="82"/>
      <c r="PWM49" s="82"/>
      <c r="PWN49" s="82"/>
      <c r="PWO49" s="82"/>
      <c r="PWP49" s="82"/>
      <c r="PWQ49" s="82"/>
      <c r="PWR49" s="82"/>
      <c r="PWS49" s="82"/>
      <c r="PWT49" s="82"/>
      <c r="PWU49" s="82"/>
      <c r="PWV49" s="82"/>
      <c r="PWW49" s="82"/>
      <c r="PWX49" s="82"/>
      <c r="PWY49" s="82"/>
      <c r="PWZ49" s="82"/>
      <c r="PXA49" s="82"/>
      <c r="PXB49" s="82"/>
      <c r="PXC49" s="82"/>
      <c r="PXD49" s="82"/>
      <c r="PXE49" s="82"/>
      <c r="PXF49" s="82"/>
      <c r="PXG49" s="82"/>
      <c r="PXH49" s="82"/>
      <c r="PXI49" s="82"/>
      <c r="PXJ49" s="82"/>
      <c r="PXK49" s="82"/>
      <c r="PXL49" s="82"/>
      <c r="PXM49" s="82"/>
      <c r="PXN49" s="82"/>
      <c r="PXO49" s="82"/>
      <c r="PXP49" s="82"/>
      <c r="PXQ49" s="82"/>
      <c r="PXR49" s="82"/>
      <c r="PXS49" s="82"/>
      <c r="PXT49" s="82"/>
      <c r="PXU49" s="82"/>
      <c r="PXV49" s="82"/>
      <c r="PXW49" s="82"/>
      <c r="PXX49" s="82"/>
      <c r="PXY49" s="82"/>
      <c r="PXZ49" s="82"/>
      <c r="PYA49" s="82"/>
      <c r="PYB49" s="82"/>
      <c r="PYC49" s="82"/>
      <c r="PYD49" s="82"/>
      <c r="PYE49" s="82"/>
      <c r="PYF49" s="82"/>
      <c r="PYG49" s="82"/>
      <c r="PYH49" s="82"/>
      <c r="PYI49" s="82"/>
      <c r="PYJ49" s="82"/>
      <c r="PYK49" s="82"/>
      <c r="PYL49" s="82"/>
      <c r="PYM49" s="82"/>
      <c r="PYN49" s="82"/>
      <c r="PYO49" s="82"/>
      <c r="PYP49" s="82"/>
      <c r="PYQ49" s="82"/>
      <c r="PYR49" s="82"/>
      <c r="PYS49" s="82"/>
      <c r="PYT49" s="82"/>
      <c r="PYU49" s="82"/>
      <c r="PYV49" s="82"/>
      <c r="PYW49" s="82"/>
      <c r="PYX49" s="82"/>
      <c r="PYY49" s="82"/>
      <c r="PYZ49" s="82"/>
      <c r="PZA49" s="82"/>
      <c r="PZB49" s="82"/>
      <c r="PZC49" s="82"/>
      <c r="PZD49" s="82"/>
      <c r="PZE49" s="82"/>
      <c r="PZF49" s="82"/>
      <c r="PZG49" s="82"/>
      <c r="PZH49" s="82"/>
      <c r="PZI49" s="82"/>
      <c r="PZJ49" s="82"/>
      <c r="PZK49" s="82"/>
      <c r="PZL49" s="82"/>
      <c r="PZM49" s="82"/>
      <c r="PZN49" s="82"/>
      <c r="PZO49" s="82"/>
      <c r="PZP49" s="82"/>
      <c r="PZQ49" s="82"/>
      <c r="PZR49" s="82"/>
      <c r="PZS49" s="82"/>
      <c r="PZT49" s="82"/>
      <c r="PZU49" s="82"/>
      <c r="PZV49" s="82"/>
      <c r="PZW49" s="82"/>
      <c r="PZX49" s="82"/>
      <c r="PZY49" s="82"/>
      <c r="PZZ49" s="82"/>
      <c r="QAA49" s="82"/>
      <c r="QAB49" s="82"/>
      <c r="QAC49" s="82"/>
      <c r="QAD49" s="82"/>
      <c r="QAE49" s="82"/>
      <c r="QAF49" s="82"/>
      <c r="QAG49" s="82"/>
      <c r="QAH49" s="82"/>
      <c r="QAI49" s="82"/>
      <c r="QAJ49" s="82"/>
      <c r="QAK49" s="82"/>
      <c r="QAL49" s="82"/>
      <c r="QAM49" s="82"/>
      <c r="QAN49" s="82"/>
      <c r="QAO49" s="82"/>
      <c r="QAP49" s="82"/>
      <c r="QAQ49" s="82"/>
      <c r="QAR49" s="82"/>
      <c r="QAS49" s="82"/>
      <c r="QAT49" s="82"/>
      <c r="QAU49" s="82"/>
      <c r="QAV49" s="82"/>
      <c r="QAW49" s="82"/>
      <c r="QAX49" s="82"/>
      <c r="QAY49" s="82"/>
      <c r="QAZ49" s="82"/>
      <c r="QBA49" s="82"/>
      <c r="QBB49" s="82"/>
      <c r="QBC49" s="82"/>
      <c r="QBD49" s="82"/>
      <c r="QBE49" s="82"/>
      <c r="QBF49" s="82"/>
      <c r="QBG49" s="82"/>
      <c r="QBH49" s="82"/>
      <c r="QBI49" s="82"/>
      <c r="QBJ49" s="82"/>
      <c r="QBK49" s="82"/>
      <c r="QBL49" s="82"/>
      <c r="QBM49" s="82"/>
      <c r="QBN49" s="82"/>
      <c r="QBO49" s="82"/>
      <c r="QBP49" s="82"/>
      <c r="QBQ49" s="82"/>
      <c r="QBR49" s="82"/>
      <c r="QBS49" s="82"/>
      <c r="QBT49" s="82"/>
      <c r="QBU49" s="82"/>
      <c r="QBV49" s="82"/>
      <c r="QBW49" s="82"/>
      <c r="QBX49" s="82"/>
      <c r="QBY49" s="82"/>
      <c r="QBZ49" s="82"/>
      <c r="QCA49" s="82"/>
      <c r="QCB49" s="82"/>
      <c r="QCC49" s="82"/>
      <c r="QCD49" s="82"/>
      <c r="QCE49" s="82"/>
      <c r="QCF49" s="82"/>
      <c r="QCG49" s="82"/>
      <c r="QCH49" s="82"/>
      <c r="QCI49" s="82"/>
      <c r="QCJ49" s="82"/>
      <c r="QCK49" s="82"/>
      <c r="QCL49" s="82"/>
      <c r="QCM49" s="82"/>
      <c r="QCN49" s="82"/>
      <c r="QCO49" s="82"/>
      <c r="QCP49" s="82"/>
      <c r="QCQ49" s="82"/>
      <c r="QCR49" s="82"/>
      <c r="QCS49" s="82"/>
      <c r="QCT49" s="82"/>
      <c r="QCU49" s="82"/>
      <c r="QCV49" s="82"/>
      <c r="QCW49" s="82"/>
      <c r="QCX49" s="82"/>
      <c r="QCY49" s="82"/>
      <c r="QCZ49" s="82"/>
      <c r="QDA49" s="82"/>
      <c r="QDB49" s="82"/>
      <c r="QDC49" s="82"/>
      <c r="QDD49" s="82"/>
      <c r="QDE49" s="82"/>
      <c r="QDF49" s="82"/>
      <c r="QDG49" s="82"/>
      <c r="QDH49" s="82"/>
      <c r="QDI49" s="82"/>
      <c r="QDJ49" s="82"/>
      <c r="QDK49" s="82"/>
      <c r="QDL49" s="82"/>
      <c r="QDM49" s="82"/>
      <c r="QDN49" s="82"/>
      <c r="QDO49" s="82"/>
      <c r="QDP49" s="82"/>
      <c r="QDQ49" s="82"/>
      <c r="QDR49" s="82"/>
      <c r="QDS49" s="82"/>
      <c r="QDT49" s="82"/>
      <c r="QDU49" s="82"/>
      <c r="QDV49" s="82"/>
      <c r="QDW49" s="82"/>
      <c r="QDX49" s="82"/>
      <c r="QDY49" s="82"/>
      <c r="QDZ49" s="82"/>
      <c r="QEA49" s="82"/>
      <c r="QEB49" s="82"/>
      <c r="QEC49" s="82"/>
      <c r="QED49" s="82"/>
      <c r="QEE49" s="82"/>
      <c r="QEF49" s="82"/>
      <c r="QEG49" s="82"/>
      <c r="QEH49" s="82"/>
      <c r="QEI49" s="82"/>
      <c r="QEJ49" s="82"/>
      <c r="QEK49" s="82"/>
      <c r="QEL49" s="82"/>
      <c r="QEM49" s="82"/>
      <c r="QEN49" s="82"/>
      <c r="QEO49" s="82"/>
      <c r="QEP49" s="82"/>
      <c r="QEQ49" s="82"/>
      <c r="QER49" s="82"/>
      <c r="QES49" s="82"/>
      <c r="QET49" s="82"/>
      <c r="QEU49" s="82"/>
      <c r="QEV49" s="82"/>
      <c r="QEW49" s="82"/>
      <c r="QEX49" s="82"/>
      <c r="QEY49" s="82"/>
      <c r="QEZ49" s="82"/>
      <c r="QFA49" s="82"/>
      <c r="QFB49" s="82"/>
      <c r="QFC49" s="82"/>
      <c r="QFD49" s="82"/>
      <c r="QFE49" s="82"/>
      <c r="QFF49" s="82"/>
      <c r="QFG49" s="82"/>
      <c r="QFH49" s="82"/>
      <c r="QFI49" s="82"/>
      <c r="QFJ49" s="82"/>
      <c r="QFK49" s="82"/>
      <c r="QFL49" s="82"/>
      <c r="QFM49" s="82"/>
      <c r="QFN49" s="82"/>
      <c r="QFO49" s="82"/>
      <c r="QFP49" s="82"/>
      <c r="QFQ49" s="82"/>
      <c r="QFR49" s="82"/>
      <c r="QFS49" s="82"/>
      <c r="QFT49" s="82"/>
      <c r="QFU49" s="82"/>
      <c r="QFV49" s="82"/>
      <c r="QFW49" s="82"/>
      <c r="QFX49" s="82"/>
      <c r="QFY49" s="82"/>
      <c r="QFZ49" s="82"/>
      <c r="QGA49" s="82"/>
      <c r="QGB49" s="82"/>
      <c r="QGC49" s="82"/>
      <c r="QGD49" s="82"/>
      <c r="QGE49" s="82"/>
      <c r="QGF49" s="82"/>
      <c r="QGG49" s="82"/>
      <c r="QGH49" s="82"/>
      <c r="QGI49" s="82"/>
      <c r="QGJ49" s="82"/>
      <c r="QGK49" s="82"/>
      <c r="QGL49" s="82"/>
      <c r="QGM49" s="82"/>
      <c r="QGN49" s="82"/>
      <c r="QGO49" s="82"/>
      <c r="QGP49" s="82"/>
      <c r="QGQ49" s="82"/>
      <c r="QGR49" s="82"/>
      <c r="QGS49" s="82"/>
      <c r="QGT49" s="82"/>
      <c r="QGU49" s="82"/>
      <c r="QGV49" s="82"/>
      <c r="QGW49" s="82"/>
      <c r="QGX49" s="82"/>
      <c r="QGY49" s="82"/>
      <c r="QGZ49" s="82"/>
      <c r="QHA49" s="82"/>
      <c r="QHB49" s="82"/>
      <c r="QHC49" s="82"/>
      <c r="QHD49" s="82"/>
      <c r="QHE49" s="82"/>
      <c r="QHF49" s="82"/>
      <c r="QHG49" s="82"/>
      <c r="QHH49" s="82"/>
      <c r="QHI49" s="82"/>
      <c r="QHJ49" s="82"/>
      <c r="QHK49" s="82"/>
      <c r="QHL49" s="82"/>
      <c r="QHM49" s="82"/>
      <c r="QHN49" s="82"/>
      <c r="QHO49" s="82"/>
      <c r="QHP49" s="82"/>
      <c r="QHQ49" s="82"/>
      <c r="QHR49" s="82"/>
      <c r="QHS49" s="82"/>
      <c r="QHT49" s="82"/>
      <c r="QHU49" s="82"/>
      <c r="QHV49" s="82"/>
      <c r="QHW49" s="82"/>
      <c r="QHX49" s="82"/>
      <c r="QHY49" s="82"/>
      <c r="QHZ49" s="82"/>
      <c r="QIA49" s="82"/>
      <c r="QIB49" s="82"/>
      <c r="QIC49" s="82"/>
      <c r="QID49" s="82"/>
      <c r="QIE49" s="82"/>
      <c r="QIF49" s="82"/>
      <c r="QIG49" s="82"/>
      <c r="QIH49" s="82"/>
      <c r="QII49" s="82"/>
      <c r="QIJ49" s="82"/>
      <c r="QIK49" s="82"/>
      <c r="QIL49" s="82"/>
      <c r="QIM49" s="82"/>
      <c r="QIN49" s="82"/>
      <c r="QIO49" s="82"/>
      <c r="QIP49" s="82"/>
      <c r="QIQ49" s="82"/>
      <c r="QIR49" s="82"/>
      <c r="QIS49" s="82"/>
      <c r="QIT49" s="82"/>
      <c r="QIU49" s="82"/>
      <c r="QIV49" s="82"/>
      <c r="QIW49" s="82"/>
      <c r="QIX49" s="82"/>
      <c r="QIY49" s="82"/>
      <c r="QIZ49" s="82"/>
      <c r="QJA49" s="82"/>
      <c r="QJB49" s="82"/>
      <c r="QJC49" s="82"/>
      <c r="QJD49" s="82"/>
      <c r="QJE49" s="82"/>
      <c r="QJF49" s="82"/>
      <c r="QJG49" s="82"/>
      <c r="QJH49" s="82"/>
      <c r="QJI49" s="82"/>
      <c r="QJJ49" s="82"/>
      <c r="QJK49" s="82"/>
      <c r="QJL49" s="82"/>
      <c r="QJM49" s="82"/>
      <c r="QJN49" s="82"/>
      <c r="QJO49" s="82"/>
      <c r="QJP49" s="82"/>
      <c r="QJQ49" s="82"/>
      <c r="QJR49" s="82"/>
      <c r="QJS49" s="82"/>
      <c r="QJT49" s="82"/>
      <c r="QJU49" s="82"/>
      <c r="QJV49" s="82"/>
      <c r="QJW49" s="82"/>
      <c r="QJX49" s="82"/>
      <c r="QJY49" s="82"/>
      <c r="QJZ49" s="82"/>
      <c r="QKA49" s="82"/>
      <c r="QKB49" s="82"/>
      <c r="QKC49" s="82"/>
      <c r="QKD49" s="82"/>
      <c r="QKE49" s="82"/>
      <c r="QKF49" s="82"/>
      <c r="QKG49" s="82"/>
      <c r="QKH49" s="82"/>
      <c r="QKI49" s="82"/>
      <c r="QKJ49" s="82"/>
      <c r="QKK49" s="82"/>
      <c r="QKL49" s="82"/>
      <c r="QKM49" s="82"/>
      <c r="QKN49" s="82"/>
      <c r="QKO49" s="82"/>
      <c r="QKP49" s="82"/>
      <c r="QKQ49" s="82"/>
      <c r="QKR49" s="82"/>
      <c r="QKS49" s="82"/>
      <c r="QKT49" s="82"/>
      <c r="QKU49" s="82"/>
      <c r="QKV49" s="82"/>
      <c r="QKW49" s="82"/>
      <c r="QKX49" s="82"/>
      <c r="QKY49" s="82"/>
      <c r="QKZ49" s="82"/>
      <c r="QLA49" s="82"/>
      <c r="QLB49" s="82"/>
      <c r="QLC49" s="82"/>
      <c r="QLD49" s="82"/>
      <c r="QLE49" s="82"/>
      <c r="QLF49" s="82"/>
      <c r="QLG49" s="82"/>
      <c r="QLH49" s="82"/>
      <c r="QLI49" s="82"/>
      <c r="QLJ49" s="82"/>
      <c r="QLK49" s="82"/>
      <c r="QLL49" s="82"/>
      <c r="QLM49" s="82"/>
      <c r="QLN49" s="82"/>
      <c r="QLO49" s="82"/>
      <c r="QLP49" s="82"/>
      <c r="QLQ49" s="82"/>
      <c r="QLR49" s="82"/>
      <c r="QLS49" s="82"/>
      <c r="QLT49" s="82"/>
      <c r="QLU49" s="82"/>
      <c r="QLV49" s="82"/>
      <c r="QLW49" s="82"/>
      <c r="QLX49" s="82"/>
      <c r="QLY49" s="82"/>
      <c r="QLZ49" s="82"/>
      <c r="QMA49" s="82"/>
      <c r="QMB49" s="82"/>
      <c r="QMC49" s="82"/>
      <c r="QMD49" s="82"/>
      <c r="QME49" s="82"/>
      <c r="QMF49" s="82"/>
      <c r="QMG49" s="82"/>
      <c r="QMH49" s="82"/>
      <c r="QMI49" s="82"/>
      <c r="QMJ49" s="82"/>
      <c r="QMK49" s="82"/>
      <c r="QML49" s="82"/>
      <c r="QMM49" s="82"/>
      <c r="QMN49" s="82"/>
      <c r="QMO49" s="82"/>
      <c r="QMP49" s="82"/>
      <c r="QMQ49" s="82"/>
      <c r="QMR49" s="82"/>
      <c r="QMS49" s="82"/>
      <c r="QMT49" s="82"/>
      <c r="QMU49" s="82"/>
      <c r="QMV49" s="82"/>
      <c r="QMW49" s="82"/>
      <c r="QMX49" s="82"/>
      <c r="QMY49" s="82"/>
      <c r="QMZ49" s="82"/>
      <c r="QNA49" s="82"/>
      <c r="QNB49" s="82"/>
      <c r="QNC49" s="82"/>
      <c r="QND49" s="82"/>
      <c r="QNE49" s="82"/>
      <c r="QNF49" s="82"/>
      <c r="QNG49" s="82"/>
      <c r="QNH49" s="82"/>
      <c r="QNI49" s="82"/>
      <c r="QNJ49" s="82"/>
      <c r="QNK49" s="82"/>
      <c r="QNL49" s="82"/>
      <c r="QNM49" s="82"/>
      <c r="QNN49" s="82"/>
      <c r="QNO49" s="82"/>
      <c r="QNP49" s="82"/>
      <c r="QNQ49" s="82"/>
      <c r="QNR49" s="82"/>
      <c r="QNS49" s="82"/>
      <c r="QNT49" s="82"/>
      <c r="QNU49" s="82"/>
      <c r="QNV49" s="82"/>
      <c r="QNW49" s="82"/>
      <c r="QNX49" s="82"/>
      <c r="QNY49" s="82"/>
      <c r="QNZ49" s="82"/>
      <c r="QOA49" s="82"/>
      <c r="QOB49" s="82"/>
      <c r="QOC49" s="82"/>
      <c r="QOD49" s="82"/>
      <c r="QOE49" s="82"/>
      <c r="QOF49" s="82"/>
      <c r="QOG49" s="82"/>
      <c r="QOH49" s="82"/>
      <c r="QOI49" s="82"/>
      <c r="QOJ49" s="82"/>
      <c r="QOK49" s="82"/>
      <c r="QOL49" s="82"/>
      <c r="QOM49" s="82"/>
      <c r="QON49" s="82"/>
      <c r="QOO49" s="82"/>
      <c r="QOP49" s="82"/>
      <c r="QOQ49" s="82"/>
      <c r="QOR49" s="82"/>
      <c r="QOS49" s="82"/>
      <c r="QOT49" s="82"/>
      <c r="QOU49" s="82"/>
      <c r="QOV49" s="82"/>
      <c r="QOW49" s="82"/>
      <c r="QOX49" s="82"/>
      <c r="QOY49" s="82"/>
      <c r="QOZ49" s="82"/>
      <c r="QPA49" s="82"/>
      <c r="QPB49" s="82"/>
      <c r="QPC49" s="82"/>
      <c r="QPD49" s="82"/>
      <c r="QPE49" s="82"/>
      <c r="QPF49" s="82"/>
      <c r="QPG49" s="82"/>
      <c r="QPH49" s="82"/>
      <c r="QPI49" s="82"/>
      <c r="QPJ49" s="82"/>
      <c r="QPK49" s="82"/>
      <c r="QPL49" s="82"/>
      <c r="QPM49" s="82"/>
      <c r="QPN49" s="82"/>
      <c r="QPO49" s="82"/>
      <c r="QPP49" s="82"/>
      <c r="QPQ49" s="82"/>
      <c r="QPR49" s="82"/>
      <c r="QPS49" s="82"/>
      <c r="QPT49" s="82"/>
      <c r="QPU49" s="82"/>
      <c r="QPV49" s="82"/>
      <c r="QPW49" s="82"/>
      <c r="QPX49" s="82"/>
      <c r="QPY49" s="82"/>
      <c r="QPZ49" s="82"/>
      <c r="QQA49" s="82"/>
      <c r="QQB49" s="82"/>
      <c r="QQC49" s="82"/>
      <c r="QQD49" s="82"/>
      <c r="QQE49" s="82"/>
      <c r="QQF49" s="82"/>
      <c r="QQG49" s="82"/>
      <c r="QQH49" s="82"/>
      <c r="QQI49" s="82"/>
      <c r="QQJ49" s="82"/>
      <c r="QQK49" s="82"/>
      <c r="QQL49" s="82"/>
      <c r="QQM49" s="82"/>
      <c r="QQN49" s="82"/>
      <c r="QQO49" s="82"/>
      <c r="QQP49" s="82"/>
      <c r="QQQ49" s="82"/>
      <c r="QQR49" s="82"/>
      <c r="QQS49" s="82"/>
      <c r="QQT49" s="82"/>
      <c r="QQU49" s="82"/>
      <c r="QQV49" s="82"/>
      <c r="QQW49" s="82"/>
      <c r="QQX49" s="82"/>
      <c r="QQY49" s="82"/>
      <c r="QQZ49" s="82"/>
      <c r="QRA49" s="82"/>
      <c r="QRB49" s="82"/>
      <c r="QRC49" s="82"/>
      <c r="QRD49" s="82"/>
      <c r="QRE49" s="82"/>
      <c r="QRF49" s="82"/>
      <c r="QRG49" s="82"/>
      <c r="QRH49" s="82"/>
      <c r="QRI49" s="82"/>
      <c r="QRJ49" s="82"/>
      <c r="QRK49" s="82"/>
      <c r="QRL49" s="82"/>
      <c r="QRM49" s="82"/>
      <c r="QRN49" s="82"/>
      <c r="QRO49" s="82"/>
      <c r="QRP49" s="82"/>
      <c r="QRQ49" s="82"/>
      <c r="QRR49" s="82"/>
      <c r="QRS49" s="82"/>
      <c r="QRT49" s="82"/>
      <c r="QRU49" s="82"/>
      <c r="QRV49" s="82"/>
      <c r="QRW49" s="82"/>
      <c r="QRX49" s="82"/>
      <c r="QRY49" s="82"/>
      <c r="QRZ49" s="82"/>
      <c r="QSA49" s="82"/>
      <c r="QSB49" s="82"/>
      <c r="QSC49" s="82"/>
      <c r="QSD49" s="82"/>
      <c r="QSE49" s="82"/>
      <c r="QSF49" s="82"/>
      <c r="QSG49" s="82"/>
      <c r="QSH49" s="82"/>
      <c r="QSI49" s="82"/>
      <c r="QSJ49" s="82"/>
      <c r="QSK49" s="82"/>
      <c r="QSL49" s="82"/>
      <c r="QSM49" s="82"/>
      <c r="QSN49" s="82"/>
      <c r="QSO49" s="82"/>
      <c r="QSP49" s="82"/>
      <c r="QSQ49" s="82"/>
      <c r="QSR49" s="82"/>
      <c r="QSS49" s="82"/>
      <c r="QST49" s="82"/>
      <c r="QSU49" s="82"/>
      <c r="QSV49" s="82"/>
      <c r="QSW49" s="82"/>
      <c r="QSX49" s="82"/>
      <c r="QSY49" s="82"/>
      <c r="QSZ49" s="82"/>
      <c r="QTA49" s="82"/>
      <c r="QTB49" s="82"/>
      <c r="QTC49" s="82"/>
      <c r="QTD49" s="82"/>
      <c r="QTE49" s="82"/>
      <c r="QTF49" s="82"/>
      <c r="QTG49" s="82"/>
      <c r="QTH49" s="82"/>
      <c r="QTI49" s="82"/>
      <c r="QTJ49" s="82"/>
      <c r="QTK49" s="82"/>
      <c r="QTL49" s="82"/>
      <c r="QTM49" s="82"/>
      <c r="QTN49" s="82"/>
      <c r="QTO49" s="82"/>
      <c r="QTP49" s="82"/>
      <c r="QTQ49" s="82"/>
      <c r="QTR49" s="82"/>
      <c r="QTS49" s="82"/>
      <c r="QTT49" s="82"/>
      <c r="QTU49" s="82"/>
      <c r="QTV49" s="82"/>
      <c r="QTW49" s="82"/>
      <c r="QTX49" s="82"/>
      <c r="QTY49" s="82"/>
      <c r="QTZ49" s="82"/>
      <c r="QUA49" s="82"/>
      <c r="QUB49" s="82"/>
      <c r="QUC49" s="82"/>
      <c r="QUD49" s="82"/>
      <c r="QUE49" s="82"/>
      <c r="QUF49" s="82"/>
      <c r="QUG49" s="82"/>
      <c r="QUH49" s="82"/>
      <c r="QUI49" s="82"/>
      <c r="QUJ49" s="82"/>
      <c r="QUK49" s="82"/>
      <c r="QUL49" s="82"/>
      <c r="QUM49" s="82"/>
      <c r="QUN49" s="82"/>
      <c r="QUO49" s="82"/>
      <c r="QUP49" s="82"/>
      <c r="QUQ49" s="82"/>
      <c r="QUR49" s="82"/>
      <c r="QUS49" s="82"/>
      <c r="QUT49" s="82"/>
      <c r="QUU49" s="82"/>
      <c r="QUV49" s="82"/>
      <c r="QUW49" s="82"/>
      <c r="QUX49" s="82"/>
      <c r="QUY49" s="82"/>
      <c r="QUZ49" s="82"/>
      <c r="QVA49" s="82"/>
      <c r="QVB49" s="82"/>
      <c r="QVC49" s="82"/>
      <c r="QVD49" s="82"/>
      <c r="QVE49" s="82"/>
      <c r="QVF49" s="82"/>
      <c r="QVG49" s="82"/>
      <c r="QVH49" s="82"/>
      <c r="QVI49" s="82"/>
      <c r="QVJ49" s="82"/>
      <c r="QVK49" s="82"/>
      <c r="QVL49" s="82"/>
      <c r="QVM49" s="82"/>
      <c r="QVN49" s="82"/>
      <c r="QVO49" s="82"/>
      <c r="QVP49" s="82"/>
      <c r="QVQ49" s="82"/>
      <c r="QVR49" s="82"/>
      <c r="QVS49" s="82"/>
      <c r="QVT49" s="82"/>
      <c r="QVU49" s="82"/>
      <c r="QVV49" s="82"/>
      <c r="QVW49" s="82"/>
      <c r="QVX49" s="82"/>
      <c r="QVY49" s="82"/>
      <c r="QVZ49" s="82"/>
      <c r="QWA49" s="82"/>
      <c r="QWB49" s="82"/>
      <c r="QWC49" s="82"/>
      <c r="QWD49" s="82"/>
      <c r="QWE49" s="82"/>
      <c r="QWF49" s="82"/>
      <c r="QWG49" s="82"/>
      <c r="QWH49" s="82"/>
      <c r="QWI49" s="82"/>
      <c r="QWJ49" s="82"/>
      <c r="QWK49" s="82"/>
      <c r="QWL49" s="82"/>
      <c r="QWM49" s="82"/>
      <c r="QWN49" s="82"/>
      <c r="QWO49" s="82"/>
      <c r="QWP49" s="82"/>
      <c r="QWQ49" s="82"/>
      <c r="QWR49" s="82"/>
      <c r="QWS49" s="82"/>
      <c r="QWT49" s="82"/>
      <c r="QWU49" s="82"/>
      <c r="QWV49" s="82"/>
      <c r="QWW49" s="82"/>
      <c r="QWX49" s="82"/>
      <c r="QWY49" s="82"/>
      <c r="QWZ49" s="82"/>
      <c r="QXA49" s="82"/>
      <c r="QXB49" s="82"/>
      <c r="QXC49" s="82"/>
      <c r="QXD49" s="82"/>
      <c r="QXE49" s="82"/>
      <c r="QXF49" s="82"/>
      <c r="QXG49" s="82"/>
      <c r="QXH49" s="82"/>
      <c r="QXI49" s="82"/>
      <c r="QXJ49" s="82"/>
      <c r="QXK49" s="82"/>
      <c r="QXL49" s="82"/>
      <c r="QXM49" s="82"/>
      <c r="QXN49" s="82"/>
      <c r="QXO49" s="82"/>
      <c r="QXP49" s="82"/>
      <c r="QXQ49" s="82"/>
      <c r="QXR49" s="82"/>
      <c r="QXS49" s="82"/>
      <c r="QXT49" s="82"/>
      <c r="QXU49" s="82"/>
      <c r="QXV49" s="82"/>
      <c r="QXW49" s="82"/>
      <c r="QXX49" s="82"/>
      <c r="QXY49" s="82"/>
      <c r="QXZ49" s="82"/>
      <c r="QYA49" s="82"/>
      <c r="QYB49" s="82"/>
      <c r="QYC49" s="82"/>
      <c r="QYD49" s="82"/>
      <c r="QYE49" s="82"/>
      <c r="QYF49" s="82"/>
      <c r="QYG49" s="82"/>
      <c r="QYH49" s="82"/>
      <c r="QYI49" s="82"/>
      <c r="QYJ49" s="82"/>
      <c r="QYK49" s="82"/>
      <c r="QYL49" s="82"/>
      <c r="QYM49" s="82"/>
      <c r="QYN49" s="82"/>
      <c r="QYO49" s="82"/>
      <c r="QYP49" s="82"/>
      <c r="QYQ49" s="82"/>
      <c r="QYR49" s="82"/>
      <c r="QYS49" s="82"/>
      <c r="QYT49" s="82"/>
      <c r="QYU49" s="82"/>
      <c r="QYV49" s="82"/>
      <c r="QYW49" s="82"/>
      <c r="QYX49" s="82"/>
      <c r="QYY49" s="82"/>
      <c r="QYZ49" s="82"/>
      <c r="QZA49" s="82"/>
      <c r="QZB49" s="82"/>
      <c r="QZC49" s="82"/>
      <c r="QZD49" s="82"/>
      <c r="QZE49" s="82"/>
      <c r="QZF49" s="82"/>
      <c r="QZG49" s="82"/>
      <c r="QZH49" s="82"/>
      <c r="QZI49" s="82"/>
      <c r="QZJ49" s="82"/>
      <c r="QZK49" s="82"/>
      <c r="QZL49" s="82"/>
      <c r="QZM49" s="82"/>
      <c r="QZN49" s="82"/>
      <c r="QZO49" s="82"/>
      <c r="QZP49" s="82"/>
      <c r="QZQ49" s="82"/>
      <c r="QZR49" s="82"/>
      <c r="QZS49" s="82"/>
      <c r="QZT49" s="82"/>
      <c r="QZU49" s="82"/>
      <c r="QZV49" s="82"/>
      <c r="QZW49" s="82"/>
      <c r="QZX49" s="82"/>
      <c r="QZY49" s="82"/>
      <c r="QZZ49" s="82"/>
      <c r="RAA49" s="82"/>
      <c r="RAB49" s="82"/>
      <c r="RAC49" s="82"/>
      <c r="RAD49" s="82"/>
      <c r="RAE49" s="82"/>
      <c r="RAF49" s="82"/>
      <c r="RAG49" s="82"/>
      <c r="RAH49" s="82"/>
      <c r="RAI49" s="82"/>
      <c r="RAJ49" s="82"/>
      <c r="RAK49" s="82"/>
      <c r="RAL49" s="82"/>
      <c r="RAM49" s="82"/>
      <c r="RAN49" s="82"/>
      <c r="RAO49" s="82"/>
      <c r="RAP49" s="82"/>
      <c r="RAQ49" s="82"/>
      <c r="RAR49" s="82"/>
      <c r="RAS49" s="82"/>
      <c r="RAT49" s="82"/>
      <c r="RAU49" s="82"/>
      <c r="RAV49" s="82"/>
      <c r="RAW49" s="82"/>
      <c r="RAX49" s="82"/>
      <c r="RAY49" s="82"/>
      <c r="RAZ49" s="82"/>
      <c r="RBA49" s="82"/>
      <c r="RBB49" s="82"/>
      <c r="RBC49" s="82"/>
      <c r="RBD49" s="82"/>
      <c r="RBE49" s="82"/>
      <c r="RBF49" s="82"/>
      <c r="RBG49" s="82"/>
      <c r="RBH49" s="82"/>
      <c r="RBI49" s="82"/>
      <c r="RBJ49" s="82"/>
      <c r="RBK49" s="82"/>
      <c r="RBL49" s="82"/>
      <c r="RBM49" s="82"/>
      <c r="RBN49" s="82"/>
      <c r="RBO49" s="82"/>
      <c r="RBP49" s="82"/>
      <c r="RBQ49" s="82"/>
      <c r="RBR49" s="82"/>
      <c r="RBS49" s="82"/>
      <c r="RBT49" s="82"/>
      <c r="RBU49" s="82"/>
      <c r="RBV49" s="82"/>
      <c r="RBW49" s="82"/>
      <c r="RBX49" s="82"/>
      <c r="RBY49" s="82"/>
      <c r="RBZ49" s="82"/>
      <c r="RCA49" s="82"/>
      <c r="RCB49" s="82"/>
      <c r="RCC49" s="82"/>
      <c r="RCD49" s="82"/>
      <c r="RCE49" s="82"/>
      <c r="RCF49" s="82"/>
      <c r="RCG49" s="82"/>
      <c r="RCH49" s="82"/>
      <c r="RCI49" s="82"/>
      <c r="RCJ49" s="82"/>
      <c r="RCK49" s="82"/>
      <c r="RCL49" s="82"/>
      <c r="RCM49" s="82"/>
      <c r="RCN49" s="82"/>
      <c r="RCO49" s="82"/>
      <c r="RCP49" s="82"/>
      <c r="RCQ49" s="82"/>
      <c r="RCR49" s="82"/>
      <c r="RCS49" s="82"/>
      <c r="RCT49" s="82"/>
      <c r="RCU49" s="82"/>
      <c r="RCV49" s="82"/>
      <c r="RCW49" s="82"/>
      <c r="RCX49" s="82"/>
      <c r="RCY49" s="82"/>
      <c r="RCZ49" s="82"/>
      <c r="RDA49" s="82"/>
      <c r="RDB49" s="82"/>
      <c r="RDC49" s="82"/>
      <c r="RDD49" s="82"/>
      <c r="RDE49" s="82"/>
      <c r="RDF49" s="82"/>
      <c r="RDG49" s="82"/>
      <c r="RDH49" s="82"/>
      <c r="RDI49" s="82"/>
      <c r="RDJ49" s="82"/>
      <c r="RDK49" s="82"/>
      <c r="RDL49" s="82"/>
      <c r="RDM49" s="82"/>
      <c r="RDN49" s="82"/>
      <c r="RDO49" s="82"/>
      <c r="RDP49" s="82"/>
      <c r="RDQ49" s="82"/>
      <c r="RDR49" s="82"/>
      <c r="RDS49" s="82"/>
      <c r="RDT49" s="82"/>
      <c r="RDU49" s="82"/>
      <c r="RDV49" s="82"/>
      <c r="RDW49" s="82"/>
      <c r="RDX49" s="82"/>
      <c r="RDY49" s="82"/>
      <c r="RDZ49" s="82"/>
      <c r="REA49" s="82"/>
      <c r="REB49" s="82"/>
      <c r="REC49" s="82"/>
      <c r="RED49" s="82"/>
      <c r="REE49" s="82"/>
      <c r="REF49" s="82"/>
      <c r="REG49" s="82"/>
      <c r="REH49" s="82"/>
      <c r="REI49" s="82"/>
      <c r="REJ49" s="82"/>
      <c r="REK49" s="82"/>
      <c r="REL49" s="82"/>
      <c r="REM49" s="82"/>
      <c r="REN49" s="82"/>
      <c r="REO49" s="82"/>
      <c r="REP49" s="82"/>
      <c r="REQ49" s="82"/>
      <c r="RER49" s="82"/>
      <c r="RES49" s="82"/>
      <c r="RET49" s="82"/>
      <c r="REU49" s="82"/>
      <c r="REV49" s="82"/>
      <c r="REW49" s="82"/>
      <c r="REX49" s="82"/>
      <c r="REY49" s="82"/>
      <c r="REZ49" s="82"/>
      <c r="RFA49" s="82"/>
      <c r="RFB49" s="82"/>
      <c r="RFC49" s="82"/>
      <c r="RFD49" s="82"/>
      <c r="RFE49" s="82"/>
      <c r="RFF49" s="82"/>
      <c r="RFG49" s="82"/>
      <c r="RFH49" s="82"/>
      <c r="RFI49" s="82"/>
      <c r="RFJ49" s="82"/>
      <c r="RFK49" s="82"/>
      <c r="RFL49" s="82"/>
      <c r="RFM49" s="82"/>
      <c r="RFN49" s="82"/>
      <c r="RFO49" s="82"/>
      <c r="RFP49" s="82"/>
      <c r="RFQ49" s="82"/>
      <c r="RFR49" s="82"/>
      <c r="RFS49" s="82"/>
      <c r="RFT49" s="82"/>
      <c r="RFU49" s="82"/>
      <c r="RFV49" s="82"/>
      <c r="RFW49" s="82"/>
      <c r="RFX49" s="82"/>
      <c r="RFY49" s="82"/>
      <c r="RFZ49" s="82"/>
      <c r="RGA49" s="82"/>
      <c r="RGB49" s="82"/>
      <c r="RGC49" s="82"/>
      <c r="RGD49" s="82"/>
      <c r="RGE49" s="82"/>
      <c r="RGF49" s="82"/>
      <c r="RGG49" s="82"/>
      <c r="RGH49" s="82"/>
      <c r="RGI49" s="82"/>
      <c r="RGJ49" s="82"/>
      <c r="RGK49" s="82"/>
      <c r="RGL49" s="82"/>
      <c r="RGM49" s="82"/>
      <c r="RGN49" s="82"/>
      <c r="RGO49" s="82"/>
      <c r="RGP49" s="82"/>
      <c r="RGQ49" s="82"/>
      <c r="RGR49" s="82"/>
      <c r="RGS49" s="82"/>
      <c r="RGT49" s="82"/>
      <c r="RGU49" s="82"/>
      <c r="RGV49" s="82"/>
      <c r="RGW49" s="82"/>
      <c r="RGX49" s="82"/>
      <c r="RGY49" s="82"/>
      <c r="RGZ49" s="82"/>
      <c r="RHA49" s="82"/>
      <c r="RHB49" s="82"/>
      <c r="RHC49" s="82"/>
      <c r="RHD49" s="82"/>
      <c r="RHE49" s="82"/>
      <c r="RHF49" s="82"/>
      <c r="RHG49" s="82"/>
      <c r="RHH49" s="82"/>
      <c r="RHI49" s="82"/>
      <c r="RHJ49" s="82"/>
      <c r="RHK49" s="82"/>
      <c r="RHL49" s="82"/>
      <c r="RHM49" s="82"/>
      <c r="RHN49" s="82"/>
      <c r="RHO49" s="82"/>
      <c r="RHP49" s="82"/>
      <c r="RHQ49" s="82"/>
      <c r="RHR49" s="82"/>
      <c r="RHS49" s="82"/>
      <c r="RHT49" s="82"/>
      <c r="RHU49" s="82"/>
      <c r="RHV49" s="82"/>
      <c r="RHW49" s="82"/>
      <c r="RHX49" s="82"/>
      <c r="RHY49" s="82"/>
      <c r="RHZ49" s="82"/>
      <c r="RIA49" s="82"/>
      <c r="RIB49" s="82"/>
      <c r="RIC49" s="82"/>
      <c r="RID49" s="82"/>
      <c r="RIE49" s="82"/>
      <c r="RIF49" s="82"/>
      <c r="RIG49" s="82"/>
      <c r="RIH49" s="82"/>
      <c r="RII49" s="82"/>
      <c r="RIJ49" s="82"/>
      <c r="RIK49" s="82"/>
      <c r="RIL49" s="82"/>
      <c r="RIM49" s="82"/>
      <c r="RIN49" s="82"/>
      <c r="RIO49" s="82"/>
      <c r="RIP49" s="82"/>
      <c r="RIQ49" s="82"/>
      <c r="RIR49" s="82"/>
      <c r="RIS49" s="82"/>
      <c r="RIT49" s="82"/>
      <c r="RIU49" s="82"/>
      <c r="RIV49" s="82"/>
      <c r="RIW49" s="82"/>
      <c r="RIX49" s="82"/>
      <c r="RIY49" s="82"/>
      <c r="RIZ49" s="82"/>
      <c r="RJA49" s="82"/>
      <c r="RJB49" s="82"/>
      <c r="RJC49" s="82"/>
      <c r="RJD49" s="82"/>
      <c r="RJE49" s="82"/>
      <c r="RJF49" s="82"/>
      <c r="RJG49" s="82"/>
      <c r="RJH49" s="82"/>
      <c r="RJI49" s="82"/>
      <c r="RJJ49" s="82"/>
      <c r="RJK49" s="82"/>
      <c r="RJL49" s="82"/>
      <c r="RJM49" s="82"/>
      <c r="RJN49" s="82"/>
      <c r="RJO49" s="82"/>
      <c r="RJP49" s="82"/>
      <c r="RJQ49" s="82"/>
      <c r="RJR49" s="82"/>
      <c r="RJS49" s="82"/>
      <c r="RJT49" s="82"/>
      <c r="RJU49" s="82"/>
      <c r="RJV49" s="82"/>
      <c r="RJW49" s="82"/>
      <c r="RJX49" s="82"/>
      <c r="RJY49" s="82"/>
      <c r="RJZ49" s="82"/>
      <c r="RKA49" s="82"/>
      <c r="RKB49" s="82"/>
      <c r="RKC49" s="82"/>
      <c r="RKD49" s="82"/>
      <c r="RKE49" s="82"/>
      <c r="RKF49" s="82"/>
      <c r="RKG49" s="82"/>
      <c r="RKH49" s="82"/>
      <c r="RKI49" s="82"/>
      <c r="RKJ49" s="82"/>
      <c r="RKK49" s="82"/>
      <c r="RKL49" s="82"/>
      <c r="RKM49" s="82"/>
      <c r="RKN49" s="82"/>
      <c r="RKO49" s="82"/>
      <c r="RKP49" s="82"/>
      <c r="RKQ49" s="82"/>
      <c r="RKR49" s="82"/>
      <c r="RKS49" s="82"/>
      <c r="RKT49" s="82"/>
      <c r="RKU49" s="82"/>
      <c r="RKV49" s="82"/>
      <c r="RKW49" s="82"/>
      <c r="RKX49" s="82"/>
      <c r="RKY49" s="82"/>
      <c r="RKZ49" s="82"/>
      <c r="RLA49" s="82"/>
      <c r="RLB49" s="82"/>
      <c r="RLC49" s="82"/>
      <c r="RLD49" s="82"/>
      <c r="RLE49" s="82"/>
      <c r="RLF49" s="82"/>
      <c r="RLG49" s="82"/>
      <c r="RLH49" s="82"/>
      <c r="RLI49" s="82"/>
      <c r="RLJ49" s="82"/>
      <c r="RLK49" s="82"/>
      <c r="RLL49" s="82"/>
      <c r="RLM49" s="82"/>
      <c r="RLN49" s="82"/>
      <c r="RLO49" s="82"/>
      <c r="RLP49" s="82"/>
      <c r="RLQ49" s="82"/>
      <c r="RLR49" s="82"/>
      <c r="RLS49" s="82"/>
      <c r="RLT49" s="82"/>
      <c r="RLU49" s="82"/>
      <c r="RLV49" s="82"/>
      <c r="RLW49" s="82"/>
      <c r="RLX49" s="82"/>
      <c r="RLY49" s="82"/>
      <c r="RLZ49" s="82"/>
      <c r="RMA49" s="82"/>
      <c r="RMB49" s="82"/>
      <c r="RMC49" s="82"/>
      <c r="RMD49" s="82"/>
      <c r="RME49" s="82"/>
      <c r="RMF49" s="82"/>
      <c r="RMG49" s="82"/>
      <c r="RMH49" s="82"/>
      <c r="RMI49" s="82"/>
      <c r="RMJ49" s="82"/>
      <c r="RMK49" s="82"/>
      <c r="RML49" s="82"/>
      <c r="RMM49" s="82"/>
      <c r="RMN49" s="82"/>
      <c r="RMO49" s="82"/>
      <c r="RMP49" s="82"/>
      <c r="RMQ49" s="82"/>
      <c r="RMR49" s="82"/>
      <c r="RMS49" s="82"/>
      <c r="RMT49" s="82"/>
      <c r="RMU49" s="82"/>
      <c r="RMV49" s="82"/>
      <c r="RMW49" s="82"/>
      <c r="RMX49" s="82"/>
      <c r="RMY49" s="82"/>
      <c r="RMZ49" s="82"/>
      <c r="RNA49" s="82"/>
      <c r="RNB49" s="82"/>
      <c r="RNC49" s="82"/>
      <c r="RND49" s="82"/>
      <c r="RNE49" s="82"/>
      <c r="RNF49" s="82"/>
      <c r="RNG49" s="82"/>
      <c r="RNH49" s="82"/>
      <c r="RNI49" s="82"/>
      <c r="RNJ49" s="82"/>
      <c r="RNK49" s="82"/>
      <c r="RNL49" s="82"/>
      <c r="RNM49" s="82"/>
      <c r="RNN49" s="82"/>
      <c r="RNO49" s="82"/>
      <c r="RNP49" s="82"/>
      <c r="RNQ49" s="82"/>
      <c r="RNR49" s="82"/>
      <c r="RNS49" s="82"/>
      <c r="RNT49" s="82"/>
      <c r="RNU49" s="82"/>
      <c r="RNV49" s="82"/>
      <c r="RNW49" s="82"/>
      <c r="RNX49" s="82"/>
      <c r="RNY49" s="82"/>
      <c r="RNZ49" s="82"/>
      <c r="ROA49" s="82"/>
      <c r="ROB49" s="82"/>
      <c r="ROC49" s="82"/>
      <c r="ROD49" s="82"/>
      <c r="ROE49" s="82"/>
      <c r="ROF49" s="82"/>
      <c r="ROG49" s="82"/>
      <c r="ROH49" s="82"/>
      <c r="ROI49" s="82"/>
      <c r="ROJ49" s="82"/>
      <c r="ROK49" s="82"/>
      <c r="ROL49" s="82"/>
      <c r="ROM49" s="82"/>
      <c r="RON49" s="82"/>
      <c r="ROO49" s="82"/>
      <c r="ROP49" s="82"/>
      <c r="ROQ49" s="82"/>
      <c r="ROR49" s="82"/>
      <c r="ROS49" s="82"/>
      <c r="ROT49" s="82"/>
      <c r="ROU49" s="82"/>
      <c r="ROV49" s="82"/>
      <c r="ROW49" s="82"/>
      <c r="ROX49" s="82"/>
      <c r="ROY49" s="82"/>
      <c r="ROZ49" s="82"/>
      <c r="RPA49" s="82"/>
      <c r="RPB49" s="82"/>
      <c r="RPC49" s="82"/>
      <c r="RPD49" s="82"/>
      <c r="RPE49" s="82"/>
      <c r="RPF49" s="82"/>
      <c r="RPG49" s="82"/>
      <c r="RPH49" s="82"/>
      <c r="RPI49" s="82"/>
      <c r="RPJ49" s="82"/>
      <c r="RPK49" s="82"/>
      <c r="RPL49" s="82"/>
      <c r="RPM49" s="82"/>
      <c r="RPN49" s="82"/>
      <c r="RPO49" s="82"/>
      <c r="RPP49" s="82"/>
      <c r="RPQ49" s="82"/>
      <c r="RPR49" s="82"/>
      <c r="RPS49" s="82"/>
      <c r="RPT49" s="82"/>
      <c r="RPU49" s="82"/>
      <c r="RPV49" s="82"/>
      <c r="RPW49" s="82"/>
      <c r="RPX49" s="82"/>
      <c r="RPY49" s="82"/>
      <c r="RPZ49" s="82"/>
      <c r="RQA49" s="82"/>
      <c r="RQB49" s="82"/>
      <c r="RQC49" s="82"/>
      <c r="RQD49" s="82"/>
      <c r="RQE49" s="82"/>
      <c r="RQF49" s="82"/>
      <c r="RQG49" s="82"/>
      <c r="RQH49" s="82"/>
      <c r="RQI49" s="82"/>
      <c r="RQJ49" s="82"/>
      <c r="RQK49" s="82"/>
      <c r="RQL49" s="82"/>
      <c r="RQM49" s="82"/>
      <c r="RQN49" s="82"/>
      <c r="RQO49" s="82"/>
      <c r="RQP49" s="82"/>
      <c r="RQQ49" s="82"/>
      <c r="RQR49" s="82"/>
      <c r="RQS49" s="82"/>
      <c r="RQT49" s="82"/>
      <c r="RQU49" s="82"/>
      <c r="RQV49" s="82"/>
      <c r="RQW49" s="82"/>
      <c r="RQX49" s="82"/>
      <c r="RQY49" s="82"/>
      <c r="RQZ49" s="82"/>
      <c r="RRA49" s="82"/>
      <c r="RRB49" s="82"/>
      <c r="RRC49" s="82"/>
      <c r="RRD49" s="82"/>
      <c r="RRE49" s="82"/>
      <c r="RRF49" s="82"/>
      <c r="RRG49" s="82"/>
      <c r="RRH49" s="82"/>
      <c r="RRI49" s="82"/>
      <c r="RRJ49" s="82"/>
      <c r="RRK49" s="82"/>
      <c r="RRL49" s="82"/>
      <c r="RRM49" s="82"/>
      <c r="RRN49" s="82"/>
      <c r="RRO49" s="82"/>
      <c r="RRP49" s="82"/>
      <c r="RRQ49" s="82"/>
      <c r="RRR49" s="82"/>
      <c r="RRS49" s="82"/>
      <c r="RRT49" s="82"/>
      <c r="RRU49" s="82"/>
      <c r="RRV49" s="82"/>
      <c r="RRW49" s="82"/>
      <c r="RRX49" s="82"/>
      <c r="RRY49" s="82"/>
      <c r="RRZ49" s="82"/>
      <c r="RSA49" s="82"/>
      <c r="RSB49" s="82"/>
      <c r="RSC49" s="82"/>
      <c r="RSD49" s="82"/>
      <c r="RSE49" s="82"/>
      <c r="RSF49" s="82"/>
      <c r="RSG49" s="82"/>
      <c r="RSH49" s="82"/>
      <c r="RSI49" s="82"/>
      <c r="RSJ49" s="82"/>
      <c r="RSK49" s="82"/>
      <c r="RSL49" s="82"/>
      <c r="RSM49" s="82"/>
      <c r="RSN49" s="82"/>
      <c r="RSO49" s="82"/>
      <c r="RSP49" s="82"/>
      <c r="RSQ49" s="82"/>
      <c r="RSR49" s="82"/>
      <c r="RSS49" s="82"/>
      <c r="RST49" s="82"/>
      <c r="RSU49" s="82"/>
      <c r="RSV49" s="82"/>
      <c r="RSW49" s="82"/>
      <c r="RSX49" s="82"/>
      <c r="RSY49" s="82"/>
      <c r="RSZ49" s="82"/>
      <c r="RTA49" s="82"/>
      <c r="RTB49" s="82"/>
      <c r="RTC49" s="82"/>
      <c r="RTD49" s="82"/>
      <c r="RTE49" s="82"/>
      <c r="RTF49" s="82"/>
      <c r="RTG49" s="82"/>
      <c r="RTH49" s="82"/>
      <c r="RTI49" s="82"/>
      <c r="RTJ49" s="82"/>
      <c r="RTK49" s="82"/>
      <c r="RTL49" s="82"/>
      <c r="RTM49" s="82"/>
      <c r="RTN49" s="82"/>
      <c r="RTO49" s="82"/>
      <c r="RTP49" s="82"/>
      <c r="RTQ49" s="82"/>
      <c r="RTR49" s="82"/>
      <c r="RTS49" s="82"/>
      <c r="RTT49" s="82"/>
      <c r="RTU49" s="82"/>
      <c r="RTV49" s="82"/>
      <c r="RTW49" s="82"/>
      <c r="RTX49" s="82"/>
      <c r="RTY49" s="82"/>
      <c r="RTZ49" s="82"/>
      <c r="RUA49" s="82"/>
      <c r="RUB49" s="82"/>
      <c r="RUC49" s="82"/>
      <c r="RUD49" s="82"/>
      <c r="RUE49" s="82"/>
      <c r="RUF49" s="82"/>
      <c r="RUG49" s="82"/>
      <c r="RUH49" s="82"/>
      <c r="RUI49" s="82"/>
      <c r="RUJ49" s="82"/>
      <c r="RUK49" s="82"/>
      <c r="RUL49" s="82"/>
      <c r="RUM49" s="82"/>
      <c r="RUN49" s="82"/>
      <c r="RUO49" s="82"/>
      <c r="RUP49" s="82"/>
      <c r="RUQ49" s="82"/>
      <c r="RUR49" s="82"/>
      <c r="RUS49" s="82"/>
      <c r="RUT49" s="82"/>
      <c r="RUU49" s="82"/>
      <c r="RUV49" s="82"/>
      <c r="RUW49" s="82"/>
      <c r="RUX49" s="82"/>
      <c r="RUY49" s="82"/>
      <c r="RUZ49" s="82"/>
      <c r="RVA49" s="82"/>
      <c r="RVB49" s="82"/>
      <c r="RVC49" s="82"/>
      <c r="RVD49" s="82"/>
      <c r="RVE49" s="82"/>
      <c r="RVF49" s="82"/>
      <c r="RVG49" s="82"/>
      <c r="RVH49" s="82"/>
      <c r="RVI49" s="82"/>
      <c r="RVJ49" s="82"/>
      <c r="RVK49" s="82"/>
      <c r="RVL49" s="82"/>
      <c r="RVM49" s="82"/>
      <c r="RVN49" s="82"/>
      <c r="RVO49" s="82"/>
      <c r="RVP49" s="82"/>
      <c r="RVQ49" s="82"/>
      <c r="RVR49" s="82"/>
      <c r="RVS49" s="82"/>
      <c r="RVT49" s="82"/>
      <c r="RVU49" s="82"/>
      <c r="RVV49" s="82"/>
      <c r="RVW49" s="82"/>
      <c r="RVX49" s="82"/>
      <c r="RVY49" s="82"/>
      <c r="RVZ49" s="82"/>
      <c r="RWA49" s="82"/>
      <c r="RWB49" s="82"/>
      <c r="RWC49" s="82"/>
      <c r="RWD49" s="82"/>
      <c r="RWE49" s="82"/>
      <c r="RWF49" s="82"/>
      <c r="RWG49" s="82"/>
      <c r="RWH49" s="82"/>
      <c r="RWI49" s="82"/>
      <c r="RWJ49" s="82"/>
      <c r="RWK49" s="82"/>
      <c r="RWL49" s="82"/>
      <c r="RWM49" s="82"/>
      <c r="RWN49" s="82"/>
      <c r="RWO49" s="82"/>
      <c r="RWP49" s="82"/>
      <c r="RWQ49" s="82"/>
      <c r="RWR49" s="82"/>
      <c r="RWS49" s="82"/>
      <c r="RWT49" s="82"/>
      <c r="RWU49" s="82"/>
      <c r="RWV49" s="82"/>
      <c r="RWW49" s="82"/>
      <c r="RWX49" s="82"/>
      <c r="RWY49" s="82"/>
      <c r="RWZ49" s="82"/>
      <c r="RXA49" s="82"/>
      <c r="RXB49" s="82"/>
      <c r="RXC49" s="82"/>
      <c r="RXD49" s="82"/>
      <c r="RXE49" s="82"/>
      <c r="RXF49" s="82"/>
      <c r="RXG49" s="82"/>
      <c r="RXH49" s="82"/>
      <c r="RXI49" s="82"/>
      <c r="RXJ49" s="82"/>
      <c r="RXK49" s="82"/>
      <c r="RXL49" s="82"/>
      <c r="RXM49" s="82"/>
      <c r="RXN49" s="82"/>
      <c r="RXO49" s="82"/>
      <c r="RXP49" s="82"/>
      <c r="RXQ49" s="82"/>
      <c r="RXR49" s="82"/>
      <c r="RXS49" s="82"/>
      <c r="RXT49" s="82"/>
      <c r="RXU49" s="82"/>
      <c r="RXV49" s="82"/>
      <c r="RXW49" s="82"/>
      <c r="RXX49" s="82"/>
      <c r="RXY49" s="82"/>
      <c r="RXZ49" s="82"/>
      <c r="RYA49" s="82"/>
      <c r="RYB49" s="82"/>
      <c r="RYC49" s="82"/>
      <c r="RYD49" s="82"/>
      <c r="RYE49" s="82"/>
      <c r="RYF49" s="82"/>
      <c r="RYG49" s="82"/>
      <c r="RYH49" s="82"/>
      <c r="RYI49" s="82"/>
      <c r="RYJ49" s="82"/>
      <c r="RYK49" s="82"/>
      <c r="RYL49" s="82"/>
      <c r="RYM49" s="82"/>
      <c r="RYN49" s="82"/>
      <c r="RYO49" s="82"/>
      <c r="RYP49" s="82"/>
      <c r="RYQ49" s="82"/>
      <c r="RYR49" s="82"/>
      <c r="RYS49" s="82"/>
      <c r="RYT49" s="82"/>
      <c r="RYU49" s="82"/>
      <c r="RYV49" s="82"/>
      <c r="RYW49" s="82"/>
      <c r="RYX49" s="82"/>
      <c r="RYY49" s="82"/>
      <c r="RYZ49" s="82"/>
      <c r="RZA49" s="82"/>
      <c r="RZB49" s="82"/>
      <c r="RZC49" s="82"/>
      <c r="RZD49" s="82"/>
      <c r="RZE49" s="82"/>
      <c r="RZF49" s="82"/>
      <c r="RZG49" s="82"/>
      <c r="RZH49" s="82"/>
      <c r="RZI49" s="82"/>
      <c r="RZJ49" s="82"/>
      <c r="RZK49" s="82"/>
      <c r="RZL49" s="82"/>
      <c r="RZM49" s="82"/>
      <c r="RZN49" s="82"/>
      <c r="RZO49" s="82"/>
      <c r="RZP49" s="82"/>
      <c r="RZQ49" s="82"/>
      <c r="RZR49" s="82"/>
      <c r="RZS49" s="82"/>
      <c r="RZT49" s="82"/>
      <c r="RZU49" s="82"/>
      <c r="RZV49" s="82"/>
      <c r="RZW49" s="82"/>
      <c r="RZX49" s="82"/>
      <c r="RZY49" s="82"/>
      <c r="RZZ49" s="82"/>
      <c r="SAA49" s="82"/>
      <c r="SAB49" s="82"/>
      <c r="SAC49" s="82"/>
      <c r="SAD49" s="82"/>
      <c r="SAE49" s="82"/>
      <c r="SAF49" s="82"/>
      <c r="SAG49" s="82"/>
      <c r="SAH49" s="82"/>
      <c r="SAI49" s="82"/>
      <c r="SAJ49" s="82"/>
      <c r="SAK49" s="82"/>
      <c r="SAL49" s="82"/>
      <c r="SAM49" s="82"/>
      <c r="SAN49" s="82"/>
      <c r="SAO49" s="82"/>
      <c r="SAP49" s="82"/>
      <c r="SAQ49" s="82"/>
      <c r="SAR49" s="82"/>
      <c r="SAS49" s="82"/>
      <c r="SAT49" s="82"/>
      <c r="SAU49" s="82"/>
      <c r="SAV49" s="82"/>
      <c r="SAW49" s="82"/>
      <c r="SAX49" s="82"/>
      <c r="SAY49" s="82"/>
      <c r="SAZ49" s="82"/>
      <c r="SBA49" s="82"/>
      <c r="SBB49" s="82"/>
      <c r="SBC49" s="82"/>
      <c r="SBD49" s="82"/>
      <c r="SBE49" s="82"/>
      <c r="SBF49" s="82"/>
      <c r="SBG49" s="82"/>
      <c r="SBH49" s="82"/>
      <c r="SBI49" s="82"/>
      <c r="SBJ49" s="82"/>
      <c r="SBK49" s="82"/>
      <c r="SBL49" s="82"/>
      <c r="SBM49" s="82"/>
      <c r="SBN49" s="82"/>
      <c r="SBO49" s="82"/>
      <c r="SBP49" s="82"/>
      <c r="SBQ49" s="82"/>
      <c r="SBR49" s="82"/>
      <c r="SBS49" s="82"/>
      <c r="SBT49" s="82"/>
      <c r="SBU49" s="82"/>
      <c r="SBV49" s="82"/>
      <c r="SBW49" s="82"/>
      <c r="SBX49" s="82"/>
      <c r="SBY49" s="82"/>
      <c r="SBZ49" s="82"/>
      <c r="SCA49" s="82"/>
      <c r="SCB49" s="82"/>
      <c r="SCC49" s="82"/>
      <c r="SCD49" s="82"/>
      <c r="SCE49" s="82"/>
      <c r="SCF49" s="82"/>
      <c r="SCG49" s="82"/>
      <c r="SCH49" s="82"/>
      <c r="SCI49" s="82"/>
      <c r="SCJ49" s="82"/>
      <c r="SCK49" s="82"/>
      <c r="SCL49" s="82"/>
      <c r="SCM49" s="82"/>
      <c r="SCN49" s="82"/>
      <c r="SCO49" s="82"/>
      <c r="SCP49" s="82"/>
      <c r="SCQ49" s="82"/>
      <c r="SCR49" s="82"/>
      <c r="SCS49" s="82"/>
      <c r="SCT49" s="82"/>
      <c r="SCU49" s="82"/>
      <c r="SCV49" s="82"/>
      <c r="SCW49" s="82"/>
      <c r="SCX49" s="82"/>
      <c r="SCY49" s="82"/>
      <c r="SCZ49" s="82"/>
      <c r="SDA49" s="82"/>
      <c r="SDB49" s="82"/>
      <c r="SDC49" s="82"/>
      <c r="SDD49" s="82"/>
      <c r="SDE49" s="82"/>
      <c r="SDF49" s="82"/>
      <c r="SDG49" s="82"/>
      <c r="SDH49" s="82"/>
      <c r="SDI49" s="82"/>
      <c r="SDJ49" s="82"/>
      <c r="SDK49" s="82"/>
      <c r="SDL49" s="82"/>
      <c r="SDM49" s="82"/>
      <c r="SDN49" s="82"/>
      <c r="SDO49" s="82"/>
      <c r="SDP49" s="82"/>
      <c r="SDQ49" s="82"/>
      <c r="SDR49" s="82"/>
      <c r="SDS49" s="82"/>
      <c r="SDT49" s="82"/>
      <c r="SDU49" s="82"/>
      <c r="SDV49" s="82"/>
      <c r="SDW49" s="82"/>
      <c r="SDX49" s="82"/>
      <c r="SDY49" s="82"/>
      <c r="SDZ49" s="82"/>
      <c r="SEA49" s="82"/>
      <c r="SEB49" s="82"/>
      <c r="SEC49" s="82"/>
      <c r="SED49" s="82"/>
      <c r="SEE49" s="82"/>
      <c r="SEF49" s="82"/>
      <c r="SEG49" s="82"/>
      <c r="SEH49" s="82"/>
      <c r="SEI49" s="82"/>
      <c r="SEJ49" s="82"/>
      <c r="SEK49" s="82"/>
      <c r="SEL49" s="82"/>
      <c r="SEM49" s="82"/>
      <c r="SEN49" s="82"/>
      <c r="SEO49" s="82"/>
      <c r="SEP49" s="82"/>
      <c r="SEQ49" s="82"/>
      <c r="SER49" s="82"/>
      <c r="SES49" s="82"/>
      <c r="SET49" s="82"/>
      <c r="SEU49" s="82"/>
      <c r="SEV49" s="82"/>
      <c r="SEW49" s="82"/>
      <c r="SEX49" s="82"/>
      <c r="SEY49" s="82"/>
      <c r="SEZ49" s="82"/>
      <c r="SFA49" s="82"/>
      <c r="SFB49" s="82"/>
      <c r="SFC49" s="82"/>
      <c r="SFD49" s="82"/>
      <c r="SFE49" s="82"/>
      <c r="SFF49" s="82"/>
      <c r="SFG49" s="82"/>
      <c r="SFH49" s="82"/>
      <c r="SFI49" s="82"/>
      <c r="SFJ49" s="82"/>
      <c r="SFK49" s="82"/>
      <c r="SFL49" s="82"/>
      <c r="SFM49" s="82"/>
      <c r="SFN49" s="82"/>
      <c r="SFO49" s="82"/>
      <c r="SFP49" s="82"/>
      <c r="SFQ49" s="82"/>
      <c r="SFR49" s="82"/>
      <c r="SFS49" s="82"/>
      <c r="SFT49" s="82"/>
      <c r="SFU49" s="82"/>
      <c r="SFV49" s="82"/>
      <c r="SFW49" s="82"/>
      <c r="SFX49" s="82"/>
      <c r="SFY49" s="82"/>
      <c r="SFZ49" s="82"/>
      <c r="SGA49" s="82"/>
      <c r="SGB49" s="82"/>
      <c r="SGC49" s="82"/>
      <c r="SGD49" s="82"/>
      <c r="SGE49" s="82"/>
      <c r="SGF49" s="82"/>
      <c r="SGG49" s="82"/>
      <c r="SGH49" s="82"/>
      <c r="SGI49" s="82"/>
      <c r="SGJ49" s="82"/>
      <c r="SGK49" s="82"/>
      <c r="SGL49" s="82"/>
      <c r="SGM49" s="82"/>
      <c r="SGN49" s="82"/>
      <c r="SGO49" s="82"/>
      <c r="SGP49" s="82"/>
      <c r="SGQ49" s="82"/>
      <c r="SGR49" s="82"/>
      <c r="SGS49" s="82"/>
      <c r="SGT49" s="82"/>
      <c r="SGU49" s="82"/>
      <c r="SGV49" s="82"/>
      <c r="SGW49" s="82"/>
      <c r="SGX49" s="82"/>
      <c r="SGY49" s="82"/>
      <c r="SGZ49" s="82"/>
      <c r="SHA49" s="82"/>
      <c r="SHB49" s="82"/>
      <c r="SHC49" s="82"/>
      <c r="SHD49" s="82"/>
      <c r="SHE49" s="82"/>
      <c r="SHF49" s="82"/>
      <c r="SHG49" s="82"/>
      <c r="SHH49" s="82"/>
      <c r="SHI49" s="82"/>
      <c r="SHJ49" s="82"/>
      <c r="SHK49" s="82"/>
      <c r="SHL49" s="82"/>
      <c r="SHM49" s="82"/>
      <c r="SHN49" s="82"/>
      <c r="SHO49" s="82"/>
      <c r="SHP49" s="82"/>
      <c r="SHQ49" s="82"/>
      <c r="SHR49" s="82"/>
      <c r="SHS49" s="82"/>
      <c r="SHT49" s="82"/>
      <c r="SHU49" s="82"/>
      <c r="SHV49" s="82"/>
      <c r="SHW49" s="82"/>
      <c r="SHX49" s="82"/>
      <c r="SHY49" s="82"/>
      <c r="SHZ49" s="82"/>
      <c r="SIA49" s="82"/>
      <c r="SIB49" s="82"/>
      <c r="SIC49" s="82"/>
      <c r="SID49" s="82"/>
      <c r="SIE49" s="82"/>
      <c r="SIF49" s="82"/>
      <c r="SIG49" s="82"/>
      <c r="SIH49" s="82"/>
      <c r="SII49" s="82"/>
      <c r="SIJ49" s="82"/>
      <c r="SIK49" s="82"/>
      <c r="SIL49" s="82"/>
      <c r="SIM49" s="82"/>
      <c r="SIN49" s="82"/>
      <c r="SIO49" s="82"/>
      <c r="SIP49" s="82"/>
      <c r="SIQ49" s="82"/>
      <c r="SIR49" s="82"/>
      <c r="SIS49" s="82"/>
      <c r="SIT49" s="82"/>
      <c r="SIU49" s="82"/>
      <c r="SIV49" s="82"/>
      <c r="SIW49" s="82"/>
      <c r="SIX49" s="82"/>
      <c r="SIY49" s="82"/>
      <c r="SIZ49" s="82"/>
      <c r="SJA49" s="82"/>
      <c r="SJB49" s="82"/>
      <c r="SJC49" s="82"/>
      <c r="SJD49" s="82"/>
      <c r="SJE49" s="82"/>
      <c r="SJF49" s="82"/>
      <c r="SJG49" s="82"/>
      <c r="SJH49" s="82"/>
      <c r="SJI49" s="82"/>
      <c r="SJJ49" s="82"/>
      <c r="SJK49" s="82"/>
      <c r="SJL49" s="82"/>
      <c r="SJM49" s="82"/>
      <c r="SJN49" s="82"/>
      <c r="SJO49" s="82"/>
      <c r="SJP49" s="82"/>
      <c r="SJQ49" s="82"/>
      <c r="SJR49" s="82"/>
      <c r="SJS49" s="82"/>
      <c r="SJT49" s="82"/>
      <c r="SJU49" s="82"/>
      <c r="SJV49" s="82"/>
      <c r="SJW49" s="82"/>
      <c r="SJX49" s="82"/>
      <c r="SJY49" s="82"/>
      <c r="SJZ49" s="82"/>
      <c r="SKA49" s="82"/>
      <c r="SKB49" s="82"/>
      <c r="SKC49" s="82"/>
      <c r="SKD49" s="82"/>
      <c r="SKE49" s="82"/>
      <c r="SKF49" s="82"/>
      <c r="SKG49" s="82"/>
      <c r="SKH49" s="82"/>
      <c r="SKI49" s="82"/>
      <c r="SKJ49" s="82"/>
      <c r="SKK49" s="82"/>
      <c r="SKL49" s="82"/>
      <c r="SKM49" s="82"/>
      <c r="SKN49" s="82"/>
      <c r="SKO49" s="82"/>
      <c r="SKP49" s="82"/>
      <c r="SKQ49" s="82"/>
      <c r="SKR49" s="82"/>
      <c r="SKS49" s="82"/>
      <c r="SKT49" s="82"/>
      <c r="SKU49" s="82"/>
      <c r="SKV49" s="82"/>
      <c r="SKW49" s="82"/>
      <c r="SKX49" s="82"/>
      <c r="SKY49" s="82"/>
      <c r="SKZ49" s="82"/>
      <c r="SLA49" s="82"/>
      <c r="SLB49" s="82"/>
      <c r="SLC49" s="82"/>
      <c r="SLD49" s="82"/>
      <c r="SLE49" s="82"/>
      <c r="SLF49" s="82"/>
      <c r="SLG49" s="82"/>
      <c r="SLH49" s="82"/>
      <c r="SLI49" s="82"/>
      <c r="SLJ49" s="82"/>
      <c r="SLK49" s="82"/>
      <c r="SLL49" s="82"/>
      <c r="SLM49" s="82"/>
      <c r="SLN49" s="82"/>
      <c r="SLO49" s="82"/>
      <c r="SLP49" s="82"/>
      <c r="SLQ49" s="82"/>
      <c r="SLR49" s="82"/>
      <c r="SLS49" s="82"/>
      <c r="SLT49" s="82"/>
      <c r="SLU49" s="82"/>
      <c r="SLV49" s="82"/>
      <c r="SLW49" s="82"/>
      <c r="SLX49" s="82"/>
      <c r="SLY49" s="82"/>
      <c r="SLZ49" s="82"/>
      <c r="SMA49" s="82"/>
      <c r="SMB49" s="82"/>
      <c r="SMC49" s="82"/>
      <c r="SMD49" s="82"/>
      <c r="SME49" s="82"/>
      <c r="SMF49" s="82"/>
      <c r="SMG49" s="82"/>
      <c r="SMH49" s="82"/>
      <c r="SMI49" s="82"/>
      <c r="SMJ49" s="82"/>
      <c r="SMK49" s="82"/>
      <c r="SML49" s="82"/>
      <c r="SMM49" s="82"/>
      <c r="SMN49" s="82"/>
      <c r="SMO49" s="82"/>
      <c r="SMP49" s="82"/>
      <c r="SMQ49" s="82"/>
      <c r="SMR49" s="82"/>
      <c r="SMS49" s="82"/>
      <c r="SMT49" s="82"/>
      <c r="SMU49" s="82"/>
      <c r="SMV49" s="82"/>
      <c r="SMW49" s="82"/>
      <c r="SMX49" s="82"/>
      <c r="SMY49" s="82"/>
      <c r="SMZ49" s="82"/>
      <c r="SNA49" s="82"/>
      <c r="SNB49" s="82"/>
      <c r="SNC49" s="82"/>
      <c r="SND49" s="82"/>
      <c r="SNE49" s="82"/>
      <c r="SNF49" s="82"/>
      <c r="SNG49" s="82"/>
      <c r="SNH49" s="82"/>
      <c r="SNI49" s="82"/>
      <c r="SNJ49" s="82"/>
      <c r="SNK49" s="82"/>
      <c r="SNL49" s="82"/>
      <c r="SNM49" s="82"/>
      <c r="SNN49" s="82"/>
      <c r="SNO49" s="82"/>
      <c r="SNP49" s="82"/>
      <c r="SNQ49" s="82"/>
      <c r="SNR49" s="82"/>
      <c r="SNS49" s="82"/>
      <c r="SNT49" s="82"/>
      <c r="SNU49" s="82"/>
      <c r="SNV49" s="82"/>
      <c r="SNW49" s="82"/>
      <c r="SNX49" s="82"/>
      <c r="SNY49" s="82"/>
      <c r="SNZ49" s="82"/>
      <c r="SOA49" s="82"/>
      <c r="SOB49" s="82"/>
      <c r="SOC49" s="82"/>
      <c r="SOD49" s="82"/>
      <c r="SOE49" s="82"/>
      <c r="SOF49" s="82"/>
      <c r="SOG49" s="82"/>
      <c r="SOH49" s="82"/>
      <c r="SOI49" s="82"/>
      <c r="SOJ49" s="82"/>
      <c r="SOK49" s="82"/>
      <c r="SOL49" s="82"/>
      <c r="SOM49" s="82"/>
      <c r="SON49" s="82"/>
      <c r="SOO49" s="82"/>
      <c r="SOP49" s="82"/>
      <c r="SOQ49" s="82"/>
      <c r="SOR49" s="82"/>
      <c r="SOS49" s="82"/>
      <c r="SOT49" s="82"/>
      <c r="SOU49" s="82"/>
      <c r="SOV49" s="82"/>
      <c r="SOW49" s="82"/>
      <c r="SOX49" s="82"/>
      <c r="SOY49" s="82"/>
      <c r="SOZ49" s="82"/>
      <c r="SPA49" s="82"/>
      <c r="SPB49" s="82"/>
      <c r="SPC49" s="82"/>
      <c r="SPD49" s="82"/>
      <c r="SPE49" s="82"/>
      <c r="SPF49" s="82"/>
      <c r="SPG49" s="82"/>
      <c r="SPH49" s="82"/>
      <c r="SPI49" s="82"/>
      <c r="SPJ49" s="82"/>
      <c r="SPK49" s="82"/>
      <c r="SPL49" s="82"/>
      <c r="SPM49" s="82"/>
      <c r="SPN49" s="82"/>
      <c r="SPO49" s="82"/>
      <c r="SPP49" s="82"/>
      <c r="SPQ49" s="82"/>
      <c r="SPR49" s="82"/>
      <c r="SPS49" s="82"/>
      <c r="SPT49" s="82"/>
      <c r="SPU49" s="82"/>
      <c r="SPV49" s="82"/>
      <c r="SPW49" s="82"/>
      <c r="SPX49" s="82"/>
      <c r="SPY49" s="82"/>
      <c r="SPZ49" s="82"/>
      <c r="SQA49" s="82"/>
      <c r="SQB49" s="82"/>
      <c r="SQC49" s="82"/>
      <c r="SQD49" s="82"/>
      <c r="SQE49" s="82"/>
      <c r="SQF49" s="82"/>
      <c r="SQG49" s="82"/>
      <c r="SQH49" s="82"/>
      <c r="SQI49" s="82"/>
      <c r="SQJ49" s="82"/>
      <c r="SQK49" s="82"/>
      <c r="SQL49" s="82"/>
      <c r="SQM49" s="82"/>
      <c r="SQN49" s="82"/>
      <c r="SQO49" s="82"/>
      <c r="SQP49" s="82"/>
      <c r="SQQ49" s="82"/>
      <c r="SQR49" s="82"/>
      <c r="SQS49" s="82"/>
      <c r="SQT49" s="82"/>
      <c r="SQU49" s="82"/>
      <c r="SQV49" s="82"/>
      <c r="SQW49" s="82"/>
      <c r="SQX49" s="82"/>
      <c r="SQY49" s="82"/>
      <c r="SQZ49" s="82"/>
      <c r="SRA49" s="82"/>
      <c r="SRB49" s="82"/>
      <c r="SRC49" s="82"/>
      <c r="SRD49" s="82"/>
      <c r="SRE49" s="82"/>
      <c r="SRF49" s="82"/>
      <c r="SRG49" s="82"/>
      <c r="SRH49" s="82"/>
      <c r="SRI49" s="82"/>
      <c r="SRJ49" s="82"/>
      <c r="SRK49" s="82"/>
      <c r="SRL49" s="82"/>
      <c r="SRM49" s="82"/>
      <c r="SRN49" s="82"/>
      <c r="SRO49" s="82"/>
      <c r="SRP49" s="82"/>
      <c r="SRQ49" s="82"/>
      <c r="SRR49" s="82"/>
      <c r="SRS49" s="82"/>
      <c r="SRT49" s="82"/>
      <c r="SRU49" s="82"/>
      <c r="SRV49" s="82"/>
      <c r="SRW49" s="82"/>
      <c r="SRX49" s="82"/>
      <c r="SRY49" s="82"/>
      <c r="SRZ49" s="82"/>
      <c r="SSA49" s="82"/>
      <c r="SSB49" s="82"/>
      <c r="SSC49" s="82"/>
      <c r="SSD49" s="82"/>
      <c r="SSE49" s="82"/>
      <c r="SSF49" s="82"/>
      <c r="SSG49" s="82"/>
      <c r="SSH49" s="82"/>
      <c r="SSI49" s="82"/>
      <c r="SSJ49" s="82"/>
      <c r="SSK49" s="82"/>
      <c r="SSL49" s="82"/>
      <c r="SSM49" s="82"/>
      <c r="SSN49" s="82"/>
      <c r="SSO49" s="82"/>
      <c r="SSP49" s="82"/>
      <c r="SSQ49" s="82"/>
      <c r="SSR49" s="82"/>
      <c r="SSS49" s="82"/>
      <c r="SST49" s="82"/>
      <c r="SSU49" s="82"/>
      <c r="SSV49" s="82"/>
      <c r="SSW49" s="82"/>
      <c r="SSX49" s="82"/>
      <c r="SSY49" s="82"/>
      <c r="SSZ49" s="82"/>
      <c r="STA49" s="82"/>
      <c r="STB49" s="82"/>
      <c r="STC49" s="82"/>
      <c r="STD49" s="82"/>
      <c r="STE49" s="82"/>
      <c r="STF49" s="82"/>
      <c r="STG49" s="82"/>
      <c r="STH49" s="82"/>
      <c r="STI49" s="82"/>
      <c r="STJ49" s="82"/>
      <c r="STK49" s="82"/>
      <c r="STL49" s="82"/>
      <c r="STM49" s="82"/>
      <c r="STN49" s="82"/>
      <c r="STO49" s="82"/>
      <c r="STP49" s="82"/>
      <c r="STQ49" s="82"/>
      <c r="STR49" s="82"/>
      <c r="STS49" s="82"/>
      <c r="STT49" s="82"/>
      <c r="STU49" s="82"/>
      <c r="STV49" s="82"/>
      <c r="STW49" s="82"/>
      <c r="STX49" s="82"/>
      <c r="STY49" s="82"/>
      <c r="STZ49" s="82"/>
      <c r="SUA49" s="82"/>
      <c r="SUB49" s="82"/>
      <c r="SUC49" s="82"/>
      <c r="SUD49" s="82"/>
      <c r="SUE49" s="82"/>
      <c r="SUF49" s="82"/>
      <c r="SUG49" s="82"/>
      <c r="SUH49" s="82"/>
      <c r="SUI49" s="82"/>
      <c r="SUJ49" s="82"/>
      <c r="SUK49" s="82"/>
      <c r="SUL49" s="82"/>
      <c r="SUM49" s="82"/>
      <c r="SUN49" s="82"/>
      <c r="SUO49" s="82"/>
      <c r="SUP49" s="82"/>
      <c r="SUQ49" s="82"/>
      <c r="SUR49" s="82"/>
      <c r="SUS49" s="82"/>
      <c r="SUT49" s="82"/>
      <c r="SUU49" s="82"/>
      <c r="SUV49" s="82"/>
      <c r="SUW49" s="82"/>
      <c r="SUX49" s="82"/>
      <c r="SUY49" s="82"/>
      <c r="SUZ49" s="82"/>
      <c r="SVA49" s="82"/>
      <c r="SVB49" s="82"/>
      <c r="SVC49" s="82"/>
      <c r="SVD49" s="82"/>
      <c r="SVE49" s="82"/>
      <c r="SVF49" s="82"/>
      <c r="SVG49" s="82"/>
      <c r="SVH49" s="82"/>
      <c r="SVI49" s="82"/>
      <c r="SVJ49" s="82"/>
      <c r="SVK49" s="82"/>
      <c r="SVL49" s="82"/>
      <c r="SVM49" s="82"/>
      <c r="SVN49" s="82"/>
      <c r="SVO49" s="82"/>
      <c r="SVP49" s="82"/>
      <c r="SVQ49" s="82"/>
      <c r="SVR49" s="82"/>
      <c r="SVS49" s="82"/>
      <c r="SVT49" s="82"/>
      <c r="SVU49" s="82"/>
      <c r="SVV49" s="82"/>
      <c r="SVW49" s="82"/>
      <c r="SVX49" s="82"/>
      <c r="SVY49" s="82"/>
      <c r="SVZ49" s="82"/>
      <c r="SWA49" s="82"/>
      <c r="SWB49" s="82"/>
      <c r="SWC49" s="82"/>
      <c r="SWD49" s="82"/>
      <c r="SWE49" s="82"/>
      <c r="SWF49" s="82"/>
      <c r="SWG49" s="82"/>
      <c r="SWH49" s="82"/>
      <c r="SWI49" s="82"/>
      <c r="SWJ49" s="82"/>
      <c r="SWK49" s="82"/>
      <c r="SWL49" s="82"/>
      <c r="SWM49" s="82"/>
      <c r="SWN49" s="82"/>
      <c r="SWO49" s="82"/>
      <c r="SWP49" s="82"/>
      <c r="SWQ49" s="82"/>
      <c r="SWR49" s="82"/>
      <c r="SWS49" s="82"/>
      <c r="SWT49" s="82"/>
      <c r="SWU49" s="82"/>
      <c r="SWV49" s="82"/>
      <c r="SWW49" s="82"/>
      <c r="SWX49" s="82"/>
      <c r="SWY49" s="82"/>
      <c r="SWZ49" s="82"/>
      <c r="SXA49" s="82"/>
      <c r="SXB49" s="82"/>
      <c r="SXC49" s="82"/>
      <c r="SXD49" s="82"/>
      <c r="SXE49" s="82"/>
      <c r="SXF49" s="82"/>
      <c r="SXG49" s="82"/>
      <c r="SXH49" s="82"/>
      <c r="SXI49" s="82"/>
      <c r="SXJ49" s="82"/>
      <c r="SXK49" s="82"/>
      <c r="SXL49" s="82"/>
      <c r="SXM49" s="82"/>
      <c r="SXN49" s="82"/>
      <c r="SXO49" s="82"/>
      <c r="SXP49" s="82"/>
      <c r="SXQ49" s="82"/>
      <c r="SXR49" s="82"/>
      <c r="SXS49" s="82"/>
      <c r="SXT49" s="82"/>
      <c r="SXU49" s="82"/>
      <c r="SXV49" s="82"/>
      <c r="SXW49" s="82"/>
      <c r="SXX49" s="82"/>
      <c r="SXY49" s="82"/>
      <c r="SXZ49" s="82"/>
      <c r="SYA49" s="82"/>
      <c r="SYB49" s="82"/>
      <c r="SYC49" s="82"/>
      <c r="SYD49" s="82"/>
      <c r="SYE49" s="82"/>
      <c r="SYF49" s="82"/>
      <c r="SYG49" s="82"/>
      <c r="SYH49" s="82"/>
      <c r="SYI49" s="82"/>
      <c r="SYJ49" s="82"/>
      <c r="SYK49" s="82"/>
      <c r="SYL49" s="82"/>
      <c r="SYM49" s="82"/>
      <c r="SYN49" s="82"/>
      <c r="SYO49" s="82"/>
      <c r="SYP49" s="82"/>
      <c r="SYQ49" s="82"/>
      <c r="SYR49" s="82"/>
      <c r="SYS49" s="82"/>
      <c r="SYT49" s="82"/>
      <c r="SYU49" s="82"/>
      <c r="SYV49" s="82"/>
      <c r="SYW49" s="82"/>
      <c r="SYX49" s="82"/>
      <c r="SYY49" s="82"/>
      <c r="SYZ49" s="82"/>
      <c r="SZA49" s="82"/>
      <c r="SZB49" s="82"/>
      <c r="SZC49" s="82"/>
      <c r="SZD49" s="82"/>
      <c r="SZE49" s="82"/>
      <c r="SZF49" s="82"/>
      <c r="SZG49" s="82"/>
      <c r="SZH49" s="82"/>
      <c r="SZI49" s="82"/>
      <c r="SZJ49" s="82"/>
      <c r="SZK49" s="82"/>
      <c r="SZL49" s="82"/>
      <c r="SZM49" s="82"/>
      <c r="SZN49" s="82"/>
      <c r="SZO49" s="82"/>
      <c r="SZP49" s="82"/>
      <c r="SZQ49" s="82"/>
      <c r="SZR49" s="82"/>
      <c r="SZS49" s="82"/>
      <c r="SZT49" s="82"/>
      <c r="SZU49" s="82"/>
      <c r="SZV49" s="82"/>
      <c r="SZW49" s="82"/>
      <c r="SZX49" s="82"/>
      <c r="SZY49" s="82"/>
      <c r="SZZ49" s="82"/>
      <c r="TAA49" s="82"/>
      <c r="TAB49" s="82"/>
      <c r="TAC49" s="82"/>
      <c r="TAD49" s="82"/>
      <c r="TAE49" s="82"/>
      <c r="TAF49" s="82"/>
      <c r="TAG49" s="82"/>
      <c r="TAH49" s="82"/>
      <c r="TAI49" s="82"/>
      <c r="TAJ49" s="82"/>
      <c r="TAK49" s="82"/>
      <c r="TAL49" s="82"/>
      <c r="TAM49" s="82"/>
      <c r="TAN49" s="82"/>
      <c r="TAO49" s="82"/>
      <c r="TAP49" s="82"/>
      <c r="TAQ49" s="82"/>
      <c r="TAR49" s="82"/>
      <c r="TAS49" s="82"/>
      <c r="TAT49" s="82"/>
      <c r="TAU49" s="82"/>
      <c r="TAV49" s="82"/>
      <c r="TAW49" s="82"/>
      <c r="TAX49" s="82"/>
      <c r="TAY49" s="82"/>
      <c r="TAZ49" s="82"/>
      <c r="TBA49" s="82"/>
      <c r="TBB49" s="82"/>
      <c r="TBC49" s="82"/>
      <c r="TBD49" s="82"/>
      <c r="TBE49" s="82"/>
      <c r="TBF49" s="82"/>
      <c r="TBG49" s="82"/>
      <c r="TBH49" s="82"/>
      <c r="TBI49" s="82"/>
      <c r="TBJ49" s="82"/>
      <c r="TBK49" s="82"/>
      <c r="TBL49" s="82"/>
      <c r="TBM49" s="82"/>
      <c r="TBN49" s="82"/>
      <c r="TBO49" s="82"/>
      <c r="TBP49" s="82"/>
      <c r="TBQ49" s="82"/>
      <c r="TBR49" s="82"/>
      <c r="TBS49" s="82"/>
      <c r="TBT49" s="82"/>
      <c r="TBU49" s="82"/>
      <c r="TBV49" s="82"/>
      <c r="TBW49" s="82"/>
      <c r="TBX49" s="82"/>
      <c r="TBY49" s="82"/>
      <c r="TBZ49" s="82"/>
      <c r="TCA49" s="82"/>
      <c r="TCB49" s="82"/>
      <c r="TCC49" s="82"/>
      <c r="TCD49" s="82"/>
      <c r="TCE49" s="82"/>
      <c r="TCF49" s="82"/>
      <c r="TCG49" s="82"/>
      <c r="TCH49" s="82"/>
      <c r="TCI49" s="82"/>
      <c r="TCJ49" s="82"/>
      <c r="TCK49" s="82"/>
      <c r="TCL49" s="82"/>
      <c r="TCM49" s="82"/>
      <c r="TCN49" s="82"/>
      <c r="TCO49" s="82"/>
      <c r="TCP49" s="82"/>
      <c r="TCQ49" s="82"/>
      <c r="TCR49" s="82"/>
      <c r="TCS49" s="82"/>
      <c r="TCT49" s="82"/>
      <c r="TCU49" s="82"/>
      <c r="TCV49" s="82"/>
      <c r="TCW49" s="82"/>
      <c r="TCX49" s="82"/>
      <c r="TCY49" s="82"/>
      <c r="TCZ49" s="82"/>
      <c r="TDA49" s="82"/>
      <c r="TDB49" s="82"/>
      <c r="TDC49" s="82"/>
      <c r="TDD49" s="82"/>
      <c r="TDE49" s="82"/>
      <c r="TDF49" s="82"/>
      <c r="TDG49" s="82"/>
      <c r="TDH49" s="82"/>
      <c r="TDI49" s="82"/>
      <c r="TDJ49" s="82"/>
      <c r="TDK49" s="82"/>
      <c r="TDL49" s="82"/>
      <c r="TDM49" s="82"/>
      <c r="TDN49" s="82"/>
      <c r="TDO49" s="82"/>
      <c r="TDP49" s="82"/>
      <c r="TDQ49" s="82"/>
      <c r="TDR49" s="82"/>
      <c r="TDS49" s="82"/>
      <c r="TDT49" s="82"/>
      <c r="TDU49" s="82"/>
      <c r="TDV49" s="82"/>
      <c r="TDW49" s="82"/>
      <c r="TDX49" s="82"/>
      <c r="TDY49" s="82"/>
      <c r="TDZ49" s="82"/>
      <c r="TEA49" s="82"/>
      <c r="TEB49" s="82"/>
      <c r="TEC49" s="82"/>
      <c r="TED49" s="82"/>
      <c r="TEE49" s="82"/>
      <c r="TEF49" s="82"/>
      <c r="TEG49" s="82"/>
      <c r="TEH49" s="82"/>
      <c r="TEI49" s="82"/>
      <c r="TEJ49" s="82"/>
      <c r="TEK49" s="82"/>
      <c r="TEL49" s="82"/>
      <c r="TEM49" s="82"/>
      <c r="TEN49" s="82"/>
      <c r="TEO49" s="82"/>
      <c r="TEP49" s="82"/>
      <c r="TEQ49" s="82"/>
      <c r="TER49" s="82"/>
      <c r="TES49" s="82"/>
      <c r="TET49" s="82"/>
      <c r="TEU49" s="82"/>
      <c r="TEV49" s="82"/>
      <c r="TEW49" s="82"/>
      <c r="TEX49" s="82"/>
      <c r="TEY49" s="82"/>
      <c r="TEZ49" s="82"/>
      <c r="TFA49" s="82"/>
      <c r="TFB49" s="82"/>
      <c r="TFC49" s="82"/>
      <c r="TFD49" s="82"/>
      <c r="TFE49" s="82"/>
      <c r="TFF49" s="82"/>
      <c r="TFG49" s="82"/>
      <c r="TFH49" s="82"/>
      <c r="TFI49" s="82"/>
      <c r="TFJ49" s="82"/>
      <c r="TFK49" s="82"/>
      <c r="TFL49" s="82"/>
      <c r="TFM49" s="82"/>
      <c r="TFN49" s="82"/>
      <c r="TFO49" s="82"/>
      <c r="TFP49" s="82"/>
      <c r="TFQ49" s="82"/>
      <c r="TFR49" s="82"/>
      <c r="TFS49" s="82"/>
      <c r="TFT49" s="82"/>
      <c r="TFU49" s="82"/>
      <c r="TFV49" s="82"/>
      <c r="TFW49" s="82"/>
      <c r="TFX49" s="82"/>
      <c r="TFY49" s="82"/>
      <c r="TFZ49" s="82"/>
      <c r="TGA49" s="82"/>
      <c r="TGB49" s="82"/>
      <c r="TGC49" s="82"/>
      <c r="TGD49" s="82"/>
      <c r="TGE49" s="82"/>
      <c r="TGF49" s="82"/>
      <c r="TGG49" s="82"/>
      <c r="TGH49" s="82"/>
      <c r="TGI49" s="82"/>
      <c r="TGJ49" s="82"/>
      <c r="TGK49" s="82"/>
      <c r="TGL49" s="82"/>
      <c r="TGM49" s="82"/>
      <c r="TGN49" s="82"/>
      <c r="TGO49" s="82"/>
      <c r="TGP49" s="82"/>
      <c r="TGQ49" s="82"/>
      <c r="TGR49" s="82"/>
      <c r="TGS49" s="82"/>
      <c r="TGT49" s="82"/>
      <c r="TGU49" s="82"/>
      <c r="TGV49" s="82"/>
      <c r="TGW49" s="82"/>
      <c r="TGX49" s="82"/>
      <c r="TGY49" s="82"/>
      <c r="TGZ49" s="82"/>
      <c r="THA49" s="82"/>
      <c r="THB49" s="82"/>
      <c r="THC49" s="82"/>
      <c r="THD49" s="82"/>
      <c r="THE49" s="82"/>
      <c r="THF49" s="82"/>
      <c r="THG49" s="82"/>
      <c r="THH49" s="82"/>
      <c r="THI49" s="82"/>
      <c r="THJ49" s="82"/>
      <c r="THK49" s="82"/>
      <c r="THL49" s="82"/>
      <c r="THM49" s="82"/>
      <c r="THN49" s="82"/>
      <c r="THO49" s="82"/>
      <c r="THP49" s="82"/>
      <c r="THQ49" s="82"/>
      <c r="THR49" s="82"/>
      <c r="THS49" s="82"/>
      <c r="THT49" s="82"/>
      <c r="THU49" s="82"/>
      <c r="THV49" s="82"/>
      <c r="THW49" s="82"/>
      <c r="THX49" s="82"/>
      <c r="THY49" s="82"/>
      <c r="THZ49" s="82"/>
      <c r="TIA49" s="82"/>
      <c r="TIB49" s="82"/>
      <c r="TIC49" s="82"/>
      <c r="TID49" s="82"/>
      <c r="TIE49" s="82"/>
      <c r="TIF49" s="82"/>
      <c r="TIG49" s="82"/>
      <c r="TIH49" s="82"/>
      <c r="TII49" s="82"/>
      <c r="TIJ49" s="82"/>
      <c r="TIK49" s="82"/>
      <c r="TIL49" s="82"/>
      <c r="TIM49" s="82"/>
      <c r="TIN49" s="82"/>
      <c r="TIO49" s="82"/>
      <c r="TIP49" s="82"/>
      <c r="TIQ49" s="82"/>
      <c r="TIR49" s="82"/>
      <c r="TIS49" s="82"/>
      <c r="TIT49" s="82"/>
      <c r="TIU49" s="82"/>
      <c r="TIV49" s="82"/>
      <c r="TIW49" s="82"/>
      <c r="TIX49" s="82"/>
      <c r="TIY49" s="82"/>
      <c r="TIZ49" s="82"/>
      <c r="TJA49" s="82"/>
      <c r="TJB49" s="82"/>
      <c r="TJC49" s="82"/>
      <c r="TJD49" s="82"/>
      <c r="TJE49" s="82"/>
      <c r="TJF49" s="82"/>
      <c r="TJG49" s="82"/>
      <c r="TJH49" s="82"/>
      <c r="TJI49" s="82"/>
      <c r="TJJ49" s="82"/>
      <c r="TJK49" s="82"/>
      <c r="TJL49" s="82"/>
      <c r="TJM49" s="82"/>
      <c r="TJN49" s="82"/>
      <c r="TJO49" s="82"/>
      <c r="TJP49" s="82"/>
      <c r="TJQ49" s="82"/>
      <c r="TJR49" s="82"/>
      <c r="TJS49" s="82"/>
      <c r="TJT49" s="82"/>
      <c r="TJU49" s="82"/>
      <c r="TJV49" s="82"/>
      <c r="TJW49" s="82"/>
      <c r="TJX49" s="82"/>
      <c r="TJY49" s="82"/>
      <c r="TJZ49" s="82"/>
      <c r="TKA49" s="82"/>
      <c r="TKB49" s="82"/>
      <c r="TKC49" s="82"/>
      <c r="TKD49" s="82"/>
      <c r="TKE49" s="82"/>
      <c r="TKF49" s="82"/>
      <c r="TKG49" s="82"/>
      <c r="TKH49" s="82"/>
      <c r="TKI49" s="82"/>
      <c r="TKJ49" s="82"/>
      <c r="TKK49" s="82"/>
      <c r="TKL49" s="82"/>
      <c r="TKM49" s="82"/>
      <c r="TKN49" s="82"/>
      <c r="TKO49" s="82"/>
      <c r="TKP49" s="82"/>
      <c r="TKQ49" s="82"/>
      <c r="TKR49" s="82"/>
      <c r="TKS49" s="82"/>
      <c r="TKT49" s="82"/>
      <c r="TKU49" s="82"/>
      <c r="TKV49" s="82"/>
      <c r="TKW49" s="82"/>
      <c r="TKX49" s="82"/>
      <c r="TKY49" s="82"/>
      <c r="TKZ49" s="82"/>
      <c r="TLA49" s="82"/>
      <c r="TLB49" s="82"/>
      <c r="TLC49" s="82"/>
      <c r="TLD49" s="82"/>
      <c r="TLE49" s="82"/>
      <c r="TLF49" s="82"/>
      <c r="TLG49" s="82"/>
      <c r="TLH49" s="82"/>
      <c r="TLI49" s="82"/>
      <c r="TLJ49" s="82"/>
      <c r="TLK49" s="82"/>
      <c r="TLL49" s="82"/>
      <c r="TLM49" s="82"/>
      <c r="TLN49" s="82"/>
      <c r="TLO49" s="82"/>
      <c r="TLP49" s="82"/>
      <c r="TLQ49" s="82"/>
      <c r="TLR49" s="82"/>
      <c r="TLS49" s="82"/>
      <c r="TLT49" s="82"/>
      <c r="TLU49" s="82"/>
      <c r="TLV49" s="82"/>
      <c r="TLW49" s="82"/>
      <c r="TLX49" s="82"/>
      <c r="TLY49" s="82"/>
      <c r="TLZ49" s="82"/>
      <c r="TMA49" s="82"/>
      <c r="TMB49" s="82"/>
      <c r="TMC49" s="82"/>
      <c r="TMD49" s="82"/>
      <c r="TME49" s="82"/>
      <c r="TMF49" s="82"/>
      <c r="TMG49" s="82"/>
      <c r="TMH49" s="82"/>
      <c r="TMI49" s="82"/>
      <c r="TMJ49" s="82"/>
      <c r="TMK49" s="82"/>
      <c r="TML49" s="82"/>
      <c r="TMM49" s="82"/>
      <c r="TMN49" s="82"/>
      <c r="TMO49" s="82"/>
      <c r="TMP49" s="82"/>
      <c r="TMQ49" s="82"/>
      <c r="TMR49" s="82"/>
      <c r="TMS49" s="82"/>
      <c r="TMT49" s="82"/>
      <c r="TMU49" s="82"/>
      <c r="TMV49" s="82"/>
      <c r="TMW49" s="82"/>
      <c r="TMX49" s="82"/>
      <c r="TMY49" s="82"/>
      <c r="TMZ49" s="82"/>
      <c r="TNA49" s="82"/>
      <c r="TNB49" s="82"/>
      <c r="TNC49" s="82"/>
      <c r="TND49" s="82"/>
      <c r="TNE49" s="82"/>
      <c r="TNF49" s="82"/>
      <c r="TNG49" s="82"/>
      <c r="TNH49" s="82"/>
      <c r="TNI49" s="82"/>
      <c r="TNJ49" s="82"/>
      <c r="TNK49" s="82"/>
      <c r="TNL49" s="82"/>
      <c r="TNM49" s="82"/>
      <c r="TNN49" s="82"/>
      <c r="TNO49" s="82"/>
      <c r="TNP49" s="82"/>
      <c r="TNQ49" s="82"/>
      <c r="TNR49" s="82"/>
      <c r="TNS49" s="82"/>
      <c r="TNT49" s="82"/>
      <c r="TNU49" s="82"/>
      <c r="TNV49" s="82"/>
      <c r="TNW49" s="82"/>
      <c r="TNX49" s="82"/>
      <c r="TNY49" s="82"/>
      <c r="TNZ49" s="82"/>
      <c r="TOA49" s="82"/>
      <c r="TOB49" s="82"/>
      <c r="TOC49" s="82"/>
      <c r="TOD49" s="82"/>
      <c r="TOE49" s="82"/>
      <c r="TOF49" s="82"/>
      <c r="TOG49" s="82"/>
      <c r="TOH49" s="82"/>
      <c r="TOI49" s="82"/>
      <c r="TOJ49" s="82"/>
      <c r="TOK49" s="82"/>
      <c r="TOL49" s="82"/>
      <c r="TOM49" s="82"/>
      <c r="TON49" s="82"/>
      <c r="TOO49" s="82"/>
      <c r="TOP49" s="82"/>
      <c r="TOQ49" s="82"/>
      <c r="TOR49" s="82"/>
      <c r="TOS49" s="82"/>
      <c r="TOT49" s="82"/>
      <c r="TOU49" s="82"/>
      <c r="TOV49" s="82"/>
      <c r="TOW49" s="82"/>
      <c r="TOX49" s="82"/>
      <c r="TOY49" s="82"/>
      <c r="TOZ49" s="82"/>
      <c r="TPA49" s="82"/>
      <c r="TPB49" s="82"/>
      <c r="TPC49" s="82"/>
      <c r="TPD49" s="82"/>
      <c r="TPE49" s="82"/>
      <c r="TPF49" s="82"/>
      <c r="TPG49" s="82"/>
      <c r="TPH49" s="82"/>
      <c r="TPI49" s="82"/>
      <c r="TPJ49" s="82"/>
      <c r="TPK49" s="82"/>
      <c r="TPL49" s="82"/>
      <c r="TPM49" s="82"/>
      <c r="TPN49" s="82"/>
      <c r="TPO49" s="82"/>
      <c r="TPP49" s="82"/>
      <c r="TPQ49" s="82"/>
      <c r="TPR49" s="82"/>
      <c r="TPS49" s="82"/>
      <c r="TPT49" s="82"/>
      <c r="TPU49" s="82"/>
      <c r="TPV49" s="82"/>
      <c r="TPW49" s="82"/>
      <c r="TPX49" s="82"/>
      <c r="TPY49" s="82"/>
      <c r="TPZ49" s="82"/>
      <c r="TQA49" s="82"/>
      <c r="TQB49" s="82"/>
      <c r="TQC49" s="82"/>
      <c r="TQD49" s="82"/>
      <c r="TQE49" s="82"/>
      <c r="TQF49" s="82"/>
      <c r="TQG49" s="82"/>
      <c r="TQH49" s="82"/>
      <c r="TQI49" s="82"/>
      <c r="TQJ49" s="82"/>
      <c r="TQK49" s="82"/>
      <c r="TQL49" s="82"/>
      <c r="TQM49" s="82"/>
      <c r="TQN49" s="82"/>
      <c r="TQO49" s="82"/>
      <c r="TQP49" s="82"/>
      <c r="TQQ49" s="82"/>
      <c r="TQR49" s="82"/>
      <c r="TQS49" s="82"/>
      <c r="TQT49" s="82"/>
      <c r="TQU49" s="82"/>
      <c r="TQV49" s="82"/>
      <c r="TQW49" s="82"/>
      <c r="TQX49" s="82"/>
      <c r="TQY49" s="82"/>
      <c r="TQZ49" s="82"/>
      <c r="TRA49" s="82"/>
      <c r="TRB49" s="82"/>
      <c r="TRC49" s="82"/>
      <c r="TRD49" s="82"/>
      <c r="TRE49" s="82"/>
      <c r="TRF49" s="82"/>
      <c r="TRG49" s="82"/>
      <c r="TRH49" s="82"/>
      <c r="TRI49" s="82"/>
      <c r="TRJ49" s="82"/>
      <c r="TRK49" s="82"/>
      <c r="TRL49" s="82"/>
      <c r="TRM49" s="82"/>
      <c r="TRN49" s="82"/>
      <c r="TRO49" s="82"/>
      <c r="TRP49" s="82"/>
      <c r="TRQ49" s="82"/>
      <c r="TRR49" s="82"/>
      <c r="TRS49" s="82"/>
      <c r="TRT49" s="82"/>
      <c r="TRU49" s="82"/>
      <c r="TRV49" s="82"/>
      <c r="TRW49" s="82"/>
      <c r="TRX49" s="82"/>
      <c r="TRY49" s="82"/>
      <c r="TRZ49" s="82"/>
      <c r="TSA49" s="82"/>
      <c r="TSB49" s="82"/>
      <c r="TSC49" s="82"/>
      <c r="TSD49" s="82"/>
      <c r="TSE49" s="82"/>
      <c r="TSF49" s="82"/>
      <c r="TSG49" s="82"/>
      <c r="TSH49" s="82"/>
      <c r="TSI49" s="82"/>
      <c r="TSJ49" s="82"/>
      <c r="TSK49" s="82"/>
      <c r="TSL49" s="82"/>
      <c r="TSM49" s="82"/>
      <c r="TSN49" s="82"/>
      <c r="TSO49" s="82"/>
      <c r="TSP49" s="82"/>
      <c r="TSQ49" s="82"/>
      <c r="TSR49" s="82"/>
      <c r="TSS49" s="82"/>
      <c r="TST49" s="82"/>
      <c r="TSU49" s="82"/>
      <c r="TSV49" s="82"/>
      <c r="TSW49" s="82"/>
      <c r="TSX49" s="82"/>
      <c r="TSY49" s="82"/>
      <c r="TSZ49" s="82"/>
      <c r="TTA49" s="82"/>
      <c r="TTB49" s="82"/>
      <c r="TTC49" s="82"/>
      <c r="TTD49" s="82"/>
      <c r="TTE49" s="82"/>
      <c r="TTF49" s="82"/>
      <c r="TTG49" s="82"/>
      <c r="TTH49" s="82"/>
      <c r="TTI49" s="82"/>
      <c r="TTJ49" s="82"/>
      <c r="TTK49" s="82"/>
      <c r="TTL49" s="82"/>
      <c r="TTM49" s="82"/>
      <c r="TTN49" s="82"/>
      <c r="TTO49" s="82"/>
      <c r="TTP49" s="82"/>
      <c r="TTQ49" s="82"/>
      <c r="TTR49" s="82"/>
      <c r="TTS49" s="82"/>
      <c r="TTT49" s="82"/>
      <c r="TTU49" s="82"/>
      <c r="TTV49" s="82"/>
      <c r="TTW49" s="82"/>
      <c r="TTX49" s="82"/>
      <c r="TTY49" s="82"/>
      <c r="TTZ49" s="82"/>
      <c r="TUA49" s="82"/>
      <c r="TUB49" s="82"/>
      <c r="TUC49" s="82"/>
      <c r="TUD49" s="82"/>
      <c r="TUE49" s="82"/>
      <c r="TUF49" s="82"/>
      <c r="TUG49" s="82"/>
      <c r="TUH49" s="82"/>
      <c r="TUI49" s="82"/>
      <c r="TUJ49" s="82"/>
      <c r="TUK49" s="82"/>
      <c r="TUL49" s="82"/>
      <c r="TUM49" s="82"/>
      <c r="TUN49" s="82"/>
      <c r="TUO49" s="82"/>
      <c r="TUP49" s="82"/>
      <c r="TUQ49" s="82"/>
      <c r="TUR49" s="82"/>
      <c r="TUS49" s="82"/>
      <c r="TUT49" s="82"/>
      <c r="TUU49" s="82"/>
      <c r="TUV49" s="82"/>
      <c r="TUW49" s="82"/>
      <c r="TUX49" s="82"/>
      <c r="TUY49" s="82"/>
      <c r="TUZ49" s="82"/>
      <c r="TVA49" s="82"/>
      <c r="TVB49" s="82"/>
      <c r="TVC49" s="82"/>
      <c r="TVD49" s="82"/>
      <c r="TVE49" s="82"/>
      <c r="TVF49" s="82"/>
      <c r="TVG49" s="82"/>
      <c r="TVH49" s="82"/>
      <c r="TVI49" s="82"/>
      <c r="TVJ49" s="82"/>
      <c r="TVK49" s="82"/>
      <c r="TVL49" s="82"/>
      <c r="TVM49" s="82"/>
      <c r="TVN49" s="82"/>
      <c r="TVO49" s="82"/>
      <c r="TVP49" s="82"/>
      <c r="TVQ49" s="82"/>
      <c r="TVR49" s="82"/>
      <c r="TVS49" s="82"/>
      <c r="TVT49" s="82"/>
      <c r="TVU49" s="82"/>
      <c r="TVV49" s="82"/>
      <c r="TVW49" s="82"/>
      <c r="TVX49" s="82"/>
      <c r="TVY49" s="82"/>
      <c r="TVZ49" s="82"/>
      <c r="TWA49" s="82"/>
      <c r="TWB49" s="82"/>
      <c r="TWC49" s="82"/>
      <c r="TWD49" s="82"/>
      <c r="TWE49" s="82"/>
      <c r="TWF49" s="82"/>
      <c r="TWG49" s="82"/>
      <c r="TWH49" s="82"/>
      <c r="TWI49" s="82"/>
      <c r="TWJ49" s="82"/>
      <c r="TWK49" s="82"/>
      <c r="TWL49" s="82"/>
      <c r="TWM49" s="82"/>
      <c r="TWN49" s="82"/>
      <c r="TWO49" s="82"/>
      <c r="TWP49" s="82"/>
      <c r="TWQ49" s="82"/>
      <c r="TWR49" s="82"/>
      <c r="TWS49" s="82"/>
      <c r="TWT49" s="82"/>
      <c r="TWU49" s="82"/>
      <c r="TWV49" s="82"/>
      <c r="TWW49" s="82"/>
      <c r="TWX49" s="82"/>
      <c r="TWY49" s="82"/>
      <c r="TWZ49" s="82"/>
      <c r="TXA49" s="82"/>
      <c r="TXB49" s="82"/>
      <c r="TXC49" s="82"/>
      <c r="TXD49" s="82"/>
      <c r="TXE49" s="82"/>
      <c r="TXF49" s="82"/>
      <c r="TXG49" s="82"/>
      <c r="TXH49" s="82"/>
      <c r="TXI49" s="82"/>
      <c r="TXJ49" s="82"/>
      <c r="TXK49" s="82"/>
      <c r="TXL49" s="82"/>
      <c r="TXM49" s="82"/>
      <c r="TXN49" s="82"/>
      <c r="TXO49" s="82"/>
      <c r="TXP49" s="82"/>
      <c r="TXQ49" s="82"/>
      <c r="TXR49" s="82"/>
      <c r="TXS49" s="82"/>
      <c r="TXT49" s="82"/>
      <c r="TXU49" s="82"/>
      <c r="TXV49" s="82"/>
      <c r="TXW49" s="82"/>
      <c r="TXX49" s="82"/>
      <c r="TXY49" s="82"/>
      <c r="TXZ49" s="82"/>
      <c r="TYA49" s="82"/>
      <c r="TYB49" s="82"/>
      <c r="TYC49" s="82"/>
      <c r="TYD49" s="82"/>
      <c r="TYE49" s="82"/>
      <c r="TYF49" s="82"/>
      <c r="TYG49" s="82"/>
      <c r="TYH49" s="82"/>
      <c r="TYI49" s="82"/>
      <c r="TYJ49" s="82"/>
      <c r="TYK49" s="82"/>
      <c r="TYL49" s="82"/>
      <c r="TYM49" s="82"/>
      <c r="TYN49" s="82"/>
      <c r="TYO49" s="82"/>
      <c r="TYP49" s="82"/>
      <c r="TYQ49" s="82"/>
      <c r="TYR49" s="82"/>
      <c r="TYS49" s="82"/>
      <c r="TYT49" s="82"/>
      <c r="TYU49" s="82"/>
      <c r="TYV49" s="82"/>
      <c r="TYW49" s="82"/>
      <c r="TYX49" s="82"/>
      <c r="TYY49" s="82"/>
      <c r="TYZ49" s="82"/>
      <c r="TZA49" s="82"/>
      <c r="TZB49" s="82"/>
      <c r="TZC49" s="82"/>
      <c r="TZD49" s="82"/>
      <c r="TZE49" s="82"/>
      <c r="TZF49" s="82"/>
      <c r="TZG49" s="82"/>
      <c r="TZH49" s="82"/>
      <c r="TZI49" s="82"/>
      <c r="TZJ49" s="82"/>
      <c r="TZK49" s="82"/>
      <c r="TZL49" s="82"/>
      <c r="TZM49" s="82"/>
      <c r="TZN49" s="82"/>
      <c r="TZO49" s="82"/>
      <c r="TZP49" s="82"/>
      <c r="TZQ49" s="82"/>
      <c r="TZR49" s="82"/>
      <c r="TZS49" s="82"/>
      <c r="TZT49" s="82"/>
      <c r="TZU49" s="82"/>
      <c r="TZV49" s="82"/>
      <c r="TZW49" s="82"/>
      <c r="TZX49" s="82"/>
      <c r="TZY49" s="82"/>
      <c r="TZZ49" s="82"/>
      <c r="UAA49" s="82"/>
      <c r="UAB49" s="82"/>
      <c r="UAC49" s="82"/>
      <c r="UAD49" s="82"/>
      <c r="UAE49" s="82"/>
      <c r="UAF49" s="82"/>
      <c r="UAG49" s="82"/>
      <c r="UAH49" s="82"/>
      <c r="UAI49" s="82"/>
      <c r="UAJ49" s="82"/>
      <c r="UAK49" s="82"/>
      <c r="UAL49" s="82"/>
      <c r="UAM49" s="82"/>
      <c r="UAN49" s="82"/>
      <c r="UAO49" s="82"/>
      <c r="UAP49" s="82"/>
      <c r="UAQ49" s="82"/>
      <c r="UAR49" s="82"/>
      <c r="UAS49" s="82"/>
      <c r="UAT49" s="82"/>
      <c r="UAU49" s="82"/>
      <c r="UAV49" s="82"/>
      <c r="UAW49" s="82"/>
      <c r="UAX49" s="82"/>
      <c r="UAY49" s="82"/>
      <c r="UAZ49" s="82"/>
      <c r="UBA49" s="82"/>
      <c r="UBB49" s="82"/>
      <c r="UBC49" s="82"/>
      <c r="UBD49" s="82"/>
      <c r="UBE49" s="82"/>
      <c r="UBF49" s="82"/>
      <c r="UBG49" s="82"/>
      <c r="UBH49" s="82"/>
      <c r="UBI49" s="82"/>
      <c r="UBJ49" s="82"/>
      <c r="UBK49" s="82"/>
      <c r="UBL49" s="82"/>
      <c r="UBM49" s="82"/>
      <c r="UBN49" s="82"/>
      <c r="UBO49" s="82"/>
      <c r="UBP49" s="82"/>
      <c r="UBQ49" s="82"/>
      <c r="UBR49" s="82"/>
      <c r="UBS49" s="82"/>
      <c r="UBT49" s="82"/>
      <c r="UBU49" s="82"/>
      <c r="UBV49" s="82"/>
      <c r="UBW49" s="82"/>
      <c r="UBX49" s="82"/>
      <c r="UBY49" s="82"/>
      <c r="UBZ49" s="82"/>
      <c r="UCA49" s="82"/>
      <c r="UCB49" s="82"/>
      <c r="UCC49" s="82"/>
      <c r="UCD49" s="82"/>
      <c r="UCE49" s="82"/>
      <c r="UCF49" s="82"/>
      <c r="UCG49" s="82"/>
      <c r="UCH49" s="82"/>
      <c r="UCI49" s="82"/>
      <c r="UCJ49" s="82"/>
      <c r="UCK49" s="82"/>
      <c r="UCL49" s="82"/>
      <c r="UCM49" s="82"/>
      <c r="UCN49" s="82"/>
      <c r="UCO49" s="82"/>
      <c r="UCP49" s="82"/>
      <c r="UCQ49" s="82"/>
      <c r="UCR49" s="82"/>
      <c r="UCS49" s="82"/>
      <c r="UCT49" s="82"/>
      <c r="UCU49" s="82"/>
      <c r="UCV49" s="82"/>
      <c r="UCW49" s="82"/>
      <c r="UCX49" s="82"/>
      <c r="UCY49" s="82"/>
      <c r="UCZ49" s="82"/>
      <c r="UDA49" s="82"/>
      <c r="UDB49" s="82"/>
      <c r="UDC49" s="82"/>
      <c r="UDD49" s="82"/>
      <c r="UDE49" s="82"/>
      <c r="UDF49" s="82"/>
      <c r="UDG49" s="82"/>
      <c r="UDH49" s="82"/>
      <c r="UDI49" s="82"/>
      <c r="UDJ49" s="82"/>
      <c r="UDK49" s="82"/>
      <c r="UDL49" s="82"/>
      <c r="UDM49" s="82"/>
      <c r="UDN49" s="82"/>
      <c r="UDO49" s="82"/>
      <c r="UDP49" s="82"/>
      <c r="UDQ49" s="82"/>
      <c r="UDR49" s="82"/>
      <c r="UDS49" s="82"/>
      <c r="UDT49" s="82"/>
      <c r="UDU49" s="82"/>
      <c r="UDV49" s="82"/>
      <c r="UDW49" s="82"/>
      <c r="UDX49" s="82"/>
      <c r="UDY49" s="82"/>
      <c r="UDZ49" s="82"/>
      <c r="UEA49" s="82"/>
      <c r="UEB49" s="82"/>
      <c r="UEC49" s="82"/>
      <c r="UED49" s="82"/>
      <c r="UEE49" s="82"/>
      <c r="UEF49" s="82"/>
      <c r="UEG49" s="82"/>
      <c r="UEH49" s="82"/>
      <c r="UEI49" s="82"/>
      <c r="UEJ49" s="82"/>
      <c r="UEK49" s="82"/>
      <c r="UEL49" s="82"/>
      <c r="UEM49" s="82"/>
      <c r="UEN49" s="82"/>
      <c r="UEO49" s="82"/>
      <c r="UEP49" s="82"/>
      <c r="UEQ49" s="82"/>
      <c r="UER49" s="82"/>
      <c r="UES49" s="82"/>
      <c r="UET49" s="82"/>
      <c r="UEU49" s="82"/>
      <c r="UEV49" s="82"/>
      <c r="UEW49" s="82"/>
      <c r="UEX49" s="82"/>
      <c r="UEY49" s="82"/>
      <c r="UEZ49" s="82"/>
      <c r="UFA49" s="82"/>
      <c r="UFB49" s="82"/>
      <c r="UFC49" s="82"/>
      <c r="UFD49" s="82"/>
      <c r="UFE49" s="82"/>
      <c r="UFF49" s="82"/>
      <c r="UFG49" s="82"/>
      <c r="UFH49" s="82"/>
      <c r="UFI49" s="82"/>
      <c r="UFJ49" s="82"/>
      <c r="UFK49" s="82"/>
      <c r="UFL49" s="82"/>
      <c r="UFM49" s="82"/>
      <c r="UFN49" s="82"/>
      <c r="UFO49" s="82"/>
      <c r="UFP49" s="82"/>
      <c r="UFQ49" s="82"/>
      <c r="UFR49" s="82"/>
      <c r="UFS49" s="82"/>
      <c r="UFT49" s="82"/>
      <c r="UFU49" s="82"/>
      <c r="UFV49" s="82"/>
      <c r="UFW49" s="82"/>
      <c r="UFX49" s="82"/>
      <c r="UFY49" s="82"/>
      <c r="UFZ49" s="82"/>
      <c r="UGA49" s="82"/>
      <c r="UGB49" s="82"/>
      <c r="UGC49" s="82"/>
      <c r="UGD49" s="82"/>
      <c r="UGE49" s="82"/>
      <c r="UGF49" s="82"/>
      <c r="UGG49" s="82"/>
      <c r="UGH49" s="82"/>
      <c r="UGI49" s="82"/>
      <c r="UGJ49" s="82"/>
      <c r="UGK49" s="82"/>
      <c r="UGL49" s="82"/>
      <c r="UGM49" s="82"/>
      <c r="UGN49" s="82"/>
      <c r="UGO49" s="82"/>
      <c r="UGP49" s="82"/>
      <c r="UGQ49" s="82"/>
      <c r="UGR49" s="82"/>
      <c r="UGS49" s="82"/>
      <c r="UGT49" s="82"/>
      <c r="UGU49" s="82"/>
      <c r="UGV49" s="82"/>
      <c r="UGW49" s="82"/>
      <c r="UGX49" s="82"/>
      <c r="UGY49" s="82"/>
      <c r="UGZ49" s="82"/>
      <c r="UHA49" s="82"/>
      <c r="UHB49" s="82"/>
      <c r="UHC49" s="82"/>
      <c r="UHD49" s="82"/>
      <c r="UHE49" s="82"/>
      <c r="UHF49" s="82"/>
      <c r="UHG49" s="82"/>
      <c r="UHH49" s="82"/>
      <c r="UHI49" s="82"/>
      <c r="UHJ49" s="82"/>
      <c r="UHK49" s="82"/>
      <c r="UHL49" s="82"/>
      <c r="UHM49" s="82"/>
      <c r="UHN49" s="82"/>
      <c r="UHO49" s="82"/>
      <c r="UHP49" s="82"/>
      <c r="UHQ49" s="82"/>
      <c r="UHR49" s="82"/>
      <c r="UHS49" s="82"/>
      <c r="UHT49" s="82"/>
      <c r="UHU49" s="82"/>
      <c r="UHV49" s="82"/>
      <c r="UHW49" s="82"/>
      <c r="UHX49" s="82"/>
      <c r="UHY49" s="82"/>
      <c r="UHZ49" s="82"/>
      <c r="UIA49" s="82"/>
      <c r="UIB49" s="82"/>
      <c r="UIC49" s="82"/>
      <c r="UID49" s="82"/>
      <c r="UIE49" s="82"/>
      <c r="UIF49" s="82"/>
      <c r="UIG49" s="82"/>
      <c r="UIH49" s="82"/>
      <c r="UII49" s="82"/>
      <c r="UIJ49" s="82"/>
      <c r="UIK49" s="82"/>
      <c r="UIL49" s="82"/>
      <c r="UIM49" s="82"/>
      <c r="UIN49" s="82"/>
      <c r="UIO49" s="82"/>
      <c r="UIP49" s="82"/>
      <c r="UIQ49" s="82"/>
      <c r="UIR49" s="82"/>
      <c r="UIS49" s="82"/>
      <c r="UIT49" s="82"/>
      <c r="UIU49" s="82"/>
      <c r="UIV49" s="82"/>
      <c r="UIW49" s="82"/>
      <c r="UIX49" s="82"/>
      <c r="UIY49" s="82"/>
      <c r="UIZ49" s="82"/>
      <c r="UJA49" s="82"/>
      <c r="UJB49" s="82"/>
      <c r="UJC49" s="82"/>
      <c r="UJD49" s="82"/>
      <c r="UJE49" s="82"/>
      <c r="UJF49" s="82"/>
      <c r="UJG49" s="82"/>
      <c r="UJH49" s="82"/>
      <c r="UJI49" s="82"/>
      <c r="UJJ49" s="82"/>
      <c r="UJK49" s="82"/>
      <c r="UJL49" s="82"/>
      <c r="UJM49" s="82"/>
      <c r="UJN49" s="82"/>
      <c r="UJO49" s="82"/>
      <c r="UJP49" s="82"/>
      <c r="UJQ49" s="82"/>
      <c r="UJR49" s="82"/>
      <c r="UJS49" s="82"/>
      <c r="UJT49" s="82"/>
      <c r="UJU49" s="82"/>
      <c r="UJV49" s="82"/>
      <c r="UJW49" s="82"/>
      <c r="UJX49" s="82"/>
      <c r="UJY49" s="82"/>
      <c r="UJZ49" s="82"/>
      <c r="UKA49" s="82"/>
      <c r="UKB49" s="82"/>
      <c r="UKC49" s="82"/>
      <c r="UKD49" s="82"/>
      <c r="UKE49" s="82"/>
      <c r="UKF49" s="82"/>
      <c r="UKG49" s="82"/>
      <c r="UKH49" s="82"/>
      <c r="UKI49" s="82"/>
      <c r="UKJ49" s="82"/>
      <c r="UKK49" s="82"/>
      <c r="UKL49" s="82"/>
      <c r="UKM49" s="82"/>
      <c r="UKN49" s="82"/>
      <c r="UKO49" s="82"/>
      <c r="UKP49" s="82"/>
      <c r="UKQ49" s="82"/>
      <c r="UKR49" s="82"/>
      <c r="UKS49" s="82"/>
      <c r="UKT49" s="82"/>
      <c r="UKU49" s="82"/>
      <c r="UKV49" s="82"/>
      <c r="UKW49" s="82"/>
      <c r="UKX49" s="82"/>
      <c r="UKY49" s="82"/>
      <c r="UKZ49" s="82"/>
      <c r="ULA49" s="82"/>
      <c r="ULB49" s="82"/>
      <c r="ULC49" s="82"/>
      <c r="ULD49" s="82"/>
      <c r="ULE49" s="82"/>
      <c r="ULF49" s="82"/>
      <c r="ULG49" s="82"/>
      <c r="ULH49" s="82"/>
      <c r="ULI49" s="82"/>
      <c r="ULJ49" s="82"/>
      <c r="ULK49" s="82"/>
      <c r="ULL49" s="82"/>
      <c r="ULM49" s="82"/>
      <c r="ULN49" s="82"/>
      <c r="ULO49" s="82"/>
      <c r="ULP49" s="82"/>
      <c r="ULQ49" s="82"/>
      <c r="ULR49" s="82"/>
      <c r="ULS49" s="82"/>
      <c r="ULT49" s="82"/>
      <c r="ULU49" s="82"/>
      <c r="ULV49" s="82"/>
      <c r="ULW49" s="82"/>
      <c r="ULX49" s="82"/>
      <c r="ULY49" s="82"/>
      <c r="ULZ49" s="82"/>
      <c r="UMA49" s="82"/>
      <c r="UMB49" s="82"/>
      <c r="UMC49" s="82"/>
      <c r="UMD49" s="82"/>
      <c r="UME49" s="82"/>
      <c r="UMF49" s="82"/>
      <c r="UMG49" s="82"/>
      <c r="UMH49" s="82"/>
      <c r="UMI49" s="82"/>
      <c r="UMJ49" s="82"/>
      <c r="UMK49" s="82"/>
      <c r="UML49" s="82"/>
      <c r="UMM49" s="82"/>
      <c r="UMN49" s="82"/>
      <c r="UMO49" s="82"/>
      <c r="UMP49" s="82"/>
      <c r="UMQ49" s="82"/>
      <c r="UMR49" s="82"/>
      <c r="UMS49" s="82"/>
      <c r="UMT49" s="82"/>
      <c r="UMU49" s="82"/>
      <c r="UMV49" s="82"/>
      <c r="UMW49" s="82"/>
      <c r="UMX49" s="82"/>
      <c r="UMY49" s="82"/>
      <c r="UMZ49" s="82"/>
      <c r="UNA49" s="82"/>
      <c r="UNB49" s="82"/>
      <c r="UNC49" s="82"/>
      <c r="UND49" s="82"/>
      <c r="UNE49" s="82"/>
      <c r="UNF49" s="82"/>
      <c r="UNG49" s="82"/>
      <c r="UNH49" s="82"/>
      <c r="UNI49" s="82"/>
      <c r="UNJ49" s="82"/>
      <c r="UNK49" s="82"/>
      <c r="UNL49" s="82"/>
      <c r="UNM49" s="82"/>
      <c r="UNN49" s="82"/>
      <c r="UNO49" s="82"/>
      <c r="UNP49" s="82"/>
      <c r="UNQ49" s="82"/>
      <c r="UNR49" s="82"/>
      <c r="UNS49" s="82"/>
      <c r="UNT49" s="82"/>
      <c r="UNU49" s="82"/>
      <c r="UNV49" s="82"/>
      <c r="UNW49" s="82"/>
      <c r="UNX49" s="82"/>
      <c r="UNY49" s="82"/>
      <c r="UNZ49" s="82"/>
      <c r="UOA49" s="82"/>
      <c r="UOB49" s="82"/>
      <c r="UOC49" s="82"/>
      <c r="UOD49" s="82"/>
      <c r="UOE49" s="82"/>
      <c r="UOF49" s="82"/>
      <c r="UOG49" s="82"/>
      <c r="UOH49" s="82"/>
      <c r="UOI49" s="82"/>
      <c r="UOJ49" s="82"/>
      <c r="UOK49" s="82"/>
      <c r="UOL49" s="82"/>
      <c r="UOM49" s="82"/>
      <c r="UON49" s="82"/>
      <c r="UOO49" s="82"/>
      <c r="UOP49" s="82"/>
      <c r="UOQ49" s="82"/>
      <c r="UOR49" s="82"/>
      <c r="UOS49" s="82"/>
      <c r="UOT49" s="82"/>
      <c r="UOU49" s="82"/>
      <c r="UOV49" s="82"/>
      <c r="UOW49" s="82"/>
      <c r="UOX49" s="82"/>
      <c r="UOY49" s="82"/>
      <c r="UOZ49" s="82"/>
      <c r="UPA49" s="82"/>
      <c r="UPB49" s="82"/>
      <c r="UPC49" s="82"/>
      <c r="UPD49" s="82"/>
      <c r="UPE49" s="82"/>
      <c r="UPF49" s="82"/>
      <c r="UPG49" s="82"/>
      <c r="UPH49" s="82"/>
      <c r="UPI49" s="82"/>
      <c r="UPJ49" s="82"/>
      <c r="UPK49" s="82"/>
      <c r="UPL49" s="82"/>
      <c r="UPM49" s="82"/>
      <c r="UPN49" s="82"/>
      <c r="UPO49" s="82"/>
      <c r="UPP49" s="82"/>
      <c r="UPQ49" s="82"/>
      <c r="UPR49" s="82"/>
      <c r="UPS49" s="82"/>
      <c r="UPT49" s="82"/>
      <c r="UPU49" s="82"/>
      <c r="UPV49" s="82"/>
      <c r="UPW49" s="82"/>
      <c r="UPX49" s="82"/>
      <c r="UPY49" s="82"/>
      <c r="UPZ49" s="82"/>
      <c r="UQA49" s="82"/>
      <c r="UQB49" s="82"/>
      <c r="UQC49" s="82"/>
      <c r="UQD49" s="82"/>
      <c r="UQE49" s="82"/>
      <c r="UQF49" s="82"/>
      <c r="UQG49" s="82"/>
      <c r="UQH49" s="82"/>
      <c r="UQI49" s="82"/>
      <c r="UQJ49" s="82"/>
      <c r="UQK49" s="82"/>
      <c r="UQL49" s="82"/>
      <c r="UQM49" s="82"/>
      <c r="UQN49" s="82"/>
      <c r="UQO49" s="82"/>
      <c r="UQP49" s="82"/>
      <c r="UQQ49" s="82"/>
      <c r="UQR49" s="82"/>
      <c r="UQS49" s="82"/>
      <c r="UQT49" s="82"/>
      <c r="UQU49" s="82"/>
      <c r="UQV49" s="82"/>
      <c r="UQW49" s="82"/>
      <c r="UQX49" s="82"/>
      <c r="UQY49" s="82"/>
      <c r="UQZ49" s="82"/>
      <c r="URA49" s="82"/>
      <c r="URB49" s="82"/>
      <c r="URC49" s="82"/>
      <c r="URD49" s="82"/>
      <c r="URE49" s="82"/>
      <c r="URF49" s="82"/>
      <c r="URG49" s="82"/>
      <c r="URH49" s="82"/>
      <c r="URI49" s="82"/>
      <c r="URJ49" s="82"/>
      <c r="URK49" s="82"/>
      <c r="URL49" s="82"/>
      <c r="URM49" s="82"/>
      <c r="URN49" s="82"/>
      <c r="URO49" s="82"/>
      <c r="URP49" s="82"/>
      <c r="URQ49" s="82"/>
      <c r="URR49" s="82"/>
      <c r="URS49" s="82"/>
      <c r="URT49" s="82"/>
      <c r="URU49" s="82"/>
      <c r="URV49" s="82"/>
      <c r="URW49" s="82"/>
      <c r="URX49" s="82"/>
      <c r="URY49" s="82"/>
      <c r="URZ49" s="82"/>
      <c r="USA49" s="82"/>
      <c r="USB49" s="82"/>
      <c r="USC49" s="82"/>
      <c r="USD49" s="82"/>
      <c r="USE49" s="82"/>
      <c r="USF49" s="82"/>
      <c r="USG49" s="82"/>
      <c r="USH49" s="82"/>
      <c r="USI49" s="82"/>
      <c r="USJ49" s="82"/>
      <c r="USK49" s="82"/>
      <c r="USL49" s="82"/>
      <c r="USM49" s="82"/>
      <c r="USN49" s="82"/>
      <c r="USO49" s="82"/>
      <c r="USP49" s="82"/>
      <c r="USQ49" s="82"/>
      <c r="USR49" s="82"/>
      <c r="USS49" s="82"/>
      <c r="UST49" s="82"/>
      <c r="USU49" s="82"/>
      <c r="USV49" s="82"/>
      <c r="USW49" s="82"/>
      <c r="USX49" s="82"/>
      <c r="USY49" s="82"/>
      <c r="USZ49" s="82"/>
      <c r="UTA49" s="82"/>
      <c r="UTB49" s="82"/>
      <c r="UTC49" s="82"/>
      <c r="UTD49" s="82"/>
      <c r="UTE49" s="82"/>
      <c r="UTF49" s="82"/>
      <c r="UTG49" s="82"/>
      <c r="UTH49" s="82"/>
      <c r="UTI49" s="82"/>
      <c r="UTJ49" s="82"/>
      <c r="UTK49" s="82"/>
      <c r="UTL49" s="82"/>
      <c r="UTM49" s="82"/>
      <c r="UTN49" s="82"/>
      <c r="UTO49" s="82"/>
      <c r="UTP49" s="82"/>
      <c r="UTQ49" s="82"/>
      <c r="UTR49" s="82"/>
      <c r="UTS49" s="82"/>
      <c r="UTT49" s="82"/>
      <c r="UTU49" s="82"/>
      <c r="UTV49" s="82"/>
      <c r="UTW49" s="82"/>
      <c r="UTX49" s="82"/>
      <c r="UTY49" s="82"/>
      <c r="UTZ49" s="82"/>
      <c r="UUA49" s="82"/>
      <c r="UUB49" s="82"/>
      <c r="UUC49" s="82"/>
      <c r="UUD49" s="82"/>
      <c r="UUE49" s="82"/>
      <c r="UUF49" s="82"/>
      <c r="UUG49" s="82"/>
      <c r="UUH49" s="82"/>
      <c r="UUI49" s="82"/>
      <c r="UUJ49" s="82"/>
      <c r="UUK49" s="82"/>
      <c r="UUL49" s="82"/>
      <c r="UUM49" s="82"/>
      <c r="UUN49" s="82"/>
      <c r="UUO49" s="82"/>
      <c r="UUP49" s="82"/>
      <c r="UUQ49" s="82"/>
      <c r="UUR49" s="82"/>
      <c r="UUS49" s="82"/>
      <c r="UUT49" s="82"/>
      <c r="UUU49" s="82"/>
      <c r="UUV49" s="82"/>
      <c r="UUW49" s="82"/>
      <c r="UUX49" s="82"/>
      <c r="UUY49" s="82"/>
      <c r="UUZ49" s="82"/>
      <c r="UVA49" s="82"/>
      <c r="UVB49" s="82"/>
      <c r="UVC49" s="82"/>
      <c r="UVD49" s="82"/>
      <c r="UVE49" s="82"/>
      <c r="UVF49" s="82"/>
      <c r="UVG49" s="82"/>
      <c r="UVH49" s="82"/>
      <c r="UVI49" s="82"/>
      <c r="UVJ49" s="82"/>
      <c r="UVK49" s="82"/>
      <c r="UVL49" s="82"/>
      <c r="UVM49" s="82"/>
      <c r="UVN49" s="82"/>
      <c r="UVO49" s="82"/>
      <c r="UVP49" s="82"/>
      <c r="UVQ49" s="82"/>
      <c r="UVR49" s="82"/>
      <c r="UVS49" s="82"/>
      <c r="UVT49" s="82"/>
      <c r="UVU49" s="82"/>
      <c r="UVV49" s="82"/>
      <c r="UVW49" s="82"/>
      <c r="UVX49" s="82"/>
      <c r="UVY49" s="82"/>
      <c r="UVZ49" s="82"/>
      <c r="UWA49" s="82"/>
      <c r="UWB49" s="82"/>
      <c r="UWC49" s="82"/>
      <c r="UWD49" s="82"/>
      <c r="UWE49" s="82"/>
      <c r="UWF49" s="82"/>
      <c r="UWG49" s="82"/>
      <c r="UWH49" s="82"/>
      <c r="UWI49" s="82"/>
      <c r="UWJ49" s="82"/>
      <c r="UWK49" s="82"/>
      <c r="UWL49" s="82"/>
      <c r="UWM49" s="82"/>
      <c r="UWN49" s="82"/>
      <c r="UWO49" s="82"/>
      <c r="UWP49" s="82"/>
      <c r="UWQ49" s="82"/>
      <c r="UWR49" s="82"/>
      <c r="UWS49" s="82"/>
      <c r="UWT49" s="82"/>
      <c r="UWU49" s="82"/>
      <c r="UWV49" s="82"/>
      <c r="UWW49" s="82"/>
      <c r="UWX49" s="82"/>
      <c r="UWY49" s="82"/>
      <c r="UWZ49" s="82"/>
      <c r="UXA49" s="82"/>
      <c r="UXB49" s="82"/>
      <c r="UXC49" s="82"/>
      <c r="UXD49" s="82"/>
      <c r="UXE49" s="82"/>
      <c r="UXF49" s="82"/>
      <c r="UXG49" s="82"/>
      <c r="UXH49" s="82"/>
      <c r="UXI49" s="82"/>
      <c r="UXJ49" s="82"/>
      <c r="UXK49" s="82"/>
      <c r="UXL49" s="82"/>
      <c r="UXM49" s="82"/>
      <c r="UXN49" s="82"/>
      <c r="UXO49" s="82"/>
      <c r="UXP49" s="82"/>
      <c r="UXQ49" s="82"/>
      <c r="UXR49" s="82"/>
      <c r="UXS49" s="82"/>
      <c r="UXT49" s="82"/>
      <c r="UXU49" s="82"/>
      <c r="UXV49" s="82"/>
      <c r="UXW49" s="82"/>
      <c r="UXX49" s="82"/>
      <c r="UXY49" s="82"/>
      <c r="UXZ49" s="82"/>
      <c r="UYA49" s="82"/>
      <c r="UYB49" s="82"/>
      <c r="UYC49" s="82"/>
      <c r="UYD49" s="82"/>
      <c r="UYE49" s="82"/>
      <c r="UYF49" s="82"/>
      <c r="UYG49" s="82"/>
      <c r="UYH49" s="82"/>
      <c r="UYI49" s="82"/>
      <c r="UYJ49" s="82"/>
      <c r="UYK49" s="82"/>
      <c r="UYL49" s="82"/>
      <c r="UYM49" s="82"/>
      <c r="UYN49" s="82"/>
      <c r="UYO49" s="82"/>
      <c r="UYP49" s="82"/>
      <c r="UYQ49" s="82"/>
      <c r="UYR49" s="82"/>
      <c r="UYS49" s="82"/>
      <c r="UYT49" s="82"/>
      <c r="UYU49" s="82"/>
      <c r="UYV49" s="82"/>
      <c r="UYW49" s="82"/>
      <c r="UYX49" s="82"/>
      <c r="UYY49" s="82"/>
      <c r="UYZ49" s="82"/>
      <c r="UZA49" s="82"/>
      <c r="UZB49" s="82"/>
      <c r="UZC49" s="82"/>
      <c r="UZD49" s="82"/>
      <c r="UZE49" s="82"/>
      <c r="UZF49" s="82"/>
      <c r="UZG49" s="82"/>
      <c r="UZH49" s="82"/>
      <c r="UZI49" s="82"/>
      <c r="UZJ49" s="82"/>
      <c r="UZK49" s="82"/>
      <c r="UZL49" s="82"/>
      <c r="UZM49" s="82"/>
      <c r="UZN49" s="82"/>
      <c r="UZO49" s="82"/>
      <c r="UZP49" s="82"/>
      <c r="UZQ49" s="82"/>
      <c r="UZR49" s="82"/>
      <c r="UZS49" s="82"/>
      <c r="UZT49" s="82"/>
      <c r="UZU49" s="82"/>
      <c r="UZV49" s="82"/>
      <c r="UZW49" s="82"/>
      <c r="UZX49" s="82"/>
      <c r="UZY49" s="82"/>
      <c r="UZZ49" s="82"/>
      <c r="VAA49" s="82"/>
      <c r="VAB49" s="82"/>
      <c r="VAC49" s="82"/>
      <c r="VAD49" s="82"/>
      <c r="VAE49" s="82"/>
      <c r="VAF49" s="82"/>
      <c r="VAG49" s="82"/>
      <c r="VAH49" s="82"/>
      <c r="VAI49" s="82"/>
      <c r="VAJ49" s="82"/>
      <c r="VAK49" s="82"/>
      <c r="VAL49" s="82"/>
      <c r="VAM49" s="82"/>
      <c r="VAN49" s="82"/>
      <c r="VAO49" s="82"/>
      <c r="VAP49" s="82"/>
      <c r="VAQ49" s="82"/>
      <c r="VAR49" s="82"/>
      <c r="VAS49" s="82"/>
      <c r="VAT49" s="82"/>
      <c r="VAU49" s="82"/>
      <c r="VAV49" s="82"/>
      <c r="VAW49" s="82"/>
      <c r="VAX49" s="82"/>
      <c r="VAY49" s="82"/>
      <c r="VAZ49" s="82"/>
      <c r="VBA49" s="82"/>
      <c r="VBB49" s="82"/>
      <c r="VBC49" s="82"/>
      <c r="VBD49" s="82"/>
      <c r="VBE49" s="82"/>
      <c r="VBF49" s="82"/>
      <c r="VBG49" s="82"/>
      <c r="VBH49" s="82"/>
      <c r="VBI49" s="82"/>
      <c r="VBJ49" s="82"/>
      <c r="VBK49" s="82"/>
      <c r="VBL49" s="82"/>
      <c r="VBM49" s="82"/>
      <c r="VBN49" s="82"/>
      <c r="VBO49" s="82"/>
      <c r="VBP49" s="82"/>
      <c r="VBQ49" s="82"/>
      <c r="VBR49" s="82"/>
      <c r="VBS49" s="82"/>
      <c r="VBT49" s="82"/>
      <c r="VBU49" s="82"/>
      <c r="VBV49" s="82"/>
      <c r="VBW49" s="82"/>
      <c r="VBX49" s="82"/>
      <c r="VBY49" s="82"/>
      <c r="VBZ49" s="82"/>
      <c r="VCA49" s="82"/>
      <c r="VCB49" s="82"/>
      <c r="VCC49" s="82"/>
      <c r="VCD49" s="82"/>
      <c r="VCE49" s="82"/>
      <c r="VCF49" s="82"/>
      <c r="VCG49" s="82"/>
      <c r="VCH49" s="82"/>
      <c r="VCI49" s="82"/>
      <c r="VCJ49" s="82"/>
      <c r="VCK49" s="82"/>
      <c r="VCL49" s="82"/>
      <c r="VCM49" s="82"/>
      <c r="VCN49" s="82"/>
      <c r="VCO49" s="82"/>
      <c r="VCP49" s="82"/>
      <c r="VCQ49" s="82"/>
      <c r="VCR49" s="82"/>
      <c r="VCS49" s="82"/>
    </row>
    <row r="50" spans="1:14969" ht="15" customHeight="1" x14ac:dyDescent="0.25">
      <c r="B50" s="134"/>
      <c r="C50" s="193" t="s">
        <v>91</v>
      </c>
      <c r="D50" s="198">
        <f>SUM(D52:D53)</f>
        <v>0</v>
      </c>
      <c r="E50" s="194" t="s">
        <v>16</v>
      </c>
      <c r="F50" s="189">
        <f>SUM(F52:F53)</f>
        <v>0</v>
      </c>
      <c r="G50" s="189">
        <f>G53+G52</f>
        <v>0</v>
      </c>
      <c r="H50" s="189">
        <f t="shared" ref="H50:AJ50" si="11">SUM(H52:H53)</f>
        <v>0</v>
      </c>
      <c r="I50" s="189">
        <f t="shared" si="11"/>
        <v>0</v>
      </c>
      <c r="J50" s="189">
        <f t="shared" si="11"/>
        <v>636815</v>
      </c>
      <c r="K50" s="189">
        <f>K53+K52</f>
        <v>634160</v>
      </c>
      <c r="L50" s="189">
        <f t="shared" si="11"/>
        <v>0</v>
      </c>
      <c r="M50" s="189">
        <f t="shared" si="11"/>
        <v>0</v>
      </c>
      <c r="N50" s="189">
        <f>N53+N52</f>
        <v>0</v>
      </c>
      <c r="O50" s="189">
        <f t="shared" si="11"/>
        <v>0</v>
      </c>
      <c r="P50" s="189">
        <f t="shared" si="11"/>
        <v>0</v>
      </c>
      <c r="Q50" s="189">
        <f t="shared" si="11"/>
        <v>0</v>
      </c>
      <c r="R50" s="189" t="s">
        <v>85</v>
      </c>
      <c r="S50" s="189">
        <f t="shared" si="11"/>
        <v>0</v>
      </c>
      <c r="T50" s="189">
        <f t="shared" si="11"/>
        <v>0</v>
      </c>
      <c r="U50" s="189">
        <f t="shared" si="11"/>
        <v>0</v>
      </c>
      <c r="V50" s="189">
        <f t="shared" si="11"/>
        <v>0</v>
      </c>
      <c r="W50" s="189">
        <f>SUM(W52:W53)</f>
        <v>0</v>
      </c>
      <c r="X50" s="189">
        <f t="shared" si="11"/>
        <v>0</v>
      </c>
      <c r="Y50" s="189">
        <f t="shared" si="11"/>
        <v>0</v>
      </c>
      <c r="Z50" s="189">
        <f t="shared" si="11"/>
        <v>0</v>
      </c>
      <c r="AA50" s="189">
        <f t="shared" si="11"/>
        <v>0</v>
      </c>
      <c r="AB50" s="189">
        <f t="shared" si="11"/>
        <v>0</v>
      </c>
      <c r="AC50" s="189">
        <f t="shared" si="11"/>
        <v>0</v>
      </c>
      <c r="AD50" s="189">
        <f t="shared" si="11"/>
        <v>0</v>
      </c>
      <c r="AE50" s="189">
        <f t="shared" si="11"/>
        <v>0</v>
      </c>
      <c r="AF50" s="189">
        <f t="shared" si="11"/>
        <v>0</v>
      </c>
      <c r="AG50" s="189">
        <f t="shared" si="11"/>
        <v>0</v>
      </c>
      <c r="AH50" s="189">
        <f t="shared" si="11"/>
        <v>0</v>
      </c>
      <c r="AI50" s="189">
        <f t="shared" si="11"/>
        <v>0</v>
      </c>
      <c r="AJ50" s="189">
        <f t="shared" si="11"/>
        <v>0</v>
      </c>
      <c r="AK50" s="10"/>
      <c r="AL50" s="26">
        <f>SUM(F50:AJ50)</f>
        <v>1270975</v>
      </c>
      <c r="AM50" s="156"/>
      <c r="AN50" s="41"/>
      <c r="AP50" s="35"/>
      <c r="BX50" s="40"/>
      <c r="BY50" s="40"/>
      <c r="DB50" s="40"/>
      <c r="EJ50" s="30"/>
      <c r="EK50" s="40">
        <v>2136</v>
      </c>
      <c r="EL50" s="40"/>
      <c r="EM50" s="40"/>
      <c r="EN50" s="40"/>
      <c r="GQ50" s="40"/>
      <c r="KL50" s="40"/>
      <c r="KM50" s="40"/>
      <c r="KN50" s="40"/>
      <c r="KO50" s="40"/>
      <c r="PS50" s="40"/>
      <c r="PT50" s="40"/>
      <c r="PV50" s="40"/>
      <c r="QJ50" s="39"/>
      <c r="QN50" s="40"/>
      <c r="SQ50" s="39"/>
      <c r="AHZ50" s="5"/>
      <c r="AJO50" s="5"/>
      <c r="AJP50" s="5"/>
      <c r="AJQ50" s="5"/>
    </row>
    <row r="51" spans="1:14969" ht="15" customHeight="1" x14ac:dyDescent="0.25">
      <c r="B51" s="134"/>
      <c r="C51" s="193" t="s">
        <v>90</v>
      </c>
      <c r="D51" s="198"/>
      <c r="E51" s="194" t="s">
        <v>16</v>
      </c>
      <c r="F51" s="189"/>
      <c r="G51" s="189"/>
      <c r="H51" s="189"/>
      <c r="I51" s="189"/>
      <c r="J51" s="189"/>
      <c r="K51" s="189" t="s">
        <v>156</v>
      </c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0"/>
      <c r="AL51" s="26">
        <f>SUM(F51:AJ51)</f>
        <v>0</v>
      </c>
      <c r="AN51" s="41"/>
      <c r="AP51" s="35"/>
      <c r="BX51" s="40"/>
      <c r="BY51" s="40"/>
      <c r="DB51" s="40"/>
      <c r="EJ51" s="30"/>
      <c r="EK51" s="40"/>
      <c r="EL51" s="40"/>
      <c r="EM51" s="40"/>
      <c r="EN51" s="40"/>
      <c r="GQ51" s="40"/>
      <c r="KL51" s="40"/>
      <c r="KM51" s="40"/>
      <c r="KN51" s="40"/>
      <c r="KO51" s="40"/>
      <c r="PS51" s="40"/>
      <c r="PT51" s="40"/>
      <c r="PV51" s="40"/>
      <c r="QJ51" s="39"/>
      <c r="QN51" s="40"/>
      <c r="SQ51" s="39"/>
      <c r="AHZ51" s="5"/>
      <c r="AJO51" s="5"/>
      <c r="AJP51" s="5"/>
      <c r="AJQ51" s="5"/>
    </row>
    <row r="52" spans="1:14969" ht="15" customHeight="1" x14ac:dyDescent="0.25">
      <c r="B52" s="134"/>
      <c r="C52" s="193" t="s">
        <v>89</v>
      </c>
      <c r="D52" s="198"/>
      <c r="E52" s="194" t="s">
        <v>16</v>
      </c>
      <c r="F52" s="189">
        <v>0</v>
      </c>
      <c r="G52" s="189">
        <v>0</v>
      </c>
      <c r="H52" s="189">
        <v>0</v>
      </c>
      <c r="I52" s="189">
        <v>0</v>
      </c>
      <c r="J52" s="189">
        <v>384237</v>
      </c>
      <c r="K52" s="189">
        <v>381889</v>
      </c>
      <c r="L52" s="189">
        <v>0</v>
      </c>
      <c r="M52" s="189">
        <v>0</v>
      </c>
      <c r="N52" s="189">
        <v>0</v>
      </c>
      <c r="O52" s="189">
        <v>0</v>
      </c>
      <c r="P52" s="189">
        <v>0</v>
      </c>
      <c r="Q52" s="189">
        <v>0</v>
      </c>
      <c r="R52" s="189">
        <v>0</v>
      </c>
      <c r="S52" s="189">
        <v>0</v>
      </c>
      <c r="T52" s="189">
        <v>0</v>
      </c>
      <c r="U52" s="189">
        <v>0</v>
      </c>
      <c r="V52" s="189">
        <v>0</v>
      </c>
      <c r="W52" s="189">
        <v>0</v>
      </c>
      <c r="X52" s="189">
        <v>0</v>
      </c>
      <c r="Y52" s="189">
        <v>0</v>
      </c>
      <c r="Z52" s="189">
        <v>0</v>
      </c>
      <c r="AA52" s="189">
        <v>0</v>
      </c>
      <c r="AB52" s="189">
        <v>0</v>
      </c>
      <c r="AC52" s="189">
        <v>0</v>
      </c>
      <c r="AD52" s="189">
        <v>0</v>
      </c>
      <c r="AE52" s="189">
        <v>0</v>
      </c>
      <c r="AF52" s="189">
        <v>0</v>
      </c>
      <c r="AG52" s="189">
        <v>0</v>
      </c>
      <c r="AH52" s="189">
        <v>0</v>
      </c>
      <c r="AI52" s="189">
        <v>0</v>
      </c>
      <c r="AJ52" s="189">
        <v>0</v>
      </c>
      <c r="AK52" s="10"/>
      <c r="AL52" s="26">
        <f>SUM(F52:AJ52)</f>
        <v>766126</v>
      </c>
      <c r="AM52" s="31"/>
      <c r="AN52" s="41"/>
      <c r="AP52" s="35"/>
      <c r="BX52" s="40"/>
      <c r="BY52" s="40"/>
      <c r="BZ52" s="31">
        <f>AN52/1000</f>
        <v>0</v>
      </c>
      <c r="DB52" s="40"/>
      <c r="EJ52" s="30"/>
      <c r="EK52" s="40">
        <v>1796</v>
      </c>
      <c r="EL52" s="40"/>
      <c r="EM52" s="40"/>
      <c r="EN52" s="40"/>
      <c r="GQ52" s="40"/>
      <c r="KL52" s="40"/>
      <c r="KM52" s="40"/>
      <c r="KN52" s="40"/>
      <c r="KO52" s="40"/>
      <c r="PS52" s="40"/>
      <c r="PT52" s="40"/>
      <c r="PV52" s="40"/>
      <c r="QJ52" s="39"/>
      <c r="QN52" s="40"/>
      <c r="SQ52" s="39"/>
      <c r="AHZ52" s="5"/>
      <c r="AJO52" s="5"/>
      <c r="AJP52" s="5"/>
      <c r="AJQ52" s="5"/>
    </row>
    <row r="53" spans="1:14969" ht="15" customHeight="1" x14ac:dyDescent="0.25">
      <c r="B53" s="134"/>
      <c r="C53" s="193" t="s">
        <v>88</v>
      </c>
      <c r="D53" s="198"/>
      <c r="E53" s="194" t="s">
        <v>16</v>
      </c>
      <c r="F53" s="189">
        <v>0</v>
      </c>
      <c r="G53" s="189">
        <v>0</v>
      </c>
      <c r="H53" s="189">
        <v>0</v>
      </c>
      <c r="I53" s="189">
        <v>0</v>
      </c>
      <c r="J53" s="189">
        <v>252578</v>
      </c>
      <c r="K53" s="189">
        <v>252271</v>
      </c>
      <c r="L53" s="189">
        <v>0</v>
      </c>
      <c r="M53" s="189">
        <v>0</v>
      </c>
      <c r="N53" s="189">
        <v>0</v>
      </c>
      <c r="O53" s="189">
        <v>0</v>
      </c>
      <c r="P53" s="189">
        <v>0</v>
      </c>
      <c r="Q53" s="189">
        <v>0</v>
      </c>
      <c r="R53" s="189">
        <v>0</v>
      </c>
      <c r="S53" s="189">
        <v>0</v>
      </c>
      <c r="T53" s="189">
        <v>0</v>
      </c>
      <c r="U53" s="189">
        <v>0</v>
      </c>
      <c r="V53" s="189">
        <v>0</v>
      </c>
      <c r="W53" s="189">
        <v>0</v>
      </c>
      <c r="X53" s="189">
        <v>0</v>
      </c>
      <c r="Y53" s="189">
        <v>0</v>
      </c>
      <c r="Z53" s="189">
        <v>0</v>
      </c>
      <c r="AA53" s="189">
        <v>0</v>
      </c>
      <c r="AB53" s="189">
        <v>0</v>
      </c>
      <c r="AC53" s="189">
        <v>0</v>
      </c>
      <c r="AD53" s="189">
        <v>0</v>
      </c>
      <c r="AE53" s="189">
        <v>0</v>
      </c>
      <c r="AF53" s="189">
        <v>0</v>
      </c>
      <c r="AG53" s="189">
        <v>0</v>
      </c>
      <c r="AH53" s="189">
        <v>0</v>
      </c>
      <c r="AI53" s="189">
        <v>0</v>
      </c>
      <c r="AJ53" s="189">
        <v>0</v>
      </c>
      <c r="AK53" s="10"/>
      <c r="AL53" s="26">
        <f>SUM(F53:AJ53)</f>
        <v>504849</v>
      </c>
      <c r="AN53" s="41"/>
      <c r="BX53" s="40"/>
      <c r="BY53" s="40"/>
      <c r="BZ53" s="31">
        <f>AN53/1000</f>
        <v>0</v>
      </c>
      <c r="DB53" s="40"/>
      <c r="EJ53" s="30"/>
      <c r="EK53" s="40">
        <f>EK50/EK52*100</f>
        <v>118.93095768374164</v>
      </c>
      <c r="EL53" s="40"/>
      <c r="EM53" s="40"/>
      <c r="EN53" s="40"/>
      <c r="GQ53" s="40"/>
      <c r="KL53" s="40"/>
      <c r="KM53" s="40"/>
      <c r="KN53" s="40"/>
      <c r="KO53" s="40"/>
      <c r="PS53" s="40"/>
      <c r="PT53" s="40"/>
      <c r="PV53" s="40"/>
      <c r="QJ53" s="39"/>
      <c r="QN53" s="40"/>
      <c r="SQ53" s="39"/>
      <c r="AHZ53" s="5"/>
      <c r="AJO53" s="5"/>
      <c r="AJP53" s="5"/>
      <c r="AJQ53" s="5"/>
    </row>
    <row r="54" spans="1:14969" x14ac:dyDescent="0.25">
      <c r="B54" s="136"/>
      <c r="C54" s="207" t="s">
        <v>87</v>
      </c>
      <c r="D54" s="208"/>
      <c r="E54" s="208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0"/>
      <c r="AL54" s="46" t="s">
        <v>86</v>
      </c>
      <c r="DJ54" s="1" t="s">
        <v>85</v>
      </c>
      <c r="PT54" s="5">
        <v>678</v>
      </c>
    </row>
    <row r="55" spans="1:14969" x14ac:dyDescent="0.25">
      <c r="B55" s="134"/>
      <c r="C55" s="209" t="s">
        <v>84</v>
      </c>
      <c r="D55" s="285">
        <v>94.2</v>
      </c>
      <c r="E55" s="210" t="s">
        <v>29</v>
      </c>
      <c r="F55" s="287">
        <f t="shared" ref="F55:AJ55" si="12">(F37/(F31+F32))*100</f>
        <v>95.135884397387002</v>
      </c>
      <c r="G55" s="287">
        <f t="shared" si="12"/>
        <v>95.55223260046597</v>
      </c>
      <c r="H55" s="287">
        <f t="shared" si="12"/>
        <v>95.348118932405711</v>
      </c>
      <c r="I55" s="287">
        <f t="shared" si="12"/>
        <v>95.168148230310521</v>
      </c>
      <c r="J55" s="287">
        <f t="shared" si="12"/>
        <v>94.148413146718539</v>
      </c>
      <c r="K55" s="287">
        <f t="shared" si="12"/>
        <v>94.838097925848245</v>
      </c>
      <c r="L55" s="287">
        <f t="shared" si="12"/>
        <v>95.595991247223083</v>
      </c>
      <c r="M55" s="287">
        <f t="shared" si="12"/>
        <v>94.847807293167563</v>
      </c>
      <c r="N55" s="287">
        <f t="shared" si="12"/>
        <v>95.131435544911696</v>
      </c>
      <c r="O55" s="287">
        <f t="shared" si="12"/>
        <v>94.582773755679398</v>
      </c>
      <c r="P55" s="287">
        <f t="shared" si="12"/>
        <v>94.828485874110484</v>
      </c>
      <c r="Q55" s="287">
        <f t="shared" si="12"/>
        <v>94.971778656849636</v>
      </c>
      <c r="R55" s="287">
        <f t="shared" si="12"/>
        <v>94.778019756452821</v>
      </c>
      <c r="S55" s="287">
        <f t="shared" si="12"/>
        <v>94.89038943813425</v>
      </c>
      <c r="T55" s="287">
        <f t="shared" si="12"/>
        <v>94.822444497026808</v>
      </c>
      <c r="U55" s="287">
        <f t="shared" si="12"/>
        <v>94.269844083706872</v>
      </c>
      <c r="V55" s="287">
        <f t="shared" si="12"/>
        <v>94.936935206678342</v>
      </c>
      <c r="W55" s="287">
        <f t="shared" si="12"/>
        <v>94.801867216558918</v>
      </c>
      <c r="X55" s="287">
        <f>(X37/(X31+X32))*100</f>
        <v>94.739928093716415</v>
      </c>
      <c r="Y55" s="287">
        <f t="shared" si="12"/>
        <v>95.065661458462714</v>
      </c>
      <c r="Z55" s="287">
        <f t="shared" si="12"/>
        <v>95.316013870209233</v>
      </c>
      <c r="AA55" s="287">
        <f t="shared" si="12"/>
        <v>94.62272239020632</v>
      </c>
      <c r="AB55" s="287">
        <f t="shared" si="12"/>
        <v>94.332211548347232</v>
      </c>
      <c r="AC55" s="287">
        <f t="shared" si="12"/>
        <v>95.122089271766072</v>
      </c>
      <c r="AD55" s="287">
        <f t="shared" si="12"/>
        <v>95.171155842036796</v>
      </c>
      <c r="AE55" s="287">
        <f t="shared" si="12"/>
        <v>94.954966538800321</v>
      </c>
      <c r="AF55" s="287">
        <f t="shared" si="12"/>
        <v>94.685311168663063</v>
      </c>
      <c r="AG55" s="287">
        <f t="shared" si="12"/>
        <v>94.966329775551628</v>
      </c>
      <c r="AH55" s="287">
        <f t="shared" si="12"/>
        <v>95.228645470281592</v>
      </c>
      <c r="AI55" s="287">
        <f t="shared" si="12"/>
        <v>95.337431223004245</v>
      </c>
      <c r="AJ55" s="287">
        <f t="shared" si="12"/>
        <v>95.619452022686573</v>
      </c>
      <c r="AK55" s="7"/>
      <c r="AL55" s="288">
        <f>AL37/(SUM(AL31:AL32))*100</f>
        <v>94.969239679468672</v>
      </c>
      <c r="AM55" s="66"/>
      <c r="AN55" s="27"/>
      <c r="AP55" s="3" t="s">
        <v>85</v>
      </c>
      <c r="PT55" s="5">
        <v>420</v>
      </c>
      <c r="PV55" s="27">
        <f>PT55/PT54*100</f>
        <v>61.946902654867252</v>
      </c>
    </row>
    <row r="56" spans="1:14969" x14ac:dyDescent="0.25">
      <c r="B56" s="134"/>
      <c r="C56" s="209" t="s">
        <v>83</v>
      </c>
      <c r="D56" s="285">
        <v>5</v>
      </c>
      <c r="E56" s="210" t="s">
        <v>29</v>
      </c>
      <c r="F56" s="287">
        <f t="shared" ref="F56:AJ56" si="13">(F38/(F31+F32))*100</f>
        <v>4.1057914105041942</v>
      </c>
      <c r="G56" s="287">
        <f t="shared" si="13"/>
        <v>3.7504261030902883</v>
      </c>
      <c r="H56" s="287">
        <f t="shared" si="13"/>
        <v>3.9492140972749863</v>
      </c>
      <c r="I56" s="287">
        <f t="shared" si="13"/>
        <v>4.1302217855878984</v>
      </c>
      <c r="J56" s="287">
        <f t="shared" si="13"/>
        <v>5.0493995690286404</v>
      </c>
      <c r="K56" s="287">
        <f t="shared" si="13"/>
        <v>4.5097686209585301</v>
      </c>
      <c r="L56" s="287">
        <f t="shared" si="13"/>
        <v>3.7195135018012722</v>
      </c>
      <c r="M56" s="287">
        <f t="shared" si="13"/>
        <v>4.3586218230257074</v>
      </c>
      <c r="N56" s="287">
        <f t="shared" si="13"/>
        <v>4.1958970994710594</v>
      </c>
      <c r="O56" s="287">
        <f t="shared" si="13"/>
        <v>4.7156602273071604</v>
      </c>
      <c r="P56" s="287">
        <f t="shared" si="13"/>
        <v>4.3948475150737591</v>
      </c>
      <c r="Q56" s="287">
        <f t="shared" si="13"/>
        <v>4.3378145088676048</v>
      </c>
      <c r="R56" s="287">
        <f t="shared" si="13"/>
        <v>4.5151477980275727</v>
      </c>
      <c r="S56" s="287">
        <f t="shared" si="13"/>
        <v>4.3999911036405654</v>
      </c>
      <c r="T56" s="287">
        <f t="shared" si="13"/>
        <v>4.4613279562148929</v>
      </c>
      <c r="U56" s="287">
        <f t="shared" si="13"/>
        <v>4.9419921605704271</v>
      </c>
      <c r="V56" s="287">
        <f t="shared" si="13"/>
        <v>4.3676246422354748</v>
      </c>
      <c r="W56" s="287">
        <f t="shared" si="13"/>
        <v>4.4170505445508761</v>
      </c>
      <c r="X56" s="287">
        <f t="shared" si="13"/>
        <v>4.60731347455416</v>
      </c>
      <c r="Y56" s="287">
        <f t="shared" si="13"/>
        <v>4.25122752978778</v>
      </c>
      <c r="Z56" s="287">
        <f t="shared" si="13"/>
        <v>4.0018206936934462</v>
      </c>
      <c r="AA56" s="287">
        <f t="shared" si="13"/>
        <v>4.6271310315046206</v>
      </c>
      <c r="AB56" s="287">
        <f t="shared" si="13"/>
        <v>4.8965571938990822</v>
      </c>
      <c r="AC56" s="287">
        <f t="shared" si="13"/>
        <v>4.185154578489195</v>
      </c>
      <c r="AD56" s="287">
        <f t="shared" si="13"/>
        <v>4.1489961859035853</v>
      </c>
      <c r="AE56" s="287">
        <f t="shared" si="13"/>
        <v>4.3050900916494532</v>
      </c>
      <c r="AF56" s="287">
        <f t="shared" si="13"/>
        <v>4.6068289077967357</v>
      </c>
      <c r="AG56" s="287">
        <f t="shared" si="13"/>
        <v>4.2678810504009181</v>
      </c>
      <c r="AH56" s="287">
        <f t="shared" si="13"/>
        <v>4.0036998620333897</v>
      </c>
      <c r="AI56" s="287">
        <f t="shared" si="13"/>
        <v>3.9264622206525788</v>
      </c>
      <c r="AJ56" s="287">
        <f t="shared" si="13"/>
        <v>3.6507837007683022</v>
      </c>
      <c r="AK56" s="7"/>
      <c r="AL56" s="288">
        <f>AL38/(AL31+AL32)*100</f>
        <v>4.3092515965107507</v>
      </c>
      <c r="AN56" s="27">
        <f>100-AL55-AL56</f>
        <v>0.72150872402057775</v>
      </c>
      <c r="AP56" s="3" t="s">
        <v>85</v>
      </c>
      <c r="PT56" s="5">
        <f>PT54-PT55</f>
        <v>258</v>
      </c>
      <c r="PV56" s="27">
        <f>PT56/PT54*100</f>
        <v>38.053097345132741</v>
      </c>
    </row>
    <row r="57" spans="1:14969" x14ac:dyDescent="0.25">
      <c r="B57" s="134"/>
      <c r="C57" s="209" t="s">
        <v>82</v>
      </c>
      <c r="D57" s="285">
        <v>82</v>
      </c>
      <c r="E57" s="210" t="s">
        <v>29</v>
      </c>
      <c r="F57" s="287">
        <f t="shared" ref="F57:AJ57" si="14">(F41/F40)*100</f>
        <v>82.974041213436962</v>
      </c>
      <c r="G57" s="287">
        <f t="shared" si="14"/>
        <v>82.614632002566694</v>
      </c>
      <c r="H57" s="287">
        <f t="shared" si="14"/>
        <v>82.551240789046204</v>
      </c>
      <c r="I57" s="287">
        <f t="shared" si="14"/>
        <v>80.410391989412588</v>
      </c>
      <c r="J57" s="287" t="e">
        <f>(J41/J40)*100</f>
        <v>#DIV/0!</v>
      </c>
      <c r="K57" s="287" t="e">
        <f t="shared" si="14"/>
        <v>#DIV/0!</v>
      </c>
      <c r="L57" s="287">
        <f t="shared" si="14"/>
        <v>81.462384566024042</v>
      </c>
      <c r="M57" s="287">
        <f t="shared" si="14"/>
        <v>80.649394212476224</v>
      </c>
      <c r="N57" s="287">
        <f t="shared" si="14"/>
        <v>82.082293315662241</v>
      </c>
      <c r="O57" s="287">
        <f t="shared" si="14"/>
        <v>82.188855948717773</v>
      </c>
      <c r="P57" s="287">
        <f t="shared" si="14"/>
        <v>82.07913083572906</v>
      </c>
      <c r="Q57" s="287">
        <f t="shared" si="14"/>
        <v>80.611046083973974</v>
      </c>
      <c r="R57" s="287">
        <f t="shared" si="14"/>
        <v>82.2186659554133</v>
      </c>
      <c r="S57" s="287">
        <f t="shared" si="14"/>
        <v>81.718688180122555</v>
      </c>
      <c r="T57" s="287">
        <f t="shared" si="14"/>
        <v>81.762459350666404</v>
      </c>
      <c r="U57" s="287">
        <f t="shared" si="14"/>
        <v>80.520111892249332</v>
      </c>
      <c r="V57" s="287">
        <f t="shared" si="14"/>
        <v>81.068242318890285</v>
      </c>
      <c r="W57" s="287">
        <f t="shared" si="14"/>
        <v>82.49219155053926</v>
      </c>
      <c r="X57" s="287">
        <f t="shared" si="14"/>
        <v>80.130334894636761</v>
      </c>
      <c r="Y57" s="287">
        <f t="shared" si="14"/>
        <v>82.108044259803719</v>
      </c>
      <c r="Z57" s="287">
        <f t="shared" si="14"/>
        <v>82.105045999266366</v>
      </c>
      <c r="AA57" s="287">
        <f t="shared" si="14"/>
        <v>82.084948405699137</v>
      </c>
      <c r="AB57" s="287">
        <f t="shared" si="14"/>
        <v>82.313680921341557</v>
      </c>
      <c r="AC57" s="287">
        <f t="shared" si="14"/>
        <v>82.114644440616189</v>
      </c>
      <c r="AD57" s="287">
        <f t="shared" si="14"/>
        <v>82.053766246889694</v>
      </c>
      <c r="AE57" s="287">
        <f t="shared" si="14"/>
        <v>82.713252944649284</v>
      </c>
      <c r="AF57" s="287">
        <f t="shared" si="14"/>
        <v>82.558899461146524</v>
      </c>
      <c r="AG57" s="287">
        <f t="shared" si="14"/>
        <v>83.567807744728697</v>
      </c>
      <c r="AH57" s="287">
        <f t="shared" si="14"/>
        <v>83.009951654584597</v>
      </c>
      <c r="AI57" s="287">
        <f t="shared" si="14"/>
        <v>83.040268368123691</v>
      </c>
      <c r="AJ57" s="287">
        <f t="shared" si="14"/>
        <v>80.837440468448634</v>
      </c>
      <c r="AK57" s="7"/>
      <c r="AL57" s="288">
        <f>AL41/AL40*100</f>
        <v>82.001963544058754</v>
      </c>
    </row>
    <row r="58" spans="1:14969" x14ac:dyDescent="0.25">
      <c r="B58" s="134"/>
      <c r="C58" s="209" t="s">
        <v>80</v>
      </c>
      <c r="D58" s="285">
        <v>18</v>
      </c>
      <c r="E58" s="210" t="s">
        <v>29</v>
      </c>
      <c r="F58" s="287">
        <f t="shared" ref="F58:AJ58" si="15">(F42/F40)*100</f>
        <v>17.025958786563042</v>
      </c>
      <c r="G58" s="287">
        <f t="shared" si="15"/>
        <v>17.385367997433306</v>
      </c>
      <c r="H58" s="287">
        <f t="shared" si="15"/>
        <v>17.448759210953789</v>
      </c>
      <c r="I58" s="287">
        <f t="shared" si="15"/>
        <v>19.589608010587405</v>
      </c>
      <c r="J58" s="287" t="e">
        <f t="shared" si="15"/>
        <v>#DIV/0!</v>
      </c>
      <c r="K58" s="287" t="e">
        <f t="shared" si="15"/>
        <v>#DIV/0!</v>
      </c>
      <c r="L58" s="287">
        <f t="shared" si="15"/>
        <v>18.537615433975951</v>
      </c>
      <c r="M58" s="287">
        <f t="shared" si="15"/>
        <v>19.350605787523779</v>
      </c>
      <c r="N58" s="287">
        <f t="shared" si="15"/>
        <v>17.917706684337766</v>
      </c>
      <c r="O58" s="287">
        <f t="shared" si="15"/>
        <v>17.811144051282223</v>
      </c>
      <c r="P58" s="287">
        <f t="shared" si="15"/>
        <v>17.92086916427094</v>
      </c>
      <c r="Q58" s="287">
        <f t="shared" si="15"/>
        <v>19.388953916026015</v>
      </c>
      <c r="R58" s="287">
        <f t="shared" si="15"/>
        <v>17.781334044586693</v>
      </c>
      <c r="S58" s="287">
        <f t="shared" si="15"/>
        <v>18.281311819877448</v>
      </c>
      <c r="T58" s="287">
        <f t="shared" si="15"/>
        <v>18.237540649333589</v>
      </c>
      <c r="U58" s="287">
        <f t="shared" si="15"/>
        <v>19.479888107750671</v>
      </c>
      <c r="V58" s="287">
        <f t="shared" si="15"/>
        <v>18.931757681109712</v>
      </c>
      <c r="W58" s="287">
        <f t="shared" si="15"/>
        <v>17.507808449460743</v>
      </c>
      <c r="X58" s="287">
        <f t="shared" si="15"/>
        <v>19.869665105363239</v>
      </c>
      <c r="Y58" s="287">
        <f t="shared" si="15"/>
        <v>17.891955740196277</v>
      </c>
      <c r="Z58" s="287">
        <f t="shared" si="15"/>
        <v>17.89495400073363</v>
      </c>
      <c r="AA58" s="287">
        <f t="shared" si="15"/>
        <v>17.915051594300863</v>
      </c>
      <c r="AB58" s="287">
        <f t="shared" si="15"/>
        <v>17.686319078658443</v>
      </c>
      <c r="AC58" s="287">
        <f t="shared" si="15"/>
        <v>17.885355559383811</v>
      </c>
      <c r="AD58" s="287">
        <f t="shared" si="15"/>
        <v>17.946233753110302</v>
      </c>
      <c r="AE58" s="287">
        <f t="shared" si="15"/>
        <v>17.286747055350716</v>
      </c>
      <c r="AF58" s="287">
        <f t="shared" si="15"/>
        <v>17.441100538853483</v>
      </c>
      <c r="AG58" s="287">
        <f t="shared" si="15"/>
        <v>16.432192255271303</v>
      </c>
      <c r="AH58" s="287">
        <f t="shared" si="15"/>
        <v>16.990048345415406</v>
      </c>
      <c r="AI58" s="287">
        <f t="shared" si="15"/>
        <v>16.959731631876313</v>
      </c>
      <c r="AJ58" s="287">
        <f t="shared" si="15"/>
        <v>19.162559531551377</v>
      </c>
      <c r="AK58" s="7"/>
      <c r="AL58" s="288">
        <f>AL42/AL40*100</f>
        <v>17.998036455941254</v>
      </c>
    </row>
    <row r="59" spans="1:14969" ht="15" customHeight="1" x14ac:dyDescent="0.25">
      <c r="B59" s="134"/>
      <c r="C59" s="209" t="s">
        <v>81</v>
      </c>
      <c r="D59" s="285">
        <v>70</v>
      </c>
      <c r="E59" s="210" t="s">
        <v>29</v>
      </c>
      <c r="F59" s="287" t="e">
        <f t="shared" ref="F59:AI59" si="16">F46/F45*100</f>
        <v>#DIV/0!</v>
      </c>
      <c r="G59" s="287" t="e">
        <f t="shared" si="16"/>
        <v>#DIV/0!</v>
      </c>
      <c r="H59" s="287" t="e">
        <f t="shared" si="16"/>
        <v>#DIV/0!</v>
      </c>
      <c r="I59" s="287" t="e">
        <f t="shared" si="16"/>
        <v>#DIV/0!</v>
      </c>
      <c r="J59" s="287" t="e">
        <f t="shared" si="16"/>
        <v>#DIV/0!</v>
      </c>
      <c r="K59" s="287" t="e">
        <f t="shared" si="16"/>
        <v>#DIV/0!</v>
      </c>
      <c r="L59" s="287" t="e">
        <f t="shared" si="16"/>
        <v>#DIV/0!</v>
      </c>
      <c r="M59" s="287" t="e">
        <f t="shared" si="16"/>
        <v>#DIV/0!</v>
      </c>
      <c r="N59" s="287" t="e">
        <f t="shared" si="16"/>
        <v>#DIV/0!</v>
      </c>
      <c r="O59" s="287" t="e">
        <f t="shared" si="16"/>
        <v>#DIV/0!</v>
      </c>
      <c r="P59" s="287" t="e">
        <f t="shared" si="16"/>
        <v>#DIV/0!</v>
      </c>
      <c r="Q59" s="287" t="e">
        <f t="shared" si="16"/>
        <v>#DIV/0!</v>
      </c>
      <c r="R59" s="287">
        <f t="shared" si="16"/>
        <v>70.288431820221135</v>
      </c>
      <c r="S59" s="287">
        <f t="shared" si="16"/>
        <v>70.036319612590802</v>
      </c>
      <c r="T59" s="287">
        <f t="shared" si="16"/>
        <v>70.031055900621126</v>
      </c>
      <c r="U59" s="287">
        <f t="shared" si="16"/>
        <v>76.923398561632382</v>
      </c>
      <c r="V59" s="287" t="e">
        <f t="shared" si="16"/>
        <v>#DIV/0!</v>
      </c>
      <c r="W59" s="287" t="e">
        <f t="shared" si="16"/>
        <v>#DIV/0!</v>
      </c>
      <c r="X59" s="287" t="e">
        <f t="shared" si="16"/>
        <v>#DIV/0!</v>
      </c>
      <c r="Y59" s="287" t="e">
        <f t="shared" si="16"/>
        <v>#DIV/0!</v>
      </c>
      <c r="Z59" s="287" t="e">
        <f t="shared" si="16"/>
        <v>#DIV/0!</v>
      </c>
      <c r="AA59" s="287" t="e">
        <f t="shared" si="16"/>
        <v>#VALUE!</v>
      </c>
      <c r="AB59" s="287" t="e">
        <f t="shared" si="16"/>
        <v>#DIV/0!</v>
      </c>
      <c r="AC59" s="287" t="e">
        <f t="shared" si="16"/>
        <v>#DIV/0!</v>
      </c>
      <c r="AD59" s="287" t="e">
        <f t="shared" si="16"/>
        <v>#DIV/0!</v>
      </c>
      <c r="AE59" s="287" t="e">
        <f t="shared" si="16"/>
        <v>#DIV/0!</v>
      </c>
      <c r="AF59" s="287" t="e">
        <f t="shared" si="16"/>
        <v>#DIV/0!</v>
      </c>
      <c r="AG59" s="287" t="e">
        <f t="shared" si="16"/>
        <v>#DIV/0!</v>
      </c>
      <c r="AH59" s="287" t="e">
        <f t="shared" si="16"/>
        <v>#DIV/0!</v>
      </c>
      <c r="AI59" s="287" t="e">
        <f t="shared" si="16"/>
        <v>#DIV/0!</v>
      </c>
      <c r="AJ59" s="287" t="e">
        <f>AJ46/AJ45*100</f>
        <v>#DIV/0!</v>
      </c>
      <c r="AK59" s="7"/>
      <c r="AL59" s="288">
        <f>AL46/AL45*100</f>
        <v>70.901726502286763</v>
      </c>
    </row>
    <row r="60" spans="1:14969" ht="3.75" customHeight="1" x14ac:dyDescent="0.25">
      <c r="B60" s="134"/>
      <c r="C60" s="209" t="s">
        <v>80</v>
      </c>
      <c r="D60" s="285">
        <v>30</v>
      </c>
      <c r="E60" s="210" t="s">
        <v>29</v>
      </c>
      <c r="F60" s="287" t="e">
        <f t="shared" ref="F60:AJ60" si="17">F47/F45*100</f>
        <v>#DIV/0!</v>
      </c>
      <c r="G60" s="287" t="e">
        <f t="shared" si="17"/>
        <v>#DIV/0!</v>
      </c>
      <c r="H60" s="287" t="e">
        <f t="shared" si="17"/>
        <v>#DIV/0!</v>
      </c>
      <c r="I60" s="287" t="e">
        <f t="shared" si="17"/>
        <v>#DIV/0!</v>
      </c>
      <c r="J60" s="287" t="e">
        <f t="shared" si="17"/>
        <v>#DIV/0!</v>
      </c>
      <c r="K60" s="287" t="e">
        <f t="shared" si="17"/>
        <v>#DIV/0!</v>
      </c>
      <c r="L60" s="287" t="e">
        <f t="shared" si="17"/>
        <v>#DIV/0!</v>
      </c>
      <c r="M60" s="287" t="e">
        <f t="shared" si="17"/>
        <v>#DIV/0!</v>
      </c>
      <c r="N60" s="287" t="e">
        <f t="shared" si="17"/>
        <v>#DIV/0!</v>
      </c>
      <c r="O60" s="287" t="e">
        <f t="shared" si="17"/>
        <v>#DIV/0!</v>
      </c>
      <c r="P60" s="287" t="e">
        <f t="shared" si="17"/>
        <v>#DIV/0!</v>
      </c>
      <c r="Q60" s="287" t="e">
        <f t="shared" si="17"/>
        <v>#DIV/0!</v>
      </c>
      <c r="R60" s="287">
        <f t="shared" si="17"/>
        <v>29.711568179778862</v>
      </c>
      <c r="S60" s="287">
        <f t="shared" si="17"/>
        <v>29.963680387409202</v>
      </c>
      <c r="T60" s="287">
        <f t="shared" si="17"/>
        <v>29.968944099378881</v>
      </c>
      <c r="U60" s="287">
        <f t="shared" si="17"/>
        <v>23.076601438367618</v>
      </c>
      <c r="V60" s="287" t="e">
        <f t="shared" si="17"/>
        <v>#DIV/0!</v>
      </c>
      <c r="W60" s="287" t="e">
        <f t="shared" si="17"/>
        <v>#DIV/0!</v>
      </c>
      <c r="X60" s="287" t="e">
        <f t="shared" si="17"/>
        <v>#DIV/0!</v>
      </c>
      <c r="Y60" s="287" t="e">
        <f t="shared" si="17"/>
        <v>#DIV/0!</v>
      </c>
      <c r="Z60" s="287" t="e">
        <f t="shared" si="17"/>
        <v>#DIV/0!</v>
      </c>
      <c r="AA60" s="287" t="e">
        <f t="shared" si="17"/>
        <v>#DIV/0!</v>
      </c>
      <c r="AB60" s="287" t="e">
        <f t="shared" si="17"/>
        <v>#DIV/0!</v>
      </c>
      <c r="AC60" s="287" t="e">
        <f t="shared" si="17"/>
        <v>#DIV/0!</v>
      </c>
      <c r="AD60" s="287" t="e">
        <f t="shared" si="17"/>
        <v>#DIV/0!</v>
      </c>
      <c r="AE60" s="287" t="e">
        <f t="shared" si="17"/>
        <v>#DIV/0!</v>
      </c>
      <c r="AF60" s="287" t="e">
        <f t="shared" si="17"/>
        <v>#DIV/0!</v>
      </c>
      <c r="AG60" s="287" t="e">
        <f t="shared" si="17"/>
        <v>#DIV/0!</v>
      </c>
      <c r="AH60" s="287" t="e">
        <f t="shared" si="17"/>
        <v>#DIV/0!</v>
      </c>
      <c r="AI60" s="287" t="e">
        <f t="shared" si="17"/>
        <v>#DIV/0!</v>
      </c>
      <c r="AJ60" s="287" t="e">
        <f t="shared" si="17"/>
        <v>#DIV/0!</v>
      </c>
      <c r="AK60" s="289"/>
      <c r="AL60" s="288">
        <f>AL47/AL45*100</f>
        <v>29.098273497713233</v>
      </c>
      <c r="GR60" s="1">
        <v>95.03</v>
      </c>
    </row>
    <row r="61" spans="1:14969" ht="15" customHeight="1" x14ac:dyDescent="0.25">
      <c r="B61" s="134"/>
      <c r="C61" s="209" t="s">
        <v>79</v>
      </c>
      <c r="D61" s="285">
        <v>60</v>
      </c>
      <c r="E61" s="210" t="s">
        <v>29</v>
      </c>
      <c r="F61" s="287" t="e">
        <f t="shared" ref="F61:S61" si="18">F52/F50*100</f>
        <v>#DIV/0!</v>
      </c>
      <c r="G61" s="287" t="e">
        <f t="shared" si="18"/>
        <v>#DIV/0!</v>
      </c>
      <c r="H61" s="287" t="e">
        <f t="shared" si="18"/>
        <v>#DIV/0!</v>
      </c>
      <c r="I61" s="287" t="e">
        <f t="shared" si="18"/>
        <v>#DIV/0!</v>
      </c>
      <c r="J61" s="287">
        <f t="shared" si="18"/>
        <v>60.337303612509132</v>
      </c>
      <c r="K61" s="287">
        <f t="shared" si="18"/>
        <v>60.219660653462846</v>
      </c>
      <c r="L61" s="287" t="e">
        <f t="shared" si="18"/>
        <v>#DIV/0!</v>
      </c>
      <c r="M61" s="287" t="e">
        <f t="shared" si="18"/>
        <v>#DIV/0!</v>
      </c>
      <c r="N61" s="287" t="e">
        <f t="shared" si="18"/>
        <v>#DIV/0!</v>
      </c>
      <c r="O61" s="287" t="e">
        <f t="shared" si="18"/>
        <v>#DIV/0!</v>
      </c>
      <c r="P61" s="287" t="e">
        <f t="shared" si="18"/>
        <v>#DIV/0!</v>
      </c>
      <c r="Q61" s="287" t="e">
        <f t="shared" si="18"/>
        <v>#DIV/0!</v>
      </c>
      <c r="R61" s="287" t="e">
        <f t="shared" si="18"/>
        <v>#VALUE!</v>
      </c>
      <c r="S61" s="287" t="e">
        <f t="shared" si="18"/>
        <v>#DIV/0!</v>
      </c>
      <c r="T61" s="287" t="e">
        <f>(T52+T51)/T50*100</f>
        <v>#DIV/0!</v>
      </c>
      <c r="U61" s="287" t="e">
        <f>(U52+U51)/U50*100</f>
        <v>#DIV/0!</v>
      </c>
      <c r="V61" s="287" t="e">
        <f>(V52+V51)/V50*100</f>
        <v>#DIV/0!</v>
      </c>
      <c r="W61" s="287" t="e">
        <f>(W52+W51)/W50*100</f>
        <v>#DIV/0!</v>
      </c>
      <c r="X61" s="287" t="e">
        <f t="shared" ref="X61:AJ61" si="19">X52/X50*100</f>
        <v>#DIV/0!</v>
      </c>
      <c r="Y61" s="287" t="e">
        <f t="shared" si="19"/>
        <v>#DIV/0!</v>
      </c>
      <c r="Z61" s="287" t="e">
        <f t="shared" si="19"/>
        <v>#DIV/0!</v>
      </c>
      <c r="AA61" s="287" t="e">
        <f t="shared" si="19"/>
        <v>#DIV/0!</v>
      </c>
      <c r="AB61" s="287" t="e">
        <f t="shared" si="19"/>
        <v>#DIV/0!</v>
      </c>
      <c r="AC61" s="287" t="e">
        <f t="shared" si="19"/>
        <v>#DIV/0!</v>
      </c>
      <c r="AD61" s="287" t="e">
        <f>AD52/AD50*100</f>
        <v>#DIV/0!</v>
      </c>
      <c r="AE61" s="287" t="e">
        <f t="shared" si="19"/>
        <v>#DIV/0!</v>
      </c>
      <c r="AF61" s="287" t="e">
        <f t="shared" si="19"/>
        <v>#DIV/0!</v>
      </c>
      <c r="AG61" s="287" t="e">
        <f t="shared" si="19"/>
        <v>#DIV/0!</v>
      </c>
      <c r="AH61" s="287" t="e">
        <f t="shared" si="19"/>
        <v>#DIV/0!</v>
      </c>
      <c r="AI61" s="287" t="e">
        <f t="shared" si="19"/>
        <v>#DIV/0!</v>
      </c>
      <c r="AJ61" s="287" t="e">
        <f t="shared" si="19"/>
        <v>#DIV/0!</v>
      </c>
      <c r="AK61" s="7"/>
      <c r="AL61" s="288">
        <f>(AL52+AL51)/AL50*100</f>
        <v>60.278605007966327</v>
      </c>
      <c r="GR61" s="1">
        <v>4.2300000000000004</v>
      </c>
      <c r="PV61" s="5">
        <f>PV62/94.2%</f>
        <v>1307.8556263269638</v>
      </c>
      <c r="PW61" s="1" t="s">
        <v>78</v>
      </c>
    </row>
    <row r="62" spans="1:14969" ht="15" customHeight="1" x14ac:dyDescent="0.25">
      <c r="B62" s="134"/>
      <c r="C62" s="209" t="s">
        <v>77</v>
      </c>
      <c r="D62" s="285">
        <v>40</v>
      </c>
      <c r="E62" s="210" t="s">
        <v>29</v>
      </c>
      <c r="F62" s="287" t="e">
        <f t="shared" ref="F62:AJ62" si="20">F53/F50*100</f>
        <v>#DIV/0!</v>
      </c>
      <c r="G62" s="287" t="e">
        <f t="shared" si="20"/>
        <v>#DIV/0!</v>
      </c>
      <c r="H62" s="287" t="e">
        <f t="shared" si="20"/>
        <v>#DIV/0!</v>
      </c>
      <c r="I62" s="287" t="e">
        <f t="shared" si="20"/>
        <v>#DIV/0!</v>
      </c>
      <c r="J62" s="287">
        <f t="shared" si="20"/>
        <v>39.662696387490868</v>
      </c>
      <c r="K62" s="287">
        <f t="shared" si="20"/>
        <v>39.780339346537154</v>
      </c>
      <c r="L62" s="287" t="e">
        <f t="shared" si="20"/>
        <v>#DIV/0!</v>
      </c>
      <c r="M62" s="287" t="e">
        <f t="shared" si="20"/>
        <v>#DIV/0!</v>
      </c>
      <c r="N62" s="287" t="e">
        <f t="shared" si="20"/>
        <v>#DIV/0!</v>
      </c>
      <c r="O62" s="287" t="e">
        <f t="shared" si="20"/>
        <v>#DIV/0!</v>
      </c>
      <c r="P62" s="287" t="e">
        <f t="shared" si="20"/>
        <v>#DIV/0!</v>
      </c>
      <c r="Q62" s="287" t="e">
        <f t="shared" si="20"/>
        <v>#DIV/0!</v>
      </c>
      <c r="R62" s="287" t="e">
        <f t="shared" si="20"/>
        <v>#VALUE!</v>
      </c>
      <c r="S62" s="287" t="e">
        <f t="shared" si="20"/>
        <v>#DIV/0!</v>
      </c>
      <c r="T62" s="287" t="e">
        <f t="shared" si="20"/>
        <v>#DIV/0!</v>
      </c>
      <c r="U62" s="287" t="e">
        <f t="shared" si="20"/>
        <v>#DIV/0!</v>
      </c>
      <c r="V62" s="287" t="e">
        <f t="shared" si="20"/>
        <v>#DIV/0!</v>
      </c>
      <c r="W62" s="287" t="e">
        <f t="shared" si="20"/>
        <v>#DIV/0!</v>
      </c>
      <c r="X62" s="287" t="e">
        <f t="shared" si="20"/>
        <v>#DIV/0!</v>
      </c>
      <c r="Y62" s="287" t="e">
        <f t="shared" si="20"/>
        <v>#DIV/0!</v>
      </c>
      <c r="Z62" s="287" t="e">
        <f t="shared" si="20"/>
        <v>#DIV/0!</v>
      </c>
      <c r="AA62" s="287" t="e">
        <f t="shared" si="20"/>
        <v>#DIV/0!</v>
      </c>
      <c r="AB62" s="287" t="e">
        <f t="shared" si="20"/>
        <v>#DIV/0!</v>
      </c>
      <c r="AC62" s="287" t="e">
        <f t="shared" si="20"/>
        <v>#DIV/0!</v>
      </c>
      <c r="AD62" s="287" t="e">
        <f t="shared" si="20"/>
        <v>#DIV/0!</v>
      </c>
      <c r="AE62" s="287" t="e">
        <f t="shared" si="20"/>
        <v>#DIV/0!</v>
      </c>
      <c r="AF62" s="287" t="e">
        <f t="shared" si="20"/>
        <v>#DIV/0!</v>
      </c>
      <c r="AG62" s="287" t="e">
        <f t="shared" si="20"/>
        <v>#DIV/0!</v>
      </c>
      <c r="AH62" s="287" t="e">
        <f t="shared" si="20"/>
        <v>#DIV/0!</v>
      </c>
      <c r="AI62" s="287" t="e">
        <f t="shared" si="20"/>
        <v>#DIV/0!</v>
      </c>
      <c r="AJ62" s="287" t="e">
        <f t="shared" si="20"/>
        <v>#DIV/0!</v>
      </c>
      <c r="AK62" s="289"/>
      <c r="AL62" s="288">
        <f>AL53/AL50*100</f>
        <v>39.721394992033673</v>
      </c>
      <c r="GR62" s="1">
        <f>100-GR60-GR61</f>
        <v>0.73999999999999844</v>
      </c>
      <c r="PV62" s="5">
        <f>22*56</f>
        <v>1232</v>
      </c>
      <c r="PW62" s="1" t="s">
        <v>76</v>
      </c>
    </row>
    <row r="63" spans="1:14969" x14ac:dyDescent="0.25">
      <c r="B63" s="178">
        <v>3</v>
      </c>
      <c r="C63" s="211" t="s">
        <v>75</v>
      </c>
      <c r="D63" s="208"/>
      <c r="E63" s="208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0"/>
      <c r="AL63" s="43" t="s">
        <v>74</v>
      </c>
      <c r="AM63" s="31"/>
      <c r="CW63" s="5"/>
      <c r="PV63" s="5">
        <f>16.5*PV61</f>
        <v>21579.617834394903</v>
      </c>
    </row>
    <row r="64" spans="1:14969" x14ac:dyDescent="0.25">
      <c r="B64" s="136"/>
      <c r="C64" s="135" t="s">
        <v>73</v>
      </c>
      <c r="D64" s="285">
        <v>8</v>
      </c>
      <c r="E64" s="212" t="s">
        <v>70</v>
      </c>
      <c r="F64" s="11">
        <v>9152</v>
      </c>
      <c r="G64" s="11">
        <v>13984</v>
      </c>
      <c r="H64" s="11">
        <f>18384-2600</f>
        <v>15784</v>
      </c>
      <c r="I64" s="346">
        <f>22704-4200-2400</f>
        <v>16104</v>
      </c>
      <c r="J64" s="11">
        <v>0</v>
      </c>
      <c r="K64" s="11">
        <v>0</v>
      </c>
      <c r="L64" s="11">
        <v>12736</v>
      </c>
      <c r="M64" s="346">
        <f>18432-4400</f>
        <v>14032</v>
      </c>
      <c r="N64" s="11">
        <v>14336</v>
      </c>
      <c r="O64" s="11">
        <f>18768-5000</f>
        <v>13768</v>
      </c>
      <c r="P64" s="346">
        <f>16072-2500</f>
        <v>13572</v>
      </c>
      <c r="Q64" s="346">
        <v>13016</v>
      </c>
      <c r="R64" s="11">
        <f>17952-1780-4500</f>
        <v>11672</v>
      </c>
      <c r="S64" s="346">
        <f>15112-2250-2100</f>
        <v>10762</v>
      </c>
      <c r="T64" s="346">
        <f>17160-2160-3500</f>
        <v>11500</v>
      </c>
      <c r="U64" s="11">
        <f>14600-3700</f>
        <v>10900</v>
      </c>
      <c r="V64" s="11">
        <v>15032</v>
      </c>
      <c r="W64" s="11">
        <v>15368</v>
      </c>
      <c r="X64" s="11">
        <v>13104</v>
      </c>
      <c r="Y64" s="11">
        <v>14408</v>
      </c>
      <c r="Z64" s="11">
        <v>16240</v>
      </c>
      <c r="AA64" s="11">
        <v>18170</v>
      </c>
      <c r="AB64" s="11">
        <f>17832-1500</f>
        <v>16332</v>
      </c>
      <c r="AC64" s="11">
        <v>16816</v>
      </c>
      <c r="AD64" s="11">
        <f>19088-2300</f>
        <v>16788</v>
      </c>
      <c r="AE64" s="11">
        <v>15280</v>
      </c>
      <c r="AF64" s="11">
        <v>13936</v>
      </c>
      <c r="AG64" s="11">
        <f>16312-1500</f>
        <v>14812</v>
      </c>
      <c r="AH64" s="11">
        <f>20736-6000</f>
        <v>14736</v>
      </c>
      <c r="AI64" s="11">
        <f>18208-5000</f>
        <v>13208</v>
      </c>
      <c r="AJ64" s="11">
        <f>17440-3000</f>
        <v>14440</v>
      </c>
      <c r="AK64" s="10"/>
      <c r="AL64" s="9">
        <f>SUM(F64:AJ64)</f>
        <v>409988</v>
      </c>
      <c r="AM64" s="31"/>
      <c r="CW64" s="5"/>
    </row>
    <row r="65" spans="2:953" x14ac:dyDescent="0.25">
      <c r="B65" s="134"/>
      <c r="C65" s="213"/>
      <c r="D65" s="191"/>
      <c r="E65" s="212" t="s">
        <v>29</v>
      </c>
      <c r="F65" s="287">
        <f>F64/F31*100</f>
        <v>0.69284047181588249</v>
      </c>
      <c r="G65" s="290">
        <f>G64/(G31-G49)*100</f>
        <v>0.83776810046986661</v>
      </c>
      <c r="H65" s="290">
        <f>H64/((H31+H32)-H49)*100</f>
        <v>0.79527430514267983</v>
      </c>
      <c r="I65" s="290">
        <f>I64/((I31+I32)-I49)*100</f>
        <v>1.0632397914718978</v>
      </c>
      <c r="J65" s="287" t="e">
        <f>J64/((J31+J32)-J49)*100</f>
        <v>#DIV/0!</v>
      </c>
      <c r="K65" s="287">
        <f>K64/K31*100</f>
        <v>0</v>
      </c>
      <c r="L65" s="287">
        <f>L64/((L31+L32)-L49)*100</f>
        <v>0.75812953443131947</v>
      </c>
      <c r="M65" s="290">
        <f t="shared" ref="M65" si="21">M64/((M31+M32)-M49)*100</f>
        <v>0.81197219203558968</v>
      </c>
      <c r="N65" s="287">
        <f t="shared" ref="N65:AJ65" si="22">N64/((N31+N32)-(N49+N44))*100</f>
        <v>0.84272998428111068</v>
      </c>
      <c r="O65" s="287">
        <f t="shared" si="22"/>
        <v>0.78715352638262137</v>
      </c>
      <c r="P65" s="290">
        <f t="shared" si="22"/>
        <v>0.81215187934290611</v>
      </c>
      <c r="Q65" s="290">
        <f t="shared" si="22"/>
        <v>0.85049549072727293</v>
      </c>
      <c r="R65" s="287">
        <f t="shared" si="22"/>
        <v>0.84216420037331718</v>
      </c>
      <c r="S65" s="290">
        <f t="shared" si="22"/>
        <v>0.80046055117384018</v>
      </c>
      <c r="T65" s="290">
        <f t="shared" si="22"/>
        <v>0.81020377681774502</v>
      </c>
      <c r="U65" s="287">
        <f t="shared" si="22"/>
        <v>0.7981068027987922</v>
      </c>
      <c r="V65" s="287">
        <f t="shared" si="22"/>
        <v>0.82960529728810894</v>
      </c>
      <c r="W65" s="287">
        <f t="shared" si="22"/>
        <v>0.82915464856424814</v>
      </c>
      <c r="X65" s="287">
        <f t="shared" si="22"/>
        <v>0.76148370777016716</v>
      </c>
      <c r="Y65" s="287">
        <f t="shared" si="22"/>
        <v>0.74562601949143414</v>
      </c>
      <c r="Z65" s="287">
        <f t="shared" si="22"/>
        <v>0.74291622064245788</v>
      </c>
      <c r="AA65" s="287">
        <f t="shared" si="22"/>
        <v>0.82074807776915537</v>
      </c>
      <c r="AB65" s="287">
        <f t="shared" si="22"/>
        <v>0.79957778846144434</v>
      </c>
      <c r="AC65" s="287">
        <f>AC64/((AC31+AC32)-(AC49+AC44))*100</f>
        <v>0.76144763802257265</v>
      </c>
      <c r="AD65" s="287">
        <f>AD64/((AD31+AD32)-(AD49+AD44))*100</f>
        <v>0.80330009536437286</v>
      </c>
      <c r="AE65" s="287">
        <f>AE64/((AE31+AE32)-(AE49+AE44))*100</f>
        <v>0.83962087381014783</v>
      </c>
      <c r="AF65" s="287">
        <f t="shared" si="22"/>
        <v>0.76175566752557322</v>
      </c>
      <c r="AG65" s="287">
        <f t="shared" si="22"/>
        <v>0.7993002075957264</v>
      </c>
      <c r="AH65" s="287">
        <f t="shared" si="22"/>
        <v>0.8191281088346436</v>
      </c>
      <c r="AI65" s="287">
        <f t="shared" si="22"/>
        <v>0.74042307487477887</v>
      </c>
      <c r="AJ65" s="287">
        <f t="shared" si="22"/>
        <v>0.78710757045948221</v>
      </c>
      <c r="AK65" s="10"/>
      <c r="AL65" s="356">
        <f>AL64/(((AL31)-(AL44+AL49)))*100</f>
        <v>0.80320562871634293</v>
      </c>
      <c r="AM65" s="67">
        <f>AL65*10</f>
        <v>8.0320562871634298</v>
      </c>
      <c r="AN65" s="291">
        <f>AL65*10</f>
        <v>8.0320562871634298</v>
      </c>
      <c r="CW65" s="4"/>
      <c r="GR65" s="27">
        <f>R65*10</f>
        <v>8.4216420037331723</v>
      </c>
      <c r="PS65" s="27"/>
      <c r="PV65" s="5">
        <f>PV61+(AL49/1000)</f>
        <v>4481.5656263269639</v>
      </c>
      <c r="PW65" s="5" t="s">
        <v>72</v>
      </c>
    </row>
    <row r="66" spans="2:953" x14ac:dyDescent="0.25">
      <c r="B66" s="136"/>
      <c r="C66" s="214" t="s">
        <v>71</v>
      </c>
      <c r="D66" s="292">
        <v>16</v>
      </c>
      <c r="E66" s="215" t="s">
        <v>70</v>
      </c>
      <c r="F66" s="216">
        <v>0</v>
      </c>
      <c r="G66" s="216">
        <v>0</v>
      </c>
      <c r="H66" s="216"/>
      <c r="I66" s="216"/>
      <c r="J66" s="216">
        <v>24624</v>
      </c>
      <c r="K66" s="216">
        <f>16528+4200+4500</f>
        <v>25228</v>
      </c>
      <c r="L66" s="216">
        <v>0</v>
      </c>
      <c r="M66" s="216"/>
      <c r="N66" s="216"/>
      <c r="O66" s="216"/>
      <c r="P66" s="216"/>
      <c r="Q66" s="216"/>
      <c r="R66" s="216">
        <v>1780</v>
      </c>
      <c r="S66" s="216">
        <v>2250</v>
      </c>
      <c r="T66" s="216">
        <v>2160</v>
      </c>
      <c r="U66" s="349">
        <v>1872</v>
      </c>
      <c r="V66" s="216">
        <v>0</v>
      </c>
      <c r="W66" s="216">
        <v>0</v>
      </c>
      <c r="X66" s="216">
        <v>0</v>
      </c>
      <c r="Y66" s="216">
        <v>0</v>
      </c>
      <c r="Z66" s="216">
        <v>0</v>
      </c>
      <c r="AA66" s="216">
        <v>0</v>
      </c>
      <c r="AB66" s="216">
        <v>0</v>
      </c>
      <c r="AC66" s="216">
        <v>0</v>
      </c>
      <c r="AD66" s="216"/>
      <c r="AE66" s="216"/>
      <c r="AF66" s="216">
        <v>0</v>
      </c>
      <c r="AG66" s="216">
        <v>0</v>
      </c>
      <c r="AH66" s="216"/>
      <c r="AI66" s="216"/>
      <c r="AJ66" s="216">
        <v>0</v>
      </c>
      <c r="AK66" s="10"/>
      <c r="AL66" s="79">
        <f>SUM(F66:AJ66)</f>
        <v>57914</v>
      </c>
      <c r="AM66" s="66"/>
      <c r="AN66" s="291"/>
      <c r="AP66" s="3">
        <f>AL66+AL68</f>
        <v>88315.200000000012</v>
      </c>
      <c r="BX66" s="5"/>
      <c r="BY66" s="5"/>
      <c r="DB66" s="5"/>
      <c r="EJ66" s="30"/>
      <c r="EK66" s="5"/>
      <c r="EL66" s="5"/>
      <c r="EM66" s="5"/>
      <c r="EN66" s="5"/>
      <c r="GQ66" s="5"/>
      <c r="GR66" s="27"/>
      <c r="KL66" s="5"/>
      <c r="KM66" s="5"/>
      <c r="KN66" s="5"/>
      <c r="KO66" s="5"/>
      <c r="PS66" s="5"/>
      <c r="PT66" s="5"/>
      <c r="PV66" s="5">
        <f>PV63+AL66</f>
        <v>79493.6178343949</v>
      </c>
      <c r="PW66" s="5" t="s">
        <v>69</v>
      </c>
      <c r="QJ66" s="27"/>
      <c r="QN66" s="5"/>
      <c r="SQ66" s="27"/>
      <c r="AHZ66" s="5"/>
      <c r="AJO66" s="5"/>
      <c r="AJP66" s="5"/>
      <c r="AJQ66" s="5"/>
    </row>
    <row r="67" spans="2:953" x14ac:dyDescent="0.25">
      <c r="B67" s="134"/>
      <c r="C67" s="217"/>
      <c r="D67" s="218"/>
      <c r="E67" s="219" t="s">
        <v>29</v>
      </c>
      <c r="F67" s="294" t="e">
        <f>F66/((F49)+F44)*100</f>
        <v>#DIV/0!</v>
      </c>
      <c r="G67" s="294" t="e">
        <f t="shared" ref="G67:S67" si="23">G66/((G49)+G44)*100</f>
        <v>#DIV/0!</v>
      </c>
      <c r="H67" s="294" t="e">
        <f t="shared" si="23"/>
        <v>#DIV/0!</v>
      </c>
      <c r="I67" s="294" t="e">
        <f t="shared" si="23"/>
        <v>#DIV/0!</v>
      </c>
      <c r="J67" s="294">
        <f t="shared" si="23"/>
        <v>1.6098663151948787</v>
      </c>
      <c r="K67" s="294">
        <f t="shared" si="23"/>
        <v>1.5344173435141246</v>
      </c>
      <c r="L67" s="294" t="e">
        <f t="shared" si="23"/>
        <v>#DIV/0!</v>
      </c>
      <c r="M67" s="294" t="e">
        <f t="shared" si="23"/>
        <v>#DIV/0!</v>
      </c>
      <c r="N67" s="294" t="e">
        <f t="shared" si="23"/>
        <v>#DIV/0!</v>
      </c>
      <c r="O67" s="294" t="e">
        <f t="shared" si="23"/>
        <v>#DIV/0!</v>
      </c>
      <c r="P67" s="294" t="e">
        <f t="shared" si="23"/>
        <v>#DIV/0!</v>
      </c>
      <c r="Q67" s="294" t="e">
        <f t="shared" si="23"/>
        <v>#DIV/0!</v>
      </c>
      <c r="R67" s="294">
        <f t="shared" si="23"/>
        <v>1.680608795815473</v>
      </c>
      <c r="S67" s="294">
        <f t="shared" si="23"/>
        <v>1.615485686796815</v>
      </c>
      <c r="T67" s="294">
        <f>T66/((T49)+T44)*100</f>
        <v>1.590152831355458</v>
      </c>
      <c r="U67" s="350">
        <f>U66/((U49)+U44)*100</f>
        <v>3.354838709677419</v>
      </c>
      <c r="V67" s="293" t="e">
        <f>V66/V49*100</f>
        <v>#DIV/0!</v>
      </c>
      <c r="W67" s="293" t="e">
        <f>W66/W49*100</f>
        <v>#DIV/0!</v>
      </c>
      <c r="X67" s="293" t="e">
        <f t="shared" ref="X67:AA67" si="24">X66/X49*100</f>
        <v>#DIV/0!</v>
      </c>
      <c r="Y67" s="293" t="e">
        <f t="shared" si="24"/>
        <v>#DIV/0!</v>
      </c>
      <c r="Z67" s="293" t="e">
        <f t="shared" si="24"/>
        <v>#DIV/0!</v>
      </c>
      <c r="AA67" s="293" t="e">
        <f t="shared" si="24"/>
        <v>#DIV/0!</v>
      </c>
      <c r="AB67" s="293" t="e">
        <f>AB66/(AB49+AB44)*100</f>
        <v>#DIV/0!</v>
      </c>
      <c r="AC67" s="293" t="e">
        <f>AC66/(AC49)*100</f>
        <v>#DIV/0!</v>
      </c>
      <c r="AD67" s="293" t="e">
        <f t="shared" ref="AD67" si="25">AD66/AD49*100</f>
        <v>#DIV/0!</v>
      </c>
      <c r="AE67" s="293" t="e">
        <f>AE66/AE49*100</f>
        <v>#DIV/0!</v>
      </c>
      <c r="AF67" s="293" t="e">
        <f t="shared" ref="AF67:AJ67" si="26">AF66/AF49*100</f>
        <v>#DIV/0!</v>
      </c>
      <c r="AG67" s="293" t="e">
        <f t="shared" si="26"/>
        <v>#DIV/0!</v>
      </c>
      <c r="AH67" s="293" t="e">
        <f t="shared" si="26"/>
        <v>#DIV/0!</v>
      </c>
      <c r="AI67" s="293" t="e">
        <f t="shared" si="26"/>
        <v>#DIV/0!</v>
      </c>
      <c r="AJ67" s="293" t="e">
        <f t="shared" si="26"/>
        <v>#DIV/0!</v>
      </c>
      <c r="AK67" s="10"/>
      <c r="AL67" s="294">
        <f>AL66/((AL49)+AL44)*100</f>
        <v>1.6040273233593785</v>
      </c>
      <c r="AM67" s="67"/>
      <c r="AN67" s="291">
        <f>AL67*10</f>
        <v>16.040273233593783</v>
      </c>
      <c r="BX67" s="5"/>
      <c r="BY67" s="5"/>
      <c r="CW67" s="4"/>
      <c r="DB67" s="5"/>
      <c r="EJ67" s="30"/>
      <c r="EK67" s="5"/>
      <c r="EL67" s="5"/>
      <c r="EM67" s="5"/>
      <c r="EN67" s="5"/>
      <c r="GQ67" s="5"/>
      <c r="GR67" s="27"/>
      <c r="KL67" s="5"/>
      <c r="KM67" s="5"/>
      <c r="KN67" s="5"/>
      <c r="KO67" s="5"/>
      <c r="PS67" s="27"/>
      <c r="PT67" s="5"/>
      <c r="PV67" s="81">
        <f>PV66/PV65</f>
        <v>17.73791225267561</v>
      </c>
      <c r="PW67" s="80" t="s">
        <v>68</v>
      </c>
      <c r="QJ67" s="27"/>
      <c r="QN67" s="5"/>
      <c r="SQ67" s="27"/>
      <c r="AHZ67" s="5"/>
      <c r="AJO67" s="5"/>
      <c r="AJP67" s="5"/>
      <c r="AJQ67" s="5"/>
    </row>
    <row r="68" spans="2:953" x14ac:dyDescent="0.25">
      <c r="B68" s="134"/>
      <c r="C68" s="135" t="s">
        <v>67</v>
      </c>
      <c r="D68" s="285">
        <v>0.55000000000000004</v>
      </c>
      <c r="E68" s="212" t="s">
        <v>16</v>
      </c>
      <c r="F68" s="11">
        <v>747</v>
      </c>
      <c r="G68" s="11">
        <v>965</v>
      </c>
      <c r="H68" s="11">
        <v>1146</v>
      </c>
      <c r="I68" s="11">
        <v>848</v>
      </c>
      <c r="J68" s="11">
        <f>602+200</f>
        <v>802</v>
      </c>
      <c r="K68" s="11">
        <f>997-200</f>
        <v>797</v>
      </c>
      <c r="L68" s="11">
        <v>984</v>
      </c>
      <c r="M68" s="11">
        <v>936</v>
      </c>
      <c r="N68" s="11">
        <v>955</v>
      </c>
      <c r="O68" s="11">
        <v>933</v>
      </c>
      <c r="P68" s="11">
        <v>935</v>
      </c>
      <c r="Q68" s="11">
        <v>855</v>
      </c>
      <c r="R68" s="11">
        <v>783.5</v>
      </c>
      <c r="S68" s="11">
        <v>787</v>
      </c>
      <c r="T68" s="11">
        <v>953.7</v>
      </c>
      <c r="U68" s="11">
        <v>822</v>
      </c>
      <c r="V68" s="11">
        <v>1098</v>
      </c>
      <c r="W68" s="11">
        <v>1124</v>
      </c>
      <c r="X68" s="11">
        <v>1069</v>
      </c>
      <c r="Y68" s="11">
        <v>1121.7</v>
      </c>
      <c r="Z68" s="11">
        <v>1297</v>
      </c>
      <c r="AA68" s="11">
        <v>1187</v>
      </c>
      <c r="AB68" s="11">
        <v>1211</v>
      </c>
      <c r="AC68" s="11">
        <v>1152</v>
      </c>
      <c r="AD68" s="11">
        <v>1141.5</v>
      </c>
      <c r="AE68" s="11">
        <v>906</v>
      </c>
      <c r="AF68" s="11">
        <v>908.8</v>
      </c>
      <c r="AG68" s="11">
        <f>1030-150</f>
        <v>880</v>
      </c>
      <c r="AH68" s="11">
        <v>1010.9</v>
      </c>
      <c r="AI68" s="11">
        <v>979.4</v>
      </c>
      <c r="AJ68" s="11">
        <v>1065.7</v>
      </c>
      <c r="AK68" s="10" t="s">
        <v>85</v>
      </c>
      <c r="AL68" s="79">
        <f>SUM(F68:AJ68)</f>
        <v>30401.200000000004</v>
      </c>
      <c r="GR68" s="27"/>
      <c r="PV68" s="27">
        <v>16</v>
      </c>
      <c r="PW68" s="1" t="s">
        <v>66</v>
      </c>
    </row>
    <row r="69" spans="2:953" x14ac:dyDescent="0.25">
      <c r="B69" s="220"/>
      <c r="C69" s="221"/>
      <c r="D69" s="191"/>
      <c r="E69" s="222" t="s">
        <v>29</v>
      </c>
      <c r="F69" s="78">
        <f t="shared" ref="F69:AJ69" si="27">F68/(F31+F32)*100</f>
        <v>5.6550680992839185E-2</v>
      </c>
      <c r="G69" s="78">
        <f t="shared" si="27"/>
        <v>5.7812229473213773E-2</v>
      </c>
      <c r="H69" s="78">
        <f t="shared" si="27"/>
        <v>5.7741025956253869E-2</v>
      </c>
      <c r="I69" s="78">
        <f t="shared" si="27"/>
        <v>5.5987788323905198E-2</v>
      </c>
      <c r="J69" s="78">
        <f t="shared" si="27"/>
        <v>5.2433105295089863E-2</v>
      </c>
      <c r="K69" s="78">
        <f>K68/(K31+K32)*100</f>
        <v>4.8475131710034779E-2</v>
      </c>
      <c r="L69" s="78">
        <f t="shared" si="27"/>
        <v>5.857407835116351E-2</v>
      </c>
      <c r="M69" s="78">
        <f t="shared" si="27"/>
        <v>5.4162341201917909E-2</v>
      </c>
      <c r="N69" s="78">
        <f t="shared" si="27"/>
        <v>5.6138890554440615E-2</v>
      </c>
      <c r="O69" s="78">
        <f t="shared" si="27"/>
        <v>5.334211505774155E-2</v>
      </c>
      <c r="P69" s="78">
        <f t="shared" si="27"/>
        <v>5.5950634186974449E-2</v>
      </c>
      <c r="Q69" s="78">
        <f t="shared" si="27"/>
        <v>5.58676739836984E-2</v>
      </c>
      <c r="R69" s="78">
        <f t="shared" si="27"/>
        <v>5.2518086397782111E-2</v>
      </c>
      <c r="S69" s="78">
        <f t="shared" si="27"/>
        <v>5.3041173295016078E-2</v>
      </c>
      <c r="T69" s="78">
        <f t="shared" si="27"/>
        <v>6.1322040698751058E-2</v>
      </c>
      <c r="U69" s="78">
        <f t="shared" si="27"/>
        <v>5.7824938165303347E-2</v>
      </c>
      <c r="V69" s="78">
        <f t="shared" si="27"/>
        <v>6.0597832385733352E-2</v>
      </c>
      <c r="W69" s="78">
        <f t="shared" si="27"/>
        <v>6.0643533640435641E-2</v>
      </c>
      <c r="X69" s="78">
        <f t="shared" si="27"/>
        <v>6.2120427625634057E-2</v>
      </c>
      <c r="Y69" s="78">
        <f t="shared" si="27"/>
        <v>5.8048910748441263E-2</v>
      </c>
      <c r="Z69" s="78">
        <f t="shared" si="27"/>
        <v>5.9332656291457384E-2</v>
      </c>
      <c r="AA69" s="78">
        <f t="shared" si="27"/>
        <v>5.3617389560373541E-2</v>
      </c>
      <c r="AB69" s="78">
        <f t="shared" si="27"/>
        <v>5.9287821566667225E-2</v>
      </c>
      <c r="AC69" s="78">
        <f t="shared" si="27"/>
        <v>5.2163872443030668E-2</v>
      </c>
      <c r="AD69" s="78">
        <f t="shared" si="27"/>
        <v>5.4620387113320915E-2</v>
      </c>
      <c r="AE69" s="78">
        <f t="shared" si="27"/>
        <v>4.9783803119894894E-2</v>
      </c>
      <c r="AF69" s="78">
        <f t="shared" si="27"/>
        <v>4.9675914943114297E-2</v>
      </c>
      <c r="AG69" s="78">
        <f t="shared" si="27"/>
        <v>4.7487454947626191E-2</v>
      </c>
      <c r="AH69" s="78">
        <f t="shared" si="27"/>
        <v>5.6192766369499256E-2</v>
      </c>
      <c r="AI69" s="78">
        <f t="shared" si="27"/>
        <v>5.4903873374648582E-2</v>
      </c>
      <c r="AJ69" s="78">
        <f t="shared" si="27"/>
        <v>5.8090064947276331E-2</v>
      </c>
      <c r="AK69" s="77"/>
      <c r="AL69" s="354">
        <f>AL68/(AL31+71450)*100</f>
        <v>5.555170607173724E-2</v>
      </c>
      <c r="AN69" s="291">
        <f>AL69*10</f>
        <v>0.55551706071737239</v>
      </c>
      <c r="AT69" s="2" t="s">
        <v>85</v>
      </c>
      <c r="GR69" s="27">
        <f>P69*10</f>
        <v>0.55950634186974446</v>
      </c>
      <c r="PS69" s="27"/>
      <c r="PV69" s="27">
        <f>PV67-PV68</f>
        <v>1.7379122526756099</v>
      </c>
      <c r="PW69" s="1" t="s">
        <v>65</v>
      </c>
    </row>
    <row r="70" spans="2:953" x14ac:dyDescent="0.25">
      <c r="B70" s="223">
        <v>4</v>
      </c>
      <c r="C70" s="224" t="s">
        <v>64</v>
      </c>
      <c r="D70" s="225">
        <v>0.8</v>
      </c>
      <c r="E70" s="226" t="s">
        <v>29</v>
      </c>
      <c r="F70" s="284">
        <f t="shared" ref="F70:AJ70" si="28">((SUM(F37:F38))-(SUM(F31:F32)))/(SUM(F31:F32))*100</f>
        <v>-0.75832419210879531</v>
      </c>
      <c r="G70" s="284">
        <f t="shared" si="28"/>
        <v>-0.6973412964437391</v>
      </c>
      <c r="H70" s="284">
        <f t="shared" si="28"/>
        <v>-0.70266697031929881</v>
      </c>
      <c r="I70" s="284">
        <f t="shared" si="28"/>
        <v>-0.70162998410158084</v>
      </c>
      <c r="J70" s="284">
        <f t="shared" si="28"/>
        <v>-0.80218728425280861</v>
      </c>
      <c r="K70" s="284">
        <f>((SUM(K37:K38))-(SUM(K31:K32)))/(SUM(K31:K32))*100</f>
        <v>-0.6521334531932157</v>
      </c>
      <c r="L70" s="284">
        <f t="shared" si="28"/>
        <v>-0.68449525097563935</v>
      </c>
      <c r="M70" s="284">
        <f t="shared" si="28"/>
        <v>-0.79357088380673302</v>
      </c>
      <c r="N70" s="284">
        <f t="shared" si="28"/>
        <v>-0.67266735561723978</v>
      </c>
      <c r="O70" s="284">
        <f t="shared" si="28"/>
        <v>-0.70156601701344756</v>
      </c>
      <c r="P70" s="284">
        <f t="shared" si="28"/>
        <v>-0.77666661081576627</v>
      </c>
      <c r="Q70" s="284">
        <f t="shared" si="28"/>
        <v>-0.69040683428275718</v>
      </c>
      <c r="R70" s="284">
        <f t="shared" si="28"/>
        <v>-0.70683244551960733</v>
      </c>
      <c r="S70" s="284">
        <f t="shared" si="28"/>
        <v>-0.70961945822518979</v>
      </c>
      <c r="T70" s="284">
        <f t="shared" si="28"/>
        <v>-0.71622754675829714</v>
      </c>
      <c r="U70" s="284">
        <f t="shared" si="28"/>
        <v>-0.78816375572269926</v>
      </c>
      <c r="V70" s="284">
        <f t="shared" si="28"/>
        <v>-0.69544015108618018</v>
      </c>
      <c r="W70" s="284">
        <f t="shared" si="28"/>
        <v>-0.78108223889020179</v>
      </c>
      <c r="X70" s="284">
        <f t="shared" si="28"/>
        <v>-0.65275843172941761</v>
      </c>
      <c r="Y70" s="284">
        <f t="shared" si="28"/>
        <v>-0.68311101174950939</v>
      </c>
      <c r="Z70" s="284">
        <f t="shared" si="28"/>
        <v>-0.68216543609731106</v>
      </c>
      <c r="AA70" s="284">
        <f t="shared" si="28"/>
        <v>-0.75014657828906772</v>
      </c>
      <c r="AB70" s="284">
        <f t="shared" si="28"/>
        <v>-0.77123125775368184</v>
      </c>
      <c r="AC70" s="284">
        <f t="shared" si="28"/>
        <v>-0.69275614974472755</v>
      </c>
      <c r="AD70" s="284">
        <f t="shared" ref="AD70" si="29">((SUM(AD37:AD38))-(SUM(AD31:AD32)))/(SUM(AD31:AD32))*100</f>
        <v>-0.67984797205962644</v>
      </c>
      <c r="AE70" s="284">
        <f t="shared" si="28"/>
        <v>-0.73994336955022588</v>
      </c>
      <c r="AF70" s="284">
        <f t="shared" si="28"/>
        <v>-0.70785992354019611</v>
      </c>
      <c r="AG70" s="284">
        <f t="shared" si="28"/>
        <v>-0.76578917404745839</v>
      </c>
      <c r="AH70" s="284">
        <f t="shared" si="28"/>
        <v>-0.76765466768501811</v>
      </c>
      <c r="AI70" s="284">
        <f t="shared" ref="AI70" si="30">((SUM(AI37:AI38))-(SUM(AI31:AI32)))/(SUM(AI31:AI32))*100</f>
        <v>-0.73610655634318001</v>
      </c>
      <c r="AJ70" s="284">
        <f t="shared" si="28"/>
        <v>-0.72976427654512099</v>
      </c>
      <c r="AK70" s="76"/>
      <c r="AL70" s="295">
        <f>((SUM(AL37:AL38))-(SUM(AL31:AL32)))/(SUM(AL31:AL32))*100</f>
        <v>-0.72150872402057564</v>
      </c>
      <c r="AM70" s="75"/>
      <c r="AN70" s="73"/>
      <c r="BX70" s="35"/>
      <c r="BY70" s="35"/>
      <c r="DB70" s="35"/>
      <c r="EJ70" s="36"/>
      <c r="EK70" s="35"/>
      <c r="EL70" s="35"/>
      <c r="EM70" s="35"/>
      <c r="EN70" s="35"/>
      <c r="GQ70" s="35"/>
      <c r="KL70" s="35"/>
      <c r="KM70" s="35"/>
      <c r="KN70" s="35"/>
      <c r="KO70" s="35"/>
      <c r="PS70" s="35"/>
      <c r="PT70" s="35"/>
      <c r="PV70" s="27"/>
      <c r="QJ70" s="3"/>
      <c r="QN70" s="35"/>
      <c r="SQ70" s="3"/>
      <c r="AHZ70" s="35"/>
      <c r="AJO70" s="35"/>
      <c r="AJP70" s="35"/>
      <c r="AJQ70" s="35"/>
    </row>
    <row r="71" spans="2:953" x14ac:dyDescent="0.25">
      <c r="B71" s="192"/>
      <c r="C71" s="209" t="s">
        <v>63</v>
      </c>
      <c r="D71" s="227">
        <v>22</v>
      </c>
      <c r="E71" s="210" t="s">
        <v>29</v>
      </c>
      <c r="F71" s="287">
        <v>21.7</v>
      </c>
      <c r="G71" s="287">
        <v>21.92</v>
      </c>
      <c r="H71" s="287">
        <v>21.98</v>
      </c>
      <c r="I71" s="287">
        <v>21.97</v>
      </c>
      <c r="J71" s="287">
        <v>22.09</v>
      </c>
      <c r="K71" s="287">
        <v>21.97</v>
      </c>
      <c r="L71" s="287">
        <v>22.19</v>
      </c>
      <c r="M71" s="287">
        <v>22.29</v>
      </c>
      <c r="N71" s="287">
        <v>22.25</v>
      </c>
      <c r="O71" s="287">
        <v>22.23</v>
      </c>
      <c r="P71" s="287">
        <v>22.29</v>
      </c>
      <c r="Q71" s="287">
        <v>22.02</v>
      </c>
      <c r="R71" s="287">
        <v>22.11</v>
      </c>
      <c r="S71" s="287">
        <v>22.11</v>
      </c>
      <c r="T71" s="287">
        <v>22.09</v>
      </c>
      <c r="U71" s="287">
        <v>22.1</v>
      </c>
      <c r="V71" s="287">
        <v>22.2</v>
      </c>
      <c r="W71" s="287">
        <v>22.2</v>
      </c>
      <c r="X71" s="287">
        <v>22.07</v>
      </c>
      <c r="Y71" s="287">
        <v>22.09</v>
      </c>
      <c r="Z71" s="287">
        <v>20.85</v>
      </c>
      <c r="AA71" s="287">
        <v>20.99</v>
      </c>
      <c r="AB71" s="287">
        <v>21.09</v>
      </c>
      <c r="AC71" s="287">
        <v>21.04</v>
      </c>
      <c r="AD71" s="287">
        <v>21.1</v>
      </c>
      <c r="AE71" s="287">
        <v>20.95</v>
      </c>
      <c r="AF71" s="287">
        <v>20.96</v>
      </c>
      <c r="AG71" s="287">
        <v>21.11</v>
      </c>
      <c r="AH71" s="287">
        <v>21.17</v>
      </c>
      <c r="AI71" s="287">
        <v>21.23</v>
      </c>
      <c r="AJ71" s="287">
        <v>21.26</v>
      </c>
      <c r="AK71" s="7"/>
      <c r="AL71" s="74">
        <f>AVERAGE(F71:AJ71)</f>
        <v>21.729677419354839</v>
      </c>
      <c r="AM71" s="35"/>
      <c r="AN71" s="73"/>
      <c r="BX71" s="35"/>
      <c r="BY71" s="35"/>
      <c r="DB71" s="35"/>
      <c r="EJ71" s="36"/>
      <c r="EK71" s="35"/>
      <c r="EL71" s="35"/>
      <c r="EM71" s="35"/>
      <c r="EN71" s="35"/>
      <c r="GQ71" s="35"/>
      <c r="KL71" s="35"/>
      <c r="KM71" s="35"/>
      <c r="KN71" s="35"/>
      <c r="KO71" s="35"/>
      <c r="PS71" s="35"/>
      <c r="PT71" s="35"/>
      <c r="PV71" s="35"/>
      <c r="QJ71" s="3"/>
      <c r="QN71" s="35"/>
      <c r="SQ71" s="3"/>
      <c r="AHZ71" s="35"/>
      <c r="AJO71" s="35"/>
      <c r="AJP71" s="35"/>
      <c r="AJQ71" s="35"/>
    </row>
    <row r="72" spans="2:953" x14ac:dyDescent="0.25">
      <c r="B72" s="228"/>
      <c r="C72" s="229" t="s">
        <v>62</v>
      </c>
      <c r="D72" s="191"/>
      <c r="E72" s="230" t="s">
        <v>16</v>
      </c>
      <c r="F72" s="287">
        <f t="shared" ref="F72:AJ72" si="31">SUM(F64,F66)+(F71%*SUM(F64,F66))</f>
        <v>11137.984</v>
      </c>
      <c r="G72" s="287">
        <f t="shared" si="31"/>
        <v>17049.292799999999</v>
      </c>
      <c r="H72" s="287">
        <f t="shared" si="31"/>
        <v>19253.323199999999</v>
      </c>
      <c r="I72" s="287">
        <f t="shared" si="31"/>
        <v>19642.0488</v>
      </c>
      <c r="J72" s="287">
        <f t="shared" si="31"/>
        <v>30063.441599999998</v>
      </c>
      <c r="K72" s="287">
        <f t="shared" si="31"/>
        <v>30770.5916</v>
      </c>
      <c r="L72" s="287">
        <f t="shared" si="31"/>
        <v>15562.118399999999</v>
      </c>
      <c r="M72" s="287">
        <f t="shared" si="31"/>
        <v>17159.732799999998</v>
      </c>
      <c r="N72" s="287">
        <f t="shared" si="31"/>
        <v>17525.760000000002</v>
      </c>
      <c r="O72" s="287">
        <f t="shared" si="31"/>
        <v>16828.626400000001</v>
      </c>
      <c r="P72" s="287">
        <f t="shared" si="31"/>
        <v>16597.198799999998</v>
      </c>
      <c r="Q72" s="287">
        <f t="shared" si="31"/>
        <v>15882.1232</v>
      </c>
      <c r="R72" s="287">
        <f t="shared" si="31"/>
        <v>16426.2372</v>
      </c>
      <c r="S72" s="287">
        <f t="shared" si="31"/>
        <v>15888.9532</v>
      </c>
      <c r="T72" s="287">
        <f t="shared" si="31"/>
        <v>16677.493999999999</v>
      </c>
      <c r="U72" s="287">
        <f t="shared" si="31"/>
        <v>15594.612000000001</v>
      </c>
      <c r="V72" s="287">
        <f>SUM(V64,V66)+(V71%*SUM(V64,V66))</f>
        <v>18369.103999999999</v>
      </c>
      <c r="W72" s="287">
        <f>SUM(W64,W66)+(W71%*SUM(W64,W66))</f>
        <v>18779.696</v>
      </c>
      <c r="X72" s="287">
        <f t="shared" si="31"/>
        <v>15996.052799999999</v>
      </c>
      <c r="Y72" s="287">
        <f t="shared" si="31"/>
        <v>17590.727200000001</v>
      </c>
      <c r="Z72" s="287">
        <f t="shared" si="31"/>
        <v>19626.04</v>
      </c>
      <c r="AA72" s="287">
        <f t="shared" si="31"/>
        <v>21983.882999999998</v>
      </c>
      <c r="AB72" s="287">
        <f t="shared" si="31"/>
        <v>19776.418799999999</v>
      </c>
      <c r="AC72" s="287">
        <f t="shared" si="31"/>
        <v>20354.0864</v>
      </c>
      <c r="AD72" s="287">
        <f t="shared" si="31"/>
        <v>20330.268</v>
      </c>
      <c r="AE72" s="287">
        <f t="shared" si="31"/>
        <v>18481.16</v>
      </c>
      <c r="AF72" s="287">
        <f t="shared" si="31"/>
        <v>16856.9856</v>
      </c>
      <c r="AG72" s="287">
        <f t="shared" si="31"/>
        <v>17938.813200000001</v>
      </c>
      <c r="AH72" s="287">
        <f t="shared" si="31"/>
        <v>17855.611199999999</v>
      </c>
      <c r="AI72" s="287">
        <f t="shared" si="31"/>
        <v>16012.0584</v>
      </c>
      <c r="AJ72" s="287">
        <f t="shared" si="31"/>
        <v>17509.944</v>
      </c>
      <c r="AK72" s="7"/>
      <c r="AL72" s="74">
        <f>SUM(AL64,AL66)+(AL71%*SUM(AL64,AL66))</f>
        <v>569575.59523870971</v>
      </c>
      <c r="AM72" s="54"/>
      <c r="AN72" s="73"/>
      <c r="BX72" s="35"/>
      <c r="BY72" s="35"/>
      <c r="DB72" s="35"/>
      <c r="EJ72" s="36"/>
      <c r="EK72" s="35"/>
      <c r="EL72" s="35"/>
      <c r="EM72" s="35"/>
      <c r="EN72" s="35"/>
      <c r="GQ72" s="35"/>
      <c r="GR72" s="72">
        <f>AN72+400</f>
        <v>400</v>
      </c>
      <c r="KL72" s="35"/>
      <c r="KM72" s="35"/>
      <c r="KN72" s="35"/>
      <c r="KO72" s="35"/>
      <c r="PS72" s="35"/>
      <c r="PT72" s="35"/>
      <c r="PV72" s="35"/>
      <c r="QJ72" s="3"/>
      <c r="QN72" s="35"/>
      <c r="SQ72" s="3"/>
      <c r="AHZ72" s="35"/>
      <c r="AJO72" s="35"/>
      <c r="AJP72" s="35"/>
      <c r="AJQ72" s="35"/>
    </row>
    <row r="73" spans="2:953" x14ac:dyDescent="0.25">
      <c r="B73" s="178">
        <v>5</v>
      </c>
      <c r="C73" s="160" t="s">
        <v>61</v>
      </c>
      <c r="D73" s="179"/>
      <c r="E73" s="179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1"/>
      <c r="AD73" s="180"/>
      <c r="AE73" s="180"/>
      <c r="AF73" s="180"/>
      <c r="AG73" s="180"/>
      <c r="AH73" s="180"/>
      <c r="AI73" s="180"/>
      <c r="AJ73" s="180"/>
      <c r="AK73" s="31"/>
      <c r="AL73" s="46" t="s">
        <v>47</v>
      </c>
      <c r="GR73" s="31">
        <v>17292</v>
      </c>
      <c r="PS73" s="5">
        <f>AN73-GR73</f>
        <v>-17292</v>
      </c>
    </row>
    <row r="74" spans="2:953" x14ac:dyDescent="0.25">
      <c r="B74" s="136"/>
      <c r="C74" s="231" t="s">
        <v>60</v>
      </c>
      <c r="D74" s="232"/>
      <c r="E74" s="233" t="s">
        <v>16</v>
      </c>
      <c r="F74" s="234">
        <v>3405</v>
      </c>
      <c r="G74" s="234">
        <v>2208</v>
      </c>
      <c r="H74" s="234">
        <v>0</v>
      </c>
      <c r="I74" s="234">
        <v>0</v>
      </c>
      <c r="J74" s="234">
        <f>94900+5102</f>
        <v>100002</v>
      </c>
      <c r="K74" s="234">
        <v>3508</v>
      </c>
      <c r="L74" s="234">
        <v>75258</v>
      </c>
      <c r="M74" s="234">
        <v>63168</v>
      </c>
      <c r="N74" s="234">
        <v>0</v>
      </c>
      <c r="O74" s="234">
        <v>0</v>
      </c>
      <c r="P74" s="234">
        <v>0</v>
      </c>
      <c r="Q74" s="234">
        <v>0</v>
      </c>
      <c r="R74" s="234">
        <v>105227</v>
      </c>
      <c r="S74" s="234">
        <v>0</v>
      </c>
      <c r="T74" s="234">
        <v>0</v>
      </c>
      <c r="U74" s="234">
        <v>0</v>
      </c>
      <c r="V74" s="234">
        <v>0</v>
      </c>
      <c r="W74" s="234">
        <v>0</v>
      </c>
      <c r="X74" s="234">
        <v>94241</v>
      </c>
      <c r="Y74" s="234">
        <v>73837</v>
      </c>
      <c r="Z74" s="234">
        <v>63227</v>
      </c>
      <c r="AA74" s="234">
        <v>0</v>
      </c>
      <c r="AB74" s="234">
        <v>0</v>
      </c>
      <c r="AC74" s="234">
        <v>36676</v>
      </c>
      <c r="AD74" s="234">
        <v>0</v>
      </c>
      <c r="AE74" s="234">
        <v>41093</v>
      </c>
      <c r="AF74" s="234">
        <v>45346</v>
      </c>
      <c r="AG74" s="234">
        <v>0</v>
      </c>
      <c r="AH74" s="234">
        <v>0</v>
      </c>
      <c r="AI74" s="234">
        <v>0</v>
      </c>
      <c r="AJ74" s="234">
        <v>0</v>
      </c>
      <c r="AK74" s="28"/>
      <c r="AL74" s="52">
        <f>SUM(F74:AJ74)</f>
        <v>707196</v>
      </c>
      <c r="AN74" s="61"/>
      <c r="AP74" s="2"/>
      <c r="BX74" s="60"/>
      <c r="BY74" s="60"/>
      <c r="DB74" s="60"/>
      <c r="EJ74" s="22"/>
      <c r="EK74" s="60"/>
      <c r="EL74" s="60"/>
      <c r="EM74" s="60"/>
      <c r="EN74" s="60"/>
      <c r="GQ74" s="60"/>
      <c r="KL74" s="60"/>
      <c r="KM74" s="60"/>
      <c r="KN74" s="60"/>
      <c r="KO74" s="60"/>
      <c r="PS74" s="60"/>
      <c r="PT74" s="60"/>
      <c r="PV74" s="60"/>
      <c r="QJ74" s="59"/>
      <c r="QN74" s="60"/>
      <c r="SQ74" s="59"/>
      <c r="AHZ74" s="20"/>
      <c r="AJO74" s="20"/>
      <c r="AJP74" s="20"/>
      <c r="AJQ74" s="20"/>
    </row>
    <row r="75" spans="2:953" s="3" customFormat="1" x14ac:dyDescent="0.25">
      <c r="B75" s="235"/>
      <c r="C75" s="236" t="s">
        <v>54</v>
      </c>
      <c r="D75" s="237"/>
      <c r="E75" s="238" t="s">
        <v>16</v>
      </c>
      <c r="F75" s="239">
        <v>25527.34</v>
      </c>
      <c r="G75" s="239">
        <v>0</v>
      </c>
      <c r="H75" s="239">
        <v>0</v>
      </c>
      <c r="I75" s="239">
        <v>0</v>
      </c>
      <c r="J75" s="239">
        <f>13350.56+51047.43</f>
        <v>64397.99</v>
      </c>
      <c r="K75" s="239">
        <v>48247.360000000001</v>
      </c>
      <c r="L75" s="239">
        <v>90245.7</v>
      </c>
      <c r="M75" s="239">
        <v>43307.87</v>
      </c>
      <c r="N75" s="239">
        <v>0</v>
      </c>
      <c r="O75" s="239">
        <v>0</v>
      </c>
      <c r="P75" s="239">
        <v>0</v>
      </c>
      <c r="Q75" s="239">
        <v>0</v>
      </c>
      <c r="R75" s="239">
        <v>51052.86</v>
      </c>
      <c r="S75" s="239">
        <v>42247.21</v>
      </c>
      <c r="T75" s="239">
        <v>0</v>
      </c>
      <c r="U75" s="239">
        <v>0</v>
      </c>
      <c r="V75" s="239">
        <v>0</v>
      </c>
      <c r="W75" s="239">
        <v>0</v>
      </c>
      <c r="X75" s="239">
        <f>20097.34+35333.01</f>
        <v>55430.350000000006</v>
      </c>
      <c r="Y75" s="239">
        <v>0</v>
      </c>
      <c r="Z75" s="239">
        <v>0</v>
      </c>
      <c r="AA75" s="239">
        <v>0</v>
      </c>
      <c r="AB75" s="239">
        <v>0</v>
      </c>
      <c r="AC75" s="239">
        <v>0</v>
      </c>
      <c r="AD75" s="239">
        <v>0</v>
      </c>
      <c r="AE75" s="239">
        <v>0</v>
      </c>
      <c r="AF75" s="239">
        <v>0</v>
      </c>
      <c r="AG75" s="239">
        <v>0</v>
      </c>
      <c r="AH75" s="239">
        <v>0</v>
      </c>
      <c r="AI75" s="239">
        <v>0</v>
      </c>
      <c r="AJ75" s="239">
        <v>0</v>
      </c>
      <c r="AK75" s="71"/>
      <c r="AL75" s="70">
        <f>SUM(F75:AJ75)</f>
        <v>420456.68000000005</v>
      </c>
      <c r="AN75" s="68">
        <f>SUM(AL75+AL102+AL130+AL186)</f>
        <v>2908938.85</v>
      </c>
      <c r="AO75" s="68"/>
      <c r="AP75" s="2"/>
      <c r="AQ75" s="2" t="s">
        <v>157</v>
      </c>
      <c r="AR75" s="2"/>
      <c r="AS75" s="2" t="s">
        <v>158</v>
      </c>
      <c r="AT75" s="2"/>
      <c r="AU75" s="2"/>
      <c r="AV75" s="2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9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68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68"/>
      <c r="HD75" s="68"/>
      <c r="HE75" s="68"/>
      <c r="HF75" s="68"/>
      <c r="HG75" s="68"/>
      <c r="HH75" s="68"/>
      <c r="HI75" s="68"/>
      <c r="HJ75" s="68"/>
      <c r="HK75" s="68"/>
      <c r="HL75" s="68"/>
      <c r="HM75" s="68"/>
      <c r="HN75" s="68"/>
      <c r="HO75" s="68"/>
      <c r="HP75" s="68"/>
      <c r="HQ75" s="68"/>
      <c r="HR75" s="68"/>
      <c r="HS75" s="68"/>
      <c r="HT75" s="68"/>
      <c r="HU75" s="68"/>
      <c r="HV75" s="68"/>
      <c r="HW75" s="68"/>
      <c r="HX75" s="68"/>
      <c r="HY75" s="68"/>
      <c r="HZ75" s="68"/>
      <c r="IA75" s="68"/>
      <c r="IB75" s="68"/>
      <c r="IC75" s="68"/>
      <c r="ID75" s="68"/>
      <c r="IE75" s="68"/>
      <c r="IF75" s="68"/>
      <c r="IG75" s="68"/>
      <c r="IH75" s="68"/>
      <c r="II75" s="68"/>
      <c r="IJ75" s="68"/>
      <c r="IK75" s="68"/>
      <c r="IL75" s="68"/>
      <c r="IM75" s="68"/>
      <c r="IN75" s="68"/>
      <c r="IO75" s="68"/>
      <c r="IP75" s="68"/>
      <c r="IQ75" s="68"/>
      <c r="IR75" s="68"/>
      <c r="IS75" s="68"/>
      <c r="IT75" s="68"/>
      <c r="IU75" s="68"/>
      <c r="IV75" s="68"/>
      <c r="IW75" s="68"/>
      <c r="IX75" s="68"/>
      <c r="IY75" s="68"/>
      <c r="IZ75" s="68"/>
      <c r="JA75" s="68"/>
      <c r="JB75" s="68"/>
      <c r="JC75" s="68"/>
      <c r="JD75" s="68"/>
      <c r="JE75" s="68"/>
      <c r="JF75" s="68"/>
      <c r="JG75" s="68"/>
      <c r="JH75" s="68"/>
      <c r="JI75" s="68"/>
      <c r="JJ75" s="68"/>
      <c r="JK75" s="68"/>
      <c r="JL75" s="68"/>
      <c r="JM75" s="68"/>
      <c r="JN75" s="68"/>
      <c r="JO75" s="68"/>
      <c r="JP75" s="68"/>
      <c r="JQ75" s="68"/>
      <c r="JR75" s="68"/>
      <c r="JS75" s="68"/>
      <c r="JT75" s="68"/>
      <c r="JU75" s="68"/>
      <c r="JV75" s="68"/>
      <c r="JW75" s="68"/>
      <c r="JX75" s="68"/>
      <c r="JY75" s="68"/>
      <c r="JZ75" s="68"/>
      <c r="KA75" s="68"/>
      <c r="KB75" s="68"/>
      <c r="KC75" s="68"/>
      <c r="KD75" s="68"/>
      <c r="KE75" s="68"/>
      <c r="KF75" s="68"/>
      <c r="KG75" s="68"/>
      <c r="KH75" s="68"/>
      <c r="KI75" s="68"/>
      <c r="KJ75" s="68"/>
      <c r="KK75" s="68"/>
      <c r="KL75" s="68"/>
      <c r="KM75" s="68"/>
      <c r="KN75" s="68"/>
      <c r="KO75" s="68"/>
      <c r="KP75" s="68"/>
      <c r="KQ75" s="68"/>
      <c r="KR75" s="68"/>
      <c r="KS75" s="68"/>
      <c r="KT75" s="68"/>
      <c r="KU75" s="68"/>
      <c r="KV75" s="68"/>
      <c r="KW75" s="68"/>
      <c r="KX75" s="68"/>
      <c r="KY75" s="68"/>
      <c r="KZ75" s="68"/>
      <c r="LA75" s="68"/>
      <c r="LB75" s="68"/>
      <c r="LC75" s="68"/>
      <c r="LD75" s="68"/>
      <c r="LE75" s="68"/>
      <c r="LF75" s="68"/>
      <c r="LG75" s="68"/>
      <c r="LH75" s="68"/>
      <c r="LI75" s="68"/>
      <c r="LJ75" s="68"/>
      <c r="LK75" s="68"/>
      <c r="LL75" s="68"/>
      <c r="LM75" s="68"/>
      <c r="LN75" s="68"/>
      <c r="LO75" s="68"/>
      <c r="LP75" s="68"/>
      <c r="LQ75" s="68"/>
      <c r="LR75" s="68"/>
      <c r="LS75" s="68"/>
      <c r="LT75" s="68"/>
      <c r="LU75" s="68"/>
      <c r="LV75" s="68"/>
      <c r="LW75" s="68"/>
      <c r="LX75" s="68"/>
      <c r="LY75" s="68"/>
      <c r="LZ75" s="68"/>
      <c r="MA75" s="68"/>
      <c r="MB75" s="68"/>
      <c r="MC75" s="68"/>
      <c r="MD75" s="68"/>
      <c r="ME75" s="68"/>
      <c r="MF75" s="68"/>
      <c r="MG75" s="68"/>
      <c r="MH75" s="68"/>
      <c r="MI75" s="68"/>
      <c r="MJ75" s="68"/>
      <c r="MK75" s="68"/>
      <c r="ML75" s="68"/>
      <c r="MM75" s="68"/>
      <c r="MN75" s="68"/>
      <c r="MO75" s="68"/>
      <c r="MP75" s="68"/>
      <c r="MQ75" s="68"/>
      <c r="MR75" s="68"/>
      <c r="MS75" s="68"/>
      <c r="MT75" s="68"/>
      <c r="MU75" s="68"/>
      <c r="MV75" s="68"/>
      <c r="MW75" s="68"/>
      <c r="MX75" s="68"/>
      <c r="MY75" s="68"/>
      <c r="MZ75" s="68"/>
      <c r="NA75" s="68"/>
      <c r="NB75" s="68"/>
      <c r="NC75" s="68"/>
      <c r="ND75" s="68"/>
      <c r="NE75" s="68"/>
      <c r="NF75" s="68"/>
      <c r="NG75" s="68"/>
      <c r="NH75" s="68"/>
      <c r="NI75" s="68"/>
      <c r="NJ75" s="68"/>
      <c r="NK75" s="68"/>
      <c r="NL75" s="68"/>
      <c r="NM75" s="68"/>
      <c r="NN75" s="68"/>
      <c r="NO75" s="68"/>
      <c r="NP75" s="68"/>
      <c r="NQ75" s="68"/>
      <c r="NR75" s="68"/>
      <c r="NS75" s="68"/>
      <c r="NT75" s="68"/>
      <c r="NU75" s="68"/>
      <c r="NV75" s="68"/>
      <c r="NW75" s="68"/>
      <c r="NX75" s="68"/>
      <c r="NY75" s="68"/>
      <c r="NZ75" s="68"/>
      <c r="OA75" s="68"/>
      <c r="OB75" s="68"/>
      <c r="OC75" s="68"/>
      <c r="OD75" s="68"/>
      <c r="OE75" s="68"/>
      <c r="OF75" s="68"/>
      <c r="OG75" s="68"/>
      <c r="OH75" s="68"/>
      <c r="OI75" s="68"/>
      <c r="OJ75" s="68"/>
      <c r="OK75" s="68"/>
      <c r="OL75" s="68"/>
      <c r="OM75" s="68"/>
      <c r="ON75" s="68"/>
      <c r="OO75" s="68"/>
      <c r="OP75" s="68"/>
      <c r="OQ75" s="68"/>
      <c r="OR75" s="68"/>
      <c r="OS75" s="68"/>
      <c r="OT75" s="68"/>
      <c r="OU75" s="68"/>
      <c r="OV75" s="68"/>
      <c r="OW75" s="68"/>
      <c r="OX75" s="68"/>
      <c r="OY75" s="68"/>
      <c r="OZ75" s="68"/>
      <c r="PA75" s="68"/>
      <c r="PB75" s="68"/>
      <c r="PC75" s="68"/>
      <c r="PD75" s="68"/>
      <c r="PE75" s="68"/>
      <c r="PF75" s="68"/>
      <c r="PG75" s="68"/>
      <c r="PH75" s="68"/>
      <c r="PI75" s="68"/>
      <c r="PJ75" s="68"/>
      <c r="PK75" s="68"/>
      <c r="PL75" s="68"/>
      <c r="PM75" s="68"/>
      <c r="PN75" s="68"/>
      <c r="PO75" s="68"/>
      <c r="PP75" s="68"/>
      <c r="PQ75" s="68"/>
      <c r="PR75" s="68"/>
      <c r="PS75" s="68"/>
      <c r="PT75" s="68"/>
      <c r="PU75" s="68"/>
      <c r="PV75" s="68"/>
      <c r="PW75" s="68"/>
      <c r="PX75" s="68"/>
      <c r="PY75" s="68"/>
      <c r="PZ75" s="68"/>
      <c r="QA75" s="68"/>
      <c r="QB75" s="68"/>
      <c r="QC75" s="68"/>
      <c r="QD75" s="68"/>
      <c r="QE75" s="68"/>
      <c r="QF75" s="68"/>
      <c r="QG75" s="68"/>
      <c r="QH75" s="68"/>
      <c r="QI75" s="68"/>
      <c r="QJ75" s="68"/>
      <c r="QK75" s="68"/>
      <c r="QL75" s="68"/>
      <c r="QM75" s="68"/>
      <c r="QN75" s="68"/>
      <c r="QO75" s="68"/>
      <c r="QP75" s="68"/>
      <c r="QQ75" s="68"/>
      <c r="QR75" s="68"/>
      <c r="QS75" s="68"/>
      <c r="QT75" s="68"/>
      <c r="QU75" s="68"/>
      <c r="QV75" s="68"/>
      <c r="QW75" s="68"/>
      <c r="QX75" s="68"/>
      <c r="QY75" s="68"/>
      <c r="QZ75" s="68"/>
      <c r="RA75" s="68"/>
      <c r="RB75" s="68"/>
      <c r="RC75" s="68"/>
      <c r="RD75" s="68"/>
      <c r="RE75" s="68"/>
      <c r="RF75" s="68"/>
      <c r="RG75" s="68"/>
      <c r="RH75" s="68"/>
      <c r="RI75" s="68"/>
      <c r="RJ75" s="68"/>
      <c r="RK75" s="68"/>
      <c r="RL75" s="68"/>
      <c r="RM75" s="68"/>
      <c r="RN75" s="68"/>
      <c r="RO75" s="68"/>
      <c r="RP75" s="68"/>
      <c r="RQ75" s="68"/>
      <c r="RR75" s="68"/>
      <c r="RS75" s="68"/>
      <c r="RT75" s="68"/>
      <c r="RU75" s="68"/>
      <c r="RV75" s="68"/>
      <c r="RW75" s="68"/>
      <c r="RX75" s="68"/>
      <c r="RY75" s="68"/>
      <c r="RZ75" s="68"/>
      <c r="SA75" s="68"/>
      <c r="SB75" s="68"/>
      <c r="SC75" s="68"/>
      <c r="SD75" s="68"/>
      <c r="SE75" s="68"/>
      <c r="SF75" s="68"/>
      <c r="SG75" s="68"/>
      <c r="SH75" s="68"/>
      <c r="SI75" s="68"/>
      <c r="SJ75" s="68"/>
      <c r="SK75" s="68"/>
      <c r="SL75" s="68"/>
      <c r="SM75" s="68"/>
      <c r="SN75" s="68"/>
      <c r="SO75" s="68"/>
      <c r="SP75" s="68"/>
      <c r="SQ75" s="68"/>
      <c r="SR75" s="68"/>
      <c r="SS75" s="68"/>
      <c r="ST75" s="68"/>
      <c r="SU75" s="68"/>
      <c r="SV75" s="68"/>
      <c r="SW75" s="68"/>
      <c r="SX75" s="68"/>
      <c r="SY75" s="68"/>
      <c r="SZ75" s="68"/>
      <c r="TA75" s="68"/>
      <c r="TB75" s="68"/>
      <c r="TC75" s="68"/>
      <c r="TD75" s="68"/>
      <c r="TE75" s="68"/>
      <c r="TF75" s="68"/>
      <c r="TG75" s="68"/>
      <c r="TH75" s="68"/>
      <c r="TI75" s="68"/>
      <c r="TJ75" s="68"/>
      <c r="TK75" s="68"/>
      <c r="TL75" s="68"/>
      <c r="TM75" s="68"/>
      <c r="TN75" s="68"/>
      <c r="TO75" s="68"/>
      <c r="TP75" s="68"/>
      <c r="TQ75" s="68"/>
      <c r="TR75" s="68"/>
      <c r="TS75" s="68"/>
      <c r="TT75" s="68"/>
      <c r="TU75" s="68"/>
      <c r="TV75" s="68"/>
      <c r="TW75" s="68"/>
      <c r="TX75" s="68"/>
      <c r="TY75" s="68"/>
      <c r="TZ75" s="68"/>
      <c r="UA75" s="68"/>
      <c r="UB75" s="68"/>
      <c r="UC75" s="68"/>
      <c r="UD75" s="68"/>
      <c r="UE75" s="68"/>
      <c r="UF75" s="68"/>
      <c r="UG75" s="68"/>
      <c r="UH75" s="68"/>
      <c r="UI75" s="68"/>
      <c r="UJ75" s="68"/>
      <c r="UK75" s="68"/>
      <c r="UL75" s="68"/>
      <c r="UM75" s="68"/>
      <c r="UN75" s="68"/>
      <c r="UO75" s="68"/>
      <c r="UP75" s="68"/>
      <c r="UQ75" s="68"/>
      <c r="UR75" s="68"/>
      <c r="US75" s="68"/>
      <c r="UT75" s="68"/>
      <c r="UU75" s="68"/>
      <c r="UV75" s="68"/>
      <c r="UW75" s="68"/>
      <c r="UX75" s="68"/>
      <c r="UY75" s="68"/>
      <c r="UZ75" s="68"/>
      <c r="VA75" s="68"/>
      <c r="VB75" s="68"/>
      <c r="VC75" s="68"/>
      <c r="VD75" s="68"/>
      <c r="VE75" s="68"/>
      <c r="VF75" s="68"/>
      <c r="VG75" s="68"/>
      <c r="VH75" s="68"/>
      <c r="VI75" s="68"/>
      <c r="VJ75" s="68"/>
      <c r="VK75" s="68"/>
      <c r="VL75" s="68"/>
      <c r="VM75" s="68"/>
      <c r="VN75" s="68"/>
      <c r="VO75" s="68"/>
      <c r="VP75" s="68"/>
      <c r="VQ75" s="68"/>
      <c r="VR75" s="68"/>
      <c r="VS75" s="68"/>
      <c r="VT75" s="68"/>
      <c r="VU75" s="68"/>
      <c r="VV75" s="68"/>
      <c r="VW75" s="68"/>
      <c r="VX75" s="68"/>
      <c r="VY75" s="68"/>
      <c r="VZ75" s="68"/>
      <c r="WA75" s="68"/>
      <c r="WB75" s="68"/>
      <c r="WC75" s="68"/>
      <c r="WD75" s="68"/>
      <c r="WE75" s="68"/>
      <c r="WF75" s="68"/>
      <c r="WG75" s="68"/>
      <c r="WH75" s="68"/>
      <c r="WI75" s="68"/>
      <c r="WJ75" s="68"/>
      <c r="WK75" s="68"/>
      <c r="WL75" s="68"/>
      <c r="WM75" s="68"/>
      <c r="WN75" s="68"/>
      <c r="WO75" s="68"/>
      <c r="WP75" s="68"/>
      <c r="WQ75" s="68"/>
      <c r="WR75" s="68"/>
      <c r="WS75" s="68"/>
      <c r="WT75" s="68"/>
      <c r="WU75" s="68"/>
      <c r="WV75" s="68"/>
      <c r="WW75" s="68"/>
      <c r="WX75" s="68"/>
      <c r="WY75" s="68"/>
      <c r="WZ75" s="68"/>
      <c r="XA75" s="68"/>
      <c r="XB75" s="68"/>
      <c r="XC75" s="68"/>
      <c r="XD75" s="68"/>
      <c r="XE75" s="68"/>
      <c r="XF75" s="68"/>
      <c r="XG75" s="68"/>
      <c r="XH75" s="68"/>
      <c r="XI75" s="68"/>
      <c r="XJ75" s="68"/>
      <c r="XK75" s="68"/>
      <c r="XL75" s="68"/>
      <c r="XM75" s="68"/>
      <c r="XN75" s="68"/>
      <c r="XO75" s="68"/>
      <c r="XP75" s="68"/>
      <c r="XQ75" s="68"/>
      <c r="XR75" s="68"/>
      <c r="XS75" s="68"/>
      <c r="XT75" s="68"/>
      <c r="XU75" s="68"/>
      <c r="XV75" s="68"/>
      <c r="XW75" s="68"/>
      <c r="XX75" s="68"/>
      <c r="XY75" s="68"/>
      <c r="XZ75" s="68"/>
      <c r="YA75" s="68"/>
      <c r="YB75" s="68"/>
      <c r="YC75" s="68"/>
      <c r="YD75" s="68"/>
      <c r="YE75" s="68"/>
      <c r="YF75" s="68"/>
      <c r="YG75" s="68"/>
      <c r="YH75" s="68"/>
      <c r="YI75" s="68"/>
      <c r="YJ75" s="68"/>
      <c r="YK75" s="68"/>
      <c r="YL75" s="68"/>
      <c r="YM75" s="68"/>
      <c r="YN75" s="68"/>
      <c r="YO75" s="68"/>
      <c r="YP75" s="68"/>
      <c r="YQ75" s="68"/>
      <c r="YR75" s="68"/>
      <c r="YS75" s="68"/>
      <c r="YT75" s="68"/>
      <c r="YU75" s="68"/>
      <c r="YV75" s="68"/>
      <c r="YW75" s="68"/>
      <c r="YX75" s="68"/>
      <c r="YY75" s="68"/>
      <c r="YZ75" s="68"/>
      <c r="ZA75" s="68"/>
      <c r="ZB75" s="68"/>
      <c r="ZC75" s="68"/>
      <c r="ZD75" s="68"/>
      <c r="ZE75" s="68"/>
      <c r="ZF75" s="68"/>
      <c r="ZG75" s="68"/>
      <c r="ZH75" s="68"/>
      <c r="ZI75" s="68"/>
      <c r="ZJ75" s="68"/>
      <c r="ZK75" s="68"/>
      <c r="ZL75" s="68"/>
      <c r="ZM75" s="68"/>
      <c r="ZN75" s="68"/>
      <c r="ZO75" s="68"/>
      <c r="ZP75" s="68"/>
      <c r="ZQ75" s="68"/>
      <c r="ZR75" s="68"/>
      <c r="ZS75" s="68"/>
      <c r="ZT75" s="68"/>
      <c r="ZU75" s="68"/>
      <c r="ZV75" s="68"/>
      <c r="ZW75" s="68"/>
      <c r="ZX75" s="68"/>
      <c r="ZY75" s="68"/>
      <c r="ZZ75" s="68"/>
      <c r="AAA75" s="68"/>
      <c r="AAB75" s="68"/>
      <c r="AAC75" s="68"/>
      <c r="AAD75" s="68"/>
      <c r="AAE75" s="68"/>
      <c r="AAF75" s="68"/>
      <c r="AAG75" s="68"/>
      <c r="AAH75" s="68"/>
      <c r="AAI75" s="68"/>
      <c r="AAJ75" s="68"/>
      <c r="AAK75" s="68"/>
      <c r="AAL75" s="68"/>
      <c r="AAM75" s="68"/>
      <c r="AAN75" s="68"/>
      <c r="AAO75" s="68"/>
      <c r="AAP75" s="68"/>
      <c r="AAQ75" s="68"/>
      <c r="AAR75" s="68"/>
      <c r="AAS75" s="68"/>
      <c r="AAT75" s="68"/>
      <c r="AAU75" s="68"/>
      <c r="AAV75" s="68"/>
      <c r="AAW75" s="68"/>
      <c r="AAX75" s="68"/>
      <c r="AAY75" s="68"/>
      <c r="AAZ75" s="68"/>
      <c r="ABA75" s="68"/>
      <c r="ABB75" s="68"/>
      <c r="ABC75" s="68"/>
      <c r="ABD75" s="68"/>
      <c r="ABE75" s="68"/>
      <c r="ABF75" s="68"/>
      <c r="ABG75" s="68"/>
      <c r="ABH75" s="68"/>
      <c r="ABI75" s="68"/>
      <c r="ABJ75" s="68"/>
      <c r="ABK75" s="68"/>
      <c r="ABL75" s="68"/>
      <c r="ABM75" s="68"/>
      <c r="ABN75" s="68"/>
      <c r="ABO75" s="68"/>
      <c r="ABP75" s="68"/>
      <c r="ABQ75" s="68"/>
      <c r="ABR75" s="68"/>
      <c r="ABS75" s="68"/>
      <c r="ABT75" s="68"/>
      <c r="ABU75" s="68"/>
      <c r="ABV75" s="68"/>
      <c r="ABW75" s="68"/>
      <c r="ABX75" s="68"/>
      <c r="ABY75" s="68"/>
      <c r="ABZ75" s="68"/>
      <c r="ACA75" s="68"/>
      <c r="ACB75" s="68"/>
      <c r="ACC75" s="68"/>
      <c r="ACD75" s="68"/>
      <c r="ACE75" s="68"/>
      <c r="ACF75" s="68"/>
      <c r="ACG75" s="68"/>
      <c r="ACH75" s="68"/>
      <c r="ACI75" s="68"/>
      <c r="ACJ75" s="68"/>
      <c r="ACK75" s="68"/>
      <c r="ACL75" s="68"/>
      <c r="ACM75" s="68"/>
      <c r="ACN75" s="68"/>
      <c r="ACO75" s="68"/>
      <c r="ACP75" s="68"/>
      <c r="ACQ75" s="68"/>
      <c r="ACR75" s="68"/>
      <c r="ACS75" s="68"/>
      <c r="ACT75" s="68"/>
      <c r="ACU75" s="68"/>
      <c r="ACV75" s="68"/>
      <c r="ACW75" s="68"/>
      <c r="ACX75" s="68"/>
      <c r="ACY75" s="68"/>
      <c r="ACZ75" s="68"/>
      <c r="ADA75" s="68"/>
      <c r="ADB75" s="68"/>
      <c r="ADC75" s="68"/>
      <c r="ADD75" s="68"/>
      <c r="ADE75" s="68"/>
      <c r="ADF75" s="68"/>
      <c r="ADG75" s="68"/>
      <c r="ADH75" s="68"/>
      <c r="ADI75" s="68"/>
      <c r="ADJ75" s="68"/>
      <c r="ADK75" s="68"/>
      <c r="ADL75" s="68"/>
      <c r="ADM75" s="68"/>
      <c r="ADN75" s="68"/>
      <c r="ADO75" s="68"/>
      <c r="ADP75" s="68"/>
      <c r="ADQ75" s="68"/>
      <c r="ADR75" s="68"/>
      <c r="ADS75" s="68"/>
      <c r="ADT75" s="68"/>
      <c r="ADU75" s="68"/>
      <c r="ADV75" s="68"/>
      <c r="ADW75" s="68"/>
      <c r="ADX75" s="68"/>
      <c r="ADY75" s="68"/>
      <c r="ADZ75" s="68"/>
      <c r="AEA75" s="68"/>
      <c r="AEB75" s="68"/>
      <c r="AEC75" s="68"/>
      <c r="AED75" s="68"/>
      <c r="AEE75" s="68"/>
      <c r="AEF75" s="68"/>
      <c r="AEG75" s="68"/>
      <c r="AEH75" s="68"/>
      <c r="AEI75" s="68"/>
      <c r="AEJ75" s="68"/>
      <c r="AEK75" s="68"/>
      <c r="AEL75" s="68"/>
      <c r="AEM75" s="68"/>
      <c r="AEN75" s="68"/>
      <c r="AEO75" s="68"/>
      <c r="AEP75" s="68"/>
      <c r="AEQ75" s="68"/>
      <c r="AER75" s="68"/>
      <c r="AES75" s="68"/>
      <c r="AET75" s="68"/>
      <c r="AEU75" s="68"/>
      <c r="AEV75" s="68"/>
      <c r="AEW75" s="68"/>
      <c r="AEX75" s="68"/>
      <c r="AEY75" s="68"/>
      <c r="AEZ75" s="68"/>
      <c r="AFA75" s="68"/>
      <c r="AFB75" s="68"/>
      <c r="AFC75" s="68"/>
      <c r="AFD75" s="68"/>
      <c r="AFE75" s="68"/>
      <c r="AFF75" s="68"/>
      <c r="AFG75" s="68"/>
      <c r="AFH75" s="68"/>
      <c r="AFI75" s="68"/>
      <c r="AFJ75" s="68"/>
      <c r="AFK75" s="68"/>
      <c r="AFL75" s="68"/>
      <c r="AFM75" s="68"/>
      <c r="AFN75" s="68"/>
      <c r="AFO75" s="68"/>
      <c r="AFP75" s="68"/>
      <c r="AFQ75" s="68"/>
      <c r="AFR75" s="68"/>
      <c r="AFS75" s="68"/>
      <c r="AFT75" s="68"/>
      <c r="AFU75" s="68"/>
      <c r="AFV75" s="68"/>
      <c r="AFW75" s="68"/>
      <c r="AFX75" s="68"/>
      <c r="AFY75" s="68"/>
      <c r="AFZ75" s="68"/>
      <c r="AGA75" s="68"/>
      <c r="AGB75" s="68"/>
      <c r="AGC75" s="68"/>
      <c r="AGD75" s="68"/>
      <c r="AGE75" s="68"/>
      <c r="AGF75" s="68"/>
      <c r="AGG75" s="68"/>
      <c r="AGH75" s="68"/>
      <c r="AGI75" s="68"/>
      <c r="AGJ75" s="68"/>
      <c r="AGK75" s="68"/>
      <c r="AGL75" s="3" t="s">
        <v>16</v>
      </c>
      <c r="AGM75" s="68" t="s">
        <v>59</v>
      </c>
    </row>
    <row r="76" spans="2:953" x14ac:dyDescent="0.25">
      <c r="B76" s="134"/>
      <c r="C76" s="240" t="s">
        <v>44</v>
      </c>
      <c r="D76" s="191"/>
      <c r="E76" s="212" t="s">
        <v>16</v>
      </c>
      <c r="F76" s="287">
        <f t="shared" ref="F76:AH76" si="32">SUM(F80:F81)*10.86</f>
        <v>25629.599999999999</v>
      </c>
      <c r="G76" s="287">
        <f t="shared" si="32"/>
        <v>0</v>
      </c>
      <c r="H76" s="287">
        <f t="shared" si="32"/>
        <v>0</v>
      </c>
      <c r="I76" s="287">
        <f t="shared" si="32"/>
        <v>0</v>
      </c>
      <c r="J76" s="287">
        <f>SUM(J80:J81)*10.86</f>
        <v>65257.74</v>
      </c>
      <c r="K76" s="287">
        <f t="shared" si="32"/>
        <v>48728.82</v>
      </c>
      <c r="L76" s="287">
        <f t="shared" si="32"/>
        <v>90615.84</v>
      </c>
      <c r="M76" s="287">
        <f t="shared" si="32"/>
        <v>43570.32</v>
      </c>
      <c r="N76" s="287">
        <f t="shared" si="32"/>
        <v>0</v>
      </c>
      <c r="O76" s="287">
        <f t="shared" si="32"/>
        <v>0</v>
      </c>
      <c r="P76" s="287">
        <f t="shared" si="32"/>
        <v>0</v>
      </c>
      <c r="Q76" s="287">
        <f t="shared" si="32"/>
        <v>0</v>
      </c>
      <c r="R76" s="287">
        <f>SUM(R80:R81)*10.86</f>
        <v>51899.939999999995</v>
      </c>
      <c r="S76" s="287">
        <f>SUM(S80:S81)*10.86</f>
        <v>42636.36</v>
      </c>
      <c r="T76" s="287">
        <f t="shared" si="32"/>
        <v>0</v>
      </c>
      <c r="U76" s="287">
        <f t="shared" si="32"/>
        <v>0</v>
      </c>
      <c r="V76" s="287">
        <f>SUM(V80:V81)*10.86</f>
        <v>0</v>
      </c>
      <c r="W76" s="287">
        <f t="shared" si="32"/>
        <v>0</v>
      </c>
      <c r="X76" s="287">
        <f t="shared" si="32"/>
        <v>55418.579999999994</v>
      </c>
      <c r="Y76" s="287">
        <f t="shared" si="32"/>
        <v>0</v>
      </c>
      <c r="Z76" s="287">
        <f>SUM(Z80:Z81)*10.86</f>
        <v>0</v>
      </c>
      <c r="AA76" s="287">
        <f t="shared" si="32"/>
        <v>0</v>
      </c>
      <c r="AB76" s="287">
        <f t="shared" si="32"/>
        <v>0</v>
      </c>
      <c r="AC76" s="287">
        <f t="shared" si="32"/>
        <v>0</v>
      </c>
      <c r="AD76" s="287">
        <f t="shared" si="32"/>
        <v>0</v>
      </c>
      <c r="AE76" s="287">
        <f t="shared" si="32"/>
        <v>0</v>
      </c>
      <c r="AF76" s="287">
        <f t="shared" si="32"/>
        <v>0</v>
      </c>
      <c r="AG76" s="287">
        <f t="shared" si="32"/>
        <v>0</v>
      </c>
      <c r="AH76" s="287">
        <f t="shared" si="32"/>
        <v>0</v>
      </c>
      <c r="AI76" s="287">
        <f t="shared" ref="AI76:AJ76" si="33">SUM(AI80:AI81)*10.86</f>
        <v>0</v>
      </c>
      <c r="AJ76" s="287">
        <f t="shared" si="33"/>
        <v>0</v>
      </c>
      <c r="AK76" s="10"/>
      <c r="AL76" s="44">
        <f>SUM(F76:AJ76)</f>
        <v>423757.2</v>
      </c>
      <c r="AM76" s="67"/>
      <c r="AN76" s="296">
        <f>SUM(AL76,AL103)</f>
        <v>887257.48</v>
      </c>
      <c r="AP76" s="2"/>
      <c r="BX76" s="40"/>
      <c r="BY76" s="40"/>
      <c r="DB76" s="40"/>
      <c r="EJ76" s="30"/>
      <c r="EK76" s="40"/>
      <c r="EL76" s="40"/>
      <c r="EM76" s="40"/>
      <c r="EN76" s="40"/>
      <c r="GQ76" s="40"/>
      <c r="GR76" s="66">
        <f>AN76/1000</f>
        <v>887.25747999999999</v>
      </c>
      <c r="KL76" s="40"/>
      <c r="KM76" s="40"/>
      <c r="KN76" s="40"/>
      <c r="KO76" s="40"/>
      <c r="PS76" s="40">
        <v>4696</v>
      </c>
      <c r="PT76" s="39">
        <f>GR76/PS76*100</f>
        <v>18.89389863713799</v>
      </c>
      <c r="PV76" s="40"/>
      <c r="QJ76" s="39"/>
      <c r="QN76" s="40"/>
      <c r="SQ76" s="39"/>
      <c r="AHZ76" s="5"/>
      <c r="AJO76" s="5"/>
      <c r="AJP76" s="5"/>
      <c r="AJQ76" s="5"/>
    </row>
    <row r="77" spans="2:953" x14ac:dyDescent="0.25">
      <c r="B77" s="134"/>
      <c r="C77" s="240" t="s">
        <v>43</v>
      </c>
      <c r="D77" s="191"/>
      <c r="E77" s="212" t="s">
        <v>16</v>
      </c>
      <c r="F77" s="287">
        <f>F75-F76</f>
        <v>-102.2599999999984</v>
      </c>
      <c r="G77" s="287">
        <f t="shared" ref="G77:AJ77" si="34">G75-G76</f>
        <v>0</v>
      </c>
      <c r="H77" s="287">
        <f t="shared" si="34"/>
        <v>0</v>
      </c>
      <c r="I77" s="287">
        <f t="shared" si="34"/>
        <v>0</v>
      </c>
      <c r="J77" s="287">
        <f t="shared" si="34"/>
        <v>-859.75</v>
      </c>
      <c r="K77" s="287">
        <f>K75-K76</f>
        <v>-481.45999999999913</v>
      </c>
      <c r="L77" s="287">
        <f>L75-L76</f>
        <v>-370.13999999999942</v>
      </c>
      <c r="M77" s="287">
        <f>M75-M76</f>
        <v>-262.44999999999709</v>
      </c>
      <c r="N77" s="287">
        <f t="shared" si="34"/>
        <v>0</v>
      </c>
      <c r="O77" s="287">
        <f t="shared" si="34"/>
        <v>0</v>
      </c>
      <c r="P77" s="287">
        <f t="shared" si="34"/>
        <v>0</v>
      </c>
      <c r="Q77" s="287">
        <f t="shared" si="34"/>
        <v>0</v>
      </c>
      <c r="R77" s="287">
        <f t="shared" si="34"/>
        <v>-847.07999999999447</v>
      </c>
      <c r="S77" s="287">
        <f t="shared" si="34"/>
        <v>-389.15000000000146</v>
      </c>
      <c r="T77" s="287">
        <f t="shared" si="34"/>
        <v>0</v>
      </c>
      <c r="U77" s="287">
        <f t="shared" si="34"/>
        <v>0</v>
      </c>
      <c r="V77" s="287">
        <f>V75-V76</f>
        <v>0</v>
      </c>
      <c r="W77" s="287">
        <f t="shared" si="34"/>
        <v>0</v>
      </c>
      <c r="X77" s="287">
        <f>X75-X76</f>
        <v>11.77000000001135</v>
      </c>
      <c r="Y77" s="287">
        <f t="shared" si="34"/>
        <v>0</v>
      </c>
      <c r="Z77" s="287">
        <f t="shared" si="34"/>
        <v>0</v>
      </c>
      <c r="AA77" s="287">
        <f t="shared" si="34"/>
        <v>0</v>
      </c>
      <c r="AB77" s="287">
        <f>AB75-AB76</f>
        <v>0</v>
      </c>
      <c r="AC77" s="287">
        <f t="shared" si="34"/>
        <v>0</v>
      </c>
      <c r="AD77" s="287">
        <f t="shared" si="34"/>
        <v>0</v>
      </c>
      <c r="AE77" s="287">
        <f t="shared" si="34"/>
        <v>0</v>
      </c>
      <c r="AF77" s="287">
        <f t="shared" si="34"/>
        <v>0</v>
      </c>
      <c r="AG77" s="287">
        <f t="shared" si="34"/>
        <v>0</v>
      </c>
      <c r="AH77" s="287">
        <f t="shared" si="34"/>
        <v>0</v>
      </c>
      <c r="AI77" s="287">
        <f t="shared" si="34"/>
        <v>0</v>
      </c>
      <c r="AJ77" s="287">
        <f t="shared" si="34"/>
        <v>0</v>
      </c>
      <c r="AK77" s="10"/>
      <c r="AL77" s="44">
        <f>SUM(F77:AJ77)</f>
        <v>-3300.5199999999786</v>
      </c>
      <c r="AM77" s="66"/>
      <c r="AN77" s="41">
        <f>AL131</f>
        <v>209855.87568</v>
      </c>
      <c r="AP77" s="2" t="s">
        <v>101</v>
      </c>
      <c r="AQ77" s="88">
        <v>11578</v>
      </c>
      <c r="AR77" s="3">
        <v>10.86</v>
      </c>
      <c r="AS77" s="35">
        <f>AQ77*AR77</f>
        <v>125737.07999999999</v>
      </c>
      <c r="AT77" s="3">
        <f>AS77/1000</f>
        <v>125.73707999999999</v>
      </c>
      <c r="BX77" s="40"/>
      <c r="BY77" s="40"/>
      <c r="DB77" s="40"/>
      <c r="EJ77" s="30"/>
      <c r="EK77" s="40"/>
      <c r="EL77" s="40"/>
      <c r="EM77" s="40"/>
      <c r="EN77" s="40"/>
      <c r="GQ77" s="40"/>
      <c r="GR77" s="27">
        <f>AN77/1000</f>
        <v>209.85587568</v>
      </c>
      <c r="KL77" s="40"/>
      <c r="KM77" s="40"/>
      <c r="KN77" s="40"/>
      <c r="KO77" s="40"/>
      <c r="PS77" s="40">
        <v>565</v>
      </c>
      <c r="PT77" s="39">
        <f>GR77/PS77*100</f>
        <v>37.142632863716813</v>
      </c>
      <c r="PV77" s="40"/>
      <c r="QJ77" s="39"/>
      <c r="QN77" s="40"/>
      <c r="SQ77" s="39"/>
      <c r="AHZ77" s="5"/>
      <c r="AJO77" s="5"/>
      <c r="AJP77" s="5"/>
      <c r="AJQ77" s="5"/>
    </row>
    <row r="78" spans="2:953" x14ac:dyDescent="0.25">
      <c r="B78" s="134"/>
      <c r="C78" s="240" t="s">
        <v>58</v>
      </c>
      <c r="D78" s="191"/>
      <c r="E78" s="134" t="s">
        <v>16</v>
      </c>
      <c r="F78" s="287">
        <v>0</v>
      </c>
      <c r="G78" s="287">
        <v>0</v>
      </c>
      <c r="H78" s="287"/>
      <c r="I78" s="287">
        <v>0</v>
      </c>
      <c r="J78" s="287">
        <v>0</v>
      </c>
      <c r="K78" s="287"/>
      <c r="L78" s="287">
        <v>0</v>
      </c>
      <c r="M78" s="287">
        <v>0</v>
      </c>
      <c r="N78" s="287">
        <v>0</v>
      </c>
      <c r="O78" s="287">
        <v>0</v>
      </c>
      <c r="P78" s="287">
        <v>0</v>
      </c>
      <c r="Q78" s="287">
        <v>0</v>
      </c>
      <c r="R78" s="287">
        <v>0</v>
      </c>
      <c r="S78" s="287">
        <v>0</v>
      </c>
      <c r="T78" s="287">
        <v>0</v>
      </c>
      <c r="U78" s="287">
        <v>0</v>
      </c>
      <c r="V78" s="287">
        <v>0</v>
      </c>
      <c r="W78" s="287">
        <v>0</v>
      </c>
      <c r="X78" s="287">
        <v>0</v>
      </c>
      <c r="Y78" s="287">
        <v>0</v>
      </c>
      <c r="Z78" s="287">
        <v>0</v>
      </c>
      <c r="AA78" s="287">
        <v>0</v>
      </c>
      <c r="AB78" s="287">
        <v>0</v>
      </c>
      <c r="AC78" s="287"/>
      <c r="AD78" s="287">
        <v>0</v>
      </c>
      <c r="AE78" s="287">
        <v>0</v>
      </c>
      <c r="AF78" s="287">
        <v>0</v>
      </c>
      <c r="AG78" s="287">
        <v>0</v>
      </c>
      <c r="AH78" s="287">
        <v>0</v>
      </c>
      <c r="AI78" s="287">
        <v>0</v>
      </c>
      <c r="AJ78" s="287">
        <v>0</v>
      </c>
      <c r="AK78" s="10"/>
      <c r="AL78" s="44">
        <f>SUM(F78:AJ78)</f>
        <v>0</v>
      </c>
      <c r="AN78" s="41"/>
      <c r="AP78" s="2" t="s">
        <v>98</v>
      </c>
      <c r="AQ78" s="88">
        <v>27442</v>
      </c>
      <c r="AR78" s="3">
        <v>10.86</v>
      </c>
      <c r="AS78" s="35">
        <f>AQ78*AR78</f>
        <v>298020.12</v>
      </c>
      <c r="AT78" s="3">
        <f>AS78/1000</f>
        <v>298.02012000000002</v>
      </c>
      <c r="BX78" s="40"/>
      <c r="BY78" s="40"/>
      <c r="DB78" s="40"/>
      <c r="EJ78" s="30"/>
      <c r="EK78" s="40"/>
      <c r="EL78" s="40"/>
      <c r="EM78" s="40"/>
      <c r="EN78" s="40"/>
      <c r="GQ78" s="40"/>
      <c r="KL78" s="40"/>
      <c r="KM78" s="40"/>
      <c r="KN78" s="40"/>
      <c r="KO78" s="40"/>
      <c r="PS78" s="40"/>
      <c r="PT78" s="40"/>
      <c r="PV78" s="40"/>
      <c r="QJ78" s="39"/>
      <c r="QN78" s="40"/>
      <c r="SQ78" s="39"/>
      <c r="AHZ78" s="5"/>
      <c r="AJO78" s="5"/>
      <c r="AJP78" s="5"/>
      <c r="AJQ78" s="5"/>
    </row>
    <row r="79" spans="2:953" x14ac:dyDescent="0.25">
      <c r="B79" s="134"/>
      <c r="C79" s="240" t="s">
        <v>33</v>
      </c>
      <c r="D79" s="191"/>
      <c r="E79" s="134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0"/>
      <c r="AL79" s="45" t="s">
        <v>33</v>
      </c>
      <c r="AN79" s="41">
        <f>12764.12+25546.34</f>
        <v>38310.46</v>
      </c>
      <c r="AP79" s="2"/>
      <c r="AQ79" s="35"/>
      <c r="AT79" s="322">
        <f>SUM(AT77:AT78)</f>
        <v>423.75720000000001</v>
      </c>
      <c r="BX79" s="40"/>
      <c r="BY79" s="40"/>
      <c r="DB79" s="40"/>
      <c r="EJ79" s="30"/>
      <c r="EK79" s="40"/>
      <c r="EL79" s="40"/>
      <c r="EM79" s="40"/>
      <c r="EN79" s="40"/>
      <c r="GQ79" s="40"/>
      <c r="KL79" s="40"/>
      <c r="KM79" s="40"/>
      <c r="KN79" s="40"/>
      <c r="KO79" s="40"/>
      <c r="PS79" s="40"/>
      <c r="PT79" s="40"/>
      <c r="PV79" s="40"/>
      <c r="QJ79" s="39"/>
      <c r="QN79" s="40"/>
      <c r="SQ79" s="39"/>
      <c r="AHZ79" s="5"/>
      <c r="AJO79" s="5"/>
      <c r="AJP79" s="5"/>
      <c r="AJQ79" s="5"/>
    </row>
    <row r="80" spans="2:953" x14ac:dyDescent="0.25">
      <c r="B80" s="166"/>
      <c r="C80" s="241" t="s">
        <v>57</v>
      </c>
      <c r="D80" s="165"/>
      <c r="E80" s="242" t="s">
        <v>36</v>
      </c>
      <c r="F80" s="243">
        <v>0</v>
      </c>
      <c r="G80" s="243">
        <v>0</v>
      </c>
      <c r="H80" s="243">
        <v>0</v>
      </c>
      <c r="I80" s="243">
        <v>0</v>
      </c>
      <c r="J80" s="243">
        <v>1229</v>
      </c>
      <c r="K80" s="243">
        <v>4487</v>
      </c>
      <c r="L80" s="243">
        <v>0</v>
      </c>
      <c r="M80" s="243">
        <v>4012</v>
      </c>
      <c r="N80" s="243">
        <v>0</v>
      </c>
      <c r="O80" s="243">
        <v>0</v>
      </c>
      <c r="P80" s="243">
        <v>0</v>
      </c>
      <c r="Q80" s="243">
        <v>0</v>
      </c>
      <c r="R80" s="243">
        <v>0</v>
      </c>
      <c r="S80" s="243">
        <v>0</v>
      </c>
      <c r="T80" s="243">
        <v>0</v>
      </c>
      <c r="U80" s="243">
        <v>0</v>
      </c>
      <c r="V80" s="243">
        <v>0</v>
      </c>
      <c r="W80" s="243">
        <v>0</v>
      </c>
      <c r="X80" s="243">
        <v>1850</v>
      </c>
      <c r="Y80" s="243">
        <v>0</v>
      </c>
      <c r="Z80" s="243">
        <v>0</v>
      </c>
      <c r="AA80" s="243">
        <v>0</v>
      </c>
      <c r="AB80" s="243">
        <v>0</v>
      </c>
      <c r="AC80" s="243">
        <v>0</v>
      </c>
      <c r="AD80" s="243">
        <v>0</v>
      </c>
      <c r="AE80" s="243">
        <v>0</v>
      </c>
      <c r="AF80" s="243">
        <v>0</v>
      </c>
      <c r="AG80" s="243">
        <v>0</v>
      </c>
      <c r="AH80" s="243">
        <v>0</v>
      </c>
      <c r="AI80" s="243">
        <v>0</v>
      </c>
      <c r="AJ80" s="243">
        <v>0</v>
      </c>
      <c r="AK80" s="51"/>
      <c r="AL80" s="26">
        <f>SUM(F80:AJ80)</f>
        <v>11578</v>
      </c>
      <c r="AN80" s="65"/>
      <c r="AP80" s="2"/>
      <c r="AQ80" s="3"/>
      <c r="AR80" s="122"/>
      <c r="BX80" s="48"/>
      <c r="BY80" s="48"/>
      <c r="DB80" s="48"/>
      <c r="EJ80" s="16"/>
      <c r="EK80" s="48"/>
      <c r="EL80" s="48"/>
      <c r="EM80" s="48"/>
      <c r="EN80" s="48"/>
      <c r="GQ80" s="48"/>
      <c r="KL80" s="48"/>
      <c r="KM80" s="48"/>
      <c r="KN80" s="48"/>
      <c r="KO80" s="48"/>
      <c r="PS80" s="48"/>
      <c r="PT80" s="48"/>
      <c r="PV80" s="48"/>
      <c r="QJ80" s="47"/>
      <c r="QN80" s="48"/>
      <c r="SQ80" s="47"/>
      <c r="AHZ80" s="14"/>
      <c r="AJO80" s="14"/>
      <c r="AJP80" s="14"/>
      <c r="AJQ80" s="14"/>
    </row>
    <row r="81" spans="2:953" x14ac:dyDescent="0.25">
      <c r="B81" s="166"/>
      <c r="C81" s="241" t="s">
        <v>56</v>
      </c>
      <c r="D81" s="165"/>
      <c r="E81" s="242" t="s">
        <v>36</v>
      </c>
      <c r="F81" s="243">
        <v>2360</v>
      </c>
      <c r="G81" s="243">
        <v>0</v>
      </c>
      <c r="H81" s="243">
        <v>0</v>
      </c>
      <c r="I81" s="243">
        <v>0</v>
      </c>
      <c r="J81" s="243">
        <v>4780</v>
      </c>
      <c r="K81" s="243">
        <v>0</v>
      </c>
      <c r="L81" s="243">
        <v>8344</v>
      </c>
      <c r="M81" s="243">
        <v>0</v>
      </c>
      <c r="N81" s="243">
        <v>0</v>
      </c>
      <c r="O81" s="243">
        <v>0</v>
      </c>
      <c r="P81" s="243">
        <v>0</v>
      </c>
      <c r="Q81" s="243">
        <v>0</v>
      </c>
      <c r="R81" s="243">
        <v>4779</v>
      </c>
      <c r="S81" s="243">
        <v>3926</v>
      </c>
      <c r="T81" s="243">
        <v>0</v>
      </c>
      <c r="U81" s="243">
        <v>0</v>
      </c>
      <c r="V81" s="243">
        <v>0</v>
      </c>
      <c r="W81" s="243">
        <v>0</v>
      </c>
      <c r="X81" s="243">
        <v>3253</v>
      </c>
      <c r="Y81" s="243">
        <v>0</v>
      </c>
      <c r="Z81" s="243">
        <v>0</v>
      </c>
      <c r="AA81" s="243">
        <v>0</v>
      </c>
      <c r="AB81" s="243">
        <v>0</v>
      </c>
      <c r="AC81" s="243">
        <v>0</v>
      </c>
      <c r="AD81" s="243">
        <v>0</v>
      </c>
      <c r="AE81" s="243">
        <v>0</v>
      </c>
      <c r="AF81" s="243">
        <v>0</v>
      </c>
      <c r="AG81" s="243">
        <v>0</v>
      </c>
      <c r="AH81" s="243">
        <v>0</v>
      </c>
      <c r="AI81" s="243">
        <v>0</v>
      </c>
      <c r="AJ81" s="243">
        <v>0</v>
      </c>
      <c r="AK81" s="51"/>
      <c r="AL81" s="26">
        <f>SUM(F81:AJ81)</f>
        <v>27442</v>
      </c>
      <c r="AN81" s="49"/>
      <c r="AP81" s="2"/>
      <c r="AT81" s="3">
        <v>0</v>
      </c>
      <c r="BX81" s="48"/>
      <c r="BY81" s="48"/>
      <c r="DB81" s="48"/>
      <c r="EJ81" s="16"/>
      <c r="EK81" s="48"/>
      <c r="EL81" s="48"/>
      <c r="EM81" s="48"/>
      <c r="EN81" s="48"/>
      <c r="GQ81" s="48"/>
      <c r="KL81" s="48"/>
      <c r="KM81" s="48"/>
      <c r="KN81" s="48"/>
      <c r="KO81" s="48"/>
      <c r="PS81" s="48"/>
      <c r="PT81" s="48"/>
      <c r="PV81" s="48"/>
      <c r="QJ81" s="47"/>
      <c r="QN81" s="48"/>
      <c r="SQ81" s="47"/>
      <c r="AHZ81" s="14"/>
      <c r="AJO81" s="14"/>
      <c r="AJP81" s="14"/>
      <c r="AJQ81" s="14"/>
    </row>
    <row r="82" spans="2:953" x14ac:dyDescent="0.25">
      <c r="B82" s="134"/>
      <c r="C82" s="240" t="s">
        <v>32</v>
      </c>
      <c r="D82" s="191"/>
      <c r="E82" s="134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0"/>
      <c r="AL82" s="45" t="s">
        <v>32</v>
      </c>
      <c r="AN82" s="41"/>
      <c r="AP82" s="2"/>
      <c r="AT82" s="3">
        <f>SUM(AT81,AT79)</f>
        <v>423.75720000000001</v>
      </c>
      <c r="AU82" s="2" t="s">
        <v>159</v>
      </c>
      <c r="BX82" s="40"/>
      <c r="BY82" s="40"/>
      <c r="DB82" s="40"/>
      <c r="EJ82" s="30"/>
      <c r="EK82" s="40"/>
      <c r="EL82" s="40"/>
      <c r="EM82" s="40"/>
      <c r="EN82" s="40"/>
      <c r="GQ82" s="40"/>
      <c r="KL82" s="40"/>
      <c r="KM82" s="40"/>
      <c r="KN82" s="40"/>
      <c r="KO82" s="40"/>
      <c r="PS82" s="40"/>
      <c r="PT82" s="40"/>
      <c r="PV82" s="40"/>
      <c r="QJ82" s="39"/>
      <c r="QN82" s="40"/>
      <c r="SQ82" s="39"/>
      <c r="AHZ82" s="5"/>
      <c r="AJO82" s="5"/>
      <c r="AJP82" s="5"/>
      <c r="AJQ82" s="5"/>
    </row>
    <row r="83" spans="2:953" x14ac:dyDescent="0.25">
      <c r="B83" s="134"/>
      <c r="C83" s="135" t="s">
        <v>57</v>
      </c>
      <c r="D83" s="191"/>
      <c r="E83" s="212" t="s">
        <v>32</v>
      </c>
      <c r="F83" s="11">
        <f>F80*12</f>
        <v>0</v>
      </c>
      <c r="G83" s="11">
        <f t="shared" ref="G83:AJ83" si="35">G80*12</f>
        <v>0</v>
      </c>
      <c r="H83" s="11">
        <f t="shared" si="35"/>
        <v>0</v>
      </c>
      <c r="I83" s="11">
        <f t="shared" si="35"/>
        <v>0</v>
      </c>
      <c r="J83" s="11">
        <f t="shared" si="35"/>
        <v>14748</v>
      </c>
      <c r="K83" s="11">
        <f t="shared" si="35"/>
        <v>53844</v>
      </c>
      <c r="L83" s="11">
        <f t="shared" si="35"/>
        <v>0</v>
      </c>
      <c r="M83" s="11">
        <f t="shared" si="35"/>
        <v>48144</v>
      </c>
      <c r="N83" s="11">
        <f t="shared" si="35"/>
        <v>0</v>
      </c>
      <c r="O83" s="11">
        <f t="shared" si="35"/>
        <v>0</v>
      </c>
      <c r="P83" s="11">
        <f t="shared" si="35"/>
        <v>0</v>
      </c>
      <c r="Q83" s="11">
        <f t="shared" si="35"/>
        <v>0</v>
      </c>
      <c r="R83" s="11">
        <f t="shared" si="35"/>
        <v>0</v>
      </c>
      <c r="S83" s="11">
        <f t="shared" si="35"/>
        <v>0</v>
      </c>
      <c r="T83" s="11">
        <f t="shared" si="35"/>
        <v>0</v>
      </c>
      <c r="U83" s="11">
        <f t="shared" si="35"/>
        <v>0</v>
      </c>
      <c r="V83" s="11">
        <f t="shared" si="35"/>
        <v>0</v>
      </c>
      <c r="W83" s="11">
        <f t="shared" si="35"/>
        <v>0</v>
      </c>
      <c r="X83" s="11">
        <f t="shared" si="35"/>
        <v>22200</v>
      </c>
      <c r="Y83" s="11">
        <f t="shared" si="35"/>
        <v>0</v>
      </c>
      <c r="Z83" s="11">
        <f t="shared" si="35"/>
        <v>0</v>
      </c>
      <c r="AA83" s="11">
        <f t="shared" si="35"/>
        <v>0</v>
      </c>
      <c r="AB83" s="11">
        <f t="shared" si="35"/>
        <v>0</v>
      </c>
      <c r="AC83" s="11">
        <f t="shared" si="35"/>
        <v>0</v>
      </c>
      <c r="AD83" s="11">
        <f t="shared" si="35"/>
        <v>0</v>
      </c>
      <c r="AE83" s="11">
        <f t="shared" si="35"/>
        <v>0</v>
      </c>
      <c r="AF83" s="11">
        <f t="shared" si="35"/>
        <v>0</v>
      </c>
      <c r="AG83" s="11">
        <f t="shared" si="35"/>
        <v>0</v>
      </c>
      <c r="AH83" s="11">
        <f t="shared" si="35"/>
        <v>0</v>
      </c>
      <c r="AI83" s="11">
        <f t="shared" si="35"/>
        <v>0</v>
      </c>
      <c r="AJ83" s="11">
        <f t="shared" si="35"/>
        <v>0</v>
      </c>
      <c r="AK83" s="10"/>
      <c r="AL83" s="26">
        <f>AL80*12</f>
        <v>138936</v>
      </c>
      <c r="AN83" s="41">
        <f>SUM(AL75+AL102+AL130+AL186)</f>
        <v>2908938.85</v>
      </c>
      <c r="AP83" s="2"/>
      <c r="AT83" s="35">
        <v>8452</v>
      </c>
      <c r="AU83" s="2" t="s">
        <v>160</v>
      </c>
      <c r="BX83" s="40"/>
      <c r="BY83" s="40"/>
      <c r="DB83" s="40"/>
      <c r="EJ83" s="30"/>
      <c r="EK83" s="40"/>
      <c r="EL83" s="40"/>
      <c r="EM83" s="40"/>
      <c r="EN83" s="40"/>
      <c r="GQ83" s="40"/>
      <c r="KL83" s="40"/>
      <c r="KM83" s="40"/>
      <c r="KN83" s="40"/>
      <c r="KO83" s="40"/>
      <c r="PS83" s="40"/>
      <c r="PT83" s="40"/>
      <c r="PV83" s="40"/>
      <c r="QJ83" s="39"/>
      <c r="QN83" s="40"/>
      <c r="SQ83" s="39"/>
      <c r="AHZ83" s="5"/>
      <c r="AJO83" s="5"/>
      <c r="AJP83" s="5"/>
      <c r="AJQ83" s="5"/>
    </row>
    <row r="84" spans="2:953" x14ac:dyDescent="0.25">
      <c r="B84" s="134"/>
      <c r="C84" s="135" t="s">
        <v>56</v>
      </c>
      <c r="D84" s="191"/>
      <c r="E84" s="212" t="s">
        <v>32</v>
      </c>
      <c r="F84" s="11">
        <f t="shared" ref="F84:AJ84" si="36">F81*6</f>
        <v>14160</v>
      </c>
      <c r="G84" s="11">
        <f t="shared" si="36"/>
        <v>0</v>
      </c>
      <c r="H84" s="11">
        <v>0</v>
      </c>
      <c r="I84" s="11">
        <f t="shared" si="36"/>
        <v>0</v>
      </c>
      <c r="J84" s="11">
        <f t="shared" si="36"/>
        <v>28680</v>
      </c>
      <c r="K84" s="11">
        <f t="shared" si="36"/>
        <v>0</v>
      </c>
      <c r="L84" s="11">
        <f t="shared" si="36"/>
        <v>50064</v>
      </c>
      <c r="M84" s="11">
        <f t="shared" si="36"/>
        <v>0</v>
      </c>
      <c r="N84" s="11">
        <f t="shared" si="36"/>
        <v>0</v>
      </c>
      <c r="O84" s="11">
        <f>O81*6</f>
        <v>0</v>
      </c>
      <c r="P84" s="11">
        <f t="shared" si="36"/>
        <v>0</v>
      </c>
      <c r="Q84" s="11">
        <f t="shared" si="36"/>
        <v>0</v>
      </c>
      <c r="R84" s="11">
        <f t="shared" si="36"/>
        <v>28674</v>
      </c>
      <c r="S84" s="11">
        <f t="shared" si="36"/>
        <v>23556</v>
      </c>
      <c r="T84" s="11">
        <f t="shared" si="36"/>
        <v>0</v>
      </c>
      <c r="U84" s="11">
        <f t="shared" si="36"/>
        <v>0</v>
      </c>
      <c r="V84" s="11">
        <f t="shared" si="36"/>
        <v>0</v>
      </c>
      <c r="W84" s="11">
        <f t="shared" si="36"/>
        <v>0</v>
      </c>
      <c r="X84" s="11">
        <f t="shared" si="36"/>
        <v>19518</v>
      </c>
      <c r="Y84" s="11">
        <f t="shared" si="36"/>
        <v>0</v>
      </c>
      <c r="Z84" s="11">
        <f t="shared" si="36"/>
        <v>0</v>
      </c>
      <c r="AA84" s="11">
        <f t="shared" si="36"/>
        <v>0</v>
      </c>
      <c r="AB84" s="11">
        <f t="shared" si="36"/>
        <v>0</v>
      </c>
      <c r="AC84" s="11">
        <v>0</v>
      </c>
      <c r="AD84" s="11">
        <f t="shared" ref="AD84" si="37">AD81*6</f>
        <v>0</v>
      </c>
      <c r="AE84" s="11">
        <f t="shared" si="36"/>
        <v>0</v>
      </c>
      <c r="AF84" s="11">
        <f t="shared" si="36"/>
        <v>0</v>
      </c>
      <c r="AG84" s="11">
        <f t="shared" si="36"/>
        <v>0</v>
      </c>
      <c r="AH84" s="11">
        <f t="shared" si="36"/>
        <v>0</v>
      </c>
      <c r="AI84" s="11">
        <f t="shared" si="36"/>
        <v>0</v>
      </c>
      <c r="AJ84" s="11">
        <f t="shared" si="36"/>
        <v>0</v>
      </c>
      <c r="AK84" s="10"/>
      <c r="AL84" s="26">
        <f>AL81*6</f>
        <v>164652</v>
      </c>
      <c r="AN84" s="41"/>
      <c r="AP84" s="2"/>
      <c r="AT84" s="3">
        <f>AT82/AT83*100</f>
        <v>5.0136914339801235</v>
      </c>
      <c r="AU84" s="2" t="s">
        <v>29</v>
      </c>
      <c r="BX84" s="40"/>
      <c r="BY84" s="40"/>
      <c r="DB84" s="40"/>
      <c r="EJ84" s="30"/>
      <c r="EK84" s="40"/>
      <c r="EL84" s="40"/>
      <c r="EM84" s="40"/>
      <c r="EN84" s="40"/>
      <c r="GQ84" s="40"/>
      <c r="KL84" s="40"/>
      <c r="KM84" s="40"/>
      <c r="KN84" s="40"/>
      <c r="KO84" s="40"/>
      <c r="PS84" s="40"/>
      <c r="PT84" s="40"/>
      <c r="PV84" s="40"/>
      <c r="QJ84" s="39"/>
      <c r="QN84" s="40"/>
      <c r="SQ84" s="39"/>
      <c r="AHZ84" s="5"/>
      <c r="AJO84" s="5"/>
      <c r="AJP84" s="5"/>
      <c r="AJQ84" s="5"/>
    </row>
    <row r="85" spans="2:953" x14ac:dyDescent="0.25">
      <c r="B85" s="134"/>
      <c r="C85" s="240" t="s">
        <v>41</v>
      </c>
      <c r="D85" s="191"/>
      <c r="E85" s="212" t="s">
        <v>40</v>
      </c>
      <c r="F85" s="244">
        <f t="shared" ref="F85:AJ85" si="38">(F75*45)/1700</f>
        <v>675.72370588235299</v>
      </c>
      <c r="G85" s="245">
        <f t="shared" si="38"/>
        <v>0</v>
      </c>
      <c r="H85" s="245">
        <f t="shared" si="38"/>
        <v>0</v>
      </c>
      <c r="I85" s="245">
        <f t="shared" si="38"/>
        <v>0</v>
      </c>
      <c r="J85" s="245">
        <f t="shared" si="38"/>
        <v>1704.6526764705882</v>
      </c>
      <c r="K85" s="245">
        <f t="shared" si="38"/>
        <v>1277.1360000000002</v>
      </c>
      <c r="L85" s="245">
        <f t="shared" si="38"/>
        <v>2388.8567647058821</v>
      </c>
      <c r="M85" s="245">
        <f t="shared" si="38"/>
        <v>1146.3847941176471</v>
      </c>
      <c r="N85" s="245">
        <f t="shared" si="38"/>
        <v>0</v>
      </c>
      <c r="O85" s="245">
        <f t="shared" si="38"/>
        <v>0</v>
      </c>
      <c r="P85" s="244">
        <f t="shared" si="38"/>
        <v>0</v>
      </c>
      <c r="Q85" s="244">
        <f t="shared" si="38"/>
        <v>0</v>
      </c>
      <c r="R85" s="244">
        <f t="shared" si="38"/>
        <v>1351.3992352941177</v>
      </c>
      <c r="S85" s="244">
        <f t="shared" si="38"/>
        <v>1118.3084999999999</v>
      </c>
      <c r="T85" s="244">
        <f t="shared" si="38"/>
        <v>0</v>
      </c>
      <c r="U85" s="244">
        <f t="shared" si="38"/>
        <v>0</v>
      </c>
      <c r="V85" s="244">
        <f t="shared" si="38"/>
        <v>0</v>
      </c>
      <c r="W85" s="244">
        <f t="shared" si="38"/>
        <v>0</v>
      </c>
      <c r="X85" s="244">
        <f t="shared" si="38"/>
        <v>1467.2739705882357</v>
      </c>
      <c r="Y85" s="244">
        <f t="shared" si="38"/>
        <v>0</v>
      </c>
      <c r="Z85" s="244">
        <f t="shared" si="38"/>
        <v>0</v>
      </c>
      <c r="AA85" s="244">
        <f t="shared" si="38"/>
        <v>0</v>
      </c>
      <c r="AB85" s="244">
        <f t="shared" si="38"/>
        <v>0</v>
      </c>
      <c r="AC85" s="244">
        <f t="shared" si="38"/>
        <v>0</v>
      </c>
      <c r="AD85" s="244">
        <f t="shared" si="38"/>
        <v>0</v>
      </c>
      <c r="AE85" s="244">
        <f t="shared" si="38"/>
        <v>0</v>
      </c>
      <c r="AF85" s="244">
        <f t="shared" si="38"/>
        <v>0</v>
      </c>
      <c r="AG85" s="244">
        <f t="shared" si="38"/>
        <v>0</v>
      </c>
      <c r="AH85" s="244">
        <f t="shared" si="38"/>
        <v>0</v>
      </c>
      <c r="AI85" s="244">
        <f t="shared" si="38"/>
        <v>0</v>
      </c>
      <c r="AJ85" s="244">
        <f t="shared" si="38"/>
        <v>0</v>
      </c>
      <c r="AK85" s="10"/>
      <c r="AL85" s="26">
        <f>SUM(F85:AJ85)</f>
        <v>11129.735647058824</v>
      </c>
      <c r="AN85" s="41"/>
      <c r="AP85" s="2"/>
      <c r="BX85" s="40"/>
      <c r="BY85" s="40"/>
      <c r="DB85" s="40"/>
      <c r="EJ85" s="30"/>
      <c r="EK85" s="40"/>
      <c r="EL85" s="40"/>
      <c r="EM85" s="40"/>
      <c r="EN85" s="40"/>
      <c r="GQ85" s="40"/>
      <c r="KL85" s="40"/>
      <c r="KM85" s="40"/>
      <c r="KN85" s="40"/>
      <c r="KO85" s="40"/>
      <c r="PS85" s="40"/>
      <c r="PT85" s="40"/>
      <c r="PV85" s="40"/>
      <c r="QJ85" s="39"/>
      <c r="QN85" s="40"/>
      <c r="SQ85" s="39"/>
      <c r="AHZ85" s="5"/>
      <c r="AJO85" s="5"/>
      <c r="AJP85" s="5"/>
      <c r="AJQ85" s="5"/>
    </row>
    <row r="86" spans="2:953" x14ac:dyDescent="0.25">
      <c r="B86" s="134"/>
      <c r="C86" s="240" t="s">
        <v>39</v>
      </c>
      <c r="D86" s="191"/>
      <c r="E86" s="212" t="s">
        <v>38</v>
      </c>
      <c r="F86" s="11">
        <f t="shared" ref="F86:AH86" si="39">SUM(F80:F81)/500</f>
        <v>4.72</v>
      </c>
      <c r="G86" s="11">
        <f t="shared" si="39"/>
        <v>0</v>
      </c>
      <c r="H86" s="11">
        <f t="shared" si="39"/>
        <v>0</v>
      </c>
      <c r="I86" s="11">
        <f t="shared" si="39"/>
        <v>0</v>
      </c>
      <c r="J86" s="11">
        <f t="shared" si="39"/>
        <v>12.018000000000001</v>
      </c>
      <c r="K86" s="11">
        <f t="shared" si="39"/>
        <v>8.9740000000000002</v>
      </c>
      <c r="L86" s="11">
        <f t="shared" si="39"/>
        <v>16.687999999999999</v>
      </c>
      <c r="M86" s="11">
        <f t="shared" si="39"/>
        <v>8.0239999999999991</v>
      </c>
      <c r="N86" s="11">
        <f t="shared" si="39"/>
        <v>0</v>
      </c>
      <c r="O86" s="11">
        <f t="shared" si="39"/>
        <v>0</v>
      </c>
      <c r="P86" s="11">
        <f t="shared" si="39"/>
        <v>0</v>
      </c>
      <c r="Q86" s="11">
        <f t="shared" si="39"/>
        <v>0</v>
      </c>
      <c r="R86" s="11">
        <f t="shared" si="39"/>
        <v>9.5579999999999998</v>
      </c>
      <c r="S86" s="11">
        <f t="shared" si="39"/>
        <v>7.8520000000000003</v>
      </c>
      <c r="T86" s="11">
        <f t="shared" si="39"/>
        <v>0</v>
      </c>
      <c r="U86" s="11">
        <f t="shared" si="39"/>
        <v>0</v>
      </c>
      <c r="V86" s="11">
        <f t="shared" si="39"/>
        <v>0</v>
      </c>
      <c r="W86" s="11">
        <f t="shared" si="39"/>
        <v>0</v>
      </c>
      <c r="X86" s="11">
        <f t="shared" si="39"/>
        <v>10.206</v>
      </c>
      <c r="Y86" s="11">
        <f t="shared" si="39"/>
        <v>0</v>
      </c>
      <c r="Z86" s="11">
        <f t="shared" ref="Z86:AA86" si="40">SUM(Z80:Z81)/500</f>
        <v>0</v>
      </c>
      <c r="AA86" s="11">
        <f t="shared" si="40"/>
        <v>0</v>
      </c>
      <c r="AB86" s="11">
        <f t="shared" si="39"/>
        <v>0</v>
      </c>
      <c r="AC86" s="11">
        <f t="shared" si="39"/>
        <v>0</v>
      </c>
      <c r="AD86" s="11">
        <f t="shared" si="39"/>
        <v>0</v>
      </c>
      <c r="AE86" s="11">
        <f t="shared" ref="AE86:AG86" si="41">SUM(AE80:AE81)/500</f>
        <v>0</v>
      </c>
      <c r="AF86" s="11">
        <f t="shared" si="41"/>
        <v>0</v>
      </c>
      <c r="AG86" s="11">
        <f t="shared" si="41"/>
        <v>0</v>
      </c>
      <c r="AH86" s="11">
        <f t="shared" si="39"/>
        <v>0</v>
      </c>
      <c r="AI86" s="11">
        <f t="shared" ref="AI86:AJ86" si="42">SUM(AI80:AI81)/500</f>
        <v>0</v>
      </c>
      <c r="AJ86" s="11">
        <f t="shared" si="42"/>
        <v>0</v>
      </c>
      <c r="AK86" s="10"/>
      <c r="AL86" s="26">
        <f>SUM(F86:AJ86)</f>
        <v>78.040000000000006</v>
      </c>
      <c r="AN86" s="41"/>
      <c r="BX86" s="40"/>
      <c r="BY86" s="40"/>
      <c r="DB86" s="40"/>
      <c r="EJ86" s="30"/>
      <c r="EK86" s="40"/>
      <c r="EL86" s="40"/>
      <c r="EM86" s="40"/>
      <c r="EN86" s="40"/>
      <c r="GQ86" s="40"/>
      <c r="KL86" s="40"/>
      <c r="KM86" s="40"/>
      <c r="KN86" s="40"/>
      <c r="KO86" s="40"/>
      <c r="PS86" s="40"/>
      <c r="PT86" s="40"/>
      <c r="PV86" s="40"/>
      <c r="QJ86" s="39"/>
      <c r="QN86" s="40"/>
      <c r="SQ86" s="39"/>
      <c r="AHZ86" s="5"/>
      <c r="AJO86" s="5"/>
      <c r="AJP86" s="5"/>
      <c r="AJQ86" s="5"/>
    </row>
    <row r="87" spans="2:953" x14ac:dyDescent="0.25">
      <c r="B87" s="136"/>
      <c r="C87" s="160" t="s">
        <v>37</v>
      </c>
      <c r="D87" s="179"/>
      <c r="E87" s="179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1"/>
      <c r="AD87" s="180"/>
      <c r="AE87" s="180"/>
      <c r="AF87" s="180"/>
      <c r="AG87" s="180"/>
      <c r="AH87" s="180"/>
      <c r="AI87" s="180"/>
      <c r="AJ87" s="180"/>
      <c r="AK87" s="31"/>
      <c r="AL87" s="46" t="s">
        <v>34</v>
      </c>
    </row>
    <row r="88" spans="2:953" x14ac:dyDescent="0.25">
      <c r="B88" s="134"/>
      <c r="C88" s="240" t="s">
        <v>33</v>
      </c>
      <c r="D88" s="191"/>
      <c r="E88" s="134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0"/>
      <c r="AL88" s="45" t="s">
        <v>33</v>
      </c>
      <c r="AN88" s="41"/>
      <c r="BX88" s="40"/>
      <c r="BY88" s="40"/>
      <c r="DB88" s="40"/>
      <c r="EJ88" s="30"/>
      <c r="EK88" s="40"/>
      <c r="EL88" s="40"/>
      <c r="EM88" s="40"/>
      <c r="EN88" s="40"/>
      <c r="GQ88" s="40"/>
      <c r="KL88" s="40"/>
      <c r="KM88" s="40"/>
      <c r="KN88" s="40"/>
      <c r="KO88" s="40"/>
      <c r="PS88" s="40"/>
      <c r="PT88" s="40"/>
      <c r="PV88" s="40"/>
      <c r="QJ88" s="39"/>
      <c r="QN88" s="40"/>
      <c r="SQ88" s="39"/>
      <c r="AHZ88" s="5"/>
      <c r="AJO88" s="5"/>
      <c r="AJP88" s="5"/>
      <c r="AJQ88" s="5"/>
    </row>
    <row r="89" spans="2:953" x14ac:dyDescent="0.25">
      <c r="B89" s="134"/>
      <c r="C89" s="135" t="s">
        <v>57</v>
      </c>
      <c r="D89" s="191"/>
      <c r="E89" s="212" t="s">
        <v>36</v>
      </c>
      <c r="F89" s="243">
        <v>0</v>
      </c>
      <c r="G89" s="243">
        <v>0</v>
      </c>
      <c r="H89" s="243">
        <v>0</v>
      </c>
      <c r="I89" s="243">
        <v>0</v>
      </c>
      <c r="J89" s="243">
        <v>0</v>
      </c>
      <c r="K89" s="243">
        <v>45</v>
      </c>
      <c r="L89" s="243">
        <v>0</v>
      </c>
      <c r="M89" s="243">
        <v>25</v>
      </c>
      <c r="N89" s="243">
        <v>0</v>
      </c>
      <c r="O89" s="243">
        <v>0</v>
      </c>
      <c r="P89" s="243">
        <v>0</v>
      </c>
      <c r="Q89" s="243">
        <v>0</v>
      </c>
      <c r="R89" s="243">
        <v>0</v>
      </c>
      <c r="S89" s="243">
        <v>0</v>
      </c>
      <c r="T89" s="243">
        <v>0</v>
      </c>
      <c r="U89" s="243">
        <v>0</v>
      </c>
      <c r="V89" s="243">
        <v>0</v>
      </c>
      <c r="W89" s="243">
        <v>0</v>
      </c>
      <c r="X89" s="243">
        <v>0</v>
      </c>
      <c r="Y89" s="243">
        <v>0</v>
      </c>
      <c r="Z89" s="243">
        <v>0</v>
      </c>
      <c r="AA89" s="243">
        <v>0</v>
      </c>
      <c r="AB89" s="243">
        <v>0</v>
      </c>
      <c r="AC89" s="243">
        <v>0</v>
      </c>
      <c r="AD89" s="243">
        <v>0</v>
      </c>
      <c r="AE89" s="243">
        <v>0</v>
      </c>
      <c r="AF89" s="243">
        <v>0</v>
      </c>
      <c r="AG89" s="243">
        <v>0</v>
      </c>
      <c r="AH89" s="243">
        <v>0</v>
      </c>
      <c r="AI89" s="243">
        <v>0</v>
      </c>
      <c r="AJ89" s="243">
        <v>0</v>
      </c>
      <c r="AK89" s="10"/>
      <c r="AL89" s="26">
        <f>SUM(F89:AJ89)</f>
        <v>70</v>
      </c>
      <c r="AN89" s="41"/>
      <c r="BX89" s="40"/>
      <c r="BY89" s="40"/>
      <c r="DB89" s="40"/>
      <c r="EJ89" s="30"/>
      <c r="EK89" s="40"/>
      <c r="EL89" s="40"/>
      <c r="EM89" s="40"/>
      <c r="EN89" s="40"/>
      <c r="GQ89" s="40"/>
      <c r="KL89" s="40"/>
      <c r="KM89" s="40"/>
      <c r="KN89" s="40"/>
      <c r="KO89" s="40"/>
      <c r="PS89" s="40"/>
      <c r="PT89" s="40"/>
      <c r="PV89" s="40"/>
      <c r="QJ89" s="39"/>
      <c r="QN89" s="40"/>
      <c r="SQ89" s="39"/>
      <c r="AHZ89" s="5"/>
      <c r="AJO89" s="5"/>
      <c r="AJP89" s="5"/>
      <c r="AJQ89" s="5"/>
    </row>
    <row r="90" spans="2:953" x14ac:dyDescent="0.25">
      <c r="B90" s="134"/>
      <c r="C90" s="135" t="s">
        <v>56</v>
      </c>
      <c r="D90" s="191"/>
      <c r="E90" s="212" t="s">
        <v>36</v>
      </c>
      <c r="F90" s="243">
        <v>10</v>
      </c>
      <c r="G90" s="243">
        <v>0</v>
      </c>
      <c r="H90" s="243">
        <v>0</v>
      </c>
      <c r="I90" s="243">
        <v>0</v>
      </c>
      <c r="J90" s="243">
        <v>80</v>
      </c>
      <c r="K90" s="243">
        <v>0</v>
      </c>
      <c r="L90" s="243">
        <v>35</v>
      </c>
      <c r="M90" s="243">
        <v>0</v>
      </c>
      <c r="N90" s="243">
        <v>0</v>
      </c>
      <c r="O90" s="243">
        <v>0</v>
      </c>
      <c r="P90" s="243">
        <v>0</v>
      </c>
      <c r="Q90" s="243">
        <v>0</v>
      </c>
      <c r="R90" s="243">
        <v>79</v>
      </c>
      <c r="S90" s="243">
        <v>37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0</v>
      </c>
      <c r="Z90" s="243">
        <v>0</v>
      </c>
      <c r="AA90" s="243">
        <v>0</v>
      </c>
      <c r="AB90" s="243">
        <v>0</v>
      </c>
      <c r="AC90" s="243">
        <v>0</v>
      </c>
      <c r="AD90" s="243">
        <v>0</v>
      </c>
      <c r="AE90" s="243">
        <v>0</v>
      </c>
      <c r="AF90" s="243">
        <v>0</v>
      </c>
      <c r="AG90" s="243">
        <v>0</v>
      </c>
      <c r="AH90" s="243">
        <v>0</v>
      </c>
      <c r="AI90" s="243">
        <v>0</v>
      </c>
      <c r="AJ90" s="243">
        <v>0</v>
      </c>
      <c r="AK90" s="10"/>
      <c r="AL90" s="26">
        <f>SUM(F90:AJ90)</f>
        <v>241</v>
      </c>
      <c r="AN90" s="41"/>
      <c r="BX90" s="40"/>
      <c r="BY90" s="40"/>
      <c r="DB90" s="40"/>
      <c r="EJ90" s="30"/>
      <c r="EK90" s="40"/>
      <c r="EL90" s="40"/>
      <c r="EM90" s="40"/>
      <c r="EN90" s="40"/>
      <c r="GQ90" s="40"/>
      <c r="KL90" s="40"/>
      <c r="KM90" s="40"/>
      <c r="KN90" s="40"/>
      <c r="KO90" s="40"/>
      <c r="PS90" s="40"/>
      <c r="PT90" s="40"/>
      <c r="PV90" s="40"/>
      <c r="QJ90" s="39"/>
      <c r="QN90" s="40"/>
      <c r="SQ90" s="39"/>
      <c r="AHZ90" s="5"/>
      <c r="AJO90" s="5"/>
      <c r="AJP90" s="5"/>
      <c r="AJQ90" s="5"/>
    </row>
    <row r="91" spans="2:953" x14ac:dyDescent="0.25">
      <c r="B91" s="134"/>
      <c r="C91" s="240" t="s">
        <v>32</v>
      </c>
      <c r="D91" s="191"/>
      <c r="E91" s="134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11"/>
      <c r="S91" s="243"/>
      <c r="T91" s="11"/>
      <c r="U91" s="11"/>
      <c r="V91" s="24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0"/>
      <c r="AL91" s="45" t="s">
        <v>32</v>
      </c>
      <c r="AN91" s="41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X91" s="40"/>
      <c r="BY91" s="40"/>
      <c r="DB91" s="40"/>
      <c r="EJ91" s="30"/>
      <c r="EK91" s="40"/>
      <c r="EL91" s="40"/>
      <c r="EM91" s="40"/>
      <c r="EN91" s="40"/>
      <c r="GQ91" s="40"/>
      <c r="KL91" s="40"/>
      <c r="KM91" s="40"/>
      <c r="KN91" s="40"/>
      <c r="KO91" s="40"/>
      <c r="PS91" s="40"/>
      <c r="PT91" s="40"/>
      <c r="PV91" s="40"/>
      <c r="QJ91" s="39"/>
      <c r="QN91" s="40"/>
      <c r="SQ91" s="39"/>
      <c r="AHZ91" s="5"/>
      <c r="AJO91" s="5"/>
      <c r="AJP91" s="5"/>
      <c r="AJQ91" s="5"/>
    </row>
    <row r="92" spans="2:953" x14ac:dyDescent="0.25">
      <c r="B92" s="134"/>
      <c r="C92" s="135" t="s">
        <v>57</v>
      </c>
      <c r="D92" s="191"/>
      <c r="E92" s="212" t="s">
        <v>32</v>
      </c>
      <c r="F92" s="243">
        <f>F89*12</f>
        <v>0</v>
      </c>
      <c r="G92" s="243">
        <f t="shared" ref="G92:U92" si="43">G89*12</f>
        <v>0</v>
      </c>
      <c r="H92" s="243">
        <f t="shared" si="43"/>
        <v>0</v>
      </c>
      <c r="I92" s="243">
        <f t="shared" si="43"/>
        <v>0</v>
      </c>
      <c r="J92" s="243">
        <f t="shared" si="43"/>
        <v>0</v>
      </c>
      <c r="K92" s="243">
        <f t="shared" si="43"/>
        <v>540</v>
      </c>
      <c r="L92" s="243">
        <f t="shared" si="43"/>
        <v>0</v>
      </c>
      <c r="M92" s="243">
        <f t="shared" si="43"/>
        <v>300</v>
      </c>
      <c r="N92" s="243">
        <f t="shared" si="43"/>
        <v>0</v>
      </c>
      <c r="O92" s="243">
        <f t="shared" si="43"/>
        <v>0</v>
      </c>
      <c r="P92" s="243">
        <f t="shared" si="43"/>
        <v>0</v>
      </c>
      <c r="Q92" s="243">
        <f t="shared" si="43"/>
        <v>0</v>
      </c>
      <c r="R92" s="243">
        <f t="shared" si="43"/>
        <v>0</v>
      </c>
      <c r="S92" s="243">
        <f t="shared" si="43"/>
        <v>0</v>
      </c>
      <c r="T92" s="243">
        <f t="shared" si="43"/>
        <v>0</v>
      </c>
      <c r="U92" s="243">
        <f t="shared" si="43"/>
        <v>0</v>
      </c>
      <c r="V92" s="243"/>
      <c r="W92" s="243">
        <v>0</v>
      </c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10"/>
      <c r="AL92" s="26">
        <f>SUM(F92:AJ92)</f>
        <v>840</v>
      </c>
      <c r="AN92" s="41">
        <f>0.9031*100</f>
        <v>90.31</v>
      </c>
      <c r="BA92" s="57"/>
      <c r="BB92" s="35"/>
      <c r="BC92" s="35"/>
      <c r="BD92" s="35"/>
      <c r="BE92" s="64"/>
      <c r="BF92" s="35"/>
      <c r="BG92" s="35"/>
      <c r="BH92" s="35"/>
      <c r="BI92" s="35"/>
      <c r="BJ92" s="35"/>
      <c r="BX92" s="40"/>
      <c r="BY92" s="40"/>
      <c r="DB92" s="40"/>
      <c r="EJ92" s="30"/>
      <c r="EK92" s="40"/>
      <c r="EL92" s="40"/>
      <c r="EM92" s="40"/>
      <c r="EN92" s="40"/>
      <c r="GQ92" s="40"/>
      <c r="KL92" s="40"/>
      <c r="KM92" s="40"/>
      <c r="KN92" s="40"/>
      <c r="KO92" s="40"/>
      <c r="PS92" s="40"/>
      <c r="PT92" s="40"/>
      <c r="PV92" s="40"/>
      <c r="QJ92" s="39"/>
      <c r="QN92" s="40"/>
      <c r="SQ92" s="39"/>
      <c r="AHZ92" s="5"/>
      <c r="AJO92" s="5"/>
      <c r="AJP92" s="5"/>
      <c r="AJQ92" s="5"/>
    </row>
    <row r="93" spans="2:953" x14ac:dyDescent="0.25">
      <c r="B93" s="134"/>
      <c r="C93" s="135" t="s">
        <v>56</v>
      </c>
      <c r="D93" s="191"/>
      <c r="E93" s="212" t="s">
        <v>32</v>
      </c>
      <c r="F93" s="243">
        <f>F90*6</f>
        <v>60</v>
      </c>
      <c r="G93" s="243">
        <f t="shared" ref="G93:U93" si="44">G90*6</f>
        <v>0</v>
      </c>
      <c r="H93" s="243">
        <f t="shared" si="44"/>
        <v>0</v>
      </c>
      <c r="I93" s="243">
        <f t="shared" si="44"/>
        <v>0</v>
      </c>
      <c r="J93" s="243">
        <f t="shared" si="44"/>
        <v>480</v>
      </c>
      <c r="K93" s="243">
        <f t="shared" si="44"/>
        <v>0</v>
      </c>
      <c r="L93" s="243">
        <f t="shared" si="44"/>
        <v>210</v>
      </c>
      <c r="M93" s="243">
        <f t="shared" si="44"/>
        <v>0</v>
      </c>
      <c r="N93" s="243">
        <f t="shared" si="44"/>
        <v>0</v>
      </c>
      <c r="O93" s="243">
        <f t="shared" si="44"/>
        <v>0</v>
      </c>
      <c r="P93" s="243">
        <f t="shared" si="44"/>
        <v>0</v>
      </c>
      <c r="Q93" s="243">
        <f t="shared" si="44"/>
        <v>0</v>
      </c>
      <c r="R93" s="243">
        <f t="shared" si="44"/>
        <v>474</v>
      </c>
      <c r="S93" s="243">
        <f t="shared" si="44"/>
        <v>222</v>
      </c>
      <c r="T93" s="243">
        <f t="shared" si="44"/>
        <v>0</v>
      </c>
      <c r="U93" s="243">
        <f t="shared" si="44"/>
        <v>0</v>
      </c>
      <c r="V93" s="243"/>
      <c r="W93" s="11">
        <v>0</v>
      </c>
      <c r="X93" s="11"/>
      <c r="Y93" s="243"/>
      <c r="Z93" s="243"/>
      <c r="AA93" s="243"/>
      <c r="AB93" s="11"/>
      <c r="AC93" s="11"/>
      <c r="AD93" s="11"/>
      <c r="AE93" s="11"/>
      <c r="AF93" s="11"/>
      <c r="AG93" s="11"/>
      <c r="AH93" s="11"/>
      <c r="AI93" s="11"/>
      <c r="AJ93" s="11"/>
      <c r="AK93" s="10"/>
      <c r="AL93" s="26">
        <f>SUM(F93:AJ93)</f>
        <v>1446</v>
      </c>
      <c r="AN93" s="41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X93" s="40"/>
      <c r="BY93" s="40"/>
      <c r="DB93" s="40"/>
      <c r="EJ93" s="30"/>
      <c r="EK93" s="40"/>
      <c r="EL93" s="40"/>
      <c r="EM93" s="40"/>
      <c r="EN93" s="40"/>
      <c r="GQ93" s="40"/>
      <c r="KL93" s="40"/>
      <c r="KM93" s="40"/>
      <c r="KN93" s="40"/>
      <c r="KO93" s="40"/>
      <c r="PS93" s="40"/>
      <c r="PT93" s="40"/>
      <c r="PV93" s="40"/>
      <c r="QJ93" s="39"/>
      <c r="QN93" s="40"/>
      <c r="SQ93" s="39"/>
      <c r="AHZ93" s="5"/>
      <c r="AJO93" s="5"/>
      <c r="AJP93" s="5"/>
      <c r="AJQ93" s="5"/>
    </row>
    <row r="94" spans="2:953" ht="15" customHeight="1" x14ac:dyDescent="0.25">
      <c r="B94" s="136"/>
      <c r="C94" s="160" t="s">
        <v>35</v>
      </c>
      <c r="D94" s="179"/>
      <c r="E94" s="179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1"/>
      <c r="AD94" s="180"/>
      <c r="AE94" s="180"/>
      <c r="AF94" s="180"/>
      <c r="AG94" s="180"/>
      <c r="AH94" s="180"/>
      <c r="AI94" s="180"/>
      <c r="AJ94" s="180"/>
      <c r="AK94" s="31"/>
      <c r="AL94" s="46" t="s">
        <v>34</v>
      </c>
      <c r="BA94" s="35"/>
      <c r="BB94" s="35"/>
      <c r="BC94" s="35"/>
      <c r="BD94" s="35"/>
      <c r="BE94" s="35"/>
      <c r="BF94" s="35"/>
      <c r="BG94" s="35"/>
      <c r="BH94" s="35"/>
      <c r="BI94" s="35"/>
      <c r="BJ94" s="35"/>
    </row>
    <row r="95" spans="2:953" ht="15" customHeight="1" x14ac:dyDescent="0.25">
      <c r="B95" s="134"/>
      <c r="C95" s="240" t="s">
        <v>33</v>
      </c>
      <c r="D95" s="191"/>
      <c r="E95" s="134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0"/>
      <c r="AL95" s="45" t="s">
        <v>33</v>
      </c>
      <c r="AN95" s="41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X95" s="40"/>
      <c r="BY95" s="40"/>
      <c r="DB95" s="40"/>
      <c r="EJ95" s="30"/>
      <c r="EK95" s="40"/>
      <c r="EL95" s="40"/>
      <c r="EM95" s="40"/>
      <c r="EN95" s="40"/>
      <c r="GQ95" s="40"/>
      <c r="KL95" s="40"/>
      <c r="KM95" s="40"/>
      <c r="KN95" s="40"/>
      <c r="KO95" s="40"/>
      <c r="PS95" s="40"/>
      <c r="PT95" s="40"/>
      <c r="PV95" s="40"/>
      <c r="QJ95" s="39"/>
      <c r="QN95" s="40"/>
      <c r="SQ95" s="39"/>
      <c r="AHZ95" s="5"/>
      <c r="AJO95" s="5"/>
      <c r="AJP95" s="5"/>
      <c r="AJQ95" s="5"/>
    </row>
    <row r="96" spans="2:953" ht="15" customHeight="1" x14ac:dyDescent="0.25">
      <c r="B96" s="134"/>
      <c r="C96" s="135" t="s">
        <v>57</v>
      </c>
      <c r="D96" s="285">
        <v>0.3</v>
      </c>
      <c r="E96" s="212" t="s">
        <v>29</v>
      </c>
      <c r="F96" s="287" t="e">
        <f t="shared" ref="F96:AJ97" si="45">F89/F80*100</f>
        <v>#DIV/0!</v>
      </c>
      <c r="G96" s="287" t="e">
        <f t="shared" si="45"/>
        <v>#DIV/0!</v>
      </c>
      <c r="H96" s="287" t="e">
        <f>H89/H80*100</f>
        <v>#DIV/0!</v>
      </c>
      <c r="I96" s="287" t="e">
        <f t="shared" si="45"/>
        <v>#DIV/0!</v>
      </c>
      <c r="J96" s="287">
        <f t="shared" si="45"/>
        <v>0</v>
      </c>
      <c r="K96" s="287">
        <f t="shared" si="45"/>
        <v>1.0028972587474927</v>
      </c>
      <c r="L96" s="287" t="e">
        <f t="shared" si="45"/>
        <v>#DIV/0!</v>
      </c>
      <c r="M96" s="287">
        <f t="shared" si="45"/>
        <v>0.62313060817547361</v>
      </c>
      <c r="N96" s="287" t="e">
        <f t="shared" si="45"/>
        <v>#DIV/0!</v>
      </c>
      <c r="O96" s="287" t="e">
        <f t="shared" si="45"/>
        <v>#DIV/0!</v>
      </c>
      <c r="P96" s="287" t="e">
        <f t="shared" si="45"/>
        <v>#DIV/0!</v>
      </c>
      <c r="Q96" s="287" t="e">
        <f t="shared" si="45"/>
        <v>#DIV/0!</v>
      </c>
      <c r="R96" s="287" t="e">
        <f t="shared" si="45"/>
        <v>#DIV/0!</v>
      </c>
      <c r="S96" s="287" t="e">
        <f t="shared" si="45"/>
        <v>#DIV/0!</v>
      </c>
      <c r="T96" s="287" t="e">
        <f t="shared" si="45"/>
        <v>#DIV/0!</v>
      </c>
      <c r="U96" s="287" t="e">
        <f>U89/U80*100</f>
        <v>#DIV/0!</v>
      </c>
      <c r="V96" s="287" t="e">
        <f t="shared" si="45"/>
        <v>#DIV/0!</v>
      </c>
      <c r="W96" s="287" t="e">
        <f t="shared" si="45"/>
        <v>#DIV/0!</v>
      </c>
      <c r="X96" s="287">
        <f t="shared" si="45"/>
        <v>0</v>
      </c>
      <c r="Y96" s="287" t="e">
        <f t="shared" si="45"/>
        <v>#DIV/0!</v>
      </c>
      <c r="Z96" s="287" t="e">
        <f t="shared" si="45"/>
        <v>#DIV/0!</v>
      </c>
      <c r="AA96" s="287" t="e">
        <f t="shared" si="45"/>
        <v>#DIV/0!</v>
      </c>
      <c r="AB96" s="287" t="e">
        <f t="shared" si="45"/>
        <v>#DIV/0!</v>
      </c>
      <c r="AC96" s="287" t="e">
        <f t="shared" si="45"/>
        <v>#DIV/0!</v>
      </c>
      <c r="AD96" s="287" t="e">
        <f t="shared" si="45"/>
        <v>#DIV/0!</v>
      </c>
      <c r="AE96" s="287" t="e">
        <f t="shared" si="45"/>
        <v>#DIV/0!</v>
      </c>
      <c r="AF96" s="287" t="e">
        <f t="shared" si="45"/>
        <v>#DIV/0!</v>
      </c>
      <c r="AG96" s="287" t="e">
        <f t="shared" si="45"/>
        <v>#DIV/0!</v>
      </c>
      <c r="AH96" s="287" t="e">
        <f t="shared" si="45"/>
        <v>#DIV/0!</v>
      </c>
      <c r="AI96" s="287" t="e">
        <f t="shared" si="45"/>
        <v>#DIV/0!</v>
      </c>
      <c r="AJ96" s="287" t="e">
        <f t="shared" si="45"/>
        <v>#DIV/0!</v>
      </c>
      <c r="AK96" s="10"/>
      <c r="AL96" s="44">
        <f>AL89/AL80*100</f>
        <v>0.60459492140266025</v>
      </c>
      <c r="AN96" s="41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X96" s="40"/>
      <c r="BY96" s="40"/>
      <c r="DB96" s="40"/>
      <c r="EJ96" s="30"/>
      <c r="EK96" s="40"/>
      <c r="EL96" s="40"/>
      <c r="EM96" s="40"/>
      <c r="EN96" s="40"/>
      <c r="GQ96" s="40"/>
      <c r="KL96" s="40"/>
      <c r="KM96" s="40"/>
      <c r="KN96" s="40"/>
      <c r="KO96" s="40"/>
      <c r="PS96" s="40"/>
      <c r="PT96" s="40"/>
      <c r="PV96" s="40"/>
      <c r="QJ96" s="39"/>
      <c r="QN96" s="40"/>
      <c r="SQ96" s="39"/>
      <c r="AHZ96" s="5"/>
      <c r="AJO96" s="5"/>
      <c r="AJP96" s="5"/>
      <c r="AJQ96" s="5"/>
    </row>
    <row r="97" spans="2:953" ht="15" customHeight="1" x14ac:dyDescent="0.25">
      <c r="B97" s="134"/>
      <c r="C97" s="135" t="s">
        <v>56</v>
      </c>
      <c r="D97" s="285">
        <v>0.3</v>
      </c>
      <c r="E97" s="212" t="s">
        <v>29</v>
      </c>
      <c r="F97" s="287">
        <f t="shared" si="45"/>
        <v>0.42372881355932202</v>
      </c>
      <c r="G97" s="287" t="e">
        <f t="shared" si="45"/>
        <v>#DIV/0!</v>
      </c>
      <c r="H97" s="287" t="e">
        <f>H90/H81*100</f>
        <v>#DIV/0!</v>
      </c>
      <c r="I97" s="287" t="e">
        <f t="shared" si="45"/>
        <v>#DIV/0!</v>
      </c>
      <c r="J97" s="287">
        <f t="shared" si="45"/>
        <v>1.6736401673640167</v>
      </c>
      <c r="K97" s="287" t="e">
        <f t="shared" si="45"/>
        <v>#DIV/0!</v>
      </c>
      <c r="L97" s="287">
        <f t="shared" si="45"/>
        <v>0.41946308724832215</v>
      </c>
      <c r="M97" s="287" t="e">
        <f t="shared" si="45"/>
        <v>#DIV/0!</v>
      </c>
      <c r="N97" s="287" t="e">
        <f t="shared" si="45"/>
        <v>#DIV/0!</v>
      </c>
      <c r="O97" s="287" t="e">
        <f t="shared" si="45"/>
        <v>#DIV/0!</v>
      </c>
      <c r="P97" s="287" t="e">
        <f t="shared" si="45"/>
        <v>#DIV/0!</v>
      </c>
      <c r="Q97" s="287" t="e">
        <f t="shared" si="45"/>
        <v>#DIV/0!</v>
      </c>
      <c r="R97" s="287">
        <f t="shared" si="45"/>
        <v>1.6530654948734045</v>
      </c>
      <c r="S97" s="287">
        <f t="shared" si="45"/>
        <v>0.94243504839531322</v>
      </c>
      <c r="T97" s="287" t="e">
        <f t="shared" si="45"/>
        <v>#DIV/0!</v>
      </c>
      <c r="U97" s="287" t="e">
        <f t="shared" si="45"/>
        <v>#DIV/0!</v>
      </c>
      <c r="V97" s="287" t="e">
        <f t="shared" si="45"/>
        <v>#DIV/0!</v>
      </c>
      <c r="W97" s="287" t="e">
        <f t="shared" si="45"/>
        <v>#DIV/0!</v>
      </c>
      <c r="X97" s="287">
        <f t="shared" si="45"/>
        <v>0</v>
      </c>
      <c r="Y97" s="287" t="e">
        <f t="shared" si="45"/>
        <v>#DIV/0!</v>
      </c>
      <c r="Z97" s="287" t="e">
        <f t="shared" si="45"/>
        <v>#DIV/0!</v>
      </c>
      <c r="AA97" s="287" t="e">
        <f t="shared" si="45"/>
        <v>#DIV/0!</v>
      </c>
      <c r="AB97" s="287" t="e">
        <f t="shared" si="45"/>
        <v>#DIV/0!</v>
      </c>
      <c r="AC97" s="287" t="e">
        <f t="shared" si="45"/>
        <v>#DIV/0!</v>
      </c>
      <c r="AD97" s="287" t="e">
        <f t="shared" si="45"/>
        <v>#DIV/0!</v>
      </c>
      <c r="AE97" s="287" t="e">
        <f t="shared" si="45"/>
        <v>#DIV/0!</v>
      </c>
      <c r="AF97" s="287" t="e">
        <f t="shared" si="45"/>
        <v>#DIV/0!</v>
      </c>
      <c r="AG97" s="287" t="e">
        <f t="shared" si="45"/>
        <v>#DIV/0!</v>
      </c>
      <c r="AH97" s="287" t="e">
        <f t="shared" si="45"/>
        <v>#DIV/0!</v>
      </c>
      <c r="AI97" s="287" t="e">
        <f t="shared" si="45"/>
        <v>#DIV/0!</v>
      </c>
      <c r="AJ97" s="287" t="e">
        <f t="shared" si="45"/>
        <v>#DIV/0!</v>
      </c>
      <c r="AK97" s="10"/>
      <c r="AL97" s="44">
        <f>AL90/AL81*100</f>
        <v>0.87821587347860952</v>
      </c>
      <c r="AN97" s="41"/>
      <c r="AP97" s="3">
        <f>AT79+AT106</f>
        <v>887.49005999999997</v>
      </c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X97" s="40"/>
      <c r="BY97" s="40"/>
      <c r="DB97" s="40"/>
      <c r="EJ97" s="30"/>
      <c r="EK97" s="40"/>
      <c r="EL97" s="40"/>
      <c r="EM97" s="40"/>
      <c r="EN97" s="40"/>
      <c r="GQ97" s="40"/>
      <c r="KL97" s="40"/>
      <c r="KM97" s="40"/>
      <c r="KN97" s="40"/>
      <c r="KO97" s="40"/>
      <c r="PS97" s="40"/>
      <c r="PT97" s="40"/>
      <c r="PV97" s="40"/>
      <c r="QJ97" s="39"/>
      <c r="QN97" s="40"/>
      <c r="SQ97" s="39"/>
      <c r="AHZ97" s="5"/>
      <c r="AJO97" s="5"/>
      <c r="AJP97" s="5"/>
      <c r="AJQ97" s="5"/>
    </row>
    <row r="98" spans="2:953" ht="15" customHeight="1" x14ac:dyDescent="0.25">
      <c r="B98" s="134"/>
      <c r="C98" s="240" t="s">
        <v>32</v>
      </c>
      <c r="D98" s="285"/>
      <c r="E98" s="134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10"/>
      <c r="AL98" s="45" t="s">
        <v>32</v>
      </c>
      <c r="AN98" s="41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X98" s="40"/>
      <c r="BY98" s="40"/>
      <c r="DB98" s="40"/>
      <c r="EJ98" s="30"/>
      <c r="EK98" s="40"/>
      <c r="EL98" s="40"/>
      <c r="EM98" s="40"/>
      <c r="EN98" s="40"/>
      <c r="GQ98" s="40"/>
      <c r="KL98" s="40"/>
      <c r="KM98" s="40"/>
      <c r="KN98" s="40"/>
      <c r="KO98" s="40"/>
      <c r="PS98" s="40"/>
      <c r="PT98" s="40"/>
      <c r="PV98" s="40"/>
      <c r="QJ98" s="39"/>
      <c r="QN98" s="40"/>
      <c r="SQ98" s="39"/>
      <c r="AHZ98" s="5"/>
      <c r="AJO98" s="5"/>
      <c r="AJP98" s="5"/>
      <c r="AJQ98" s="5"/>
    </row>
    <row r="99" spans="2:953" ht="15" customHeight="1" x14ac:dyDescent="0.25">
      <c r="B99" s="134"/>
      <c r="C99" s="135" t="s">
        <v>57</v>
      </c>
      <c r="D99" s="285">
        <v>0.5</v>
      </c>
      <c r="E99" s="212" t="s">
        <v>29</v>
      </c>
      <c r="F99" s="287" t="e">
        <f t="shared" ref="F99:AJ100" si="46">F92/F83*100</f>
        <v>#DIV/0!</v>
      </c>
      <c r="G99" s="287" t="e">
        <f t="shared" si="46"/>
        <v>#DIV/0!</v>
      </c>
      <c r="H99" s="287" t="e">
        <f t="shared" si="46"/>
        <v>#DIV/0!</v>
      </c>
      <c r="I99" s="287" t="e">
        <f t="shared" si="46"/>
        <v>#DIV/0!</v>
      </c>
      <c r="J99" s="287">
        <f t="shared" si="46"/>
        <v>0</v>
      </c>
      <c r="K99" s="287">
        <f t="shared" si="46"/>
        <v>1.0028972587474927</v>
      </c>
      <c r="L99" s="287" t="e">
        <f t="shared" si="46"/>
        <v>#DIV/0!</v>
      </c>
      <c r="M99" s="287">
        <f t="shared" si="46"/>
        <v>0.62313060817547361</v>
      </c>
      <c r="N99" s="287" t="e">
        <f t="shared" si="46"/>
        <v>#DIV/0!</v>
      </c>
      <c r="O99" s="287" t="e">
        <f t="shared" si="46"/>
        <v>#DIV/0!</v>
      </c>
      <c r="P99" s="287" t="e">
        <f t="shared" si="46"/>
        <v>#DIV/0!</v>
      </c>
      <c r="Q99" s="287" t="e">
        <f t="shared" si="46"/>
        <v>#DIV/0!</v>
      </c>
      <c r="R99" s="287" t="e">
        <f t="shared" si="46"/>
        <v>#DIV/0!</v>
      </c>
      <c r="S99" s="287" t="e">
        <f t="shared" si="46"/>
        <v>#DIV/0!</v>
      </c>
      <c r="T99" s="287" t="e">
        <f t="shared" si="46"/>
        <v>#DIV/0!</v>
      </c>
      <c r="U99" s="287" t="e">
        <f t="shared" si="46"/>
        <v>#DIV/0!</v>
      </c>
      <c r="V99" s="287" t="e">
        <f t="shared" si="46"/>
        <v>#DIV/0!</v>
      </c>
      <c r="W99" s="287" t="e">
        <f t="shared" si="46"/>
        <v>#DIV/0!</v>
      </c>
      <c r="X99" s="287">
        <f t="shared" si="46"/>
        <v>0</v>
      </c>
      <c r="Y99" s="287" t="e">
        <f t="shared" si="46"/>
        <v>#DIV/0!</v>
      </c>
      <c r="Z99" s="287" t="e">
        <f t="shared" si="46"/>
        <v>#DIV/0!</v>
      </c>
      <c r="AA99" s="287" t="e">
        <f t="shared" si="46"/>
        <v>#DIV/0!</v>
      </c>
      <c r="AB99" s="287" t="e">
        <f t="shared" si="46"/>
        <v>#DIV/0!</v>
      </c>
      <c r="AC99" s="287" t="e">
        <f t="shared" si="46"/>
        <v>#DIV/0!</v>
      </c>
      <c r="AD99" s="287" t="e">
        <f t="shared" si="46"/>
        <v>#DIV/0!</v>
      </c>
      <c r="AE99" s="287" t="e">
        <f t="shared" si="46"/>
        <v>#DIV/0!</v>
      </c>
      <c r="AF99" s="287" t="e">
        <f t="shared" si="46"/>
        <v>#DIV/0!</v>
      </c>
      <c r="AG99" s="287" t="e">
        <f t="shared" si="46"/>
        <v>#DIV/0!</v>
      </c>
      <c r="AH99" s="287" t="e">
        <f t="shared" si="46"/>
        <v>#DIV/0!</v>
      </c>
      <c r="AI99" s="287" t="e">
        <f t="shared" si="46"/>
        <v>#DIV/0!</v>
      </c>
      <c r="AJ99" s="287" t="e">
        <f t="shared" si="46"/>
        <v>#DIV/0!</v>
      </c>
      <c r="AK99" s="10"/>
      <c r="AL99" s="44">
        <f>AL92/AL83*100</f>
        <v>0.60459492140266025</v>
      </c>
      <c r="AN99" s="41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X99" s="40"/>
      <c r="BY99" s="40"/>
      <c r="DB99" s="40"/>
      <c r="EJ99" s="30"/>
      <c r="EK99" s="40"/>
      <c r="EL99" s="40"/>
      <c r="EM99" s="40"/>
      <c r="EN99" s="40"/>
      <c r="GQ99" s="40"/>
      <c r="KL99" s="40"/>
      <c r="KM99" s="40"/>
      <c r="KN99" s="40"/>
      <c r="KO99" s="40"/>
      <c r="PS99" s="40"/>
      <c r="PT99" s="40"/>
      <c r="PV99" s="40"/>
      <c r="QJ99" s="39"/>
      <c r="QN99" s="40"/>
      <c r="SQ99" s="39"/>
      <c r="AHZ99" s="5"/>
      <c r="AJO99" s="5"/>
      <c r="AJP99" s="5"/>
      <c r="AJQ99" s="5"/>
    </row>
    <row r="100" spans="2:953" ht="15" customHeight="1" x14ac:dyDescent="0.25">
      <c r="B100" s="134"/>
      <c r="C100" s="135" t="s">
        <v>56</v>
      </c>
      <c r="D100" s="285">
        <v>0.5</v>
      </c>
      <c r="E100" s="212" t="s">
        <v>29</v>
      </c>
      <c r="F100" s="287">
        <f t="shared" si="46"/>
        <v>0.42372881355932202</v>
      </c>
      <c r="G100" s="287" t="e">
        <f t="shared" si="46"/>
        <v>#DIV/0!</v>
      </c>
      <c r="H100" s="287" t="e">
        <f t="shared" si="46"/>
        <v>#DIV/0!</v>
      </c>
      <c r="I100" s="287" t="e">
        <f t="shared" si="46"/>
        <v>#DIV/0!</v>
      </c>
      <c r="J100" s="287">
        <f t="shared" si="46"/>
        <v>1.6736401673640167</v>
      </c>
      <c r="K100" s="287" t="e">
        <f t="shared" si="46"/>
        <v>#DIV/0!</v>
      </c>
      <c r="L100" s="287">
        <f t="shared" si="46"/>
        <v>0.41946308724832215</v>
      </c>
      <c r="M100" s="287" t="e">
        <f t="shared" si="46"/>
        <v>#DIV/0!</v>
      </c>
      <c r="N100" s="287" t="e">
        <f t="shared" si="46"/>
        <v>#DIV/0!</v>
      </c>
      <c r="O100" s="287" t="e">
        <f t="shared" si="46"/>
        <v>#DIV/0!</v>
      </c>
      <c r="P100" s="287" t="e">
        <f>P93/P84*100</f>
        <v>#DIV/0!</v>
      </c>
      <c r="Q100" s="287" t="e">
        <f t="shared" si="46"/>
        <v>#DIV/0!</v>
      </c>
      <c r="R100" s="287">
        <f t="shared" si="46"/>
        <v>1.6530654948734045</v>
      </c>
      <c r="S100" s="287">
        <f t="shared" si="46"/>
        <v>0.94243504839531322</v>
      </c>
      <c r="T100" s="287" t="e">
        <f t="shared" si="46"/>
        <v>#DIV/0!</v>
      </c>
      <c r="U100" s="287" t="e">
        <f t="shared" si="46"/>
        <v>#DIV/0!</v>
      </c>
      <c r="V100" s="287" t="e">
        <f t="shared" si="46"/>
        <v>#DIV/0!</v>
      </c>
      <c r="W100" s="287" t="e">
        <f t="shared" si="46"/>
        <v>#DIV/0!</v>
      </c>
      <c r="X100" s="287">
        <f t="shared" si="46"/>
        <v>0</v>
      </c>
      <c r="Y100" s="287" t="e">
        <f t="shared" si="46"/>
        <v>#DIV/0!</v>
      </c>
      <c r="Z100" s="287" t="e">
        <f t="shared" si="46"/>
        <v>#DIV/0!</v>
      </c>
      <c r="AA100" s="287" t="e">
        <f t="shared" si="46"/>
        <v>#DIV/0!</v>
      </c>
      <c r="AB100" s="287" t="e">
        <f t="shared" si="46"/>
        <v>#DIV/0!</v>
      </c>
      <c r="AC100" s="287" t="e">
        <f t="shared" si="46"/>
        <v>#DIV/0!</v>
      </c>
      <c r="AD100" s="287" t="e">
        <f t="shared" si="46"/>
        <v>#DIV/0!</v>
      </c>
      <c r="AE100" s="287" t="e">
        <f t="shared" si="46"/>
        <v>#DIV/0!</v>
      </c>
      <c r="AF100" s="287" t="e">
        <f t="shared" si="46"/>
        <v>#DIV/0!</v>
      </c>
      <c r="AG100" s="287" t="e">
        <f t="shared" si="46"/>
        <v>#DIV/0!</v>
      </c>
      <c r="AH100" s="287" t="e">
        <f t="shared" si="46"/>
        <v>#DIV/0!</v>
      </c>
      <c r="AI100" s="287" t="e">
        <f t="shared" si="46"/>
        <v>#DIV/0!</v>
      </c>
      <c r="AJ100" s="287" t="e">
        <f t="shared" si="46"/>
        <v>#DIV/0!</v>
      </c>
      <c r="AK100" s="10"/>
      <c r="AL100" s="44">
        <f>AL93/AL84*100</f>
        <v>0.87821587347860952</v>
      </c>
      <c r="AN100" s="41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X100" s="40"/>
      <c r="BY100" s="40"/>
      <c r="DB100" s="40"/>
      <c r="EJ100" s="30"/>
      <c r="EK100" s="40"/>
      <c r="EL100" s="40"/>
      <c r="EM100" s="40"/>
      <c r="EN100" s="40"/>
      <c r="GQ100" s="40"/>
      <c r="KL100" s="40"/>
      <c r="KM100" s="40"/>
      <c r="KN100" s="40"/>
      <c r="KO100" s="40"/>
      <c r="PS100" s="40"/>
      <c r="PT100" s="40"/>
      <c r="PV100" s="40"/>
      <c r="QJ100" s="39"/>
      <c r="QN100" s="40"/>
      <c r="SQ100" s="39"/>
      <c r="AHZ100" s="5"/>
      <c r="AJO100" s="5"/>
      <c r="AJP100" s="5"/>
      <c r="AJQ100" s="5"/>
    </row>
    <row r="101" spans="2:953" x14ac:dyDescent="0.25">
      <c r="B101" s="178">
        <v>6</v>
      </c>
      <c r="C101" s="160" t="s">
        <v>55</v>
      </c>
      <c r="D101" s="179"/>
      <c r="E101" s="179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1"/>
      <c r="AD101" s="180"/>
      <c r="AE101" s="180"/>
      <c r="AF101" s="180"/>
      <c r="AG101" s="180"/>
      <c r="AH101" s="180"/>
      <c r="AI101" s="180"/>
      <c r="AJ101" s="180"/>
      <c r="AK101" s="31"/>
      <c r="AL101" s="46" t="s">
        <v>47</v>
      </c>
      <c r="AN101" s="8"/>
      <c r="AP101" s="2"/>
      <c r="AQ101" s="2" t="s">
        <v>157</v>
      </c>
      <c r="AS101" s="2" t="s">
        <v>158</v>
      </c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X101" s="5"/>
      <c r="BY101" s="5"/>
      <c r="DB101" s="5"/>
      <c r="EJ101" s="30"/>
      <c r="EK101" s="5"/>
      <c r="EL101" s="5"/>
      <c r="EM101" s="5"/>
      <c r="EN101" s="5"/>
      <c r="GQ101" s="5"/>
      <c r="KL101" s="5"/>
      <c r="KM101" s="5"/>
      <c r="KN101" s="5"/>
      <c r="KO101" s="5"/>
      <c r="PS101" s="5"/>
      <c r="PT101" s="5"/>
      <c r="PV101" s="5"/>
      <c r="QJ101" s="27"/>
      <c r="QN101" s="5"/>
      <c r="SQ101" s="27"/>
      <c r="AHZ101" s="5"/>
      <c r="AJO101" s="5"/>
      <c r="AJP101" s="5"/>
      <c r="AJQ101" s="5"/>
    </row>
    <row r="102" spans="2:953" x14ac:dyDescent="0.25">
      <c r="B102" s="136"/>
      <c r="C102" s="246" t="s">
        <v>54</v>
      </c>
      <c r="D102" s="247"/>
      <c r="E102" s="248" t="s">
        <v>16</v>
      </c>
      <c r="F102" s="297">
        <v>25525.53</v>
      </c>
      <c r="G102" s="297">
        <v>56821.33</v>
      </c>
      <c r="H102" s="249">
        <v>0</v>
      </c>
      <c r="I102" s="249">
        <v>0</v>
      </c>
      <c r="J102" s="249">
        <v>0</v>
      </c>
      <c r="K102" s="249">
        <v>0</v>
      </c>
      <c r="L102" s="249">
        <v>0</v>
      </c>
      <c r="M102" s="249">
        <v>0</v>
      </c>
      <c r="N102" s="249">
        <v>0</v>
      </c>
      <c r="O102" s="249">
        <v>0</v>
      </c>
      <c r="P102" s="249">
        <v>0</v>
      </c>
      <c r="Q102" s="249">
        <v>0</v>
      </c>
      <c r="R102" s="297">
        <v>34122.120000000003</v>
      </c>
      <c r="S102" s="297">
        <v>51089.97</v>
      </c>
      <c r="T102" s="249"/>
      <c r="U102" s="249"/>
      <c r="V102" s="249"/>
      <c r="W102" s="249"/>
      <c r="X102" s="249"/>
      <c r="Y102" s="297">
        <v>55188.71</v>
      </c>
      <c r="Z102" s="297">
        <f>13035.62+25525.53</f>
        <v>38561.15</v>
      </c>
      <c r="AA102" s="297">
        <v>13036.53</v>
      </c>
      <c r="AB102" s="297">
        <f>13034.72+25526.43</f>
        <v>38561.15</v>
      </c>
      <c r="AC102" s="297">
        <v>26070.34</v>
      </c>
      <c r="AD102" s="297">
        <v>0</v>
      </c>
      <c r="AE102" s="297">
        <v>26070.34</v>
      </c>
      <c r="AF102" s="297">
        <f>13035.62+25524.62</f>
        <v>38560.239999999998</v>
      </c>
      <c r="AG102" s="297">
        <v>26068.53</v>
      </c>
      <c r="AH102" s="297">
        <v>27066.720000000001</v>
      </c>
      <c r="AI102" s="297">
        <v>6409.21</v>
      </c>
      <c r="AJ102" s="297">
        <v>0</v>
      </c>
      <c r="AK102" s="25"/>
      <c r="AL102" s="70">
        <f>SUM(F102:AJ102)</f>
        <v>463151.87000000005</v>
      </c>
      <c r="AN102" s="61"/>
      <c r="AP102" s="2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X102" s="60"/>
      <c r="BY102" s="60"/>
      <c r="DB102" s="60"/>
      <c r="EJ102" s="22"/>
      <c r="EK102" s="60"/>
      <c r="EL102" s="60"/>
      <c r="EM102" s="60"/>
      <c r="EN102" s="60"/>
      <c r="GQ102" s="60"/>
      <c r="KL102" s="60"/>
      <c r="KM102" s="60"/>
      <c r="KN102" s="60"/>
      <c r="KO102" s="60"/>
      <c r="PS102" s="60"/>
      <c r="PT102" s="60"/>
      <c r="PV102" s="60"/>
      <c r="QJ102" s="59"/>
      <c r="QN102" s="60"/>
      <c r="SQ102" s="59"/>
      <c r="AHZ102" s="20"/>
      <c r="AJO102" s="20"/>
      <c r="AJP102" s="20"/>
      <c r="AJQ102" s="20"/>
    </row>
    <row r="103" spans="2:953" x14ac:dyDescent="0.25">
      <c r="B103" s="134"/>
      <c r="C103" s="240" t="s">
        <v>44</v>
      </c>
      <c r="D103" s="191"/>
      <c r="E103" s="212" t="s">
        <v>16</v>
      </c>
      <c r="F103" s="287">
        <v>25525.53</v>
      </c>
      <c r="G103" s="287">
        <v>56821.33</v>
      </c>
      <c r="H103" s="287">
        <f t="shared" ref="H103:AD103" si="47">SUM(H107:H108)*10.86</f>
        <v>0</v>
      </c>
      <c r="I103" s="287">
        <f t="shared" si="47"/>
        <v>0</v>
      </c>
      <c r="J103" s="287">
        <f t="shared" si="47"/>
        <v>0</v>
      </c>
      <c r="K103" s="287">
        <f t="shared" si="47"/>
        <v>0</v>
      </c>
      <c r="L103" s="287">
        <f t="shared" si="47"/>
        <v>0</v>
      </c>
      <c r="M103" s="287">
        <f t="shared" si="47"/>
        <v>0</v>
      </c>
      <c r="N103" s="287">
        <f t="shared" si="47"/>
        <v>0</v>
      </c>
      <c r="O103" s="287">
        <f t="shared" si="47"/>
        <v>0</v>
      </c>
      <c r="P103" s="287">
        <f t="shared" si="47"/>
        <v>0</v>
      </c>
      <c r="Q103" s="287">
        <f t="shared" si="47"/>
        <v>0</v>
      </c>
      <c r="R103" s="287">
        <f>SUM(R107:R108)*10.86</f>
        <v>34762.86</v>
      </c>
      <c r="S103" s="287">
        <f t="shared" si="47"/>
        <v>51172.32</v>
      </c>
      <c r="T103" s="287">
        <f t="shared" si="47"/>
        <v>0</v>
      </c>
      <c r="U103" s="287">
        <f t="shared" si="47"/>
        <v>0</v>
      </c>
      <c r="V103" s="287">
        <f t="shared" si="47"/>
        <v>0</v>
      </c>
      <c r="W103" s="287">
        <f t="shared" si="47"/>
        <v>0</v>
      </c>
      <c r="X103" s="287">
        <f t="shared" si="47"/>
        <v>0</v>
      </c>
      <c r="Y103" s="287">
        <f t="shared" si="47"/>
        <v>55212.24</v>
      </c>
      <c r="Z103" s="287">
        <f t="shared" ref="Z103" si="48">SUM(Z107:Z108)*10.86</f>
        <v>38629.019999999997</v>
      </c>
      <c r="AA103" s="287">
        <f t="shared" si="47"/>
        <v>13075.439999999999</v>
      </c>
      <c r="AB103" s="287">
        <f t="shared" si="47"/>
        <v>38759.339999999997</v>
      </c>
      <c r="AC103" s="287">
        <f t="shared" si="47"/>
        <v>26140.02</v>
      </c>
      <c r="AD103" s="287">
        <f t="shared" si="47"/>
        <v>0</v>
      </c>
      <c r="AE103" s="287">
        <f t="shared" ref="AE103:AJ103" si="49">SUM(AE107:AE108)*10.86</f>
        <v>26183.46</v>
      </c>
      <c r="AF103" s="287">
        <f t="shared" si="49"/>
        <v>38607.299999999996</v>
      </c>
      <c r="AG103" s="287">
        <f t="shared" si="49"/>
        <v>26118.3</v>
      </c>
      <c r="AH103" s="287">
        <f t="shared" si="49"/>
        <v>26085.719999999998</v>
      </c>
      <c r="AI103" s="287">
        <f t="shared" si="49"/>
        <v>6407.4</v>
      </c>
      <c r="AJ103" s="287">
        <f t="shared" si="49"/>
        <v>0</v>
      </c>
      <c r="AK103" s="10"/>
      <c r="AL103" s="44">
        <f>SUM(F103:AJ103)</f>
        <v>463500.27999999997</v>
      </c>
      <c r="AN103" s="41"/>
      <c r="AP103" s="2" t="s">
        <v>175</v>
      </c>
      <c r="AQ103" s="88">
        <v>19536</v>
      </c>
      <c r="AR103" s="3">
        <v>10.86</v>
      </c>
      <c r="AS103" s="35">
        <f>AQ103*AR103</f>
        <v>212160.96</v>
      </c>
      <c r="AT103" s="3">
        <f>AS103/1000</f>
        <v>212.16095999999999</v>
      </c>
      <c r="BA103" s="58"/>
      <c r="BB103" s="57"/>
      <c r="BC103" s="57"/>
      <c r="BD103" s="57"/>
      <c r="BE103" s="57"/>
      <c r="BF103" s="57"/>
      <c r="BG103" s="35"/>
      <c r="BH103" s="35"/>
      <c r="BI103" s="35"/>
      <c r="BJ103" s="35"/>
      <c r="BX103" s="40"/>
      <c r="BY103" s="40"/>
      <c r="DB103" s="40"/>
      <c r="EJ103" s="30"/>
      <c r="EK103" s="40"/>
      <c r="EL103" s="40"/>
      <c r="EM103" s="40"/>
      <c r="EN103" s="40"/>
      <c r="GQ103" s="40"/>
      <c r="KL103" s="40"/>
      <c r="KM103" s="40"/>
      <c r="KN103" s="40"/>
      <c r="KO103" s="40"/>
      <c r="PS103" s="40"/>
      <c r="PT103" s="63"/>
      <c r="PV103" s="40"/>
      <c r="QJ103" s="39"/>
      <c r="QN103" s="40"/>
      <c r="SQ103" s="39"/>
      <c r="AHZ103" s="5"/>
      <c r="AJO103" s="5"/>
      <c r="AJP103" s="5"/>
      <c r="AJQ103" s="5"/>
    </row>
    <row r="104" spans="2:953" x14ac:dyDescent="0.25">
      <c r="B104" s="134"/>
      <c r="C104" s="240" t="s">
        <v>43</v>
      </c>
      <c r="D104" s="191"/>
      <c r="E104" s="212" t="s">
        <v>16</v>
      </c>
      <c r="F104" s="287">
        <f t="shared" ref="F104:AJ104" si="50">F102-F103</f>
        <v>0</v>
      </c>
      <c r="G104" s="287">
        <f t="shared" si="50"/>
        <v>0</v>
      </c>
      <c r="H104" s="287">
        <f t="shared" si="50"/>
        <v>0</v>
      </c>
      <c r="I104" s="287">
        <f t="shared" si="50"/>
        <v>0</v>
      </c>
      <c r="J104" s="287">
        <f t="shared" si="50"/>
        <v>0</v>
      </c>
      <c r="K104" s="287">
        <f t="shared" si="50"/>
        <v>0</v>
      </c>
      <c r="L104" s="287">
        <f>L102-L103</f>
        <v>0</v>
      </c>
      <c r="M104" s="287">
        <f t="shared" si="50"/>
        <v>0</v>
      </c>
      <c r="N104" s="287">
        <f t="shared" si="50"/>
        <v>0</v>
      </c>
      <c r="O104" s="287">
        <f t="shared" si="50"/>
        <v>0</v>
      </c>
      <c r="P104" s="287">
        <f t="shared" si="50"/>
        <v>0</v>
      </c>
      <c r="Q104" s="287">
        <f t="shared" si="50"/>
        <v>0</v>
      </c>
      <c r="R104" s="287">
        <f>R102-R103</f>
        <v>-640.73999999999796</v>
      </c>
      <c r="S104" s="287">
        <f t="shared" si="50"/>
        <v>-82.349999999998545</v>
      </c>
      <c r="T104" s="287">
        <f t="shared" si="50"/>
        <v>0</v>
      </c>
      <c r="U104" s="287">
        <f t="shared" si="50"/>
        <v>0</v>
      </c>
      <c r="V104" s="287">
        <f t="shared" si="50"/>
        <v>0</v>
      </c>
      <c r="W104" s="287">
        <f t="shared" si="50"/>
        <v>0</v>
      </c>
      <c r="X104" s="287">
        <f t="shared" si="50"/>
        <v>0</v>
      </c>
      <c r="Y104" s="287">
        <f t="shared" si="50"/>
        <v>-23.529999999998836</v>
      </c>
      <c r="Z104" s="287">
        <f t="shared" si="50"/>
        <v>-67.869999999995343</v>
      </c>
      <c r="AA104" s="287">
        <f t="shared" si="50"/>
        <v>-38.909999999998035</v>
      </c>
      <c r="AB104" s="287">
        <f t="shared" si="50"/>
        <v>-198.18999999999505</v>
      </c>
      <c r="AC104" s="287">
        <f t="shared" si="50"/>
        <v>-69.680000000000291</v>
      </c>
      <c r="AD104" s="287">
        <f t="shared" si="50"/>
        <v>0</v>
      </c>
      <c r="AE104" s="287">
        <f t="shared" si="50"/>
        <v>-113.11999999999898</v>
      </c>
      <c r="AF104" s="287">
        <f t="shared" si="50"/>
        <v>-47.059999999997672</v>
      </c>
      <c r="AG104" s="287">
        <f t="shared" si="50"/>
        <v>-49.770000000000437</v>
      </c>
      <c r="AH104" s="287">
        <f t="shared" si="50"/>
        <v>981.00000000000364</v>
      </c>
      <c r="AI104" s="287">
        <f t="shared" si="50"/>
        <v>1.8100000000004002</v>
      </c>
      <c r="AJ104" s="287">
        <f t="shared" si="50"/>
        <v>0</v>
      </c>
      <c r="AK104" s="10"/>
      <c r="AL104" s="44">
        <f>SUM(F104:AJ104)</f>
        <v>-348.40999999997712</v>
      </c>
      <c r="AN104" s="41"/>
      <c r="AP104" s="2" t="s">
        <v>176</v>
      </c>
      <c r="AQ104" s="88">
        <v>23165</v>
      </c>
      <c r="AR104" s="3">
        <v>10.86</v>
      </c>
      <c r="AS104" s="35">
        <f>AQ104*AR104</f>
        <v>251571.9</v>
      </c>
      <c r="AT104" s="3">
        <f>AS104/1000</f>
        <v>251.5719</v>
      </c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X104" s="40"/>
      <c r="BY104" s="40"/>
      <c r="DB104" s="40"/>
      <c r="EJ104" s="30"/>
      <c r="EK104" s="40"/>
      <c r="EL104" s="40"/>
      <c r="EM104" s="40"/>
      <c r="EN104" s="40"/>
      <c r="GQ104" s="40"/>
      <c r="KL104" s="40"/>
      <c r="KM104" s="40"/>
      <c r="KN104" s="40"/>
      <c r="KO104" s="40"/>
      <c r="PS104" s="40"/>
      <c r="PT104" s="40"/>
      <c r="PV104" s="40"/>
      <c r="QJ104" s="39"/>
      <c r="QN104" s="40"/>
      <c r="SQ104" s="39"/>
      <c r="AHZ104" s="5"/>
      <c r="AJO104" s="5"/>
      <c r="AJP104" s="5"/>
      <c r="AJQ104" s="5"/>
    </row>
    <row r="105" spans="2:953" x14ac:dyDescent="0.25">
      <c r="B105" s="134"/>
      <c r="C105" s="240" t="s">
        <v>58</v>
      </c>
      <c r="D105" s="191"/>
      <c r="E105" s="212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>
        <v>1000</v>
      </c>
      <c r="AI105" s="287"/>
      <c r="AJ105" s="287"/>
      <c r="AK105" s="10"/>
      <c r="AL105" s="44">
        <f>SUM(F105:AJ105)</f>
        <v>1000</v>
      </c>
      <c r="AN105" s="41"/>
      <c r="AP105" s="2"/>
      <c r="AQ105" s="357"/>
      <c r="AR105" s="3"/>
      <c r="AS105" s="35"/>
      <c r="AT105" s="3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X105" s="40"/>
      <c r="BY105" s="40"/>
      <c r="DB105" s="40"/>
      <c r="EJ105" s="30"/>
      <c r="EK105" s="40"/>
      <c r="EL105" s="40"/>
      <c r="EM105" s="40"/>
      <c r="EN105" s="40"/>
      <c r="GQ105" s="40"/>
      <c r="KL105" s="40"/>
      <c r="KM105" s="40"/>
      <c r="KN105" s="40"/>
      <c r="KO105" s="40"/>
      <c r="PS105" s="40"/>
      <c r="PT105" s="40"/>
      <c r="PV105" s="40"/>
      <c r="QJ105" s="39"/>
      <c r="QN105" s="40"/>
      <c r="SQ105" s="39"/>
      <c r="AHZ105" s="5"/>
      <c r="AJO105" s="5"/>
      <c r="AJP105" s="5"/>
      <c r="AJQ105" s="5"/>
    </row>
    <row r="106" spans="2:953" x14ac:dyDescent="0.25">
      <c r="B106" s="134"/>
      <c r="C106" s="240" t="s">
        <v>33</v>
      </c>
      <c r="D106" s="191"/>
      <c r="E106" s="134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0"/>
      <c r="AL106" s="45" t="s">
        <v>33</v>
      </c>
      <c r="AN106" s="41"/>
      <c r="AP106" s="2"/>
      <c r="AQ106" s="35"/>
      <c r="AT106" s="322">
        <f>SUM(AT103:AT104)</f>
        <v>463.73285999999996</v>
      </c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X106" s="40"/>
      <c r="BY106" s="40"/>
      <c r="DB106" s="40"/>
      <c r="EJ106" s="30"/>
      <c r="EK106" s="40"/>
      <c r="EL106" s="40"/>
      <c r="EM106" s="40"/>
      <c r="EN106" s="40"/>
      <c r="GQ106" s="40"/>
      <c r="KL106" s="40"/>
      <c r="KM106" s="40"/>
      <c r="KN106" s="40"/>
      <c r="KO106" s="40"/>
      <c r="PS106" s="40"/>
      <c r="PT106" s="40"/>
      <c r="PV106" s="40"/>
      <c r="QJ106" s="39"/>
      <c r="QN106" s="40"/>
      <c r="SQ106" s="39"/>
      <c r="AHZ106" s="5"/>
      <c r="AJO106" s="5"/>
      <c r="AJP106" s="5"/>
      <c r="AJQ106" s="5"/>
    </row>
    <row r="107" spans="2:953" x14ac:dyDescent="0.25">
      <c r="B107" s="166"/>
      <c r="C107" s="164" t="s">
        <v>53</v>
      </c>
      <c r="D107" s="165"/>
      <c r="E107" s="242" t="s">
        <v>36</v>
      </c>
      <c r="F107" s="243">
        <v>0</v>
      </c>
      <c r="G107" s="243">
        <v>0</v>
      </c>
      <c r="H107" s="243">
        <v>0</v>
      </c>
      <c r="I107" s="243">
        <v>0</v>
      </c>
      <c r="J107" s="243">
        <v>0</v>
      </c>
      <c r="K107" s="243">
        <v>0</v>
      </c>
      <c r="L107" s="243">
        <v>0</v>
      </c>
      <c r="M107" s="243">
        <v>0</v>
      </c>
      <c r="N107" s="243">
        <v>0</v>
      </c>
      <c r="O107" s="243">
        <v>0</v>
      </c>
      <c r="P107" s="243">
        <v>0</v>
      </c>
      <c r="Q107" s="243">
        <v>0</v>
      </c>
      <c r="R107" s="243">
        <v>0</v>
      </c>
      <c r="S107" s="243">
        <v>0</v>
      </c>
      <c r="T107" s="243"/>
      <c r="U107" s="243"/>
      <c r="V107" s="243">
        <v>0</v>
      </c>
      <c r="W107" s="243">
        <v>0</v>
      </c>
      <c r="X107" s="243">
        <v>0</v>
      </c>
      <c r="Y107" s="243">
        <v>5084</v>
      </c>
      <c r="Z107" s="243">
        <v>1205</v>
      </c>
      <c r="AA107" s="243">
        <v>1204</v>
      </c>
      <c r="AB107" s="243">
        <v>1217</v>
      </c>
      <c r="AC107" s="243">
        <v>2407</v>
      </c>
      <c r="AD107" s="249">
        <v>0</v>
      </c>
      <c r="AE107" s="243">
        <v>2411</v>
      </c>
      <c r="AF107" s="243">
        <v>1201</v>
      </c>
      <c r="AG107" s="243">
        <v>2405</v>
      </c>
      <c r="AH107" s="243">
        <v>2402</v>
      </c>
      <c r="AI107" s="243">
        <v>0</v>
      </c>
      <c r="AJ107" s="243">
        <v>0</v>
      </c>
      <c r="AK107" s="51"/>
      <c r="AL107" s="50">
        <f>SUM(F107:AJ107)</f>
        <v>19536</v>
      </c>
      <c r="AN107" s="49"/>
      <c r="AP107" s="2"/>
      <c r="AQ107" s="3"/>
      <c r="AR107" s="122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X107" s="48"/>
      <c r="BY107" s="48"/>
      <c r="DB107" s="48"/>
      <c r="EJ107" s="16"/>
      <c r="EK107" s="48"/>
      <c r="EL107" s="48"/>
      <c r="EM107" s="48"/>
      <c r="EN107" s="48"/>
      <c r="GQ107" s="48"/>
      <c r="KL107" s="48"/>
      <c r="KM107" s="48"/>
      <c r="KN107" s="48"/>
      <c r="KO107" s="48"/>
      <c r="PS107" s="48"/>
      <c r="PT107" s="48"/>
      <c r="PV107" s="48"/>
      <c r="QJ107" s="47"/>
      <c r="QN107" s="48"/>
      <c r="SQ107" s="47"/>
      <c r="AHZ107" s="14"/>
      <c r="AJO107" s="14"/>
      <c r="AJP107" s="14"/>
      <c r="AJQ107" s="14"/>
    </row>
    <row r="108" spans="2:953" x14ac:dyDescent="0.25">
      <c r="B108" s="166"/>
      <c r="C108" s="164" t="s">
        <v>52</v>
      </c>
      <c r="D108" s="165"/>
      <c r="E108" s="242" t="s">
        <v>36</v>
      </c>
      <c r="F108" s="243">
        <v>2359</v>
      </c>
      <c r="G108" s="243">
        <v>5245</v>
      </c>
      <c r="H108" s="243">
        <v>0</v>
      </c>
      <c r="I108" s="243">
        <v>0</v>
      </c>
      <c r="J108" s="243">
        <v>0</v>
      </c>
      <c r="K108" s="243">
        <v>0</v>
      </c>
      <c r="L108" s="243">
        <v>0</v>
      </c>
      <c r="M108" s="243">
        <v>0</v>
      </c>
      <c r="N108" s="243">
        <v>0</v>
      </c>
      <c r="O108" s="243">
        <v>0</v>
      </c>
      <c r="P108" s="243">
        <v>0</v>
      </c>
      <c r="Q108" s="243">
        <v>0</v>
      </c>
      <c r="R108" s="243">
        <v>3201</v>
      </c>
      <c r="S108" s="243">
        <v>4712</v>
      </c>
      <c r="T108" s="243">
        <v>0</v>
      </c>
      <c r="U108" s="243">
        <v>0</v>
      </c>
      <c r="V108" s="243">
        <v>0</v>
      </c>
      <c r="W108" s="243">
        <v>0</v>
      </c>
      <c r="X108" s="243">
        <v>0</v>
      </c>
      <c r="Y108" s="243">
        <v>0</v>
      </c>
      <c r="Z108" s="243">
        <v>2352</v>
      </c>
      <c r="AA108" s="243">
        <v>0</v>
      </c>
      <c r="AB108" s="243">
        <v>2352</v>
      </c>
      <c r="AC108" s="243"/>
      <c r="AD108" s="243"/>
      <c r="AE108" s="249"/>
      <c r="AF108" s="243">
        <v>2354</v>
      </c>
      <c r="AG108" s="243">
        <v>0</v>
      </c>
      <c r="AH108" s="243">
        <v>0</v>
      </c>
      <c r="AI108" s="243">
        <v>590</v>
      </c>
      <c r="AJ108" s="243">
        <v>0</v>
      </c>
      <c r="AK108" s="51"/>
      <c r="AL108" s="50">
        <f>SUM(F108:AJ108)</f>
        <v>23165</v>
      </c>
      <c r="AN108" s="49"/>
      <c r="AP108" s="2"/>
      <c r="AT108" s="3">
        <v>0</v>
      </c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X108" s="48"/>
      <c r="BY108" s="48"/>
      <c r="DB108" s="48"/>
      <c r="EJ108" s="16"/>
      <c r="EK108" s="48"/>
      <c r="EL108" s="48"/>
      <c r="EM108" s="48"/>
      <c r="EN108" s="48"/>
      <c r="GQ108" s="48"/>
      <c r="KL108" s="48"/>
      <c r="KM108" s="48"/>
      <c r="KN108" s="48"/>
      <c r="KO108" s="48"/>
      <c r="PS108" s="48"/>
      <c r="PT108" s="48"/>
      <c r="PV108" s="48"/>
      <c r="QJ108" s="47"/>
      <c r="QN108" s="48"/>
      <c r="SQ108" s="47"/>
      <c r="AHZ108" s="14"/>
      <c r="AJO108" s="14"/>
      <c r="AJP108" s="14"/>
      <c r="AJQ108" s="14"/>
    </row>
    <row r="109" spans="2:953" x14ac:dyDescent="0.25">
      <c r="B109" s="134"/>
      <c r="C109" s="240" t="s">
        <v>32</v>
      </c>
      <c r="D109" s="191"/>
      <c r="E109" s="134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0"/>
      <c r="AL109" s="45" t="s">
        <v>32</v>
      </c>
      <c r="AN109" s="41"/>
      <c r="AP109" s="2"/>
      <c r="AT109" s="3">
        <f>SUM(AT108,AT106)</f>
        <v>463.73285999999996</v>
      </c>
      <c r="AU109" s="2" t="s">
        <v>159</v>
      </c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X109" s="40"/>
      <c r="BY109" s="40"/>
      <c r="DB109" s="40"/>
      <c r="EJ109" s="30"/>
      <c r="EK109" s="40"/>
      <c r="EL109" s="40"/>
      <c r="EM109" s="40"/>
      <c r="EN109" s="40"/>
      <c r="GQ109" s="40"/>
      <c r="KL109" s="40"/>
      <c r="KM109" s="40"/>
      <c r="KN109" s="40"/>
      <c r="KO109" s="40"/>
      <c r="PS109" s="40"/>
      <c r="PT109" s="40"/>
      <c r="PV109" s="40"/>
      <c r="QJ109" s="39"/>
      <c r="QN109" s="40"/>
      <c r="SQ109" s="39"/>
      <c r="AHZ109" s="5"/>
      <c r="AJO109" s="5"/>
      <c r="AJP109" s="5"/>
      <c r="AJQ109" s="5"/>
    </row>
    <row r="110" spans="2:953" x14ac:dyDescent="0.25">
      <c r="B110" s="134"/>
      <c r="C110" s="164" t="s">
        <v>53</v>
      </c>
      <c r="D110" s="191"/>
      <c r="E110" s="212" t="s">
        <v>32</v>
      </c>
      <c r="F110" s="11">
        <f>F107*12</f>
        <v>0</v>
      </c>
      <c r="G110" s="11">
        <f t="shared" ref="G110:AJ110" si="51">G107*12</f>
        <v>0</v>
      </c>
      <c r="H110" s="11">
        <f t="shared" si="51"/>
        <v>0</v>
      </c>
      <c r="I110" s="11">
        <f t="shared" si="51"/>
        <v>0</v>
      </c>
      <c r="J110" s="11">
        <f t="shared" si="51"/>
        <v>0</v>
      </c>
      <c r="K110" s="11">
        <f t="shared" si="51"/>
        <v>0</v>
      </c>
      <c r="L110" s="11">
        <f t="shared" si="51"/>
        <v>0</v>
      </c>
      <c r="M110" s="11">
        <f t="shared" si="51"/>
        <v>0</v>
      </c>
      <c r="N110" s="11">
        <f t="shared" si="51"/>
        <v>0</v>
      </c>
      <c r="O110" s="11">
        <f t="shared" si="51"/>
        <v>0</v>
      </c>
      <c r="P110" s="11">
        <f t="shared" si="51"/>
        <v>0</v>
      </c>
      <c r="Q110" s="11">
        <f t="shared" si="51"/>
        <v>0</v>
      </c>
      <c r="R110" s="11">
        <f t="shared" si="51"/>
        <v>0</v>
      </c>
      <c r="S110" s="11">
        <f t="shared" si="51"/>
        <v>0</v>
      </c>
      <c r="T110" s="11">
        <f t="shared" si="51"/>
        <v>0</v>
      </c>
      <c r="U110" s="11">
        <f t="shared" si="51"/>
        <v>0</v>
      </c>
      <c r="V110" s="11">
        <f>V107*12</f>
        <v>0</v>
      </c>
      <c r="W110" s="11">
        <f t="shared" si="51"/>
        <v>0</v>
      </c>
      <c r="X110" s="11">
        <f t="shared" si="51"/>
        <v>0</v>
      </c>
      <c r="Y110" s="11">
        <f t="shared" si="51"/>
        <v>61008</v>
      </c>
      <c r="Z110" s="11">
        <f t="shared" si="51"/>
        <v>14460</v>
      </c>
      <c r="AA110" s="11">
        <f t="shared" si="51"/>
        <v>14448</v>
      </c>
      <c r="AB110" s="11">
        <f t="shared" si="51"/>
        <v>14604</v>
      </c>
      <c r="AC110" s="11">
        <f t="shared" si="51"/>
        <v>28884</v>
      </c>
      <c r="AD110" s="11">
        <f t="shared" si="51"/>
        <v>0</v>
      </c>
      <c r="AE110" s="11">
        <f t="shared" si="51"/>
        <v>28932</v>
      </c>
      <c r="AF110" s="11">
        <f t="shared" si="51"/>
        <v>14412</v>
      </c>
      <c r="AG110" s="11">
        <f t="shared" si="51"/>
        <v>28860</v>
      </c>
      <c r="AH110" s="11">
        <f t="shared" si="51"/>
        <v>28824</v>
      </c>
      <c r="AI110" s="11">
        <f t="shared" si="51"/>
        <v>0</v>
      </c>
      <c r="AJ110" s="11">
        <f t="shared" si="51"/>
        <v>0</v>
      </c>
      <c r="AK110" s="10"/>
      <c r="AL110" s="26">
        <f>AL107*12</f>
        <v>234432</v>
      </c>
      <c r="AN110" s="41"/>
      <c r="AP110" s="2"/>
      <c r="AT110" s="35">
        <v>8452</v>
      </c>
      <c r="AU110" s="2" t="s">
        <v>160</v>
      </c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X110" s="40"/>
      <c r="BY110" s="40"/>
      <c r="DB110" s="40"/>
      <c r="EJ110" s="30"/>
      <c r="EK110" s="40"/>
      <c r="EL110" s="40"/>
      <c r="EM110" s="40"/>
      <c r="EN110" s="40"/>
      <c r="GQ110" s="40"/>
      <c r="KL110" s="40"/>
      <c r="KM110" s="40"/>
      <c r="KN110" s="40"/>
      <c r="KO110" s="40"/>
      <c r="PS110" s="40"/>
      <c r="PT110" s="40"/>
      <c r="PV110" s="40"/>
      <c r="QJ110" s="39"/>
      <c r="QN110" s="40"/>
      <c r="SQ110" s="39"/>
      <c r="AHZ110" s="5"/>
      <c r="AJO110" s="5"/>
      <c r="AJP110" s="5"/>
      <c r="AJQ110" s="5"/>
    </row>
    <row r="111" spans="2:953" x14ac:dyDescent="0.25">
      <c r="B111" s="134"/>
      <c r="C111" s="164" t="s">
        <v>52</v>
      </c>
      <c r="D111" s="191"/>
      <c r="E111" s="212" t="s">
        <v>32</v>
      </c>
      <c r="F111" s="11">
        <f t="shared" ref="F111:AJ111" si="52">F108*6</f>
        <v>14154</v>
      </c>
      <c r="G111" s="11">
        <f t="shared" si="52"/>
        <v>31470</v>
      </c>
      <c r="H111" s="11">
        <f t="shared" si="52"/>
        <v>0</v>
      </c>
      <c r="I111" s="11">
        <f t="shared" si="52"/>
        <v>0</v>
      </c>
      <c r="J111" s="11">
        <f t="shared" si="52"/>
        <v>0</v>
      </c>
      <c r="K111" s="11">
        <f t="shared" si="52"/>
        <v>0</v>
      </c>
      <c r="L111" s="11">
        <f t="shared" si="52"/>
        <v>0</v>
      </c>
      <c r="M111" s="11">
        <f t="shared" si="52"/>
        <v>0</v>
      </c>
      <c r="N111" s="11">
        <f t="shared" si="52"/>
        <v>0</v>
      </c>
      <c r="O111" s="11">
        <f t="shared" si="52"/>
        <v>0</v>
      </c>
      <c r="P111" s="11">
        <f t="shared" si="52"/>
        <v>0</v>
      </c>
      <c r="Q111" s="11">
        <f t="shared" si="52"/>
        <v>0</v>
      </c>
      <c r="R111" s="11">
        <f t="shared" si="52"/>
        <v>19206</v>
      </c>
      <c r="S111" s="11">
        <f t="shared" si="52"/>
        <v>28272</v>
      </c>
      <c r="T111" s="11">
        <f t="shared" si="52"/>
        <v>0</v>
      </c>
      <c r="U111" s="11">
        <f t="shared" si="52"/>
        <v>0</v>
      </c>
      <c r="V111" s="11">
        <f t="shared" si="52"/>
        <v>0</v>
      </c>
      <c r="W111" s="11">
        <f t="shared" si="52"/>
        <v>0</v>
      </c>
      <c r="X111" s="11">
        <f t="shared" si="52"/>
        <v>0</v>
      </c>
      <c r="Y111" s="11">
        <f t="shared" si="52"/>
        <v>0</v>
      </c>
      <c r="Z111" s="11">
        <f t="shared" si="52"/>
        <v>14112</v>
      </c>
      <c r="AA111" s="11">
        <f t="shared" si="52"/>
        <v>0</v>
      </c>
      <c r="AB111" s="11">
        <f t="shared" si="52"/>
        <v>14112</v>
      </c>
      <c r="AC111" s="11">
        <f t="shared" si="52"/>
        <v>0</v>
      </c>
      <c r="AD111" s="11">
        <f t="shared" si="52"/>
        <v>0</v>
      </c>
      <c r="AE111" s="11">
        <f t="shared" si="52"/>
        <v>0</v>
      </c>
      <c r="AF111" s="11">
        <f t="shared" si="52"/>
        <v>14124</v>
      </c>
      <c r="AG111" s="11">
        <f t="shared" si="52"/>
        <v>0</v>
      </c>
      <c r="AH111" s="11">
        <f t="shared" si="52"/>
        <v>0</v>
      </c>
      <c r="AI111" s="11">
        <f t="shared" si="52"/>
        <v>3540</v>
      </c>
      <c r="AJ111" s="11">
        <f t="shared" si="52"/>
        <v>0</v>
      </c>
      <c r="AK111" s="10"/>
      <c r="AL111" s="26">
        <f>AL108*6</f>
        <v>138990</v>
      </c>
      <c r="AN111" s="41"/>
      <c r="AP111" s="2"/>
      <c r="AT111" s="3">
        <f>AT109/AT110*100</f>
        <v>5.4866642214860386</v>
      </c>
      <c r="AU111" s="2" t="s">
        <v>29</v>
      </c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X111" s="40"/>
      <c r="BY111" s="40"/>
      <c r="DB111" s="40"/>
      <c r="EJ111" s="30"/>
      <c r="EK111" s="40"/>
      <c r="EL111" s="40"/>
      <c r="EM111" s="40"/>
      <c r="EN111" s="40"/>
      <c r="GQ111" s="40"/>
      <c r="KL111" s="40"/>
      <c r="KM111" s="40"/>
      <c r="KN111" s="40"/>
      <c r="KO111" s="40"/>
      <c r="PS111" s="40"/>
      <c r="PT111" s="40"/>
      <c r="PV111" s="40"/>
      <c r="QJ111" s="39"/>
      <c r="QN111" s="40"/>
      <c r="SQ111" s="39"/>
      <c r="AHZ111" s="5"/>
      <c r="AJO111" s="5"/>
      <c r="AJP111" s="5"/>
      <c r="AJQ111" s="5"/>
    </row>
    <row r="112" spans="2:953" x14ac:dyDescent="0.25">
      <c r="B112" s="134"/>
      <c r="C112" s="240" t="s">
        <v>41</v>
      </c>
      <c r="D112" s="191"/>
      <c r="E112" s="212" t="s">
        <v>40</v>
      </c>
      <c r="F112" s="11">
        <v>0</v>
      </c>
      <c r="G112" s="11">
        <f>(G102*45)/1700</f>
        <v>1504.0940294117647</v>
      </c>
      <c r="H112" s="11">
        <f t="shared" ref="H112:Y112" si="53">(H102*45)/1700</f>
        <v>0</v>
      </c>
      <c r="I112" s="11">
        <f t="shared" si="53"/>
        <v>0</v>
      </c>
      <c r="J112" s="11">
        <f t="shared" si="53"/>
        <v>0</v>
      </c>
      <c r="K112" s="11">
        <f t="shared" si="53"/>
        <v>0</v>
      </c>
      <c r="L112" s="11">
        <f t="shared" si="53"/>
        <v>0</v>
      </c>
      <c r="M112" s="11">
        <f t="shared" si="53"/>
        <v>0</v>
      </c>
      <c r="N112" s="11">
        <f t="shared" si="53"/>
        <v>0</v>
      </c>
      <c r="O112" s="11">
        <f t="shared" si="53"/>
        <v>0</v>
      </c>
      <c r="P112" s="11">
        <f t="shared" si="53"/>
        <v>0</v>
      </c>
      <c r="Q112" s="11">
        <f t="shared" si="53"/>
        <v>0</v>
      </c>
      <c r="R112" s="11">
        <f t="shared" si="53"/>
        <v>903.2325882352942</v>
      </c>
      <c r="S112" s="11">
        <f t="shared" si="53"/>
        <v>1352.3815588235293</v>
      </c>
      <c r="T112" s="11">
        <f t="shared" si="53"/>
        <v>0</v>
      </c>
      <c r="U112" s="11">
        <f t="shared" si="53"/>
        <v>0</v>
      </c>
      <c r="V112" s="11">
        <f t="shared" si="53"/>
        <v>0</v>
      </c>
      <c r="W112" s="11">
        <f t="shared" si="53"/>
        <v>0</v>
      </c>
      <c r="X112" s="11">
        <f t="shared" si="53"/>
        <v>0</v>
      </c>
      <c r="Y112" s="11">
        <f t="shared" si="53"/>
        <v>1460.877617647059</v>
      </c>
      <c r="Z112" s="11">
        <f t="shared" ref="Z112:AJ112" si="54">Z102*45/1700</f>
        <v>1020.7363235294117</v>
      </c>
      <c r="AA112" s="11">
        <f t="shared" si="54"/>
        <v>345.08461764705879</v>
      </c>
      <c r="AB112" s="11">
        <f t="shared" si="54"/>
        <v>1020.7363235294117</v>
      </c>
      <c r="AC112" s="250">
        <f t="shared" si="54"/>
        <v>690.0972352941177</v>
      </c>
      <c r="AD112" s="11">
        <f t="shared" si="54"/>
        <v>0</v>
      </c>
      <c r="AE112" s="11">
        <f t="shared" si="54"/>
        <v>690.0972352941177</v>
      </c>
      <c r="AF112" s="11">
        <f t="shared" si="54"/>
        <v>1020.7122352941176</v>
      </c>
      <c r="AG112" s="11">
        <f t="shared" si="54"/>
        <v>690.04932352941171</v>
      </c>
      <c r="AH112" s="11">
        <f t="shared" si="54"/>
        <v>716.47200000000009</v>
      </c>
      <c r="AI112" s="11">
        <f t="shared" si="54"/>
        <v>169.65555882352942</v>
      </c>
      <c r="AJ112" s="11">
        <f t="shared" si="54"/>
        <v>0</v>
      </c>
      <c r="AK112" s="10"/>
      <c r="AL112" s="62">
        <f>SUM(F112:AJ112)</f>
        <v>11584.226647058822</v>
      </c>
      <c r="AN112" s="41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X112" s="40"/>
      <c r="BY112" s="40"/>
      <c r="DB112" s="40"/>
      <c r="EJ112" s="30"/>
      <c r="EK112" s="40"/>
      <c r="EL112" s="40"/>
      <c r="EM112" s="40"/>
      <c r="EN112" s="40"/>
      <c r="GQ112" s="40"/>
      <c r="KL112" s="40"/>
      <c r="KM112" s="40"/>
      <c r="KN112" s="40"/>
      <c r="KO112" s="40"/>
      <c r="PS112" s="40"/>
      <c r="PT112" s="40"/>
      <c r="PV112" s="40"/>
      <c r="QJ112" s="39"/>
      <c r="QN112" s="40"/>
      <c r="SQ112" s="39"/>
      <c r="AHZ112" s="5"/>
      <c r="AJO112" s="5"/>
      <c r="AJP112" s="5"/>
      <c r="AJQ112" s="5"/>
    </row>
    <row r="113" spans="2:953" x14ac:dyDescent="0.25">
      <c r="B113" s="134"/>
      <c r="C113" s="240" t="s">
        <v>39</v>
      </c>
      <c r="D113" s="191"/>
      <c r="E113" s="212" t="s">
        <v>38</v>
      </c>
      <c r="F113" s="11">
        <f t="shared" ref="F113:AH113" si="55">SUM(F107:F108)/500</f>
        <v>4.718</v>
      </c>
      <c r="G113" s="11">
        <f t="shared" si="55"/>
        <v>10.49</v>
      </c>
      <c r="H113" s="11">
        <f t="shared" si="55"/>
        <v>0</v>
      </c>
      <c r="I113" s="11">
        <f t="shared" si="55"/>
        <v>0</v>
      </c>
      <c r="J113" s="11">
        <f t="shared" si="55"/>
        <v>0</v>
      </c>
      <c r="K113" s="11">
        <f t="shared" si="55"/>
        <v>0</v>
      </c>
      <c r="L113" s="11">
        <f t="shared" si="55"/>
        <v>0</v>
      </c>
      <c r="M113" s="11">
        <f t="shared" si="55"/>
        <v>0</v>
      </c>
      <c r="N113" s="11">
        <f t="shared" si="55"/>
        <v>0</v>
      </c>
      <c r="O113" s="11">
        <f t="shared" si="55"/>
        <v>0</v>
      </c>
      <c r="P113" s="11">
        <f t="shared" si="55"/>
        <v>0</v>
      </c>
      <c r="Q113" s="11">
        <f t="shared" si="55"/>
        <v>0</v>
      </c>
      <c r="R113" s="11">
        <f t="shared" si="55"/>
        <v>6.4020000000000001</v>
      </c>
      <c r="S113" s="11">
        <f t="shared" si="55"/>
        <v>9.4239999999999995</v>
      </c>
      <c r="T113" s="11">
        <f t="shared" si="55"/>
        <v>0</v>
      </c>
      <c r="U113" s="11">
        <f t="shared" si="55"/>
        <v>0</v>
      </c>
      <c r="V113" s="11">
        <f t="shared" si="55"/>
        <v>0</v>
      </c>
      <c r="W113" s="11">
        <f t="shared" si="55"/>
        <v>0</v>
      </c>
      <c r="X113" s="11">
        <f t="shared" si="55"/>
        <v>0</v>
      </c>
      <c r="Y113" s="11">
        <f t="shared" si="55"/>
        <v>10.167999999999999</v>
      </c>
      <c r="Z113" s="11">
        <f t="shared" ref="Z113" si="56">SUM(Z107:Z108)/500</f>
        <v>7.1139999999999999</v>
      </c>
      <c r="AA113" s="11">
        <f t="shared" si="55"/>
        <v>2.4079999999999999</v>
      </c>
      <c r="AB113" s="11">
        <f t="shared" si="55"/>
        <v>7.1379999999999999</v>
      </c>
      <c r="AC113" s="287">
        <f t="shared" si="55"/>
        <v>4.8140000000000001</v>
      </c>
      <c r="AD113" s="11">
        <f t="shared" si="55"/>
        <v>0</v>
      </c>
      <c r="AE113" s="11">
        <f t="shared" ref="AE113:AG113" si="57">SUM(AE107:AE108)/500</f>
        <v>4.8220000000000001</v>
      </c>
      <c r="AF113" s="11">
        <f t="shared" si="57"/>
        <v>7.11</v>
      </c>
      <c r="AG113" s="11">
        <f t="shared" si="57"/>
        <v>4.8099999999999996</v>
      </c>
      <c r="AH113" s="11">
        <f t="shared" si="55"/>
        <v>4.8040000000000003</v>
      </c>
      <c r="AI113" s="11">
        <f t="shared" ref="AI113:AJ113" si="58">SUM(AI107:AI108)/500</f>
        <v>1.18</v>
      </c>
      <c r="AJ113" s="11">
        <f t="shared" si="58"/>
        <v>0</v>
      </c>
      <c r="AK113" s="10"/>
      <c r="AL113" s="62">
        <f>SUM(F113:AJ113)</f>
        <v>85.402000000000001</v>
      </c>
      <c r="AN113" s="41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X113" s="40"/>
      <c r="BY113" s="40"/>
      <c r="DB113" s="40"/>
      <c r="EJ113" s="30"/>
      <c r="EK113" s="40"/>
      <c r="EL113" s="40"/>
      <c r="EM113" s="40"/>
      <c r="EN113" s="40"/>
      <c r="GQ113" s="40"/>
      <c r="KL113" s="40"/>
      <c r="KM113" s="40"/>
      <c r="KN113" s="40"/>
      <c r="KO113" s="40"/>
      <c r="PS113" s="40"/>
      <c r="PT113" s="40"/>
      <c r="PV113" s="40"/>
      <c r="QJ113" s="39"/>
      <c r="QN113" s="40"/>
      <c r="SQ113" s="39"/>
      <c r="AHZ113" s="5"/>
      <c r="AJO113" s="5"/>
      <c r="AJP113" s="5"/>
      <c r="AJQ113" s="5"/>
    </row>
    <row r="114" spans="2:953" x14ac:dyDescent="0.25">
      <c r="B114" s="136"/>
      <c r="C114" s="160" t="s">
        <v>37</v>
      </c>
      <c r="D114" s="179"/>
      <c r="E114" s="179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1"/>
      <c r="AD114" s="180"/>
      <c r="AE114" s="180"/>
      <c r="AF114" s="180"/>
      <c r="AG114" s="180"/>
      <c r="AH114" s="180"/>
      <c r="AI114" s="180"/>
      <c r="AJ114" s="180"/>
      <c r="AK114" s="31"/>
      <c r="AL114" s="46" t="s">
        <v>34</v>
      </c>
      <c r="AN114" s="8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X114" s="5"/>
      <c r="BY114" s="5"/>
      <c r="DB114" s="5"/>
      <c r="EJ114" s="30"/>
      <c r="EK114" s="5"/>
      <c r="EL114" s="5"/>
      <c r="EM114" s="5"/>
      <c r="EN114" s="5"/>
      <c r="GQ114" s="5"/>
      <c r="KL114" s="5"/>
      <c r="KM114" s="5"/>
      <c r="KN114" s="5"/>
      <c r="KO114" s="5"/>
      <c r="PS114" s="5"/>
      <c r="PT114" s="5"/>
      <c r="PV114" s="5"/>
      <c r="QJ114" s="27"/>
      <c r="QN114" s="5"/>
      <c r="SQ114" s="27"/>
      <c r="AHZ114" s="5"/>
      <c r="AJO114" s="5"/>
      <c r="AJP114" s="5"/>
      <c r="AJQ114" s="5"/>
    </row>
    <row r="115" spans="2:953" x14ac:dyDescent="0.25">
      <c r="B115" s="134"/>
      <c r="C115" s="240" t="s">
        <v>33</v>
      </c>
      <c r="D115" s="191"/>
      <c r="E115" s="134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0"/>
      <c r="AL115" s="45" t="s">
        <v>33</v>
      </c>
      <c r="AN115" s="41"/>
      <c r="BX115" s="40"/>
      <c r="BY115" s="40"/>
      <c r="DB115" s="40"/>
      <c r="EJ115" s="30"/>
      <c r="EK115" s="40"/>
      <c r="EL115" s="40"/>
      <c r="EM115" s="40"/>
      <c r="EN115" s="40"/>
      <c r="GQ115" s="40"/>
      <c r="KL115" s="40"/>
      <c r="KM115" s="40"/>
      <c r="KN115" s="40"/>
      <c r="KO115" s="40"/>
      <c r="PS115" s="40"/>
      <c r="PT115" s="40"/>
      <c r="PV115" s="40"/>
      <c r="QJ115" s="39"/>
      <c r="QN115" s="40"/>
      <c r="SQ115" s="39"/>
      <c r="AHZ115" s="5"/>
      <c r="AJO115" s="5"/>
      <c r="AJP115" s="5"/>
      <c r="AJQ115" s="5"/>
    </row>
    <row r="116" spans="2:953" x14ac:dyDescent="0.25">
      <c r="B116" s="134"/>
      <c r="C116" s="164" t="s">
        <v>53</v>
      </c>
      <c r="D116" s="191"/>
      <c r="E116" s="212" t="s">
        <v>36</v>
      </c>
      <c r="F116" s="243">
        <v>0</v>
      </c>
      <c r="G116" s="243">
        <v>0</v>
      </c>
      <c r="H116" s="243">
        <v>0</v>
      </c>
      <c r="I116" s="243">
        <v>0</v>
      </c>
      <c r="J116" s="243">
        <v>0</v>
      </c>
      <c r="K116" s="243">
        <v>0</v>
      </c>
      <c r="L116" s="243">
        <v>0</v>
      </c>
      <c r="M116" s="243">
        <v>0</v>
      </c>
      <c r="N116" s="243">
        <v>0</v>
      </c>
      <c r="O116" s="243">
        <v>0</v>
      </c>
      <c r="P116" s="243">
        <v>0</v>
      </c>
      <c r="Q116" s="243">
        <v>0</v>
      </c>
      <c r="R116" s="243">
        <v>0</v>
      </c>
      <c r="S116" s="243">
        <v>0</v>
      </c>
      <c r="T116" s="243">
        <v>0</v>
      </c>
      <c r="U116" s="243">
        <v>0</v>
      </c>
      <c r="V116" s="243">
        <v>0</v>
      </c>
      <c r="W116" s="243">
        <v>0</v>
      </c>
      <c r="X116" s="243">
        <v>0</v>
      </c>
      <c r="Y116" s="243">
        <v>3</v>
      </c>
      <c r="Z116" s="243">
        <v>5</v>
      </c>
      <c r="AA116" s="243">
        <v>4</v>
      </c>
      <c r="AB116" s="243">
        <v>17</v>
      </c>
      <c r="AC116" s="243">
        <v>7</v>
      </c>
      <c r="AD116" s="243">
        <v>0</v>
      </c>
      <c r="AE116" s="243">
        <v>11</v>
      </c>
      <c r="AF116" s="243">
        <v>1</v>
      </c>
      <c r="AG116" s="243">
        <v>5</v>
      </c>
      <c r="AH116" s="243">
        <v>2</v>
      </c>
      <c r="AI116" s="243">
        <v>0</v>
      </c>
      <c r="AJ116" s="243">
        <v>0</v>
      </c>
      <c r="AK116" s="10"/>
      <c r="AL116" s="26">
        <f>SUM(F116:AJ116)</f>
        <v>55</v>
      </c>
      <c r="AN116" s="41"/>
      <c r="BX116" s="40"/>
      <c r="BY116" s="40"/>
      <c r="DB116" s="40"/>
      <c r="EJ116" s="30"/>
      <c r="EK116" s="40"/>
      <c r="EL116" s="40"/>
      <c r="EM116" s="40"/>
      <c r="EN116" s="40"/>
      <c r="GQ116" s="40"/>
      <c r="KL116" s="40"/>
      <c r="KM116" s="40"/>
      <c r="KN116" s="40"/>
      <c r="KO116" s="40"/>
      <c r="PS116" s="40"/>
      <c r="PT116" s="40"/>
      <c r="PV116" s="40"/>
      <c r="QJ116" s="39"/>
      <c r="QN116" s="40"/>
      <c r="SQ116" s="39"/>
      <c r="AHZ116" s="5"/>
      <c r="AJO116" s="5"/>
      <c r="AJP116" s="5"/>
      <c r="AJQ116" s="5"/>
    </row>
    <row r="117" spans="2:953" x14ac:dyDescent="0.25">
      <c r="B117" s="134"/>
      <c r="C117" s="164" t="s">
        <v>52</v>
      </c>
      <c r="D117" s="191"/>
      <c r="E117" s="212" t="s">
        <v>36</v>
      </c>
      <c r="F117" s="243">
        <v>9</v>
      </c>
      <c r="G117" s="243">
        <v>14</v>
      </c>
      <c r="H117" s="243">
        <v>0</v>
      </c>
      <c r="I117" s="243">
        <v>0</v>
      </c>
      <c r="J117" s="243">
        <v>0</v>
      </c>
      <c r="K117" s="243">
        <v>0</v>
      </c>
      <c r="L117" s="243">
        <v>0</v>
      </c>
      <c r="M117" s="243">
        <v>0</v>
      </c>
      <c r="N117" s="243">
        <v>0</v>
      </c>
      <c r="O117" s="243">
        <v>0</v>
      </c>
      <c r="P117" s="243">
        <v>0</v>
      </c>
      <c r="Q117" s="243">
        <v>0</v>
      </c>
      <c r="R117" s="243">
        <v>60</v>
      </c>
      <c r="S117" s="243">
        <v>8</v>
      </c>
      <c r="T117" s="243">
        <v>0</v>
      </c>
      <c r="U117" s="243">
        <v>0</v>
      </c>
      <c r="V117" s="243">
        <v>0</v>
      </c>
      <c r="W117" s="243">
        <v>0</v>
      </c>
      <c r="X117" s="243">
        <v>0</v>
      </c>
      <c r="Y117" s="243">
        <v>0</v>
      </c>
      <c r="Z117" s="243">
        <v>2</v>
      </c>
      <c r="AA117" s="243">
        <v>0</v>
      </c>
      <c r="AB117" s="243">
        <v>2</v>
      </c>
      <c r="AC117" s="243">
        <v>0</v>
      </c>
      <c r="AD117" s="243">
        <v>0</v>
      </c>
      <c r="AE117" s="243">
        <v>0</v>
      </c>
      <c r="AF117" s="243">
        <v>4</v>
      </c>
      <c r="AG117" s="243">
        <v>0</v>
      </c>
      <c r="AH117" s="243">
        <v>0</v>
      </c>
      <c r="AI117" s="243">
        <v>0</v>
      </c>
      <c r="AJ117" s="243">
        <v>0</v>
      </c>
      <c r="AK117" s="10"/>
      <c r="AL117" s="26">
        <f>SUM(F117:AJ117)</f>
        <v>99</v>
      </c>
      <c r="AN117" s="41"/>
      <c r="BX117" s="40"/>
      <c r="BY117" s="40"/>
      <c r="DB117" s="40"/>
      <c r="EJ117" s="30"/>
      <c r="EK117" s="40"/>
      <c r="EL117" s="40"/>
      <c r="EM117" s="40"/>
      <c r="EN117" s="40"/>
      <c r="GQ117" s="40"/>
      <c r="KL117" s="40"/>
      <c r="KM117" s="40"/>
      <c r="KN117" s="40"/>
      <c r="KO117" s="40"/>
      <c r="PS117" s="40"/>
      <c r="PT117" s="40"/>
      <c r="PV117" s="40"/>
      <c r="QJ117" s="39"/>
      <c r="QN117" s="40"/>
      <c r="SQ117" s="39"/>
      <c r="AHZ117" s="5"/>
      <c r="AJO117" s="5"/>
      <c r="AJP117" s="5"/>
      <c r="AJQ117" s="5"/>
    </row>
    <row r="118" spans="2:953" x14ac:dyDescent="0.25">
      <c r="B118" s="134"/>
      <c r="C118" s="240" t="s">
        <v>32</v>
      </c>
      <c r="D118" s="191"/>
      <c r="E118" s="134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10"/>
      <c r="AL118" s="45" t="s">
        <v>32</v>
      </c>
      <c r="AN118" s="41"/>
      <c r="BX118" s="40"/>
      <c r="BY118" s="40"/>
      <c r="DB118" s="40"/>
      <c r="EJ118" s="30"/>
      <c r="EK118" s="40"/>
      <c r="EL118" s="40"/>
      <c r="EM118" s="40"/>
      <c r="EN118" s="40"/>
      <c r="GQ118" s="40"/>
      <c r="KL118" s="40"/>
      <c r="KM118" s="40"/>
      <c r="KN118" s="40"/>
      <c r="KO118" s="40"/>
      <c r="PS118" s="40"/>
      <c r="PT118" s="40"/>
      <c r="PV118" s="40"/>
      <c r="QJ118" s="39"/>
      <c r="QN118" s="40"/>
      <c r="SQ118" s="39"/>
      <c r="AHZ118" s="5"/>
      <c r="AJO118" s="5"/>
      <c r="AJP118" s="5"/>
      <c r="AJQ118" s="5"/>
    </row>
    <row r="119" spans="2:953" x14ac:dyDescent="0.25">
      <c r="B119" s="134"/>
      <c r="C119" s="164" t="s">
        <v>53</v>
      </c>
      <c r="D119" s="191"/>
      <c r="E119" s="212" t="s">
        <v>32</v>
      </c>
      <c r="F119" s="243">
        <v>0</v>
      </c>
      <c r="G119" s="243">
        <v>0</v>
      </c>
      <c r="H119" s="243">
        <v>0</v>
      </c>
      <c r="I119" s="243">
        <v>0</v>
      </c>
      <c r="J119" s="243">
        <v>0</v>
      </c>
      <c r="K119" s="243">
        <v>0</v>
      </c>
      <c r="L119" s="243">
        <v>0</v>
      </c>
      <c r="M119" s="243">
        <v>0</v>
      </c>
      <c r="N119" s="243">
        <v>0</v>
      </c>
      <c r="O119" s="243">
        <v>0</v>
      </c>
      <c r="P119" s="243">
        <v>0</v>
      </c>
      <c r="Q119" s="243">
        <v>0</v>
      </c>
      <c r="R119" s="243">
        <v>0</v>
      </c>
      <c r="S119" s="243">
        <v>0</v>
      </c>
      <c r="T119" s="243">
        <v>0</v>
      </c>
      <c r="U119" s="243">
        <v>0</v>
      </c>
      <c r="V119" s="243">
        <v>0</v>
      </c>
      <c r="W119" s="243">
        <v>0</v>
      </c>
      <c r="X119" s="243">
        <v>0</v>
      </c>
      <c r="Y119" s="243">
        <v>0</v>
      </c>
      <c r="Z119" s="243">
        <v>0</v>
      </c>
      <c r="AA119" s="243">
        <v>0</v>
      </c>
      <c r="AB119" s="243">
        <v>0</v>
      </c>
      <c r="AC119" s="243">
        <v>0</v>
      </c>
      <c r="AD119" s="243">
        <v>0</v>
      </c>
      <c r="AE119" s="243">
        <v>0</v>
      </c>
      <c r="AF119" s="243">
        <v>0</v>
      </c>
      <c r="AG119" s="243">
        <v>0</v>
      </c>
      <c r="AH119" s="243">
        <v>0</v>
      </c>
      <c r="AI119" s="243">
        <v>0</v>
      </c>
      <c r="AJ119" s="243">
        <v>0</v>
      </c>
      <c r="AK119" s="10"/>
      <c r="AL119" s="26">
        <f>SUM(F119:AJ119)</f>
        <v>0</v>
      </c>
      <c r="AN119" s="41"/>
      <c r="BX119" s="40"/>
      <c r="BY119" s="40"/>
      <c r="DB119" s="40"/>
      <c r="EJ119" s="30"/>
      <c r="EK119" s="40"/>
      <c r="EL119" s="40"/>
      <c r="EM119" s="40"/>
      <c r="EN119" s="40"/>
      <c r="GQ119" s="40"/>
      <c r="KL119" s="40"/>
      <c r="KM119" s="40"/>
      <c r="KN119" s="40"/>
      <c r="KO119" s="40"/>
      <c r="PS119" s="40"/>
      <c r="PT119" s="40"/>
      <c r="PV119" s="40"/>
      <c r="QJ119" s="39"/>
      <c r="QN119" s="40"/>
      <c r="SQ119" s="39"/>
      <c r="AHZ119" s="5"/>
      <c r="AJO119" s="5"/>
      <c r="AJP119" s="5"/>
      <c r="AJQ119" s="5"/>
    </row>
    <row r="120" spans="2:953" x14ac:dyDescent="0.25">
      <c r="B120" s="134"/>
      <c r="C120" s="164" t="s">
        <v>52</v>
      </c>
      <c r="D120" s="191"/>
      <c r="E120" s="212" t="s">
        <v>32</v>
      </c>
      <c r="F120" s="243">
        <v>0</v>
      </c>
      <c r="G120" s="243">
        <v>0</v>
      </c>
      <c r="H120" s="243">
        <v>0</v>
      </c>
      <c r="I120" s="243">
        <v>0</v>
      </c>
      <c r="J120" s="243">
        <v>0</v>
      </c>
      <c r="K120" s="243">
        <v>0</v>
      </c>
      <c r="L120" s="243">
        <v>0</v>
      </c>
      <c r="M120" s="243">
        <v>0</v>
      </c>
      <c r="N120" s="243">
        <v>0</v>
      </c>
      <c r="O120" s="243">
        <v>0</v>
      </c>
      <c r="P120" s="243">
        <v>0</v>
      </c>
      <c r="Q120" s="243">
        <v>0</v>
      </c>
      <c r="R120" s="243">
        <v>0</v>
      </c>
      <c r="S120" s="243">
        <v>0</v>
      </c>
      <c r="T120" s="243">
        <v>0</v>
      </c>
      <c r="U120" s="243">
        <v>0</v>
      </c>
      <c r="V120" s="243">
        <v>0</v>
      </c>
      <c r="W120" s="243">
        <v>0</v>
      </c>
      <c r="X120" s="243">
        <v>0</v>
      </c>
      <c r="Y120" s="243">
        <v>0</v>
      </c>
      <c r="Z120" s="243">
        <v>0</v>
      </c>
      <c r="AA120" s="243">
        <v>0</v>
      </c>
      <c r="AB120" s="243">
        <v>0</v>
      </c>
      <c r="AC120" s="243">
        <v>0</v>
      </c>
      <c r="AD120" s="243">
        <v>0</v>
      </c>
      <c r="AE120" s="243">
        <v>0</v>
      </c>
      <c r="AF120" s="243">
        <v>0</v>
      </c>
      <c r="AG120" s="243">
        <v>0</v>
      </c>
      <c r="AH120" s="243">
        <v>0</v>
      </c>
      <c r="AI120" s="243">
        <v>0</v>
      </c>
      <c r="AJ120" s="243">
        <v>0</v>
      </c>
      <c r="AK120" s="10"/>
      <c r="AL120" s="26">
        <f>SUM(F120:AJ120)</f>
        <v>0</v>
      </c>
      <c r="AN120" s="41"/>
      <c r="BX120" s="40"/>
      <c r="BY120" s="40"/>
      <c r="DB120" s="40"/>
      <c r="EJ120" s="30"/>
      <c r="EK120" s="40"/>
      <c r="EL120" s="40"/>
      <c r="EM120" s="40"/>
      <c r="EN120" s="40"/>
      <c r="GQ120" s="40"/>
      <c r="KL120" s="40"/>
      <c r="KM120" s="40"/>
      <c r="KN120" s="40"/>
      <c r="KO120" s="40"/>
      <c r="PS120" s="40"/>
      <c r="PT120" s="40"/>
      <c r="PV120" s="40"/>
      <c r="QJ120" s="39"/>
      <c r="QN120" s="40"/>
      <c r="SQ120" s="39"/>
      <c r="AHZ120" s="5"/>
      <c r="AJO120" s="5"/>
      <c r="AJP120" s="5"/>
      <c r="AJQ120" s="5"/>
    </row>
    <row r="121" spans="2:953" ht="15" customHeight="1" x14ac:dyDescent="0.25">
      <c r="B121" s="136"/>
      <c r="C121" s="160" t="s">
        <v>35</v>
      </c>
      <c r="D121" s="179"/>
      <c r="E121" s="179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1"/>
      <c r="AD121" s="180"/>
      <c r="AE121" s="180"/>
      <c r="AF121" s="180"/>
      <c r="AG121" s="180"/>
      <c r="AH121" s="180"/>
      <c r="AI121" s="180"/>
      <c r="AJ121" s="180"/>
      <c r="AK121" s="31"/>
      <c r="AL121" s="46" t="s">
        <v>34</v>
      </c>
      <c r="AN121" s="8"/>
      <c r="BX121" s="5"/>
      <c r="BY121" s="5"/>
      <c r="DB121" s="5"/>
      <c r="EJ121" s="30"/>
      <c r="EK121" s="5"/>
      <c r="EL121" s="5"/>
      <c r="EM121" s="5"/>
      <c r="EN121" s="5"/>
      <c r="GQ121" s="5"/>
      <c r="KL121" s="5"/>
      <c r="KM121" s="5"/>
      <c r="KN121" s="5"/>
      <c r="KO121" s="5"/>
      <c r="PS121" s="5"/>
      <c r="PT121" s="5"/>
      <c r="PV121" s="5"/>
      <c r="QJ121" s="27"/>
      <c r="QN121" s="5"/>
      <c r="SQ121" s="27"/>
      <c r="AHZ121" s="5"/>
      <c r="AJO121" s="5"/>
      <c r="AJP121" s="5"/>
      <c r="AJQ121" s="5"/>
    </row>
    <row r="122" spans="2:953" ht="15" customHeight="1" x14ac:dyDescent="0.25">
      <c r="B122" s="134"/>
      <c r="C122" s="240" t="s">
        <v>33</v>
      </c>
      <c r="D122" s="191"/>
      <c r="E122" s="134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0"/>
      <c r="AL122" s="45" t="s">
        <v>33</v>
      </c>
      <c r="AN122" s="41"/>
      <c r="BX122" s="40"/>
      <c r="BY122" s="40"/>
      <c r="DB122" s="40"/>
      <c r="EJ122" s="30"/>
      <c r="EK122" s="40"/>
      <c r="EL122" s="40"/>
      <c r="EM122" s="40"/>
      <c r="EN122" s="40"/>
      <c r="GQ122" s="40"/>
      <c r="KL122" s="40"/>
      <c r="KM122" s="40"/>
      <c r="KN122" s="40"/>
      <c r="KO122" s="40"/>
      <c r="PS122" s="40"/>
      <c r="PT122" s="40"/>
      <c r="PV122" s="40"/>
      <c r="QJ122" s="39"/>
      <c r="QN122" s="40"/>
      <c r="SQ122" s="39"/>
      <c r="AHZ122" s="5"/>
      <c r="AJO122" s="5"/>
      <c r="AJP122" s="5"/>
      <c r="AJQ122" s="5"/>
    </row>
    <row r="123" spans="2:953" ht="15" customHeight="1" x14ac:dyDescent="0.25">
      <c r="B123" s="134"/>
      <c r="C123" s="164" t="s">
        <v>53</v>
      </c>
      <c r="D123" s="285">
        <v>0.3</v>
      </c>
      <c r="E123" s="212" t="s">
        <v>29</v>
      </c>
      <c r="F123" s="287" t="e">
        <f t="shared" ref="F123:AH124" si="59">F116/F107*100</f>
        <v>#DIV/0!</v>
      </c>
      <c r="G123" s="287" t="e">
        <f t="shared" si="59"/>
        <v>#DIV/0!</v>
      </c>
      <c r="H123" s="287" t="e">
        <f t="shared" si="59"/>
        <v>#DIV/0!</v>
      </c>
      <c r="I123" s="287" t="e">
        <f t="shared" si="59"/>
        <v>#DIV/0!</v>
      </c>
      <c r="J123" s="287" t="e">
        <f t="shared" si="59"/>
        <v>#DIV/0!</v>
      </c>
      <c r="K123" s="287" t="e">
        <f t="shared" si="59"/>
        <v>#DIV/0!</v>
      </c>
      <c r="L123" s="287" t="e">
        <f t="shared" si="59"/>
        <v>#DIV/0!</v>
      </c>
      <c r="M123" s="287" t="e">
        <f t="shared" si="59"/>
        <v>#DIV/0!</v>
      </c>
      <c r="N123" s="287" t="e">
        <f t="shared" si="59"/>
        <v>#DIV/0!</v>
      </c>
      <c r="O123" s="287" t="e">
        <f t="shared" si="59"/>
        <v>#DIV/0!</v>
      </c>
      <c r="P123" s="287" t="e">
        <f t="shared" si="59"/>
        <v>#DIV/0!</v>
      </c>
      <c r="Q123" s="287" t="e">
        <f t="shared" si="59"/>
        <v>#DIV/0!</v>
      </c>
      <c r="R123" s="287" t="e">
        <f t="shared" si="59"/>
        <v>#DIV/0!</v>
      </c>
      <c r="S123" s="287" t="e">
        <f t="shared" si="59"/>
        <v>#DIV/0!</v>
      </c>
      <c r="T123" s="287" t="e">
        <f t="shared" si="59"/>
        <v>#DIV/0!</v>
      </c>
      <c r="U123" s="287" t="e">
        <f t="shared" si="59"/>
        <v>#DIV/0!</v>
      </c>
      <c r="V123" s="287" t="e">
        <f t="shared" si="59"/>
        <v>#DIV/0!</v>
      </c>
      <c r="W123" s="287" t="e">
        <f t="shared" si="59"/>
        <v>#DIV/0!</v>
      </c>
      <c r="X123" s="287" t="e">
        <f t="shared" si="59"/>
        <v>#DIV/0!</v>
      </c>
      <c r="Y123" s="287">
        <f t="shared" si="59"/>
        <v>5.9008654602675056E-2</v>
      </c>
      <c r="Z123" s="287">
        <f t="shared" si="59"/>
        <v>0.41493775933609961</v>
      </c>
      <c r="AA123" s="287">
        <f t="shared" si="59"/>
        <v>0.33222591362126247</v>
      </c>
      <c r="AB123" s="287">
        <f t="shared" si="59"/>
        <v>1.3968775677896468</v>
      </c>
      <c r="AC123" s="287">
        <f t="shared" si="59"/>
        <v>0.29081844619858743</v>
      </c>
      <c r="AD123" s="287" t="e">
        <f t="shared" si="59"/>
        <v>#DIV/0!</v>
      </c>
      <c r="AE123" s="287">
        <f t="shared" si="59"/>
        <v>0.45624222314392365</v>
      </c>
      <c r="AF123" s="287">
        <f t="shared" si="59"/>
        <v>8.3263946711074108E-2</v>
      </c>
      <c r="AG123" s="287">
        <f t="shared" si="59"/>
        <v>0.20790020790020791</v>
      </c>
      <c r="AH123" s="287">
        <f>AH116/AH107*100</f>
        <v>8.3263946711074108E-2</v>
      </c>
      <c r="AI123" s="287" t="e">
        <f t="shared" ref="AI123:AJ124" si="60">AI116/AI107*100</f>
        <v>#DIV/0!</v>
      </c>
      <c r="AJ123" s="287" t="e">
        <f t="shared" si="60"/>
        <v>#DIV/0!</v>
      </c>
      <c r="AK123" s="10"/>
      <c r="AL123" s="44">
        <f>AL116/AL107*100</f>
        <v>0.28153153153153154</v>
      </c>
      <c r="AN123" s="41"/>
      <c r="BX123" s="40"/>
      <c r="BY123" s="40"/>
      <c r="DB123" s="40"/>
      <c r="EJ123" s="30"/>
      <c r="EK123" s="40"/>
      <c r="EL123" s="40"/>
      <c r="EM123" s="40"/>
      <c r="EN123" s="40"/>
      <c r="GQ123" s="40"/>
      <c r="KL123" s="40"/>
      <c r="KM123" s="40"/>
      <c r="KN123" s="40"/>
      <c r="KO123" s="40"/>
      <c r="PS123" s="40"/>
      <c r="PT123" s="40"/>
      <c r="PV123" s="40"/>
      <c r="QJ123" s="39"/>
      <c r="QN123" s="40"/>
      <c r="SQ123" s="39"/>
      <c r="AHZ123" s="5"/>
      <c r="AJO123" s="5"/>
      <c r="AJP123" s="5"/>
      <c r="AJQ123" s="5"/>
    </row>
    <row r="124" spans="2:953" ht="15" customHeight="1" x14ac:dyDescent="0.25">
      <c r="B124" s="134"/>
      <c r="C124" s="164" t="s">
        <v>52</v>
      </c>
      <c r="D124" s="285">
        <v>0.3</v>
      </c>
      <c r="E124" s="212" t="s">
        <v>29</v>
      </c>
      <c r="F124" s="287">
        <f t="shared" si="59"/>
        <v>0.38151759220008474</v>
      </c>
      <c r="G124" s="287">
        <f t="shared" si="59"/>
        <v>0.2669208770257388</v>
      </c>
      <c r="H124" s="287" t="e">
        <f t="shared" si="59"/>
        <v>#DIV/0!</v>
      </c>
      <c r="I124" s="287" t="e">
        <f t="shared" si="59"/>
        <v>#DIV/0!</v>
      </c>
      <c r="J124" s="287" t="e">
        <f t="shared" si="59"/>
        <v>#DIV/0!</v>
      </c>
      <c r="K124" s="287" t="e">
        <f t="shared" si="59"/>
        <v>#DIV/0!</v>
      </c>
      <c r="L124" s="287" t="e">
        <f t="shared" si="59"/>
        <v>#DIV/0!</v>
      </c>
      <c r="M124" s="287" t="e">
        <f t="shared" si="59"/>
        <v>#DIV/0!</v>
      </c>
      <c r="N124" s="287" t="e">
        <f t="shared" si="59"/>
        <v>#DIV/0!</v>
      </c>
      <c r="O124" s="287" t="e">
        <f t="shared" si="59"/>
        <v>#DIV/0!</v>
      </c>
      <c r="P124" s="287" t="e">
        <f t="shared" si="59"/>
        <v>#DIV/0!</v>
      </c>
      <c r="Q124" s="287" t="e">
        <f t="shared" si="59"/>
        <v>#DIV/0!</v>
      </c>
      <c r="R124" s="287">
        <f t="shared" si="59"/>
        <v>1.874414245548266</v>
      </c>
      <c r="S124" s="287">
        <f t="shared" si="59"/>
        <v>0.1697792869269949</v>
      </c>
      <c r="T124" s="287" t="e">
        <f t="shared" si="59"/>
        <v>#DIV/0!</v>
      </c>
      <c r="U124" s="287" t="e">
        <f t="shared" si="59"/>
        <v>#DIV/0!</v>
      </c>
      <c r="V124" s="287" t="e">
        <f t="shared" si="59"/>
        <v>#DIV/0!</v>
      </c>
      <c r="W124" s="287" t="e">
        <f t="shared" si="59"/>
        <v>#DIV/0!</v>
      </c>
      <c r="X124" s="287" t="e">
        <f t="shared" si="59"/>
        <v>#DIV/0!</v>
      </c>
      <c r="Y124" s="287" t="e">
        <f t="shared" si="59"/>
        <v>#DIV/0!</v>
      </c>
      <c r="Z124" s="287">
        <f t="shared" si="59"/>
        <v>8.5034013605442174E-2</v>
      </c>
      <c r="AA124" s="287" t="e">
        <f t="shared" si="59"/>
        <v>#DIV/0!</v>
      </c>
      <c r="AB124" s="287">
        <f t="shared" si="59"/>
        <v>8.5034013605442174E-2</v>
      </c>
      <c r="AC124" s="287" t="e">
        <f t="shared" si="59"/>
        <v>#DIV/0!</v>
      </c>
      <c r="AD124" s="287" t="e">
        <f t="shared" si="59"/>
        <v>#DIV/0!</v>
      </c>
      <c r="AE124" s="287" t="e">
        <f t="shared" si="59"/>
        <v>#DIV/0!</v>
      </c>
      <c r="AF124" s="287">
        <f t="shared" si="59"/>
        <v>0.16992353440951571</v>
      </c>
      <c r="AG124" s="287" t="e">
        <f t="shared" si="59"/>
        <v>#DIV/0!</v>
      </c>
      <c r="AH124" s="287" t="e">
        <f t="shared" si="59"/>
        <v>#DIV/0!</v>
      </c>
      <c r="AI124" s="287">
        <f t="shared" si="60"/>
        <v>0</v>
      </c>
      <c r="AJ124" s="287" t="e">
        <f t="shared" si="60"/>
        <v>#DIV/0!</v>
      </c>
      <c r="AK124" s="10"/>
      <c r="AL124" s="44">
        <f>AL117/AL108*100</f>
        <v>0.42736887545866609</v>
      </c>
      <c r="AN124" s="41"/>
      <c r="BX124" s="40"/>
      <c r="BY124" s="40"/>
      <c r="DB124" s="40"/>
      <c r="EJ124" s="30"/>
      <c r="EK124" s="40"/>
      <c r="EL124" s="40"/>
      <c r="EM124" s="40"/>
      <c r="EN124" s="40"/>
      <c r="GQ124" s="40"/>
      <c r="KL124" s="40"/>
      <c r="KM124" s="40"/>
      <c r="KN124" s="40"/>
      <c r="KO124" s="40"/>
      <c r="PS124" s="40"/>
      <c r="PT124" s="40"/>
      <c r="PV124" s="40"/>
      <c r="QJ124" s="39"/>
      <c r="QN124" s="40"/>
      <c r="SQ124" s="39"/>
      <c r="AHZ124" s="5"/>
      <c r="AJO124" s="5"/>
      <c r="AJP124" s="5"/>
      <c r="AJQ124" s="5"/>
    </row>
    <row r="125" spans="2:953" ht="15" customHeight="1" x14ac:dyDescent="0.25">
      <c r="B125" s="134"/>
      <c r="C125" s="240" t="s">
        <v>32</v>
      </c>
      <c r="D125" s="285"/>
      <c r="E125" s="134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287"/>
      <c r="AG125" s="287"/>
      <c r="AH125" s="287"/>
      <c r="AI125" s="287"/>
      <c r="AJ125" s="287"/>
      <c r="AK125" s="10"/>
      <c r="AL125" s="45" t="s">
        <v>32</v>
      </c>
      <c r="AN125" s="41"/>
      <c r="BX125" s="40"/>
      <c r="BY125" s="40"/>
      <c r="DB125" s="40"/>
      <c r="EJ125" s="30"/>
      <c r="EK125" s="40"/>
      <c r="EL125" s="40"/>
      <c r="EM125" s="40"/>
      <c r="EN125" s="40"/>
      <c r="GQ125" s="40"/>
      <c r="KL125" s="40"/>
      <c r="KM125" s="40"/>
      <c r="KN125" s="40"/>
      <c r="KO125" s="40"/>
      <c r="PS125" s="40"/>
      <c r="PT125" s="40"/>
      <c r="PV125" s="40"/>
      <c r="QJ125" s="39"/>
      <c r="QN125" s="40"/>
      <c r="SQ125" s="39"/>
      <c r="AHZ125" s="5"/>
      <c r="AJO125" s="5"/>
      <c r="AJP125" s="5"/>
      <c r="AJQ125" s="5"/>
    </row>
    <row r="126" spans="2:953" ht="15" customHeight="1" x14ac:dyDescent="0.25">
      <c r="B126" s="134"/>
      <c r="C126" s="164" t="s">
        <v>53</v>
      </c>
      <c r="D126" s="285">
        <v>0.5</v>
      </c>
      <c r="E126" s="212" t="s">
        <v>29</v>
      </c>
      <c r="F126" s="287" t="e">
        <f>F119/F110*100</f>
        <v>#DIV/0!</v>
      </c>
      <c r="G126" s="287" t="e">
        <f t="shared" ref="F126:AJ127" si="61">G119/G110*100</f>
        <v>#DIV/0!</v>
      </c>
      <c r="H126" s="287" t="e">
        <f t="shared" si="61"/>
        <v>#DIV/0!</v>
      </c>
      <c r="I126" s="287" t="e">
        <f t="shared" si="61"/>
        <v>#DIV/0!</v>
      </c>
      <c r="J126" s="287" t="e">
        <f t="shared" si="61"/>
        <v>#DIV/0!</v>
      </c>
      <c r="K126" s="287" t="e">
        <f t="shared" si="61"/>
        <v>#DIV/0!</v>
      </c>
      <c r="L126" s="287" t="e">
        <f t="shared" si="61"/>
        <v>#DIV/0!</v>
      </c>
      <c r="M126" s="287" t="e">
        <f t="shared" si="61"/>
        <v>#DIV/0!</v>
      </c>
      <c r="N126" s="287" t="e">
        <f t="shared" si="61"/>
        <v>#DIV/0!</v>
      </c>
      <c r="O126" s="287" t="e">
        <f t="shared" si="61"/>
        <v>#DIV/0!</v>
      </c>
      <c r="P126" s="287" t="e">
        <f t="shared" si="61"/>
        <v>#DIV/0!</v>
      </c>
      <c r="Q126" s="287" t="e">
        <f t="shared" si="61"/>
        <v>#DIV/0!</v>
      </c>
      <c r="R126" s="287" t="e">
        <f t="shared" si="61"/>
        <v>#DIV/0!</v>
      </c>
      <c r="S126" s="287" t="e">
        <f t="shared" si="61"/>
        <v>#DIV/0!</v>
      </c>
      <c r="T126" s="287" t="e">
        <f t="shared" si="61"/>
        <v>#DIV/0!</v>
      </c>
      <c r="U126" s="287" t="e">
        <f t="shared" si="61"/>
        <v>#DIV/0!</v>
      </c>
      <c r="V126" s="287" t="e">
        <f t="shared" si="61"/>
        <v>#DIV/0!</v>
      </c>
      <c r="W126" s="287" t="e">
        <f t="shared" si="61"/>
        <v>#DIV/0!</v>
      </c>
      <c r="X126" s="287" t="e">
        <f t="shared" si="61"/>
        <v>#DIV/0!</v>
      </c>
      <c r="Y126" s="287">
        <f t="shared" si="61"/>
        <v>0</v>
      </c>
      <c r="Z126" s="287">
        <f t="shared" si="61"/>
        <v>0</v>
      </c>
      <c r="AA126" s="287">
        <f t="shared" si="61"/>
        <v>0</v>
      </c>
      <c r="AB126" s="287">
        <f t="shared" si="61"/>
        <v>0</v>
      </c>
      <c r="AC126" s="287">
        <f t="shared" si="61"/>
        <v>0</v>
      </c>
      <c r="AD126" s="287" t="e">
        <f t="shared" si="61"/>
        <v>#DIV/0!</v>
      </c>
      <c r="AE126" s="287">
        <f t="shared" si="61"/>
        <v>0</v>
      </c>
      <c r="AF126" s="287">
        <f t="shared" si="61"/>
        <v>0</v>
      </c>
      <c r="AG126" s="287">
        <f t="shared" si="61"/>
        <v>0</v>
      </c>
      <c r="AH126" s="287">
        <f t="shared" si="61"/>
        <v>0</v>
      </c>
      <c r="AI126" s="287" t="e">
        <f t="shared" si="61"/>
        <v>#DIV/0!</v>
      </c>
      <c r="AJ126" s="287" t="e">
        <f t="shared" si="61"/>
        <v>#DIV/0!</v>
      </c>
      <c r="AK126" s="10"/>
      <c r="AL126" s="44">
        <f>AL119/AL110*100</f>
        <v>0</v>
      </c>
      <c r="AN126" s="41"/>
      <c r="BX126" s="40"/>
      <c r="BY126" s="40"/>
      <c r="DB126" s="40"/>
      <c r="EJ126" s="30"/>
      <c r="EK126" s="40"/>
      <c r="EL126" s="40"/>
      <c r="EM126" s="40"/>
      <c r="EN126" s="40"/>
      <c r="GQ126" s="40"/>
      <c r="KL126" s="40"/>
      <c r="KM126" s="40"/>
      <c r="KN126" s="40"/>
      <c r="KO126" s="40"/>
      <c r="PS126" s="40"/>
      <c r="PT126" s="40"/>
      <c r="PV126" s="40"/>
      <c r="QJ126" s="39"/>
      <c r="QN126" s="40"/>
      <c r="SQ126" s="39"/>
      <c r="AHZ126" s="5"/>
      <c r="AJO126" s="5"/>
      <c r="AJP126" s="5"/>
      <c r="AJQ126" s="5"/>
    </row>
    <row r="127" spans="2:953" ht="15" customHeight="1" x14ac:dyDescent="0.25">
      <c r="B127" s="134"/>
      <c r="C127" s="164" t="s">
        <v>52</v>
      </c>
      <c r="D127" s="285">
        <v>0.5</v>
      </c>
      <c r="E127" s="212" t="s">
        <v>29</v>
      </c>
      <c r="F127" s="287">
        <f t="shared" si="61"/>
        <v>0</v>
      </c>
      <c r="G127" s="287">
        <f t="shared" si="61"/>
        <v>0</v>
      </c>
      <c r="H127" s="287" t="e">
        <f t="shared" si="61"/>
        <v>#DIV/0!</v>
      </c>
      <c r="I127" s="287" t="e">
        <f t="shared" si="61"/>
        <v>#DIV/0!</v>
      </c>
      <c r="J127" s="287" t="e">
        <f t="shared" si="61"/>
        <v>#DIV/0!</v>
      </c>
      <c r="K127" s="287" t="e">
        <f t="shared" si="61"/>
        <v>#DIV/0!</v>
      </c>
      <c r="L127" s="287" t="e">
        <f t="shared" si="61"/>
        <v>#DIV/0!</v>
      </c>
      <c r="M127" s="287" t="e">
        <f t="shared" si="61"/>
        <v>#DIV/0!</v>
      </c>
      <c r="N127" s="287" t="e">
        <f t="shared" si="61"/>
        <v>#DIV/0!</v>
      </c>
      <c r="O127" s="287" t="e">
        <f t="shared" si="61"/>
        <v>#DIV/0!</v>
      </c>
      <c r="P127" s="287" t="e">
        <f t="shared" si="61"/>
        <v>#DIV/0!</v>
      </c>
      <c r="Q127" s="287" t="e">
        <f t="shared" si="61"/>
        <v>#DIV/0!</v>
      </c>
      <c r="R127" s="287">
        <f t="shared" si="61"/>
        <v>0</v>
      </c>
      <c r="S127" s="287">
        <f t="shared" si="61"/>
        <v>0</v>
      </c>
      <c r="T127" s="287" t="e">
        <f t="shared" si="61"/>
        <v>#DIV/0!</v>
      </c>
      <c r="U127" s="287" t="e">
        <f t="shared" si="61"/>
        <v>#DIV/0!</v>
      </c>
      <c r="V127" s="287" t="e">
        <f t="shared" si="61"/>
        <v>#DIV/0!</v>
      </c>
      <c r="W127" s="287" t="e">
        <f t="shared" si="61"/>
        <v>#DIV/0!</v>
      </c>
      <c r="X127" s="287" t="e">
        <f t="shared" si="61"/>
        <v>#DIV/0!</v>
      </c>
      <c r="Y127" s="287" t="e">
        <f t="shared" si="61"/>
        <v>#DIV/0!</v>
      </c>
      <c r="Z127" s="287">
        <f t="shared" si="61"/>
        <v>0</v>
      </c>
      <c r="AA127" s="287" t="e">
        <f t="shared" si="61"/>
        <v>#DIV/0!</v>
      </c>
      <c r="AB127" s="287">
        <f t="shared" si="61"/>
        <v>0</v>
      </c>
      <c r="AC127" s="287" t="e">
        <f t="shared" si="61"/>
        <v>#DIV/0!</v>
      </c>
      <c r="AD127" s="287" t="e">
        <f t="shared" si="61"/>
        <v>#DIV/0!</v>
      </c>
      <c r="AE127" s="287" t="e">
        <f t="shared" si="61"/>
        <v>#DIV/0!</v>
      </c>
      <c r="AF127" s="287">
        <f t="shared" si="61"/>
        <v>0</v>
      </c>
      <c r="AG127" s="287" t="e">
        <f t="shared" si="61"/>
        <v>#DIV/0!</v>
      </c>
      <c r="AH127" s="287" t="e">
        <f t="shared" si="61"/>
        <v>#DIV/0!</v>
      </c>
      <c r="AI127" s="287">
        <f t="shared" si="61"/>
        <v>0</v>
      </c>
      <c r="AJ127" s="287" t="e">
        <f t="shared" si="61"/>
        <v>#DIV/0!</v>
      </c>
      <c r="AK127" s="10"/>
      <c r="AL127" s="44">
        <f>AL120/AL111*100</f>
        <v>0</v>
      </c>
      <c r="AN127" s="41"/>
      <c r="BX127" s="40"/>
      <c r="BY127" s="40"/>
      <c r="DB127" s="40"/>
      <c r="EJ127" s="30"/>
      <c r="EK127" s="40"/>
      <c r="EL127" s="40"/>
      <c r="EM127" s="40"/>
      <c r="EN127" s="40"/>
      <c r="GQ127" s="40"/>
      <c r="KL127" s="40"/>
      <c r="KM127" s="40"/>
      <c r="KN127" s="40"/>
      <c r="KO127" s="40"/>
      <c r="PS127" s="40"/>
      <c r="PT127" s="40"/>
      <c r="PV127" s="40"/>
      <c r="QJ127" s="39"/>
      <c r="QN127" s="40"/>
      <c r="SQ127" s="39"/>
      <c r="AHZ127" s="5"/>
      <c r="AJO127" s="5"/>
      <c r="AJP127" s="5"/>
      <c r="AJQ127" s="5"/>
    </row>
    <row r="128" spans="2:953" x14ac:dyDescent="0.25">
      <c r="B128" s="178">
        <v>7</v>
      </c>
      <c r="C128" s="160" t="s">
        <v>51</v>
      </c>
      <c r="D128" s="179"/>
      <c r="E128" s="179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1"/>
      <c r="AD128" s="180"/>
      <c r="AE128" s="180"/>
      <c r="AF128" s="180"/>
      <c r="AG128" s="180"/>
      <c r="AH128" s="180"/>
      <c r="AI128" s="180"/>
      <c r="AJ128" s="180"/>
      <c r="AK128" s="31"/>
      <c r="AL128" s="46" t="s">
        <v>47</v>
      </c>
      <c r="AN128" s="8"/>
      <c r="AP128" s="2"/>
      <c r="AQ128" s="2" t="s">
        <v>157</v>
      </c>
      <c r="AS128" s="2" t="s">
        <v>158</v>
      </c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X128" s="5"/>
      <c r="BY128" s="5"/>
      <c r="DB128" s="5"/>
      <c r="EJ128" s="30"/>
      <c r="EK128" s="5"/>
      <c r="EL128" s="5"/>
      <c r="EM128" s="5"/>
      <c r="EN128" s="5"/>
      <c r="GQ128" s="5"/>
      <c r="KL128" s="5"/>
      <c r="KM128" s="5"/>
      <c r="KN128" s="5"/>
      <c r="KO128" s="5"/>
      <c r="PS128" s="5"/>
      <c r="PT128" s="5"/>
      <c r="PV128" s="5"/>
      <c r="QJ128" s="27"/>
      <c r="QN128" s="5"/>
      <c r="SQ128" s="27"/>
      <c r="AHZ128" s="5"/>
      <c r="AJO128" s="5"/>
      <c r="AJP128" s="5"/>
      <c r="AJQ128" s="5"/>
    </row>
    <row r="129" spans="2:953" x14ac:dyDescent="0.25">
      <c r="B129" s="136"/>
      <c r="C129" s="246" t="s">
        <v>46</v>
      </c>
      <c r="D129" s="278"/>
      <c r="E129" s="248" t="s">
        <v>16</v>
      </c>
      <c r="F129" s="298">
        <v>0</v>
      </c>
      <c r="G129" s="298">
        <v>0</v>
      </c>
      <c r="H129" s="298">
        <v>0</v>
      </c>
      <c r="I129" s="298">
        <v>0</v>
      </c>
      <c r="J129" s="298">
        <v>0</v>
      </c>
      <c r="K129" s="298">
        <v>0</v>
      </c>
      <c r="L129" s="298">
        <v>0</v>
      </c>
      <c r="M129" s="298">
        <v>0</v>
      </c>
      <c r="N129" s="298">
        <v>0</v>
      </c>
      <c r="O129" s="298">
        <v>0</v>
      </c>
      <c r="P129" s="298">
        <v>0</v>
      </c>
      <c r="Q129" s="298">
        <v>0</v>
      </c>
      <c r="R129" s="298">
        <v>0</v>
      </c>
      <c r="S129" s="298">
        <v>92560</v>
      </c>
      <c r="T129" s="298">
        <v>90340</v>
      </c>
      <c r="U129" s="298">
        <v>0</v>
      </c>
      <c r="V129" s="298">
        <v>27883</v>
      </c>
      <c r="W129" s="298">
        <v>0</v>
      </c>
      <c r="X129" s="298">
        <v>0</v>
      </c>
      <c r="Y129" s="298">
        <v>0</v>
      </c>
      <c r="Z129" s="298">
        <v>0</v>
      </c>
      <c r="AA129" s="298">
        <v>0</v>
      </c>
      <c r="AB129" s="298">
        <v>0</v>
      </c>
      <c r="AC129" s="298">
        <v>0</v>
      </c>
      <c r="AD129" s="298">
        <v>0</v>
      </c>
      <c r="AE129" s="298">
        <v>0</v>
      </c>
      <c r="AF129" s="298">
        <v>0</v>
      </c>
      <c r="AG129" s="298">
        <v>0</v>
      </c>
      <c r="AH129" s="298">
        <v>0</v>
      </c>
      <c r="AI129" s="298">
        <v>0</v>
      </c>
      <c r="AJ129" s="298">
        <v>0</v>
      </c>
      <c r="AK129" s="72"/>
      <c r="AL129" s="52">
        <f>SUM(F129:AJ129)</f>
        <v>210783</v>
      </c>
      <c r="AN129" s="8"/>
      <c r="AP129" s="2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X129" s="5"/>
      <c r="BY129" s="5"/>
      <c r="DB129" s="5"/>
      <c r="EJ129" s="30"/>
      <c r="EK129" s="5"/>
      <c r="EL129" s="5"/>
      <c r="EM129" s="5"/>
      <c r="EN129" s="5"/>
      <c r="GQ129" s="5"/>
      <c r="KL129" s="5"/>
      <c r="KM129" s="5"/>
      <c r="KN129" s="5"/>
      <c r="KO129" s="5"/>
      <c r="PS129" s="5"/>
      <c r="PT129" s="5"/>
      <c r="PV129" s="5"/>
      <c r="QJ129" s="27"/>
      <c r="QN129" s="5"/>
      <c r="SQ129" s="27"/>
      <c r="AHZ129" s="5"/>
      <c r="AJO129" s="5"/>
      <c r="AJP129" s="5"/>
      <c r="AJQ129" s="5"/>
    </row>
    <row r="130" spans="2:953" x14ac:dyDescent="0.25">
      <c r="B130" s="136"/>
      <c r="C130" s="246" t="s">
        <v>45</v>
      </c>
      <c r="D130" s="247"/>
      <c r="E130" s="248" t="s">
        <v>16</v>
      </c>
      <c r="F130" s="297">
        <v>0</v>
      </c>
      <c r="G130" s="297">
        <v>0</v>
      </c>
      <c r="H130" s="297">
        <v>0</v>
      </c>
      <c r="I130" s="297">
        <v>0</v>
      </c>
      <c r="J130" s="297">
        <v>0</v>
      </c>
      <c r="K130" s="297">
        <v>0</v>
      </c>
      <c r="L130" s="297">
        <v>0</v>
      </c>
      <c r="M130" s="297">
        <v>0</v>
      </c>
      <c r="N130" s="297">
        <v>0</v>
      </c>
      <c r="O130" s="297">
        <v>0</v>
      </c>
      <c r="P130" s="297">
        <v>0</v>
      </c>
      <c r="Q130" s="297">
        <v>0</v>
      </c>
      <c r="R130" s="297">
        <v>0</v>
      </c>
      <c r="S130" s="297">
        <v>0</v>
      </c>
      <c r="T130" s="297">
        <v>56904.7</v>
      </c>
      <c r="U130" s="297">
        <v>91786.75</v>
      </c>
      <c r="V130" s="297">
        <v>38193.279999999999</v>
      </c>
      <c r="W130" s="297">
        <v>0</v>
      </c>
      <c r="X130" s="297">
        <v>22134.9</v>
      </c>
      <c r="Y130" s="297">
        <v>0</v>
      </c>
      <c r="Z130" s="297">
        <v>0</v>
      </c>
      <c r="AA130" s="297">
        <v>0</v>
      </c>
      <c r="AB130" s="297">
        <v>0</v>
      </c>
      <c r="AC130" s="297">
        <v>0</v>
      </c>
      <c r="AD130" s="297">
        <v>0</v>
      </c>
      <c r="AE130" s="297">
        <v>0</v>
      </c>
      <c r="AF130" s="297">
        <v>0</v>
      </c>
      <c r="AG130" s="297">
        <v>0</v>
      </c>
      <c r="AH130" s="297">
        <v>0</v>
      </c>
      <c r="AI130" s="297">
        <v>0</v>
      </c>
      <c r="AJ130" s="297">
        <v>0</v>
      </c>
      <c r="AK130" s="25"/>
      <c r="AL130" s="70">
        <f>SUM(F130:AJ130)</f>
        <v>209019.63</v>
      </c>
      <c r="AM130" s="66"/>
      <c r="AN130" s="61"/>
      <c r="AP130" s="2" t="s">
        <v>164</v>
      </c>
      <c r="AQ130" s="88">
        <v>10711</v>
      </c>
      <c r="AR130" s="3">
        <v>9.7534799999999997</v>
      </c>
      <c r="AS130" s="35">
        <f>AQ130*AR130</f>
        <v>104469.52428</v>
      </c>
      <c r="AT130" s="3">
        <f>AS130/1000</f>
        <v>104.46952428</v>
      </c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X130" s="60"/>
      <c r="BY130" s="60"/>
      <c r="DB130" s="60"/>
      <c r="EJ130" s="22"/>
      <c r="EK130" s="60"/>
      <c r="EL130" s="60"/>
      <c r="EM130" s="60"/>
      <c r="EN130" s="60"/>
      <c r="GQ130" s="60"/>
      <c r="KL130" s="60"/>
      <c r="KM130" s="60"/>
      <c r="KN130" s="60"/>
      <c r="KO130" s="60"/>
      <c r="PS130" s="60"/>
      <c r="PT130" s="60"/>
      <c r="PV130" s="60"/>
      <c r="QJ130" s="59"/>
      <c r="QN130" s="60"/>
      <c r="SQ130" s="59"/>
      <c r="AHZ130" s="20"/>
      <c r="AJO130" s="20"/>
      <c r="AJP130" s="20"/>
      <c r="AJQ130" s="20"/>
    </row>
    <row r="131" spans="2:953" x14ac:dyDescent="0.25">
      <c r="B131" s="134"/>
      <c r="C131" s="240" t="s">
        <v>44</v>
      </c>
      <c r="D131" s="191"/>
      <c r="E131" s="212" t="s">
        <v>16</v>
      </c>
      <c r="F131" s="287">
        <f>SUM(F134:F135)*9.75348</f>
        <v>0</v>
      </c>
      <c r="G131" s="287">
        <f t="shared" ref="G131:U131" si="62">SUM(G134:G135)*9.75348</f>
        <v>0</v>
      </c>
      <c r="H131" s="287">
        <f t="shared" si="62"/>
        <v>0</v>
      </c>
      <c r="I131" s="287">
        <f t="shared" si="62"/>
        <v>0</v>
      </c>
      <c r="J131" s="287">
        <f t="shared" si="62"/>
        <v>0</v>
      </c>
      <c r="K131" s="287">
        <f t="shared" si="62"/>
        <v>0</v>
      </c>
      <c r="L131" s="287">
        <f t="shared" si="62"/>
        <v>0</v>
      </c>
      <c r="M131" s="287">
        <f t="shared" si="62"/>
        <v>0</v>
      </c>
      <c r="N131" s="287">
        <f t="shared" si="62"/>
        <v>0</v>
      </c>
      <c r="O131" s="287">
        <f t="shared" si="62"/>
        <v>0</v>
      </c>
      <c r="P131" s="287">
        <f t="shared" si="62"/>
        <v>0</v>
      </c>
      <c r="Q131" s="287">
        <f t="shared" si="62"/>
        <v>0</v>
      </c>
      <c r="R131" s="287">
        <f t="shared" si="62"/>
        <v>0</v>
      </c>
      <c r="S131" s="287">
        <f t="shared" si="62"/>
        <v>0</v>
      </c>
      <c r="T131" s="287">
        <f t="shared" si="62"/>
        <v>57223.667159999997</v>
      </c>
      <c r="U131" s="287">
        <f t="shared" si="62"/>
        <v>91994.823359999995</v>
      </c>
      <c r="V131" s="287">
        <f t="shared" ref="V131:AJ131" si="63">SUM(V134:V135)*9.75348</f>
        <v>38438.464679999997</v>
      </c>
      <c r="W131" s="287">
        <f t="shared" si="63"/>
        <v>0</v>
      </c>
      <c r="X131" s="287">
        <f t="shared" si="63"/>
        <v>22198.920480000001</v>
      </c>
      <c r="Y131" s="287">
        <f t="shared" si="63"/>
        <v>0</v>
      </c>
      <c r="Z131" s="287">
        <f t="shared" si="63"/>
        <v>0</v>
      </c>
      <c r="AA131" s="287">
        <f>SUM(AA134:AA135)*9.75348</f>
        <v>0</v>
      </c>
      <c r="AB131" s="287">
        <f t="shared" si="63"/>
        <v>0</v>
      </c>
      <c r="AC131" s="287">
        <f t="shared" si="63"/>
        <v>0</v>
      </c>
      <c r="AD131" s="287">
        <f>SUM(AD134:AD135)*9.75348</f>
        <v>0</v>
      </c>
      <c r="AE131" s="287">
        <f t="shared" si="63"/>
        <v>0</v>
      </c>
      <c r="AF131" s="287">
        <f t="shared" si="63"/>
        <v>0</v>
      </c>
      <c r="AG131" s="287">
        <f t="shared" si="63"/>
        <v>0</v>
      </c>
      <c r="AH131" s="287">
        <f t="shared" si="63"/>
        <v>0</v>
      </c>
      <c r="AI131" s="287">
        <f t="shared" si="63"/>
        <v>0</v>
      </c>
      <c r="AJ131" s="287">
        <f t="shared" si="63"/>
        <v>0</v>
      </c>
      <c r="AK131" s="10"/>
      <c r="AL131" s="44">
        <f>SUM(F131:AJ131)</f>
        <v>209855.87568</v>
      </c>
      <c r="AN131" s="41">
        <f>AL75+AL130</f>
        <v>629476.31000000006</v>
      </c>
      <c r="AP131" s="2" t="s">
        <v>165</v>
      </c>
      <c r="AQ131" s="88">
        <v>10805</v>
      </c>
      <c r="AR131" s="3">
        <v>9.7534799999999997</v>
      </c>
      <c r="AS131" s="35">
        <f>AQ131*AR131</f>
        <v>105386.3514</v>
      </c>
      <c r="AT131" s="3">
        <f>AS131/1000</f>
        <v>105.3863514</v>
      </c>
      <c r="BA131" s="58"/>
      <c r="BB131" s="57"/>
      <c r="BC131" s="57"/>
      <c r="BD131" s="57"/>
      <c r="BE131" s="57"/>
      <c r="BF131" s="57"/>
      <c r="BG131" s="35"/>
      <c r="BH131" s="35"/>
      <c r="BI131" s="35"/>
      <c r="BJ131" s="35"/>
      <c r="BX131" s="40"/>
      <c r="BY131" s="40"/>
      <c r="DB131" s="40"/>
      <c r="EJ131" s="30"/>
      <c r="EK131" s="40"/>
      <c r="EL131" s="40"/>
      <c r="EM131" s="40"/>
      <c r="EN131" s="40"/>
      <c r="GQ131" s="40"/>
      <c r="KL131" s="40"/>
      <c r="KM131" s="40"/>
      <c r="KN131" s="40"/>
      <c r="KO131" s="40"/>
      <c r="PS131" s="40"/>
      <c r="PT131" s="40"/>
      <c r="PV131" s="40"/>
      <c r="QJ131" s="39"/>
      <c r="QN131" s="40"/>
      <c r="SQ131" s="39"/>
      <c r="AHZ131" s="5"/>
      <c r="AJO131" s="5"/>
      <c r="AJP131" s="5"/>
      <c r="AJQ131" s="5"/>
    </row>
    <row r="132" spans="2:953" x14ac:dyDescent="0.25">
      <c r="B132" s="134"/>
      <c r="C132" s="240" t="s">
        <v>43</v>
      </c>
      <c r="D132" s="191"/>
      <c r="E132" s="212" t="s">
        <v>16</v>
      </c>
      <c r="F132" s="287">
        <f>F130-F131</f>
        <v>0</v>
      </c>
      <c r="G132" s="287">
        <f t="shared" ref="G132:AJ132" si="64">G130-G131</f>
        <v>0</v>
      </c>
      <c r="H132" s="287">
        <f t="shared" si="64"/>
        <v>0</v>
      </c>
      <c r="I132" s="287">
        <f t="shared" si="64"/>
        <v>0</v>
      </c>
      <c r="J132" s="287">
        <f t="shared" si="64"/>
        <v>0</v>
      </c>
      <c r="K132" s="287">
        <f t="shared" si="64"/>
        <v>0</v>
      </c>
      <c r="L132" s="287">
        <f t="shared" si="64"/>
        <v>0</v>
      </c>
      <c r="M132" s="287">
        <f t="shared" si="64"/>
        <v>0</v>
      </c>
      <c r="N132" s="287">
        <f t="shared" si="64"/>
        <v>0</v>
      </c>
      <c r="O132" s="287">
        <f t="shared" si="64"/>
        <v>0</v>
      </c>
      <c r="P132" s="287">
        <f t="shared" si="64"/>
        <v>0</v>
      </c>
      <c r="Q132" s="287">
        <f t="shared" si="64"/>
        <v>0</v>
      </c>
      <c r="R132" s="287">
        <f t="shared" si="64"/>
        <v>0</v>
      </c>
      <c r="S132" s="287">
        <f t="shared" si="64"/>
        <v>0</v>
      </c>
      <c r="T132" s="287">
        <f t="shared" si="64"/>
        <v>-318.96716000000015</v>
      </c>
      <c r="U132" s="287">
        <f t="shared" si="64"/>
        <v>-208.07335999999486</v>
      </c>
      <c r="V132" s="287">
        <f t="shared" si="64"/>
        <v>-245.18467999999848</v>
      </c>
      <c r="W132" s="287">
        <f t="shared" si="64"/>
        <v>0</v>
      </c>
      <c r="X132" s="287">
        <f t="shared" si="64"/>
        <v>-64.020479999999225</v>
      </c>
      <c r="Y132" s="287">
        <f t="shared" si="64"/>
        <v>0</v>
      </c>
      <c r="Z132" s="287">
        <f t="shared" si="64"/>
        <v>0</v>
      </c>
      <c r="AA132" s="287">
        <f t="shared" si="64"/>
        <v>0</v>
      </c>
      <c r="AB132" s="287">
        <f t="shared" si="64"/>
        <v>0</v>
      </c>
      <c r="AC132" s="287">
        <f t="shared" si="64"/>
        <v>0</v>
      </c>
      <c r="AD132" s="11">
        <f t="shared" si="64"/>
        <v>0</v>
      </c>
      <c r="AE132" s="287">
        <f t="shared" si="64"/>
        <v>0</v>
      </c>
      <c r="AF132" s="287">
        <f t="shared" si="64"/>
        <v>0</v>
      </c>
      <c r="AG132" s="287">
        <f t="shared" si="64"/>
        <v>0</v>
      </c>
      <c r="AH132" s="287">
        <f t="shared" si="64"/>
        <v>0</v>
      </c>
      <c r="AI132" s="287">
        <f t="shared" si="64"/>
        <v>0</v>
      </c>
      <c r="AJ132" s="287">
        <f t="shared" si="64"/>
        <v>0</v>
      </c>
      <c r="AK132" s="10"/>
      <c r="AL132" s="44">
        <f>SUM(F132:AJ132)</f>
        <v>-836.24567999999272</v>
      </c>
      <c r="AN132" s="41"/>
      <c r="AP132" s="2"/>
      <c r="AQ132" s="35"/>
      <c r="AT132" s="123">
        <f>SUM(AT130:AT131)</f>
        <v>209.85587568</v>
      </c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X132" s="40"/>
      <c r="BY132" s="40"/>
      <c r="DB132" s="40"/>
      <c r="EJ132" s="30"/>
      <c r="EK132" s="40"/>
      <c r="EL132" s="40"/>
      <c r="EM132" s="40"/>
      <c r="EN132" s="40"/>
      <c r="GQ132" s="40"/>
      <c r="GR132" s="1">
        <f>0.9*12</f>
        <v>10.8</v>
      </c>
      <c r="KL132" s="40"/>
      <c r="KM132" s="40"/>
      <c r="KN132" s="40"/>
      <c r="KO132" s="40"/>
      <c r="PS132" s="40"/>
      <c r="PT132" s="40"/>
      <c r="PV132" s="40"/>
      <c r="QJ132" s="39"/>
      <c r="QN132" s="40"/>
      <c r="SQ132" s="39"/>
      <c r="AHZ132" s="5"/>
      <c r="AJO132" s="5"/>
      <c r="AJP132" s="5"/>
      <c r="AJQ132" s="5"/>
    </row>
    <row r="133" spans="2:953" x14ac:dyDescent="0.25">
      <c r="B133" s="134"/>
      <c r="C133" s="240" t="s">
        <v>33</v>
      </c>
      <c r="D133" s="191"/>
      <c r="E133" s="134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0"/>
      <c r="AL133" s="45" t="s">
        <v>33</v>
      </c>
      <c r="AN133" s="56"/>
      <c r="AP133" s="2"/>
      <c r="AQ133" s="3"/>
      <c r="AR133" s="122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X133" s="40"/>
      <c r="BY133" s="40"/>
      <c r="DB133" s="40"/>
      <c r="EJ133" s="30"/>
      <c r="EK133" s="40"/>
      <c r="EL133" s="40"/>
      <c r="EM133" s="40"/>
      <c r="EN133" s="40"/>
      <c r="GQ133" s="40"/>
      <c r="KL133" s="40"/>
      <c r="KM133" s="40"/>
      <c r="KN133" s="40"/>
      <c r="KO133" s="40"/>
      <c r="PS133" s="40"/>
      <c r="PT133" s="40"/>
      <c r="PV133" s="40"/>
      <c r="QJ133" s="39"/>
      <c r="QN133" s="40"/>
      <c r="SQ133" s="39"/>
      <c r="AHZ133" s="5"/>
      <c r="AJO133" s="5"/>
      <c r="AJP133" s="5"/>
      <c r="AJQ133" s="5"/>
    </row>
    <row r="134" spans="2:953" x14ac:dyDescent="0.25">
      <c r="B134" s="166"/>
      <c r="C134" s="164" t="s">
        <v>50</v>
      </c>
      <c r="D134" s="165"/>
      <c r="E134" s="242" t="s">
        <v>36</v>
      </c>
      <c r="F134" s="243">
        <v>0</v>
      </c>
      <c r="G134" s="243">
        <v>0</v>
      </c>
      <c r="H134" s="243">
        <v>0</v>
      </c>
      <c r="I134" s="243">
        <v>0</v>
      </c>
      <c r="J134" s="243">
        <v>0</v>
      </c>
      <c r="K134" s="243">
        <v>0</v>
      </c>
      <c r="L134" s="243">
        <v>0</v>
      </c>
      <c r="M134" s="243">
        <v>0</v>
      </c>
      <c r="N134" s="243">
        <v>0</v>
      </c>
      <c r="O134" s="243">
        <v>0</v>
      </c>
      <c r="P134" s="243">
        <v>0</v>
      </c>
      <c r="Q134" s="243">
        <v>0</v>
      </c>
      <c r="R134" s="243">
        <v>0</v>
      </c>
      <c r="S134" s="243">
        <v>0</v>
      </c>
      <c r="T134" s="243">
        <v>2471</v>
      </c>
      <c r="U134" s="243">
        <v>4581</v>
      </c>
      <c r="V134" s="243">
        <v>2814</v>
      </c>
      <c r="W134" s="243">
        <v>0</v>
      </c>
      <c r="X134" s="243">
        <v>845</v>
      </c>
      <c r="Y134" s="243">
        <v>0</v>
      </c>
      <c r="Z134" s="243">
        <v>0</v>
      </c>
      <c r="AA134" s="243">
        <v>0</v>
      </c>
      <c r="AB134" s="243">
        <v>0</v>
      </c>
      <c r="AC134" s="243">
        <v>0</v>
      </c>
      <c r="AD134" s="243">
        <v>0</v>
      </c>
      <c r="AE134" s="243">
        <v>0</v>
      </c>
      <c r="AF134" s="243">
        <v>0</v>
      </c>
      <c r="AG134" s="243">
        <v>0</v>
      </c>
      <c r="AH134" s="243">
        <v>0</v>
      </c>
      <c r="AI134" s="243">
        <v>0</v>
      </c>
      <c r="AJ134" s="243">
        <v>0</v>
      </c>
      <c r="AK134" s="51"/>
      <c r="AL134" s="50">
        <f>SUM(F134:AJ134)</f>
        <v>10711</v>
      </c>
      <c r="AN134" s="49"/>
      <c r="AO134" s="55"/>
      <c r="AP134" s="2"/>
      <c r="AT134" s="3">
        <v>0</v>
      </c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X134" s="48"/>
      <c r="BY134" s="48"/>
      <c r="DB134" s="48"/>
      <c r="EJ134" s="16"/>
      <c r="EK134" s="48"/>
      <c r="EL134" s="48"/>
      <c r="EM134" s="48"/>
      <c r="EN134" s="48"/>
      <c r="GQ134" s="48"/>
      <c r="KL134" s="48"/>
      <c r="KM134" s="48"/>
      <c r="KN134" s="48"/>
      <c r="KO134" s="48"/>
      <c r="PS134" s="48"/>
      <c r="PT134" s="48"/>
      <c r="PV134" s="48"/>
      <c r="QJ134" s="47"/>
      <c r="QN134" s="48"/>
      <c r="SQ134" s="47"/>
      <c r="AHZ134" s="14"/>
      <c r="AJO134" s="14"/>
      <c r="AJP134" s="14"/>
      <c r="AJQ134" s="14"/>
    </row>
    <row r="135" spans="2:953" x14ac:dyDescent="0.25">
      <c r="B135" s="166"/>
      <c r="C135" s="164" t="s">
        <v>49</v>
      </c>
      <c r="D135" s="165"/>
      <c r="E135" s="242" t="s">
        <v>36</v>
      </c>
      <c r="F135" s="243">
        <v>0</v>
      </c>
      <c r="G135" s="243">
        <v>0</v>
      </c>
      <c r="H135" s="243">
        <v>0</v>
      </c>
      <c r="I135" s="243">
        <v>0</v>
      </c>
      <c r="J135" s="243">
        <v>0</v>
      </c>
      <c r="K135" s="243">
        <v>0</v>
      </c>
      <c r="L135" s="243">
        <v>0</v>
      </c>
      <c r="M135" s="243">
        <v>0</v>
      </c>
      <c r="N135" s="243">
        <v>0</v>
      </c>
      <c r="O135" s="243">
        <v>0</v>
      </c>
      <c r="P135" s="243">
        <v>0</v>
      </c>
      <c r="Q135" s="243">
        <v>0</v>
      </c>
      <c r="R135" s="243">
        <v>0</v>
      </c>
      <c r="S135" s="243">
        <v>0</v>
      </c>
      <c r="T135" s="243">
        <v>3396</v>
      </c>
      <c r="U135" s="243">
        <v>4851</v>
      </c>
      <c r="V135" s="243">
        <v>1127</v>
      </c>
      <c r="W135" s="243">
        <v>0</v>
      </c>
      <c r="X135" s="243">
        <v>1431</v>
      </c>
      <c r="Y135" s="243">
        <v>0</v>
      </c>
      <c r="Z135" s="243">
        <v>0</v>
      </c>
      <c r="AA135" s="243">
        <v>0</v>
      </c>
      <c r="AB135" s="243">
        <v>0</v>
      </c>
      <c r="AC135" s="243">
        <v>0</v>
      </c>
      <c r="AD135" s="243">
        <v>0</v>
      </c>
      <c r="AE135" s="243">
        <v>0</v>
      </c>
      <c r="AF135" s="243">
        <v>0</v>
      </c>
      <c r="AG135" s="243">
        <v>0</v>
      </c>
      <c r="AH135" s="243">
        <v>0</v>
      </c>
      <c r="AI135" s="243">
        <v>0</v>
      </c>
      <c r="AJ135" s="243">
        <v>0</v>
      </c>
      <c r="AK135" s="51"/>
      <c r="AL135" s="50">
        <f>SUM(F135:AJ135)</f>
        <v>10805</v>
      </c>
      <c r="AN135" s="49"/>
      <c r="AP135" s="2"/>
      <c r="AT135" s="3">
        <f>SUM(AT134,AT132)</f>
        <v>209.85587568</v>
      </c>
      <c r="AU135" s="2" t="s">
        <v>159</v>
      </c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X135" s="48"/>
      <c r="BY135" s="48"/>
      <c r="DB135" s="48"/>
      <c r="EJ135" s="16"/>
      <c r="EK135" s="48"/>
      <c r="EL135" s="48"/>
      <c r="EM135" s="48"/>
      <c r="EN135" s="48"/>
      <c r="GQ135" s="48"/>
      <c r="KL135" s="48"/>
      <c r="KM135" s="48"/>
      <c r="KN135" s="48"/>
      <c r="KO135" s="48"/>
      <c r="PS135" s="48"/>
      <c r="PT135" s="48"/>
      <c r="PV135" s="48"/>
      <c r="QJ135" s="47"/>
      <c r="QN135" s="48"/>
      <c r="SQ135" s="47"/>
      <c r="AHZ135" s="14"/>
      <c r="AJO135" s="14"/>
      <c r="AJP135" s="14"/>
      <c r="AJQ135" s="14"/>
    </row>
    <row r="136" spans="2:953" x14ac:dyDescent="0.25">
      <c r="B136" s="134"/>
      <c r="C136" s="240" t="s">
        <v>32</v>
      </c>
      <c r="D136" s="191"/>
      <c r="E136" s="134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0"/>
      <c r="AL136" s="45" t="s">
        <v>32</v>
      </c>
      <c r="AN136" s="41"/>
      <c r="AP136" s="2"/>
      <c r="AT136" s="35">
        <v>1640</v>
      </c>
      <c r="AU136" s="2" t="s">
        <v>160</v>
      </c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X136" s="40"/>
      <c r="BY136" s="40"/>
      <c r="DB136" s="40"/>
      <c r="EJ136" s="30"/>
      <c r="EK136" s="40"/>
      <c r="EL136" s="40"/>
      <c r="EM136" s="40"/>
      <c r="EN136" s="40"/>
      <c r="GQ136" s="40"/>
      <c r="KL136" s="40"/>
      <c r="KM136" s="40"/>
      <c r="KN136" s="40"/>
      <c r="KO136" s="40"/>
      <c r="PS136" s="40"/>
      <c r="PT136" s="40"/>
      <c r="PV136" s="40"/>
      <c r="QJ136" s="39"/>
      <c r="QN136" s="40"/>
      <c r="SQ136" s="39"/>
      <c r="AHZ136" s="5"/>
      <c r="AJO136" s="5"/>
      <c r="AJP136" s="5"/>
      <c r="AJQ136" s="5"/>
    </row>
    <row r="137" spans="2:953" x14ac:dyDescent="0.25">
      <c r="B137" s="134"/>
      <c r="C137" s="164" t="s">
        <v>50</v>
      </c>
      <c r="D137" s="191"/>
      <c r="E137" s="212" t="s">
        <v>32</v>
      </c>
      <c r="F137" s="11">
        <f t="shared" ref="F137:AJ137" si="65">F134*12</f>
        <v>0</v>
      </c>
      <c r="G137" s="11">
        <f t="shared" si="65"/>
        <v>0</v>
      </c>
      <c r="H137" s="11">
        <f t="shared" si="65"/>
        <v>0</v>
      </c>
      <c r="I137" s="11">
        <f t="shared" si="65"/>
        <v>0</v>
      </c>
      <c r="J137" s="11">
        <f t="shared" si="65"/>
        <v>0</v>
      </c>
      <c r="K137" s="11">
        <f t="shared" si="65"/>
        <v>0</v>
      </c>
      <c r="L137" s="11">
        <f t="shared" si="65"/>
        <v>0</v>
      </c>
      <c r="M137" s="11">
        <f t="shared" si="65"/>
        <v>0</v>
      </c>
      <c r="N137" s="11">
        <f t="shared" si="65"/>
        <v>0</v>
      </c>
      <c r="O137" s="11">
        <f t="shared" si="65"/>
        <v>0</v>
      </c>
      <c r="P137" s="11">
        <f t="shared" si="65"/>
        <v>0</v>
      </c>
      <c r="Q137" s="11">
        <f t="shared" si="65"/>
        <v>0</v>
      </c>
      <c r="R137" s="11">
        <f t="shared" si="65"/>
        <v>0</v>
      </c>
      <c r="S137" s="11">
        <f t="shared" si="65"/>
        <v>0</v>
      </c>
      <c r="T137" s="11">
        <f t="shared" si="65"/>
        <v>29652</v>
      </c>
      <c r="U137" s="11">
        <f t="shared" si="65"/>
        <v>54972</v>
      </c>
      <c r="V137" s="11">
        <f t="shared" si="65"/>
        <v>33768</v>
      </c>
      <c r="W137" s="11">
        <f t="shared" si="65"/>
        <v>0</v>
      </c>
      <c r="X137" s="11">
        <f t="shared" si="65"/>
        <v>10140</v>
      </c>
      <c r="Y137" s="11">
        <f t="shared" si="65"/>
        <v>0</v>
      </c>
      <c r="Z137" s="11">
        <f t="shared" si="65"/>
        <v>0</v>
      </c>
      <c r="AA137" s="11">
        <f t="shared" si="65"/>
        <v>0</v>
      </c>
      <c r="AB137" s="11">
        <f t="shared" si="65"/>
        <v>0</v>
      </c>
      <c r="AC137" s="11">
        <f t="shared" si="65"/>
        <v>0</v>
      </c>
      <c r="AD137" s="11">
        <f t="shared" si="65"/>
        <v>0</v>
      </c>
      <c r="AE137" s="11">
        <f t="shared" si="65"/>
        <v>0</v>
      </c>
      <c r="AF137" s="11">
        <f t="shared" si="65"/>
        <v>0</v>
      </c>
      <c r="AG137" s="11">
        <f t="shared" si="65"/>
        <v>0</v>
      </c>
      <c r="AH137" s="11">
        <f t="shared" si="65"/>
        <v>0</v>
      </c>
      <c r="AI137" s="11">
        <f t="shared" si="65"/>
        <v>0</v>
      </c>
      <c r="AJ137" s="11">
        <f t="shared" si="65"/>
        <v>0</v>
      </c>
      <c r="AK137" s="10"/>
      <c r="AL137" s="26">
        <f>AL134*12</f>
        <v>128532</v>
      </c>
      <c r="AN137" s="41"/>
      <c r="AP137" s="2"/>
      <c r="AT137" s="3">
        <f>AT135/AT136*100</f>
        <v>12.796089980487805</v>
      </c>
      <c r="AU137" s="2" t="s">
        <v>29</v>
      </c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X137" s="40"/>
      <c r="BY137" s="40"/>
      <c r="DB137" s="40"/>
      <c r="EJ137" s="30"/>
      <c r="EK137" s="40"/>
      <c r="EL137" s="40"/>
      <c r="EM137" s="40"/>
      <c r="EN137" s="40"/>
      <c r="GQ137" s="40"/>
      <c r="KL137" s="40"/>
      <c r="KM137" s="40"/>
      <c r="KN137" s="40"/>
      <c r="KO137" s="40"/>
      <c r="PS137" s="40"/>
      <c r="PT137" s="40"/>
      <c r="PV137" s="40"/>
      <c r="QJ137" s="39"/>
      <c r="QN137" s="40"/>
      <c r="SQ137" s="39"/>
      <c r="AHZ137" s="5"/>
      <c r="AJO137" s="5"/>
      <c r="AJP137" s="5"/>
      <c r="AJQ137" s="5"/>
    </row>
    <row r="138" spans="2:953" x14ac:dyDescent="0.25">
      <c r="B138" s="134"/>
      <c r="C138" s="164" t="s">
        <v>49</v>
      </c>
      <c r="D138" s="191"/>
      <c r="E138" s="212" t="s">
        <v>32</v>
      </c>
      <c r="F138" s="11">
        <f>F135*6</f>
        <v>0</v>
      </c>
      <c r="G138" s="11">
        <f t="shared" ref="G138:AJ138" si="66">G135*6</f>
        <v>0</v>
      </c>
      <c r="H138" s="11">
        <f t="shared" si="66"/>
        <v>0</v>
      </c>
      <c r="I138" s="11">
        <f t="shared" si="66"/>
        <v>0</v>
      </c>
      <c r="J138" s="11">
        <f t="shared" si="66"/>
        <v>0</v>
      </c>
      <c r="K138" s="11">
        <f t="shared" si="66"/>
        <v>0</v>
      </c>
      <c r="L138" s="11">
        <f t="shared" si="66"/>
        <v>0</v>
      </c>
      <c r="M138" s="11">
        <f t="shared" si="66"/>
        <v>0</v>
      </c>
      <c r="N138" s="11">
        <f t="shared" si="66"/>
        <v>0</v>
      </c>
      <c r="O138" s="11">
        <f t="shared" si="66"/>
        <v>0</v>
      </c>
      <c r="P138" s="11">
        <f t="shared" si="66"/>
        <v>0</v>
      </c>
      <c r="Q138" s="11">
        <f t="shared" si="66"/>
        <v>0</v>
      </c>
      <c r="R138" s="11">
        <f t="shared" si="66"/>
        <v>0</v>
      </c>
      <c r="S138" s="11">
        <f t="shared" si="66"/>
        <v>0</v>
      </c>
      <c r="T138" s="11">
        <f t="shared" si="66"/>
        <v>20376</v>
      </c>
      <c r="U138" s="11">
        <f t="shared" si="66"/>
        <v>29106</v>
      </c>
      <c r="V138" s="11">
        <f t="shared" si="66"/>
        <v>6762</v>
      </c>
      <c r="W138" s="11">
        <f t="shared" si="66"/>
        <v>0</v>
      </c>
      <c r="X138" s="11">
        <f t="shared" si="66"/>
        <v>8586</v>
      </c>
      <c r="Y138" s="11">
        <f t="shared" si="66"/>
        <v>0</v>
      </c>
      <c r="Z138" s="11">
        <f t="shared" si="66"/>
        <v>0</v>
      </c>
      <c r="AA138" s="11">
        <f t="shared" si="66"/>
        <v>0</v>
      </c>
      <c r="AB138" s="11">
        <f t="shared" si="66"/>
        <v>0</v>
      </c>
      <c r="AC138" s="11">
        <f t="shared" si="66"/>
        <v>0</v>
      </c>
      <c r="AD138" s="11">
        <f t="shared" si="66"/>
        <v>0</v>
      </c>
      <c r="AE138" s="11">
        <f t="shared" si="66"/>
        <v>0</v>
      </c>
      <c r="AF138" s="11">
        <f t="shared" si="66"/>
        <v>0</v>
      </c>
      <c r="AG138" s="11">
        <f t="shared" si="66"/>
        <v>0</v>
      </c>
      <c r="AH138" s="11">
        <f t="shared" si="66"/>
        <v>0</v>
      </c>
      <c r="AI138" s="11">
        <f t="shared" si="66"/>
        <v>0</v>
      </c>
      <c r="AJ138" s="11">
        <f t="shared" si="66"/>
        <v>0</v>
      </c>
      <c r="AK138" s="10"/>
      <c r="AL138" s="26">
        <f>AL135*6</f>
        <v>64830</v>
      </c>
      <c r="AN138" s="41"/>
      <c r="AP138" s="2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X138" s="40"/>
      <c r="BY138" s="40"/>
      <c r="DB138" s="40"/>
      <c r="EJ138" s="30"/>
      <c r="EK138" s="40"/>
      <c r="EL138" s="40"/>
      <c r="EM138" s="40"/>
      <c r="EN138" s="40"/>
      <c r="GQ138" s="40"/>
      <c r="KL138" s="40"/>
      <c r="KM138" s="40"/>
      <c r="KN138" s="40"/>
      <c r="KO138" s="40"/>
      <c r="PS138" s="40"/>
      <c r="PT138" s="40"/>
      <c r="PV138" s="40"/>
      <c r="QJ138" s="39"/>
      <c r="QN138" s="40"/>
      <c r="SQ138" s="39"/>
      <c r="AHZ138" s="5"/>
      <c r="AJO138" s="5"/>
      <c r="AJP138" s="5"/>
      <c r="AJQ138" s="5"/>
    </row>
    <row r="139" spans="2:953" x14ac:dyDescent="0.25">
      <c r="B139" s="134"/>
      <c r="C139" s="240" t="s">
        <v>41</v>
      </c>
      <c r="D139" s="191"/>
      <c r="E139" s="212" t="s">
        <v>40</v>
      </c>
      <c r="F139" s="11">
        <f>(F130*45)/1700</f>
        <v>0</v>
      </c>
      <c r="G139" s="11">
        <f>(G130*45)/1700</f>
        <v>0</v>
      </c>
      <c r="H139" s="11">
        <f t="shared" ref="H139:Y139" si="67">(H130*45)/1700</f>
        <v>0</v>
      </c>
      <c r="I139" s="11">
        <f t="shared" si="67"/>
        <v>0</v>
      </c>
      <c r="J139" s="11">
        <f t="shared" si="67"/>
        <v>0</v>
      </c>
      <c r="K139" s="11">
        <f t="shared" si="67"/>
        <v>0</v>
      </c>
      <c r="L139" s="11">
        <f t="shared" si="67"/>
        <v>0</v>
      </c>
      <c r="M139" s="11">
        <f t="shared" si="67"/>
        <v>0</v>
      </c>
      <c r="N139" s="11">
        <f t="shared" si="67"/>
        <v>0</v>
      </c>
      <c r="O139" s="11">
        <f t="shared" si="67"/>
        <v>0</v>
      </c>
      <c r="P139" s="11">
        <f t="shared" si="67"/>
        <v>0</v>
      </c>
      <c r="Q139" s="11">
        <f t="shared" si="67"/>
        <v>0</v>
      </c>
      <c r="R139" s="11">
        <f t="shared" si="67"/>
        <v>0</v>
      </c>
      <c r="S139" s="11">
        <f t="shared" si="67"/>
        <v>0</v>
      </c>
      <c r="T139" s="11">
        <f t="shared" si="67"/>
        <v>1506.3008823529412</v>
      </c>
      <c r="U139" s="11">
        <f t="shared" si="67"/>
        <v>2429.6492647058822</v>
      </c>
      <c r="V139" s="11">
        <f t="shared" si="67"/>
        <v>1010.9985882352941</v>
      </c>
      <c r="W139" s="11">
        <f t="shared" si="67"/>
        <v>0</v>
      </c>
      <c r="X139" s="11">
        <f t="shared" si="67"/>
        <v>585.92382352941183</v>
      </c>
      <c r="Y139" s="11">
        <f t="shared" si="67"/>
        <v>0</v>
      </c>
      <c r="Z139" s="11">
        <f t="shared" ref="Z139:AJ139" si="68">Z130*45/1700</f>
        <v>0</v>
      </c>
      <c r="AA139" s="11">
        <f t="shared" si="68"/>
        <v>0</v>
      </c>
      <c r="AB139" s="11">
        <f t="shared" si="68"/>
        <v>0</v>
      </c>
      <c r="AC139" s="11">
        <f t="shared" si="68"/>
        <v>0</v>
      </c>
      <c r="AD139" s="11">
        <f t="shared" si="68"/>
        <v>0</v>
      </c>
      <c r="AE139" s="11">
        <f t="shared" si="68"/>
        <v>0</v>
      </c>
      <c r="AF139" s="11">
        <f t="shared" si="68"/>
        <v>0</v>
      </c>
      <c r="AG139" s="11">
        <f t="shared" si="68"/>
        <v>0</v>
      </c>
      <c r="AH139" s="11">
        <f t="shared" si="68"/>
        <v>0</v>
      </c>
      <c r="AI139" s="11">
        <f t="shared" si="68"/>
        <v>0</v>
      </c>
      <c r="AJ139" s="11">
        <f t="shared" si="68"/>
        <v>0</v>
      </c>
      <c r="AK139" s="10"/>
      <c r="AL139" s="26">
        <f>SUM(F139:AJ139)</f>
        <v>5532.8725588235293</v>
      </c>
      <c r="AN139" s="41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X139" s="40"/>
      <c r="BY139" s="40"/>
      <c r="DB139" s="40"/>
      <c r="EJ139" s="30"/>
      <c r="EK139" s="40"/>
      <c r="EL139" s="40"/>
      <c r="EM139" s="40"/>
      <c r="EN139" s="40"/>
      <c r="GQ139" s="40"/>
      <c r="KL139" s="40"/>
      <c r="KM139" s="40"/>
      <c r="KN139" s="40"/>
      <c r="KO139" s="40"/>
      <c r="PS139" s="40"/>
      <c r="PT139" s="40"/>
      <c r="PV139" s="40"/>
      <c r="QJ139" s="39"/>
      <c r="QN139" s="40"/>
      <c r="SQ139" s="39"/>
      <c r="AHZ139" s="5"/>
      <c r="AJO139" s="5"/>
      <c r="AJP139" s="5"/>
      <c r="AJQ139" s="5"/>
    </row>
    <row r="140" spans="2:953" x14ac:dyDescent="0.25">
      <c r="B140" s="134"/>
      <c r="C140" s="240" t="s">
        <v>39</v>
      </c>
      <c r="D140" s="191"/>
      <c r="E140" s="212" t="s">
        <v>38</v>
      </c>
      <c r="F140" s="11">
        <f t="shared" ref="F140:AD140" si="69">SUM(F134:F135)/500</f>
        <v>0</v>
      </c>
      <c r="G140" s="11">
        <f t="shared" si="69"/>
        <v>0</v>
      </c>
      <c r="H140" s="11">
        <f t="shared" si="69"/>
        <v>0</v>
      </c>
      <c r="I140" s="11">
        <f t="shared" si="69"/>
        <v>0</v>
      </c>
      <c r="J140" s="11">
        <f t="shared" si="69"/>
        <v>0</v>
      </c>
      <c r="K140" s="11">
        <f t="shared" si="69"/>
        <v>0</v>
      </c>
      <c r="L140" s="11">
        <f t="shared" si="69"/>
        <v>0</v>
      </c>
      <c r="M140" s="11">
        <f t="shared" si="69"/>
        <v>0</v>
      </c>
      <c r="N140" s="11">
        <f t="shared" si="69"/>
        <v>0</v>
      </c>
      <c r="O140" s="11">
        <f t="shared" si="69"/>
        <v>0</v>
      </c>
      <c r="P140" s="11">
        <f t="shared" si="69"/>
        <v>0</v>
      </c>
      <c r="Q140" s="11">
        <f t="shared" si="69"/>
        <v>0</v>
      </c>
      <c r="R140" s="11">
        <f t="shared" si="69"/>
        <v>0</v>
      </c>
      <c r="S140" s="11">
        <f t="shared" si="69"/>
        <v>0</v>
      </c>
      <c r="T140" s="11">
        <f t="shared" si="69"/>
        <v>11.734</v>
      </c>
      <c r="U140" s="11">
        <f t="shared" si="69"/>
        <v>18.864000000000001</v>
      </c>
      <c r="V140" s="11">
        <f t="shared" si="69"/>
        <v>7.8819999999999997</v>
      </c>
      <c r="W140" s="11">
        <f t="shared" si="69"/>
        <v>0</v>
      </c>
      <c r="X140" s="11">
        <f t="shared" si="69"/>
        <v>4.5519999999999996</v>
      </c>
      <c r="Y140" s="11">
        <f t="shared" si="69"/>
        <v>0</v>
      </c>
      <c r="Z140" s="11">
        <f t="shared" ref="Z140" si="70">SUM(Z134:Z135)/500</f>
        <v>0</v>
      </c>
      <c r="AA140" s="11">
        <f t="shared" si="69"/>
        <v>0</v>
      </c>
      <c r="AB140" s="11">
        <f>SUM(AB134:AB135)/500</f>
        <v>0</v>
      </c>
      <c r="AC140" s="11">
        <f t="shared" si="69"/>
        <v>0</v>
      </c>
      <c r="AD140" s="11">
        <f t="shared" si="69"/>
        <v>0</v>
      </c>
      <c r="AE140" s="11">
        <f t="shared" ref="AE140:AJ140" si="71">SUM(AE134:AE135)/500</f>
        <v>0</v>
      </c>
      <c r="AF140" s="11">
        <f t="shared" si="71"/>
        <v>0</v>
      </c>
      <c r="AG140" s="11">
        <f t="shared" si="71"/>
        <v>0</v>
      </c>
      <c r="AH140" s="11">
        <f t="shared" si="71"/>
        <v>0</v>
      </c>
      <c r="AI140" s="11">
        <f t="shared" si="71"/>
        <v>0</v>
      </c>
      <c r="AJ140" s="11">
        <f t="shared" si="71"/>
        <v>0</v>
      </c>
      <c r="AK140" s="10"/>
      <c r="AL140" s="26">
        <f>SUM(F140:AJ140)</f>
        <v>43.031999999999996</v>
      </c>
      <c r="AN140" s="41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X140" s="40"/>
      <c r="BY140" s="40"/>
      <c r="DB140" s="40"/>
      <c r="EJ140" s="30"/>
      <c r="EK140" s="40"/>
      <c r="EL140" s="40"/>
      <c r="EM140" s="40"/>
      <c r="EN140" s="40"/>
      <c r="GQ140" s="40"/>
      <c r="KL140" s="40"/>
      <c r="KM140" s="40"/>
      <c r="KN140" s="40"/>
      <c r="KO140" s="40"/>
      <c r="PS140" s="40"/>
      <c r="PT140" s="40"/>
      <c r="PV140" s="40"/>
      <c r="QJ140" s="39"/>
      <c r="QN140" s="40"/>
      <c r="SQ140" s="39"/>
      <c r="AHZ140" s="5"/>
      <c r="AJO140" s="5"/>
      <c r="AJP140" s="5"/>
      <c r="AJQ140" s="5"/>
    </row>
    <row r="141" spans="2:953" x14ac:dyDescent="0.25">
      <c r="B141" s="136"/>
      <c r="C141" s="160" t="s">
        <v>37</v>
      </c>
      <c r="D141" s="179"/>
      <c r="E141" s="179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1"/>
      <c r="AD141" s="180"/>
      <c r="AE141" s="180"/>
      <c r="AF141" s="180"/>
      <c r="AG141" s="180"/>
      <c r="AH141" s="180"/>
      <c r="AI141" s="180"/>
      <c r="AJ141" s="180"/>
      <c r="AK141" s="31"/>
      <c r="AL141" s="46" t="s">
        <v>34</v>
      </c>
      <c r="AN141" s="8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X141" s="5"/>
      <c r="BY141" s="5"/>
      <c r="DB141" s="5"/>
      <c r="EJ141" s="30"/>
      <c r="EK141" s="5"/>
      <c r="EL141" s="5"/>
      <c r="EM141" s="5"/>
      <c r="EN141" s="5"/>
      <c r="GQ141" s="5"/>
      <c r="KL141" s="5"/>
      <c r="KM141" s="5"/>
      <c r="KN141" s="5"/>
      <c r="KO141" s="5"/>
      <c r="PS141" s="5"/>
      <c r="PT141" s="5"/>
      <c r="PV141" s="5"/>
      <c r="QJ141" s="27"/>
      <c r="QN141" s="5"/>
      <c r="SQ141" s="27"/>
      <c r="AHZ141" s="5"/>
      <c r="AJO141" s="5"/>
      <c r="AJP141" s="5"/>
      <c r="AJQ141" s="5"/>
    </row>
    <row r="142" spans="2:953" x14ac:dyDescent="0.25">
      <c r="B142" s="134"/>
      <c r="C142" s="240" t="s">
        <v>33</v>
      </c>
      <c r="D142" s="191"/>
      <c r="E142" s="134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0"/>
      <c r="AL142" s="45" t="s">
        <v>33</v>
      </c>
      <c r="AN142" s="41"/>
      <c r="BX142" s="40"/>
      <c r="BY142" s="40"/>
      <c r="DB142" s="40"/>
      <c r="EJ142" s="30"/>
      <c r="EK142" s="40"/>
      <c r="EL142" s="40"/>
      <c r="EM142" s="40"/>
      <c r="EN142" s="40"/>
      <c r="GQ142" s="40"/>
      <c r="KL142" s="40"/>
      <c r="KM142" s="40"/>
      <c r="KN142" s="40"/>
      <c r="KO142" s="40"/>
      <c r="PS142" s="40"/>
      <c r="PT142" s="40"/>
      <c r="PV142" s="40"/>
      <c r="QJ142" s="39"/>
      <c r="QN142" s="40"/>
      <c r="SQ142" s="39"/>
      <c r="AHZ142" s="5"/>
      <c r="AJO142" s="5"/>
      <c r="AJP142" s="5"/>
      <c r="AJQ142" s="5"/>
    </row>
    <row r="143" spans="2:953" x14ac:dyDescent="0.25">
      <c r="B143" s="134"/>
      <c r="C143" s="164" t="s">
        <v>50</v>
      </c>
      <c r="D143" s="191"/>
      <c r="E143" s="212" t="s">
        <v>36</v>
      </c>
      <c r="F143" s="243">
        <v>0</v>
      </c>
      <c r="G143" s="243">
        <v>0</v>
      </c>
      <c r="H143" s="243">
        <v>0</v>
      </c>
      <c r="I143" s="243">
        <v>0</v>
      </c>
      <c r="J143" s="243">
        <v>0</v>
      </c>
      <c r="K143" s="243">
        <v>0</v>
      </c>
      <c r="L143" s="243">
        <v>0</v>
      </c>
      <c r="M143" s="243">
        <v>0</v>
      </c>
      <c r="N143" s="243">
        <v>0</v>
      </c>
      <c r="O143" s="243">
        <v>0</v>
      </c>
      <c r="P143" s="243">
        <v>0</v>
      </c>
      <c r="Q143" s="243">
        <v>0</v>
      </c>
      <c r="R143" s="243">
        <v>0</v>
      </c>
      <c r="S143" s="243">
        <v>0</v>
      </c>
      <c r="T143" s="243">
        <v>11</v>
      </c>
      <c r="U143" s="243">
        <v>23</v>
      </c>
      <c r="V143" s="243">
        <v>6</v>
      </c>
      <c r="W143" s="243">
        <v>0</v>
      </c>
      <c r="X143" s="243">
        <v>3</v>
      </c>
      <c r="Y143" s="243">
        <v>0</v>
      </c>
      <c r="Z143" s="243">
        <v>0</v>
      </c>
      <c r="AA143" s="243">
        <v>0</v>
      </c>
      <c r="AB143" s="243">
        <v>0</v>
      </c>
      <c r="AC143" s="243">
        <v>0</v>
      </c>
      <c r="AD143" s="243">
        <v>0</v>
      </c>
      <c r="AE143" s="243">
        <v>0</v>
      </c>
      <c r="AF143" s="243">
        <v>0</v>
      </c>
      <c r="AG143" s="243">
        <v>0</v>
      </c>
      <c r="AH143" s="243">
        <v>0</v>
      </c>
      <c r="AI143" s="243">
        <v>0</v>
      </c>
      <c r="AJ143" s="243">
        <v>0</v>
      </c>
      <c r="AK143" s="10"/>
      <c r="AL143" s="26">
        <f>SUM(F143:AJ143)</f>
        <v>43</v>
      </c>
      <c r="AN143" s="41"/>
      <c r="BX143" s="40"/>
      <c r="BY143" s="40"/>
      <c r="DB143" s="40"/>
      <c r="EJ143" s="30"/>
      <c r="EK143" s="40"/>
      <c r="EL143" s="40"/>
      <c r="EM143" s="40"/>
      <c r="EN143" s="40"/>
      <c r="GQ143" s="40"/>
      <c r="KL143" s="40"/>
      <c r="KM143" s="40"/>
      <c r="KN143" s="40"/>
      <c r="KO143" s="40"/>
      <c r="PS143" s="40"/>
      <c r="PT143" s="40"/>
      <c r="PV143" s="40"/>
      <c r="QJ143" s="39"/>
      <c r="QN143" s="40"/>
      <c r="SQ143" s="39"/>
      <c r="AHZ143" s="5"/>
      <c r="AJO143" s="5"/>
      <c r="AJP143" s="5"/>
      <c r="AJQ143" s="5"/>
    </row>
    <row r="144" spans="2:953" x14ac:dyDescent="0.25">
      <c r="B144" s="134"/>
      <c r="C144" s="164" t="s">
        <v>49</v>
      </c>
      <c r="D144" s="191"/>
      <c r="E144" s="212" t="s">
        <v>36</v>
      </c>
      <c r="F144" s="243">
        <v>0</v>
      </c>
      <c r="G144" s="243">
        <v>0</v>
      </c>
      <c r="H144" s="243">
        <v>0</v>
      </c>
      <c r="I144" s="243">
        <v>0</v>
      </c>
      <c r="J144" s="243">
        <v>0</v>
      </c>
      <c r="K144" s="243">
        <v>0</v>
      </c>
      <c r="L144" s="243">
        <v>0</v>
      </c>
      <c r="M144" s="243">
        <v>0</v>
      </c>
      <c r="N144" s="243">
        <v>0</v>
      </c>
      <c r="O144" s="243">
        <v>0</v>
      </c>
      <c r="P144" s="243">
        <v>0</v>
      </c>
      <c r="Q144" s="243">
        <v>0</v>
      </c>
      <c r="R144" s="243">
        <v>0</v>
      </c>
      <c r="S144" s="243">
        <v>0</v>
      </c>
      <c r="T144" s="243">
        <v>23</v>
      </c>
      <c r="U144" s="243">
        <v>0</v>
      </c>
      <c r="V144" s="243">
        <v>20</v>
      </c>
      <c r="W144" s="243">
        <v>0</v>
      </c>
      <c r="X144" s="243">
        <v>4</v>
      </c>
      <c r="Y144" s="243">
        <v>0</v>
      </c>
      <c r="Z144" s="243">
        <v>0</v>
      </c>
      <c r="AA144" s="243">
        <v>0</v>
      </c>
      <c r="AB144" s="243">
        <v>0</v>
      </c>
      <c r="AC144" s="243">
        <v>0</v>
      </c>
      <c r="AD144" s="243">
        <v>0</v>
      </c>
      <c r="AE144" s="243">
        <v>0</v>
      </c>
      <c r="AF144" s="243">
        <v>0</v>
      </c>
      <c r="AG144" s="243">
        <v>0</v>
      </c>
      <c r="AH144" s="243">
        <v>0</v>
      </c>
      <c r="AI144" s="243">
        <v>0</v>
      </c>
      <c r="AJ144" s="243">
        <v>0</v>
      </c>
      <c r="AK144" s="10"/>
      <c r="AL144" s="26">
        <f>SUM(F144:AJ144)</f>
        <v>47</v>
      </c>
      <c r="AN144" s="41"/>
      <c r="BX144" s="40"/>
      <c r="BY144" s="40"/>
      <c r="DB144" s="40"/>
      <c r="EJ144" s="30"/>
      <c r="EK144" s="40"/>
      <c r="EL144" s="40"/>
      <c r="EM144" s="40"/>
      <c r="EN144" s="40"/>
      <c r="GQ144" s="40"/>
      <c r="KL144" s="40"/>
      <c r="KM144" s="40"/>
      <c r="KN144" s="40"/>
      <c r="KO144" s="40"/>
      <c r="PS144" s="40"/>
      <c r="PT144" s="40"/>
      <c r="PV144" s="40"/>
      <c r="QJ144" s="39"/>
      <c r="QN144" s="40"/>
      <c r="SQ144" s="39"/>
      <c r="AHZ144" s="5"/>
      <c r="AJO144" s="5"/>
      <c r="AJP144" s="5"/>
      <c r="AJQ144" s="5"/>
    </row>
    <row r="145" spans="2:953" x14ac:dyDescent="0.25">
      <c r="B145" s="134"/>
      <c r="C145" s="240" t="s">
        <v>32</v>
      </c>
      <c r="D145" s="191"/>
      <c r="E145" s="134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3"/>
      <c r="AI145" s="243"/>
      <c r="AJ145" s="243"/>
      <c r="AK145" s="10"/>
      <c r="AL145" s="45" t="s">
        <v>32</v>
      </c>
      <c r="AN145" s="41"/>
      <c r="BX145" s="40"/>
      <c r="BY145" s="40"/>
      <c r="DB145" s="40"/>
      <c r="EJ145" s="30"/>
      <c r="EK145" s="40"/>
      <c r="EL145" s="40"/>
      <c r="EM145" s="40"/>
      <c r="EN145" s="40"/>
      <c r="GQ145" s="40"/>
      <c r="KL145" s="40"/>
      <c r="KM145" s="40"/>
      <c r="KN145" s="40"/>
      <c r="KO145" s="40"/>
      <c r="PS145" s="40"/>
      <c r="PT145" s="40"/>
      <c r="PV145" s="40"/>
      <c r="QJ145" s="39"/>
      <c r="QN145" s="40"/>
      <c r="SQ145" s="39"/>
      <c r="AHZ145" s="5"/>
      <c r="AJO145" s="5"/>
      <c r="AJP145" s="5"/>
      <c r="AJQ145" s="5"/>
    </row>
    <row r="146" spans="2:953" x14ac:dyDescent="0.25">
      <c r="B146" s="134"/>
      <c r="C146" s="164" t="str">
        <f>C143</f>
        <v xml:space="preserve">INL SP 900 mL  </v>
      </c>
      <c r="D146" s="191"/>
      <c r="E146" s="212" t="s">
        <v>32</v>
      </c>
      <c r="F146" s="243">
        <v>0</v>
      </c>
      <c r="G146" s="243">
        <v>0</v>
      </c>
      <c r="H146" s="243">
        <v>0</v>
      </c>
      <c r="I146" s="243"/>
      <c r="J146" s="243"/>
      <c r="K146" s="243">
        <v>0</v>
      </c>
      <c r="L146" s="243">
        <v>0</v>
      </c>
      <c r="M146" s="243">
        <v>0</v>
      </c>
      <c r="N146" s="243">
        <v>0</v>
      </c>
      <c r="O146" s="243">
        <v>0</v>
      </c>
      <c r="P146" s="243">
        <v>0</v>
      </c>
      <c r="Q146" s="243"/>
      <c r="R146" s="243"/>
      <c r="S146" s="243"/>
      <c r="T146" s="243">
        <v>0</v>
      </c>
      <c r="U146" s="243">
        <v>0</v>
      </c>
      <c r="V146" s="243"/>
      <c r="W146" s="243"/>
      <c r="X146" s="243"/>
      <c r="Y146" s="243"/>
      <c r="Z146" s="243"/>
      <c r="AA146" s="243"/>
      <c r="AB146" s="243">
        <v>0</v>
      </c>
      <c r="AC146" s="243">
        <v>0</v>
      </c>
      <c r="AD146" s="243">
        <v>0</v>
      </c>
      <c r="AE146" s="243"/>
      <c r="AF146" s="243"/>
      <c r="AG146" s="243">
        <v>0</v>
      </c>
      <c r="AH146" s="243">
        <v>0</v>
      </c>
      <c r="AI146" s="243">
        <v>0</v>
      </c>
      <c r="AJ146" s="243">
        <v>0</v>
      </c>
      <c r="AK146" s="10"/>
      <c r="AL146" s="26">
        <f>SUM(F146:AJ146)</f>
        <v>0</v>
      </c>
      <c r="AN146" s="41"/>
      <c r="BX146" s="40"/>
      <c r="BY146" s="40"/>
      <c r="DB146" s="40"/>
      <c r="EJ146" s="30"/>
      <c r="EK146" s="40"/>
      <c r="EL146" s="40"/>
      <c r="EM146" s="40"/>
      <c r="EN146" s="40"/>
      <c r="GQ146" s="40"/>
      <c r="KL146" s="40"/>
      <c r="KM146" s="40"/>
      <c r="KN146" s="40"/>
      <c r="KO146" s="40"/>
      <c r="PS146" s="40"/>
      <c r="PT146" s="40"/>
      <c r="PV146" s="40"/>
      <c r="QJ146" s="39"/>
      <c r="QN146" s="40"/>
      <c r="SQ146" s="39"/>
      <c r="AHZ146" s="5"/>
      <c r="AJO146" s="5"/>
      <c r="AJP146" s="5"/>
      <c r="AJQ146" s="5"/>
    </row>
    <row r="147" spans="2:953" x14ac:dyDescent="0.25">
      <c r="B147" s="134"/>
      <c r="C147" s="164" t="str">
        <f>C144</f>
        <v>INL SP 1,8 L</v>
      </c>
      <c r="D147" s="191"/>
      <c r="E147" s="212" t="s">
        <v>32</v>
      </c>
      <c r="F147" s="243">
        <v>0</v>
      </c>
      <c r="G147" s="243">
        <v>0</v>
      </c>
      <c r="H147" s="243">
        <v>0</v>
      </c>
      <c r="I147" s="243">
        <v>0</v>
      </c>
      <c r="J147" s="243">
        <v>0</v>
      </c>
      <c r="K147" s="243">
        <v>0</v>
      </c>
      <c r="L147" s="243">
        <v>0</v>
      </c>
      <c r="M147" s="243">
        <v>0</v>
      </c>
      <c r="N147" s="243">
        <v>0</v>
      </c>
      <c r="O147" s="243">
        <v>0</v>
      </c>
      <c r="P147" s="243">
        <v>0</v>
      </c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>
        <v>0</v>
      </c>
      <c r="AC147" s="243">
        <v>0</v>
      </c>
      <c r="AD147" s="243">
        <v>0</v>
      </c>
      <c r="AE147" s="243">
        <v>0</v>
      </c>
      <c r="AF147" s="243">
        <v>0</v>
      </c>
      <c r="AG147" s="243">
        <v>0</v>
      </c>
      <c r="AH147" s="243">
        <v>0</v>
      </c>
      <c r="AI147" s="243">
        <v>0</v>
      </c>
      <c r="AJ147" s="243">
        <v>0</v>
      </c>
      <c r="AK147" s="10"/>
      <c r="AL147" s="26">
        <f>SUM(F147:AJ147)</f>
        <v>0</v>
      </c>
      <c r="AN147" s="41"/>
      <c r="BX147" s="40"/>
      <c r="BY147" s="40"/>
      <c r="DB147" s="40"/>
      <c r="EJ147" s="30"/>
      <c r="EK147" s="40"/>
      <c r="EL147" s="40"/>
      <c r="EM147" s="40"/>
      <c r="EN147" s="40"/>
      <c r="GQ147" s="40"/>
      <c r="KL147" s="40"/>
      <c r="KM147" s="40"/>
      <c r="KN147" s="40"/>
      <c r="KO147" s="40"/>
      <c r="PS147" s="40"/>
      <c r="PT147" s="40"/>
      <c r="PV147" s="40"/>
      <c r="QJ147" s="39"/>
      <c r="QN147" s="40"/>
      <c r="SQ147" s="39"/>
      <c r="AHZ147" s="5"/>
      <c r="AJO147" s="5"/>
      <c r="AJP147" s="5"/>
      <c r="AJQ147" s="5"/>
    </row>
    <row r="148" spans="2:953" x14ac:dyDescent="0.25">
      <c r="B148" s="134"/>
      <c r="C148" s="160" t="s">
        <v>35</v>
      </c>
      <c r="D148" s="329"/>
      <c r="E148" s="330"/>
      <c r="F148" s="331"/>
      <c r="G148" s="331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2"/>
      <c r="AL148" s="333"/>
      <c r="AN148" s="41"/>
      <c r="BX148" s="40"/>
      <c r="BY148" s="40"/>
      <c r="DB148" s="40"/>
      <c r="EJ148" s="30"/>
      <c r="EK148" s="40"/>
      <c r="EL148" s="40"/>
      <c r="EM148" s="40"/>
      <c r="EN148" s="40"/>
      <c r="GQ148" s="40"/>
      <c r="KL148" s="40"/>
      <c r="KM148" s="40"/>
      <c r="KN148" s="40"/>
      <c r="KO148" s="40"/>
      <c r="PS148" s="40"/>
      <c r="PT148" s="40"/>
      <c r="PV148" s="40"/>
      <c r="QJ148" s="39"/>
      <c r="QN148" s="40"/>
      <c r="SQ148" s="39"/>
      <c r="AHZ148" s="5"/>
      <c r="AJO148" s="5"/>
      <c r="AJP148" s="5"/>
      <c r="AJQ148" s="5"/>
    </row>
    <row r="149" spans="2:953" x14ac:dyDescent="0.25">
      <c r="B149" s="134"/>
      <c r="C149" s="240" t="s">
        <v>33</v>
      </c>
      <c r="D149" s="191"/>
      <c r="E149" s="212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3"/>
      <c r="AI149" s="243"/>
      <c r="AJ149" s="243"/>
      <c r="AK149" s="10"/>
      <c r="AL149" s="26"/>
      <c r="AN149" s="41"/>
      <c r="BX149" s="40"/>
      <c r="BY149" s="40"/>
      <c r="DB149" s="40"/>
      <c r="EJ149" s="30"/>
      <c r="EK149" s="40"/>
      <c r="EL149" s="40"/>
      <c r="EM149" s="40"/>
      <c r="EN149" s="40"/>
      <c r="GQ149" s="40"/>
      <c r="KL149" s="40"/>
      <c r="KM149" s="40"/>
      <c r="KN149" s="40"/>
      <c r="KO149" s="40"/>
      <c r="PS149" s="40"/>
      <c r="PT149" s="40"/>
      <c r="PV149" s="40"/>
      <c r="QJ149" s="39"/>
      <c r="QN149" s="40"/>
      <c r="SQ149" s="39"/>
      <c r="AHZ149" s="5"/>
      <c r="AJO149" s="5"/>
      <c r="AJP149" s="5"/>
      <c r="AJQ149" s="5"/>
    </row>
    <row r="150" spans="2:953" x14ac:dyDescent="0.25">
      <c r="B150" s="134"/>
      <c r="C150" s="164" t="s">
        <v>50</v>
      </c>
      <c r="D150" s="285">
        <v>0.3</v>
      </c>
      <c r="E150" s="212" t="s">
        <v>29</v>
      </c>
      <c r="F150" s="287" t="e">
        <f t="shared" ref="F150:V151" si="72">F143/F134*100</f>
        <v>#DIV/0!</v>
      </c>
      <c r="G150" s="287" t="e">
        <f t="shared" si="72"/>
        <v>#DIV/0!</v>
      </c>
      <c r="H150" s="287" t="e">
        <f t="shared" si="72"/>
        <v>#DIV/0!</v>
      </c>
      <c r="I150" s="287" t="e">
        <f t="shared" si="72"/>
        <v>#DIV/0!</v>
      </c>
      <c r="J150" s="287" t="e">
        <f t="shared" si="72"/>
        <v>#DIV/0!</v>
      </c>
      <c r="K150" s="287" t="e">
        <f t="shared" si="72"/>
        <v>#DIV/0!</v>
      </c>
      <c r="L150" s="287" t="e">
        <f t="shared" si="72"/>
        <v>#DIV/0!</v>
      </c>
      <c r="M150" s="287" t="e">
        <f t="shared" si="72"/>
        <v>#DIV/0!</v>
      </c>
      <c r="N150" s="287" t="e">
        <f t="shared" si="72"/>
        <v>#DIV/0!</v>
      </c>
      <c r="O150" s="287" t="e">
        <f t="shared" si="72"/>
        <v>#DIV/0!</v>
      </c>
      <c r="P150" s="287" t="e">
        <f t="shared" si="72"/>
        <v>#DIV/0!</v>
      </c>
      <c r="Q150" s="287" t="e">
        <f t="shared" si="72"/>
        <v>#DIV/0!</v>
      </c>
      <c r="R150" s="287" t="e">
        <f t="shared" si="72"/>
        <v>#DIV/0!</v>
      </c>
      <c r="S150" s="287" t="e">
        <f t="shared" si="72"/>
        <v>#DIV/0!</v>
      </c>
      <c r="T150" s="287">
        <f t="shared" si="72"/>
        <v>0.44516390125455285</v>
      </c>
      <c r="U150" s="287">
        <f t="shared" si="72"/>
        <v>0.50207378301680849</v>
      </c>
      <c r="V150" s="287">
        <f t="shared" si="72"/>
        <v>0.21321961620469082</v>
      </c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3"/>
      <c r="AI150" s="243"/>
      <c r="AJ150" s="243"/>
      <c r="AK150" s="10"/>
      <c r="AL150" s="26"/>
      <c r="AN150" s="41"/>
      <c r="BX150" s="40"/>
      <c r="BY150" s="40"/>
      <c r="DB150" s="40"/>
      <c r="EJ150" s="30"/>
      <c r="EK150" s="40"/>
      <c r="EL150" s="40"/>
      <c r="EM150" s="40"/>
      <c r="EN150" s="40"/>
      <c r="GQ150" s="40"/>
      <c r="KL150" s="40"/>
      <c r="KM150" s="40"/>
      <c r="KN150" s="40"/>
      <c r="KO150" s="40"/>
      <c r="PS150" s="40"/>
      <c r="PT150" s="40"/>
      <c r="PV150" s="40"/>
      <c r="QJ150" s="39"/>
      <c r="QN150" s="40"/>
      <c r="SQ150" s="39"/>
      <c r="AHZ150" s="5"/>
      <c r="AJO150" s="5"/>
      <c r="AJP150" s="5"/>
      <c r="AJQ150" s="5"/>
    </row>
    <row r="151" spans="2:953" x14ac:dyDescent="0.25">
      <c r="B151" s="134"/>
      <c r="C151" s="164" t="s">
        <v>169</v>
      </c>
      <c r="D151" s="285">
        <v>0.3</v>
      </c>
      <c r="E151" s="212" t="s">
        <v>29</v>
      </c>
      <c r="F151" s="287" t="e">
        <f>F144/F135*100</f>
        <v>#DIV/0!</v>
      </c>
      <c r="G151" s="287" t="e">
        <f t="shared" si="72"/>
        <v>#DIV/0!</v>
      </c>
      <c r="H151" s="287" t="e">
        <f t="shared" si="72"/>
        <v>#DIV/0!</v>
      </c>
      <c r="I151" s="287" t="e">
        <f t="shared" si="72"/>
        <v>#DIV/0!</v>
      </c>
      <c r="J151" s="287" t="e">
        <f t="shared" si="72"/>
        <v>#DIV/0!</v>
      </c>
      <c r="K151" s="287" t="e">
        <f t="shared" si="72"/>
        <v>#DIV/0!</v>
      </c>
      <c r="L151" s="287" t="e">
        <f t="shared" si="72"/>
        <v>#DIV/0!</v>
      </c>
      <c r="M151" s="287" t="e">
        <f t="shared" si="72"/>
        <v>#DIV/0!</v>
      </c>
      <c r="N151" s="287" t="e">
        <f t="shared" si="72"/>
        <v>#DIV/0!</v>
      </c>
      <c r="O151" s="287" t="e">
        <f t="shared" si="72"/>
        <v>#DIV/0!</v>
      </c>
      <c r="P151" s="287" t="e">
        <f t="shared" si="72"/>
        <v>#DIV/0!</v>
      </c>
      <c r="Q151" s="287" t="e">
        <f t="shared" si="72"/>
        <v>#DIV/0!</v>
      </c>
      <c r="R151" s="287" t="e">
        <f t="shared" si="72"/>
        <v>#DIV/0!</v>
      </c>
      <c r="S151" s="287" t="e">
        <f t="shared" si="72"/>
        <v>#DIV/0!</v>
      </c>
      <c r="T151" s="287">
        <f t="shared" si="72"/>
        <v>0.67726737338044762</v>
      </c>
      <c r="U151" s="287">
        <f t="shared" si="72"/>
        <v>0</v>
      </c>
      <c r="V151" s="287">
        <f t="shared" si="72"/>
        <v>1.7746228926353149</v>
      </c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3"/>
      <c r="AI151" s="243"/>
      <c r="AJ151" s="243"/>
      <c r="AK151" s="10"/>
      <c r="AL151" s="26"/>
      <c r="AN151" s="41"/>
      <c r="BX151" s="40"/>
      <c r="BY151" s="40"/>
      <c r="DB151" s="40"/>
      <c r="EJ151" s="30"/>
      <c r="EK151" s="40"/>
      <c r="EL151" s="40"/>
      <c r="EM151" s="40"/>
      <c r="EN151" s="40"/>
      <c r="GQ151" s="40"/>
      <c r="KL151" s="40"/>
      <c r="KM151" s="40"/>
      <c r="KN151" s="40"/>
      <c r="KO151" s="40"/>
      <c r="PS151" s="40"/>
      <c r="PT151" s="40"/>
      <c r="PV151" s="40"/>
      <c r="QJ151" s="39"/>
      <c r="QN151" s="40"/>
      <c r="SQ151" s="39"/>
      <c r="AHZ151" s="5"/>
      <c r="AJO151" s="5"/>
      <c r="AJP151" s="5"/>
      <c r="AJQ151" s="5"/>
    </row>
    <row r="152" spans="2:953" x14ac:dyDescent="0.25">
      <c r="B152" s="134"/>
      <c r="C152" s="240" t="s">
        <v>32</v>
      </c>
      <c r="D152" s="285"/>
      <c r="E152" s="134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3"/>
      <c r="AI152" s="243"/>
      <c r="AJ152" s="243"/>
      <c r="AK152" s="10"/>
      <c r="AL152" s="26"/>
      <c r="AN152" s="41"/>
      <c r="BX152" s="40"/>
      <c r="BY152" s="40"/>
      <c r="DB152" s="40"/>
      <c r="EJ152" s="30"/>
      <c r="EK152" s="40"/>
      <c r="EL152" s="40"/>
      <c r="EM152" s="40"/>
      <c r="EN152" s="40"/>
      <c r="GQ152" s="40"/>
      <c r="KL152" s="40"/>
      <c r="KM152" s="40"/>
      <c r="KN152" s="40"/>
      <c r="KO152" s="40"/>
      <c r="PS152" s="40"/>
      <c r="PT152" s="40"/>
      <c r="PV152" s="40"/>
      <c r="QJ152" s="39"/>
      <c r="QN152" s="40"/>
      <c r="SQ152" s="39"/>
      <c r="AHZ152" s="5"/>
      <c r="AJO152" s="5"/>
      <c r="AJP152" s="5"/>
      <c r="AJQ152" s="5"/>
    </row>
    <row r="153" spans="2:953" x14ac:dyDescent="0.25">
      <c r="B153" s="134"/>
      <c r="C153" s="164" t="s">
        <v>50</v>
      </c>
      <c r="D153" s="285">
        <v>0.5</v>
      </c>
      <c r="E153" s="212" t="s">
        <v>29</v>
      </c>
      <c r="F153" s="287" t="e">
        <f t="shared" ref="F153:V154" si="73">F146/F137*100</f>
        <v>#DIV/0!</v>
      </c>
      <c r="G153" s="287" t="e">
        <f t="shared" si="73"/>
        <v>#DIV/0!</v>
      </c>
      <c r="H153" s="287" t="e">
        <f t="shared" si="73"/>
        <v>#DIV/0!</v>
      </c>
      <c r="I153" s="287" t="e">
        <f t="shared" si="73"/>
        <v>#DIV/0!</v>
      </c>
      <c r="J153" s="287" t="e">
        <f t="shared" si="73"/>
        <v>#DIV/0!</v>
      </c>
      <c r="K153" s="287" t="e">
        <f t="shared" si="73"/>
        <v>#DIV/0!</v>
      </c>
      <c r="L153" s="287" t="e">
        <f t="shared" si="73"/>
        <v>#DIV/0!</v>
      </c>
      <c r="M153" s="287" t="e">
        <f t="shared" si="73"/>
        <v>#DIV/0!</v>
      </c>
      <c r="N153" s="287" t="e">
        <f t="shared" si="73"/>
        <v>#DIV/0!</v>
      </c>
      <c r="O153" s="287" t="e">
        <f t="shared" si="73"/>
        <v>#DIV/0!</v>
      </c>
      <c r="P153" s="287" t="e">
        <f t="shared" si="73"/>
        <v>#DIV/0!</v>
      </c>
      <c r="Q153" s="287" t="e">
        <f t="shared" si="73"/>
        <v>#DIV/0!</v>
      </c>
      <c r="R153" s="287" t="e">
        <f t="shared" si="73"/>
        <v>#DIV/0!</v>
      </c>
      <c r="S153" s="287" t="e">
        <f t="shared" si="73"/>
        <v>#DIV/0!</v>
      </c>
      <c r="T153" s="287">
        <f t="shared" si="73"/>
        <v>0</v>
      </c>
      <c r="U153" s="287">
        <f t="shared" si="73"/>
        <v>0</v>
      </c>
      <c r="V153" s="287">
        <f t="shared" si="73"/>
        <v>0</v>
      </c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3"/>
      <c r="AI153" s="243"/>
      <c r="AJ153" s="243"/>
      <c r="AK153" s="10"/>
      <c r="AL153" s="26"/>
      <c r="AN153" s="41"/>
      <c r="BX153" s="40"/>
      <c r="BY153" s="40"/>
      <c r="DB153" s="40"/>
      <c r="EJ153" s="30"/>
      <c r="EK153" s="40"/>
      <c r="EL153" s="40"/>
      <c r="EM153" s="40"/>
      <c r="EN153" s="40"/>
      <c r="GQ153" s="40"/>
      <c r="KL153" s="40"/>
      <c r="KM153" s="40"/>
      <c r="KN153" s="40"/>
      <c r="KO153" s="40"/>
      <c r="PS153" s="40"/>
      <c r="PT153" s="40"/>
      <c r="PV153" s="40"/>
      <c r="QJ153" s="39"/>
      <c r="QN153" s="40"/>
      <c r="SQ153" s="39"/>
      <c r="AHZ153" s="5"/>
      <c r="AJO153" s="5"/>
      <c r="AJP153" s="5"/>
      <c r="AJQ153" s="5"/>
    </row>
    <row r="154" spans="2:953" x14ac:dyDescent="0.25">
      <c r="B154" s="134"/>
      <c r="C154" s="164" t="s">
        <v>169</v>
      </c>
      <c r="D154" s="285">
        <v>0.5</v>
      </c>
      <c r="E154" s="212" t="s">
        <v>29</v>
      </c>
      <c r="F154" s="287" t="e">
        <f t="shared" si="73"/>
        <v>#DIV/0!</v>
      </c>
      <c r="G154" s="287" t="e">
        <f t="shared" si="73"/>
        <v>#DIV/0!</v>
      </c>
      <c r="H154" s="287" t="e">
        <f t="shared" si="73"/>
        <v>#DIV/0!</v>
      </c>
      <c r="I154" s="287" t="e">
        <f t="shared" si="73"/>
        <v>#DIV/0!</v>
      </c>
      <c r="J154" s="287" t="e">
        <f t="shared" si="73"/>
        <v>#DIV/0!</v>
      </c>
      <c r="K154" s="287" t="e">
        <f t="shared" si="73"/>
        <v>#DIV/0!</v>
      </c>
      <c r="L154" s="287" t="e">
        <f t="shared" si="73"/>
        <v>#DIV/0!</v>
      </c>
      <c r="M154" s="287" t="e">
        <f t="shared" si="73"/>
        <v>#DIV/0!</v>
      </c>
      <c r="N154" s="287" t="e">
        <f t="shared" si="73"/>
        <v>#DIV/0!</v>
      </c>
      <c r="O154" s="287" t="e">
        <f t="shared" si="73"/>
        <v>#DIV/0!</v>
      </c>
      <c r="P154" s="287" t="e">
        <f t="shared" si="73"/>
        <v>#DIV/0!</v>
      </c>
      <c r="Q154" s="287" t="e">
        <f t="shared" si="73"/>
        <v>#DIV/0!</v>
      </c>
      <c r="R154" s="287" t="e">
        <f t="shared" si="73"/>
        <v>#DIV/0!</v>
      </c>
      <c r="S154" s="287" t="e">
        <f t="shared" si="73"/>
        <v>#DIV/0!</v>
      </c>
      <c r="T154" s="287">
        <f t="shared" si="73"/>
        <v>0</v>
      </c>
      <c r="U154" s="287">
        <f t="shared" si="73"/>
        <v>0</v>
      </c>
      <c r="V154" s="287">
        <f t="shared" si="73"/>
        <v>0</v>
      </c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10"/>
      <c r="AL154" s="26"/>
      <c r="AN154" s="41"/>
      <c r="BX154" s="40"/>
      <c r="BY154" s="40"/>
      <c r="DB154" s="40"/>
      <c r="EJ154" s="30"/>
      <c r="EK154" s="40"/>
      <c r="EL154" s="40"/>
      <c r="EM154" s="40"/>
      <c r="EN154" s="40"/>
      <c r="GQ154" s="40"/>
      <c r="KL154" s="40"/>
      <c r="KM154" s="40"/>
      <c r="KN154" s="40"/>
      <c r="KO154" s="40"/>
      <c r="PS154" s="40"/>
      <c r="PT154" s="40"/>
      <c r="PV154" s="40"/>
      <c r="QJ154" s="39"/>
      <c r="QN154" s="40"/>
      <c r="SQ154" s="39"/>
      <c r="AHZ154" s="5"/>
      <c r="AJO154" s="5"/>
      <c r="AJP154" s="5"/>
      <c r="AJQ154" s="5"/>
    </row>
    <row r="155" spans="2:953" x14ac:dyDescent="0.25">
      <c r="B155" s="178">
        <v>8</v>
      </c>
      <c r="C155" s="160" t="s">
        <v>48</v>
      </c>
      <c r="D155" s="179"/>
      <c r="E155" s="179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1"/>
      <c r="AD155" s="180"/>
      <c r="AE155" s="180"/>
      <c r="AF155" s="180"/>
      <c r="AG155" s="180"/>
      <c r="AH155" s="180"/>
      <c r="AI155" s="180"/>
      <c r="AJ155" s="180"/>
      <c r="AK155" s="31"/>
      <c r="AL155" s="46" t="s">
        <v>47</v>
      </c>
      <c r="AN155" s="8"/>
      <c r="BX155" s="5"/>
      <c r="BY155" s="5"/>
      <c r="DB155" s="5"/>
      <c r="EJ155" s="30"/>
      <c r="EK155" s="5"/>
      <c r="EL155" s="5"/>
      <c r="EM155" s="5"/>
      <c r="EN155" s="5"/>
      <c r="GQ155" s="5"/>
      <c r="KL155" s="5"/>
      <c r="KM155" s="5"/>
      <c r="KN155" s="5"/>
      <c r="KO155" s="5"/>
      <c r="PS155" s="5"/>
      <c r="PT155" s="5"/>
      <c r="PV155" s="5"/>
      <c r="QJ155" s="27"/>
      <c r="QN155" s="5"/>
      <c r="SQ155" s="27"/>
      <c r="AHZ155" s="5"/>
      <c r="AJO155" s="5"/>
      <c r="AJP155" s="5"/>
      <c r="AJQ155" s="5"/>
    </row>
    <row r="156" spans="2:953" x14ac:dyDescent="0.25">
      <c r="B156" s="134"/>
      <c r="C156" s="246" t="s">
        <v>45</v>
      </c>
      <c r="D156" s="247"/>
      <c r="E156" s="248" t="s">
        <v>16</v>
      </c>
      <c r="F156" s="298">
        <v>0</v>
      </c>
      <c r="G156" s="298">
        <v>0</v>
      </c>
      <c r="H156" s="298">
        <v>0</v>
      </c>
      <c r="I156" s="298">
        <v>0</v>
      </c>
      <c r="J156" s="298">
        <v>0</v>
      </c>
      <c r="K156" s="298">
        <v>0</v>
      </c>
      <c r="L156" s="298">
        <v>0</v>
      </c>
      <c r="M156" s="298">
        <v>0</v>
      </c>
      <c r="N156" s="298">
        <v>0</v>
      </c>
      <c r="O156" s="298">
        <v>0</v>
      </c>
      <c r="P156" s="298">
        <v>0</v>
      </c>
      <c r="Q156" s="298">
        <v>0</v>
      </c>
      <c r="R156" s="298">
        <v>0</v>
      </c>
      <c r="S156" s="298">
        <v>0</v>
      </c>
      <c r="T156" s="298">
        <v>0</v>
      </c>
      <c r="U156" s="298">
        <v>0</v>
      </c>
      <c r="V156" s="298">
        <v>0</v>
      </c>
      <c r="W156" s="298">
        <v>0</v>
      </c>
      <c r="X156" s="298">
        <v>0</v>
      </c>
      <c r="Y156" s="298">
        <v>0</v>
      </c>
      <c r="Z156" s="298">
        <v>0</v>
      </c>
      <c r="AA156" s="298">
        <v>0</v>
      </c>
      <c r="AB156" s="298">
        <v>0</v>
      </c>
      <c r="AC156" s="298">
        <v>0</v>
      </c>
      <c r="AD156" s="298">
        <v>0</v>
      </c>
      <c r="AE156" s="298">
        <v>0</v>
      </c>
      <c r="AF156" s="298">
        <v>0</v>
      </c>
      <c r="AG156" s="298">
        <v>0</v>
      </c>
      <c r="AH156" s="298">
        <v>0</v>
      </c>
      <c r="AI156" s="298">
        <v>0</v>
      </c>
      <c r="AJ156" s="298">
        <v>0</v>
      </c>
      <c r="AK156" s="25"/>
      <c r="AL156" s="52">
        <f>SUM(AL157:AL158)</f>
        <v>0</v>
      </c>
      <c r="AN156" s="39">
        <f>Q157/1000</f>
        <v>0</v>
      </c>
      <c r="BX156" s="40"/>
      <c r="BY156" s="40"/>
      <c r="DB156" s="40"/>
      <c r="EJ156" s="30"/>
      <c r="EK156" s="40"/>
      <c r="EL156" s="40"/>
      <c r="EM156" s="40"/>
      <c r="EN156" s="40"/>
      <c r="GQ156" s="40"/>
      <c r="KL156" s="40"/>
      <c r="KM156" s="40"/>
      <c r="KN156" s="40"/>
      <c r="KO156" s="40"/>
      <c r="PS156" s="40"/>
      <c r="PT156" s="40"/>
      <c r="PV156" s="40"/>
      <c r="QJ156" s="39"/>
      <c r="QN156" s="40"/>
      <c r="SQ156" s="39"/>
      <c r="AHZ156" s="5"/>
      <c r="AJO156" s="5"/>
      <c r="AJP156" s="5"/>
      <c r="AJQ156" s="5"/>
    </row>
    <row r="157" spans="2:953" x14ac:dyDescent="0.25">
      <c r="B157" s="134"/>
      <c r="C157" s="240" t="s">
        <v>44</v>
      </c>
      <c r="D157" s="191"/>
      <c r="E157" s="212" t="s">
        <v>16</v>
      </c>
      <c r="F157" s="287">
        <f>SUM(F160:F162)*9.75348</f>
        <v>0</v>
      </c>
      <c r="G157" s="287">
        <f t="shared" ref="G157:T157" si="74">SUM(G160:G162)*9.75348</f>
        <v>0</v>
      </c>
      <c r="H157" s="287">
        <f t="shared" si="74"/>
        <v>0</v>
      </c>
      <c r="I157" s="287">
        <f t="shared" si="74"/>
        <v>0</v>
      </c>
      <c r="J157" s="287">
        <f>SUM(J160:J162)*9.75348</f>
        <v>0</v>
      </c>
      <c r="K157" s="287">
        <f t="shared" si="74"/>
        <v>0</v>
      </c>
      <c r="L157" s="287">
        <f t="shared" si="74"/>
        <v>0</v>
      </c>
      <c r="M157" s="287">
        <f t="shared" si="74"/>
        <v>0</v>
      </c>
      <c r="N157" s="287">
        <f t="shared" si="74"/>
        <v>0</v>
      </c>
      <c r="O157" s="287">
        <f t="shared" si="74"/>
        <v>0</v>
      </c>
      <c r="P157" s="287">
        <f t="shared" si="74"/>
        <v>0</v>
      </c>
      <c r="Q157" s="287">
        <f t="shared" si="74"/>
        <v>0</v>
      </c>
      <c r="R157" s="287">
        <f t="shared" si="74"/>
        <v>0</v>
      </c>
      <c r="S157" s="287">
        <f t="shared" si="74"/>
        <v>0</v>
      </c>
      <c r="T157" s="287">
        <f t="shared" si="74"/>
        <v>0</v>
      </c>
      <c r="U157" s="287">
        <f t="shared" ref="U157:AJ157" si="75">SUM(U160:U162)*9.75348</f>
        <v>0</v>
      </c>
      <c r="V157" s="287">
        <f t="shared" si="75"/>
        <v>0</v>
      </c>
      <c r="W157" s="287">
        <f t="shared" si="75"/>
        <v>0</v>
      </c>
      <c r="X157" s="287">
        <f t="shared" si="75"/>
        <v>0</v>
      </c>
      <c r="Y157" s="287">
        <f t="shared" si="75"/>
        <v>0</v>
      </c>
      <c r="Z157" s="287">
        <f t="shared" si="75"/>
        <v>0</v>
      </c>
      <c r="AA157" s="287">
        <f t="shared" si="75"/>
        <v>0</v>
      </c>
      <c r="AB157" s="287">
        <f t="shared" si="75"/>
        <v>0</v>
      </c>
      <c r="AC157" s="287">
        <f t="shared" si="75"/>
        <v>0</v>
      </c>
      <c r="AD157" s="287">
        <f t="shared" si="75"/>
        <v>0</v>
      </c>
      <c r="AE157" s="287">
        <f t="shared" si="75"/>
        <v>0</v>
      </c>
      <c r="AF157" s="287">
        <f t="shared" si="75"/>
        <v>0</v>
      </c>
      <c r="AG157" s="287">
        <f t="shared" si="75"/>
        <v>0</v>
      </c>
      <c r="AH157" s="287">
        <f t="shared" si="75"/>
        <v>0</v>
      </c>
      <c r="AI157" s="287">
        <f t="shared" si="75"/>
        <v>0</v>
      </c>
      <c r="AJ157" s="287">
        <f t="shared" si="75"/>
        <v>0</v>
      </c>
      <c r="AK157" s="10"/>
      <c r="AL157" s="44">
        <f>SUM(F157:AJ157)</f>
        <v>0</v>
      </c>
      <c r="AN157" s="39"/>
      <c r="BX157" s="40"/>
      <c r="BY157" s="40"/>
      <c r="DB157" s="40"/>
      <c r="EJ157" s="30"/>
      <c r="EK157" s="40"/>
      <c r="EL157" s="40"/>
      <c r="EM157" s="40"/>
      <c r="EN157" s="40"/>
      <c r="GQ157" s="40"/>
      <c r="KL157" s="40"/>
      <c r="KM157" s="40"/>
      <c r="KN157" s="40"/>
      <c r="KO157" s="40"/>
      <c r="PS157" s="40"/>
      <c r="PT157" s="40"/>
      <c r="PV157" s="40"/>
      <c r="QJ157" s="39"/>
      <c r="QN157" s="40"/>
      <c r="SQ157" s="39"/>
      <c r="AHZ157" s="5"/>
      <c r="AJO157" s="5"/>
      <c r="AJP157" s="5"/>
      <c r="AJQ157" s="5"/>
    </row>
    <row r="158" spans="2:953" x14ac:dyDescent="0.25">
      <c r="B158" s="134"/>
      <c r="C158" s="240" t="s">
        <v>43</v>
      </c>
      <c r="D158" s="191"/>
      <c r="E158" s="212" t="s">
        <v>16</v>
      </c>
      <c r="F158" s="287">
        <f>F156-F157</f>
        <v>0</v>
      </c>
      <c r="G158" s="287">
        <f t="shared" ref="G158:AJ158" si="76">G156-G157</f>
        <v>0</v>
      </c>
      <c r="H158" s="287">
        <f t="shared" si="76"/>
        <v>0</v>
      </c>
      <c r="I158" s="287">
        <f t="shared" si="76"/>
        <v>0</v>
      </c>
      <c r="J158" s="287">
        <f t="shared" si="76"/>
        <v>0</v>
      </c>
      <c r="K158" s="287">
        <f t="shared" si="76"/>
        <v>0</v>
      </c>
      <c r="L158" s="287">
        <f t="shared" si="76"/>
        <v>0</v>
      </c>
      <c r="M158" s="287">
        <f t="shared" si="76"/>
        <v>0</v>
      </c>
      <c r="N158" s="287">
        <f t="shared" si="76"/>
        <v>0</v>
      </c>
      <c r="O158" s="287">
        <f t="shared" si="76"/>
        <v>0</v>
      </c>
      <c r="P158" s="287">
        <f t="shared" si="76"/>
        <v>0</v>
      </c>
      <c r="Q158" s="287">
        <f t="shared" si="76"/>
        <v>0</v>
      </c>
      <c r="R158" s="287">
        <f t="shared" si="76"/>
        <v>0</v>
      </c>
      <c r="S158" s="287">
        <f t="shared" si="76"/>
        <v>0</v>
      </c>
      <c r="T158" s="287">
        <f t="shared" si="76"/>
        <v>0</v>
      </c>
      <c r="U158" s="287">
        <f t="shared" si="76"/>
        <v>0</v>
      </c>
      <c r="V158" s="287">
        <f t="shared" si="76"/>
        <v>0</v>
      </c>
      <c r="W158" s="287">
        <f t="shared" si="76"/>
        <v>0</v>
      </c>
      <c r="X158" s="287">
        <f t="shared" si="76"/>
        <v>0</v>
      </c>
      <c r="Y158" s="287">
        <f t="shared" si="76"/>
        <v>0</v>
      </c>
      <c r="Z158" s="287">
        <f t="shared" si="76"/>
        <v>0</v>
      </c>
      <c r="AA158" s="287">
        <f t="shared" si="76"/>
        <v>0</v>
      </c>
      <c r="AB158" s="287">
        <f t="shared" si="76"/>
        <v>0</v>
      </c>
      <c r="AC158" s="287">
        <f t="shared" si="76"/>
        <v>0</v>
      </c>
      <c r="AD158" s="287">
        <f t="shared" si="76"/>
        <v>0</v>
      </c>
      <c r="AE158" s="287">
        <f t="shared" si="76"/>
        <v>0</v>
      </c>
      <c r="AF158" s="287">
        <f t="shared" si="76"/>
        <v>0</v>
      </c>
      <c r="AG158" s="287">
        <f t="shared" si="76"/>
        <v>0</v>
      </c>
      <c r="AH158" s="287">
        <f t="shared" si="76"/>
        <v>0</v>
      </c>
      <c r="AI158" s="287">
        <f t="shared" si="76"/>
        <v>0</v>
      </c>
      <c r="AJ158" s="287">
        <f t="shared" si="76"/>
        <v>0</v>
      </c>
      <c r="AK158" s="10"/>
      <c r="AL158" s="44">
        <f>SUM(F158:AJ158)</f>
        <v>0</v>
      </c>
      <c r="AN158" s="296"/>
      <c r="BX158" s="40"/>
      <c r="BY158" s="40"/>
      <c r="DB158" s="40"/>
      <c r="EJ158" s="30"/>
      <c r="EK158" s="40"/>
      <c r="EL158" s="40"/>
      <c r="EM158" s="40"/>
      <c r="EN158" s="40"/>
      <c r="GQ158" s="40"/>
      <c r="KL158" s="40"/>
      <c r="KM158" s="40"/>
      <c r="KN158" s="40"/>
      <c r="KO158" s="40"/>
      <c r="PS158" s="40"/>
      <c r="PT158" s="40"/>
      <c r="PV158" s="40"/>
      <c r="QJ158" s="39"/>
      <c r="QN158" s="40"/>
      <c r="SQ158" s="39"/>
      <c r="AHZ158" s="5"/>
      <c r="AJO158" s="5"/>
      <c r="AJP158" s="5"/>
      <c r="AJQ158" s="5"/>
    </row>
    <row r="159" spans="2:953" x14ac:dyDescent="0.25">
      <c r="B159" s="134"/>
      <c r="C159" s="240" t="s">
        <v>33</v>
      </c>
      <c r="D159" s="191"/>
      <c r="E159" s="134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0"/>
      <c r="AL159" s="45" t="s">
        <v>33</v>
      </c>
      <c r="AN159" s="41"/>
      <c r="BX159" s="40"/>
      <c r="BY159" s="40"/>
      <c r="DB159" s="40"/>
      <c r="EJ159" s="30"/>
      <c r="EK159" s="40"/>
      <c r="EL159" s="40"/>
      <c r="EM159" s="40"/>
      <c r="EN159" s="40"/>
      <c r="GQ159" s="40"/>
      <c r="KL159" s="40"/>
      <c r="KM159" s="40"/>
      <c r="KN159" s="40"/>
      <c r="KO159" s="40"/>
      <c r="PS159" s="40"/>
      <c r="PT159" s="40"/>
      <c r="PV159" s="40"/>
      <c r="QJ159" s="39"/>
      <c r="QN159" s="40"/>
      <c r="SQ159" s="39"/>
      <c r="AHZ159" s="5"/>
      <c r="AJO159" s="5"/>
      <c r="AJP159" s="5"/>
      <c r="AJQ159" s="5"/>
    </row>
    <row r="160" spans="2:953" x14ac:dyDescent="0.25">
      <c r="B160" s="166"/>
      <c r="C160" s="164" t="s">
        <v>31</v>
      </c>
      <c r="D160" s="165"/>
      <c r="E160" s="242" t="s">
        <v>36</v>
      </c>
      <c r="F160" s="243">
        <v>0</v>
      </c>
      <c r="G160" s="243">
        <v>0</v>
      </c>
      <c r="H160" s="243">
        <v>0</v>
      </c>
      <c r="I160" s="243">
        <v>0</v>
      </c>
      <c r="J160" s="243">
        <v>0</v>
      </c>
      <c r="K160" s="243">
        <v>0</v>
      </c>
      <c r="L160" s="243">
        <v>0</v>
      </c>
      <c r="M160" s="243">
        <v>0</v>
      </c>
      <c r="N160" s="243">
        <v>0</v>
      </c>
      <c r="O160" s="243">
        <v>0</v>
      </c>
      <c r="P160" s="243">
        <v>0</v>
      </c>
      <c r="Q160" s="243">
        <v>0</v>
      </c>
      <c r="R160" s="243">
        <v>0</v>
      </c>
      <c r="S160" s="243">
        <v>0</v>
      </c>
      <c r="T160" s="243">
        <v>0</v>
      </c>
      <c r="U160" s="243">
        <v>0</v>
      </c>
      <c r="V160" s="243">
        <v>0</v>
      </c>
      <c r="W160" s="243">
        <v>0</v>
      </c>
      <c r="X160" s="243">
        <v>0</v>
      </c>
      <c r="Y160" s="243">
        <v>0</v>
      </c>
      <c r="Z160" s="243">
        <v>0</v>
      </c>
      <c r="AA160" s="243">
        <v>0</v>
      </c>
      <c r="AB160" s="243">
        <v>0</v>
      </c>
      <c r="AC160" s="243">
        <v>0</v>
      </c>
      <c r="AD160" s="243">
        <v>0</v>
      </c>
      <c r="AE160" s="243">
        <v>0</v>
      </c>
      <c r="AF160" s="243">
        <v>0</v>
      </c>
      <c r="AG160" s="243">
        <v>0</v>
      </c>
      <c r="AH160" s="243">
        <v>0</v>
      </c>
      <c r="AI160" s="243">
        <v>0</v>
      </c>
      <c r="AJ160" s="243">
        <v>0</v>
      </c>
      <c r="AK160" s="51"/>
      <c r="AL160" s="50">
        <f>SUM(F160:AJ160)</f>
        <v>0</v>
      </c>
      <c r="AN160" s="49"/>
      <c r="BX160" s="48"/>
      <c r="BY160" s="48"/>
      <c r="DB160" s="48"/>
      <c r="EJ160" s="16"/>
      <c r="EK160" s="48"/>
      <c r="EL160" s="48"/>
      <c r="EM160" s="48"/>
      <c r="EN160" s="48"/>
      <c r="GQ160" s="48"/>
      <c r="KL160" s="48"/>
      <c r="KM160" s="48"/>
      <c r="KN160" s="48"/>
      <c r="KO160" s="48"/>
      <c r="PS160" s="48"/>
      <c r="PT160" s="48"/>
      <c r="PV160" s="48"/>
      <c r="QJ160" s="47"/>
      <c r="QN160" s="48"/>
      <c r="SQ160" s="47"/>
      <c r="AHZ160" s="14"/>
      <c r="AJO160" s="14"/>
      <c r="AJP160" s="14"/>
      <c r="AJQ160" s="14"/>
    </row>
    <row r="161" spans="2:953" x14ac:dyDescent="0.25">
      <c r="B161" s="166"/>
      <c r="C161" s="164" t="s">
        <v>30</v>
      </c>
      <c r="D161" s="165"/>
      <c r="E161" s="242" t="s">
        <v>36</v>
      </c>
      <c r="F161" s="243">
        <v>0</v>
      </c>
      <c r="G161" s="243">
        <v>0</v>
      </c>
      <c r="H161" s="243">
        <v>0</v>
      </c>
      <c r="I161" s="243">
        <v>0</v>
      </c>
      <c r="J161" s="243">
        <v>0</v>
      </c>
      <c r="K161" s="243">
        <v>0</v>
      </c>
      <c r="L161" s="243">
        <v>0</v>
      </c>
      <c r="M161" s="243">
        <v>0</v>
      </c>
      <c r="N161" s="243">
        <v>0</v>
      </c>
      <c r="O161" s="243">
        <v>0</v>
      </c>
      <c r="P161" s="243">
        <v>0</v>
      </c>
      <c r="Q161" s="243">
        <v>0</v>
      </c>
      <c r="R161" s="243">
        <v>0</v>
      </c>
      <c r="S161" s="243">
        <v>0</v>
      </c>
      <c r="T161" s="243">
        <v>0</v>
      </c>
      <c r="U161" s="243">
        <v>0</v>
      </c>
      <c r="V161" s="243">
        <v>0</v>
      </c>
      <c r="W161" s="243">
        <v>0</v>
      </c>
      <c r="X161" s="243">
        <v>0</v>
      </c>
      <c r="Y161" s="243">
        <v>0</v>
      </c>
      <c r="Z161" s="243">
        <v>0</v>
      </c>
      <c r="AA161" s="243">
        <v>0</v>
      </c>
      <c r="AB161" s="243">
        <v>0</v>
      </c>
      <c r="AC161" s="243">
        <v>0</v>
      </c>
      <c r="AD161" s="243">
        <v>0</v>
      </c>
      <c r="AE161" s="243">
        <v>0</v>
      </c>
      <c r="AF161" s="243">
        <v>0</v>
      </c>
      <c r="AG161" s="243">
        <v>0</v>
      </c>
      <c r="AH161" s="243">
        <v>0</v>
      </c>
      <c r="AI161" s="243">
        <v>0</v>
      </c>
      <c r="AJ161" s="243">
        <v>0</v>
      </c>
      <c r="AK161" s="51"/>
      <c r="AL161" s="50">
        <f>SUM(F161:AJ161)</f>
        <v>0</v>
      </c>
      <c r="AN161" s="49"/>
      <c r="BX161" s="48"/>
      <c r="BY161" s="48"/>
      <c r="DB161" s="48"/>
      <c r="EJ161" s="16"/>
      <c r="EK161" s="48"/>
      <c r="EL161" s="48"/>
      <c r="EM161" s="48"/>
      <c r="EN161" s="48"/>
      <c r="GQ161" s="48"/>
      <c r="KL161" s="48"/>
      <c r="KM161" s="48"/>
      <c r="KN161" s="48"/>
      <c r="KO161" s="48"/>
      <c r="PS161" s="48"/>
      <c r="PT161" s="48"/>
      <c r="PV161" s="48"/>
      <c r="QJ161" s="47"/>
      <c r="QN161" s="48"/>
      <c r="SQ161" s="47"/>
      <c r="AHZ161" s="14"/>
      <c r="AJO161" s="14"/>
      <c r="AJP161" s="14"/>
      <c r="AJQ161" s="14"/>
    </row>
    <row r="162" spans="2:953" x14ac:dyDescent="0.25">
      <c r="B162" s="166"/>
      <c r="C162" s="164" t="s">
        <v>42</v>
      </c>
      <c r="D162" s="165"/>
      <c r="E162" s="242" t="s">
        <v>36</v>
      </c>
      <c r="F162" s="243">
        <v>0</v>
      </c>
      <c r="G162" s="243">
        <v>0</v>
      </c>
      <c r="H162" s="243">
        <v>0</v>
      </c>
      <c r="I162" s="243">
        <v>0</v>
      </c>
      <c r="J162" s="243">
        <v>0</v>
      </c>
      <c r="K162" s="243">
        <v>0</v>
      </c>
      <c r="L162" s="243">
        <v>0</v>
      </c>
      <c r="M162" s="243">
        <v>0</v>
      </c>
      <c r="N162" s="243">
        <v>0</v>
      </c>
      <c r="O162" s="243">
        <v>0</v>
      </c>
      <c r="P162" s="243">
        <v>0</v>
      </c>
      <c r="Q162" s="243">
        <v>0</v>
      </c>
      <c r="R162" s="243">
        <v>0</v>
      </c>
      <c r="S162" s="243">
        <v>0</v>
      </c>
      <c r="T162" s="243">
        <v>0</v>
      </c>
      <c r="U162" s="243">
        <v>0</v>
      </c>
      <c r="V162" s="243">
        <v>0</v>
      </c>
      <c r="W162" s="243">
        <v>0</v>
      </c>
      <c r="X162" s="243">
        <v>0</v>
      </c>
      <c r="Y162" s="243">
        <v>0</v>
      </c>
      <c r="Z162" s="243">
        <v>0</v>
      </c>
      <c r="AA162" s="243">
        <v>0</v>
      </c>
      <c r="AB162" s="243">
        <v>0</v>
      </c>
      <c r="AC162" s="243">
        <v>0</v>
      </c>
      <c r="AD162" s="243">
        <v>0</v>
      </c>
      <c r="AE162" s="243">
        <v>0</v>
      </c>
      <c r="AF162" s="243">
        <v>0</v>
      </c>
      <c r="AG162" s="243">
        <v>0</v>
      </c>
      <c r="AH162" s="243">
        <v>0</v>
      </c>
      <c r="AI162" s="243">
        <v>0</v>
      </c>
      <c r="AJ162" s="243">
        <v>0</v>
      </c>
      <c r="AK162" s="51"/>
      <c r="AL162" s="50">
        <f>SUM(F162:AJ162)</f>
        <v>0</v>
      </c>
      <c r="AN162" s="49"/>
      <c r="BX162" s="48"/>
      <c r="BY162" s="48"/>
      <c r="DB162" s="48"/>
      <c r="EJ162" s="16"/>
      <c r="EK162" s="48"/>
      <c r="EL162" s="48"/>
      <c r="EM162" s="48"/>
      <c r="EN162" s="48"/>
      <c r="GQ162" s="48"/>
      <c r="KL162" s="48"/>
      <c r="KM162" s="48"/>
      <c r="KN162" s="48"/>
      <c r="KO162" s="48"/>
      <c r="PS162" s="48"/>
      <c r="PT162" s="48"/>
      <c r="PV162" s="48"/>
      <c r="QJ162" s="47"/>
      <c r="QN162" s="48"/>
      <c r="SQ162" s="47"/>
      <c r="AHZ162" s="14"/>
      <c r="AJO162" s="14"/>
      <c r="AJP162" s="14"/>
      <c r="AJQ162" s="14"/>
    </row>
    <row r="163" spans="2:953" x14ac:dyDescent="0.25">
      <c r="B163" s="134"/>
      <c r="C163" s="240" t="s">
        <v>32</v>
      </c>
      <c r="D163" s="191"/>
      <c r="E163" s="134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0"/>
      <c r="AL163" s="45" t="s">
        <v>32</v>
      </c>
      <c r="AN163" s="41"/>
      <c r="BX163" s="40"/>
      <c r="BY163" s="40"/>
      <c r="DB163" s="40"/>
      <c r="EJ163" s="30"/>
      <c r="EK163" s="40"/>
      <c r="EL163" s="40"/>
      <c r="EM163" s="40"/>
      <c r="EN163" s="40"/>
      <c r="GQ163" s="40"/>
      <c r="KL163" s="40"/>
      <c r="KM163" s="40"/>
      <c r="KN163" s="40"/>
      <c r="KO163" s="40"/>
      <c r="PS163" s="40"/>
      <c r="PT163" s="40"/>
      <c r="PV163" s="40"/>
      <c r="QJ163" s="39"/>
      <c r="QN163" s="40"/>
      <c r="SQ163" s="39"/>
      <c r="AHZ163" s="5"/>
      <c r="AJO163" s="5"/>
      <c r="AJP163" s="5"/>
      <c r="AJQ163" s="5"/>
    </row>
    <row r="164" spans="2:953" x14ac:dyDescent="0.25">
      <c r="B164" s="134"/>
      <c r="C164" s="164" t="s">
        <v>31</v>
      </c>
      <c r="D164" s="191"/>
      <c r="E164" s="212" t="s">
        <v>32</v>
      </c>
      <c r="F164" s="11">
        <f>F160*24</f>
        <v>0</v>
      </c>
      <c r="G164" s="11">
        <f t="shared" ref="G164:AJ164" si="77">G160*24</f>
        <v>0</v>
      </c>
      <c r="H164" s="11">
        <f t="shared" si="77"/>
        <v>0</v>
      </c>
      <c r="I164" s="11">
        <f t="shared" si="77"/>
        <v>0</v>
      </c>
      <c r="J164" s="11">
        <f t="shared" si="77"/>
        <v>0</v>
      </c>
      <c r="K164" s="11">
        <f t="shared" si="77"/>
        <v>0</v>
      </c>
      <c r="L164" s="11">
        <f t="shared" si="77"/>
        <v>0</v>
      </c>
      <c r="M164" s="11">
        <f t="shared" si="77"/>
        <v>0</v>
      </c>
      <c r="N164" s="11">
        <f t="shared" si="77"/>
        <v>0</v>
      </c>
      <c r="O164" s="11">
        <f t="shared" si="77"/>
        <v>0</v>
      </c>
      <c r="P164" s="11">
        <f t="shared" si="77"/>
        <v>0</v>
      </c>
      <c r="Q164" s="11">
        <f t="shared" si="77"/>
        <v>0</v>
      </c>
      <c r="R164" s="11">
        <f t="shared" si="77"/>
        <v>0</v>
      </c>
      <c r="S164" s="11">
        <f t="shared" si="77"/>
        <v>0</v>
      </c>
      <c r="T164" s="11">
        <f t="shared" si="77"/>
        <v>0</v>
      </c>
      <c r="U164" s="11">
        <f t="shared" si="77"/>
        <v>0</v>
      </c>
      <c r="V164" s="11">
        <f t="shared" si="77"/>
        <v>0</v>
      </c>
      <c r="W164" s="11">
        <f t="shared" si="77"/>
        <v>0</v>
      </c>
      <c r="X164" s="11">
        <f t="shared" si="77"/>
        <v>0</v>
      </c>
      <c r="Y164" s="11">
        <f t="shared" si="77"/>
        <v>0</v>
      </c>
      <c r="Z164" s="11">
        <f t="shared" si="77"/>
        <v>0</v>
      </c>
      <c r="AA164" s="11">
        <f t="shared" si="77"/>
        <v>0</v>
      </c>
      <c r="AB164" s="11">
        <f t="shared" si="77"/>
        <v>0</v>
      </c>
      <c r="AC164" s="11">
        <f t="shared" si="77"/>
        <v>0</v>
      </c>
      <c r="AD164" s="11">
        <f t="shared" si="77"/>
        <v>0</v>
      </c>
      <c r="AE164" s="11">
        <f t="shared" si="77"/>
        <v>0</v>
      </c>
      <c r="AF164" s="11">
        <f t="shared" si="77"/>
        <v>0</v>
      </c>
      <c r="AG164" s="11">
        <f t="shared" si="77"/>
        <v>0</v>
      </c>
      <c r="AH164" s="11">
        <f t="shared" si="77"/>
        <v>0</v>
      </c>
      <c r="AI164" s="11">
        <f t="shared" si="77"/>
        <v>0</v>
      </c>
      <c r="AJ164" s="11">
        <f t="shared" si="77"/>
        <v>0</v>
      </c>
      <c r="AK164" s="10"/>
      <c r="AL164" s="26">
        <f>AL160*24</f>
        <v>0</v>
      </c>
      <c r="AN164" s="296"/>
      <c r="BX164" s="40"/>
      <c r="BY164" s="40"/>
      <c r="DB164" s="40"/>
      <c r="EJ164" s="30"/>
      <c r="EK164" s="40"/>
      <c r="EL164" s="40"/>
      <c r="EM164" s="40"/>
      <c r="EN164" s="40"/>
      <c r="GQ164" s="40"/>
      <c r="KL164" s="40"/>
      <c r="KM164" s="40"/>
      <c r="KN164" s="40"/>
      <c r="KO164" s="40"/>
      <c r="PS164" s="40"/>
      <c r="PT164" s="40"/>
      <c r="PV164" s="40"/>
      <c r="QJ164" s="39"/>
      <c r="QN164" s="40"/>
      <c r="SQ164" s="39"/>
      <c r="AHZ164" s="5"/>
      <c r="AJO164" s="5"/>
      <c r="AJP164" s="5"/>
      <c r="AJQ164" s="5"/>
    </row>
    <row r="165" spans="2:953" x14ac:dyDescent="0.25">
      <c r="B165" s="134"/>
      <c r="C165" s="164" t="s">
        <v>30</v>
      </c>
      <c r="D165" s="191"/>
      <c r="E165" s="212" t="s">
        <v>32</v>
      </c>
      <c r="F165" s="11">
        <f>F161*12</f>
        <v>0</v>
      </c>
      <c r="G165" s="11">
        <f t="shared" ref="G165:AJ166" si="78">G161*12</f>
        <v>0</v>
      </c>
      <c r="H165" s="11">
        <f t="shared" si="78"/>
        <v>0</v>
      </c>
      <c r="I165" s="11">
        <f t="shared" si="78"/>
        <v>0</v>
      </c>
      <c r="J165" s="11">
        <f t="shared" si="78"/>
        <v>0</v>
      </c>
      <c r="K165" s="11">
        <f t="shared" si="78"/>
        <v>0</v>
      </c>
      <c r="L165" s="11">
        <f t="shared" si="78"/>
        <v>0</v>
      </c>
      <c r="M165" s="11">
        <f t="shared" si="78"/>
        <v>0</v>
      </c>
      <c r="N165" s="11">
        <f t="shared" si="78"/>
        <v>0</v>
      </c>
      <c r="O165" s="11">
        <f t="shared" si="78"/>
        <v>0</v>
      </c>
      <c r="P165" s="11">
        <f t="shared" si="78"/>
        <v>0</v>
      </c>
      <c r="Q165" s="11">
        <f t="shared" si="78"/>
        <v>0</v>
      </c>
      <c r="R165" s="11">
        <f t="shared" si="78"/>
        <v>0</v>
      </c>
      <c r="S165" s="11">
        <f t="shared" si="78"/>
        <v>0</v>
      </c>
      <c r="T165" s="11">
        <f t="shared" si="78"/>
        <v>0</v>
      </c>
      <c r="U165" s="11">
        <f t="shared" si="78"/>
        <v>0</v>
      </c>
      <c r="V165" s="11">
        <f t="shared" si="78"/>
        <v>0</v>
      </c>
      <c r="W165" s="11">
        <f t="shared" si="78"/>
        <v>0</v>
      </c>
      <c r="X165" s="11">
        <f t="shared" si="78"/>
        <v>0</v>
      </c>
      <c r="Y165" s="11">
        <f t="shared" si="78"/>
        <v>0</v>
      </c>
      <c r="Z165" s="11">
        <f t="shared" si="78"/>
        <v>0</v>
      </c>
      <c r="AA165" s="11">
        <f t="shared" si="78"/>
        <v>0</v>
      </c>
      <c r="AB165" s="11">
        <f t="shared" si="78"/>
        <v>0</v>
      </c>
      <c r="AC165" s="11">
        <f t="shared" si="78"/>
        <v>0</v>
      </c>
      <c r="AD165" s="11">
        <f t="shared" si="78"/>
        <v>0</v>
      </c>
      <c r="AE165" s="11">
        <f t="shared" si="78"/>
        <v>0</v>
      </c>
      <c r="AF165" s="11">
        <f t="shared" si="78"/>
        <v>0</v>
      </c>
      <c r="AG165" s="11">
        <f t="shared" si="78"/>
        <v>0</v>
      </c>
      <c r="AH165" s="11">
        <f t="shared" si="78"/>
        <v>0</v>
      </c>
      <c r="AI165" s="11">
        <f t="shared" si="78"/>
        <v>0</v>
      </c>
      <c r="AJ165" s="11">
        <f t="shared" si="78"/>
        <v>0</v>
      </c>
      <c r="AK165" s="10"/>
      <c r="AL165" s="26">
        <f>AL161*12</f>
        <v>0</v>
      </c>
      <c r="AN165" s="41"/>
      <c r="BX165" s="40"/>
      <c r="BY165" s="40"/>
      <c r="DB165" s="40"/>
      <c r="EJ165" s="30"/>
      <c r="EK165" s="40"/>
      <c r="EL165" s="40"/>
      <c r="EM165" s="40"/>
      <c r="EN165" s="40"/>
      <c r="GQ165" s="40"/>
      <c r="KL165" s="40"/>
      <c r="KM165" s="40"/>
      <c r="KN165" s="40"/>
      <c r="KO165" s="40"/>
      <c r="PS165" s="40"/>
      <c r="PT165" s="40"/>
      <c r="PV165" s="40"/>
      <c r="QJ165" s="39"/>
      <c r="QN165" s="40"/>
      <c r="SQ165" s="39"/>
      <c r="AHZ165" s="5"/>
      <c r="AJO165" s="5"/>
      <c r="AJP165" s="5"/>
      <c r="AJQ165" s="5"/>
    </row>
    <row r="166" spans="2:953" x14ac:dyDescent="0.25">
      <c r="B166" s="134"/>
      <c r="C166" s="164" t="s">
        <v>42</v>
      </c>
      <c r="D166" s="191"/>
      <c r="E166" s="212" t="s">
        <v>32</v>
      </c>
      <c r="F166" s="11">
        <f>F162*6</f>
        <v>0</v>
      </c>
      <c r="G166" s="11">
        <f t="shared" ref="G166:AC166" si="79">G162*6</f>
        <v>0</v>
      </c>
      <c r="H166" s="11">
        <f t="shared" si="79"/>
        <v>0</v>
      </c>
      <c r="I166" s="11">
        <f t="shared" si="79"/>
        <v>0</v>
      </c>
      <c r="J166" s="11">
        <f t="shared" si="79"/>
        <v>0</v>
      </c>
      <c r="K166" s="11">
        <f t="shared" si="79"/>
        <v>0</v>
      </c>
      <c r="L166" s="11">
        <f t="shared" si="79"/>
        <v>0</v>
      </c>
      <c r="M166" s="11">
        <f t="shared" si="79"/>
        <v>0</v>
      </c>
      <c r="N166" s="11">
        <f t="shared" si="79"/>
        <v>0</v>
      </c>
      <c r="O166" s="11">
        <f t="shared" si="79"/>
        <v>0</v>
      </c>
      <c r="P166" s="11">
        <f t="shared" si="79"/>
        <v>0</v>
      </c>
      <c r="Q166" s="11">
        <f t="shared" si="79"/>
        <v>0</v>
      </c>
      <c r="R166" s="11">
        <f t="shared" si="79"/>
        <v>0</v>
      </c>
      <c r="S166" s="11">
        <f t="shared" si="79"/>
        <v>0</v>
      </c>
      <c r="T166" s="11">
        <f t="shared" si="79"/>
        <v>0</v>
      </c>
      <c r="U166" s="11">
        <f t="shared" si="79"/>
        <v>0</v>
      </c>
      <c r="V166" s="11">
        <f t="shared" si="79"/>
        <v>0</v>
      </c>
      <c r="W166" s="11">
        <f t="shared" si="79"/>
        <v>0</v>
      </c>
      <c r="X166" s="11">
        <f t="shared" si="79"/>
        <v>0</v>
      </c>
      <c r="Y166" s="11">
        <f t="shared" si="79"/>
        <v>0</v>
      </c>
      <c r="Z166" s="11">
        <f t="shared" si="79"/>
        <v>0</v>
      </c>
      <c r="AA166" s="11">
        <f t="shared" si="79"/>
        <v>0</v>
      </c>
      <c r="AB166" s="11">
        <f t="shared" si="79"/>
        <v>0</v>
      </c>
      <c r="AC166" s="11">
        <f t="shared" si="79"/>
        <v>0</v>
      </c>
      <c r="AD166" s="11">
        <f t="shared" si="78"/>
        <v>0</v>
      </c>
      <c r="AE166" s="11">
        <f t="shared" si="78"/>
        <v>0</v>
      </c>
      <c r="AF166" s="11">
        <f t="shared" si="78"/>
        <v>0</v>
      </c>
      <c r="AG166" s="11">
        <f t="shared" si="78"/>
        <v>0</v>
      </c>
      <c r="AH166" s="11">
        <f t="shared" si="78"/>
        <v>0</v>
      </c>
      <c r="AI166" s="11">
        <f t="shared" si="78"/>
        <v>0</v>
      </c>
      <c r="AJ166" s="11">
        <f t="shared" si="78"/>
        <v>0</v>
      </c>
      <c r="AK166" s="10"/>
      <c r="AL166" s="26">
        <f>AL162*6</f>
        <v>0</v>
      </c>
      <c r="AN166" s="41"/>
      <c r="BX166" s="40"/>
      <c r="BY166" s="40"/>
      <c r="DB166" s="40"/>
      <c r="EJ166" s="30"/>
      <c r="EK166" s="40"/>
      <c r="EL166" s="40"/>
      <c r="EM166" s="40"/>
      <c r="EN166" s="40"/>
      <c r="GQ166" s="40"/>
      <c r="KL166" s="40"/>
      <c r="KM166" s="40"/>
      <c r="KN166" s="40"/>
      <c r="KO166" s="40"/>
      <c r="PS166" s="40"/>
      <c r="PT166" s="40"/>
      <c r="PV166" s="40"/>
      <c r="QJ166" s="39"/>
      <c r="QN166" s="40"/>
      <c r="SQ166" s="39"/>
      <c r="AHZ166" s="5"/>
      <c r="AJO166" s="5"/>
      <c r="AJP166" s="5"/>
      <c r="AJQ166" s="5"/>
    </row>
    <row r="167" spans="2:953" x14ac:dyDescent="0.25">
      <c r="B167" s="134"/>
      <c r="C167" s="240" t="s">
        <v>41</v>
      </c>
      <c r="D167" s="191"/>
      <c r="E167" s="212" t="s">
        <v>40</v>
      </c>
      <c r="F167" s="11">
        <f>F156*45/1700</f>
        <v>0</v>
      </c>
      <c r="G167" s="11">
        <f t="shared" ref="G167:AJ167" si="80">G156*45/1700</f>
        <v>0</v>
      </c>
      <c r="H167" s="11">
        <f t="shared" si="80"/>
        <v>0</v>
      </c>
      <c r="I167" s="11">
        <f t="shared" si="80"/>
        <v>0</v>
      </c>
      <c r="J167" s="11">
        <f t="shared" si="80"/>
        <v>0</v>
      </c>
      <c r="K167" s="11">
        <f t="shared" si="80"/>
        <v>0</v>
      </c>
      <c r="L167" s="11">
        <f>L156*45/1700</f>
        <v>0</v>
      </c>
      <c r="M167" s="11">
        <f t="shared" si="80"/>
        <v>0</v>
      </c>
      <c r="N167" s="11">
        <f t="shared" si="80"/>
        <v>0</v>
      </c>
      <c r="O167" s="11">
        <f t="shared" si="80"/>
        <v>0</v>
      </c>
      <c r="P167" s="11">
        <f t="shared" si="80"/>
        <v>0</v>
      </c>
      <c r="Q167" s="11">
        <f t="shared" si="80"/>
        <v>0</v>
      </c>
      <c r="R167" s="11">
        <f t="shared" si="80"/>
        <v>0</v>
      </c>
      <c r="S167" s="11">
        <f t="shared" si="80"/>
        <v>0</v>
      </c>
      <c r="T167" s="11">
        <f t="shared" si="80"/>
        <v>0</v>
      </c>
      <c r="U167" s="11">
        <f t="shared" si="80"/>
        <v>0</v>
      </c>
      <c r="V167" s="11">
        <f t="shared" si="80"/>
        <v>0</v>
      </c>
      <c r="W167" s="11">
        <f t="shared" si="80"/>
        <v>0</v>
      </c>
      <c r="X167" s="11">
        <f t="shared" si="80"/>
        <v>0</v>
      </c>
      <c r="Y167" s="11">
        <f t="shared" si="80"/>
        <v>0</v>
      </c>
      <c r="Z167" s="11">
        <f t="shared" si="80"/>
        <v>0</v>
      </c>
      <c r="AA167" s="11">
        <f t="shared" si="80"/>
        <v>0</v>
      </c>
      <c r="AB167" s="11">
        <f t="shared" si="80"/>
        <v>0</v>
      </c>
      <c r="AC167" s="11">
        <f t="shared" si="80"/>
        <v>0</v>
      </c>
      <c r="AD167" s="11">
        <f t="shared" si="80"/>
        <v>0</v>
      </c>
      <c r="AE167" s="11">
        <f t="shared" si="80"/>
        <v>0</v>
      </c>
      <c r="AF167" s="11">
        <f t="shared" si="80"/>
        <v>0</v>
      </c>
      <c r="AG167" s="11">
        <f t="shared" si="80"/>
        <v>0</v>
      </c>
      <c r="AH167" s="11">
        <f t="shared" si="80"/>
        <v>0</v>
      </c>
      <c r="AI167" s="11">
        <f t="shared" si="80"/>
        <v>0</v>
      </c>
      <c r="AJ167" s="11">
        <f t="shared" si="80"/>
        <v>0</v>
      </c>
      <c r="AK167" s="10"/>
      <c r="AL167" s="26">
        <f>SUM(F167:AJ167)</f>
        <v>0</v>
      </c>
      <c r="AN167" s="41"/>
      <c r="BX167" s="40"/>
      <c r="BY167" s="40"/>
      <c r="DB167" s="40"/>
      <c r="EJ167" s="30"/>
      <c r="EK167" s="40"/>
      <c r="EL167" s="40"/>
      <c r="EM167" s="40"/>
      <c r="EN167" s="40"/>
      <c r="GQ167" s="40"/>
      <c r="KL167" s="40"/>
      <c r="KM167" s="40"/>
      <c r="KN167" s="40"/>
      <c r="KO167" s="40"/>
      <c r="PS167" s="40"/>
      <c r="PT167" s="40"/>
      <c r="PV167" s="40"/>
      <c r="QJ167" s="39"/>
      <c r="QN167" s="40"/>
      <c r="SQ167" s="39"/>
      <c r="AHZ167" s="5"/>
      <c r="AJO167" s="5"/>
      <c r="AJP167" s="5"/>
      <c r="AJQ167" s="5"/>
    </row>
    <row r="168" spans="2:953" x14ac:dyDescent="0.25">
      <c r="B168" s="134"/>
      <c r="C168" s="240" t="s">
        <v>39</v>
      </c>
      <c r="D168" s="191"/>
      <c r="E168" s="212" t="s">
        <v>38</v>
      </c>
      <c r="F168" s="11">
        <f t="shared" ref="F168:AH168" si="81">SUM(F160:F162)/500</f>
        <v>0</v>
      </c>
      <c r="G168" s="11">
        <f t="shared" si="81"/>
        <v>0</v>
      </c>
      <c r="H168" s="11">
        <f t="shared" si="81"/>
        <v>0</v>
      </c>
      <c r="I168" s="11">
        <f t="shared" si="81"/>
        <v>0</v>
      </c>
      <c r="J168" s="11">
        <f t="shared" si="81"/>
        <v>0</v>
      </c>
      <c r="K168" s="11">
        <f t="shared" si="81"/>
        <v>0</v>
      </c>
      <c r="L168" s="11">
        <f t="shared" si="81"/>
        <v>0</v>
      </c>
      <c r="M168" s="11">
        <f t="shared" si="81"/>
        <v>0</v>
      </c>
      <c r="N168" s="11">
        <f t="shared" si="81"/>
        <v>0</v>
      </c>
      <c r="O168" s="11">
        <f t="shared" si="81"/>
        <v>0</v>
      </c>
      <c r="P168" s="11">
        <f t="shared" si="81"/>
        <v>0</v>
      </c>
      <c r="Q168" s="11">
        <f t="shared" si="81"/>
        <v>0</v>
      </c>
      <c r="R168" s="11">
        <f t="shared" si="81"/>
        <v>0</v>
      </c>
      <c r="S168" s="11">
        <f t="shared" si="81"/>
        <v>0</v>
      </c>
      <c r="T168" s="11">
        <f t="shared" si="81"/>
        <v>0</v>
      </c>
      <c r="U168" s="11">
        <f t="shared" si="81"/>
        <v>0</v>
      </c>
      <c r="V168" s="11">
        <f t="shared" si="81"/>
        <v>0</v>
      </c>
      <c r="W168" s="11">
        <f t="shared" si="81"/>
        <v>0</v>
      </c>
      <c r="X168" s="11">
        <f>SUM(X160:X162)/500</f>
        <v>0</v>
      </c>
      <c r="Y168" s="11">
        <f t="shared" si="81"/>
        <v>0</v>
      </c>
      <c r="Z168" s="11">
        <f t="shared" ref="Z168" si="82">SUM(Z160:Z162)/500</f>
        <v>0</v>
      </c>
      <c r="AA168" s="11">
        <f t="shared" si="81"/>
        <v>0</v>
      </c>
      <c r="AB168" s="11">
        <f t="shared" si="81"/>
        <v>0</v>
      </c>
      <c r="AC168" s="11">
        <f t="shared" si="81"/>
        <v>0</v>
      </c>
      <c r="AD168" s="11">
        <f t="shared" si="81"/>
        <v>0</v>
      </c>
      <c r="AE168" s="11">
        <f t="shared" ref="AE168:AG168" si="83">SUM(AE160:AE162)/500</f>
        <v>0</v>
      </c>
      <c r="AF168" s="11">
        <f t="shared" si="83"/>
        <v>0</v>
      </c>
      <c r="AG168" s="11">
        <f t="shared" si="83"/>
        <v>0</v>
      </c>
      <c r="AH168" s="11">
        <f t="shared" si="81"/>
        <v>0</v>
      </c>
      <c r="AI168" s="11">
        <f t="shared" ref="AI168:AJ168" si="84">SUM(AI160:AI162)/500</f>
        <v>0</v>
      </c>
      <c r="AJ168" s="11">
        <f t="shared" si="84"/>
        <v>0</v>
      </c>
      <c r="AK168" s="10"/>
      <c r="AL168" s="26">
        <f>SUM(F168:AJ168)</f>
        <v>0</v>
      </c>
      <c r="AN168" s="41"/>
      <c r="BX168" s="40"/>
      <c r="BY168" s="40"/>
      <c r="DB168" s="40"/>
      <c r="EJ168" s="30"/>
      <c r="EK168" s="40"/>
      <c r="EL168" s="40"/>
      <c r="EM168" s="40"/>
      <c r="EN168" s="40"/>
      <c r="GQ168" s="40"/>
      <c r="KL168" s="40"/>
      <c r="KM168" s="40"/>
      <c r="KN168" s="40"/>
      <c r="KO168" s="40"/>
      <c r="PS168" s="40"/>
      <c r="PT168" s="40"/>
      <c r="PV168" s="40"/>
      <c r="QJ168" s="39"/>
      <c r="QN168" s="40"/>
      <c r="SQ168" s="39"/>
      <c r="AHZ168" s="5"/>
      <c r="AJO168" s="5"/>
      <c r="AJP168" s="5"/>
      <c r="AJQ168" s="5"/>
    </row>
    <row r="169" spans="2:953" ht="15" customHeight="1" x14ac:dyDescent="0.25">
      <c r="B169" s="136"/>
      <c r="C169" s="160" t="s">
        <v>37</v>
      </c>
      <c r="D169" s="179"/>
      <c r="E169" s="179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1"/>
      <c r="AD169" s="180"/>
      <c r="AE169" s="180"/>
      <c r="AF169" s="180"/>
      <c r="AG169" s="180"/>
      <c r="AH169" s="180"/>
      <c r="AI169" s="180"/>
      <c r="AJ169" s="180"/>
      <c r="AK169" s="31"/>
      <c r="AL169" s="46" t="s">
        <v>34</v>
      </c>
      <c r="AN169" s="8"/>
      <c r="BX169" s="5"/>
      <c r="BY169" s="5"/>
      <c r="DB169" s="5"/>
      <c r="EJ169" s="30"/>
      <c r="EK169" s="5"/>
      <c r="EL169" s="5"/>
      <c r="EM169" s="5"/>
      <c r="EN169" s="5"/>
      <c r="GQ169" s="5"/>
      <c r="KL169" s="5"/>
      <c r="KM169" s="5"/>
      <c r="KN169" s="5"/>
      <c r="KO169" s="5"/>
      <c r="PS169" s="5"/>
      <c r="PT169" s="5"/>
      <c r="PV169" s="5"/>
      <c r="QJ169" s="27"/>
      <c r="QN169" s="5"/>
      <c r="SQ169" s="27"/>
      <c r="AHZ169" s="5"/>
      <c r="AJO169" s="5"/>
      <c r="AJP169" s="5"/>
      <c r="AJQ169" s="5"/>
    </row>
    <row r="170" spans="2:953" ht="15" customHeight="1" x14ac:dyDescent="0.25">
      <c r="B170" s="134"/>
      <c r="C170" s="240" t="s">
        <v>33</v>
      </c>
      <c r="D170" s="191"/>
      <c r="E170" s="134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0"/>
      <c r="AL170" s="45" t="s">
        <v>33</v>
      </c>
      <c r="AN170" s="41"/>
      <c r="BX170" s="40"/>
      <c r="BY170" s="40"/>
      <c r="DB170" s="40"/>
      <c r="EJ170" s="30"/>
      <c r="EK170" s="40"/>
      <c r="EL170" s="40"/>
      <c r="EM170" s="40"/>
      <c r="EN170" s="40"/>
      <c r="GQ170" s="40"/>
      <c r="KL170" s="40"/>
      <c r="KM170" s="40"/>
      <c r="KN170" s="40"/>
      <c r="KO170" s="40"/>
      <c r="PS170" s="40"/>
      <c r="PT170" s="40"/>
      <c r="PV170" s="40"/>
      <c r="QJ170" s="39"/>
      <c r="QN170" s="40"/>
      <c r="SQ170" s="39"/>
      <c r="AHZ170" s="5"/>
      <c r="AJO170" s="5"/>
      <c r="AJP170" s="5"/>
      <c r="AJQ170" s="5"/>
    </row>
    <row r="171" spans="2:953" ht="15" customHeight="1" x14ac:dyDescent="0.25">
      <c r="B171" s="134"/>
      <c r="C171" s="164" t="s">
        <v>31</v>
      </c>
      <c r="D171" s="191"/>
      <c r="E171" s="212" t="s">
        <v>36</v>
      </c>
      <c r="F171" s="11">
        <v>0</v>
      </c>
      <c r="G171" s="11"/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0"/>
      <c r="AL171" s="26">
        <f>SUM(F171:AJ171)</f>
        <v>0</v>
      </c>
      <c r="AN171" s="41"/>
      <c r="BX171" s="40"/>
      <c r="BY171" s="40"/>
      <c r="DB171" s="40"/>
      <c r="EJ171" s="30"/>
      <c r="EK171" s="40"/>
      <c r="EL171" s="40"/>
      <c r="EM171" s="40"/>
      <c r="EN171" s="40"/>
      <c r="GQ171" s="40"/>
      <c r="KL171" s="40"/>
      <c r="KM171" s="40"/>
      <c r="KN171" s="40"/>
      <c r="KO171" s="40"/>
      <c r="PS171" s="40"/>
      <c r="PT171" s="40"/>
      <c r="PV171" s="40"/>
      <c r="QJ171" s="39"/>
      <c r="QN171" s="40"/>
      <c r="SQ171" s="39"/>
      <c r="AHZ171" s="5"/>
      <c r="AJO171" s="5"/>
      <c r="AJP171" s="5"/>
      <c r="AJQ171" s="5"/>
    </row>
    <row r="172" spans="2:953" ht="15" customHeight="1" x14ac:dyDescent="0.25">
      <c r="B172" s="134"/>
      <c r="C172" s="164" t="s">
        <v>30</v>
      </c>
      <c r="D172" s="191"/>
      <c r="E172" s="212" t="s">
        <v>36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0"/>
      <c r="AL172" s="26">
        <f>SUM(F172:AJ172)</f>
        <v>0</v>
      </c>
      <c r="AN172" s="41"/>
      <c r="BX172" s="40"/>
      <c r="BY172" s="40"/>
      <c r="DB172" s="40"/>
      <c r="EJ172" s="30"/>
      <c r="EK172" s="40"/>
      <c r="EL172" s="40"/>
      <c r="EM172" s="40"/>
      <c r="EN172" s="40"/>
      <c r="GQ172" s="40"/>
      <c r="KL172" s="40"/>
      <c r="KM172" s="40"/>
      <c r="KN172" s="40"/>
      <c r="KO172" s="40"/>
      <c r="PS172" s="40"/>
      <c r="PT172" s="40"/>
      <c r="PV172" s="40"/>
      <c r="QJ172" s="39"/>
      <c r="QN172" s="40"/>
      <c r="SQ172" s="39"/>
      <c r="AHZ172" s="5"/>
      <c r="AJO172" s="5"/>
      <c r="AJP172" s="5"/>
      <c r="AJQ172" s="5"/>
    </row>
    <row r="173" spans="2:953" ht="15" customHeight="1" x14ac:dyDescent="0.25">
      <c r="B173" s="134"/>
      <c r="C173" s="164" t="s">
        <v>42</v>
      </c>
      <c r="D173" s="191"/>
      <c r="E173" s="212" t="s">
        <v>36</v>
      </c>
      <c r="F173" s="11"/>
      <c r="G173" s="11"/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0"/>
      <c r="AL173" s="26">
        <f>SUM(F173:AJ173)</f>
        <v>0</v>
      </c>
      <c r="AN173" s="41"/>
      <c r="BX173" s="40"/>
      <c r="BY173" s="40"/>
      <c r="DB173" s="40"/>
      <c r="EJ173" s="30"/>
      <c r="EK173" s="40"/>
      <c r="EL173" s="40"/>
      <c r="EM173" s="40"/>
      <c r="EN173" s="40"/>
      <c r="GQ173" s="40"/>
      <c r="KL173" s="40"/>
      <c r="KM173" s="40"/>
      <c r="KN173" s="40"/>
      <c r="KO173" s="40"/>
      <c r="PS173" s="40"/>
      <c r="PT173" s="40"/>
      <c r="PV173" s="40"/>
      <c r="QJ173" s="39"/>
      <c r="QN173" s="40"/>
      <c r="SQ173" s="39"/>
      <c r="AHZ173" s="5"/>
      <c r="AJO173" s="5"/>
      <c r="AJP173" s="5"/>
      <c r="AJQ173" s="5"/>
    </row>
    <row r="174" spans="2:953" ht="15" customHeight="1" x14ac:dyDescent="0.25">
      <c r="B174" s="134"/>
      <c r="C174" s="240" t="s">
        <v>32</v>
      </c>
      <c r="D174" s="191"/>
      <c r="E174" s="134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0"/>
      <c r="AL174" s="45" t="s">
        <v>32</v>
      </c>
      <c r="AN174" s="41"/>
      <c r="BX174" s="40"/>
      <c r="BY174" s="40"/>
      <c r="DB174" s="40"/>
      <c r="EJ174" s="30"/>
      <c r="EK174" s="40"/>
      <c r="EL174" s="40"/>
      <c r="EM174" s="40"/>
      <c r="EN174" s="40"/>
      <c r="GQ174" s="40"/>
      <c r="KL174" s="40"/>
      <c r="KM174" s="40"/>
      <c r="KN174" s="40"/>
      <c r="KO174" s="40"/>
      <c r="PS174" s="40"/>
      <c r="PT174" s="40"/>
      <c r="PV174" s="40"/>
      <c r="QJ174" s="39"/>
      <c r="QN174" s="40"/>
      <c r="SQ174" s="39"/>
      <c r="AHZ174" s="5"/>
      <c r="AJO174" s="5"/>
      <c r="AJP174" s="5"/>
      <c r="AJQ174" s="5"/>
    </row>
    <row r="175" spans="2:953" ht="15" customHeight="1" x14ac:dyDescent="0.25">
      <c r="B175" s="134"/>
      <c r="C175" s="164" t="s">
        <v>31</v>
      </c>
      <c r="D175" s="191"/>
      <c r="E175" s="212" t="s">
        <v>32</v>
      </c>
      <c r="F175" s="11">
        <v>0</v>
      </c>
      <c r="G175" s="11"/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0"/>
      <c r="AL175" s="26">
        <f>SUM(F175:AJ175)</f>
        <v>0</v>
      </c>
      <c r="AN175" s="41"/>
      <c r="BX175" s="40"/>
      <c r="BY175" s="40"/>
      <c r="DB175" s="40"/>
      <c r="EJ175" s="30"/>
      <c r="EK175" s="40"/>
      <c r="EL175" s="40"/>
      <c r="EM175" s="40"/>
      <c r="EN175" s="40"/>
      <c r="GQ175" s="40"/>
      <c r="KL175" s="40"/>
      <c r="KM175" s="40"/>
      <c r="KN175" s="40"/>
      <c r="KO175" s="40"/>
      <c r="PS175" s="40"/>
      <c r="PT175" s="40"/>
      <c r="PV175" s="40"/>
      <c r="QJ175" s="39"/>
      <c r="QN175" s="40"/>
      <c r="SQ175" s="39"/>
      <c r="AHZ175" s="5"/>
      <c r="AJO175" s="5"/>
      <c r="AJP175" s="5"/>
      <c r="AJQ175" s="5"/>
    </row>
    <row r="176" spans="2:953" ht="15" customHeight="1" x14ac:dyDescent="0.25">
      <c r="B176" s="134"/>
      <c r="C176" s="164" t="s">
        <v>30</v>
      </c>
      <c r="D176" s="191"/>
      <c r="E176" s="212" t="s">
        <v>32</v>
      </c>
      <c r="F176" s="11">
        <v>0</v>
      </c>
      <c r="G176" s="11"/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0"/>
      <c r="AL176" s="26">
        <f>SUM(F176:AJ176)</f>
        <v>0</v>
      </c>
      <c r="AN176" s="41"/>
      <c r="BX176" s="40"/>
      <c r="BY176" s="40"/>
      <c r="DB176" s="40"/>
      <c r="EJ176" s="30"/>
      <c r="EK176" s="40"/>
      <c r="EL176" s="40"/>
      <c r="EM176" s="40"/>
      <c r="EN176" s="40"/>
      <c r="GQ176" s="40"/>
      <c r="KL176" s="40"/>
      <c r="KM176" s="40"/>
      <c r="KN176" s="40"/>
      <c r="KO176" s="40"/>
      <c r="PS176" s="40"/>
      <c r="PT176" s="40"/>
      <c r="PV176" s="40"/>
      <c r="QJ176" s="39"/>
      <c r="QN176" s="40"/>
      <c r="SQ176" s="39"/>
      <c r="AHZ176" s="5"/>
      <c r="AJO176" s="5"/>
      <c r="AJP176" s="5"/>
      <c r="AJQ176" s="5"/>
    </row>
    <row r="177" spans="2:953" ht="15" customHeight="1" x14ac:dyDescent="0.25">
      <c r="B177" s="136"/>
      <c r="C177" s="160" t="s">
        <v>35</v>
      </c>
      <c r="D177" s="179"/>
      <c r="E177" s="179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1"/>
      <c r="AD177" s="180"/>
      <c r="AE177" s="180"/>
      <c r="AF177" s="180"/>
      <c r="AG177" s="180"/>
      <c r="AH177" s="180"/>
      <c r="AI177" s="180"/>
      <c r="AJ177" s="180"/>
      <c r="AK177" s="31"/>
      <c r="AL177" s="46" t="s">
        <v>34</v>
      </c>
      <c r="AN177" s="8"/>
      <c r="BX177" s="5"/>
      <c r="BY177" s="5"/>
      <c r="DB177" s="5"/>
      <c r="EJ177" s="30"/>
      <c r="EK177" s="5"/>
      <c r="EL177" s="5"/>
      <c r="EM177" s="5"/>
      <c r="EN177" s="5"/>
      <c r="GQ177" s="5"/>
      <c r="KL177" s="5"/>
      <c r="KM177" s="5"/>
      <c r="KN177" s="5"/>
      <c r="KO177" s="5"/>
      <c r="PS177" s="5"/>
      <c r="PT177" s="5"/>
      <c r="PV177" s="5"/>
      <c r="QJ177" s="27"/>
      <c r="QN177" s="5"/>
      <c r="SQ177" s="27"/>
      <c r="AHZ177" s="5"/>
      <c r="AJO177" s="5"/>
      <c r="AJP177" s="5"/>
      <c r="AJQ177" s="5"/>
    </row>
    <row r="178" spans="2:953" ht="15" customHeight="1" x14ac:dyDescent="0.25">
      <c r="B178" s="134"/>
      <c r="C178" s="240" t="s">
        <v>33</v>
      </c>
      <c r="D178" s="191"/>
      <c r="E178" s="134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0"/>
      <c r="AL178" s="45" t="s">
        <v>33</v>
      </c>
      <c r="AN178" s="41"/>
      <c r="BX178" s="40"/>
      <c r="BY178" s="40"/>
      <c r="DB178" s="40"/>
      <c r="EJ178" s="30"/>
      <c r="EK178" s="40"/>
      <c r="EL178" s="40"/>
      <c r="EM178" s="40"/>
      <c r="EN178" s="40"/>
      <c r="GQ178" s="40"/>
      <c r="KL178" s="40"/>
      <c r="KM178" s="40"/>
      <c r="KN178" s="40"/>
      <c r="KO178" s="40"/>
      <c r="PS178" s="40"/>
      <c r="PT178" s="40"/>
      <c r="PV178" s="40"/>
      <c r="QJ178" s="39"/>
      <c r="QN178" s="40"/>
      <c r="SQ178" s="39"/>
      <c r="AHZ178" s="5"/>
      <c r="AJO178" s="5"/>
      <c r="AJP178" s="5"/>
      <c r="AJQ178" s="5"/>
    </row>
    <row r="179" spans="2:953" ht="15" customHeight="1" x14ac:dyDescent="0.25">
      <c r="B179" s="134"/>
      <c r="C179" s="164" t="s">
        <v>31</v>
      </c>
      <c r="D179" s="285">
        <v>0.3</v>
      </c>
      <c r="E179" s="212" t="s">
        <v>29</v>
      </c>
      <c r="F179" s="287" t="e">
        <f t="shared" ref="F179:AJ179" si="85">F171/F160*100</f>
        <v>#DIV/0!</v>
      </c>
      <c r="G179" s="287" t="e">
        <f t="shared" si="85"/>
        <v>#DIV/0!</v>
      </c>
      <c r="H179" s="287" t="e">
        <f t="shared" si="85"/>
        <v>#DIV/0!</v>
      </c>
      <c r="I179" s="287" t="e">
        <f t="shared" si="85"/>
        <v>#DIV/0!</v>
      </c>
      <c r="J179" s="287" t="e">
        <f t="shared" si="85"/>
        <v>#DIV/0!</v>
      </c>
      <c r="K179" s="287" t="e">
        <f t="shared" si="85"/>
        <v>#DIV/0!</v>
      </c>
      <c r="L179" s="287" t="e">
        <f t="shared" si="85"/>
        <v>#DIV/0!</v>
      </c>
      <c r="M179" s="287" t="e">
        <f t="shared" si="85"/>
        <v>#DIV/0!</v>
      </c>
      <c r="N179" s="287" t="e">
        <f t="shared" si="85"/>
        <v>#DIV/0!</v>
      </c>
      <c r="O179" s="287" t="e">
        <f t="shared" si="85"/>
        <v>#DIV/0!</v>
      </c>
      <c r="P179" s="287" t="e">
        <f t="shared" si="85"/>
        <v>#DIV/0!</v>
      </c>
      <c r="Q179" s="287" t="e">
        <f t="shared" si="85"/>
        <v>#DIV/0!</v>
      </c>
      <c r="R179" s="287" t="e">
        <f t="shared" si="85"/>
        <v>#DIV/0!</v>
      </c>
      <c r="S179" s="287" t="e">
        <f t="shared" si="85"/>
        <v>#DIV/0!</v>
      </c>
      <c r="T179" s="287" t="e">
        <f t="shared" si="85"/>
        <v>#DIV/0!</v>
      </c>
      <c r="U179" s="287" t="e">
        <f t="shared" si="85"/>
        <v>#DIV/0!</v>
      </c>
      <c r="V179" s="287" t="e">
        <f t="shared" si="85"/>
        <v>#DIV/0!</v>
      </c>
      <c r="W179" s="287" t="e">
        <f t="shared" si="85"/>
        <v>#DIV/0!</v>
      </c>
      <c r="X179" s="287" t="e">
        <f t="shared" si="85"/>
        <v>#DIV/0!</v>
      </c>
      <c r="Y179" s="287" t="e">
        <f t="shared" si="85"/>
        <v>#DIV/0!</v>
      </c>
      <c r="Z179" s="287" t="e">
        <f t="shared" si="85"/>
        <v>#DIV/0!</v>
      </c>
      <c r="AA179" s="287" t="e">
        <f t="shared" si="85"/>
        <v>#DIV/0!</v>
      </c>
      <c r="AB179" s="287" t="e">
        <f t="shared" si="85"/>
        <v>#DIV/0!</v>
      </c>
      <c r="AC179" s="287" t="e">
        <f t="shared" si="85"/>
        <v>#DIV/0!</v>
      </c>
      <c r="AD179" s="287" t="e">
        <f t="shared" si="85"/>
        <v>#DIV/0!</v>
      </c>
      <c r="AE179" s="287" t="e">
        <f t="shared" si="85"/>
        <v>#DIV/0!</v>
      </c>
      <c r="AF179" s="287" t="e">
        <f t="shared" si="85"/>
        <v>#DIV/0!</v>
      </c>
      <c r="AG179" s="287" t="e">
        <f t="shared" si="85"/>
        <v>#DIV/0!</v>
      </c>
      <c r="AH179" s="287" t="e">
        <f t="shared" si="85"/>
        <v>#DIV/0!</v>
      </c>
      <c r="AI179" s="287" t="e">
        <f t="shared" si="85"/>
        <v>#DIV/0!</v>
      </c>
      <c r="AJ179" s="287" t="e">
        <f t="shared" si="85"/>
        <v>#DIV/0!</v>
      </c>
      <c r="AK179" s="10"/>
      <c r="AL179" s="44" t="e">
        <f>AL171/AL160*100</f>
        <v>#DIV/0!</v>
      </c>
      <c r="AN179" s="41"/>
      <c r="BX179" s="40"/>
      <c r="BY179" s="40"/>
      <c r="DB179" s="40"/>
      <c r="EJ179" s="30"/>
      <c r="EK179" s="40"/>
      <c r="EL179" s="40"/>
      <c r="EM179" s="40"/>
      <c r="EN179" s="40"/>
      <c r="GQ179" s="40"/>
      <c r="KL179" s="40"/>
      <c r="KM179" s="40"/>
      <c r="KN179" s="40"/>
      <c r="KO179" s="40"/>
      <c r="PS179" s="40"/>
      <c r="PT179" s="40"/>
      <c r="PV179" s="40"/>
      <c r="QJ179" s="39"/>
      <c r="QN179" s="40"/>
      <c r="SQ179" s="39"/>
      <c r="AHZ179" s="5"/>
      <c r="AJO179" s="5"/>
      <c r="AJP179" s="5"/>
      <c r="AJQ179" s="5"/>
    </row>
    <row r="180" spans="2:953" ht="15" customHeight="1" x14ac:dyDescent="0.25">
      <c r="B180" s="134"/>
      <c r="C180" s="164" t="s">
        <v>30</v>
      </c>
      <c r="D180" s="285">
        <v>0.3</v>
      </c>
      <c r="E180" s="212" t="s">
        <v>29</v>
      </c>
      <c r="F180" s="287" t="e">
        <f t="shared" ref="F180:AJ180" si="86">F172/F162*100</f>
        <v>#DIV/0!</v>
      </c>
      <c r="G180" s="287" t="e">
        <f t="shared" si="86"/>
        <v>#DIV/0!</v>
      </c>
      <c r="H180" s="287" t="e">
        <f t="shared" si="86"/>
        <v>#DIV/0!</v>
      </c>
      <c r="I180" s="287" t="e">
        <f t="shared" si="86"/>
        <v>#DIV/0!</v>
      </c>
      <c r="J180" s="287" t="e">
        <f t="shared" si="86"/>
        <v>#DIV/0!</v>
      </c>
      <c r="K180" s="287" t="e">
        <f t="shared" si="86"/>
        <v>#DIV/0!</v>
      </c>
      <c r="L180" s="287" t="e">
        <f t="shared" si="86"/>
        <v>#DIV/0!</v>
      </c>
      <c r="M180" s="287" t="e">
        <f t="shared" si="86"/>
        <v>#DIV/0!</v>
      </c>
      <c r="N180" s="287" t="e">
        <f t="shared" si="86"/>
        <v>#DIV/0!</v>
      </c>
      <c r="O180" s="287" t="e">
        <f t="shared" si="86"/>
        <v>#DIV/0!</v>
      </c>
      <c r="P180" s="287" t="e">
        <f t="shared" si="86"/>
        <v>#DIV/0!</v>
      </c>
      <c r="Q180" s="287" t="e">
        <f t="shared" si="86"/>
        <v>#DIV/0!</v>
      </c>
      <c r="R180" s="287" t="e">
        <f t="shared" si="86"/>
        <v>#DIV/0!</v>
      </c>
      <c r="S180" s="287" t="e">
        <f t="shared" si="86"/>
        <v>#DIV/0!</v>
      </c>
      <c r="T180" s="287" t="e">
        <f t="shared" si="86"/>
        <v>#DIV/0!</v>
      </c>
      <c r="U180" s="287" t="e">
        <f t="shared" si="86"/>
        <v>#DIV/0!</v>
      </c>
      <c r="V180" s="287" t="e">
        <f t="shared" si="86"/>
        <v>#DIV/0!</v>
      </c>
      <c r="W180" s="287" t="e">
        <f t="shared" si="86"/>
        <v>#DIV/0!</v>
      </c>
      <c r="X180" s="287" t="e">
        <f t="shared" si="86"/>
        <v>#DIV/0!</v>
      </c>
      <c r="Y180" s="287" t="e">
        <f t="shared" si="86"/>
        <v>#DIV/0!</v>
      </c>
      <c r="Z180" s="287" t="e">
        <f t="shared" si="86"/>
        <v>#DIV/0!</v>
      </c>
      <c r="AA180" s="287" t="e">
        <f t="shared" si="86"/>
        <v>#DIV/0!</v>
      </c>
      <c r="AB180" s="287" t="e">
        <f t="shared" si="86"/>
        <v>#DIV/0!</v>
      </c>
      <c r="AC180" s="287" t="e">
        <f t="shared" si="86"/>
        <v>#DIV/0!</v>
      </c>
      <c r="AD180" s="287" t="e">
        <f t="shared" si="86"/>
        <v>#DIV/0!</v>
      </c>
      <c r="AE180" s="287" t="e">
        <f t="shared" si="86"/>
        <v>#DIV/0!</v>
      </c>
      <c r="AF180" s="287" t="e">
        <f t="shared" si="86"/>
        <v>#DIV/0!</v>
      </c>
      <c r="AG180" s="287" t="e">
        <f t="shared" si="86"/>
        <v>#DIV/0!</v>
      </c>
      <c r="AH180" s="287" t="e">
        <f t="shared" si="86"/>
        <v>#DIV/0!</v>
      </c>
      <c r="AI180" s="287" t="e">
        <f t="shared" si="86"/>
        <v>#DIV/0!</v>
      </c>
      <c r="AJ180" s="287" t="e">
        <f t="shared" si="86"/>
        <v>#DIV/0!</v>
      </c>
      <c r="AK180" s="10"/>
      <c r="AL180" s="44" t="e">
        <f>AL172/AL162*100</f>
        <v>#DIV/0!</v>
      </c>
      <c r="AN180" s="41"/>
      <c r="BX180" s="40"/>
      <c r="BY180" s="40"/>
      <c r="DB180" s="40"/>
      <c r="EJ180" s="30"/>
      <c r="EK180" s="40"/>
      <c r="EL180" s="40"/>
      <c r="EM180" s="40"/>
      <c r="EN180" s="40"/>
      <c r="GQ180" s="40"/>
      <c r="KL180" s="40"/>
      <c r="KM180" s="40"/>
      <c r="KN180" s="40"/>
      <c r="KO180" s="40"/>
      <c r="PS180" s="40"/>
      <c r="PT180" s="40"/>
      <c r="PV180" s="40"/>
      <c r="QJ180" s="39"/>
      <c r="QN180" s="40"/>
      <c r="SQ180" s="39"/>
      <c r="AHZ180" s="5"/>
      <c r="AJO180" s="5"/>
      <c r="AJP180" s="5"/>
      <c r="AJQ180" s="5"/>
    </row>
    <row r="181" spans="2:953" ht="15" customHeight="1" x14ac:dyDescent="0.25">
      <c r="B181" s="134"/>
      <c r="C181" s="240" t="s">
        <v>32</v>
      </c>
      <c r="D181" s="285"/>
      <c r="E181" s="134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  <c r="AE181" s="287"/>
      <c r="AF181" s="287"/>
      <c r="AG181" s="287"/>
      <c r="AH181" s="287"/>
      <c r="AI181" s="287"/>
      <c r="AJ181" s="287"/>
      <c r="AK181" s="10"/>
      <c r="AL181" s="45" t="s">
        <v>32</v>
      </c>
      <c r="AN181" s="41"/>
      <c r="BX181" s="40"/>
      <c r="BY181" s="40"/>
      <c r="DB181" s="40"/>
      <c r="EJ181" s="30"/>
      <c r="EK181" s="40"/>
      <c r="EL181" s="40"/>
      <c r="EM181" s="40"/>
      <c r="EN181" s="40"/>
      <c r="GQ181" s="40"/>
      <c r="KL181" s="40"/>
      <c r="KM181" s="40"/>
      <c r="KN181" s="40"/>
      <c r="KO181" s="40"/>
      <c r="PS181" s="40"/>
      <c r="PT181" s="40"/>
      <c r="PV181" s="40"/>
      <c r="QJ181" s="39"/>
      <c r="QN181" s="40"/>
      <c r="SQ181" s="39"/>
      <c r="AHZ181" s="5"/>
      <c r="AJO181" s="5"/>
      <c r="AJP181" s="5"/>
      <c r="AJQ181" s="5"/>
    </row>
    <row r="182" spans="2:953" ht="15" customHeight="1" x14ac:dyDescent="0.25">
      <c r="B182" s="134"/>
      <c r="C182" s="164" t="s">
        <v>31</v>
      </c>
      <c r="D182" s="285">
        <v>0.5</v>
      </c>
      <c r="E182" s="212" t="s">
        <v>29</v>
      </c>
      <c r="F182" s="287" t="e">
        <f t="shared" ref="F182:AJ182" si="87">F175/F164*100</f>
        <v>#DIV/0!</v>
      </c>
      <c r="G182" s="287" t="e">
        <f t="shared" si="87"/>
        <v>#DIV/0!</v>
      </c>
      <c r="H182" s="287" t="e">
        <f t="shared" si="87"/>
        <v>#DIV/0!</v>
      </c>
      <c r="I182" s="287" t="e">
        <f t="shared" si="87"/>
        <v>#DIV/0!</v>
      </c>
      <c r="J182" s="287" t="e">
        <f t="shared" si="87"/>
        <v>#DIV/0!</v>
      </c>
      <c r="K182" s="287" t="e">
        <f t="shared" si="87"/>
        <v>#DIV/0!</v>
      </c>
      <c r="L182" s="287" t="e">
        <f t="shared" si="87"/>
        <v>#DIV/0!</v>
      </c>
      <c r="M182" s="287" t="e">
        <f t="shared" si="87"/>
        <v>#DIV/0!</v>
      </c>
      <c r="N182" s="287" t="e">
        <f t="shared" si="87"/>
        <v>#DIV/0!</v>
      </c>
      <c r="O182" s="287" t="e">
        <f t="shared" si="87"/>
        <v>#DIV/0!</v>
      </c>
      <c r="P182" s="287" t="e">
        <f t="shared" si="87"/>
        <v>#DIV/0!</v>
      </c>
      <c r="Q182" s="287" t="e">
        <f t="shared" si="87"/>
        <v>#DIV/0!</v>
      </c>
      <c r="R182" s="287" t="e">
        <f t="shared" si="87"/>
        <v>#DIV/0!</v>
      </c>
      <c r="S182" s="287" t="e">
        <f t="shared" si="87"/>
        <v>#DIV/0!</v>
      </c>
      <c r="T182" s="287" t="e">
        <f t="shared" si="87"/>
        <v>#DIV/0!</v>
      </c>
      <c r="U182" s="287" t="e">
        <f t="shared" si="87"/>
        <v>#DIV/0!</v>
      </c>
      <c r="V182" s="287" t="e">
        <f t="shared" si="87"/>
        <v>#DIV/0!</v>
      </c>
      <c r="W182" s="287" t="e">
        <f t="shared" si="87"/>
        <v>#DIV/0!</v>
      </c>
      <c r="X182" s="287" t="e">
        <f t="shared" si="87"/>
        <v>#DIV/0!</v>
      </c>
      <c r="Y182" s="287" t="e">
        <f t="shared" si="87"/>
        <v>#DIV/0!</v>
      </c>
      <c r="Z182" s="287" t="e">
        <f t="shared" si="87"/>
        <v>#DIV/0!</v>
      </c>
      <c r="AA182" s="287" t="e">
        <f t="shared" si="87"/>
        <v>#DIV/0!</v>
      </c>
      <c r="AB182" s="287" t="e">
        <f t="shared" si="87"/>
        <v>#DIV/0!</v>
      </c>
      <c r="AC182" s="287" t="e">
        <f t="shared" si="87"/>
        <v>#DIV/0!</v>
      </c>
      <c r="AD182" s="287" t="e">
        <f t="shared" si="87"/>
        <v>#DIV/0!</v>
      </c>
      <c r="AE182" s="287" t="e">
        <f t="shared" si="87"/>
        <v>#DIV/0!</v>
      </c>
      <c r="AF182" s="287" t="e">
        <f t="shared" si="87"/>
        <v>#DIV/0!</v>
      </c>
      <c r="AG182" s="287" t="e">
        <f t="shared" si="87"/>
        <v>#DIV/0!</v>
      </c>
      <c r="AH182" s="287" t="e">
        <f t="shared" si="87"/>
        <v>#DIV/0!</v>
      </c>
      <c r="AI182" s="287" t="e">
        <f t="shared" si="87"/>
        <v>#DIV/0!</v>
      </c>
      <c r="AJ182" s="287" t="e">
        <f t="shared" si="87"/>
        <v>#DIV/0!</v>
      </c>
      <c r="AK182" s="10"/>
      <c r="AL182" s="44" t="e">
        <f>AL175/AL164*100</f>
        <v>#DIV/0!</v>
      </c>
      <c r="AN182" s="41"/>
      <c r="BX182" s="40"/>
      <c r="BY182" s="40"/>
      <c r="DB182" s="40"/>
      <c r="EJ182" s="30"/>
      <c r="EK182" s="40"/>
      <c r="EL182" s="40"/>
      <c r="EM182" s="40"/>
      <c r="EN182" s="40"/>
      <c r="GQ182" s="40"/>
      <c r="KL182" s="40"/>
      <c r="KM182" s="40"/>
      <c r="KN182" s="40"/>
      <c r="KO182" s="40"/>
      <c r="PS182" s="40"/>
      <c r="PT182" s="40"/>
      <c r="PV182" s="40"/>
      <c r="QJ182" s="39"/>
      <c r="QN182" s="40"/>
      <c r="SQ182" s="39"/>
      <c r="AHZ182" s="5"/>
      <c r="AJO182" s="5"/>
      <c r="AJP182" s="5"/>
      <c r="AJQ182" s="5"/>
    </row>
    <row r="183" spans="2:953" ht="15" customHeight="1" x14ac:dyDescent="0.25">
      <c r="B183" s="134"/>
      <c r="C183" s="164" t="s">
        <v>30</v>
      </c>
      <c r="D183" s="285">
        <v>0.5</v>
      </c>
      <c r="E183" s="212" t="s">
        <v>29</v>
      </c>
      <c r="F183" s="287" t="e">
        <f t="shared" ref="F183:AJ183" si="88">F176/F166*100</f>
        <v>#DIV/0!</v>
      </c>
      <c r="G183" s="287" t="e">
        <f t="shared" si="88"/>
        <v>#DIV/0!</v>
      </c>
      <c r="H183" s="287" t="e">
        <f t="shared" si="88"/>
        <v>#DIV/0!</v>
      </c>
      <c r="I183" s="287" t="e">
        <f t="shared" si="88"/>
        <v>#DIV/0!</v>
      </c>
      <c r="J183" s="287" t="e">
        <f t="shared" si="88"/>
        <v>#DIV/0!</v>
      </c>
      <c r="K183" s="287" t="e">
        <f t="shared" si="88"/>
        <v>#DIV/0!</v>
      </c>
      <c r="L183" s="287" t="e">
        <f t="shared" si="88"/>
        <v>#DIV/0!</v>
      </c>
      <c r="M183" s="287" t="e">
        <f t="shared" si="88"/>
        <v>#DIV/0!</v>
      </c>
      <c r="N183" s="287" t="e">
        <f t="shared" si="88"/>
        <v>#DIV/0!</v>
      </c>
      <c r="O183" s="287" t="e">
        <f t="shared" si="88"/>
        <v>#DIV/0!</v>
      </c>
      <c r="P183" s="287" t="e">
        <f t="shared" si="88"/>
        <v>#DIV/0!</v>
      </c>
      <c r="Q183" s="287" t="e">
        <f t="shared" si="88"/>
        <v>#DIV/0!</v>
      </c>
      <c r="R183" s="287" t="e">
        <f t="shared" si="88"/>
        <v>#DIV/0!</v>
      </c>
      <c r="S183" s="287" t="e">
        <f t="shared" si="88"/>
        <v>#DIV/0!</v>
      </c>
      <c r="T183" s="287" t="e">
        <f t="shared" si="88"/>
        <v>#DIV/0!</v>
      </c>
      <c r="U183" s="287" t="e">
        <f t="shared" si="88"/>
        <v>#DIV/0!</v>
      </c>
      <c r="V183" s="287" t="e">
        <f t="shared" si="88"/>
        <v>#DIV/0!</v>
      </c>
      <c r="W183" s="287" t="e">
        <f t="shared" si="88"/>
        <v>#DIV/0!</v>
      </c>
      <c r="X183" s="287" t="e">
        <f t="shared" si="88"/>
        <v>#DIV/0!</v>
      </c>
      <c r="Y183" s="287" t="e">
        <f t="shared" si="88"/>
        <v>#DIV/0!</v>
      </c>
      <c r="Z183" s="287" t="e">
        <f t="shared" si="88"/>
        <v>#DIV/0!</v>
      </c>
      <c r="AA183" s="287" t="e">
        <f t="shared" si="88"/>
        <v>#DIV/0!</v>
      </c>
      <c r="AB183" s="287" t="e">
        <f t="shared" si="88"/>
        <v>#DIV/0!</v>
      </c>
      <c r="AC183" s="287" t="e">
        <f t="shared" si="88"/>
        <v>#DIV/0!</v>
      </c>
      <c r="AD183" s="287" t="e">
        <f t="shared" si="88"/>
        <v>#DIV/0!</v>
      </c>
      <c r="AE183" s="287" t="e">
        <f t="shared" si="88"/>
        <v>#DIV/0!</v>
      </c>
      <c r="AF183" s="304" t="e">
        <f t="shared" si="88"/>
        <v>#DIV/0!</v>
      </c>
      <c r="AG183" s="304" t="e">
        <f t="shared" si="88"/>
        <v>#DIV/0!</v>
      </c>
      <c r="AH183" s="304" t="e">
        <f t="shared" si="88"/>
        <v>#DIV/0!</v>
      </c>
      <c r="AI183" s="304" t="e">
        <f t="shared" si="88"/>
        <v>#DIV/0!</v>
      </c>
      <c r="AJ183" s="304" t="e">
        <f t="shared" si="88"/>
        <v>#DIV/0!</v>
      </c>
      <c r="AK183" s="10"/>
      <c r="AL183" s="351" t="e">
        <f>AL176/AL166*100</f>
        <v>#DIV/0!</v>
      </c>
      <c r="AN183" s="41"/>
      <c r="BX183" s="40"/>
      <c r="BY183" s="40"/>
      <c r="DB183" s="40"/>
      <c r="EJ183" s="30"/>
      <c r="EK183" s="40"/>
      <c r="EL183" s="40"/>
      <c r="EM183" s="40"/>
      <c r="EN183" s="40"/>
      <c r="GQ183" s="40"/>
      <c r="KL183" s="40"/>
      <c r="KM183" s="40"/>
      <c r="KN183" s="40"/>
      <c r="KO183" s="40"/>
      <c r="PS183" s="40"/>
      <c r="PT183" s="40"/>
      <c r="PV183" s="40"/>
      <c r="QJ183" s="39"/>
      <c r="QN183" s="40"/>
      <c r="SQ183" s="39"/>
      <c r="AHZ183" s="5"/>
      <c r="AJO183" s="5"/>
      <c r="AJP183" s="5"/>
      <c r="AJQ183" s="5"/>
    </row>
    <row r="184" spans="2:953" ht="15" customHeight="1" x14ac:dyDescent="0.25">
      <c r="B184" s="136">
        <v>9</v>
      </c>
      <c r="C184" s="160" t="s">
        <v>161</v>
      </c>
      <c r="D184" s="299"/>
      <c r="E184" s="251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1"/>
      <c r="AG184" s="301"/>
      <c r="AH184" s="301"/>
      <c r="AI184" s="301"/>
      <c r="AJ184" s="301"/>
      <c r="AK184" s="7"/>
      <c r="AL184" s="157" t="s">
        <v>47</v>
      </c>
      <c r="AN184" s="41"/>
      <c r="BX184" s="40"/>
      <c r="BY184" s="40"/>
      <c r="DB184" s="40"/>
      <c r="EJ184" s="30"/>
      <c r="EK184" s="40"/>
      <c r="EL184" s="40"/>
      <c r="EM184" s="40"/>
      <c r="EN184" s="40"/>
      <c r="GQ184" s="40"/>
      <c r="KL184" s="40"/>
      <c r="KM184" s="40"/>
      <c r="KN184" s="40"/>
      <c r="KO184" s="40"/>
      <c r="PS184" s="40"/>
      <c r="PT184" s="40"/>
      <c r="PV184" s="40"/>
      <c r="QJ184" s="39"/>
      <c r="QN184" s="40"/>
      <c r="SQ184" s="39"/>
      <c r="AHZ184" s="5"/>
      <c r="AJO184" s="5"/>
      <c r="AJP184" s="5"/>
      <c r="AJQ184" s="5"/>
    </row>
    <row r="185" spans="2:953" s="86" customFormat="1" ht="15" customHeight="1" x14ac:dyDescent="0.25">
      <c r="B185" s="136"/>
      <c r="C185" s="231" t="s">
        <v>170</v>
      </c>
      <c r="D185" s="340"/>
      <c r="E185" s="248" t="s">
        <v>16</v>
      </c>
      <c r="F185" s="298">
        <v>0</v>
      </c>
      <c r="G185" s="298">
        <v>35666</v>
      </c>
      <c r="H185" s="298">
        <v>36539</v>
      </c>
      <c r="I185" s="298">
        <v>0</v>
      </c>
      <c r="J185" s="298">
        <v>68833</v>
      </c>
      <c r="K185" s="298">
        <v>101631</v>
      </c>
      <c r="L185" s="298">
        <v>97400</v>
      </c>
      <c r="M185" s="298">
        <v>84964</v>
      </c>
      <c r="N185" s="298">
        <v>67667</v>
      </c>
      <c r="O185" s="328">
        <v>39527</v>
      </c>
      <c r="P185" s="328"/>
      <c r="Q185" s="328">
        <v>59066</v>
      </c>
      <c r="R185" s="328">
        <v>53781</v>
      </c>
      <c r="S185" s="328">
        <f>13742+11693</f>
        <v>25435</v>
      </c>
      <c r="T185" s="328">
        <v>30338</v>
      </c>
      <c r="U185" s="328">
        <v>10290</v>
      </c>
      <c r="V185" s="328">
        <v>196586</v>
      </c>
      <c r="W185" s="328">
        <v>111451</v>
      </c>
      <c r="X185" s="328">
        <v>69909</v>
      </c>
      <c r="Y185" s="328">
        <v>0</v>
      </c>
      <c r="Z185" s="328">
        <v>97268</v>
      </c>
      <c r="AA185" s="328">
        <v>90056</v>
      </c>
      <c r="AB185" s="328">
        <f>89641+8939</f>
        <v>98580</v>
      </c>
      <c r="AC185" s="328">
        <v>89792</v>
      </c>
      <c r="AD185" s="314">
        <v>0</v>
      </c>
      <c r="AE185" s="328">
        <v>60069</v>
      </c>
      <c r="AF185" s="328">
        <v>70083</v>
      </c>
      <c r="AG185" s="328">
        <v>69335</v>
      </c>
      <c r="AH185" s="328">
        <v>24629</v>
      </c>
      <c r="AI185" s="328">
        <v>99730</v>
      </c>
      <c r="AJ185" s="328">
        <v>33081</v>
      </c>
      <c r="AK185" s="341"/>
      <c r="AL185" s="52">
        <f>SUM(F185:AJ185)</f>
        <v>1821706</v>
      </c>
      <c r="AN185" s="61"/>
      <c r="AO185" s="342"/>
      <c r="AP185" s="68"/>
      <c r="AQ185" s="342"/>
      <c r="AR185" s="342"/>
      <c r="AS185" s="342"/>
      <c r="AT185" s="342"/>
      <c r="AU185" s="342"/>
      <c r="AV185" s="342"/>
      <c r="AW185" s="342"/>
      <c r="AX185" s="342"/>
      <c r="AY185" s="342"/>
      <c r="AZ185" s="342"/>
      <c r="BA185" s="342"/>
      <c r="BB185" s="342"/>
      <c r="BC185" s="342"/>
      <c r="BD185" s="342"/>
      <c r="BE185" s="342"/>
      <c r="BF185" s="342"/>
      <c r="BG185" s="342"/>
      <c r="BH185" s="342"/>
      <c r="BI185" s="342"/>
      <c r="BJ185" s="342"/>
      <c r="BK185" s="342"/>
      <c r="BL185" s="342"/>
      <c r="BM185" s="342"/>
      <c r="BN185" s="342"/>
      <c r="BO185" s="342"/>
      <c r="BP185" s="342"/>
      <c r="BQ185" s="342"/>
      <c r="BR185" s="342"/>
      <c r="BS185" s="342"/>
      <c r="BT185" s="342"/>
      <c r="BU185" s="342"/>
      <c r="BV185" s="342"/>
      <c r="BW185" s="342"/>
      <c r="BX185" s="60"/>
      <c r="BY185" s="60"/>
      <c r="CY185" s="343"/>
      <c r="DB185" s="60"/>
      <c r="EJ185" s="22"/>
      <c r="EK185" s="60"/>
      <c r="EL185" s="60"/>
      <c r="EM185" s="60"/>
      <c r="EN185" s="60"/>
      <c r="GQ185" s="60"/>
      <c r="KL185" s="60"/>
      <c r="KM185" s="60"/>
      <c r="KN185" s="60"/>
      <c r="KO185" s="60"/>
      <c r="PS185" s="60"/>
      <c r="PT185" s="60"/>
      <c r="PV185" s="60"/>
      <c r="QJ185" s="59"/>
      <c r="QN185" s="60"/>
      <c r="SQ185" s="59"/>
      <c r="AHZ185" s="20"/>
      <c r="AJO185" s="20"/>
      <c r="AJP185" s="20"/>
      <c r="AJQ185" s="20"/>
    </row>
    <row r="186" spans="2:953" ht="15" customHeight="1" x14ac:dyDescent="0.25">
      <c r="B186" s="134"/>
      <c r="C186" s="164" t="s">
        <v>171</v>
      </c>
      <c r="D186" s="285"/>
      <c r="E186" s="248" t="s">
        <v>16</v>
      </c>
      <c r="F186" s="287">
        <v>0</v>
      </c>
      <c r="G186" s="287">
        <v>25449.37</v>
      </c>
      <c r="H186" s="287">
        <v>47658.58</v>
      </c>
      <c r="I186" s="287"/>
      <c r="J186" s="287">
        <v>76882.28</v>
      </c>
      <c r="K186" s="287">
        <v>76914.759999999995</v>
      </c>
      <c r="L186" s="287">
        <v>76915.66</v>
      </c>
      <c r="M186" s="287">
        <v>81747.48</v>
      </c>
      <c r="N186" s="287">
        <v>78083.73</v>
      </c>
      <c r="O186" s="287">
        <v>47658.58</v>
      </c>
      <c r="P186" s="287">
        <v>0</v>
      </c>
      <c r="Q186" s="287">
        <v>76894.91</v>
      </c>
      <c r="R186" s="287">
        <v>76882.28</v>
      </c>
      <c r="S186" s="287">
        <v>35138.980000000003</v>
      </c>
      <c r="T186" s="287">
        <v>25386.21</v>
      </c>
      <c r="U186" s="287">
        <v>10429.69</v>
      </c>
      <c r="V186" s="287">
        <v>92226.79</v>
      </c>
      <c r="W186" s="287">
        <v>143673.09</v>
      </c>
      <c r="X186" s="287">
        <v>57123.71</v>
      </c>
      <c r="Y186" s="287">
        <v>71265.460000000006</v>
      </c>
      <c r="Z186" s="287">
        <v>76977.919999999998</v>
      </c>
      <c r="AA186" s="287">
        <v>76884.08</v>
      </c>
      <c r="AB186" s="287">
        <v>77100.639999999999</v>
      </c>
      <c r="AC186" s="287">
        <v>48385.84</v>
      </c>
      <c r="AD186" s="287">
        <v>0</v>
      </c>
      <c r="AE186" s="287">
        <v>77133.119999999995</v>
      </c>
      <c r="AF186" s="287">
        <v>76882.27</v>
      </c>
      <c r="AG186" s="287">
        <v>77193.11</v>
      </c>
      <c r="AH186" s="287">
        <v>76981.53</v>
      </c>
      <c r="AI186" s="287">
        <v>80706.23</v>
      </c>
      <c r="AJ186" s="287">
        <v>47734.37</v>
      </c>
      <c r="AK186" s="10"/>
      <c r="AL186" s="24">
        <f>SUM(F186:AJ186)</f>
        <v>1816310.67</v>
      </c>
      <c r="AN186" s="2"/>
      <c r="AO186" s="35"/>
      <c r="AQ186" s="35"/>
      <c r="AR186" s="3"/>
      <c r="BX186" s="40"/>
      <c r="BY186" s="40"/>
      <c r="DB186" s="40"/>
      <c r="EJ186" s="30"/>
      <c r="EK186" s="40"/>
      <c r="EL186" s="40"/>
      <c r="EM186" s="40"/>
      <c r="EN186" s="40"/>
      <c r="GQ186" s="40"/>
      <c r="KL186" s="40"/>
      <c r="KM186" s="40"/>
      <c r="KN186" s="40"/>
      <c r="KO186" s="40"/>
      <c r="PS186" s="40"/>
      <c r="PT186" s="40"/>
      <c r="PV186" s="40"/>
      <c r="QJ186" s="39"/>
      <c r="QN186" s="40"/>
      <c r="SQ186" s="39"/>
      <c r="AHZ186" s="5"/>
      <c r="AJO186" s="5"/>
      <c r="AJP186" s="5"/>
      <c r="AJQ186" s="5"/>
    </row>
    <row r="187" spans="2:953" ht="15" customHeight="1" x14ac:dyDescent="0.25">
      <c r="B187" s="134"/>
      <c r="C187" s="164" t="s">
        <v>44</v>
      </c>
      <c r="D187" s="285"/>
      <c r="E187" s="212" t="s">
        <v>16</v>
      </c>
      <c r="F187" s="287">
        <f>SUM(F191)*0.9023</f>
        <v>0</v>
      </c>
      <c r="G187" s="287">
        <f t="shared" ref="G187:AJ187" si="89">SUM(G191)*0.9023</f>
        <v>2126.7210999999998</v>
      </c>
      <c r="H187" s="287">
        <f t="shared" si="89"/>
        <v>3988.1660000000002</v>
      </c>
      <c r="I187" s="287">
        <f t="shared" si="89"/>
        <v>0</v>
      </c>
      <c r="J187" s="287">
        <f t="shared" si="89"/>
        <v>6439.7151000000003</v>
      </c>
      <c r="K187" s="287">
        <f t="shared" si="89"/>
        <v>6445.1288999999997</v>
      </c>
      <c r="L187" s="287">
        <f t="shared" si="89"/>
        <v>6427.0829000000003</v>
      </c>
      <c r="M187" s="287">
        <f t="shared" si="89"/>
        <v>6867.4053000000004</v>
      </c>
      <c r="N187" s="287">
        <f t="shared" si="89"/>
        <v>6529.9450999999999</v>
      </c>
      <c r="O187" s="287">
        <f t="shared" si="89"/>
        <v>3979.143</v>
      </c>
      <c r="P187" s="287">
        <f t="shared" si="89"/>
        <v>0</v>
      </c>
      <c r="Q187" s="287">
        <f t="shared" si="89"/>
        <v>6424.3760000000002</v>
      </c>
      <c r="R187" s="287">
        <f t="shared" si="89"/>
        <v>6408.1346000000003</v>
      </c>
      <c r="S187" s="287">
        <f t="shared" si="89"/>
        <v>2860.2910000000002</v>
      </c>
      <c r="T187" s="287">
        <f t="shared" si="89"/>
        <v>2126.7210999999998</v>
      </c>
      <c r="U187" s="287">
        <f t="shared" si="89"/>
        <v>875.23099999999999</v>
      </c>
      <c r="V187" s="287">
        <f t="shared" si="89"/>
        <v>7742.6363000000001</v>
      </c>
      <c r="W187" s="287">
        <f t="shared" si="89"/>
        <v>11926.6014</v>
      </c>
      <c r="X187" s="287">
        <f t="shared" si="89"/>
        <v>4841.7417999999998</v>
      </c>
      <c r="Y187" s="287">
        <f t="shared" si="89"/>
        <v>5981.3467000000001</v>
      </c>
      <c r="Z187" s="287">
        <f t="shared" si="89"/>
        <v>6443.3243000000002</v>
      </c>
      <c r="AA187" s="287">
        <f t="shared" si="89"/>
        <v>6435.2035999999998</v>
      </c>
      <c r="AB187" s="287">
        <f t="shared" si="89"/>
        <v>6439.7151000000003</v>
      </c>
      <c r="AC187" s="287">
        <f t="shared" si="89"/>
        <v>4040.4994000000002</v>
      </c>
      <c r="AD187" s="287">
        <f t="shared" si="89"/>
        <v>0</v>
      </c>
      <c r="AE187" s="287">
        <f t="shared" si="89"/>
        <v>6444.2266</v>
      </c>
      <c r="AF187" s="287">
        <f t="shared" si="89"/>
        <v>6415.3530000000001</v>
      </c>
      <c r="AG187" s="287">
        <f t="shared" si="89"/>
        <v>6431.5944</v>
      </c>
      <c r="AH187" s="287">
        <f t="shared" si="89"/>
        <v>6438.8127999999997</v>
      </c>
      <c r="AI187" s="287">
        <f t="shared" si="89"/>
        <v>6740.1809999999996</v>
      </c>
      <c r="AJ187" s="287">
        <f t="shared" si="89"/>
        <v>3983.6545000000001</v>
      </c>
      <c r="AK187" s="10"/>
      <c r="AL187" s="52">
        <f>SUM(L186:AJ186)</f>
        <v>1589405.6800000002</v>
      </c>
      <c r="AN187" s="41"/>
      <c r="BX187" s="40"/>
      <c r="BY187" s="40"/>
      <c r="DB187" s="40"/>
      <c r="EJ187" s="30"/>
      <c r="EK187" s="40"/>
      <c r="EL187" s="40"/>
      <c r="EM187" s="40"/>
      <c r="EN187" s="40"/>
      <c r="GQ187" s="40"/>
      <c r="KL187" s="40"/>
      <c r="KM187" s="40"/>
      <c r="KN187" s="40"/>
      <c r="KO187" s="40"/>
      <c r="PS187" s="40"/>
      <c r="PT187" s="40"/>
      <c r="PV187" s="40"/>
      <c r="QJ187" s="39"/>
      <c r="QN187" s="40"/>
      <c r="SQ187" s="39"/>
      <c r="AHZ187" s="5"/>
      <c r="AJO187" s="5"/>
      <c r="AJP187" s="5"/>
      <c r="AJQ187" s="5"/>
    </row>
    <row r="188" spans="2:953" ht="15" customHeight="1" x14ac:dyDescent="0.25">
      <c r="B188" s="134"/>
      <c r="C188" s="164" t="s">
        <v>43</v>
      </c>
      <c r="D188" s="285"/>
      <c r="E188" s="212" t="s">
        <v>16</v>
      </c>
      <c r="F188" s="287">
        <f>F186-F187</f>
        <v>0</v>
      </c>
      <c r="G188" s="287">
        <f t="shared" ref="G188:AJ188" si="90">G186-G187</f>
        <v>23322.6489</v>
      </c>
      <c r="H188" s="287">
        <f t="shared" si="90"/>
        <v>43670.414000000004</v>
      </c>
      <c r="I188" s="287">
        <f t="shared" si="90"/>
        <v>0</v>
      </c>
      <c r="J188" s="287">
        <f t="shared" si="90"/>
        <v>70442.564899999998</v>
      </c>
      <c r="K188" s="287">
        <f t="shared" si="90"/>
        <v>70469.631099999999</v>
      </c>
      <c r="L188" s="287">
        <f t="shared" si="90"/>
        <v>70488.57710000001</v>
      </c>
      <c r="M188" s="287">
        <f t="shared" si="90"/>
        <v>74880.074699999997</v>
      </c>
      <c r="N188" s="287">
        <f t="shared" si="90"/>
        <v>71553.784899999999</v>
      </c>
      <c r="O188" s="287">
        <f t="shared" si="90"/>
        <v>43679.437000000005</v>
      </c>
      <c r="P188" s="287">
        <f t="shared" si="90"/>
        <v>0</v>
      </c>
      <c r="Q188" s="287">
        <f t="shared" si="90"/>
        <v>70470.534</v>
      </c>
      <c r="R188" s="287">
        <f t="shared" si="90"/>
        <v>70474.145399999994</v>
      </c>
      <c r="S188" s="287">
        <f t="shared" si="90"/>
        <v>32278.689000000002</v>
      </c>
      <c r="T188" s="287">
        <f t="shared" si="90"/>
        <v>23259.4889</v>
      </c>
      <c r="U188" s="287">
        <f t="shared" si="90"/>
        <v>9554.4590000000007</v>
      </c>
      <c r="V188" s="287">
        <f t="shared" si="90"/>
        <v>84484.153699999995</v>
      </c>
      <c r="W188" s="287">
        <f t="shared" si="90"/>
        <v>131746.48859999998</v>
      </c>
      <c r="X188" s="287">
        <f>X186-X187</f>
        <v>52281.968200000003</v>
      </c>
      <c r="Y188" s="287">
        <f t="shared" si="90"/>
        <v>65284.113300000005</v>
      </c>
      <c r="Z188" s="287">
        <f t="shared" si="90"/>
        <v>70534.595700000005</v>
      </c>
      <c r="AA188" s="11">
        <f>AA186-AA187</f>
        <v>70448.876400000008</v>
      </c>
      <c r="AB188" s="287">
        <f>AB186-AB187</f>
        <v>70660.924899999998</v>
      </c>
      <c r="AC188" s="287">
        <f t="shared" si="90"/>
        <v>44345.340599999996</v>
      </c>
      <c r="AD188" s="287">
        <f t="shared" si="90"/>
        <v>0</v>
      </c>
      <c r="AE188" s="287">
        <f t="shared" si="90"/>
        <v>70688.893400000001</v>
      </c>
      <c r="AF188" s="287">
        <f>AF186-AF187</f>
        <v>70466.917000000001</v>
      </c>
      <c r="AG188" s="287">
        <f t="shared" si="90"/>
        <v>70761.515599999999</v>
      </c>
      <c r="AH188" s="287">
        <f t="shared" si="90"/>
        <v>70542.717199999999</v>
      </c>
      <c r="AI188" s="287">
        <f t="shared" si="90"/>
        <v>73966.048999999999</v>
      </c>
      <c r="AJ188" s="287">
        <f t="shared" si="90"/>
        <v>43750.715500000006</v>
      </c>
      <c r="AK188" s="10"/>
      <c r="AL188" s="52">
        <f>SUM(F188:AJ188)</f>
        <v>1664507.7179999999</v>
      </c>
      <c r="AN188" s="41"/>
      <c r="BX188" s="40"/>
      <c r="BY188" s="40"/>
      <c r="DB188" s="40"/>
      <c r="EJ188" s="30"/>
      <c r="EK188" s="40"/>
      <c r="EL188" s="40"/>
      <c r="EM188" s="40"/>
      <c r="EN188" s="40"/>
      <c r="GQ188" s="40"/>
      <c r="KL188" s="40"/>
      <c r="KM188" s="40"/>
      <c r="KN188" s="40"/>
      <c r="KO188" s="40"/>
      <c r="PS188" s="40"/>
      <c r="PT188" s="40"/>
      <c r="PV188" s="40"/>
      <c r="QJ188" s="39"/>
      <c r="QN188" s="40"/>
      <c r="SQ188" s="39"/>
      <c r="AHZ188" s="5"/>
      <c r="AJO188" s="5"/>
      <c r="AJP188" s="5"/>
      <c r="AJQ188" s="5"/>
    </row>
    <row r="189" spans="2:953" x14ac:dyDescent="0.25">
      <c r="B189" s="134"/>
      <c r="C189" s="240" t="s">
        <v>58</v>
      </c>
      <c r="D189" s="191"/>
      <c r="E189" s="134" t="s">
        <v>16</v>
      </c>
      <c r="F189" s="287">
        <v>0</v>
      </c>
      <c r="G189" s="287">
        <v>0</v>
      </c>
      <c r="H189" s="287">
        <v>0</v>
      </c>
      <c r="I189" s="287">
        <v>0</v>
      </c>
      <c r="J189" s="287">
        <v>0</v>
      </c>
      <c r="K189" s="287"/>
      <c r="L189" s="287">
        <v>0</v>
      </c>
      <c r="M189" s="287">
        <v>0</v>
      </c>
      <c r="N189" s="287">
        <v>550</v>
      </c>
      <c r="O189" s="287">
        <v>0</v>
      </c>
      <c r="P189" s="287">
        <v>0</v>
      </c>
      <c r="Q189" s="287">
        <v>0</v>
      </c>
      <c r="R189" s="287">
        <v>0</v>
      </c>
      <c r="S189" s="287">
        <v>820</v>
      </c>
      <c r="T189" s="287">
        <v>0</v>
      </c>
      <c r="U189" s="287">
        <v>0</v>
      </c>
      <c r="V189" s="287">
        <v>0</v>
      </c>
      <c r="W189" s="287">
        <v>1624</v>
      </c>
      <c r="X189" s="287">
        <v>0</v>
      </c>
      <c r="Y189" s="287">
        <v>0</v>
      </c>
      <c r="Z189" s="287">
        <v>0</v>
      </c>
      <c r="AA189" s="287">
        <v>0</v>
      </c>
      <c r="AB189" s="287">
        <v>0</v>
      </c>
      <c r="AC189" s="287"/>
      <c r="AD189" s="287">
        <v>0</v>
      </c>
      <c r="AE189" s="287">
        <v>0</v>
      </c>
      <c r="AF189" s="287">
        <v>0</v>
      </c>
      <c r="AG189" s="287">
        <v>180</v>
      </c>
      <c r="AH189" s="287">
        <v>0</v>
      </c>
      <c r="AI189" s="287">
        <v>0</v>
      </c>
      <c r="AJ189" s="287">
        <v>0</v>
      </c>
      <c r="AK189" s="10"/>
      <c r="AL189" s="44">
        <f>SUM(F189:AJ189)</f>
        <v>3174</v>
      </c>
      <c r="AN189" s="41"/>
      <c r="AP189" s="2" t="s">
        <v>177</v>
      </c>
      <c r="AQ189" s="88">
        <v>168240</v>
      </c>
      <c r="AR189" s="3">
        <v>0.90229999999999999</v>
      </c>
      <c r="AS189" s="35">
        <f>AQ189*AR189</f>
        <v>151802.95199999999</v>
      </c>
      <c r="AT189" s="3">
        <f>AS189/1000</f>
        <v>151.80295199999998</v>
      </c>
      <c r="BX189" s="40"/>
      <c r="BY189" s="40"/>
      <c r="DB189" s="40"/>
      <c r="EJ189" s="30"/>
      <c r="EK189" s="40"/>
      <c r="EL189" s="40"/>
      <c r="EM189" s="40"/>
      <c r="EN189" s="40"/>
      <c r="GQ189" s="40"/>
      <c r="KL189" s="40"/>
      <c r="KM189" s="40"/>
      <c r="KN189" s="40"/>
      <c r="KO189" s="40"/>
      <c r="PS189" s="40"/>
      <c r="PT189" s="40"/>
      <c r="PV189" s="40"/>
      <c r="QJ189" s="39"/>
      <c r="QN189" s="40"/>
      <c r="SQ189" s="39"/>
      <c r="AHZ189" s="5"/>
      <c r="AJO189" s="5"/>
      <c r="AJP189" s="5"/>
      <c r="AJQ189" s="5"/>
    </row>
    <row r="190" spans="2:953" ht="15" customHeight="1" x14ac:dyDescent="0.25">
      <c r="B190" s="134"/>
      <c r="C190" s="164" t="s">
        <v>33</v>
      </c>
      <c r="D190" s="285"/>
      <c r="E190" s="212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287"/>
      <c r="AG190" s="287"/>
      <c r="AH190" s="287"/>
      <c r="AI190" s="287"/>
      <c r="AJ190" s="287"/>
      <c r="AK190" s="10"/>
      <c r="AL190" s="44" t="s">
        <v>33</v>
      </c>
      <c r="AN190" s="41"/>
      <c r="BX190" s="40"/>
      <c r="BY190" s="40"/>
      <c r="DB190" s="40"/>
      <c r="EJ190" s="30"/>
      <c r="EK190" s="40"/>
      <c r="EL190" s="40"/>
      <c r="EM190" s="40"/>
      <c r="EN190" s="40"/>
      <c r="GQ190" s="40"/>
      <c r="KL190" s="40"/>
      <c r="KM190" s="40"/>
      <c r="KN190" s="40"/>
      <c r="KO190" s="40"/>
      <c r="PS190" s="40"/>
      <c r="PT190" s="40"/>
      <c r="PV190" s="40"/>
      <c r="QJ190" s="39"/>
      <c r="QN190" s="40"/>
      <c r="SQ190" s="39"/>
      <c r="AHZ190" s="5"/>
      <c r="AJO190" s="5"/>
      <c r="AJP190" s="5"/>
      <c r="AJQ190" s="5"/>
    </row>
    <row r="191" spans="2:953" ht="15" customHeight="1" x14ac:dyDescent="0.25">
      <c r="B191" s="134"/>
      <c r="C191" s="164" t="s">
        <v>162</v>
      </c>
      <c r="D191" s="285"/>
      <c r="E191" s="212" t="s">
        <v>36</v>
      </c>
      <c r="F191" s="287">
        <v>0</v>
      </c>
      <c r="G191" s="11">
        <v>2357</v>
      </c>
      <c r="H191" s="11">
        <v>4420</v>
      </c>
      <c r="I191" s="11"/>
      <c r="J191" s="11">
        <v>7137</v>
      </c>
      <c r="K191" s="11">
        <v>7143</v>
      </c>
      <c r="L191" s="11">
        <v>7123</v>
      </c>
      <c r="M191" s="11">
        <v>7611</v>
      </c>
      <c r="N191" s="11">
        <v>7237</v>
      </c>
      <c r="O191" s="11">
        <v>4410</v>
      </c>
      <c r="P191" s="11">
        <v>0</v>
      </c>
      <c r="Q191" s="11">
        <v>7120</v>
      </c>
      <c r="R191" s="11">
        <v>7102</v>
      </c>
      <c r="S191" s="11">
        <v>3170</v>
      </c>
      <c r="T191" s="11">
        <v>2357</v>
      </c>
      <c r="U191" s="11">
        <v>970</v>
      </c>
      <c r="V191" s="11">
        <v>8581</v>
      </c>
      <c r="W191" s="11">
        <v>13218</v>
      </c>
      <c r="X191" s="11">
        <v>5366</v>
      </c>
      <c r="Y191" s="11">
        <v>6629</v>
      </c>
      <c r="Z191" s="11">
        <v>7141</v>
      </c>
      <c r="AA191" s="11">
        <v>7132</v>
      </c>
      <c r="AB191" s="11">
        <v>7137</v>
      </c>
      <c r="AC191" s="11">
        <v>4478</v>
      </c>
      <c r="AD191" s="11">
        <v>0</v>
      </c>
      <c r="AE191" s="11">
        <v>7142</v>
      </c>
      <c r="AF191" s="11">
        <v>7110</v>
      </c>
      <c r="AG191" s="11">
        <v>7128</v>
      </c>
      <c r="AH191" s="11">
        <v>7136</v>
      </c>
      <c r="AI191" s="11">
        <v>7470</v>
      </c>
      <c r="AJ191" s="11">
        <v>4415</v>
      </c>
      <c r="AK191" s="10"/>
      <c r="AL191" s="50">
        <f>SUM(F191:AJ191)</f>
        <v>168240</v>
      </c>
      <c r="AN191" s="41"/>
      <c r="BX191" s="40"/>
      <c r="BY191" s="40"/>
      <c r="DB191" s="40"/>
      <c r="EJ191" s="30"/>
      <c r="EK191" s="40"/>
      <c r="EL191" s="40"/>
      <c r="EM191" s="40"/>
      <c r="EN191" s="40"/>
      <c r="GQ191" s="40"/>
      <c r="KL191" s="40"/>
      <c r="KM191" s="40"/>
      <c r="KN191" s="40"/>
      <c r="KO191" s="40"/>
      <c r="PS191" s="40"/>
      <c r="PT191" s="40"/>
      <c r="PV191" s="40"/>
      <c r="QJ191" s="39"/>
      <c r="QN191" s="40"/>
      <c r="SQ191" s="39"/>
      <c r="AHZ191" s="5"/>
      <c r="AJO191" s="5"/>
      <c r="AJP191" s="5"/>
      <c r="AJQ191" s="5"/>
    </row>
    <row r="192" spans="2:953" ht="15" customHeight="1" x14ac:dyDescent="0.25">
      <c r="B192" s="134"/>
      <c r="C192" s="164" t="s">
        <v>32</v>
      </c>
      <c r="D192" s="285"/>
      <c r="E192" s="212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  <c r="AG192" s="287"/>
      <c r="AH192" s="287"/>
      <c r="AI192" s="287"/>
      <c r="AJ192" s="287"/>
      <c r="AK192" s="10"/>
      <c r="AL192" s="44" t="s">
        <v>32</v>
      </c>
      <c r="AN192" s="41"/>
      <c r="BX192" s="40"/>
      <c r="BY192" s="40"/>
      <c r="DB192" s="40"/>
      <c r="EJ192" s="30"/>
      <c r="EK192" s="40"/>
      <c r="EL192" s="40"/>
      <c r="EM192" s="40"/>
      <c r="EN192" s="40"/>
      <c r="GQ192" s="40"/>
      <c r="KL192" s="40"/>
      <c r="KM192" s="40"/>
      <c r="KN192" s="40"/>
      <c r="KO192" s="40"/>
      <c r="PS192" s="40"/>
      <c r="PT192" s="40"/>
      <c r="PV192" s="40"/>
      <c r="QJ192" s="39"/>
      <c r="QN192" s="40"/>
      <c r="SQ192" s="39"/>
      <c r="AHZ192" s="5"/>
      <c r="AJO192" s="5"/>
      <c r="AJP192" s="5"/>
      <c r="AJQ192" s="5"/>
    </row>
    <row r="193" spans="2:953" ht="15" customHeight="1" x14ac:dyDescent="0.25">
      <c r="B193" s="134"/>
      <c r="C193" s="164" t="s">
        <v>162</v>
      </c>
      <c r="D193" s="285"/>
      <c r="E193" s="212" t="s">
        <v>32</v>
      </c>
      <c r="F193" s="11">
        <f>F191*12</f>
        <v>0</v>
      </c>
      <c r="G193" s="11">
        <f t="shared" ref="G193:AD193" si="91">G191*12</f>
        <v>28284</v>
      </c>
      <c r="H193" s="11">
        <f t="shared" si="91"/>
        <v>53040</v>
      </c>
      <c r="I193" s="11">
        <f t="shared" si="91"/>
        <v>0</v>
      </c>
      <c r="J193" s="11">
        <f t="shared" si="91"/>
        <v>85644</v>
      </c>
      <c r="K193" s="11">
        <f t="shared" si="91"/>
        <v>85716</v>
      </c>
      <c r="L193" s="11">
        <f t="shared" si="91"/>
        <v>85476</v>
      </c>
      <c r="M193" s="11">
        <f t="shared" si="91"/>
        <v>91332</v>
      </c>
      <c r="N193" s="11">
        <f t="shared" si="91"/>
        <v>86844</v>
      </c>
      <c r="O193" s="11">
        <f t="shared" si="91"/>
        <v>52920</v>
      </c>
      <c r="P193" s="11">
        <f t="shared" si="91"/>
        <v>0</v>
      </c>
      <c r="Q193" s="11">
        <f t="shared" si="91"/>
        <v>85440</v>
      </c>
      <c r="R193" s="11">
        <f t="shared" si="91"/>
        <v>85224</v>
      </c>
      <c r="S193" s="11">
        <f t="shared" si="91"/>
        <v>38040</v>
      </c>
      <c r="T193" s="11">
        <f t="shared" si="91"/>
        <v>28284</v>
      </c>
      <c r="U193" s="11">
        <f t="shared" si="91"/>
        <v>11640</v>
      </c>
      <c r="V193" s="11">
        <f t="shared" si="91"/>
        <v>102972</v>
      </c>
      <c r="W193" s="11">
        <f t="shared" si="91"/>
        <v>158616</v>
      </c>
      <c r="X193" s="11">
        <f t="shared" si="91"/>
        <v>64392</v>
      </c>
      <c r="Y193" s="11">
        <f t="shared" si="91"/>
        <v>79548</v>
      </c>
      <c r="Z193" s="11">
        <f t="shared" si="91"/>
        <v>85692</v>
      </c>
      <c r="AA193" s="11">
        <f t="shared" si="91"/>
        <v>85584</v>
      </c>
      <c r="AB193" s="11">
        <f t="shared" si="91"/>
        <v>85644</v>
      </c>
      <c r="AC193" s="11">
        <f t="shared" si="91"/>
        <v>53736</v>
      </c>
      <c r="AD193" s="11">
        <f t="shared" si="91"/>
        <v>0</v>
      </c>
      <c r="AE193" s="11">
        <f t="shared" ref="AE193" si="92">AE191*6</f>
        <v>42852</v>
      </c>
      <c r="AF193" s="287">
        <v>0</v>
      </c>
      <c r="AG193" s="287">
        <v>0</v>
      </c>
      <c r="AH193" s="287">
        <v>0</v>
      </c>
      <c r="AI193" s="287">
        <v>0</v>
      </c>
      <c r="AJ193" s="287">
        <v>0</v>
      </c>
      <c r="AK193" s="10"/>
      <c r="AL193" s="26">
        <f>AL191*24</f>
        <v>4037760</v>
      </c>
      <c r="AN193" s="41"/>
      <c r="BX193" s="40"/>
      <c r="BY193" s="40"/>
      <c r="DB193" s="40"/>
      <c r="EJ193" s="30"/>
      <c r="EK193" s="40"/>
      <c r="EL193" s="40"/>
      <c r="EM193" s="40"/>
      <c r="EN193" s="40"/>
      <c r="GQ193" s="40"/>
      <c r="KL193" s="40"/>
      <c r="KM193" s="40"/>
      <c r="KN193" s="40"/>
      <c r="KO193" s="40"/>
      <c r="PS193" s="40"/>
      <c r="PT193" s="40"/>
      <c r="PV193" s="40"/>
      <c r="QJ193" s="39"/>
      <c r="QN193" s="40"/>
      <c r="SQ193" s="39"/>
      <c r="AHZ193" s="5"/>
      <c r="AJO193" s="5"/>
      <c r="AJP193" s="5"/>
      <c r="AJQ193" s="5"/>
    </row>
    <row r="194" spans="2:953" ht="15" customHeight="1" x14ac:dyDescent="0.25">
      <c r="B194" s="134"/>
      <c r="C194" s="164" t="s">
        <v>41</v>
      </c>
      <c r="D194" s="285"/>
      <c r="E194" s="212" t="s">
        <v>40</v>
      </c>
      <c r="F194" s="11">
        <f>F191*45/1700</f>
        <v>0</v>
      </c>
      <c r="G194" s="11">
        <f t="shared" ref="G194:AE194" si="93">G191*45/1700</f>
        <v>62.391176470588235</v>
      </c>
      <c r="H194" s="11">
        <f t="shared" si="93"/>
        <v>117</v>
      </c>
      <c r="I194" s="11">
        <f>I191*45/1700</f>
        <v>0</v>
      </c>
      <c r="J194" s="11">
        <f>J191*45/1700</f>
        <v>188.9205882352941</v>
      </c>
      <c r="K194" s="11">
        <f t="shared" si="93"/>
        <v>189.0794117647059</v>
      </c>
      <c r="L194" s="11">
        <f t="shared" si="93"/>
        <v>188.55</v>
      </c>
      <c r="M194" s="11">
        <f t="shared" si="93"/>
        <v>201.46764705882353</v>
      </c>
      <c r="N194" s="11">
        <f t="shared" si="93"/>
        <v>191.56764705882352</v>
      </c>
      <c r="O194" s="11">
        <f t="shared" si="93"/>
        <v>116.73529411764706</v>
      </c>
      <c r="P194" s="11">
        <f t="shared" si="93"/>
        <v>0</v>
      </c>
      <c r="Q194" s="11">
        <f t="shared" si="93"/>
        <v>188.47058823529412</v>
      </c>
      <c r="R194" s="11">
        <f t="shared" si="93"/>
        <v>187.99411764705883</v>
      </c>
      <c r="S194" s="11">
        <f t="shared" si="93"/>
        <v>83.911764705882348</v>
      </c>
      <c r="T194" s="11">
        <f t="shared" si="93"/>
        <v>62.391176470588235</v>
      </c>
      <c r="U194" s="11">
        <f t="shared" si="93"/>
        <v>25.676470588235293</v>
      </c>
      <c r="V194" s="11">
        <f t="shared" si="93"/>
        <v>227.14411764705883</v>
      </c>
      <c r="W194" s="11">
        <f t="shared" si="93"/>
        <v>349.88823529411764</v>
      </c>
      <c r="X194" s="11">
        <f t="shared" si="93"/>
        <v>142.04117647058823</v>
      </c>
      <c r="Y194" s="11">
        <f t="shared" si="93"/>
        <v>175.4735294117647</v>
      </c>
      <c r="Z194" s="11">
        <f t="shared" si="93"/>
        <v>189.0264705882353</v>
      </c>
      <c r="AA194" s="11">
        <f t="shared" si="93"/>
        <v>188.78823529411764</v>
      </c>
      <c r="AB194" s="11">
        <f t="shared" si="93"/>
        <v>188.9205882352941</v>
      </c>
      <c r="AC194" s="11">
        <f t="shared" si="93"/>
        <v>118.53529411764706</v>
      </c>
      <c r="AD194" s="11">
        <f t="shared" si="93"/>
        <v>0</v>
      </c>
      <c r="AE194" s="11">
        <f t="shared" si="93"/>
        <v>189.0529411764706</v>
      </c>
      <c r="AF194" s="287">
        <v>0</v>
      </c>
      <c r="AG194" s="287">
        <v>0</v>
      </c>
      <c r="AH194" s="287">
        <v>0</v>
      </c>
      <c r="AI194" s="287">
        <v>0</v>
      </c>
      <c r="AJ194" s="287">
        <v>0</v>
      </c>
      <c r="AK194" s="10"/>
      <c r="AL194" s="26">
        <f>SUM(F194:AJ194)</f>
        <v>3573.0264705882355</v>
      </c>
      <c r="AN194" s="41"/>
      <c r="BX194" s="40"/>
      <c r="BY194" s="40"/>
      <c r="DB194" s="40"/>
      <c r="EJ194" s="30"/>
      <c r="EK194" s="40"/>
      <c r="EL194" s="40"/>
      <c r="EM194" s="40"/>
      <c r="EN194" s="40"/>
      <c r="GQ194" s="40"/>
      <c r="KL194" s="40"/>
      <c r="KM194" s="40"/>
      <c r="KN194" s="40"/>
      <c r="KO194" s="40"/>
      <c r="PS194" s="40"/>
      <c r="PT194" s="40"/>
      <c r="PV194" s="40"/>
      <c r="QJ194" s="39"/>
      <c r="QN194" s="40"/>
      <c r="SQ194" s="39"/>
      <c r="AHZ194" s="5"/>
      <c r="AJO194" s="5"/>
      <c r="AJP194" s="5"/>
      <c r="AJQ194" s="5"/>
    </row>
    <row r="195" spans="2:953" ht="15" customHeight="1" x14ac:dyDescent="0.25">
      <c r="B195" s="134"/>
      <c r="C195" s="164" t="s">
        <v>39</v>
      </c>
      <c r="D195" s="285"/>
      <c r="E195" s="212" t="s">
        <v>38</v>
      </c>
      <c r="F195" s="11">
        <f>SUM(F191)/500</f>
        <v>0</v>
      </c>
      <c r="G195" s="11">
        <f t="shared" ref="G195:AE195" si="94">SUM(G191)/500</f>
        <v>4.7140000000000004</v>
      </c>
      <c r="H195" s="11">
        <f t="shared" si="94"/>
        <v>8.84</v>
      </c>
      <c r="I195" s="11">
        <f t="shared" si="94"/>
        <v>0</v>
      </c>
      <c r="J195" s="11">
        <f t="shared" si="94"/>
        <v>14.273999999999999</v>
      </c>
      <c r="K195" s="11">
        <f t="shared" si="94"/>
        <v>14.286</v>
      </c>
      <c r="L195" s="11">
        <f t="shared" si="94"/>
        <v>14.246</v>
      </c>
      <c r="M195" s="11">
        <f t="shared" si="94"/>
        <v>15.222</v>
      </c>
      <c r="N195" s="11">
        <f t="shared" si="94"/>
        <v>14.474</v>
      </c>
      <c r="O195" s="11">
        <f t="shared" si="94"/>
        <v>8.82</v>
      </c>
      <c r="P195" s="11">
        <f t="shared" si="94"/>
        <v>0</v>
      </c>
      <c r="Q195" s="11">
        <f t="shared" si="94"/>
        <v>14.24</v>
      </c>
      <c r="R195" s="11">
        <f t="shared" si="94"/>
        <v>14.204000000000001</v>
      </c>
      <c r="S195" s="11">
        <f t="shared" si="94"/>
        <v>6.34</v>
      </c>
      <c r="T195" s="11">
        <f t="shared" si="94"/>
        <v>4.7140000000000004</v>
      </c>
      <c r="U195" s="11">
        <f t="shared" si="94"/>
        <v>1.94</v>
      </c>
      <c r="V195" s="11">
        <f t="shared" si="94"/>
        <v>17.161999999999999</v>
      </c>
      <c r="W195" s="11">
        <f t="shared" si="94"/>
        <v>26.436</v>
      </c>
      <c r="X195" s="11">
        <f t="shared" si="94"/>
        <v>10.731999999999999</v>
      </c>
      <c r="Y195" s="11">
        <f t="shared" si="94"/>
        <v>13.257999999999999</v>
      </c>
      <c r="Z195" s="11">
        <f t="shared" si="94"/>
        <v>14.282</v>
      </c>
      <c r="AA195" s="11">
        <f t="shared" si="94"/>
        <v>14.263999999999999</v>
      </c>
      <c r="AB195" s="11">
        <f t="shared" si="94"/>
        <v>14.273999999999999</v>
      </c>
      <c r="AC195" s="11">
        <f t="shared" si="94"/>
        <v>8.9559999999999995</v>
      </c>
      <c r="AD195" s="11">
        <f t="shared" si="94"/>
        <v>0</v>
      </c>
      <c r="AE195" s="11">
        <f t="shared" si="94"/>
        <v>14.284000000000001</v>
      </c>
      <c r="AF195" s="287">
        <v>0</v>
      </c>
      <c r="AG195" s="287">
        <v>0</v>
      </c>
      <c r="AH195" s="287">
        <v>0</v>
      </c>
      <c r="AI195" s="287">
        <v>0</v>
      </c>
      <c r="AJ195" s="287">
        <v>0</v>
      </c>
      <c r="AK195" s="10"/>
      <c r="AL195" s="352">
        <f>SUM(F195:AJ195)</f>
        <v>269.96200000000005</v>
      </c>
      <c r="AN195" s="41"/>
      <c r="BX195" s="40"/>
      <c r="BY195" s="40"/>
      <c r="DB195" s="40"/>
      <c r="EJ195" s="30"/>
      <c r="EK195" s="40"/>
      <c r="EL195" s="40"/>
      <c r="EM195" s="40"/>
      <c r="EN195" s="40"/>
      <c r="GQ195" s="40"/>
      <c r="KL195" s="40"/>
      <c r="KM195" s="40"/>
      <c r="KN195" s="40"/>
      <c r="KO195" s="40"/>
      <c r="PS195" s="40"/>
      <c r="PT195" s="40"/>
      <c r="PV195" s="40"/>
      <c r="QJ195" s="39"/>
      <c r="QN195" s="40"/>
      <c r="SQ195" s="39"/>
      <c r="AHZ195" s="5"/>
      <c r="AJO195" s="5"/>
      <c r="AJP195" s="5"/>
      <c r="AJQ195" s="5"/>
    </row>
    <row r="196" spans="2:953" ht="15" customHeight="1" x14ac:dyDescent="0.25">
      <c r="B196" s="134"/>
      <c r="C196" s="160" t="s">
        <v>37</v>
      </c>
      <c r="D196" s="299"/>
      <c r="E196" s="251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  <c r="AD196" s="300"/>
      <c r="AE196" s="300"/>
      <c r="AF196" s="300"/>
      <c r="AG196" s="300"/>
      <c r="AH196" s="300"/>
      <c r="AI196" s="300"/>
      <c r="AJ196" s="300"/>
      <c r="AK196" s="10"/>
      <c r="AL196" s="157" t="s">
        <v>34</v>
      </c>
      <c r="AN196" s="41"/>
      <c r="BX196" s="40"/>
      <c r="BY196" s="40"/>
      <c r="DB196" s="40"/>
      <c r="EJ196" s="30"/>
      <c r="EK196" s="40"/>
      <c r="EL196" s="40"/>
      <c r="EM196" s="40"/>
      <c r="EN196" s="40"/>
      <c r="GQ196" s="40"/>
      <c r="KL196" s="40"/>
      <c r="KM196" s="40"/>
      <c r="KN196" s="40"/>
      <c r="KO196" s="40"/>
      <c r="PS196" s="40"/>
      <c r="PT196" s="40"/>
      <c r="PV196" s="40"/>
      <c r="QJ196" s="39"/>
      <c r="QN196" s="40"/>
      <c r="SQ196" s="39"/>
      <c r="AHZ196" s="5"/>
      <c r="AJO196" s="5"/>
      <c r="AJP196" s="5"/>
      <c r="AJQ196" s="5"/>
    </row>
    <row r="197" spans="2:953" ht="15" customHeight="1" x14ac:dyDescent="0.25">
      <c r="B197" s="134"/>
      <c r="C197" s="164" t="s">
        <v>33</v>
      </c>
      <c r="D197" s="285"/>
      <c r="E197" s="212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  <c r="AE197" s="287"/>
      <c r="AF197" s="287"/>
      <c r="AG197" s="287"/>
      <c r="AH197" s="287"/>
      <c r="AI197" s="287"/>
      <c r="AJ197" s="287"/>
      <c r="AK197" s="10"/>
      <c r="AL197" s="44" t="s">
        <v>33</v>
      </c>
      <c r="AN197" s="41"/>
      <c r="BX197" s="40"/>
      <c r="BY197" s="40"/>
      <c r="DB197" s="40"/>
      <c r="EJ197" s="30"/>
      <c r="EK197" s="40"/>
      <c r="EL197" s="40"/>
      <c r="EM197" s="40"/>
      <c r="EN197" s="40"/>
      <c r="GQ197" s="40"/>
      <c r="KL197" s="40"/>
      <c r="KM197" s="40"/>
      <c r="KN197" s="40"/>
      <c r="KO197" s="40"/>
      <c r="PS197" s="40"/>
      <c r="PT197" s="40"/>
      <c r="PV197" s="40"/>
      <c r="QJ197" s="39"/>
      <c r="QN197" s="40"/>
      <c r="SQ197" s="39"/>
      <c r="AHZ197" s="5"/>
      <c r="AJO197" s="5"/>
      <c r="AJP197" s="5"/>
      <c r="AJQ197" s="5"/>
    </row>
    <row r="198" spans="2:953" ht="15" customHeight="1" x14ac:dyDescent="0.25">
      <c r="B198" s="134"/>
      <c r="C198" s="164" t="s">
        <v>162</v>
      </c>
      <c r="D198" s="285"/>
      <c r="E198" s="212" t="s">
        <v>36</v>
      </c>
      <c r="F198" s="287">
        <v>0</v>
      </c>
      <c r="G198" s="11">
        <v>7</v>
      </c>
      <c r="H198" s="11">
        <v>19</v>
      </c>
      <c r="I198" s="11">
        <v>0</v>
      </c>
      <c r="J198" s="11">
        <v>37</v>
      </c>
      <c r="K198" s="11">
        <v>40</v>
      </c>
      <c r="L198" s="11">
        <v>20</v>
      </c>
      <c r="M198" s="11">
        <v>63</v>
      </c>
      <c r="N198" s="11">
        <v>77</v>
      </c>
      <c r="O198" s="11">
        <v>9</v>
      </c>
      <c r="P198" s="287">
        <v>0</v>
      </c>
      <c r="Q198" s="11">
        <v>19</v>
      </c>
      <c r="R198" s="11">
        <v>2</v>
      </c>
      <c r="S198" s="11">
        <v>1</v>
      </c>
      <c r="T198" s="11">
        <v>13</v>
      </c>
      <c r="U198" s="287">
        <v>7</v>
      </c>
      <c r="V198" s="11">
        <v>64</v>
      </c>
      <c r="W198" s="11">
        <v>100</v>
      </c>
      <c r="X198" s="11">
        <v>91</v>
      </c>
      <c r="Y198" s="11">
        <v>48</v>
      </c>
      <c r="Z198" s="11">
        <v>33</v>
      </c>
      <c r="AA198" s="11">
        <v>32</v>
      </c>
      <c r="AB198" s="11">
        <v>17</v>
      </c>
      <c r="AC198" s="11">
        <v>10</v>
      </c>
      <c r="AD198" s="11">
        <v>0</v>
      </c>
      <c r="AE198" s="11">
        <v>19</v>
      </c>
      <c r="AF198" s="11">
        <v>10</v>
      </c>
      <c r="AG198" s="11">
        <v>16</v>
      </c>
      <c r="AH198" s="11">
        <v>27</v>
      </c>
      <c r="AI198" s="11">
        <v>17</v>
      </c>
      <c r="AJ198" s="11">
        <v>7</v>
      </c>
      <c r="AK198" s="10"/>
      <c r="AL198" s="26">
        <f>SUM(F198:AJ198)</f>
        <v>805</v>
      </c>
      <c r="AN198" s="41"/>
      <c r="BX198" s="40"/>
      <c r="BY198" s="40"/>
      <c r="DB198" s="40"/>
      <c r="EJ198" s="30"/>
      <c r="EK198" s="40"/>
      <c r="EL198" s="40"/>
      <c r="EM198" s="40"/>
      <c r="EN198" s="40"/>
      <c r="GQ198" s="40"/>
      <c r="KL198" s="40"/>
      <c r="KM198" s="40"/>
      <c r="KN198" s="40"/>
      <c r="KO198" s="40"/>
      <c r="PS198" s="40"/>
      <c r="PT198" s="40"/>
      <c r="PV198" s="40"/>
      <c r="QJ198" s="39"/>
      <c r="QN198" s="40"/>
      <c r="SQ198" s="39"/>
      <c r="AHZ198" s="5"/>
      <c r="AJO198" s="5"/>
      <c r="AJP198" s="5"/>
      <c r="AJQ198" s="5"/>
    </row>
    <row r="199" spans="2:953" ht="15" customHeight="1" x14ac:dyDescent="0.25">
      <c r="B199" s="134"/>
      <c r="C199" s="164" t="s">
        <v>32</v>
      </c>
      <c r="D199" s="285"/>
      <c r="E199" s="212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  <c r="AE199" s="287"/>
      <c r="AF199" s="287"/>
      <c r="AG199" s="287"/>
      <c r="AH199" s="287"/>
      <c r="AI199" s="287"/>
      <c r="AJ199" s="287"/>
      <c r="AK199" s="10"/>
      <c r="AL199" s="44" t="s">
        <v>32</v>
      </c>
      <c r="AN199" s="41"/>
      <c r="BX199" s="40"/>
      <c r="BY199" s="40"/>
      <c r="DB199" s="40"/>
      <c r="EJ199" s="30"/>
      <c r="EK199" s="40"/>
      <c r="EL199" s="40"/>
      <c r="EM199" s="40"/>
      <c r="EN199" s="40"/>
      <c r="GQ199" s="40"/>
      <c r="KL199" s="40"/>
      <c r="KM199" s="40"/>
      <c r="KN199" s="40"/>
      <c r="KO199" s="40"/>
      <c r="PS199" s="40"/>
      <c r="PT199" s="40"/>
      <c r="PV199" s="40"/>
      <c r="QJ199" s="39"/>
      <c r="QN199" s="40"/>
      <c r="SQ199" s="39"/>
      <c r="AHZ199" s="5"/>
      <c r="AJO199" s="5"/>
      <c r="AJP199" s="5"/>
      <c r="AJQ199" s="5"/>
    </row>
    <row r="200" spans="2:953" ht="15" customHeight="1" x14ac:dyDescent="0.25">
      <c r="B200" s="134"/>
      <c r="C200" s="168" t="s">
        <v>162</v>
      </c>
      <c r="D200" s="303"/>
      <c r="E200" s="222" t="s">
        <v>32</v>
      </c>
      <c r="F200" s="304">
        <v>0</v>
      </c>
      <c r="G200" s="304">
        <v>0</v>
      </c>
      <c r="H200" s="281"/>
      <c r="I200" s="304">
        <v>0</v>
      </c>
      <c r="J200" s="304">
        <v>0</v>
      </c>
      <c r="K200" s="304">
        <v>0</v>
      </c>
      <c r="L200" s="304">
        <v>0</v>
      </c>
      <c r="M200" s="304">
        <v>0</v>
      </c>
      <c r="N200" s="304">
        <v>0</v>
      </c>
      <c r="O200" s="304">
        <v>0</v>
      </c>
      <c r="P200" s="304">
        <v>0</v>
      </c>
      <c r="Q200" s="304">
        <v>0</v>
      </c>
      <c r="R200" s="304">
        <v>0</v>
      </c>
      <c r="S200" s="304">
        <v>0</v>
      </c>
      <c r="T200" s="304">
        <v>0</v>
      </c>
      <c r="U200" s="304">
        <v>0</v>
      </c>
      <c r="V200" s="304">
        <v>0</v>
      </c>
      <c r="W200" s="304">
        <v>0</v>
      </c>
      <c r="X200" s="304">
        <v>0</v>
      </c>
      <c r="Y200" s="304">
        <v>0</v>
      </c>
      <c r="Z200" s="304">
        <v>0</v>
      </c>
      <c r="AA200" s="304">
        <v>0</v>
      </c>
      <c r="AB200" s="304">
        <v>0</v>
      </c>
      <c r="AC200" s="304">
        <v>0</v>
      </c>
      <c r="AD200" s="304">
        <v>0</v>
      </c>
      <c r="AE200" s="304">
        <v>0</v>
      </c>
      <c r="AF200" s="304">
        <v>0</v>
      </c>
      <c r="AG200" s="304">
        <v>0</v>
      </c>
      <c r="AH200" s="304">
        <v>0</v>
      </c>
      <c r="AI200" s="304">
        <v>0</v>
      </c>
      <c r="AJ200" s="304">
        <v>0</v>
      </c>
      <c r="AK200" s="10"/>
      <c r="AL200" s="26">
        <f>SUM(F200:AJ200)</f>
        <v>0</v>
      </c>
      <c r="AN200" s="41"/>
      <c r="BX200" s="40"/>
      <c r="BY200" s="40"/>
      <c r="DB200" s="40"/>
      <c r="EJ200" s="30"/>
      <c r="EK200" s="40"/>
      <c r="EL200" s="40"/>
      <c r="EM200" s="40"/>
      <c r="EN200" s="40"/>
      <c r="GQ200" s="40"/>
      <c r="KL200" s="40"/>
      <c r="KM200" s="40"/>
      <c r="KN200" s="40"/>
      <c r="KO200" s="40"/>
      <c r="PS200" s="40"/>
      <c r="PT200" s="40"/>
      <c r="PV200" s="40"/>
      <c r="QJ200" s="39"/>
      <c r="QN200" s="40"/>
      <c r="SQ200" s="39"/>
      <c r="AHZ200" s="5"/>
      <c r="AJO200" s="5"/>
      <c r="AJP200" s="5"/>
      <c r="AJQ200" s="5"/>
    </row>
    <row r="201" spans="2:953" ht="15" customHeight="1" x14ac:dyDescent="0.25">
      <c r="B201" s="134"/>
      <c r="C201" s="252" t="s">
        <v>172</v>
      </c>
      <c r="D201" s="302"/>
      <c r="E201" s="279" t="s">
        <v>16</v>
      </c>
      <c r="F201" s="301">
        <f>F185</f>
        <v>0</v>
      </c>
      <c r="G201" s="301">
        <f t="shared" ref="G201:AJ201" si="95">G185</f>
        <v>35666</v>
      </c>
      <c r="H201" s="253">
        <f t="shared" si="95"/>
        <v>36539</v>
      </c>
      <c r="I201" s="301">
        <f t="shared" si="95"/>
        <v>0</v>
      </c>
      <c r="J201" s="301">
        <f t="shared" si="95"/>
        <v>68833</v>
      </c>
      <c r="K201" s="301">
        <f t="shared" si="95"/>
        <v>101631</v>
      </c>
      <c r="L201" s="301">
        <f t="shared" si="95"/>
        <v>97400</v>
      </c>
      <c r="M201" s="301">
        <f t="shared" si="95"/>
        <v>84964</v>
      </c>
      <c r="N201" s="301">
        <f t="shared" si="95"/>
        <v>67667</v>
      </c>
      <c r="O201" s="301">
        <f t="shared" si="95"/>
        <v>39527</v>
      </c>
      <c r="P201" s="301">
        <f t="shared" si="95"/>
        <v>0</v>
      </c>
      <c r="Q201" s="301">
        <f t="shared" si="95"/>
        <v>59066</v>
      </c>
      <c r="R201" s="301">
        <f t="shared" si="95"/>
        <v>53781</v>
      </c>
      <c r="S201" s="301">
        <f t="shared" si="95"/>
        <v>25435</v>
      </c>
      <c r="T201" s="301">
        <f t="shared" si="95"/>
        <v>30338</v>
      </c>
      <c r="U201" s="301">
        <f>U185</f>
        <v>10290</v>
      </c>
      <c r="V201" s="301">
        <f>V185</f>
        <v>196586</v>
      </c>
      <c r="W201" s="301">
        <f t="shared" si="95"/>
        <v>111451</v>
      </c>
      <c r="X201" s="301">
        <f t="shared" si="95"/>
        <v>69909</v>
      </c>
      <c r="Y201" s="301">
        <f t="shared" si="95"/>
        <v>0</v>
      </c>
      <c r="Z201" s="301">
        <f t="shared" si="95"/>
        <v>97268</v>
      </c>
      <c r="AA201" s="301">
        <f t="shared" si="95"/>
        <v>90056</v>
      </c>
      <c r="AB201" s="301">
        <f t="shared" si="95"/>
        <v>98580</v>
      </c>
      <c r="AC201" s="301">
        <f t="shared" si="95"/>
        <v>89792</v>
      </c>
      <c r="AD201" s="301">
        <f t="shared" si="95"/>
        <v>0</v>
      </c>
      <c r="AE201" s="301">
        <f t="shared" si="95"/>
        <v>60069</v>
      </c>
      <c r="AF201" s="301">
        <f t="shared" si="95"/>
        <v>70083</v>
      </c>
      <c r="AG201" s="301">
        <f t="shared" si="95"/>
        <v>69335</v>
      </c>
      <c r="AH201" s="301">
        <f t="shared" si="95"/>
        <v>24629</v>
      </c>
      <c r="AI201" s="301">
        <f t="shared" si="95"/>
        <v>99730</v>
      </c>
      <c r="AJ201" s="301">
        <f t="shared" si="95"/>
        <v>33081</v>
      </c>
      <c r="AK201" s="10"/>
      <c r="AL201" s="280">
        <f>SUM(F201:AJ201)</f>
        <v>1821706</v>
      </c>
      <c r="AN201" s="41"/>
      <c r="BX201" s="40"/>
      <c r="BY201" s="40"/>
      <c r="DB201" s="40"/>
      <c r="EJ201" s="30"/>
      <c r="EK201" s="40"/>
      <c r="EL201" s="40"/>
      <c r="EM201" s="40"/>
      <c r="EN201" s="40"/>
      <c r="GQ201" s="40"/>
      <c r="KL201" s="40"/>
      <c r="KM201" s="40"/>
      <c r="KN201" s="40"/>
      <c r="KO201" s="40"/>
      <c r="PS201" s="40"/>
      <c r="PT201" s="40"/>
      <c r="PV201" s="40"/>
      <c r="QJ201" s="39"/>
      <c r="QN201" s="40"/>
      <c r="SQ201" s="39"/>
      <c r="AHZ201" s="5"/>
      <c r="AJO201" s="5"/>
      <c r="AJP201" s="5"/>
      <c r="AJQ201" s="5"/>
    </row>
    <row r="202" spans="2:953" ht="15" customHeight="1" x14ac:dyDescent="0.25">
      <c r="B202" s="134"/>
      <c r="C202" s="252" t="s">
        <v>166</v>
      </c>
      <c r="D202" s="302"/>
      <c r="E202" s="279" t="s">
        <v>16</v>
      </c>
      <c r="F202" s="301">
        <f t="shared" ref="F202:AJ202" si="96">F129</f>
        <v>0</v>
      </c>
      <c r="G202" s="301">
        <f t="shared" si="96"/>
        <v>0</v>
      </c>
      <c r="H202" s="301">
        <f t="shared" si="96"/>
        <v>0</v>
      </c>
      <c r="I202" s="301">
        <f t="shared" si="96"/>
        <v>0</v>
      </c>
      <c r="J202" s="301">
        <f t="shared" si="96"/>
        <v>0</v>
      </c>
      <c r="K202" s="301">
        <f t="shared" si="96"/>
        <v>0</v>
      </c>
      <c r="L202" s="301">
        <f t="shared" si="96"/>
        <v>0</v>
      </c>
      <c r="M202" s="301">
        <f t="shared" si="96"/>
        <v>0</v>
      </c>
      <c r="N202" s="301">
        <f t="shared" si="96"/>
        <v>0</v>
      </c>
      <c r="O202" s="301">
        <f t="shared" si="96"/>
        <v>0</v>
      </c>
      <c r="P202" s="301">
        <f t="shared" si="96"/>
        <v>0</v>
      </c>
      <c r="Q202" s="301">
        <f t="shared" si="96"/>
        <v>0</v>
      </c>
      <c r="R202" s="301">
        <f t="shared" si="96"/>
        <v>0</v>
      </c>
      <c r="S202" s="301">
        <f t="shared" si="96"/>
        <v>92560</v>
      </c>
      <c r="T202" s="301">
        <f t="shared" si="96"/>
        <v>90340</v>
      </c>
      <c r="U202" s="301">
        <f t="shared" si="96"/>
        <v>0</v>
      </c>
      <c r="V202" s="301">
        <f t="shared" si="96"/>
        <v>27883</v>
      </c>
      <c r="W202" s="301">
        <f t="shared" si="96"/>
        <v>0</v>
      </c>
      <c r="X202" s="301">
        <f t="shared" si="96"/>
        <v>0</v>
      </c>
      <c r="Y202" s="301">
        <f t="shared" si="96"/>
        <v>0</v>
      </c>
      <c r="Z202" s="301">
        <f t="shared" si="96"/>
        <v>0</v>
      </c>
      <c r="AA202" s="301">
        <f t="shared" si="96"/>
        <v>0</v>
      </c>
      <c r="AB202" s="301">
        <f t="shared" si="96"/>
        <v>0</v>
      </c>
      <c r="AC202" s="301">
        <f t="shared" si="96"/>
        <v>0</v>
      </c>
      <c r="AD202" s="301">
        <f t="shared" si="96"/>
        <v>0</v>
      </c>
      <c r="AE202" s="301">
        <f t="shared" si="96"/>
        <v>0</v>
      </c>
      <c r="AF202" s="301">
        <f t="shared" si="96"/>
        <v>0</v>
      </c>
      <c r="AG202" s="301">
        <f t="shared" si="96"/>
        <v>0</v>
      </c>
      <c r="AH202" s="301">
        <f t="shared" si="96"/>
        <v>0</v>
      </c>
      <c r="AI202" s="301">
        <f t="shared" si="96"/>
        <v>0</v>
      </c>
      <c r="AJ202" s="301">
        <f t="shared" si="96"/>
        <v>0</v>
      </c>
      <c r="AK202" s="10"/>
      <c r="AL202" s="280">
        <f>SUM(F202:AJ202)</f>
        <v>210783</v>
      </c>
      <c r="AN202" s="41"/>
      <c r="BX202" s="40"/>
      <c r="BY202" s="40"/>
      <c r="DB202" s="40"/>
      <c r="EJ202" s="30"/>
      <c r="EK202" s="40"/>
      <c r="EL202" s="40"/>
      <c r="EM202" s="40"/>
      <c r="EN202" s="40"/>
      <c r="GQ202" s="40"/>
      <c r="KL202" s="40"/>
      <c r="KM202" s="40"/>
      <c r="KN202" s="40"/>
      <c r="KO202" s="40"/>
      <c r="PS202" s="40"/>
      <c r="PT202" s="40"/>
      <c r="PV202" s="40"/>
      <c r="QJ202" s="39"/>
      <c r="QN202" s="40"/>
      <c r="SQ202" s="39"/>
      <c r="AHZ202" s="5"/>
      <c r="AJO202" s="5"/>
      <c r="AJP202" s="5"/>
      <c r="AJQ202" s="5"/>
    </row>
    <row r="203" spans="2:953" ht="15" customHeight="1" x14ac:dyDescent="0.25">
      <c r="B203" s="134"/>
      <c r="C203" s="252" t="s">
        <v>167</v>
      </c>
      <c r="D203" s="302"/>
      <c r="E203" s="279" t="s">
        <v>16</v>
      </c>
      <c r="F203" s="301">
        <f t="shared" ref="F203:AJ203" si="97">F74</f>
        <v>3405</v>
      </c>
      <c r="G203" s="301">
        <f t="shared" si="97"/>
        <v>2208</v>
      </c>
      <c r="H203" s="301">
        <f t="shared" si="97"/>
        <v>0</v>
      </c>
      <c r="I203" s="301">
        <f t="shared" si="97"/>
        <v>0</v>
      </c>
      <c r="J203" s="301">
        <f t="shared" si="97"/>
        <v>100002</v>
      </c>
      <c r="K203" s="301">
        <f t="shared" si="97"/>
        <v>3508</v>
      </c>
      <c r="L203" s="301">
        <f t="shared" si="97"/>
        <v>75258</v>
      </c>
      <c r="M203" s="301">
        <f t="shared" si="97"/>
        <v>63168</v>
      </c>
      <c r="N203" s="301">
        <f t="shared" si="97"/>
        <v>0</v>
      </c>
      <c r="O203" s="301">
        <f t="shared" si="97"/>
        <v>0</v>
      </c>
      <c r="P203" s="301">
        <f t="shared" si="97"/>
        <v>0</v>
      </c>
      <c r="Q203" s="301">
        <f t="shared" si="97"/>
        <v>0</v>
      </c>
      <c r="R203" s="301">
        <f t="shared" si="97"/>
        <v>105227</v>
      </c>
      <c r="S203" s="301">
        <f t="shared" si="97"/>
        <v>0</v>
      </c>
      <c r="T203" s="301">
        <f t="shared" si="97"/>
        <v>0</v>
      </c>
      <c r="U203" s="301">
        <f t="shared" si="97"/>
        <v>0</v>
      </c>
      <c r="V203" s="301">
        <f t="shared" si="97"/>
        <v>0</v>
      </c>
      <c r="W203" s="301">
        <f t="shared" si="97"/>
        <v>0</v>
      </c>
      <c r="X203" s="301">
        <f t="shared" si="97"/>
        <v>94241</v>
      </c>
      <c r="Y203" s="301">
        <f t="shared" si="97"/>
        <v>73837</v>
      </c>
      <c r="Z203" s="301">
        <f t="shared" si="97"/>
        <v>63227</v>
      </c>
      <c r="AA203" s="301">
        <f t="shared" si="97"/>
        <v>0</v>
      </c>
      <c r="AB203" s="301">
        <f t="shared" si="97"/>
        <v>0</v>
      </c>
      <c r="AC203" s="301">
        <f t="shared" si="97"/>
        <v>36676</v>
      </c>
      <c r="AD203" s="301">
        <f t="shared" si="97"/>
        <v>0</v>
      </c>
      <c r="AE203" s="301">
        <f t="shared" si="97"/>
        <v>41093</v>
      </c>
      <c r="AF203" s="301">
        <f t="shared" si="97"/>
        <v>45346</v>
      </c>
      <c r="AG203" s="301">
        <f t="shared" si="97"/>
        <v>0</v>
      </c>
      <c r="AH203" s="301">
        <f t="shared" si="97"/>
        <v>0</v>
      </c>
      <c r="AI203" s="301">
        <f t="shared" si="97"/>
        <v>0</v>
      </c>
      <c r="AJ203" s="301">
        <f t="shared" si="97"/>
        <v>0</v>
      </c>
      <c r="AK203" s="10"/>
      <c r="AL203" s="353">
        <f>SUM(F203:AJ203)</f>
        <v>707196</v>
      </c>
      <c r="AN203" s="41"/>
      <c r="BX203" s="40"/>
      <c r="BY203" s="40"/>
      <c r="DB203" s="40"/>
      <c r="EJ203" s="30"/>
      <c r="EK203" s="40"/>
      <c r="EL203" s="40"/>
      <c r="EM203" s="40"/>
      <c r="EN203" s="40"/>
      <c r="GQ203" s="40"/>
      <c r="KL203" s="40"/>
      <c r="KM203" s="40"/>
      <c r="KN203" s="40"/>
      <c r="KO203" s="40"/>
      <c r="PS203" s="40"/>
      <c r="PT203" s="40"/>
      <c r="PV203" s="40"/>
      <c r="QJ203" s="39"/>
      <c r="QN203" s="40"/>
      <c r="SQ203" s="39"/>
      <c r="AHZ203" s="5"/>
      <c r="AJO203" s="5"/>
      <c r="AJP203" s="5"/>
      <c r="AJQ203" s="5"/>
    </row>
    <row r="204" spans="2:953" ht="15" customHeight="1" x14ac:dyDescent="0.25">
      <c r="B204" s="134"/>
      <c r="C204" s="334" t="s">
        <v>168</v>
      </c>
      <c r="D204" s="335"/>
      <c r="E204" s="336" t="s">
        <v>158</v>
      </c>
      <c r="F204" s="337">
        <f>F201+F202+F203</f>
        <v>3405</v>
      </c>
      <c r="G204" s="337">
        <f t="shared" ref="G204:AL204" si="98">G201+G202+G203</f>
        <v>37874</v>
      </c>
      <c r="H204" s="337">
        <f t="shared" si="98"/>
        <v>36539</v>
      </c>
      <c r="I204" s="337">
        <f t="shared" si="98"/>
        <v>0</v>
      </c>
      <c r="J204" s="337">
        <f t="shared" si="98"/>
        <v>168835</v>
      </c>
      <c r="K204" s="337">
        <f t="shared" si="98"/>
        <v>105139</v>
      </c>
      <c r="L204" s="337">
        <f t="shared" si="98"/>
        <v>172658</v>
      </c>
      <c r="M204" s="338">
        <f t="shared" si="98"/>
        <v>148132</v>
      </c>
      <c r="N204" s="338">
        <f t="shared" si="98"/>
        <v>67667</v>
      </c>
      <c r="O204" s="338">
        <f t="shared" si="98"/>
        <v>39527</v>
      </c>
      <c r="P204" s="338">
        <f t="shared" si="98"/>
        <v>0</v>
      </c>
      <c r="Q204" s="338">
        <f t="shared" si="98"/>
        <v>59066</v>
      </c>
      <c r="R204" s="338">
        <f t="shared" si="98"/>
        <v>159008</v>
      </c>
      <c r="S204" s="338">
        <f t="shared" si="98"/>
        <v>117995</v>
      </c>
      <c r="T204" s="338">
        <f t="shared" si="98"/>
        <v>120678</v>
      </c>
      <c r="U204" s="338">
        <f>U201+U202+U203</f>
        <v>10290</v>
      </c>
      <c r="V204" s="338">
        <f t="shared" si="98"/>
        <v>224469</v>
      </c>
      <c r="W204" s="338">
        <f t="shared" si="98"/>
        <v>111451</v>
      </c>
      <c r="X204" s="338">
        <f t="shared" si="98"/>
        <v>164150</v>
      </c>
      <c r="Y204" s="338">
        <f t="shared" si="98"/>
        <v>73837</v>
      </c>
      <c r="Z204" s="338">
        <f t="shared" si="98"/>
        <v>160495</v>
      </c>
      <c r="AA204" s="338">
        <f t="shared" si="98"/>
        <v>90056</v>
      </c>
      <c r="AB204" s="338">
        <f t="shared" si="98"/>
        <v>98580</v>
      </c>
      <c r="AC204" s="338">
        <f t="shared" si="98"/>
        <v>126468</v>
      </c>
      <c r="AD204" s="338">
        <f t="shared" si="98"/>
        <v>0</v>
      </c>
      <c r="AE204" s="337">
        <f t="shared" si="98"/>
        <v>101162</v>
      </c>
      <c r="AF204" s="337">
        <f t="shared" si="98"/>
        <v>115429</v>
      </c>
      <c r="AG204" s="337">
        <f t="shared" si="98"/>
        <v>69335</v>
      </c>
      <c r="AH204" s="337">
        <f t="shared" si="98"/>
        <v>24629</v>
      </c>
      <c r="AI204" s="337">
        <f t="shared" si="98"/>
        <v>99730</v>
      </c>
      <c r="AJ204" s="337">
        <f t="shared" si="98"/>
        <v>33081</v>
      </c>
      <c r="AK204" s="10"/>
      <c r="AL204" s="355">
        <f t="shared" si="98"/>
        <v>2739685</v>
      </c>
      <c r="AN204" s="41"/>
      <c r="BX204" s="40"/>
      <c r="BY204" s="40"/>
      <c r="DB204" s="40"/>
      <c r="EJ204" s="30"/>
      <c r="EK204" s="40"/>
      <c r="EL204" s="40"/>
      <c r="EM204" s="40"/>
      <c r="EN204" s="40"/>
      <c r="GQ204" s="40"/>
      <c r="KL204" s="40"/>
      <c r="KM204" s="40"/>
      <c r="KN204" s="40"/>
      <c r="KO204" s="40"/>
      <c r="PS204" s="40"/>
      <c r="PT204" s="40"/>
      <c r="PV204" s="40"/>
      <c r="QJ204" s="39"/>
      <c r="QN204" s="40"/>
      <c r="SQ204" s="39"/>
      <c r="AHZ204" s="5"/>
      <c r="AJO204" s="5"/>
      <c r="AJP204" s="5"/>
      <c r="AJQ204" s="5"/>
    </row>
    <row r="205" spans="2:953" s="21" customFormat="1" ht="15" customHeight="1" x14ac:dyDescent="0.25">
      <c r="B205" s="315"/>
      <c r="C205" s="339" t="s">
        <v>173</v>
      </c>
      <c r="D205" s="316"/>
      <c r="E205" s="317" t="s">
        <v>16</v>
      </c>
      <c r="F205" s="318">
        <f t="shared" ref="F205:AJ205" si="99">SUM(F186+F156+F130+F102+F75)</f>
        <v>51052.869999999995</v>
      </c>
      <c r="G205" s="318">
        <f t="shared" si="99"/>
        <v>82270.7</v>
      </c>
      <c r="H205" s="318">
        <f t="shared" si="99"/>
        <v>47658.58</v>
      </c>
      <c r="I205" s="316">
        <f t="shared" si="99"/>
        <v>0</v>
      </c>
      <c r="J205" s="318">
        <f t="shared" si="99"/>
        <v>141280.26999999999</v>
      </c>
      <c r="K205" s="318">
        <f t="shared" si="99"/>
        <v>125162.12</v>
      </c>
      <c r="L205" s="318">
        <f t="shared" si="99"/>
        <v>167161.35999999999</v>
      </c>
      <c r="M205" s="318">
        <f t="shared" si="99"/>
        <v>125055.35</v>
      </c>
      <c r="N205" s="318">
        <f t="shared" si="99"/>
        <v>78083.73</v>
      </c>
      <c r="O205" s="318">
        <f t="shared" si="99"/>
        <v>47658.58</v>
      </c>
      <c r="P205" s="318">
        <f t="shared" si="99"/>
        <v>0</v>
      </c>
      <c r="Q205" s="318">
        <f t="shared" si="99"/>
        <v>76894.91</v>
      </c>
      <c r="R205" s="318">
        <f t="shared" si="99"/>
        <v>162057.26</v>
      </c>
      <c r="S205" s="318">
        <f t="shared" si="99"/>
        <v>128476.16</v>
      </c>
      <c r="T205" s="318">
        <f t="shared" si="99"/>
        <v>82290.91</v>
      </c>
      <c r="U205" s="318">
        <f t="shared" si="99"/>
        <v>102216.44</v>
      </c>
      <c r="V205" s="318">
        <f t="shared" si="99"/>
        <v>130420.06999999999</v>
      </c>
      <c r="W205" s="318">
        <f t="shared" si="99"/>
        <v>143673.09</v>
      </c>
      <c r="X205" s="318">
        <f t="shared" si="99"/>
        <v>134688.96000000002</v>
      </c>
      <c r="Y205" s="318">
        <f t="shared" si="99"/>
        <v>126454.17000000001</v>
      </c>
      <c r="Z205" s="318">
        <f t="shared" si="99"/>
        <v>115539.07</v>
      </c>
      <c r="AA205" s="318">
        <f t="shared" si="99"/>
        <v>89920.61</v>
      </c>
      <c r="AB205" s="318">
        <f t="shared" si="99"/>
        <v>115661.79000000001</v>
      </c>
      <c r="AC205" s="318">
        <f t="shared" si="99"/>
        <v>74456.179999999993</v>
      </c>
      <c r="AD205" s="318">
        <f t="shared" si="99"/>
        <v>0</v>
      </c>
      <c r="AE205" s="318">
        <f t="shared" si="99"/>
        <v>103203.45999999999</v>
      </c>
      <c r="AF205" s="318">
        <f t="shared" si="99"/>
        <v>115442.51000000001</v>
      </c>
      <c r="AG205" s="318">
        <f t="shared" si="99"/>
        <v>103261.64</v>
      </c>
      <c r="AH205" s="318">
        <f t="shared" si="99"/>
        <v>104048.25</v>
      </c>
      <c r="AI205" s="318">
        <f t="shared" si="99"/>
        <v>87115.44</v>
      </c>
      <c r="AJ205" s="318">
        <f t="shared" si="99"/>
        <v>47734.37</v>
      </c>
      <c r="AK205" s="319"/>
      <c r="AL205" s="347">
        <f>SUM(F205:AJ205)</f>
        <v>2908938.8500000006</v>
      </c>
      <c r="AN205" s="59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59"/>
      <c r="BY205" s="59"/>
      <c r="CY205" s="320"/>
      <c r="DB205" s="59"/>
      <c r="EJ205" s="321"/>
      <c r="EK205" s="59"/>
      <c r="EL205" s="59"/>
      <c r="EM205" s="59"/>
      <c r="EN205" s="59"/>
      <c r="GQ205" s="59"/>
      <c r="KL205" s="59"/>
      <c r="KM205" s="59"/>
      <c r="KN205" s="59"/>
      <c r="KO205" s="59"/>
      <c r="PS205" s="59"/>
      <c r="PT205" s="59"/>
      <c r="PV205" s="59"/>
      <c r="QJ205" s="59"/>
      <c r="QN205" s="59"/>
      <c r="SQ205" s="59"/>
    </row>
    <row r="206" spans="2:953" s="2" customFormat="1" x14ac:dyDescent="0.25">
      <c r="B206" s="223">
        <v>10</v>
      </c>
      <c r="C206" s="224" t="s">
        <v>28</v>
      </c>
      <c r="D206" s="323"/>
      <c r="E206" s="324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  <c r="AA206" s="325"/>
      <c r="AB206" s="325"/>
      <c r="AC206" s="325"/>
      <c r="AD206" s="325"/>
      <c r="AE206" s="325"/>
      <c r="AF206" s="325"/>
      <c r="AG206" s="325"/>
      <c r="AH206" s="325"/>
      <c r="AI206" s="325"/>
      <c r="AJ206" s="325"/>
      <c r="AK206" s="7"/>
      <c r="AL206" s="326" t="s">
        <v>27</v>
      </c>
      <c r="AP206" s="3"/>
      <c r="CY206" s="327"/>
    </row>
    <row r="207" spans="2:953" x14ac:dyDescent="0.25">
      <c r="B207" s="136"/>
      <c r="C207" s="135" t="s">
        <v>26</v>
      </c>
      <c r="D207" s="191"/>
      <c r="E207" s="212" t="s">
        <v>22</v>
      </c>
      <c r="F207" s="38">
        <v>1281.9000000000001</v>
      </c>
      <c r="G207" s="38">
        <v>1359.5</v>
      </c>
      <c r="H207" s="38">
        <v>1430.3</v>
      </c>
      <c r="I207" s="38">
        <v>1484</v>
      </c>
      <c r="J207" s="38">
        <v>1050.1500000000001</v>
      </c>
      <c r="K207" s="38">
        <v>1050.1500000000001</v>
      </c>
      <c r="L207" s="38">
        <v>1251.2</v>
      </c>
      <c r="M207" s="38">
        <v>1456.1</v>
      </c>
      <c r="N207" s="38">
        <v>1476.8</v>
      </c>
      <c r="O207" s="38">
        <v>1466.9</v>
      </c>
      <c r="P207" s="38">
        <v>1430.8</v>
      </c>
      <c r="Q207" s="38">
        <v>1461.2</v>
      </c>
      <c r="R207" s="38">
        <v>1417</v>
      </c>
      <c r="S207" s="38">
        <v>1333.7</v>
      </c>
      <c r="T207" s="38">
        <v>1301.5</v>
      </c>
      <c r="U207" s="38">
        <v>1345</v>
      </c>
      <c r="V207" s="38">
        <v>1264.7</v>
      </c>
      <c r="W207" s="38">
        <v>1327.4</v>
      </c>
      <c r="X207" s="38">
        <v>1362.2</v>
      </c>
      <c r="Y207" s="38">
        <v>1358.5</v>
      </c>
      <c r="Z207" s="38">
        <v>1312.5</v>
      </c>
      <c r="AA207" s="38">
        <v>1445.1</v>
      </c>
      <c r="AB207" s="38">
        <v>1526.7</v>
      </c>
      <c r="AC207" s="38">
        <v>1451.4</v>
      </c>
      <c r="AD207" s="38">
        <v>1282.2</v>
      </c>
      <c r="AE207" s="38">
        <v>1389.6</v>
      </c>
      <c r="AF207" s="38">
        <v>1315.9</v>
      </c>
      <c r="AG207" s="38">
        <v>1328.3</v>
      </c>
      <c r="AH207" s="38">
        <v>1423.5</v>
      </c>
      <c r="AI207" s="38">
        <v>1475.2</v>
      </c>
      <c r="AJ207" s="38">
        <v>1378</v>
      </c>
      <c r="AL207" s="42">
        <f>SUM(F207:AJ207)</f>
        <v>42237.4</v>
      </c>
      <c r="AN207" s="41"/>
      <c r="BX207" s="40"/>
      <c r="BY207" s="40"/>
      <c r="DB207" s="40"/>
      <c r="EJ207" s="30"/>
      <c r="EK207" s="40"/>
      <c r="EL207" s="40"/>
      <c r="EM207" s="40"/>
      <c r="EN207" s="40"/>
      <c r="GQ207" s="40"/>
      <c r="KL207" s="40"/>
      <c r="KM207" s="40"/>
      <c r="KN207" s="40"/>
      <c r="KO207" s="40"/>
      <c r="PS207" s="40"/>
      <c r="PT207" s="40"/>
      <c r="PV207" s="40"/>
      <c r="QJ207" s="39"/>
      <c r="QN207" s="40"/>
      <c r="SQ207" s="39"/>
      <c r="AHA207" s="33"/>
      <c r="AHZ207" s="5"/>
      <c r="AJO207" s="5"/>
      <c r="AJP207" s="5"/>
      <c r="AJQ207" s="5"/>
    </row>
    <row r="208" spans="2:953" x14ac:dyDescent="0.25">
      <c r="B208" s="192"/>
      <c r="C208" s="209" t="s">
        <v>25</v>
      </c>
      <c r="D208" s="254">
        <v>1269.566</v>
      </c>
      <c r="E208" s="210" t="s">
        <v>22</v>
      </c>
      <c r="F208" s="345">
        <v>1291.2176999999999</v>
      </c>
      <c r="G208" s="345">
        <v>1375.2308</v>
      </c>
      <c r="H208" s="345">
        <v>1426.8614</v>
      </c>
      <c r="I208" s="345">
        <v>1296.6494</v>
      </c>
      <c r="J208" s="38">
        <v>1249.3613</v>
      </c>
      <c r="K208" s="38">
        <v>1203.8208</v>
      </c>
      <c r="L208" s="345">
        <v>1388.1939</v>
      </c>
      <c r="M208" s="345">
        <v>1419.5981999999999</v>
      </c>
      <c r="N208" s="345">
        <v>1411.1829</v>
      </c>
      <c r="O208" s="345">
        <v>1362.5245</v>
      </c>
      <c r="P208" s="345">
        <v>1393.2321999999999</v>
      </c>
      <c r="Q208" s="345">
        <v>1353.1714999999999</v>
      </c>
      <c r="R208" s="38">
        <v>1269.8279</v>
      </c>
      <c r="S208" s="38">
        <v>1251.3742</v>
      </c>
      <c r="T208" s="38">
        <v>1303.299</v>
      </c>
      <c r="U208" s="38">
        <v>1195.2882</v>
      </c>
      <c r="V208" s="38">
        <v>1305.114</v>
      </c>
      <c r="W208" s="38">
        <v>1337.0808999999999</v>
      </c>
      <c r="X208" s="38">
        <v>1340.76</v>
      </c>
      <c r="Y208" s="38">
        <v>1293.9621999999999</v>
      </c>
      <c r="Z208" s="38">
        <v>1422.7750000000001</v>
      </c>
      <c r="AA208" s="38">
        <v>1493.9087999999999</v>
      </c>
      <c r="AB208" s="38">
        <v>1430.7244000000001</v>
      </c>
      <c r="AC208" s="38">
        <v>1255.1723</v>
      </c>
      <c r="AD208" s="38">
        <v>1361.9299000000001</v>
      </c>
      <c r="AE208" s="38">
        <v>1287.6536000000001</v>
      </c>
      <c r="AF208" s="38">
        <v>1307.3253999999999</v>
      </c>
      <c r="AG208" s="38">
        <v>1400.5079000000001</v>
      </c>
      <c r="AH208" s="38">
        <v>1439.7162000000001</v>
      </c>
      <c r="AI208" s="38">
        <v>1343.1152999999999</v>
      </c>
      <c r="AJ208" s="38">
        <v>1322.0704000000001</v>
      </c>
      <c r="AL208" s="37">
        <f>SUM(F208:AJ208)</f>
        <v>41532.650199999989</v>
      </c>
      <c r="AN208" s="3">
        <f>AL208/AL30</f>
        <v>1339.762909677419</v>
      </c>
      <c r="BX208" s="35"/>
      <c r="BY208" s="35"/>
      <c r="DB208" s="35"/>
      <c r="EJ208" s="36"/>
      <c r="EK208" s="35"/>
      <c r="EL208" s="35"/>
      <c r="EM208" s="35"/>
      <c r="EN208" s="35"/>
      <c r="GQ208" s="35"/>
      <c r="KL208" s="35"/>
      <c r="KM208" s="35"/>
      <c r="KN208" s="35"/>
      <c r="KO208" s="35"/>
      <c r="PS208" s="35"/>
      <c r="PT208" s="35"/>
      <c r="PV208" s="35"/>
      <c r="QJ208" s="3"/>
      <c r="QN208" s="35"/>
      <c r="SQ208" s="3"/>
      <c r="AHZ208" s="35"/>
      <c r="AJO208" s="35"/>
      <c r="AJP208" s="35"/>
      <c r="AJQ208" s="35"/>
    </row>
    <row r="209" spans="2:953" x14ac:dyDescent="0.25">
      <c r="B209" s="134"/>
      <c r="C209" s="246" t="s">
        <v>12</v>
      </c>
      <c r="D209" s="191"/>
      <c r="E209" s="134"/>
      <c r="F209" s="38"/>
      <c r="G209" s="256"/>
      <c r="H209" s="256"/>
      <c r="I209" s="11"/>
      <c r="J209" s="256"/>
      <c r="K209" s="257"/>
      <c r="L209" s="257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287"/>
      <c r="AD209" s="287"/>
      <c r="AE209" s="287"/>
      <c r="AF209" s="287"/>
      <c r="AG209" s="287"/>
      <c r="AH209" s="287"/>
      <c r="AI209" s="287"/>
      <c r="AJ209" s="287"/>
      <c r="AK209" s="10"/>
      <c r="AL209" s="12" t="s">
        <v>12</v>
      </c>
    </row>
    <row r="210" spans="2:953" x14ac:dyDescent="0.25">
      <c r="B210" s="134"/>
      <c r="C210" s="135" t="s">
        <v>24</v>
      </c>
      <c r="D210" s="285">
        <v>253.91319999999999</v>
      </c>
      <c r="E210" s="212" t="s">
        <v>22</v>
      </c>
      <c r="F210" s="38">
        <v>195.74039999999999</v>
      </c>
      <c r="G210" s="38">
        <v>249.1045</v>
      </c>
      <c r="H210" s="345">
        <v>295.05489999999998</v>
      </c>
      <c r="I210" s="38">
        <v>212.34610000000001</v>
      </c>
      <c r="J210" s="38">
        <v>207.78809999999999</v>
      </c>
      <c r="K210" s="38">
        <v>246.845</v>
      </c>
      <c r="L210" s="38">
        <v>235.01920000000001</v>
      </c>
      <c r="M210" s="38">
        <v>245.19380000000001</v>
      </c>
      <c r="N210" s="345">
        <v>262.75970000000001</v>
      </c>
      <c r="O210" s="38">
        <v>252.715</v>
      </c>
      <c r="P210" s="38">
        <v>236.69239999999999</v>
      </c>
      <c r="Q210" s="38">
        <v>218.35579999999999</v>
      </c>
      <c r="R210" s="38">
        <v>205.0067</v>
      </c>
      <c r="S210" s="38">
        <v>208.04939999999999</v>
      </c>
      <c r="T210" s="38">
        <v>235.78360000000001</v>
      </c>
      <c r="U210" s="38">
        <v>215.90819999999999</v>
      </c>
      <c r="V210" s="38">
        <v>252.726</v>
      </c>
      <c r="W210" s="255">
        <v>266.9907</v>
      </c>
      <c r="X210" s="255">
        <v>242.82400000000001</v>
      </c>
      <c r="Y210" s="255">
        <v>268.1232</v>
      </c>
      <c r="Z210" s="255">
        <v>318.20350000000002</v>
      </c>
      <c r="AA210" s="255">
        <v>327.84359999999998</v>
      </c>
      <c r="AB210" s="38">
        <v>318.29450000000003</v>
      </c>
      <c r="AC210" s="38">
        <v>316.62060000000002</v>
      </c>
      <c r="AD210" s="38">
        <v>313.58440000000002</v>
      </c>
      <c r="AE210" s="38">
        <v>254.4263</v>
      </c>
      <c r="AF210" s="38">
        <v>264.64800000000002</v>
      </c>
      <c r="AG210" s="38">
        <v>301.52960000000002</v>
      </c>
      <c r="AH210" s="38">
        <v>258.71460000000002</v>
      </c>
      <c r="AI210" s="38">
        <v>239.5839</v>
      </c>
      <c r="AJ210" s="38">
        <v>273.53160000000003</v>
      </c>
      <c r="AK210" s="10"/>
      <c r="AL210" s="34">
        <f>SUM(F210:AJ210)</f>
        <v>7940.0072999999993</v>
      </c>
      <c r="AN210" s="27"/>
      <c r="XU210" s="33"/>
      <c r="AGL210" s="33"/>
    </row>
    <row r="211" spans="2:953" x14ac:dyDescent="0.25">
      <c r="B211" s="134"/>
      <c r="C211" s="135" t="s">
        <v>23</v>
      </c>
      <c r="D211" s="285">
        <v>1015.6528</v>
      </c>
      <c r="E211" s="212" t="s">
        <v>22</v>
      </c>
      <c r="F211" s="38">
        <f>F208-F210</f>
        <v>1095.4773</v>
      </c>
      <c r="G211" s="38">
        <f t="shared" ref="G211:AI211" si="100">G208-G210</f>
        <v>1126.1263000000001</v>
      </c>
      <c r="H211" s="38">
        <f t="shared" si="100"/>
        <v>1131.8065000000001</v>
      </c>
      <c r="I211" s="38">
        <f t="shared" si="100"/>
        <v>1084.3033</v>
      </c>
      <c r="J211" s="38">
        <f t="shared" si="100"/>
        <v>1041.5732</v>
      </c>
      <c r="K211" s="38">
        <f t="shared" si="100"/>
        <v>956.97579999999994</v>
      </c>
      <c r="L211" s="38">
        <f t="shared" si="100"/>
        <v>1153.1747</v>
      </c>
      <c r="M211" s="38">
        <f t="shared" si="100"/>
        <v>1174.4043999999999</v>
      </c>
      <c r="N211" s="38">
        <f t="shared" si="100"/>
        <v>1148.4232</v>
      </c>
      <c r="O211" s="38">
        <f t="shared" si="100"/>
        <v>1109.8095000000001</v>
      </c>
      <c r="P211" s="38">
        <f t="shared" si="100"/>
        <v>1156.5398</v>
      </c>
      <c r="Q211" s="38">
        <f t="shared" si="100"/>
        <v>1134.8156999999999</v>
      </c>
      <c r="R211" s="38">
        <f t="shared" si="100"/>
        <v>1064.8212000000001</v>
      </c>
      <c r="S211" s="38">
        <f t="shared" si="100"/>
        <v>1043.3247999999999</v>
      </c>
      <c r="T211" s="38">
        <f t="shared" si="100"/>
        <v>1067.5154</v>
      </c>
      <c r="U211" s="38">
        <f t="shared" si="100"/>
        <v>979.38</v>
      </c>
      <c r="V211" s="38">
        <f t="shared" si="100"/>
        <v>1052.3879999999999</v>
      </c>
      <c r="W211" s="38">
        <f t="shared" si="100"/>
        <v>1070.0901999999999</v>
      </c>
      <c r="X211" s="38">
        <f>X208-X210</f>
        <v>1097.9359999999999</v>
      </c>
      <c r="Y211" s="38">
        <f t="shared" si="100"/>
        <v>1025.8389999999999</v>
      </c>
      <c r="Z211" s="38">
        <f t="shared" si="100"/>
        <v>1104.5715</v>
      </c>
      <c r="AA211" s="38">
        <f t="shared" si="100"/>
        <v>1166.0652</v>
      </c>
      <c r="AB211" s="38">
        <f t="shared" si="100"/>
        <v>1112.4299000000001</v>
      </c>
      <c r="AC211" s="38">
        <f t="shared" si="100"/>
        <v>938.55169999999998</v>
      </c>
      <c r="AD211" s="38">
        <f t="shared" si="100"/>
        <v>1048.3455000000001</v>
      </c>
      <c r="AE211" s="38">
        <f t="shared" si="100"/>
        <v>1033.2273</v>
      </c>
      <c r="AF211" s="38">
        <f t="shared" si="100"/>
        <v>1042.6774</v>
      </c>
      <c r="AG211" s="38">
        <f t="shared" si="100"/>
        <v>1098.9783</v>
      </c>
      <c r="AH211" s="38">
        <f t="shared" si="100"/>
        <v>1181.0016000000001</v>
      </c>
      <c r="AI211" s="38">
        <f t="shared" si="100"/>
        <v>1103.5313999999998</v>
      </c>
      <c r="AJ211" s="38">
        <f>AJ208-AJ210</f>
        <v>1048.5388</v>
      </c>
      <c r="AK211" s="10"/>
      <c r="AL211" s="34">
        <f>SUM(F211:AJ211)</f>
        <v>33592.642899999999</v>
      </c>
      <c r="XT211" s="33"/>
    </row>
    <row r="212" spans="2:953" x14ac:dyDescent="0.25">
      <c r="B212" s="258"/>
      <c r="C212" s="259" t="s">
        <v>1</v>
      </c>
      <c r="D212" s="305">
        <f>SUM(D210:D211)</f>
        <v>1269.566</v>
      </c>
      <c r="E212" s="260" t="s">
        <v>22</v>
      </c>
      <c r="F212" s="261">
        <f>F208</f>
        <v>1291.2176999999999</v>
      </c>
      <c r="G212" s="261">
        <f t="shared" ref="G212:AJ212" si="101">G208</f>
        <v>1375.2308</v>
      </c>
      <c r="H212" s="261">
        <f t="shared" si="101"/>
        <v>1426.8614</v>
      </c>
      <c r="I212" s="261">
        <f t="shared" si="101"/>
        <v>1296.6494</v>
      </c>
      <c r="J212" s="261">
        <f t="shared" si="101"/>
        <v>1249.3613</v>
      </c>
      <c r="K212" s="261">
        <f t="shared" si="101"/>
        <v>1203.8208</v>
      </c>
      <c r="L212" s="261">
        <f t="shared" si="101"/>
        <v>1388.1939</v>
      </c>
      <c r="M212" s="261">
        <f t="shared" si="101"/>
        <v>1419.5981999999999</v>
      </c>
      <c r="N212" s="261">
        <f t="shared" si="101"/>
        <v>1411.1829</v>
      </c>
      <c r="O212" s="261">
        <f t="shared" si="101"/>
        <v>1362.5245</v>
      </c>
      <c r="P212" s="261">
        <f t="shared" si="101"/>
        <v>1393.2321999999999</v>
      </c>
      <c r="Q212" s="261">
        <f t="shared" si="101"/>
        <v>1353.1714999999999</v>
      </c>
      <c r="R212" s="261">
        <f t="shared" si="101"/>
        <v>1269.8279</v>
      </c>
      <c r="S212" s="261">
        <f t="shared" si="101"/>
        <v>1251.3742</v>
      </c>
      <c r="T212" s="261">
        <f t="shared" si="101"/>
        <v>1303.299</v>
      </c>
      <c r="U212" s="261">
        <f t="shared" si="101"/>
        <v>1195.2882</v>
      </c>
      <c r="V212" s="261">
        <f t="shared" si="101"/>
        <v>1305.114</v>
      </c>
      <c r="W212" s="261">
        <f>W208</f>
        <v>1337.0808999999999</v>
      </c>
      <c r="X212" s="261">
        <f>X208</f>
        <v>1340.76</v>
      </c>
      <c r="Y212" s="261">
        <f t="shared" si="101"/>
        <v>1293.9621999999999</v>
      </c>
      <c r="Z212" s="261">
        <f t="shared" si="101"/>
        <v>1422.7750000000001</v>
      </c>
      <c r="AA212" s="261">
        <f t="shared" si="101"/>
        <v>1493.9087999999999</v>
      </c>
      <c r="AB212" s="261">
        <f t="shared" si="101"/>
        <v>1430.7244000000001</v>
      </c>
      <c r="AC212" s="261">
        <f t="shared" si="101"/>
        <v>1255.1723</v>
      </c>
      <c r="AD212" s="261">
        <f t="shared" si="101"/>
        <v>1361.9299000000001</v>
      </c>
      <c r="AE212" s="261">
        <f t="shared" si="101"/>
        <v>1287.6536000000001</v>
      </c>
      <c r="AF212" s="261">
        <f t="shared" si="101"/>
        <v>1307.3253999999999</v>
      </c>
      <c r="AG212" s="261">
        <f t="shared" si="101"/>
        <v>1400.5079000000001</v>
      </c>
      <c r="AH212" s="261">
        <f t="shared" si="101"/>
        <v>1439.7162000000001</v>
      </c>
      <c r="AI212" s="261">
        <f t="shared" si="101"/>
        <v>1343.1152999999999</v>
      </c>
      <c r="AJ212" s="261">
        <f t="shared" si="101"/>
        <v>1322.0704000000001</v>
      </c>
      <c r="AK212" s="25"/>
      <c r="AL212" s="32">
        <f>SUM(AL210:AL211)</f>
        <v>41532.650199999996</v>
      </c>
      <c r="AN212" s="23"/>
      <c r="BX212" s="20"/>
      <c r="BY212" s="20"/>
      <c r="DB212" s="20"/>
      <c r="EJ212" s="22"/>
      <c r="EK212" s="20"/>
      <c r="EL212" s="20"/>
      <c r="EM212" s="20"/>
      <c r="EN212" s="20"/>
      <c r="GQ212" s="20"/>
      <c r="KL212" s="20"/>
      <c r="KM212" s="20"/>
      <c r="KN212" s="20"/>
      <c r="KO212" s="20"/>
      <c r="PS212" s="20"/>
      <c r="PT212" s="20"/>
      <c r="PV212" s="20"/>
      <c r="QJ212" s="21"/>
      <c r="QN212" s="20"/>
      <c r="SQ212" s="21"/>
      <c r="AHZ212" s="20"/>
      <c r="AJO212" s="20"/>
      <c r="AJP212" s="20"/>
      <c r="AJQ212" s="20"/>
    </row>
    <row r="213" spans="2:953" x14ac:dyDescent="0.25">
      <c r="B213" s="136">
        <v>11</v>
      </c>
      <c r="C213" s="262" t="s">
        <v>21</v>
      </c>
      <c r="D213" s="263"/>
      <c r="E213" s="263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64"/>
      <c r="AK213" s="25"/>
      <c r="AL213" s="306" t="s">
        <v>20</v>
      </c>
      <c r="AN213" s="23"/>
      <c r="BX213" s="20"/>
      <c r="BY213" s="20"/>
      <c r="DB213" s="20"/>
      <c r="EJ213" s="22"/>
      <c r="EK213" s="20"/>
      <c r="EL213" s="20"/>
      <c r="EM213" s="20"/>
      <c r="EN213" s="20"/>
      <c r="GQ213" s="20"/>
      <c r="KL213" s="20"/>
      <c r="KM213" s="20"/>
      <c r="KN213" s="20"/>
      <c r="KO213" s="20"/>
      <c r="PS213" s="20"/>
      <c r="PT213" s="20"/>
      <c r="PV213" s="20"/>
      <c r="QJ213" s="21"/>
      <c r="QN213" s="20"/>
      <c r="SQ213" s="21"/>
      <c r="AHZ213" s="20"/>
      <c r="AJO213" s="20"/>
      <c r="AJP213" s="20"/>
      <c r="AJQ213" s="20"/>
    </row>
    <row r="214" spans="2:953" x14ac:dyDescent="0.25">
      <c r="B214" s="134"/>
      <c r="C214" s="135" t="s">
        <v>4</v>
      </c>
      <c r="D214" s="187">
        <f>17000*24</f>
        <v>408000</v>
      </c>
      <c r="E214" s="212" t="s">
        <v>16</v>
      </c>
      <c r="F214" s="243">
        <v>290491</v>
      </c>
      <c r="G214" s="243">
        <v>305175</v>
      </c>
      <c r="H214" s="243">
        <v>312476</v>
      </c>
      <c r="I214" s="243">
        <v>274740</v>
      </c>
      <c r="J214" s="243">
        <v>273460</v>
      </c>
      <c r="K214" s="243">
        <v>245205</v>
      </c>
      <c r="L214" s="243">
        <v>311252</v>
      </c>
      <c r="M214" s="243">
        <v>329580</v>
      </c>
      <c r="N214" s="243">
        <v>321794</v>
      </c>
      <c r="O214" s="243">
        <v>307707</v>
      </c>
      <c r="P214" s="243">
        <v>321048</v>
      </c>
      <c r="Q214" s="11">
        <v>310507</v>
      </c>
      <c r="R214" s="11">
        <v>284690</v>
      </c>
      <c r="S214" s="11">
        <v>262982</v>
      </c>
      <c r="T214" s="11">
        <v>289056</v>
      </c>
      <c r="U214" s="11">
        <v>277542</v>
      </c>
      <c r="V214" s="11">
        <v>284814</v>
      </c>
      <c r="W214" s="11">
        <v>292360</v>
      </c>
      <c r="X214" s="11">
        <v>299748</v>
      </c>
      <c r="Y214" s="11">
        <v>275930</v>
      </c>
      <c r="Z214" s="11">
        <v>303615</v>
      </c>
      <c r="AA214" s="11">
        <v>329560</v>
      </c>
      <c r="AB214" s="11">
        <v>316437</v>
      </c>
      <c r="AC214" s="11">
        <v>241310</v>
      </c>
      <c r="AD214" s="11">
        <v>288820</v>
      </c>
      <c r="AE214" s="11">
        <v>270742</v>
      </c>
      <c r="AF214" s="11">
        <v>281070</v>
      </c>
      <c r="AG214" s="11">
        <v>309664</v>
      </c>
      <c r="AH214" s="11">
        <v>329426</v>
      </c>
      <c r="AI214" s="11">
        <v>312068</v>
      </c>
      <c r="AJ214" s="11">
        <v>297642</v>
      </c>
      <c r="AK214" s="10"/>
      <c r="AL214" s="26">
        <f>SUM(F214:AJ214)</f>
        <v>9150911</v>
      </c>
      <c r="AM214" s="31"/>
      <c r="AN214" s="8">
        <f>AL214/AL30</f>
        <v>295190.67741935485</v>
      </c>
      <c r="BX214" s="5"/>
      <c r="BY214" s="5"/>
      <c r="DB214" s="5"/>
      <c r="EJ214" s="30"/>
      <c r="EK214" s="5"/>
      <c r="EL214" s="5"/>
      <c r="EM214" s="5"/>
      <c r="EN214" s="5"/>
      <c r="GQ214" s="5"/>
      <c r="KL214" s="5"/>
      <c r="KM214" s="5"/>
      <c r="KN214" s="5"/>
      <c r="KO214" s="5"/>
      <c r="PS214" s="5"/>
      <c r="PT214" s="5"/>
      <c r="PV214" s="5"/>
      <c r="QJ214" s="27"/>
      <c r="QN214" s="5"/>
      <c r="SQ214" s="27"/>
      <c r="AHZ214" s="5"/>
      <c r="AJO214" s="5"/>
      <c r="AJP214" s="5"/>
      <c r="AJQ214" s="5"/>
    </row>
    <row r="215" spans="2:953" x14ac:dyDescent="0.25">
      <c r="B215" s="136"/>
      <c r="C215" s="240" t="s">
        <v>19</v>
      </c>
      <c r="D215" s="247"/>
      <c r="E215" s="136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5"/>
      <c r="AL215" s="29" t="s">
        <v>19</v>
      </c>
      <c r="AM215" s="28"/>
      <c r="AN215" s="23">
        <f>AN214/24</f>
        <v>12299.611559139785</v>
      </c>
      <c r="BX215" s="20"/>
      <c r="BY215" s="20"/>
      <c r="DB215" s="20"/>
      <c r="EJ215" s="22"/>
      <c r="EK215" s="20"/>
      <c r="EL215" s="20"/>
      <c r="EM215" s="20"/>
      <c r="EN215" s="20"/>
      <c r="GQ215" s="20"/>
      <c r="KL215" s="20"/>
      <c r="KM215" s="20"/>
      <c r="KN215" s="20"/>
      <c r="KO215" s="20"/>
      <c r="PS215" s="20"/>
      <c r="PT215" s="20"/>
      <c r="PV215" s="20"/>
      <c r="QJ215" s="21"/>
      <c r="QN215" s="20"/>
      <c r="SQ215" s="21"/>
      <c r="AHZ215" s="20"/>
      <c r="AJO215" s="20"/>
      <c r="AJP215" s="20"/>
      <c r="AJQ215" s="20"/>
    </row>
    <row r="216" spans="2:953" x14ac:dyDescent="0.25">
      <c r="B216" s="134"/>
      <c r="C216" s="135" t="s">
        <v>18</v>
      </c>
      <c r="D216" s="187">
        <v>180000</v>
      </c>
      <c r="E216" s="212" t="s">
        <v>16</v>
      </c>
      <c r="F216" s="243">
        <v>160000</v>
      </c>
      <c r="G216" s="243">
        <v>159200</v>
      </c>
      <c r="H216" s="243">
        <v>163500</v>
      </c>
      <c r="I216" s="243">
        <v>155800</v>
      </c>
      <c r="J216" s="243">
        <v>158400</v>
      </c>
      <c r="K216" s="243">
        <v>156800</v>
      </c>
      <c r="L216" s="243">
        <v>151700</v>
      </c>
      <c r="M216" s="243">
        <v>159400</v>
      </c>
      <c r="N216" s="243">
        <v>162400</v>
      </c>
      <c r="O216" s="243">
        <v>151000</v>
      </c>
      <c r="P216" s="243">
        <v>152500</v>
      </c>
      <c r="Q216" s="11">
        <v>148500</v>
      </c>
      <c r="R216" s="11">
        <v>152800</v>
      </c>
      <c r="S216" s="11">
        <v>152400</v>
      </c>
      <c r="T216" s="11">
        <v>157900</v>
      </c>
      <c r="U216" s="11">
        <v>148300</v>
      </c>
      <c r="V216" s="11">
        <v>165100</v>
      </c>
      <c r="W216" s="11">
        <v>169400</v>
      </c>
      <c r="X216" s="11">
        <v>157900</v>
      </c>
      <c r="Y216" s="11">
        <v>152500</v>
      </c>
      <c r="Z216" s="11">
        <v>158000</v>
      </c>
      <c r="AA216" s="11">
        <v>162000</v>
      </c>
      <c r="AB216" s="11">
        <v>160600</v>
      </c>
      <c r="AC216" s="11">
        <v>161100</v>
      </c>
      <c r="AD216" s="11">
        <v>158200</v>
      </c>
      <c r="AE216" s="11">
        <v>153900</v>
      </c>
      <c r="AF216" s="11">
        <v>155600</v>
      </c>
      <c r="AG216" s="11">
        <v>169100</v>
      </c>
      <c r="AH216" s="11">
        <v>156600</v>
      </c>
      <c r="AI216" s="11">
        <v>153020</v>
      </c>
      <c r="AJ216" s="11">
        <v>162000</v>
      </c>
      <c r="AK216" s="10"/>
      <c r="AL216" s="26">
        <f>SUM(F216:AJ216)</f>
        <v>4885620</v>
      </c>
      <c r="AM216" s="27"/>
      <c r="AN216" s="27">
        <f>AN215/1000</f>
        <v>12.299611559139784</v>
      </c>
    </row>
    <row r="217" spans="2:953" x14ac:dyDescent="0.25">
      <c r="B217" s="134"/>
      <c r="C217" s="135" t="s">
        <v>17</v>
      </c>
      <c r="D217" s="187">
        <v>122000</v>
      </c>
      <c r="E217" s="212" t="s">
        <v>16</v>
      </c>
      <c r="F217" s="243">
        <v>97500</v>
      </c>
      <c r="G217" s="243">
        <v>97400</v>
      </c>
      <c r="H217" s="243">
        <v>95400</v>
      </c>
      <c r="I217" s="243">
        <v>72700</v>
      </c>
      <c r="J217" s="243">
        <v>59400</v>
      </c>
      <c r="K217" s="243">
        <v>63600</v>
      </c>
      <c r="L217" s="243">
        <v>99000</v>
      </c>
      <c r="M217" s="243">
        <v>97400</v>
      </c>
      <c r="N217" s="243">
        <v>100100</v>
      </c>
      <c r="O217" s="243">
        <v>100000</v>
      </c>
      <c r="P217" s="243">
        <v>99400</v>
      </c>
      <c r="Q217" s="11">
        <v>90900</v>
      </c>
      <c r="R217" s="11">
        <v>72100</v>
      </c>
      <c r="S217" s="11">
        <v>70100</v>
      </c>
      <c r="T217" s="11">
        <v>57900</v>
      </c>
      <c r="U217" s="11">
        <v>64600</v>
      </c>
      <c r="V217" s="11">
        <v>79700</v>
      </c>
      <c r="W217" s="11">
        <v>84900</v>
      </c>
      <c r="X217" s="11">
        <v>92200</v>
      </c>
      <c r="Y217" s="11">
        <v>86100</v>
      </c>
      <c r="Z217" s="11">
        <v>91400</v>
      </c>
      <c r="AA217" s="11">
        <v>89500</v>
      </c>
      <c r="AB217" s="11">
        <v>91400</v>
      </c>
      <c r="AC217" s="11">
        <v>82100</v>
      </c>
      <c r="AD217" s="11">
        <v>88800</v>
      </c>
      <c r="AE217" s="11">
        <v>86100</v>
      </c>
      <c r="AF217" s="11">
        <v>86600</v>
      </c>
      <c r="AG217" s="11">
        <v>97300</v>
      </c>
      <c r="AH217" s="11">
        <v>107600</v>
      </c>
      <c r="AI217" s="11">
        <v>95200</v>
      </c>
      <c r="AJ217" s="11">
        <v>92200</v>
      </c>
      <c r="AK217" s="10"/>
      <c r="AL217" s="26">
        <f>SUM(F217:AJ217)</f>
        <v>2688600</v>
      </c>
    </row>
    <row r="218" spans="2:953" x14ac:dyDescent="0.25">
      <c r="B218" s="134"/>
      <c r="C218" s="135" t="s">
        <v>8</v>
      </c>
      <c r="D218" s="187">
        <f>D214-D216-D217</f>
        <v>106000</v>
      </c>
      <c r="E218" s="212" t="s">
        <v>16</v>
      </c>
      <c r="F218" s="11">
        <f t="shared" ref="F218:AJ218" si="102">F214-F216-F217</f>
        <v>32991</v>
      </c>
      <c r="G218" s="11">
        <f t="shared" si="102"/>
        <v>48575</v>
      </c>
      <c r="H218" s="11">
        <f t="shared" si="102"/>
        <v>53576</v>
      </c>
      <c r="I218" s="11">
        <f t="shared" si="102"/>
        <v>46240</v>
      </c>
      <c r="J218" s="11">
        <f t="shared" si="102"/>
        <v>55660</v>
      </c>
      <c r="K218" s="11">
        <f t="shared" si="102"/>
        <v>24805</v>
      </c>
      <c r="L218" s="11">
        <f t="shared" si="102"/>
        <v>60552</v>
      </c>
      <c r="M218" s="11">
        <f t="shared" si="102"/>
        <v>72780</v>
      </c>
      <c r="N218" s="11">
        <f t="shared" si="102"/>
        <v>59294</v>
      </c>
      <c r="O218" s="11">
        <f t="shared" si="102"/>
        <v>56707</v>
      </c>
      <c r="P218" s="11">
        <f t="shared" si="102"/>
        <v>69148</v>
      </c>
      <c r="Q218" s="11">
        <f t="shared" si="102"/>
        <v>71107</v>
      </c>
      <c r="R218" s="11">
        <f t="shared" si="102"/>
        <v>59790</v>
      </c>
      <c r="S218" s="11">
        <f t="shared" si="102"/>
        <v>40482</v>
      </c>
      <c r="T218" s="11">
        <f t="shared" si="102"/>
        <v>73256</v>
      </c>
      <c r="U218" s="11">
        <f t="shared" si="102"/>
        <v>64642</v>
      </c>
      <c r="V218" s="11">
        <f t="shared" si="102"/>
        <v>40014</v>
      </c>
      <c r="W218" s="11">
        <f t="shared" si="102"/>
        <v>38060</v>
      </c>
      <c r="X218" s="11">
        <f t="shared" si="102"/>
        <v>49648</v>
      </c>
      <c r="Y218" s="11">
        <f t="shared" si="102"/>
        <v>37330</v>
      </c>
      <c r="Z218" s="11">
        <f t="shared" si="102"/>
        <v>54215</v>
      </c>
      <c r="AA218" s="11">
        <f t="shared" si="102"/>
        <v>78060</v>
      </c>
      <c r="AB218" s="11">
        <f t="shared" si="102"/>
        <v>64437</v>
      </c>
      <c r="AC218" s="11">
        <f t="shared" si="102"/>
        <v>-1890</v>
      </c>
      <c r="AD218" s="11">
        <f t="shared" si="102"/>
        <v>41820</v>
      </c>
      <c r="AE218" s="11">
        <f t="shared" si="102"/>
        <v>30742</v>
      </c>
      <c r="AF218" s="11">
        <f t="shared" si="102"/>
        <v>38870</v>
      </c>
      <c r="AG218" s="11">
        <f t="shared" si="102"/>
        <v>43264</v>
      </c>
      <c r="AH218" s="11">
        <f t="shared" si="102"/>
        <v>65226</v>
      </c>
      <c r="AI218" s="11">
        <f t="shared" si="102"/>
        <v>63848</v>
      </c>
      <c r="AJ218" s="11">
        <f t="shared" si="102"/>
        <v>43442</v>
      </c>
      <c r="AK218" s="10"/>
      <c r="AL218" s="26">
        <f>SUM(F218:AJ218)</f>
        <v>1576691</v>
      </c>
    </row>
    <row r="219" spans="2:953" x14ac:dyDescent="0.25">
      <c r="B219" s="136"/>
      <c r="C219" s="246" t="s">
        <v>1</v>
      </c>
      <c r="D219" s="266">
        <f>SUM(D216:D218)</f>
        <v>408000</v>
      </c>
      <c r="E219" s="212" t="s">
        <v>16</v>
      </c>
      <c r="F219" s="265">
        <f t="shared" ref="F219:AJ219" si="103">SUM(F216:F218)</f>
        <v>290491</v>
      </c>
      <c r="G219" s="265">
        <f t="shared" si="103"/>
        <v>305175</v>
      </c>
      <c r="H219" s="265">
        <f t="shared" si="103"/>
        <v>312476</v>
      </c>
      <c r="I219" s="265">
        <f t="shared" si="103"/>
        <v>274740</v>
      </c>
      <c r="J219" s="265">
        <f t="shared" si="103"/>
        <v>273460</v>
      </c>
      <c r="K219" s="265">
        <f t="shared" si="103"/>
        <v>245205</v>
      </c>
      <c r="L219" s="265">
        <f t="shared" si="103"/>
        <v>311252</v>
      </c>
      <c r="M219" s="265">
        <f t="shared" si="103"/>
        <v>329580</v>
      </c>
      <c r="N219" s="265">
        <f t="shared" si="103"/>
        <v>321794</v>
      </c>
      <c r="O219" s="265">
        <f t="shared" si="103"/>
        <v>307707</v>
      </c>
      <c r="P219" s="265">
        <f t="shared" si="103"/>
        <v>321048</v>
      </c>
      <c r="Q219" s="265">
        <f t="shared" si="103"/>
        <v>310507</v>
      </c>
      <c r="R219" s="265">
        <f t="shared" si="103"/>
        <v>284690</v>
      </c>
      <c r="S219" s="265">
        <f t="shared" si="103"/>
        <v>262982</v>
      </c>
      <c r="T219" s="265">
        <f t="shared" si="103"/>
        <v>289056</v>
      </c>
      <c r="U219" s="265">
        <f t="shared" si="103"/>
        <v>277542</v>
      </c>
      <c r="V219" s="265">
        <f t="shared" si="103"/>
        <v>284814</v>
      </c>
      <c r="W219" s="265">
        <f t="shared" si="103"/>
        <v>292360</v>
      </c>
      <c r="X219" s="265">
        <f t="shared" si="103"/>
        <v>299748</v>
      </c>
      <c r="Y219" s="265">
        <f t="shared" si="103"/>
        <v>275930</v>
      </c>
      <c r="Z219" s="265">
        <f t="shared" si="103"/>
        <v>303615</v>
      </c>
      <c r="AA219" s="265">
        <f>SUM(AA216:AA218)</f>
        <v>329560</v>
      </c>
      <c r="AB219" s="265">
        <f t="shared" si="103"/>
        <v>316437</v>
      </c>
      <c r="AC219" s="265">
        <f t="shared" si="103"/>
        <v>241310</v>
      </c>
      <c r="AD219" s="265">
        <f t="shared" si="103"/>
        <v>288820</v>
      </c>
      <c r="AE219" s="265">
        <f t="shared" si="103"/>
        <v>270742</v>
      </c>
      <c r="AF219" s="265">
        <f t="shared" si="103"/>
        <v>281070</v>
      </c>
      <c r="AG219" s="265">
        <f t="shared" si="103"/>
        <v>309664</v>
      </c>
      <c r="AH219" s="265">
        <f t="shared" si="103"/>
        <v>329426</v>
      </c>
      <c r="AI219" s="265">
        <f t="shared" si="103"/>
        <v>312068</v>
      </c>
      <c r="AJ219" s="265">
        <f t="shared" si="103"/>
        <v>297642</v>
      </c>
      <c r="AK219" s="25"/>
      <c r="AL219" s="24">
        <f>SUM(AL216:AL218)</f>
        <v>9150911</v>
      </c>
      <c r="AN219" s="23"/>
      <c r="BX219" s="20"/>
      <c r="BY219" s="20"/>
      <c r="DB219" s="20"/>
      <c r="EJ219" s="22"/>
      <c r="EK219" s="20"/>
      <c r="EL219" s="20"/>
      <c r="EM219" s="20"/>
      <c r="EN219" s="20"/>
      <c r="GQ219" s="20"/>
      <c r="KL219" s="20"/>
      <c r="KM219" s="20"/>
      <c r="KN219" s="20"/>
      <c r="KO219" s="20"/>
      <c r="PS219" s="20"/>
      <c r="PT219" s="20"/>
      <c r="PV219" s="20"/>
      <c r="QJ219" s="21"/>
      <c r="QN219" s="20"/>
      <c r="SQ219" s="21"/>
      <c r="AHZ219" s="20"/>
      <c r="AJO219" s="20"/>
      <c r="AJP219" s="20"/>
      <c r="AJQ219" s="20"/>
    </row>
    <row r="220" spans="2:953" x14ac:dyDescent="0.25">
      <c r="B220" s="178">
        <v>12</v>
      </c>
      <c r="C220" s="207" t="s">
        <v>15</v>
      </c>
      <c r="D220" s="208"/>
      <c r="E220" s="208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300"/>
      <c r="AD220" s="300"/>
      <c r="AE220" s="300"/>
      <c r="AF220" s="300"/>
      <c r="AG220" s="300"/>
      <c r="AH220" s="300"/>
      <c r="AI220" s="300"/>
      <c r="AJ220" s="300"/>
      <c r="AK220" s="10"/>
      <c r="AL220" s="306" t="s">
        <v>14</v>
      </c>
    </row>
    <row r="221" spans="2:953" ht="16.5" x14ac:dyDescent="0.25">
      <c r="B221" s="166"/>
      <c r="C221" s="241" t="s">
        <v>13</v>
      </c>
      <c r="D221" s="307">
        <v>670</v>
      </c>
      <c r="E221" s="242" t="s">
        <v>163</v>
      </c>
      <c r="F221" s="344">
        <v>730</v>
      </c>
      <c r="G221" s="344">
        <v>737</v>
      </c>
      <c r="H221" s="344">
        <v>871</v>
      </c>
      <c r="I221" s="344">
        <v>723</v>
      </c>
      <c r="J221" s="308">
        <v>466</v>
      </c>
      <c r="K221" s="308">
        <v>466</v>
      </c>
      <c r="L221" s="243">
        <v>311252</v>
      </c>
      <c r="M221" s="344">
        <v>716</v>
      </c>
      <c r="N221" s="308">
        <v>603</v>
      </c>
      <c r="O221" s="308">
        <v>645</v>
      </c>
      <c r="P221" s="308">
        <v>639</v>
      </c>
      <c r="Q221" s="308">
        <v>424</v>
      </c>
      <c r="R221" s="344">
        <v>728</v>
      </c>
      <c r="S221" s="308">
        <v>558</v>
      </c>
      <c r="T221" s="308">
        <v>530</v>
      </c>
      <c r="U221" s="344">
        <v>639</v>
      </c>
      <c r="V221" s="344">
        <v>686</v>
      </c>
      <c r="W221" s="344">
        <v>747</v>
      </c>
      <c r="X221" s="344">
        <v>676</v>
      </c>
      <c r="Y221" s="344">
        <v>625</v>
      </c>
      <c r="Z221" s="344">
        <v>685</v>
      </c>
      <c r="AA221" s="344">
        <v>719</v>
      </c>
      <c r="AB221" s="344">
        <v>547</v>
      </c>
      <c r="AC221" s="344">
        <v>628</v>
      </c>
      <c r="AD221" s="344">
        <v>749</v>
      </c>
      <c r="AE221" s="344">
        <v>571</v>
      </c>
      <c r="AF221" s="344">
        <v>711</v>
      </c>
      <c r="AG221" s="344">
        <v>618</v>
      </c>
      <c r="AH221" s="344">
        <v>645</v>
      </c>
      <c r="AI221" s="344">
        <v>718</v>
      </c>
      <c r="AJ221" s="344">
        <v>576</v>
      </c>
      <c r="AL221" s="309">
        <f>SUM(F221:AJ221)</f>
        <v>330628</v>
      </c>
      <c r="AN221" s="17">
        <f>AL221/AL30</f>
        <v>10665.41935483871</v>
      </c>
      <c r="BX221" s="14"/>
      <c r="BY221" s="14"/>
      <c r="DB221" s="14"/>
      <c r="EJ221" s="16"/>
      <c r="EK221" s="14"/>
      <c r="EL221" s="14"/>
      <c r="EM221" s="14"/>
      <c r="EN221" s="14"/>
      <c r="GQ221" s="14"/>
      <c r="KL221" s="14"/>
      <c r="KM221" s="14"/>
      <c r="KN221" s="14"/>
      <c r="KO221" s="14"/>
      <c r="PS221" s="14"/>
      <c r="PT221" s="14"/>
      <c r="PV221" s="14"/>
      <c r="QJ221" s="15"/>
      <c r="QN221" s="14"/>
      <c r="SQ221" s="15"/>
      <c r="AHZ221" s="14"/>
      <c r="AJO221" s="14"/>
      <c r="AJP221" s="14"/>
      <c r="AJQ221" s="14"/>
    </row>
    <row r="222" spans="2:953" x14ac:dyDescent="0.25">
      <c r="B222" s="166"/>
      <c r="C222" s="267" t="s">
        <v>12</v>
      </c>
      <c r="D222" s="165"/>
      <c r="E222" s="166"/>
      <c r="F222" s="308"/>
      <c r="G222" s="308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  <c r="Z222" s="308"/>
      <c r="AA222" s="308"/>
      <c r="AB222" s="308"/>
      <c r="AC222" s="308"/>
      <c r="AD222" s="308"/>
      <c r="AE222" s="308"/>
      <c r="AF222" s="308"/>
      <c r="AG222" s="308"/>
      <c r="AH222" s="308"/>
      <c r="AI222" s="308"/>
      <c r="AJ222" s="308"/>
      <c r="AL222" s="19" t="s">
        <v>12</v>
      </c>
      <c r="AN222" s="17"/>
      <c r="BX222" s="14"/>
      <c r="BY222" s="14"/>
      <c r="DB222" s="14"/>
      <c r="EJ222" s="16"/>
      <c r="EK222" s="14"/>
      <c r="EL222" s="14"/>
      <c r="EM222" s="14"/>
      <c r="EN222" s="14"/>
      <c r="GQ222" s="14"/>
      <c r="KL222" s="14"/>
      <c r="KM222" s="14"/>
      <c r="KN222" s="14"/>
      <c r="KO222" s="14"/>
      <c r="PS222" s="14"/>
      <c r="PT222" s="14"/>
      <c r="PV222" s="14"/>
      <c r="QJ222" s="15"/>
      <c r="QN222" s="14"/>
      <c r="SQ222" s="15"/>
      <c r="AHZ222" s="14"/>
      <c r="AJO222" s="14"/>
      <c r="AJP222" s="14"/>
      <c r="AJQ222" s="14"/>
    </row>
    <row r="223" spans="2:953" ht="16.5" x14ac:dyDescent="0.25">
      <c r="B223" s="166"/>
      <c r="C223" s="241" t="s">
        <v>11</v>
      </c>
      <c r="D223" s="310">
        <v>78.959999999999994</v>
      </c>
      <c r="E223" s="242" t="s">
        <v>163</v>
      </c>
      <c r="F223" s="268">
        <v>144</v>
      </c>
      <c r="G223" s="268">
        <v>129</v>
      </c>
      <c r="H223" s="268">
        <v>140</v>
      </c>
      <c r="I223" s="268">
        <v>125</v>
      </c>
      <c r="J223" s="268">
        <v>46</v>
      </c>
      <c r="K223" s="268">
        <v>49</v>
      </c>
      <c r="L223" s="268">
        <v>45</v>
      </c>
      <c r="M223" s="268">
        <v>34</v>
      </c>
      <c r="N223" s="268">
        <v>45</v>
      </c>
      <c r="O223" s="268">
        <v>39</v>
      </c>
      <c r="P223" s="268">
        <v>35</v>
      </c>
      <c r="Q223" s="268">
        <v>36</v>
      </c>
      <c r="R223" s="268">
        <v>38</v>
      </c>
      <c r="S223" s="268">
        <v>43</v>
      </c>
      <c r="T223" s="268">
        <v>40</v>
      </c>
      <c r="U223" s="268">
        <v>171</v>
      </c>
      <c r="V223" s="268">
        <v>137</v>
      </c>
      <c r="W223" s="268">
        <v>133</v>
      </c>
      <c r="X223" s="268">
        <v>145</v>
      </c>
      <c r="Y223" s="268">
        <v>39</v>
      </c>
      <c r="Z223" s="268">
        <v>186</v>
      </c>
      <c r="AA223" s="268">
        <v>58</v>
      </c>
      <c r="AB223" s="268">
        <v>72</v>
      </c>
      <c r="AC223" s="268">
        <v>94</v>
      </c>
      <c r="AD223" s="268">
        <v>139</v>
      </c>
      <c r="AE223" s="268">
        <v>124</v>
      </c>
      <c r="AF223" s="268">
        <v>97</v>
      </c>
      <c r="AG223" s="268">
        <v>79</v>
      </c>
      <c r="AH223" s="268">
        <v>90</v>
      </c>
      <c r="AI223" s="268">
        <v>73</v>
      </c>
      <c r="AJ223" s="268">
        <v>43</v>
      </c>
      <c r="AL223" s="311">
        <f>SUM(F223:AJ223)</f>
        <v>2668</v>
      </c>
      <c r="AM223" s="312"/>
      <c r="AN223" s="17"/>
      <c r="BX223" s="14"/>
      <c r="BY223" s="14"/>
      <c r="DB223" s="14"/>
      <c r="EJ223" s="16"/>
      <c r="EK223" s="14"/>
      <c r="EL223" s="14"/>
      <c r="EM223" s="14"/>
      <c r="EN223" s="14"/>
      <c r="GQ223" s="14"/>
      <c r="KL223" s="14"/>
      <c r="KM223" s="14"/>
      <c r="KN223" s="14"/>
      <c r="KO223" s="14"/>
      <c r="PS223" s="14"/>
      <c r="PT223" s="14"/>
      <c r="PV223" s="14"/>
      <c r="QJ223" s="15"/>
      <c r="QN223" s="14"/>
      <c r="SQ223" s="15"/>
      <c r="AGL223" s="18">
        <f>AN223-AL223</f>
        <v>-2668</v>
      </c>
      <c r="AHZ223" s="14"/>
      <c r="AJO223" s="14"/>
      <c r="AJP223" s="14"/>
      <c r="AJQ223" s="14"/>
    </row>
    <row r="224" spans="2:953" ht="16.5" x14ac:dyDescent="0.25">
      <c r="B224" s="166"/>
      <c r="C224" s="241" t="s">
        <v>10</v>
      </c>
      <c r="D224" s="310">
        <v>118.4</v>
      </c>
      <c r="E224" s="242" t="s">
        <v>163</v>
      </c>
      <c r="F224" s="268">
        <v>138</v>
      </c>
      <c r="G224" s="268">
        <v>124</v>
      </c>
      <c r="H224" s="268">
        <v>124</v>
      </c>
      <c r="I224" s="268">
        <v>112</v>
      </c>
      <c r="J224" s="268">
        <v>60</v>
      </c>
      <c r="K224" s="268">
        <v>87</v>
      </c>
      <c r="L224" s="268">
        <v>100</v>
      </c>
      <c r="M224" s="268">
        <v>134</v>
      </c>
      <c r="N224" s="268">
        <v>131</v>
      </c>
      <c r="O224" s="268">
        <v>122</v>
      </c>
      <c r="P224" s="268">
        <v>150</v>
      </c>
      <c r="Q224" s="268">
        <v>136</v>
      </c>
      <c r="R224" s="268">
        <v>129</v>
      </c>
      <c r="S224" s="268">
        <v>212</v>
      </c>
      <c r="T224" s="268">
        <v>83</v>
      </c>
      <c r="U224" s="268">
        <v>66</v>
      </c>
      <c r="V224" s="268">
        <v>94</v>
      </c>
      <c r="W224" s="268">
        <v>110</v>
      </c>
      <c r="X224" s="268">
        <v>125</v>
      </c>
      <c r="Y224" s="268">
        <v>107</v>
      </c>
      <c r="Z224" s="268">
        <v>123</v>
      </c>
      <c r="AA224" s="268">
        <v>110</v>
      </c>
      <c r="AB224" s="268">
        <v>126</v>
      </c>
      <c r="AC224" s="268">
        <v>114</v>
      </c>
      <c r="AD224" s="268">
        <v>82</v>
      </c>
      <c r="AE224" s="268">
        <v>52</v>
      </c>
      <c r="AF224" s="268">
        <v>132</v>
      </c>
      <c r="AG224" s="268">
        <v>113</v>
      </c>
      <c r="AH224" s="268">
        <v>139</v>
      </c>
      <c r="AI224" s="268">
        <v>121</v>
      </c>
      <c r="AJ224" s="268">
        <v>135</v>
      </c>
      <c r="AL224" s="311">
        <f>SUM(F224:AJ224)</f>
        <v>3591</v>
      </c>
      <c r="AN224" s="17">
        <v>1303</v>
      </c>
      <c r="BX224" s="14"/>
      <c r="BY224" s="14"/>
      <c r="DB224" s="14"/>
      <c r="EJ224" s="16"/>
      <c r="EK224" s="14"/>
      <c r="EL224" s="14"/>
      <c r="EM224" s="14"/>
      <c r="EN224" s="14"/>
      <c r="GQ224" s="14"/>
      <c r="KL224" s="14"/>
      <c r="KM224" s="14"/>
      <c r="KN224" s="14"/>
      <c r="KO224" s="14"/>
      <c r="PS224" s="14"/>
      <c r="PT224" s="14"/>
      <c r="PV224" s="14"/>
      <c r="QJ224" s="15"/>
      <c r="QN224" s="14"/>
      <c r="SQ224" s="15"/>
      <c r="AGL224" s="18">
        <f>AN224-AL224</f>
        <v>-2288</v>
      </c>
      <c r="AHZ224" s="14"/>
      <c r="AJO224" s="14"/>
      <c r="AJP224" s="14"/>
      <c r="AJQ224" s="14"/>
    </row>
    <row r="225" spans="1:14969" ht="16.5" x14ac:dyDescent="0.25">
      <c r="B225" s="166"/>
      <c r="C225" s="241" t="s">
        <v>9</v>
      </c>
      <c r="D225" s="307">
        <f>44.69%*D221</f>
        <v>299.423</v>
      </c>
      <c r="E225" s="242" t="s">
        <v>163</v>
      </c>
      <c r="F225" s="308">
        <v>329.8</v>
      </c>
      <c r="G225" s="308">
        <v>395</v>
      </c>
      <c r="H225" s="308">
        <v>387.8</v>
      </c>
      <c r="I225" s="308">
        <v>317</v>
      </c>
      <c r="J225" s="308">
        <v>318.3</v>
      </c>
      <c r="K225" s="308">
        <v>290.10000000000002</v>
      </c>
      <c r="L225" s="308">
        <v>260</v>
      </c>
      <c r="M225" s="308">
        <v>354.6</v>
      </c>
      <c r="N225" s="308">
        <v>321.89999999999998</v>
      </c>
      <c r="O225" s="308">
        <v>383.9</v>
      </c>
      <c r="P225" s="308">
        <v>373.7</v>
      </c>
      <c r="Q225" s="308">
        <v>319</v>
      </c>
      <c r="R225" s="308">
        <v>340.4</v>
      </c>
      <c r="S225" s="308">
        <v>327.8</v>
      </c>
      <c r="T225" s="308">
        <v>328.5</v>
      </c>
      <c r="U225" s="308">
        <v>330</v>
      </c>
      <c r="V225" s="308">
        <v>339.3</v>
      </c>
      <c r="W225" s="308">
        <v>331.1</v>
      </c>
      <c r="X225" s="308">
        <v>321.7</v>
      </c>
      <c r="Y225" s="308">
        <v>351.9</v>
      </c>
      <c r="Z225" s="308">
        <v>331.6</v>
      </c>
      <c r="AA225" s="308">
        <v>355.4</v>
      </c>
      <c r="AB225" s="308">
        <v>351.8</v>
      </c>
      <c r="AC225" s="308">
        <v>285.2</v>
      </c>
      <c r="AD225" s="308">
        <v>376.4</v>
      </c>
      <c r="AE225" s="308">
        <v>283.5</v>
      </c>
      <c r="AF225" s="308">
        <v>337.2</v>
      </c>
      <c r="AG225" s="308">
        <v>354.8</v>
      </c>
      <c r="AH225" s="308">
        <v>361.6</v>
      </c>
      <c r="AI225" s="308">
        <v>306.60000000000002</v>
      </c>
      <c r="AJ225" s="308">
        <v>378.9</v>
      </c>
      <c r="AL225" s="311">
        <f>SUM(F225:AJ225)</f>
        <v>10444.800000000001</v>
      </c>
      <c r="AM225" s="18"/>
      <c r="AN225" s="17"/>
      <c r="BX225" s="14"/>
      <c r="BY225" s="14"/>
      <c r="DB225" s="14"/>
      <c r="EJ225" s="16"/>
      <c r="EK225" s="14"/>
      <c r="EL225" s="14"/>
      <c r="EM225" s="14"/>
      <c r="EN225" s="14"/>
      <c r="GQ225" s="14"/>
      <c r="KL225" s="14"/>
      <c r="KM225" s="14"/>
      <c r="KN225" s="14"/>
      <c r="KO225" s="14"/>
      <c r="PS225" s="14"/>
      <c r="PT225" s="14"/>
      <c r="PV225" s="14"/>
      <c r="QJ225" s="15"/>
      <c r="QN225" s="14"/>
      <c r="SQ225" s="15"/>
      <c r="AHZ225" s="14"/>
      <c r="AJO225" s="14"/>
      <c r="AJP225" s="14"/>
      <c r="AJQ225" s="14"/>
    </row>
    <row r="226" spans="1:14969" ht="16.5" x14ac:dyDescent="0.25">
      <c r="B226" s="166"/>
      <c r="C226" s="241" t="s">
        <v>8</v>
      </c>
      <c r="D226" s="307">
        <f>D221-SUM(D223:D225)</f>
        <v>173.21699999999998</v>
      </c>
      <c r="E226" s="242" t="s">
        <v>163</v>
      </c>
      <c r="F226" s="308">
        <f>F221-(SUM(F223:F225))</f>
        <v>118.20000000000005</v>
      </c>
      <c r="G226" s="308">
        <f t="shared" ref="G226:L226" si="104">G221-(SUM(G223:G225))</f>
        <v>89</v>
      </c>
      <c r="H226" s="308">
        <f t="shared" si="104"/>
        <v>219.20000000000005</v>
      </c>
      <c r="I226" s="308">
        <f t="shared" si="104"/>
        <v>169</v>
      </c>
      <c r="J226" s="308">
        <f t="shared" si="104"/>
        <v>41.699999999999989</v>
      </c>
      <c r="K226" s="308">
        <f t="shared" si="104"/>
        <v>39.899999999999977</v>
      </c>
      <c r="L226" s="308">
        <f t="shared" si="104"/>
        <v>310847</v>
      </c>
      <c r="M226" s="308">
        <f t="shared" ref="M226:AJ226" si="105">M221-(SUM(M223:M225))</f>
        <v>193.39999999999998</v>
      </c>
      <c r="N226" s="308">
        <f t="shared" si="105"/>
        <v>105.10000000000002</v>
      </c>
      <c r="O226" s="308">
        <f t="shared" si="105"/>
        <v>100.10000000000002</v>
      </c>
      <c r="P226" s="308">
        <f t="shared" si="105"/>
        <v>80.299999999999955</v>
      </c>
      <c r="Q226" s="308">
        <f t="shared" si="105"/>
        <v>-67</v>
      </c>
      <c r="R226" s="308">
        <f t="shared" si="105"/>
        <v>220.60000000000002</v>
      </c>
      <c r="S226" s="308">
        <f t="shared" si="105"/>
        <v>-24.799999999999955</v>
      </c>
      <c r="T226" s="308">
        <f t="shared" si="105"/>
        <v>78.5</v>
      </c>
      <c r="U226" s="308">
        <f t="shared" si="105"/>
        <v>72</v>
      </c>
      <c r="V226" s="308">
        <f t="shared" si="105"/>
        <v>115.70000000000005</v>
      </c>
      <c r="W226" s="308">
        <f t="shared" si="105"/>
        <v>172.89999999999998</v>
      </c>
      <c r="X226" s="308">
        <f t="shared" si="105"/>
        <v>84.299999999999955</v>
      </c>
      <c r="Y226" s="308">
        <f t="shared" si="105"/>
        <v>127.10000000000002</v>
      </c>
      <c r="Z226" s="308">
        <f t="shared" si="105"/>
        <v>44.399999999999977</v>
      </c>
      <c r="AA226" s="308">
        <f t="shared" si="105"/>
        <v>195.60000000000002</v>
      </c>
      <c r="AB226" s="308">
        <f>AB221-(SUM(AB223:AB225))</f>
        <v>-2.7999999999999545</v>
      </c>
      <c r="AC226" s="308">
        <f t="shared" si="105"/>
        <v>134.80000000000001</v>
      </c>
      <c r="AD226" s="308">
        <f t="shared" si="105"/>
        <v>151.60000000000002</v>
      </c>
      <c r="AE226" s="308">
        <f t="shared" si="105"/>
        <v>111.5</v>
      </c>
      <c r="AF226" s="308">
        <f t="shared" si="105"/>
        <v>144.79999999999995</v>
      </c>
      <c r="AG226" s="308">
        <f t="shared" si="105"/>
        <v>71.200000000000045</v>
      </c>
      <c r="AH226" s="308">
        <f t="shared" si="105"/>
        <v>54.399999999999977</v>
      </c>
      <c r="AI226" s="308">
        <f t="shared" si="105"/>
        <v>217.39999999999998</v>
      </c>
      <c r="AJ226" s="308">
        <f t="shared" si="105"/>
        <v>19.100000000000023</v>
      </c>
      <c r="AL226" s="311">
        <f>SUM(F226:AJ226)</f>
        <v>313924.19999999995</v>
      </c>
      <c r="AM226" s="313"/>
      <c r="AN226" s="17"/>
      <c r="BX226" s="14"/>
      <c r="BY226" s="14"/>
      <c r="DB226" s="14"/>
      <c r="EJ226" s="16"/>
      <c r="EK226" s="14"/>
      <c r="EL226" s="14"/>
      <c r="EM226" s="14"/>
      <c r="EN226" s="14"/>
      <c r="GQ226" s="14"/>
      <c r="KL226" s="14"/>
      <c r="KM226" s="14"/>
      <c r="KN226" s="14"/>
      <c r="KO226" s="14"/>
      <c r="PS226" s="14"/>
      <c r="PT226" s="14"/>
      <c r="PV226" s="14"/>
      <c r="QJ226" s="15"/>
      <c r="QN226" s="14"/>
      <c r="SQ226" s="15"/>
      <c r="AHZ226" s="14"/>
      <c r="AJO226" s="14"/>
      <c r="AJP226" s="14"/>
      <c r="AJQ226" s="14"/>
    </row>
    <row r="227" spans="1:14969" ht="16.5" x14ac:dyDescent="0.25">
      <c r="B227" s="166"/>
      <c r="C227" s="241" t="s">
        <v>7</v>
      </c>
      <c r="D227" s="307">
        <v>287.83999999999997</v>
      </c>
      <c r="E227" s="242" t="s">
        <v>163</v>
      </c>
      <c r="F227" s="308">
        <v>212</v>
      </c>
      <c r="G227" s="308">
        <v>181</v>
      </c>
      <c r="H227" s="308">
        <v>179</v>
      </c>
      <c r="I227" s="308">
        <v>232</v>
      </c>
      <c r="J227" s="308">
        <v>160</v>
      </c>
      <c r="K227" s="308">
        <v>121</v>
      </c>
      <c r="L227" s="308">
        <v>237</v>
      </c>
      <c r="M227" s="308">
        <v>174</v>
      </c>
      <c r="N227" s="308">
        <v>132</v>
      </c>
      <c r="O227" s="308">
        <v>119</v>
      </c>
      <c r="P227" s="308">
        <v>215</v>
      </c>
      <c r="Q227" s="308">
        <v>145</v>
      </c>
      <c r="R227" s="308">
        <v>151</v>
      </c>
      <c r="S227" s="308">
        <v>181</v>
      </c>
      <c r="T227" s="308">
        <v>132</v>
      </c>
      <c r="U227" s="308">
        <v>157</v>
      </c>
      <c r="V227" s="308">
        <v>167</v>
      </c>
      <c r="W227" s="308">
        <v>157</v>
      </c>
      <c r="X227" s="308">
        <v>157</v>
      </c>
      <c r="Y227" s="308">
        <v>164</v>
      </c>
      <c r="Z227" s="308">
        <v>211</v>
      </c>
      <c r="AA227" s="308">
        <v>157</v>
      </c>
      <c r="AB227" s="308">
        <v>138</v>
      </c>
      <c r="AC227" s="308">
        <v>177</v>
      </c>
      <c r="AD227" s="308">
        <v>186</v>
      </c>
      <c r="AE227" s="308">
        <v>164</v>
      </c>
      <c r="AF227" s="308">
        <v>165</v>
      </c>
      <c r="AG227" s="308">
        <v>142</v>
      </c>
      <c r="AH227" s="308">
        <v>131</v>
      </c>
      <c r="AI227" s="308">
        <v>149</v>
      </c>
      <c r="AJ227" s="308">
        <v>115</v>
      </c>
      <c r="AL227" s="311">
        <f>SUM(F227:AJ227)</f>
        <v>5108</v>
      </c>
      <c r="AN227" s="17"/>
      <c r="BX227" s="14"/>
      <c r="BY227" s="14"/>
      <c r="DB227" s="14"/>
      <c r="EJ227" s="16"/>
      <c r="EK227" s="14"/>
      <c r="EL227" s="14"/>
      <c r="EM227" s="14"/>
      <c r="EN227" s="14"/>
      <c r="GQ227" s="14"/>
      <c r="KL227" s="14"/>
      <c r="KM227" s="14"/>
      <c r="KN227" s="14"/>
      <c r="KO227" s="14"/>
      <c r="PS227" s="14"/>
      <c r="PT227" s="14"/>
      <c r="PV227" s="14"/>
      <c r="QJ227" s="15"/>
      <c r="QN227" s="14"/>
      <c r="SQ227" s="15"/>
      <c r="AHZ227" s="14"/>
      <c r="AJO227" s="14"/>
      <c r="AJP227" s="14"/>
      <c r="AJQ227" s="14"/>
    </row>
    <row r="228" spans="1:14969" x14ac:dyDescent="0.25">
      <c r="B228" s="223">
        <v>13</v>
      </c>
      <c r="C228" s="207" t="s">
        <v>6</v>
      </c>
      <c r="D228" s="208"/>
      <c r="E228" s="208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80"/>
      <c r="AI228" s="180"/>
      <c r="AJ228" s="180"/>
      <c r="AK228" s="10"/>
      <c r="AL228" s="13" t="s">
        <v>5</v>
      </c>
    </row>
    <row r="229" spans="1:14969" s="2" customFormat="1" x14ac:dyDescent="0.25">
      <c r="A229" s="1"/>
      <c r="B229" s="269"/>
      <c r="C229" s="270" t="s">
        <v>4</v>
      </c>
      <c r="D229" s="271"/>
      <c r="E229" s="272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0"/>
      <c r="AL229" s="12" t="s">
        <v>4</v>
      </c>
      <c r="AM229" s="1"/>
      <c r="AN229" s="1"/>
      <c r="AP229" s="3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  <c r="AML229" s="1"/>
      <c r="AMM229" s="1"/>
      <c r="AMN229" s="1"/>
      <c r="AMO229" s="1"/>
      <c r="AMP229" s="1"/>
      <c r="AMQ229" s="1"/>
      <c r="AMR229" s="1"/>
      <c r="AMS229" s="1"/>
      <c r="AMT229" s="1"/>
      <c r="AMU229" s="1"/>
      <c r="AMV229" s="1"/>
      <c r="AMW229" s="1"/>
      <c r="AMX229" s="1"/>
      <c r="AMY229" s="1"/>
      <c r="AMZ229" s="1"/>
      <c r="ANA229" s="1"/>
      <c r="ANB229" s="1"/>
      <c r="ANC229" s="1"/>
      <c r="AND229" s="1"/>
      <c r="ANE229" s="1"/>
      <c r="ANF229" s="1"/>
      <c r="ANG229" s="1"/>
      <c r="ANH229" s="1"/>
      <c r="ANI229" s="1"/>
      <c r="ANJ229" s="1"/>
      <c r="ANK229" s="1"/>
      <c r="ANL229" s="1"/>
      <c r="ANM229" s="1"/>
      <c r="ANN229" s="1"/>
      <c r="ANO229" s="1"/>
      <c r="ANP229" s="1"/>
      <c r="ANQ229" s="1"/>
      <c r="ANR229" s="1"/>
      <c r="ANS229" s="1"/>
      <c r="ANT229" s="1"/>
      <c r="ANU229" s="1"/>
      <c r="ANV229" s="1"/>
      <c r="ANW229" s="1"/>
      <c r="ANX229" s="1"/>
      <c r="ANY229" s="1"/>
      <c r="ANZ229" s="1"/>
      <c r="AOA229" s="1"/>
      <c r="AOB229" s="1"/>
      <c r="AOC229" s="1"/>
      <c r="AOD229" s="1"/>
      <c r="AOE229" s="1"/>
      <c r="AOF229" s="1"/>
      <c r="AOG229" s="1"/>
      <c r="AOH229" s="1"/>
      <c r="AOI229" s="1"/>
      <c r="AOJ229" s="1"/>
      <c r="AOK229" s="1"/>
      <c r="AOL229" s="1"/>
      <c r="AOM229" s="1"/>
      <c r="AON229" s="1"/>
      <c r="AOO229" s="1"/>
      <c r="AOP229" s="1"/>
      <c r="AOQ229" s="1"/>
      <c r="AOR229" s="1"/>
      <c r="AOS229" s="1"/>
      <c r="AOT229" s="1"/>
      <c r="AOU229" s="1"/>
      <c r="AOV229" s="1"/>
      <c r="AOW229" s="1"/>
      <c r="AOX229" s="1"/>
      <c r="AOY229" s="1"/>
      <c r="AOZ229" s="1"/>
      <c r="APA229" s="1"/>
      <c r="APB229" s="1"/>
      <c r="APC229" s="1"/>
      <c r="APD229" s="1"/>
      <c r="APE229" s="1"/>
      <c r="APF229" s="1"/>
      <c r="APG229" s="1"/>
      <c r="APH229" s="1"/>
      <c r="API229" s="1"/>
      <c r="APJ229" s="1"/>
      <c r="APK229" s="1"/>
      <c r="APL229" s="1"/>
      <c r="APM229" s="1"/>
      <c r="APN229" s="1"/>
      <c r="APO229" s="1"/>
      <c r="APP229" s="1"/>
      <c r="APQ229" s="1"/>
      <c r="APR229" s="1"/>
      <c r="APS229" s="1"/>
      <c r="APT229" s="1"/>
      <c r="APU229" s="1"/>
      <c r="APV229" s="1"/>
      <c r="APW229" s="1"/>
      <c r="APX229" s="1"/>
      <c r="APY229" s="1"/>
      <c r="APZ229" s="1"/>
      <c r="AQA229" s="1"/>
      <c r="AQB229" s="1"/>
      <c r="AQC229" s="1"/>
      <c r="AQD229" s="1"/>
      <c r="AQE229" s="1"/>
      <c r="AQF229" s="1"/>
      <c r="AQG229" s="1"/>
      <c r="AQH229" s="1"/>
      <c r="AQI229" s="1"/>
      <c r="AQJ229" s="1"/>
      <c r="AQK229" s="1"/>
      <c r="AQL229" s="1"/>
      <c r="AQM229" s="1"/>
      <c r="AQN229" s="1"/>
      <c r="AQO229" s="1"/>
      <c r="AQP229" s="1"/>
      <c r="AQQ229" s="1"/>
      <c r="AQR229" s="1"/>
      <c r="AQS229" s="1"/>
      <c r="AQT229" s="1"/>
      <c r="AQU229" s="1"/>
      <c r="AQV229" s="1"/>
      <c r="AQW229" s="1"/>
      <c r="AQX229" s="1"/>
      <c r="AQY229" s="1"/>
      <c r="AQZ229" s="1"/>
      <c r="ARA229" s="1"/>
      <c r="ARB229" s="1"/>
      <c r="ARC229" s="1"/>
      <c r="ARD229" s="1"/>
      <c r="ARE229" s="1"/>
      <c r="ARF229" s="1"/>
      <c r="ARG229" s="1"/>
      <c r="ARH229" s="1"/>
      <c r="ARI229" s="1"/>
      <c r="ARJ229" s="1"/>
      <c r="ARK229" s="1"/>
      <c r="ARL229" s="1"/>
      <c r="ARM229" s="1"/>
      <c r="ARN229" s="1"/>
      <c r="ARO229" s="1"/>
      <c r="ARP229" s="1"/>
      <c r="ARQ229" s="1"/>
      <c r="ARR229" s="1"/>
      <c r="ARS229" s="1"/>
      <c r="ART229" s="1"/>
      <c r="ARU229" s="1"/>
      <c r="ARV229" s="1"/>
      <c r="ARW229" s="1"/>
      <c r="ARX229" s="1"/>
      <c r="ARY229" s="1"/>
      <c r="ARZ229" s="1"/>
      <c r="ASA229" s="1"/>
      <c r="ASB229" s="1"/>
      <c r="ASC229" s="1"/>
      <c r="ASD229" s="1"/>
      <c r="ASE229" s="1"/>
      <c r="ASF229" s="1"/>
      <c r="ASG229" s="1"/>
      <c r="ASH229" s="1"/>
      <c r="ASI229" s="1"/>
      <c r="ASJ229" s="1"/>
      <c r="ASK229" s="1"/>
      <c r="ASL229" s="1"/>
      <c r="ASM229" s="1"/>
      <c r="ASN229" s="1"/>
      <c r="ASO229" s="1"/>
      <c r="ASP229" s="1"/>
      <c r="ASQ229" s="1"/>
      <c r="ASR229" s="1"/>
      <c r="ASS229" s="1"/>
      <c r="AST229" s="1"/>
      <c r="ASU229" s="1"/>
      <c r="ASV229" s="1"/>
      <c r="ASW229" s="1"/>
      <c r="ASX229" s="1"/>
      <c r="ASY229" s="1"/>
      <c r="ASZ229" s="1"/>
      <c r="ATA229" s="1"/>
      <c r="ATB229" s="1"/>
      <c r="ATC229" s="1"/>
      <c r="ATD229" s="1"/>
      <c r="ATE229" s="1"/>
      <c r="ATF229" s="1"/>
      <c r="ATG229" s="1"/>
      <c r="ATH229" s="1"/>
      <c r="ATI229" s="1"/>
      <c r="ATJ229" s="1"/>
      <c r="ATK229" s="1"/>
      <c r="ATL229" s="1"/>
      <c r="ATM229" s="1"/>
      <c r="ATN229" s="1"/>
      <c r="ATO229" s="1"/>
      <c r="ATP229" s="1"/>
      <c r="ATQ229" s="1"/>
      <c r="ATR229" s="1"/>
      <c r="ATS229" s="1"/>
      <c r="ATT229" s="1"/>
      <c r="ATU229" s="1"/>
      <c r="ATV229" s="1"/>
      <c r="ATW229" s="1"/>
      <c r="ATX229" s="1"/>
      <c r="ATY229" s="1"/>
      <c r="ATZ229" s="1"/>
      <c r="AUA229" s="1"/>
      <c r="AUB229" s="1"/>
      <c r="AUC229" s="1"/>
      <c r="AUD229" s="1"/>
      <c r="AUE229" s="1"/>
      <c r="AUF229" s="1"/>
      <c r="AUG229" s="1"/>
      <c r="AUH229" s="1"/>
      <c r="AUI229" s="1"/>
      <c r="AUJ229" s="1"/>
      <c r="AUK229" s="1"/>
      <c r="AUL229" s="1"/>
      <c r="AUM229" s="1"/>
      <c r="AUN229" s="1"/>
      <c r="AUO229" s="1"/>
      <c r="AUP229" s="1"/>
      <c r="AUQ229" s="1"/>
      <c r="AUR229" s="1"/>
      <c r="AUS229" s="1"/>
      <c r="AUT229" s="1"/>
      <c r="AUU229" s="1"/>
      <c r="AUV229" s="1"/>
      <c r="AUW229" s="1"/>
      <c r="AUX229" s="1"/>
      <c r="AUY229" s="1"/>
      <c r="AUZ229" s="1"/>
      <c r="AVA229" s="1"/>
      <c r="AVB229" s="1"/>
      <c r="AVC229" s="1"/>
      <c r="AVD229" s="1"/>
      <c r="AVE229" s="1"/>
      <c r="AVF229" s="1"/>
      <c r="AVG229" s="1"/>
      <c r="AVH229" s="1"/>
      <c r="AVI229" s="1"/>
      <c r="AVJ229" s="1"/>
      <c r="AVK229" s="1"/>
      <c r="AVL229" s="1"/>
      <c r="AVM229" s="1"/>
      <c r="AVN229" s="1"/>
      <c r="AVO229" s="1"/>
      <c r="AVP229" s="1"/>
      <c r="AVQ229" s="1"/>
      <c r="AVR229" s="1"/>
      <c r="AVS229" s="1"/>
      <c r="AVT229" s="1"/>
      <c r="AVU229" s="1"/>
      <c r="AVV229" s="1"/>
      <c r="AVW229" s="1"/>
      <c r="AVX229" s="1"/>
      <c r="AVY229" s="1"/>
      <c r="AVZ229" s="1"/>
      <c r="AWA229" s="1"/>
      <c r="AWB229" s="1"/>
      <c r="AWC229" s="1"/>
      <c r="AWD229" s="1"/>
      <c r="AWE229" s="1"/>
      <c r="AWF229" s="1"/>
      <c r="AWG229" s="1"/>
      <c r="AWH229" s="1"/>
      <c r="AWI229" s="1"/>
      <c r="AWJ229" s="1"/>
      <c r="AWK229" s="1"/>
      <c r="AWL229" s="1"/>
      <c r="AWM229" s="1"/>
      <c r="AWN229" s="1"/>
      <c r="AWO229" s="1"/>
      <c r="AWP229" s="1"/>
      <c r="AWQ229" s="1"/>
      <c r="AWR229" s="1"/>
      <c r="AWS229" s="1"/>
      <c r="AWT229" s="1"/>
      <c r="AWU229" s="1"/>
      <c r="AWV229" s="1"/>
      <c r="AWW229" s="1"/>
      <c r="AWX229" s="1"/>
      <c r="AWY229" s="1"/>
      <c r="AWZ229" s="1"/>
      <c r="AXA229" s="1"/>
      <c r="AXB229" s="1"/>
      <c r="AXC229" s="1"/>
      <c r="AXD229" s="1"/>
      <c r="AXE229" s="1"/>
      <c r="AXF229" s="1"/>
      <c r="AXG229" s="1"/>
      <c r="AXH229" s="1"/>
      <c r="AXI229" s="1"/>
      <c r="AXJ229" s="1"/>
      <c r="AXK229" s="1"/>
      <c r="AXL229" s="1"/>
      <c r="AXM229" s="1"/>
      <c r="AXN229" s="1"/>
      <c r="AXO229" s="1"/>
      <c r="AXP229" s="1"/>
      <c r="AXQ229" s="1"/>
      <c r="AXR229" s="1"/>
      <c r="AXS229" s="1"/>
      <c r="AXT229" s="1"/>
      <c r="AXU229" s="1"/>
      <c r="AXV229" s="1"/>
      <c r="AXW229" s="1"/>
      <c r="AXX229" s="1"/>
      <c r="AXY229" s="1"/>
      <c r="AXZ229" s="1"/>
      <c r="AYA229" s="1"/>
      <c r="AYB229" s="1"/>
      <c r="AYC229" s="1"/>
      <c r="AYD229" s="1"/>
      <c r="AYE229" s="1"/>
      <c r="AYF229" s="1"/>
      <c r="AYG229" s="1"/>
      <c r="AYH229" s="1"/>
      <c r="AYI229" s="1"/>
      <c r="AYJ229" s="1"/>
      <c r="AYK229" s="1"/>
      <c r="AYL229" s="1"/>
      <c r="AYM229" s="1"/>
      <c r="AYN229" s="1"/>
      <c r="AYO229" s="1"/>
      <c r="AYP229" s="1"/>
      <c r="AYQ229" s="1"/>
      <c r="AYR229" s="1"/>
      <c r="AYS229" s="1"/>
      <c r="AYT229" s="1"/>
      <c r="AYU229" s="1"/>
      <c r="AYV229" s="1"/>
      <c r="AYW229" s="1"/>
      <c r="AYX229" s="1"/>
      <c r="AYY229" s="1"/>
      <c r="AYZ229" s="1"/>
      <c r="AZA229" s="1"/>
      <c r="AZB229" s="1"/>
      <c r="AZC229" s="1"/>
      <c r="AZD229" s="1"/>
      <c r="AZE229" s="1"/>
      <c r="AZF229" s="1"/>
      <c r="AZG229" s="1"/>
      <c r="AZH229" s="1"/>
      <c r="AZI229" s="1"/>
      <c r="AZJ229" s="1"/>
      <c r="AZK229" s="1"/>
      <c r="AZL229" s="1"/>
      <c r="AZM229" s="1"/>
      <c r="AZN229" s="1"/>
      <c r="AZO229" s="1"/>
      <c r="AZP229" s="1"/>
      <c r="AZQ229" s="1"/>
      <c r="AZR229" s="1"/>
      <c r="AZS229" s="1"/>
      <c r="AZT229" s="1"/>
      <c r="AZU229" s="1"/>
      <c r="AZV229" s="1"/>
      <c r="AZW229" s="1"/>
      <c r="AZX229" s="1"/>
      <c r="AZY229" s="1"/>
      <c r="AZZ229" s="1"/>
      <c r="BAA229" s="1"/>
      <c r="BAB229" s="1"/>
      <c r="BAC229" s="1"/>
      <c r="BAD229" s="1"/>
      <c r="BAE229" s="1"/>
      <c r="BAF229" s="1"/>
      <c r="BAG229" s="1"/>
      <c r="BAH229" s="1"/>
      <c r="BAI229" s="1"/>
      <c r="BAJ229" s="1"/>
      <c r="BAK229" s="1"/>
      <c r="BAL229" s="1"/>
      <c r="BAM229" s="1"/>
      <c r="BAN229" s="1"/>
      <c r="BAO229" s="1"/>
      <c r="BAP229" s="1"/>
      <c r="BAQ229" s="1"/>
      <c r="BAR229" s="1"/>
      <c r="BAS229" s="1"/>
      <c r="BAT229" s="1"/>
      <c r="BAU229" s="1"/>
      <c r="BAV229" s="1"/>
      <c r="BAW229" s="1"/>
      <c r="BAX229" s="1"/>
      <c r="BAY229" s="1"/>
      <c r="BAZ229" s="1"/>
      <c r="BBA229" s="1"/>
      <c r="BBB229" s="1"/>
      <c r="BBC229" s="1"/>
      <c r="BBD229" s="1"/>
      <c r="BBE229" s="1"/>
      <c r="BBF229" s="1"/>
      <c r="BBG229" s="1"/>
      <c r="BBH229" s="1"/>
      <c r="BBI229" s="1"/>
      <c r="BBJ229" s="1"/>
      <c r="BBK229" s="1"/>
      <c r="BBL229" s="1"/>
      <c r="BBM229" s="1"/>
      <c r="BBN229" s="1"/>
      <c r="BBO229" s="1"/>
      <c r="BBP229" s="1"/>
      <c r="BBQ229" s="1"/>
      <c r="BBR229" s="1"/>
      <c r="BBS229" s="1"/>
      <c r="BBT229" s="1"/>
      <c r="BBU229" s="1"/>
      <c r="BBV229" s="1"/>
      <c r="BBW229" s="1"/>
      <c r="BBX229" s="1"/>
      <c r="BBY229" s="1"/>
      <c r="BBZ229" s="1"/>
      <c r="BCA229" s="1"/>
      <c r="BCB229" s="1"/>
      <c r="BCC229" s="1"/>
      <c r="BCD229" s="1"/>
      <c r="BCE229" s="1"/>
      <c r="BCF229" s="1"/>
      <c r="BCG229" s="1"/>
      <c r="BCH229" s="1"/>
      <c r="BCI229" s="1"/>
      <c r="BCJ229" s="1"/>
      <c r="BCK229" s="1"/>
      <c r="BCL229" s="1"/>
      <c r="BCM229" s="1"/>
      <c r="BCN229" s="1"/>
      <c r="BCO229" s="1"/>
      <c r="BCP229" s="1"/>
      <c r="BCQ229" s="1"/>
      <c r="BCR229" s="1"/>
      <c r="BCS229" s="1"/>
      <c r="BCT229" s="1"/>
      <c r="BCU229" s="1"/>
      <c r="BCV229" s="1"/>
      <c r="BCW229" s="1"/>
      <c r="BCX229" s="1"/>
      <c r="BCY229" s="1"/>
      <c r="BCZ229" s="1"/>
      <c r="BDA229" s="1"/>
      <c r="BDB229" s="1"/>
      <c r="BDC229" s="1"/>
      <c r="BDD229" s="1"/>
      <c r="BDE229" s="1"/>
      <c r="BDF229" s="1"/>
      <c r="BDG229" s="1"/>
      <c r="BDH229" s="1"/>
      <c r="BDI229" s="1"/>
      <c r="BDJ229" s="1"/>
      <c r="BDK229" s="1"/>
      <c r="BDL229" s="1"/>
      <c r="BDM229" s="1"/>
      <c r="BDN229" s="1"/>
      <c r="BDO229" s="1"/>
      <c r="BDP229" s="1"/>
      <c r="BDQ229" s="1"/>
      <c r="BDR229" s="1"/>
      <c r="BDS229" s="1"/>
      <c r="BDT229" s="1"/>
      <c r="BDU229" s="1"/>
      <c r="BDV229" s="1"/>
      <c r="BDW229" s="1"/>
      <c r="BDX229" s="1"/>
      <c r="BDY229" s="1"/>
      <c r="BDZ229" s="1"/>
      <c r="BEA229" s="1"/>
      <c r="BEB229" s="1"/>
      <c r="BEC229" s="1"/>
      <c r="BED229" s="1"/>
      <c r="BEE229" s="1"/>
      <c r="BEF229" s="1"/>
      <c r="BEG229" s="1"/>
      <c r="BEH229" s="1"/>
      <c r="BEI229" s="1"/>
      <c r="BEJ229" s="1"/>
      <c r="BEK229" s="1"/>
      <c r="BEL229" s="1"/>
      <c r="BEM229" s="1"/>
      <c r="BEN229" s="1"/>
      <c r="BEO229" s="1"/>
      <c r="BEP229" s="1"/>
      <c r="BEQ229" s="1"/>
      <c r="BER229" s="1"/>
      <c r="BES229" s="1"/>
      <c r="BET229" s="1"/>
      <c r="BEU229" s="1"/>
      <c r="BEV229" s="1"/>
      <c r="BEW229" s="1"/>
      <c r="BEX229" s="1"/>
      <c r="BEY229" s="1"/>
      <c r="BEZ229" s="1"/>
      <c r="BFA229" s="1"/>
      <c r="BFB229" s="1"/>
      <c r="BFC229" s="1"/>
      <c r="BFD229" s="1"/>
      <c r="BFE229" s="1"/>
      <c r="BFF229" s="1"/>
      <c r="BFG229" s="1"/>
      <c r="BFH229" s="1"/>
      <c r="BFI229" s="1"/>
      <c r="BFJ229" s="1"/>
      <c r="BFK229" s="1"/>
      <c r="BFL229" s="1"/>
      <c r="BFM229" s="1"/>
      <c r="BFN229" s="1"/>
      <c r="BFO229" s="1"/>
      <c r="BFP229" s="1"/>
      <c r="BFQ229" s="1"/>
      <c r="BFR229" s="1"/>
      <c r="BFS229" s="1"/>
      <c r="BFT229" s="1"/>
      <c r="BFU229" s="1"/>
      <c r="BFV229" s="1"/>
      <c r="BFW229" s="1"/>
      <c r="BFX229" s="1"/>
      <c r="BFY229" s="1"/>
      <c r="BFZ229" s="1"/>
      <c r="BGA229" s="1"/>
      <c r="BGB229" s="1"/>
      <c r="BGC229" s="1"/>
      <c r="BGD229" s="1"/>
      <c r="BGE229" s="1"/>
      <c r="BGF229" s="1"/>
      <c r="BGG229" s="1"/>
      <c r="BGH229" s="1"/>
      <c r="BGI229" s="1"/>
      <c r="BGJ229" s="1"/>
      <c r="BGK229" s="1"/>
      <c r="BGL229" s="1"/>
      <c r="BGM229" s="1"/>
      <c r="BGN229" s="1"/>
      <c r="BGO229" s="1"/>
      <c r="BGP229" s="1"/>
      <c r="BGQ229" s="1"/>
      <c r="BGR229" s="1"/>
      <c r="BGS229" s="1"/>
      <c r="BGT229" s="1"/>
      <c r="BGU229" s="1"/>
      <c r="BGV229" s="1"/>
      <c r="BGW229" s="1"/>
      <c r="BGX229" s="1"/>
      <c r="BGY229" s="1"/>
      <c r="BGZ229" s="1"/>
      <c r="BHA229" s="1"/>
      <c r="BHB229" s="1"/>
      <c r="BHC229" s="1"/>
      <c r="BHD229" s="1"/>
      <c r="BHE229" s="1"/>
      <c r="BHF229" s="1"/>
      <c r="BHG229" s="1"/>
      <c r="BHH229" s="1"/>
      <c r="BHI229" s="1"/>
      <c r="BHJ229" s="1"/>
      <c r="BHK229" s="1"/>
      <c r="BHL229" s="1"/>
      <c r="BHM229" s="1"/>
      <c r="BHN229" s="1"/>
      <c r="BHO229" s="1"/>
      <c r="BHP229" s="1"/>
      <c r="BHQ229" s="1"/>
      <c r="BHR229" s="1"/>
      <c r="BHS229" s="1"/>
      <c r="BHT229" s="1"/>
      <c r="BHU229" s="1"/>
      <c r="BHV229" s="1"/>
      <c r="BHW229" s="1"/>
      <c r="BHX229" s="1"/>
      <c r="BHY229" s="1"/>
      <c r="BHZ229" s="1"/>
      <c r="BIA229" s="1"/>
      <c r="BIB229" s="1"/>
      <c r="BIC229" s="1"/>
      <c r="BID229" s="1"/>
      <c r="BIE229" s="1"/>
      <c r="BIF229" s="1"/>
      <c r="BIG229" s="1"/>
      <c r="BIH229" s="1"/>
      <c r="BII229" s="1"/>
      <c r="BIJ229" s="1"/>
      <c r="BIK229" s="1"/>
      <c r="BIL229" s="1"/>
      <c r="BIM229" s="1"/>
      <c r="BIN229" s="1"/>
      <c r="BIO229" s="1"/>
      <c r="BIP229" s="1"/>
      <c r="BIQ229" s="1"/>
      <c r="BIR229" s="1"/>
      <c r="BIS229" s="1"/>
      <c r="BIT229" s="1"/>
      <c r="BIU229" s="1"/>
      <c r="BIV229" s="1"/>
      <c r="BIW229" s="1"/>
      <c r="BIX229" s="1"/>
      <c r="BIY229" s="1"/>
      <c r="BIZ229" s="1"/>
      <c r="BJA229" s="1"/>
      <c r="BJB229" s="1"/>
      <c r="BJC229" s="1"/>
      <c r="BJD229" s="1"/>
      <c r="BJE229" s="1"/>
      <c r="BJF229" s="1"/>
      <c r="BJG229" s="1"/>
      <c r="BJH229" s="1"/>
      <c r="BJI229" s="1"/>
      <c r="BJJ229" s="1"/>
      <c r="BJK229" s="1"/>
      <c r="BJL229" s="1"/>
      <c r="BJM229" s="1"/>
      <c r="BJN229" s="1"/>
      <c r="BJO229" s="1"/>
      <c r="BJP229" s="1"/>
      <c r="BJQ229" s="1"/>
      <c r="BJR229" s="1"/>
      <c r="BJS229" s="1"/>
      <c r="BJT229" s="1"/>
      <c r="BJU229" s="1"/>
      <c r="BJV229" s="1"/>
      <c r="BJW229" s="1"/>
      <c r="BJX229" s="1"/>
      <c r="BJY229" s="1"/>
      <c r="BJZ229" s="1"/>
      <c r="BKA229" s="1"/>
      <c r="BKB229" s="1"/>
      <c r="BKC229" s="1"/>
      <c r="BKD229" s="1"/>
      <c r="BKE229" s="1"/>
      <c r="BKF229" s="1"/>
      <c r="BKG229" s="1"/>
      <c r="BKH229" s="1"/>
      <c r="BKI229" s="1"/>
      <c r="BKJ229" s="1"/>
      <c r="BKK229" s="1"/>
      <c r="BKL229" s="1"/>
      <c r="BKM229" s="1"/>
      <c r="BKN229" s="1"/>
      <c r="BKO229" s="1"/>
      <c r="BKP229" s="1"/>
      <c r="BKQ229" s="1"/>
      <c r="BKR229" s="1"/>
      <c r="BKS229" s="1"/>
      <c r="BKT229" s="1"/>
      <c r="BKU229" s="1"/>
      <c r="BKV229" s="1"/>
      <c r="BKW229" s="1"/>
      <c r="BKX229" s="1"/>
      <c r="BKY229" s="1"/>
      <c r="BKZ229" s="1"/>
      <c r="BLA229" s="1"/>
      <c r="BLB229" s="1"/>
      <c r="BLC229" s="1"/>
      <c r="BLD229" s="1"/>
      <c r="BLE229" s="1"/>
      <c r="BLF229" s="1"/>
      <c r="BLG229" s="1"/>
      <c r="BLH229" s="1"/>
      <c r="BLI229" s="1"/>
      <c r="BLJ229" s="1"/>
      <c r="BLK229" s="1"/>
      <c r="BLL229" s="1"/>
      <c r="BLM229" s="1"/>
      <c r="BLN229" s="1"/>
      <c r="BLO229" s="1"/>
      <c r="BLP229" s="1"/>
      <c r="BLQ229" s="1"/>
      <c r="BLR229" s="1"/>
      <c r="BLS229" s="1"/>
      <c r="BLT229" s="1"/>
      <c r="BLU229" s="1"/>
      <c r="BLV229" s="1"/>
      <c r="BLW229" s="1"/>
      <c r="BLX229" s="1"/>
      <c r="BLY229" s="1"/>
      <c r="BLZ229" s="1"/>
      <c r="BMA229" s="1"/>
      <c r="BMB229" s="1"/>
      <c r="BMC229" s="1"/>
      <c r="BMD229" s="1"/>
      <c r="BME229" s="1"/>
      <c r="BMF229" s="1"/>
      <c r="BMG229" s="1"/>
      <c r="BMH229" s="1"/>
      <c r="BMI229" s="1"/>
      <c r="BMJ229" s="1"/>
      <c r="BMK229" s="1"/>
      <c r="BML229" s="1"/>
      <c r="BMM229" s="1"/>
      <c r="BMN229" s="1"/>
      <c r="BMO229" s="1"/>
      <c r="BMP229" s="1"/>
      <c r="BMQ229" s="1"/>
      <c r="BMR229" s="1"/>
      <c r="BMS229" s="1"/>
      <c r="BMT229" s="1"/>
      <c r="BMU229" s="1"/>
      <c r="BMV229" s="1"/>
      <c r="BMW229" s="1"/>
      <c r="BMX229" s="1"/>
      <c r="BMY229" s="1"/>
      <c r="BMZ229" s="1"/>
      <c r="BNA229" s="1"/>
      <c r="BNB229" s="1"/>
      <c r="BNC229" s="1"/>
      <c r="BND229" s="1"/>
      <c r="BNE229" s="1"/>
      <c r="BNF229" s="1"/>
      <c r="BNG229" s="1"/>
      <c r="BNH229" s="1"/>
      <c r="BNI229" s="1"/>
      <c r="BNJ229" s="1"/>
      <c r="BNK229" s="1"/>
      <c r="BNL229" s="1"/>
      <c r="BNM229" s="1"/>
      <c r="BNN229" s="1"/>
      <c r="BNO229" s="1"/>
      <c r="BNP229" s="1"/>
      <c r="BNQ229" s="1"/>
      <c r="BNR229" s="1"/>
      <c r="BNS229" s="1"/>
      <c r="BNT229" s="1"/>
      <c r="BNU229" s="1"/>
      <c r="BNV229" s="1"/>
      <c r="BNW229" s="1"/>
      <c r="BNX229" s="1"/>
      <c r="BNY229" s="1"/>
      <c r="BNZ229" s="1"/>
      <c r="BOA229" s="1"/>
      <c r="BOB229" s="1"/>
      <c r="BOC229" s="1"/>
      <c r="BOD229" s="1"/>
      <c r="BOE229" s="1"/>
      <c r="BOF229" s="1"/>
      <c r="BOG229" s="1"/>
      <c r="BOH229" s="1"/>
      <c r="BOI229" s="1"/>
      <c r="BOJ229" s="1"/>
      <c r="BOK229" s="1"/>
      <c r="BOL229" s="1"/>
      <c r="BOM229" s="1"/>
      <c r="BON229" s="1"/>
      <c r="BOO229" s="1"/>
      <c r="BOP229" s="1"/>
      <c r="BOQ229" s="1"/>
      <c r="BOR229" s="1"/>
      <c r="BOS229" s="1"/>
      <c r="BOT229" s="1"/>
      <c r="BOU229" s="1"/>
      <c r="BOV229" s="1"/>
      <c r="BOW229" s="1"/>
      <c r="BOX229" s="1"/>
      <c r="BOY229" s="1"/>
      <c r="BOZ229" s="1"/>
      <c r="BPA229" s="1"/>
      <c r="BPB229" s="1"/>
      <c r="BPC229" s="1"/>
      <c r="BPD229" s="1"/>
      <c r="BPE229" s="1"/>
      <c r="BPF229" s="1"/>
      <c r="BPG229" s="1"/>
      <c r="BPH229" s="1"/>
      <c r="BPI229" s="1"/>
      <c r="BPJ229" s="1"/>
      <c r="BPK229" s="1"/>
      <c r="BPL229" s="1"/>
      <c r="BPM229" s="1"/>
      <c r="BPN229" s="1"/>
      <c r="BPO229" s="1"/>
      <c r="BPP229" s="1"/>
      <c r="BPQ229" s="1"/>
      <c r="BPR229" s="1"/>
      <c r="BPS229" s="1"/>
      <c r="BPT229" s="1"/>
      <c r="BPU229" s="1"/>
      <c r="BPV229" s="1"/>
      <c r="BPW229" s="1"/>
      <c r="BPX229" s="1"/>
      <c r="BPY229" s="1"/>
      <c r="BPZ229" s="1"/>
      <c r="BQA229" s="1"/>
      <c r="BQB229" s="1"/>
      <c r="BQC229" s="1"/>
      <c r="BQD229" s="1"/>
      <c r="BQE229" s="1"/>
      <c r="BQF229" s="1"/>
      <c r="BQG229" s="1"/>
      <c r="BQH229" s="1"/>
      <c r="BQI229" s="1"/>
      <c r="BQJ229" s="1"/>
      <c r="BQK229" s="1"/>
      <c r="BQL229" s="1"/>
      <c r="BQM229" s="1"/>
      <c r="BQN229" s="1"/>
      <c r="BQO229" s="1"/>
      <c r="BQP229" s="1"/>
      <c r="BQQ229" s="1"/>
      <c r="BQR229" s="1"/>
      <c r="BQS229" s="1"/>
      <c r="BQT229" s="1"/>
      <c r="BQU229" s="1"/>
      <c r="BQV229" s="1"/>
      <c r="BQW229" s="1"/>
      <c r="BQX229" s="1"/>
      <c r="BQY229" s="1"/>
      <c r="BQZ229" s="1"/>
      <c r="BRA229" s="1"/>
      <c r="BRB229" s="1"/>
      <c r="BRC229" s="1"/>
      <c r="BRD229" s="1"/>
      <c r="BRE229" s="1"/>
      <c r="BRF229" s="1"/>
      <c r="BRG229" s="1"/>
      <c r="BRH229" s="1"/>
      <c r="BRI229" s="1"/>
      <c r="BRJ229" s="1"/>
      <c r="BRK229" s="1"/>
      <c r="BRL229" s="1"/>
      <c r="BRM229" s="1"/>
      <c r="BRN229" s="1"/>
      <c r="BRO229" s="1"/>
      <c r="BRP229" s="1"/>
      <c r="BRQ229" s="1"/>
      <c r="BRR229" s="1"/>
      <c r="BRS229" s="1"/>
      <c r="BRT229" s="1"/>
      <c r="BRU229" s="1"/>
      <c r="BRV229" s="1"/>
      <c r="BRW229" s="1"/>
      <c r="BRX229" s="1"/>
      <c r="BRY229" s="1"/>
      <c r="BRZ229" s="1"/>
      <c r="BSA229" s="1"/>
      <c r="BSB229" s="1"/>
      <c r="BSC229" s="1"/>
      <c r="BSD229" s="1"/>
      <c r="BSE229" s="1"/>
      <c r="BSF229" s="1"/>
      <c r="BSG229" s="1"/>
      <c r="BSH229" s="1"/>
      <c r="BSI229" s="1"/>
      <c r="BSJ229" s="1"/>
      <c r="BSK229" s="1"/>
      <c r="BSL229" s="1"/>
      <c r="BSM229" s="1"/>
      <c r="BSN229" s="1"/>
      <c r="BSO229" s="1"/>
      <c r="BSP229" s="1"/>
      <c r="BSQ229" s="1"/>
      <c r="BSR229" s="1"/>
      <c r="BSS229" s="1"/>
      <c r="BST229" s="1"/>
      <c r="BSU229" s="1"/>
      <c r="BSV229" s="1"/>
      <c r="BSW229" s="1"/>
      <c r="BSX229" s="1"/>
      <c r="BSY229" s="1"/>
      <c r="BSZ229" s="1"/>
      <c r="BTA229" s="1"/>
      <c r="BTB229" s="1"/>
      <c r="BTC229" s="1"/>
      <c r="BTD229" s="1"/>
      <c r="BTE229" s="1"/>
      <c r="BTF229" s="1"/>
      <c r="BTG229" s="1"/>
      <c r="BTH229" s="1"/>
      <c r="BTI229" s="1"/>
      <c r="BTJ229" s="1"/>
      <c r="BTK229" s="1"/>
      <c r="BTL229" s="1"/>
      <c r="BTM229" s="1"/>
      <c r="BTN229" s="1"/>
      <c r="BTO229" s="1"/>
      <c r="BTP229" s="1"/>
      <c r="BTQ229" s="1"/>
      <c r="BTR229" s="1"/>
      <c r="BTS229" s="1"/>
      <c r="BTT229" s="1"/>
      <c r="BTU229" s="1"/>
      <c r="BTV229" s="1"/>
      <c r="BTW229" s="1"/>
      <c r="BTX229" s="1"/>
      <c r="BTY229" s="1"/>
      <c r="BTZ229" s="1"/>
      <c r="BUA229" s="1"/>
      <c r="BUB229" s="1"/>
      <c r="BUC229" s="1"/>
      <c r="BUD229" s="1"/>
      <c r="BUE229" s="1"/>
      <c r="BUF229" s="1"/>
      <c r="BUG229" s="1"/>
      <c r="BUH229" s="1"/>
      <c r="BUI229" s="1"/>
      <c r="BUJ229" s="1"/>
      <c r="BUK229" s="1"/>
      <c r="BUL229" s="1"/>
      <c r="BUM229" s="1"/>
      <c r="BUN229" s="1"/>
      <c r="BUO229" s="1"/>
      <c r="BUP229" s="1"/>
      <c r="BUQ229" s="1"/>
      <c r="BUR229" s="1"/>
      <c r="BUS229" s="1"/>
      <c r="BUT229" s="1"/>
      <c r="BUU229" s="1"/>
      <c r="BUV229" s="1"/>
      <c r="BUW229" s="1"/>
      <c r="BUX229" s="1"/>
      <c r="BUY229" s="1"/>
      <c r="BUZ229" s="1"/>
      <c r="BVA229" s="1"/>
      <c r="BVB229" s="1"/>
      <c r="BVC229" s="1"/>
      <c r="BVD229" s="1"/>
      <c r="BVE229" s="1"/>
      <c r="BVF229" s="1"/>
      <c r="BVG229" s="1"/>
      <c r="BVH229" s="1"/>
      <c r="BVI229" s="1"/>
      <c r="BVJ229" s="1"/>
      <c r="BVK229" s="1"/>
      <c r="BVL229" s="1"/>
      <c r="BVM229" s="1"/>
      <c r="BVN229" s="1"/>
      <c r="BVO229" s="1"/>
      <c r="BVP229" s="1"/>
      <c r="BVQ229" s="1"/>
      <c r="BVR229" s="1"/>
      <c r="BVS229" s="1"/>
      <c r="BVT229" s="1"/>
      <c r="BVU229" s="1"/>
      <c r="BVV229" s="1"/>
      <c r="BVW229" s="1"/>
      <c r="BVX229" s="1"/>
      <c r="BVY229" s="1"/>
      <c r="BVZ229" s="1"/>
      <c r="BWA229" s="1"/>
      <c r="BWB229" s="1"/>
      <c r="BWC229" s="1"/>
      <c r="BWD229" s="1"/>
      <c r="BWE229" s="1"/>
      <c r="BWF229" s="1"/>
      <c r="BWG229" s="1"/>
      <c r="BWH229" s="1"/>
      <c r="BWI229" s="1"/>
      <c r="BWJ229" s="1"/>
      <c r="BWK229" s="1"/>
      <c r="BWL229" s="1"/>
      <c r="BWM229" s="1"/>
      <c r="BWN229" s="1"/>
      <c r="BWO229" s="1"/>
      <c r="BWP229" s="1"/>
      <c r="BWQ229" s="1"/>
      <c r="BWR229" s="1"/>
      <c r="BWS229" s="1"/>
      <c r="BWT229" s="1"/>
      <c r="BWU229" s="1"/>
      <c r="BWV229" s="1"/>
      <c r="BWW229" s="1"/>
      <c r="BWX229" s="1"/>
      <c r="BWY229" s="1"/>
      <c r="BWZ229" s="1"/>
      <c r="BXA229" s="1"/>
      <c r="BXB229" s="1"/>
      <c r="BXC229" s="1"/>
      <c r="BXD229" s="1"/>
      <c r="BXE229" s="1"/>
      <c r="BXF229" s="1"/>
      <c r="BXG229" s="1"/>
      <c r="BXH229" s="1"/>
      <c r="BXI229" s="1"/>
      <c r="BXJ229" s="1"/>
      <c r="BXK229" s="1"/>
      <c r="BXL229" s="1"/>
      <c r="BXM229" s="1"/>
      <c r="BXN229" s="1"/>
      <c r="BXO229" s="1"/>
      <c r="BXP229" s="1"/>
      <c r="BXQ229" s="1"/>
      <c r="BXR229" s="1"/>
      <c r="BXS229" s="1"/>
      <c r="BXT229" s="1"/>
      <c r="BXU229" s="1"/>
      <c r="BXV229" s="1"/>
      <c r="BXW229" s="1"/>
      <c r="BXX229" s="1"/>
      <c r="BXY229" s="1"/>
      <c r="BXZ229" s="1"/>
      <c r="BYA229" s="1"/>
      <c r="BYB229" s="1"/>
      <c r="BYC229" s="1"/>
      <c r="BYD229" s="1"/>
      <c r="BYE229" s="1"/>
      <c r="BYF229" s="1"/>
      <c r="BYG229" s="1"/>
      <c r="BYH229" s="1"/>
      <c r="BYI229" s="1"/>
      <c r="BYJ229" s="1"/>
      <c r="BYK229" s="1"/>
      <c r="BYL229" s="1"/>
      <c r="BYM229" s="1"/>
      <c r="BYN229" s="1"/>
      <c r="BYO229" s="1"/>
      <c r="BYP229" s="1"/>
      <c r="BYQ229" s="1"/>
      <c r="BYR229" s="1"/>
      <c r="BYS229" s="1"/>
      <c r="BYT229" s="1"/>
      <c r="BYU229" s="1"/>
      <c r="BYV229" s="1"/>
      <c r="BYW229" s="1"/>
      <c r="BYX229" s="1"/>
      <c r="BYY229" s="1"/>
      <c r="BYZ229" s="1"/>
      <c r="BZA229" s="1"/>
      <c r="BZB229" s="1"/>
      <c r="BZC229" s="1"/>
      <c r="BZD229" s="1"/>
      <c r="BZE229" s="1"/>
      <c r="BZF229" s="1"/>
      <c r="BZG229" s="1"/>
      <c r="BZH229" s="1"/>
      <c r="BZI229" s="1"/>
      <c r="BZJ229" s="1"/>
      <c r="BZK229" s="1"/>
      <c r="BZL229" s="1"/>
      <c r="BZM229" s="1"/>
      <c r="BZN229" s="1"/>
      <c r="BZO229" s="1"/>
      <c r="BZP229" s="1"/>
      <c r="BZQ229" s="1"/>
      <c r="BZR229" s="1"/>
      <c r="BZS229" s="1"/>
      <c r="BZT229" s="1"/>
      <c r="BZU229" s="1"/>
      <c r="BZV229" s="1"/>
      <c r="BZW229" s="1"/>
      <c r="BZX229" s="1"/>
      <c r="BZY229" s="1"/>
      <c r="BZZ229" s="1"/>
      <c r="CAA229" s="1"/>
      <c r="CAB229" s="1"/>
      <c r="CAC229" s="1"/>
      <c r="CAD229" s="1"/>
      <c r="CAE229" s="1"/>
      <c r="CAF229" s="1"/>
      <c r="CAG229" s="1"/>
      <c r="CAH229" s="1"/>
      <c r="CAI229" s="1"/>
      <c r="CAJ229" s="1"/>
      <c r="CAK229" s="1"/>
      <c r="CAL229" s="1"/>
      <c r="CAM229" s="1"/>
      <c r="CAN229" s="1"/>
      <c r="CAO229" s="1"/>
      <c r="CAP229" s="1"/>
      <c r="CAQ229" s="1"/>
      <c r="CAR229" s="1"/>
      <c r="CAS229" s="1"/>
      <c r="CAT229" s="1"/>
      <c r="CAU229" s="1"/>
      <c r="CAV229" s="1"/>
      <c r="CAW229" s="1"/>
      <c r="CAX229" s="1"/>
      <c r="CAY229" s="1"/>
      <c r="CAZ229" s="1"/>
      <c r="CBA229" s="1"/>
      <c r="CBB229" s="1"/>
      <c r="CBC229" s="1"/>
      <c r="CBD229" s="1"/>
      <c r="CBE229" s="1"/>
      <c r="CBF229" s="1"/>
      <c r="CBG229" s="1"/>
      <c r="CBH229" s="1"/>
      <c r="CBI229" s="1"/>
      <c r="CBJ229" s="1"/>
      <c r="CBK229" s="1"/>
      <c r="CBL229" s="1"/>
      <c r="CBM229" s="1"/>
      <c r="CBN229" s="1"/>
      <c r="CBO229" s="1"/>
      <c r="CBP229" s="1"/>
      <c r="CBQ229" s="1"/>
      <c r="CBR229" s="1"/>
      <c r="CBS229" s="1"/>
      <c r="CBT229" s="1"/>
      <c r="CBU229" s="1"/>
      <c r="CBV229" s="1"/>
      <c r="CBW229" s="1"/>
      <c r="CBX229" s="1"/>
      <c r="CBY229" s="1"/>
      <c r="CBZ229" s="1"/>
      <c r="CCA229" s="1"/>
      <c r="CCB229" s="1"/>
      <c r="CCC229" s="1"/>
      <c r="CCD229" s="1"/>
      <c r="CCE229" s="1"/>
      <c r="CCF229" s="1"/>
      <c r="CCG229" s="1"/>
      <c r="CCH229" s="1"/>
      <c r="CCI229" s="1"/>
      <c r="CCJ229" s="1"/>
      <c r="CCK229" s="1"/>
      <c r="CCL229" s="1"/>
      <c r="CCM229" s="1"/>
      <c r="CCN229" s="1"/>
      <c r="CCO229" s="1"/>
      <c r="CCP229" s="1"/>
      <c r="CCQ229" s="1"/>
      <c r="CCR229" s="1"/>
      <c r="CCS229" s="1"/>
      <c r="CCT229" s="1"/>
      <c r="CCU229" s="1"/>
      <c r="CCV229" s="1"/>
      <c r="CCW229" s="1"/>
      <c r="CCX229" s="1"/>
      <c r="CCY229" s="1"/>
      <c r="CCZ229" s="1"/>
      <c r="CDA229" s="1"/>
      <c r="CDB229" s="1"/>
      <c r="CDC229" s="1"/>
      <c r="CDD229" s="1"/>
      <c r="CDE229" s="1"/>
      <c r="CDF229" s="1"/>
      <c r="CDG229" s="1"/>
      <c r="CDH229" s="1"/>
      <c r="CDI229" s="1"/>
      <c r="CDJ229" s="1"/>
      <c r="CDK229" s="1"/>
      <c r="CDL229" s="1"/>
      <c r="CDM229" s="1"/>
      <c r="CDN229" s="1"/>
      <c r="CDO229" s="1"/>
      <c r="CDP229" s="1"/>
      <c r="CDQ229" s="1"/>
      <c r="CDR229" s="1"/>
      <c r="CDS229" s="1"/>
      <c r="CDT229" s="1"/>
      <c r="CDU229" s="1"/>
      <c r="CDV229" s="1"/>
      <c r="CDW229" s="1"/>
      <c r="CDX229" s="1"/>
      <c r="CDY229" s="1"/>
      <c r="CDZ229" s="1"/>
      <c r="CEA229" s="1"/>
      <c r="CEB229" s="1"/>
      <c r="CEC229" s="1"/>
      <c r="CED229" s="1"/>
      <c r="CEE229" s="1"/>
      <c r="CEF229" s="1"/>
      <c r="CEG229" s="1"/>
      <c r="CEH229" s="1"/>
      <c r="CEI229" s="1"/>
      <c r="CEJ229" s="1"/>
      <c r="CEK229" s="1"/>
      <c r="CEL229" s="1"/>
      <c r="CEM229" s="1"/>
      <c r="CEN229" s="1"/>
      <c r="CEO229" s="1"/>
      <c r="CEP229" s="1"/>
      <c r="CEQ229" s="1"/>
      <c r="CER229" s="1"/>
      <c r="CES229" s="1"/>
      <c r="CET229" s="1"/>
      <c r="CEU229" s="1"/>
      <c r="CEV229" s="1"/>
      <c r="CEW229" s="1"/>
      <c r="CEX229" s="1"/>
      <c r="CEY229" s="1"/>
      <c r="CEZ229" s="1"/>
      <c r="CFA229" s="1"/>
      <c r="CFB229" s="1"/>
      <c r="CFC229" s="1"/>
      <c r="CFD229" s="1"/>
      <c r="CFE229" s="1"/>
      <c r="CFF229" s="1"/>
      <c r="CFG229" s="1"/>
      <c r="CFH229" s="1"/>
      <c r="CFI229" s="1"/>
      <c r="CFJ229" s="1"/>
      <c r="CFK229" s="1"/>
      <c r="CFL229" s="1"/>
      <c r="CFM229" s="1"/>
      <c r="CFN229" s="1"/>
      <c r="CFO229" s="1"/>
      <c r="CFP229" s="1"/>
      <c r="CFQ229" s="1"/>
      <c r="CFR229" s="1"/>
      <c r="CFS229" s="1"/>
      <c r="CFT229" s="1"/>
      <c r="CFU229" s="1"/>
      <c r="CFV229" s="1"/>
      <c r="CFW229" s="1"/>
      <c r="CFX229" s="1"/>
      <c r="CFY229" s="1"/>
      <c r="CFZ229" s="1"/>
      <c r="CGA229" s="1"/>
      <c r="CGB229" s="1"/>
      <c r="CGC229" s="1"/>
      <c r="CGD229" s="1"/>
      <c r="CGE229" s="1"/>
      <c r="CGF229" s="1"/>
      <c r="CGG229" s="1"/>
      <c r="CGH229" s="1"/>
      <c r="CGI229" s="1"/>
      <c r="CGJ229" s="1"/>
      <c r="CGK229" s="1"/>
      <c r="CGL229" s="1"/>
      <c r="CGM229" s="1"/>
      <c r="CGN229" s="1"/>
      <c r="CGO229" s="1"/>
      <c r="CGP229" s="1"/>
      <c r="CGQ229" s="1"/>
      <c r="CGR229" s="1"/>
      <c r="CGS229" s="1"/>
      <c r="CGT229" s="1"/>
      <c r="CGU229" s="1"/>
      <c r="CGV229" s="1"/>
      <c r="CGW229" s="1"/>
      <c r="CGX229" s="1"/>
      <c r="CGY229" s="1"/>
      <c r="CGZ229" s="1"/>
      <c r="CHA229" s="1"/>
      <c r="CHB229" s="1"/>
      <c r="CHC229" s="1"/>
      <c r="CHD229" s="1"/>
      <c r="CHE229" s="1"/>
      <c r="CHF229" s="1"/>
      <c r="CHG229" s="1"/>
      <c r="CHH229" s="1"/>
      <c r="CHI229" s="1"/>
      <c r="CHJ229" s="1"/>
      <c r="CHK229" s="1"/>
      <c r="CHL229" s="1"/>
      <c r="CHM229" s="1"/>
      <c r="CHN229" s="1"/>
      <c r="CHO229" s="1"/>
      <c r="CHP229" s="1"/>
      <c r="CHQ229" s="1"/>
      <c r="CHR229" s="1"/>
      <c r="CHS229" s="1"/>
      <c r="CHT229" s="1"/>
      <c r="CHU229" s="1"/>
      <c r="CHV229" s="1"/>
      <c r="CHW229" s="1"/>
      <c r="CHX229" s="1"/>
      <c r="CHY229" s="1"/>
      <c r="CHZ229" s="1"/>
      <c r="CIA229" s="1"/>
      <c r="CIB229" s="1"/>
      <c r="CIC229" s="1"/>
      <c r="CID229" s="1"/>
      <c r="CIE229" s="1"/>
      <c r="CIF229" s="1"/>
      <c r="CIG229" s="1"/>
      <c r="CIH229" s="1"/>
      <c r="CII229" s="1"/>
      <c r="CIJ229" s="1"/>
      <c r="CIK229" s="1"/>
      <c r="CIL229" s="1"/>
      <c r="CIM229" s="1"/>
      <c r="CIN229" s="1"/>
      <c r="CIO229" s="1"/>
      <c r="CIP229" s="1"/>
      <c r="CIQ229" s="1"/>
      <c r="CIR229" s="1"/>
      <c r="CIS229" s="1"/>
      <c r="CIT229" s="1"/>
      <c r="CIU229" s="1"/>
      <c r="CIV229" s="1"/>
      <c r="CIW229" s="1"/>
      <c r="CIX229" s="1"/>
      <c r="CIY229" s="1"/>
      <c r="CIZ229" s="1"/>
      <c r="CJA229" s="1"/>
      <c r="CJB229" s="1"/>
      <c r="CJC229" s="1"/>
      <c r="CJD229" s="1"/>
      <c r="CJE229" s="1"/>
      <c r="CJF229" s="1"/>
      <c r="CJG229" s="1"/>
      <c r="CJH229" s="1"/>
      <c r="CJI229" s="1"/>
      <c r="CJJ229" s="1"/>
      <c r="CJK229" s="1"/>
      <c r="CJL229" s="1"/>
      <c r="CJM229" s="1"/>
      <c r="CJN229" s="1"/>
      <c r="CJO229" s="1"/>
      <c r="CJP229" s="1"/>
      <c r="CJQ229" s="1"/>
      <c r="CJR229" s="1"/>
      <c r="CJS229" s="1"/>
      <c r="CJT229" s="1"/>
      <c r="CJU229" s="1"/>
      <c r="CJV229" s="1"/>
      <c r="CJW229" s="1"/>
      <c r="CJX229" s="1"/>
      <c r="CJY229" s="1"/>
      <c r="CJZ229" s="1"/>
      <c r="CKA229" s="1"/>
      <c r="CKB229" s="1"/>
      <c r="CKC229" s="1"/>
      <c r="CKD229" s="1"/>
      <c r="CKE229" s="1"/>
      <c r="CKF229" s="1"/>
      <c r="CKG229" s="1"/>
      <c r="CKH229" s="1"/>
      <c r="CKI229" s="1"/>
      <c r="CKJ229" s="1"/>
      <c r="CKK229" s="1"/>
      <c r="CKL229" s="1"/>
      <c r="CKM229" s="1"/>
      <c r="CKN229" s="1"/>
      <c r="CKO229" s="1"/>
      <c r="CKP229" s="1"/>
      <c r="CKQ229" s="1"/>
      <c r="CKR229" s="1"/>
      <c r="CKS229" s="1"/>
      <c r="CKT229" s="1"/>
      <c r="CKU229" s="1"/>
      <c r="CKV229" s="1"/>
      <c r="CKW229" s="1"/>
      <c r="CKX229" s="1"/>
      <c r="CKY229" s="1"/>
      <c r="CKZ229" s="1"/>
      <c r="CLA229" s="1"/>
      <c r="CLB229" s="1"/>
      <c r="CLC229" s="1"/>
      <c r="CLD229" s="1"/>
      <c r="CLE229" s="1"/>
      <c r="CLF229" s="1"/>
      <c r="CLG229" s="1"/>
      <c r="CLH229" s="1"/>
      <c r="CLI229" s="1"/>
      <c r="CLJ229" s="1"/>
      <c r="CLK229" s="1"/>
      <c r="CLL229" s="1"/>
      <c r="CLM229" s="1"/>
      <c r="CLN229" s="1"/>
      <c r="CLO229" s="1"/>
      <c r="CLP229" s="1"/>
      <c r="CLQ229" s="1"/>
      <c r="CLR229" s="1"/>
      <c r="CLS229" s="1"/>
      <c r="CLT229" s="1"/>
      <c r="CLU229" s="1"/>
      <c r="CLV229" s="1"/>
      <c r="CLW229" s="1"/>
      <c r="CLX229" s="1"/>
      <c r="CLY229" s="1"/>
      <c r="CLZ229" s="1"/>
      <c r="CMA229" s="1"/>
      <c r="CMB229" s="1"/>
      <c r="CMC229" s="1"/>
      <c r="CMD229" s="1"/>
      <c r="CME229" s="1"/>
      <c r="CMF229" s="1"/>
      <c r="CMG229" s="1"/>
      <c r="CMH229" s="1"/>
      <c r="CMI229" s="1"/>
      <c r="CMJ229" s="1"/>
      <c r="CMK229" s="1"/>
      <c r="CML229" s="1"/>
      <c r="CMM229" s="1"/>
      <c r="CMN229" s="1"/>
      <c r="CMO229" s="1"/>
      <c r="CMP229" s="1"/>
      <c r="CMQ229" s="1"/>
      <c r="CMR229" s="1"/>
      <c r="CMS229" s="1"/>
      <c r="CMT229" s="1"/>
      <c r="CMU229" s="1"/>
      <c r="CMV229" s="1"/>
      <c r="CMW229" s="1"/>
      <c r="CMX229" s="1"/>
      <c r="CMY229" s="1"/>
      <c r="CMZ229" s="1"/>
      <c r="CNA229" s="1"/>
      <c r="CNB229" s="1"/>
      <c r="CNC229" s="1"/>
      <c r="CND229" s="1"/>
      <c r="CNE229" s="1"/>
      <c r="CNF229" s="1"/>
      <c r="CNG229" s="1"/>
      <c r="CNH229" s="1"/>
      <c r="CNI229" s="1"/>
      <c r="CNJ229" s="1"/>
      <c r="CNK229" s="1"/>
      <c r="CNL229" s="1"/>
      <c r="CNM229" s="1"/>
      <c r="CNN229" s="1"/>
      <c r="CNO229" s="1"/>
      <c r="CNP229" s="1"/>
      <c r="CNQ229" s="1"/>
      <c r="CNR229" s="1"/>
      <c r="CNS229" s="1"/>
      <c r="CNT229" s="1"/>
      <c r="CNU229" s="1"/>
      <c r="CNV229" s="1"/>
      <c r="CNW229" s="1"/>
      <c r="CNX229" s="1"/>
      <c r="CNY229" s="1"/>
      <c r="CNZ229" s="1"/>
      <c r="COA229" s="1"/>
      <c r="COB229" s="1"/>
      <c r="COC229" s="1"/>
      <c r="COD229" s="1"/>
      <c r="COE229" s="1"/>
      <c r="COF229" s="1"/>
      <c r="COG229" s="1"/>
      <c r="COH229" s="1"/>
      <c r="COI229" s="1"/>
      <c r="COJ229" s="1"/>
      <c r="COK229" s="1"/>
      <c r="COL229" s="1"/>
      <c r="COM229" s="1"/>
      <c r="CON229" s="1"/>
      <c r="COO229" s="1"/>
      <c r="COP229" s="1"/>
      <c r="COQ229" s="1"/>
      <c r="COR229" s="1"/>
      <c r="COS229" s="1"/>
      <c r="COT229" s="1"/>
      <c r="COU229" s="1"/>
      <c r="COV229" s="1"/>
      <c r="COW229" s="1"/>
      <c r="COX229" s="1"/>
      <c r="COY229" s="1"/>
      <c r="COZ229" s="1"/>
      <c r="CPA229" s="1"/>
      <c r="CPB229" s="1"/>
      <c r="CPC229" s="1"/>
      <c r="CPD229" s="1"/>
      <c r="CPE229" s="1"/>
      <c r="CPF229" s="1"/>
      <c r="CPG229" s="1"/>
      <c r="CPH229" s="1"/>
      <c r="CPI229" s="1"/>
      <c r="CPJ229" s="1"/>
      <c r="CPK229" s="1"/>
      <c r="CPL229" s="1"/>
      <c r="CPM229" s="1"/>
      <c r="CPN229" s="1"/>
      <c r="CPO229" s="1"/>
      <c r="CPP229" s="1"/>
      <c r="CPQ229" s="1"/>
      <c r="CPR229" s="1"/>
      <c r="CPS229" s="1"/>
      <c r="CPT229" s="1"/>
      <c r="CPU229" s="1"/>
      <c r="CPV229" s="1"/>
      <c r="CPW229" s="1"/>
      <c r="CPX229" s="1"/>
      <c r="CPY229" s="1"/>
      <c r="CPZ229" s="1"/>
      <c r="CQA229" s="1"/>
      <c r="CQB229" s="1"/>
      <c r="CQC229" s="1"/>
      <c r="CQD229" s="1"/>
      <c r="CQE229" s="1"/>
      <c r="CQF229" s="1"/>
      <c r="CQG229" s="1"/>
      <c r="CQH229" s="1"/>
      <c r="CQI229" s="1"/>
      <c r="CQJ229" s="1"/>
      <c r="CQK229" s="1"/>
      <c r="CQL229" s="1"/>
      <c r="CQM229" s="1"/>
      <c r="CQN229" s="1"/>
      <c r="CQO229" s="1"/>
      <c r="CQP229" s="1"/>
      <c r="CQQ229" s="1"/>
      <c r="CQR229" s="1"/>
      <c r="CQS229" s="1"/>
      <c r="CQT229" s="1"/>
      <c r="CQU229" s="1"/>
      <c r="CQV229" s="1"/>
      <c r="CQW229" s="1"/>
      <c r="CQX229" s="1"/>
      <c r="CQY229" s="1"/>
      <c r="CQZ229" s="1"/>
      <c r="CRA229" s="1"/>
      <c r="CRB229" s="1"/>
      <c r="CRC229" s="1"/>
      <c r="CRD229" s="1"/>
      <c r="CRE229" s="1"/>
      <c r="CRF229" s="1"/>
      <c r="CRG229" s="1"/>
      <c r="CRH229" s="1"/>
      <c r="CRI229" s="1"/>
      <c r="CRJ229" s="1"/>
      <c r="CRK229" s="1"/>
      <c r="CRL229" s="1"/>
      <c r="CRM229" s="1"/>
      <c r="CRN229" s="1"/>
      <c r="CRO229" s="1"/>
      <c r="CRP229" s="1"/>
      <c r="CRQ229" s="1"/>
      <c r="CRR229" s="1"/>
      <c r="CRS229" s="1"/>
      <c r="CRT229" s="1"/>
      <c r="CRU229" s="1"/>
      <c r="CRV229" s="1"/>
      <c r="CRW229" s="1"/>
      <c r="CRX229" s="1"/>
      <c r="CRY229" s="1"/>
      <c r="CRZ229" s="1"/>
      <c r="CSA229" s="1"/>
      <c r="CSB229" s="1"/>
      <c r="CSC229" s="1"/>
      <c r="CSD229" s="1"/>
      <c r="CSE229" s="1"/>
      <c r="CSF229" s="1"/>
      <c r="CSG229" s="1"/>
      <c r="CSH229" s="1"/>
      <c r="CSI229" s="1"/>
      <c r="CSJ229" s="1"/>
      <c r="CSK229" s="1"/>
      <c r="CSL229" s="1"/>
      <c r="CSM229" s="1"/>
      <c r="CSN229" s="1"/>
      <c r="CSO229" s="1"/>
      <c r="CSP229" s="1"/>
      <c r="CSQ229" s="1"/>
      <c r="CSR229" s="1"/>
      <c r="CSS229" s="1"/>
      <c r="CST229" s="1"/>
      <c r="CSU229" s="1"/>
      <c r="CSV229" s="1"/>
      <c r="CSW229" s="1"/>
      <c r="CSX229" s="1"/>
      <c r="CSY229" s="1"/>
      <c r="CSZ229" s="1"/>
      <c r="CTA229" s="1"/>
      <c r="CTB229" s="1"/>
      <c r="CTC229" s="1"/>
      <c r="CTD229" s="1"/>
      <c r="CTE229" s="1"/>
      <c r="CTF229" s="1"/>
      <c r="CTG229" s="1"/>
      <c r="CTH229" s="1"/>
      <c r="CTI229" s="1"/>
      <c r="CTJ229" s="1"/>
      <c r="CTK229" s="1"/>
      <c r="CTL229" s="1"/>
      <c r="CTM229" s="1"/>
      <c r="CTN229" s="1"/>
      <c r="CTO229" s="1"/>
      <c r="CTP229" s="1"/>
      <c r="CTQ229" s="1"/>
      <c r="CTR229" s="1"/>
      <c r="CTS229" s="1"/>
      <c r="CTT229" s="1"/>
      <c r="CTU229" s="1"/>
      <c r="CTV229" s="1"/>
      <c r="CTW229" s="1"/>
      <c r="CTX229" s="1"/>
      <c r="CTY229" s="1"/>
      <c r="CTZ229" s="1"/>
      <c r="CUA229" s="1"/>
      <c r="CUB229" s="1"/>
      <c r="CUC229" s="1"/>
      <c r="CUD229" s="1"/>
      <c r="CUE229" s="1"/>
      <c r="CUF229" s="1"/>
      <c r="CUG229" s="1"/>
      <c r="CUH229" s="1"/>
      <c r="CUI229" s="1"/>
      <c r="CUJ229" s="1"/>
      <c r="CUK229" s="1"/>
      <c r="CUL229" s="1"/>
      <c r="CUM229" s="1"/>
      <c r="CUN229" s="1"/>
      <c r="CUO229" s="1"/>
      <c r="CUP229" s="1"/>
      <c r="CUQ229" s="1"/>
      <c r="CUR229" s="1"/>
      <c r="CUS229" s="1"/>
      <c r="CUT229" s="1"/>
      <c r="CUU229" s="1"/>
      <c r="CUV229" s="1"/>
      <c r="CUW229" s="1"/>
      <c r="CUX229" s="1"/>
      <c r="CUY229" s="1"/>
      <c r="CUZ229" s="1"/>
      <c r="CVA229" s="1"/>
      <c r="CVB229" s="1"/>
      <c r="CVC229" s="1"/>
      <c r="CVD229" s="1"/>
      <c r="CVE229" s="1"/>
      <c r="CVF229" s="1"/>
      <c r="CVG229" s="1"/>
      <c r="CVH229" s="1"/>
      <c r="CVI229" s="1"/>
      <c r="CVJ229" s="1"/>
      <c r="CVK229" s="1"/>
      <c r="CVL229" s="1"/>
      <c r="CVM229" s="1"/>
      <c r="CVN229" s="1"/>
      <c r="CVO229" s="1"/>
      <c r="CVP229" s="1"/>
      <c r="CVQ229" s="1"/>
      <c r="CVR229" s="1"/>
      <c r="CVS229" s="1"/>
      <c r="CVT229" s="1"/>
      <c r="CVU229" s="1"/>
      <c r="CVV229" s="1"/>
      <c r="CVW229" s="1"/>
      <c r="CVX229" s="1"/>
      <c r="CVY229" s="1"/>
      <c r="CVZ229" s="1"/>
      <c r="CWA229" s="1"/>
      <c r="CWB229" s="1"/>
      <c r="CWC229" s="1"/>
      <c r="CWD229" s="1"/>
      <c r="CWE229" s="1"/>
      <c r="CWF229" s="1"/>
      <c r="CWG229" s="1"/>
      <c r="CWH229" s="1"/>
      <c r="CWI229" s="1"/>
      <c r="CWJ229" s="1"/>
      <c r="CWK229" s="1"/>
      <c r="CWL229" s="1"/>
      <c r="CWM229" s="1"/>
      <c r="CWN229" s="1"/>
      <c r="CWO229" s="1"/>
      <c r="CWP229" s="1"/>
      <c r="CWQ229" s="1"/>
      <c r="CWR229" s="1"/>
      <c r="CWS229" s="1"/>
      <c r="CWT229" s="1"/>
      <c r="CWU229" s="1"/>
      <c r="CWV229" s="1"/>
      <c r="CWW229" s="1"/>
      <c r="CWX229" s="1"/>
      <c r="CWY229" s="1"/>
      <c r="CWZ229" s="1"/>
      <c r="CXA229" s="1"/>
      <c r="CXB229" s="1"/>
      <c r="CXC229" s="1"/>
      <c r="CXD229" s="1"/>
      <c r="CXE229" s="1"/>
      <c r="CXF229" s="1"/>
      <c r="CXG229" s="1"/>
      <c r="CXH229" s="1"/>
      <c r="CXI229" s="1"/>
      <c r="CXJ229" s="1"/>
      <c r="CXK229" s="1"/>
      <c r="CXL229" s="1"/>
      <c r="CXM229" s="1"/>
      <c r="CXN229" s="1"/>
      <c r="CXO229" s="1"/>
      <c r="CXP229" s="1"/>
      <c r="CXQ229" s="1"/>
      <c r="CXR229" s="1"/>
      <c r="CXS229" s="1"/>
      <c r="CXT229" s="1"/>
      <c r="CXU229" s="1"/>
      <c r="CXV229" s="1"/>
      <c r="CXW229" s="1"/>
      <c r="CXX229" s="1"/>
      <c r="CXY229" s="1"/>
      <c r="CXZ229" s="1"/>
      <c r="CYA229" s="1"/>
      <c r="CYB229" s="1"/>
      <c r="CYC229" s="1"/>
      <c r="CYD229" s="1"/>
      <c r="CYE229" s="1"/>
      <c r="CYF229" s="1"/>
      <c r="CYG229" s="1"/>
      <c r="CYH229" s="1"/>
      <c r="CYI229" s="1"/>
      <c r="CYJ229" s="1"/>
      <c r="CYK229" s="1"/>
      <c r="CYL229" s="1"/>
      <c r="CYM229" s="1"/>
      <c r="CYN229" s="1"/>
      <c r="CYO229" s="1"/>
      <c r="CYP229" s="1"/>
      <c r="CYQ229" s="1"/>
      <c r="CYR229" s="1"/>
      <c r="CYS229" s="1"/>
      <c r="CYT229" s="1"/>
      <c r="CYU229" s="1"/>
      <c r="CYV229" s="1"/>
      <c r="CYW229" s="1"/>
      <c r="CYX229" s="1"/>
      <c r="CYY229" s="1"/>
      <c r="CYZ229" s="1"/>
      <c r="CZA229" s="1"/>
      <c r="CZB229" s="1"/>
      <c r="CZC229" s="1"/>
      <c r="CZD229" s="1"/>
      <c r="CZE229" s="1"/>
      <c r="CZF229" s="1"/>
      <c r="CZG229" s="1"/>
      <c r="CZH229" s="1"/>
      <c r="CZI229" s="1"/>
      <c r="CZJ229" s="1"/>
      <c r="CZK229" s="1"/>
      <c r="CZL229" s="1"/>
      <c r="CZM229" s="1"/>
      <c r="CZN229" s="1"/>
      <c r="CZO229" s="1"/>
      <c r="CZP229" s="1"/>
      <c r="CZQ229" s="1"/>
      <c r="CZR229" s="1"/>
      <c r="CZS229" s="1"/>
      <c r="CZT229" s="1"/>
      <c r="CZU229" s="1"/>
      <c r="CZV229" s="1"/>
      <c r="CZW229" s="1"/>
      <c r="CZX229" s="1"/>
      <c r="CZY229" s="1"/>
      <c r="CZZ229" s="1"/>
      <c r="DAA229" s="1"/>
      <c r="DAB229" s="1"/>
      <c r="DAC229" s="1"/>
      <c r="DAD229" s="1"/>
      <c r="DAE229" s="1"/>
      <c r="DAF229" s="1"/>
      <c r="DAG229" s="1"/>
      <c r="DAH229" s="1"/>
      <c r="DAI229" s="1"/>
      <c r="DAJ229" s="1"/>
      <c r="DAK229" s="1"/>
      <c r="DAL229" s="1"/>
      <c r="DAM229" s="1"/>
      <c r="DAN229" s="1"/>
      <c r="DAO229" s="1"/>
      <c r="DAP229" s="1"/>
      <c r="DAQ229" s="1"/>
      <c r="DAR229" s="1"/>
      <c r="DAS229" s="1"/>
      <c r="DAT229" s="1"/>
      <c r="DAU229" s="1"/>
      <c r="DAV229" s="1"/>
      <c r="DAW229" s="1"/>
      <c r="DAX229" s="1"/>
      <c r="DAY229" s="1"/>
      <c r="DAZ229" s="1"/>
      <c r="DBA229" s="1"/>
      <c r="DBB229" s="1"/>
      <c r="DBC229" s="1"/>
      <c r="DBD229" s="1"/>
      <c r="DBE229" s="1"/>
      <c r="DBF229" s="1"/>
      <c r="DBG229" s="1"/>
      <c r="DBH229" s="1"/>
      <c r="DBI229" s="1"/>
      <c r="DBJ229" s="1"/>
      <c r="DBK229" s="1"/>
      <c r="DBL229" s="1"/>
      <c r="DBM229" s="1"/>
      <c r="DBN229" s="1"/>
      <c r="DBO229" s="1"/>
      <c r="DBP229" s="1"/>
      <c r="DBQ229" s="1"/>
      <c r="DBR229" s="1"/>
      <c r="DBS229" s="1"/>
      <c r="DBT229" s="1"/>
      <c r="DBU229" s="1"/>
      <c r="DBV229" s="1"/>
      <c r="DBW229" s="1"/>
      <c r="DBX229" s="1"/>
      <c r="DBY229" s="1"/>
      <c r="DBZ229" s="1"/>
      <c r="DCA229" s="1"/>
      <c r="DCB229" s="1"/>
      <c r="DCC229" s="1"/>
      <c r="DCD229" s="1"/>
      <c r="DCE229" s="1"/>
      <c r="DCF229" s="1"/>
      <c r="DCG229" s="1"/>
      <c r="DCH229" s="1"/>
      <c r="DCI229" s="1"/>
      <c r="DCJ229" s="1"/>
      <c r="DCK229" s="1"/>
      <c r="DCL229" s="1"/>
      <c r="DCM229" s="1"/>
      <c r="DCN229" s="1"/>
      <c r="DCO229" s="1"/>
      <c r="DCP229" s="1"/>
      <c r="DCQ229" s="1"/>
      <c r="DCR229" s="1"/>
      <c r="DCS229" s="1"/>
      <c r="DCT229" s="1"/>
      <c r="DCU229" s="1"/>
      <c r="DCV229" s="1"/>
      <c r="DCW229" s="1"/>
      <c r="DCX229" s="1"/>
      <c r="DCY229" s="1"/>
      <c r="DCZ229" s="1"/>
      <c r="DDA229" s="1"/>
      <c r="DDB229" s="1"/>
      <c r="DDC229" s="1"/>
      <c r="DDD229" s="1"/>
      <c r="DDE229" s="1"/>
      <c r="DDF229" s="1"/>
      <c r="DDG229" s="1"/>
      <c r="DDH229" s="1"/>
      <c r="DDI229" s="1"/>
      <c r="DDJ229" s="1"/>
      <c r="DDK229" s="1"/>
      <c r="DDL229" s="1"/>
      <c r="DDM229" s="1"/>
      <c r="DDN229" s="1"/>
      <c r="DDO229" s="1"/>
      <c r="DDP229" s="1"/>
      <c r="DDQ229" s="1"/>
      <c r="DDR229" s="1"/>
      <c r="DDS229" s="1"/>
      <c r="DDT229" s="1"/>
      <c r="DDU229" s="1"/>
      <c r="DDV229" s="1"/>
      <c r="DDW229" s="1"/>
      <c r="DDX229" s="1"/>
      <c r="DDY229" s="1"/>
      <c r="DDZ229" s="1"/>
      <c r="DEA229" s="1"/>
      <c r="DEB229" s="1"/>
      <c r="DEC229" s="1"/>
      <c r="DED229" s="1"/>
      <c r="DEE229" s="1"/>
      <c r="DEF229" s="1"/>
      <c r="DEG229" s="1"/>
      <c r="DEH229" s="1"/>
      <c r="DEI229" s="1"/>
      <c r="DEJ229" s="1"/>
      <c r="DEK229" s="1"/>
      <c r="DEL229" s="1"/>
      <c r="DEM229" s="1"/>
      <c r="DEN229" s="1"/>
      <c r="DEO229" s="1"/>
      <c r="DEP229" s="1"/>
      <c r="DEQ229" s="1"/>
      <c r="DER229" s="1"/>
      <c r="DES229" s="1"/>
      <c r="DET229" s="1"/>
      <c r="DEU229" s="1"/>
      <c r="DEV229" s="1"/>
      <c r="DEW229" s="1"/>
      <c r="DEX229" s="1"/>
      <c r="DEY229" s="1"/>
      <c r="DEZ229" s="1"/>
      <c r="DFA229" s="1"/>
      <c r="DFB229" s="1"/>
      <c r="DFC229" s="1"/>
      <c r="DFD229" s="1"/>
      <c r="DFE229" s="1"/>
      <c r="DFF229" s="1"/>
      <c r="DFG229" s="1"/>
      <c r="DFH229" s="1"/>
      <c r="DFI229" s="1"/>
      <c r="DFJ229" s="1"/>
      <c r="DFK229" s="1"/>
      <c r="DFL229" s="1"/>
      <c r="DFM229" s="1"/>
      <c r="DFN229" s="1"/>
      <c r="DFO229" s="1"/>
      <c r="DFP229" s="1"/>
      <c r="DFQ229" s="1"/>
      <c r="DFR229" s="1"/>
      <c r="DFS229" s="1"/>
      <c r="DFT229" s="1"/>
      <c r="DFU229" s="1"/>
      <c r="DFV229" s="1"/>
      <c r="DFW229" s="1"/>
      <c r="DFX229" s="1"/>
      <c r="DFY229" s="1"/>
      <c r="DFZ229" s="1"/>
      <c r="DGA229" s="1"/>
      <c r="DGB229" s="1"/>
      <c r="DGC229" s="1"/>
      <c r="DGD229" s="1"/>
      <c r="DGE229" s="1"/>
      <c r="DGF229" s="1"/>
      <c r="DGG229" s="1"/>
      <c r="DGH229" s="1"/>
      <c r="DGI229" s="1"/>
      <c r="DGJ229" s="1"/>
      <c r="DGK229" s="1"/>
      <c r="DGL229" s="1"/>
      <c r="DGM229" s="1"/>
      <c r="DGN229" s="1"/>
      <c r="DGO229" s="1"/>
      <c r="DGP229" s="1"/>
      <c r="DGQ229" s="1"/>
      <c r="DGR229" s="1"/>
      <c r="DGS229" s="1"/>
      <c r="DGT229" s="1"/>
      <c r="DGU229" s="1"/>
      <c r="DGV229" s="1"/>
      <c r="DGW229" s="1"/>
      <c r="DGX229" s="1"/>
      <c r="DGY229" s="1"/>
      <c r="DGZ229" s="1"/>
      <c r="DHA229" s="1"/>
      <c r="DHB229" s="1"/>
      <c r="DHC229" s="1"/>
      <c r="DHD229" s="1"/>
      <c r="DHE229" s="1"/>
      <c r="DHF229" s="1"/>
      <c r="DHG229" s="1"/>
      <c r="DHH229" s="1"/>
      <c r="DHI229" s="1"/>
      <c r="DHJ229" s="1"/>
      <c r="DHK229" s="1"/>
      <c r="DHL229" s="1"/>
      <c r="DHM229" s="1"/>
      <c r="DHN229" s="1"/>
      <c r="DHO229" s="1"/>
      <c r="DHP229" s="1"/>
      <c r="DHQ229" s="1"/>
      <c r="DHR229" s="1"/>
      <c r="DHS229" s="1"/>
      <c r="DHT229" s="1"/>
      <c r="DHU229" s="1"/>
      <c r="DHV229" s="1"/>
      <c r="DHW229" s="1"/>
      <c r="DHX229" s="1"/>
      <c r="DHY229" s="1"/>
      <c r="DHZ229" s="1"/>
      <c r="DIA229" s="1"/>
      <c r="DIB229" s="1"/>
      <c r="DIC229" s="1"/>
      <c r="DID229" s="1"/>
      <c r="DIE229" s="1"/>
      <c r="DIF229" s="1"/>
      <c r="DIG229" s="1"/>
      <c r="DIH229" s="1"/>
      <c r="DII229" s="1"/>
      <c r="DIJ229" s="1"/>
      <c r="DIK229" s="1"/>
      <c r="DIL229" s="1"/>
      <c r="DIM229" s="1"/>
      <c r="DIN229" s="1"/>
      <c r="DIO229" s="1"/>
      <c r="DIP229" s="1"/>
      <c r="DIQ229" s="1"/>
      <c r="DIR229" s="1"/>
      <c r="DIS229" s="1"/>
      <c r="DIT229" s="1"/>
      <c r="DIU229" s="1"/>
      <c r="DIV229" s="1"/>
      <c r="DIW229" s="1"/>
      <c r="DIX229" s="1"/>
      <c r="DIY229" s="1"/>
      <c r="DIZ229" s="1"/>
      <c r="DJA229" s="1"/>
      <c r="DJB229" s="1"/>
      <c r="DJC229" s="1"/>
      <c r="DJD229" s="1"/>
      <c r="DJE229" s="1"/>
      <c r="DJF229" s="1"/>
      <c r="DJG229" s="1"/>
      <c r="DJH229" s="1"/>
      <c r="DJI229" s="1"/>
      <c r="DJJ229" s="1"/>
      <c r="DJK229" s="1"/>
      <c r="DJL229" s="1"/>
      <c r="DJM229" s="1"/>
      <c r="DJN229" s="1"/>
      <c r="DJO229" s="1"/>
      <c r="DJP229" s="1"/>
      <c r="DJQ229" s="1"/>
      <c r="DJR229" s="1"/>
      <c r="DJS229" s="1"/>
      <c r="DJT229" s="1"/>
      <c r="DJU229" s="1"/>
      <c r="DJV229" s="1"/>
      <c r="DJW229" s="1"/>
      <c r="DJX229" s="1"/>
      <c r="DJY229" s="1"/>
      <c r="DJZ229" s="1"/>
      <c r="DKA229" s="1"/>
      <c r="DKB229" s="1"/>
      <c r="DKC229" s="1"/>
      <c r="DKD229" s="1"/>
      <c r="DKE229" s="1"/>
      <c r="DKF229" s="1"/>
      <c r="DKG229" s="1"/>
      <c r="DKH229" s="1"/>
      <c r="DKI229" s="1"/>
      <c r="DKJ229" s="1"/>
      <c r="DKK229" s="1"/>
      <c r="DKL229" s="1"/>
      <c r="DKM229" s="1"/>
      <c r="DKN229" s="1"/>
      <c r="DKO229" s="1"/>
      <c r="DKP229" s="1"/>
      <c r="DKQ229" s="1"/>
      <c r="DKR229" s="1"/>
      <c r="DKS229" s="1"/>
      <c r="DKT229" s="1"/>
      <c r="DKU229" s="1"/>
      <c r="DKV229" s="1"/>
      <c r="DKW229" s="1"/>
      <c r="DKX229" s="1"/>
      <c r="DKY229" s="1"/>
      <c r="DKZ229" s="1"/>
      <c r="DLA229" s="1"/>
      <c r="DLB229" s="1"/>
      <c r="DLC229" s="1"/>
      <c r="DLD229" s="1"/>
      <c r="DLE229" s="1"/>
      <c r="DLF229" s="1"/>
      <c r="DLG229" s="1"/>
      <c r="DLH229" s="1"/>
      <c r="DLI229" s="1"/>
      <c r="DLJ229" s="1"/>
      <c r="DLK229" s="1"/>
      <c r="DLL229" s="1"/>
      <c r="DLM229" s="1"/>
      <c r="DLN229" s="1"/>
      <c r="DLO229" s="1"/>
      <c r="DLP229" s="1"/>
      <c r="DLQ229" s="1"/>
      <c r="DLR229" s="1"/>
      <c r="DLS229" s="1"/>
      <c r="DLT229" s="1"/>
      <c r="DLU229" s="1"/>
      <c r="DLV229" s="1"/>
      <c r="DLW229" s="1"/>
      <c r="DLX229" s="1"/>
      <c r="DLY229" s="1"/>
      <c r="DLZ229" s="1"/>
      <c r="DMA229" s="1"/>
      <c r="DMB229" s="1"/>
      <c r="DMC229" s="1"/>
      <c r="DMD229" s="1"/>
      <c r="DME229" s="1"/>
      <c r="DMF229" s="1"/>
      <c r="DMG229" s="1"/>
      <c r="DMH229" s="1"/>
      <c r="DMI229" s="1"/>
      <c r="DMJ229" s="1"/>
      <c r="DMK229" s="1"/>
      <c r="DML229" s="1"/>
      <c r="DMM229" s="1"/>
      <c r="DMN229" s="1"/>
      <c r="DMO229" s="1"/>
      <c r="DMP229" s="1"/>
      <c r="DMQ229" s="1"/>
      <c r="DMR229" s="1"/>
      <c r="DMS229" s="1"/>
      <c r="DMT229" s="1"/>
      <c r="DMU229" s="1"/>
      <c r="DMV229" s="1"/>
      <c r="DMW229" s="1"/>
      <c r="DMX229" s="1"/>
      <c r="DMY229" s="1"/>
      <c r="DMZ229" s="1"/>
      <c r="DNA229" s="1"/>
      <c r="DNB229" s="1"/>
      <c r="DNC229" s="1"/>
      <c r="DND229" s="1"/>
      <c r="DNE229" s="1"/>
      <c r="DNF229" s="1"/>
      <c r="DNG229" s="1"/>
      <c r="DNH229" s="1"/>
      <c r="DNI229" s="1"/>
      <c r="DNJ229" s="1"/>
      <c r="DNK229" s="1"/>
      <c r="DNL229" s="1"/>
      <c r="DNM229" s="1"/>
      <c r="DNN229" s="1"/>
      <c r="DNO229" s="1"/>
      <c r="DNP229" s="1"/>
      <c r="DNQ229" s="1"/>
      <c r="DNR229" s="1"/>
      <c r="DNS229" s="1"/>
      <c r="DNT229" s="1"/>
      <c r="DNU229" s="1"/>
      <c r="DNV229" s="1"/>
      <c r="DNW229" s="1"/>
      <c r="DNX229" s="1"/>
      <c r="DNY229" s="1"/>
      <c r="DNZ229" s="1"/>
      <c r="DOA229" s="1"/>
      <c r="DOB229" s="1"/>
      <c r="DOC229" s="1"/>
      <c r="DOD229" s="1"/>
      <c r="DOE229" s="1"/>
      <c r="DOF229" s="1"/>
      <c r="DOG229" s="1"/>
      <c r="DOH229" s="1"/>
      <c r="DOI229" s="1"/>
      <c r="DOJ229" s="1"/>
      <c r="DOK229" s="1"/>
      <c r="DOL229" s="1"/>
      <c r="DOM229" s="1"/>
      <c r="DON229" s="1"/>
      <c r="DOO229" s="1"/>
      <c r="DOP229" s="1"/>
      <c r="DOQ229" s="1"/>
      <c r="DOR229" s="1"/>
      <c r="DOS229" s="1"/>
      <c r="DOT229" s="1"/>
      <c r="DOU229" s="1"/>
      <c r="DOV229" s="1"/>
      <c r="DOW229" s="1"/>
      <c r="DOX229" s="1"/>
      <c r="DOY229" s="1"/>
      <c r="DOZ229" s="1"/>
      <c r="DPA229" s="1"/>
      <c r="DPB229" s="1"/>
      <c r="DPC229" s="1"/>
      <c r="DPD229" s="1"/>
      <c r="DPE229" s="1"/>
      <c r="DPF229" s="1"/>
      <c r="DPG229" s="1"/>
      <c r="DPH229" s="1"/>
      <c r="DPI229" s="1"/>
      <c r="DPJ229" s="1"/>
      <c r="DPK229" s="1"/>
      <c r="DPL229" s="1"/>
      <c r="DPM229" s="1"/>
      <c r="DPN229" s="1"/>
      <c r="DPO229" s="1"/>
      <c r="DPP229" s="1"/>
      <c r="DPQ229" s="1"/>
      <c r="DPR229" s="1"/>
      <c r="DPS229" s="1"/>
      <c r="DPT229" s="1"/>
      <c r="DPU229" s="1"/>
      <c r="DPV229" s="1"/>
      <c r="DPW229" s="1"/>
      <c r="DPX229" s="1"/>
      <c r="DPY229" s="1"/>
      <c r="DPZ229" s="1"/>
      <c r="DQA229" s="1"/>
      <c r="DQB229" s="1"/>
      <c r="DQC229" s="1"/>
      <c r="DQD229" s="1"/>
      <c r="DQE229" s="1"/>
      <c r="DQF229" s="1"/>
      <c r="DQG229" s="1"/>
      <c r="DQH229" s="1"/>
      <c r="DQI229" s="1"/>
      <c r="DQJ229" s="1"/>
      <c r="DQK229" s="1"/>
      <c r="DQL229" s="1"/>
      <c r="DQM229" s="1"/>
      <c r="DQN229" s="1"/>
      <c r="DQO229" s="1"/>
      <c r="DQP229" s="1"/>
      <c r="DQQ229" s="1"/>
      <c r="DQR229" s="1"/>
      <c r="DQS229" s="1"/>
      <c r="DQT229" s="1"/>
      <c r="DQU229" s="1"/>
      <c r="DQV229" s="1"/>
      <c r="DQW229" s="1"/>
      <c r="DQX229" s="1"/>
      <c r="DQY229" s="1"/>
      <c r="DQZ229" s="1"/>
      <c r="DRA229" s="1"/>
      <c r="DRB229" s="1"/>
      <c r="DRC229" s="1"/>
      <c r="DRD229" s="1"/>
      <c r="DRE229" s="1"/>
      <c r="DRF229" s="1"/>
      <c r="DRG229" s="1"/>
      <c r="DRH229" s="1"/>
      <c r="DRI229" s="1"/>
      <c r="DRJ229" s="1"/>
      <c r="DRK229" s="1"/>
      <c r="DRL229" s="1"/>
      <c r="DRM229" s="1"/>
      <c r="DRN229" s="1"/>
      <c r="DRO229" s="1"/>
      <c r="DRP229" s="1"/>
      <c r="DRQ229" s="1"/>
      <c r="DRR229" s="1"/>
      <c r="DRS229" s="1"/>
      <c r="DRT229" s="1"/>
      <c r="DRU229" s="1"/>
      <c r="DRV229" s="1"/>
      <c r="DRW229" s="1"/>
      <c r="DRX229" s="1"/>
      <c r="DRY229" s="1"/>
      <c r="DRZ229" s="1"/>
      <c r="DSA229" s="1"/>
      <c r="DSB229" s="1"/>
      <c r="DSC229" s="1"/>
      <c r="DSD229" s="1"/>
      <c r="DSE229" s="1"/>
      <c r="DSF229" s="1"/>
      <c r="DSG229" s="1"/>
      <c r="DSH229" s="1"/>
      <c r="DSI229" s="1"/>
      <c r="DSJ229" s="1"/>
      <c r="DSK229" s="1"/>
      <c r="DSL229" s="1"/>
      <c r="DSM229" s="1"/>
      <c r="DSN229" s="1"/>
      <c r="DSO229" s="1"/>
      <c r="DSP229" s="1"/>
      <c r="DSQ229" s="1"/>
      <c r="DSR229" s="1"/>
      <c r="DSS229" s="1"/>
      <c r="DST229" s="1"/>
      <c r="DSU229" s="1"/>
      <c r="DSV229" s="1"/>
      <c r="DSW229" s="1"/>
      <c r="DSX229" s="1"/>
      <c r="DSY229" s="1"/>
      <c r="DSZ229" s="1"/>
      <c r="DTA229" s="1"/>
      <c r="DTB229" s="1"/>
      <c r="DTC229" s="1"/>
      <c r="DTD229" s="1"/>
      <c r="DTE229" s="1"/>
      <c r="DTF229" s="1"/>
      <c r="DTG229" s="1"/>
      <c r="DTH229" s="1"/>
      <c r="DTI229" s="1"/>
      <c r="DTJ229" s="1"/>
      <c r="DTK229" s="1"/>
      <c r="DTL229" s="1"/>
      <c r="DTM229" s="1"/>
      <c r="DTN229" s="1"/>
      <c r="DTO229" s="1"/>
      <c r="DTP229" s="1"/>
      <c r="DTQ229" s="1"/>
      <c r="DTR229" s="1"/>
      <c r="DTS229" s="1"/>
      <c r="DTT229" s="1"/>
      <c r="DTU229" s="1"/>
      <c r="DTV229" s="1"/>
      <c r="DTW229" s="1"/>
      <c r="DTX229" s="1"/>
      <c r="DTY229" s="1"/>
      <c r="DTZ229" s="1"/>
      <c r="DUA229" s="1"/>
      <c r="DUB229" s="1"/>
      <c r="DUC229" s="1"/>
      <c r="DUD229" s="1"/>
      <c r="DUE229" s="1"/>
      <c r="DUF229" s="1"/>
      <c r="DUG229" s="1"/>
      <c r="DUH229" s="1"/>
      <c r="DUI229" s="1"/>
      <c r="DUJ229" s="1"/>
      <c r="DUK229" s="1"/>
      <c r="DUL229" s="1"/>
      <c r="DUM229" s="1"/>
      <c r="DUN229" s="1"/>
      <c r="DUO229" s="1"/>
      <c r="DUP229" s="1"/>
      <c r="DUQ229" s="1"/>
      <c r="DUR229" s="1"/>
      <c r="DUS229" s="1"/>
      <c r="DUT229" s="1"/>
      <c r="DUU229" s="1"/>
      <c r="DUV229" s="1"/>
      <c r="DUW229" s="1"/>
      <c r="DUX229" s="1"/>
      <c r="DUY229" s="1"/>
      <c r="DUZ229" s="1"/>
      <c r="DVA229" s="1"/>
      <c r="DVB229" s="1"/>
      <c r="DVC229" s="1"/>
      <c r="DVD229" s="1"/>
      <c r="DVE229" s="1"/>
      <c r="DVF229" s="1"/>
      <c r="DVG229" s="1"/>
      <c r="DVH229" s="1"/>
      <c r="DVI229" s="1"/>
      <c r="DVJ229" s="1"/>
      <c r="DVK229" s="1"/>
      <c r="DVL229" s="1"/>
      <c r="DVM229" s="1"/>
      <c r="DVN229" s="1"/>
      <c r="DVO229" s="1"/>
      <c r="DVP229" s="1"/>
      <c r="DVQ229" s="1"/>
      <c r="DVR229" s="1"/>
      <c r="DVS229" s="1"/>
      <c r="DVT229" s="1"/>
      <c r="DVU229" s="1"/>
      <c r="DVV229" s="1"/>
      <c r="DVW229" s="1"/>
      <c r="DVX229" s="1"/>
      <c r="DVY229" s="1"/>
      <c r="DVZ229" s="1"/>
      <c r="DWA229" s="1"/>
      <c r="DWB229" s="1"/>
      <c r="DWC229" s="1"/>
      <c r="DWD229" s="1"/>
      <c r="DWE229" s="1"/>
      <c r="DWF229" s="1"/>
      <c r="DWG229" s="1"/>
      <c r="DWH229" s="1"/>
      <c r="DWI229" s="1"/>
      <c r="DWJ229" s="1"/>
      <c r="DWK229" s="1"/>
      <c r="DWL229" s="1"/>
      <c r="DWM229" s="1"/>
      <c r="DWN229" s="1"/>
      <c r="DWO229" s="1"/>
      <c r="DWP229" s="1"/>
      <c r="DWQ229" s="1"/>
      <c r="DWR229" s="1"/>
      <c r="DWS229" s="1"/>
      <c r="DWT229" s="1"/>
      <c r="DWU229" s="1"/>
      <c r="DWV229" s="1"/>
      <c r="DWW229" s="1"/>
      <c r="DWX229" s="1"/>
      <c r="DWY229" s="1"/>
      <c r="DWZ229" s="1"/>
      <c r="DXA229" s="1"/>
      <c r="DXB229" s="1"/>
      <c r="DXC229" s="1"/>
      <c r="DXD229" s="1"/>
      <c r="DXE229" s="1"/>
      <c r="DXF229" s="1"/>
      <c r="DXG229" s="1"/>
      <c r="DXH229" s="1"/>
      <c r="DXI229" s="1"/>
      <c r="DXJ229" s="1"/>
      <c r="DXK229" s="1"/>
      <c r="DXL229" s="1"/>
      <c r="DXM229" s="1"/>
      <c r="DXN229" s="1"/>
      <c r="DXO229" s="1"/>
      <c r="DXP229" s="1"/>
      <c r="DXQ229" s="1"/>
      <c r="DXR229" s="1"/>
      <c r="DXS229" s="1"/>
      <c r="DXT229" s="1"/>
      <c r="DXU229" s="1"/>
      <c r="DXV229" s="1"/>
      <c r="DXW229" s="1"/>
      <c r="DXX229" s="1"/>
      <c r="DXY229" s="1"/>
      <c r="DXZ229" s="1"/>
      <c r="DYA229" s="1"/>
      <c r="DYB229" s="1"/>
      <c r="DYC229" s="1"/>
      <c r="DYD229" s="1"/>
      <c r="DYE229" s="1"/>
      <c r="DYF229" s="1"/>
      <c r="DYG229" s="1"/>
      <c r="DYH229" s="1"/>
      <c r="DYI229" s="1"/>
      <c r="DYJ229" s="1"/>
      <c r="DYK229" s="1"/>
      <c r="DYL229" s="1"/>
      <c r="DYM229" s="1"/>
      <c r="DYN229" s="1"/>
      <c r="DYO229" s="1"/>
      <c r="DYP229" s="1"/>
      <c r="DYQ229" s="1"/>
      <c r="DYR229" s="1"/>
      <c r="DYS229" s="1"/>
      <c r="DYT229" s="1"/>
      <c r="DYU229" s="1"/>
      <c r="DYV229" s="1"/>
      <c r="DYW229" s="1"/>
      <c r="DYX229" s="1"/>
      <c r="DYY229" s="1"/>
      <c r="DYZ229" s="1"/>
      <c r="DZA229" s="1"/>
      <c r="DZB229" s="1"/>
      <c r="DZC229" s="1"/>
      <c r="DZD229" s="1"/>
      <c r="DZE229" s="1"/>
      <c r="DZF229" s="1"/>
      <c r="DZG229" s="1"/>
      <c r="DZH229" s="1"/>
      <c r="DZI229" s="1"/>
      <c r="DZJ229" s="1"/>
      <c r="DZK229" s="1"/>
      <c r="DZL229" s="1"/>
      <c r="DZM229" s="1"/>
      <c r="DZN229" s="1"/>
      <c r="DZO229" s="1"/>
      <c r="DZP229" s="1"/>
      <c r="DZQ229" s="1"/>
      <c r="DZR229" s="1"/>
      <c r="DZS229" s="1"/>
      <c r="DZT229" s="1"/>
      <c r="DZU229" s="1"/>
      <c r="DZV229" s="1"/>
      <c r="DZW229" s="1"/>
      <c r="DZX229" s="1"/>
      <c r="DZY229" s="1"/>
      <c r="DZZ229" s="1"/>
      <c r="EAA229" s="1"/>
      <c r="EAB229" s="1"/>
      <c r="EAC229" s="1"/>
      <c r="EAD229" s="1"/>
      <c r="EAE229" s="1"/>
      <c r="EAF229" s="1"/>
      <c r="EAG229" s="1"/>
      <c r="EAH229" s="1"/>
      <c r="EAI229" s="1"/>
      <c r="EAJ229" s="1"/>
      <c r="EAK229" s="1"/>
      <c r="EAL229" s="1"/>
      <c r="EAM229" s="1"/>
      <c r="EAN229" s="1"/>
      <c r="EAO229" s="1"/>
      <c r="EAP229" s="1"/>
      <c r="EAQ229" s="1"/>
      <c r="EAR229" s="1"/>
      <c r="EAS229" s="1"/>
      <c r="EAT229" s="1"/>
      <c r="EAU229" s="1"/>
      <c r="EAV229" s="1"/>
      <c r="EAW229" s="1"/>
      <c r="EAX229" s="1"/>
      <c r="EAY229" s="1"/>
      <c r="EAZ229" s="1"/>
      <c r="EBA229" s="1"/>
      <c r="EBB229" s="1"/>
      <c r="EBC229" s="1"/>
      <c r="EBD229" s="1"/>
      <c r="EBE229" s="1"/>
      <c r="EBF229" s="1"/>
      <c r="EBG229" s="1"/>
      <c r="EBH229" s="1"/>
      <c r="EBI229" s="1"/>
      <c r="EBJ229" s="1"/>
      <c r="EBK229" s="1"/>
      <c r="EBL229" s="1"/>
      <c r="EBM229" s="1"/>
      <c r="EBN229" s="1"/>
      <c r="EBO229" s="1"/>
      <c r="EBP229" s="1"/>
      <c r="EBQ229" s="1"/>
      <c r="EBR229" s="1"/>
      <c r="EBS229" s="1"/>
      <c r="EBT229" s="1"/>
      <c r="EBU229" s="1"/>
      <c r="EBV229" s="1"/>
      <c r="EBW229" s="1"/>
      <c r="EBX229" s="1"/>
      <c r="EBY229" s="1"/>
      <c r="EBZ229" s="1"/>
      <c r="ECA229" s="1"/>
      <c r="ECB229" s="1"/>
      <c r="ECC229" s="1"/>
      <c r="ECD229" s="1"/>
      <c r="ECE229" s="1"/>
      <c r="ECF229" s="1"/>
      <c r="ECG229" s="1"/>
      <c r="ECH229" s="1"/>
      <c r="ECI229" s="1"/>
      <c r="ECJ229" s="1"/>
      <c r="ECK229" s="1"/>
      <c r="ECL229" s="1"/>
      <c r="ECM229" s="1"/>
      <c r="ECN229" s="1"/>
      <c r="ECO229" s="1"/>
      <c r="ECP229" s="1"/>
      <c r="ECQ229" s="1"/>
      <c r="ECR229" s="1"/>
      <c r="ECS229" s="1"/>
      <c r="ECT229" s="1"/>
      <c r="ECU229" s="1"/>
      <c r="ECV229" s="1"/>
      <c r="ECW229" s="1"/>
      <c r="ECX229" s="1"/>
      <c r="ECY229" s="1"/>
      <c r="ECZ229" s="1"/>
      <c r="EDA229" s="1"/>
      <c r="EDB229" s="1"/>
      <c r="EDC229" s="1"/>
      <c r="EDD229" s="1"/>
      <c r="EDE229" s="1"/>
      <c r="EDF229" s="1"/>
      <c r="EDG229" s="1"/>
      <c r="EDH229" s="1"/>
      <c r="EDI229" s="1"/>
      <c r="EDJ229" s="1"/>
      <c r="EDK229" s="1"/>
      <c r="EDL229" s="1"/>
      <c r="EDM229" s="1"/>
      <c r="EDN229" s="1"/>
      <c r="EDO229" s="1"/>
      <c r="EDP229" s="1"/>
      <c r="EDQ229" s="1"/>
      <c r="EDR229" s="1"/>
      <c r="EDS229" s="1"/>
      <c r="EDT229" s="1"/>
      <c r="EDU229" s="1"/>
      <c r="EDV229" s="1"/>
      <c r="EDW229" s="1"/>
      <c r="EDX229" s="1"/>
      <c r="EDY229" s="1"/>
      <c r="EDZ229" s="1"/>
      <c r="EEA229" s="1"/>
      <c r="EEB229" s="1"/>
      <c r="EEC229" s="1"/>
      <c r="EED229" s="1"/>
      <c r="EEE229" s="1"/>
      <c r="EEF229" s="1"/>
      <c r="EEG229" s="1"/>
      <c r="EEH229" s="1"/>
      <c r="EEI229" s="1"/>
      <c r="EEJ229" s="1"/>
      <c r="EEK229" s="1"/>
      <c r="EEL229" s="1"/>
      <c r="EEM229" s="1"/>
      <c r="EEN229" s="1"/>
      <c r="EEO229" s="1"/>
      <c r="EEP229" s="1"/>
      <c r="EEQ229" s="1"/>
      <c r="EER229" s="1"/>
      <c r="EES229" s="1"/>
      <c r="EET229" s="1"/>
      <c r="EEU229" s="1"/>
      <c r="EEV229" s="1"/>
      <c r="EEW229" s="1"/>
      <c r="EEX229" s="1"/>
      <c r="EEY229" s="1"/>
      <c r="EEZ229" s="1"/>
      <c r="EFA229" s="1"/>
      <c r="EFB229" s="1"/>
      <c r="EFC229" s="1"/>
      <c r="EFD229" s="1"/>
      <c r="EFE229" s="1"/>
      <c r="EFF229" s="1"/>
      <c r="EFG229" s="1"/>
      <c r="EFH229" s="1"/>
      <c r="EFI229" s="1"/>
      <c r="EFJ229" s="1"/>
      <c r="EFK229" s="1"/>
      <c r="EFL229" s="1"/>
      <c r="EFM229" s="1"/>
      <c r="EFN229" s="1"/>
      <c r="EFO229" s="1"/>
      <c r="EFP229" s="1"/>
      <c r="EFQ229" s="1"/>
      <c r="EFR229" s="1"/>
      <c r="EFS229" s="1"/>
      <c r="EFT229" s="1"/>
      <c r="EFU229" s="1"/>
      <c r="EFV229" s="1"/>
      <c r="EFW229" s="1"/>
      <c r="EFX229" s="1"/>
      <c r="EFY229" s="1"/>
      <c r="EFZ229" s="1"/>
      <c r="EGA229" s="1"/>
      <c r="EGB229" s="1"/>
      <c r="EGC229" s="1"/>
      <c r="EGD229" s="1"/>
      <c r="EGE229" s="1"/>
      <c r="EGF229" s="1"/>
      <c r="EGG229" s="1"/>
      <c r="EGH229" s="1"/>
      <c r="EGI229" s="1"/>
      <c r="EGJ229" s="1"/>
      <c r="EGK229" s="1"/>
      <c r="EGL229" s="1"/>
      <c r="EGM229" s="1"/>
      <c r="EGN229" s="1"/>
      <c r="EGO229" s="1"/>
      <c r="EGP229" s="1"/>
      <c r="EGQ229" s="1"/>
      <c r="EGR229" s="1"/>
      <c r="EGS229" s="1"/>
      <c r="EGT229" s="1"/>
      <c r="EGU229" s="1"/>
      <c r="EGV229" s="1"/>
      <c r="EGW229" s="1"/>
      <c r="EGX229" s="1"/>
      <c r="EGY229" s="1"/>
      <c r="EGZ229" s="1"/>
      <c r="EHA229" s="1"/>
      <c r="EHB229" s="1"/>
      <c r="EHC229" s="1"/>
      <c r="EHD229" s="1"/>
      <c r="EHE229" s="1"/>
      <c r="EHF229" s="1"/>
      <c r="EHG229" s="1"/>
      <c r="EHH229" s="1"/>
      <c r="EHI229" s="1"/>
      <c r="EHJ229" s="1"/>
      <c r="EHK229" s="1"/>
      <c r="EHL229" s="1"/>
      <c r="EHM229" s="1"/>
      <c r="EHN229" s="1"/>
      <c r="EHO229" s="1"/>
      <c r="EHP229" s="1"/>
      <c r="EHQ229" s="1"/>
      <c r="EHR229" s="1"/>
      <c r="EHS229" s="1"/>
      <c r="EHT229" s="1"/>
      <c r="EHU229" s="1"/>
      <c r="EHV229" s="1"/>
      <c r="EHW229" s="1"/>
      <c r="EHX229" s="1"/>
      <c r="EHY229" s="1"/>
      <c r="EHZ229" s="1"/>
      <c r="EIA229" s="1"/>
      <c r="EIB229" s="1"/>
      <c r="EIC229" s="1"/>
      <c r="EID229" s="1"/>
      <c r="EIE229" s="1"/>
      <c r="EIF229" s="1"/>
      <c r="EIG229" s="1"/>
      <c r="EIH229" s="1"/>
      <c r="EII229" s="1"/>
      <c r="EIJ229" s="1"/>
      <c r="EIK229" s="1"/>
      <c r="EIL229" s="1"/>
      <c r="EIM229" s="1"/>
      <c r="EIN229" s="1"/>
      <c r="EIO229" s="1"/>
      <c r="EIP229" s="1"/>
      <c r="EIQ229" s="1"/>
      <c r="EIR229" s="1"/>
      <c r="EIS229" s="1"/>
      <c r="EIT229" s="1"/>
      <c r="EIU229" s="1"/>
      <c r="EIV229" s="1"/>
      <c r="EIW229" s="1"/>
      <c r="EIX229" s="1"/>
      <c r="EIY229" s="1"/>
      <c r="EIZ229" s="1"/>
      <c r="EJA229" s="1"/>
      <c r="EJB229" s="1"/>
      <c r="EJC229" s="1"/>
      <c r="EJD229" s="1"/>
      <c r="EJE229" s="1"/>
      <c r="EJF229" s="1"/>
      <c r="EJG229" s="1"/>
      <c r="EJH229" s="1"/>
      <c r="EJI229" s="1"/>
      <c r="EJJ229" s="1"/>
      <c r="EJK229" s="1"/>
      <c r="EJL229" s="1"/>
      <c r="EJM229" s="1"/>
      <c r="EJN229" s="1"/>
      <c r="EJO229" s="1"/>
      <c r="EJP229" s="1"/>
      <c r="EJQ229" s="1"/>
      <c r="EJR229" s="1"/>
      <c r="EJS229" s="1"/>
      <c r="EJT229" s="1"/>
      <c r="EJU229" s="1"/>
      <c r="EJV229" s="1"/>
      <c r="EJW229" s="1"/>
      <c r="EJX229" s="1"/>
      <c r="EJY229" s="1"/>
      <c r="EJZ229" s="1"/>
      <c r="EKA229" s="1"/>
      <c r="EKB229" s="1"/>
      <c r="EKC229" s="1"/>
      <c r="EKD229" s="1"/>
      <c r="EKE229" s="1"/>
      <c r="EKF229" s="1"/>
      <c r="EKG229" s="1"/>
      <c r="EKH229" s="1"/>
      <c r="EKI229" s="1"/>
      <c r="EKJ229" s="1"/>
      <c r="EKK229" s="1"/>
      <c r="EKL229" s="1"/>
      <c r="EKM229" s="1"/>
      <c r="EKN229" s="1"/>
      <c r="EKO229" s="1"/>
      <c r="EKP229" s="1"/>
      <c r="EKQ229" s="1"/>
      <c r="EKR229" s="1"/>
      <c r="EKS229" s="1"/>
      <c r="EKT229" s="1"/>
      <c r="EKU229" s="1"/>
      <c r="EKV229" s="1"/>
      <c r="EKW229" s="1"/>
      <c r="EKX229" s="1"/>
      <c r="EKY229" s="1"/>
      <c r="EKZ229" s="1"/>
      <c r="ELA229" s="1"/>
      <c r="ELB229" s="1"/>
      <c r="ELC229" s="1"/>
      <c r="ELD229" s="1"/>
      <c r="ELE229" s="1"/>
      <c r="ELF229" s="1"/>
      <c r="ELG229" s="1"/>
      <c r="ELH229" s="1"/>
      <c r="ELI229" s="1"/>
      <c r="ELJ229" s="1"/>
      <c r="ELK229" s="1"/>
      <c r="ELL229" s="1"/>
      <c r="ELM229" s="1"/>
      <c r="ELN229" s="1"/>
      <c r="ELO229" s="1"/>
      <c r="ELP229" s="1"/>
      <c r="ELQ229" s="1"/>
      <c r="ELR229" s="1"/>
      <c r="ELS229" s="1"/>
      <c r="ELT229" s="1"/>
      <c r="ELU229" s="1"/>
      <c r="ELV229" s="1"/>
      <c r="ELW229" s="1"/>
      <c r="ELX229" s="1"/>
      <c r="ELY229" s="1"/>
      <c r="ELZ229" s="1"/>
      <c r="EMA229" s="1"/>
      <c r="EMB229" s="1"/>
      <c r="EMC229" s="1"/>
      <c r="EMD229" s="1"/>
      <c r="EME229" s="1"/>
      <c r="EMF229" s="1"/>
      <c r="EMG229" s="1"/>
      <c r="EMH229" s="1"/>
      <c r="EMI229" s="1"/>
      <c r="EMJ229" s="1"/>
      <c r="EMK229" s="1"/>
      <c r="EML229" s="1"/>
      <c r="EMM229" s="1"/>
      <c r="EMN229" s="1"/>
      <c r="EMO229" s="1"/>
      <c r="EMP229" s="1"/>
      <c r="EMQ229" s="1"/>
      <c r="EMR229" s="1"/>
      <c r="EMS229" s="1"/>
      <c r="EMT229" s="1"/>
      <c r="EMU229" s="1"/>
      <c r="EMV229" s="1"/>
      <c r="EMW229" s="1"/>
      <c r="EMX229" s="1"/>
      <c r="EMY229" s="1"/>
      <c r="EMZ229" s="1"/>
      <c r="ENA229" s="1"/>
      <c r="ENB229" s="1"/>
      <c r="ENC229" s="1"/>
      <c r="END229" s="1"/>
      <c r="ENE229" s="1"/>
      <c r="ENF229" s="1"/>
      <c r="ENG229" s="1"/>
      <c r="ENH229" s="1"/>
      <c r="ENI229" s="1"/>
      <c r="ENJ229" s="1"/>
      <c r="ENK229" s="1"/>
      <c r="ENL229" s="1"/>
      <c r="ENM229" s="1"/>
      <c r="ENN229" s="1"/>
      <c r="ENO229" s="1"/>
      <c r="ENP229" s="1"/>
      <c r="ENQ229" s="1"/>
      <c r="ENR229" s="1"/>
      <c r="ENS229" s="1"/>
      <c r="ENT229" s="1"/>
      <c r="ENU229" s="1"/>
      <c r="ENV229" s="1"/>
      <c r="ENW229" s="1"/>
      <c r="ENX229" s="1"/>
      <c r="ENY229" s="1"/>
      <c r="ENZ229" s="1"/>
      <c r="EOA229" s="1"/>
      <c r="EOB229" s="1"/>
      <c r="EOC229" s="1"/>
      <c r="EOD229" s="1"/>
      <c r="EOE229" s="1"/>
      <c r="EOF229" s="1"/>
      <c r="EOG229" s="1"/>
      <c r="EOH229" s="1"/>
      <c r="EOI229" s="1"/>
      <c r="EOJ229" s="1"/>
      <c r="EOK229" s="1"/>
      <c r="EOL229" s="1"/>
      <c r="EOM229" s="1"/>
      <c r="EON229" s="1"/>
      <c r="EOO229" s="1"/>
      <c r="EOP229" s="1"/>
      <c r="EOQ229" s="1"/>
      <c r="EOR229" s="1"/>
      <c r="EOS229" s="1"/>
      <c r="EOT229" s="1"/>
      <c r="EOU229" s="1"/>
      <c r="EOV229" s="1"/>
      <c r="EOW229" s="1"/>
      <c r="EOX229" s="1"/>
      <c r="EOY229" s="1"/>
      <c r="EOZ229" s="1"/>
      <c r="EPA229" s="1"/>
      <c r="EPB229" s="1"/>
      <c r="EPC229" s="1"/>
      <c r="EPD229" s="1"/>
      <c r="EPE229" s="1"/>
      <c r="EPF229" s="1"/>
      <c r="EPG229" s="1"/>
      <c r="EPH229" s="1"/>
      <c r="EPI229" s="1"/>
      <c r="EPJ229" s="1"/>
      <c r="EPK229" s="1"/>
      <c r="EPL229" s="1"/>
      <c r="EPM229" s="1"/>
      <c r="EPN229" s="1"/>
      <c r="EPO229" s="1"/>
      <c r="EPP229" s="1"/>
      <c r="EPQ229" s="1"/>
      <c r="EPR229" s="1"/>
      <c r="EPS229" s="1"/>
      <c r="EPT229" s="1"/>
      <c r="EPU229" s="1"/>
      <c r="EPV229" s="1"/>
      <c r="EPW229" s="1"/>
      <c r="EPX229" s="1"/>
      <c r="EPY229" s="1"/>
      <c r="EPZ229" s="1"/>
      <c r="EQA229" s="1"/>
      <c r="EQB229" s="1"/>
      <c r="EQC229" s="1"/>
      <c r="EQD229" s="1"/>
      <c r="EQE229" s="1"/>
      <c r="EQF229" s="1"/>
      <c r="EQG229" s="1"/>
      <c r="EQH229" s="1"/>
      <c r="EQI229" s="1"/>
      <c r="EQJ229" s="1"/>
      <c r="EQK229" s="1"/>
      <c r="EQL229" s="1"/>
      <c r="EQM229" s="1"/>
      <c r="EQN229" s="1"/>
      <c r="EQO229" s="1"/>
      <c r="EQP229" s="1"/>
      <c r="EQQ229" s="1"/>
      <c r="EQR229" s="1"/>
      <c r="EQS229" s="1"/>
      <c r="EQT229" s="1"/>
      <c r="EQU229" s="1"/>
      <c r="EQV229" s="1"/>
      <c r="EQW229" s="1"/>
      <c r="EQX229" s="1"/>
      <c r="EQY229" s="1"/>
      <c r="EQZ229" s="1"/>
      <c r="ERA229" s="1"/>
      <c r="ERB229" s="1"/>
      <c r="ERC229" s="1"/>
      <c r="ERD229" s="1"/>
      <c r="ERE229" s="1"/>
      <c r="ERF229" s="1"/>
      <c r="ERG229" s="1"/>
      <c r="ERH229" s="1"/>
      <c r="ERI229" s="1"/>
      <c r="ERJ229" s="1"/>
      <c r="ERK229" s="1"/>
      <c r="ERL229" s="1"/>
      <c r="ERM229" s="1"/>
      <c r="ERN229" s="1"/>
      <c r="ERO229" s="1"/>
      <c r="ERP229" s="1"/>
      <c r="ERQ229" s="1"/>
      <c r="ERR229" s="1"/>
      <c r="ERS229" s="1"/>
      <c r="ERT229" s="1"/>
      <c r="ERU229" s="1"/>
      <c r="ERV229" s="1"/>
      <c r="ERW229" s="1"/>
      <c r="ERX229" s="1"/>
      <c r="ERY229" s="1"/>
      <c r="ERZ229" s="1"/>
      <c r="ESA229" s="1"/>
      <c r="ESB229" s="1"/>
      <c r="ESC229" s="1"/>
      <c r="ESD229" s="1"/>
      <c r="ESE229" s="1"/>
      <c r="ESF229" s="1"/>
      <c r="ESG229" s="1"/>
      <c r="ESH229" s="1"/>
      <c r="ESI229" s="1"/>
      <c r="ESJ229" s="1"/>
      <c r="ESK229" s="1"/>
      <c r="ESL229" s="1"/>
      <c r="ESM229" s="1"/>
      <c r="ESN229" s="1"/>
      <c r="ESO229" s="1"/>
      <c r="ESP229" s="1"/>
      <c r="ESQ229" s="1"/>
      <c r="ESR229" s="1"/>
      <c r="ESS229" s="1"/>
      <c r="EST229" s="1"/>
      <c r="ESU229" s="1"/>
      <c r="ESV229" s="1"/>
      <c r="ESW229" s="1"/>
      <c r="ESX229" s="1"/>
      <c r="ESY229" s="1"/>
      <c r="ESZ229" s="1"/>
      <c r="ETA229" s="1"/>
      <c r="ETB229" s="1"/>
      <c r="ETC229" s="1"/>
      <c r="ETD229" s="1"/>
      <c r="ETE229" s="1"/>
      <c r="ETF229" s="1"/>
      <c r="ETG229" s="1"/>
      <c r="ETH229" s="1"/>
      <c r="ETI229" s="1"/>
      <c r="ETJ229" s="1"/>
      <c r="ETK229" s="1"/>
      <c r="ETL229" s="1"/>
      <c r="ETM229" s="1"/>
      <c r="ETN229" s="1"/>
      <c r="ETO229" s="1"/>
      <c r="ETP229" s="1"/>
      <c r="ETQ229" s="1"/>
      <c r="ETR229" s="1"/>
      <c r="ETS229" s="1"/>
      <c r="ETT229" s="1"/>
      <c r="ETU229" s="1"/>
      <c r="ETV229" s="1"/>
      <c r="ETW229" s="1"/>
      <c r="ETX229" s="1"/>
      <c r="ETY229" s="1"/>
      <c r="ETZ229" s="1"/>
      <c r="EUA229" s="1"/>
      <c r="EUB229" s="1"/>
      <c r="EUC229" s="1"/>
      <c r="EUD229" s="1"/>
      <c r="EUE229" s="1"/>
      <c r="EUF229" s="1"/>
      <c r="EUG229" s="1"/>
      <c r="EUH229" s="1"/>
      <c r="EUI229" s="1"/>
      <c r="EUJ229" s="1"/>
      <c r="EUK229" s="1"/>
      <c r="EUL229" s="1"/>
      <c r="EUM229" s="1"/>
      <c r="EUN229" s="1"/>
      <c r="EUO229" s="1"/>
      <c r="EUP229" s="1"/>
      <c r="EUQ229" s="1"/>
      <c r="EUR229" s="1"/>
      <c r="EUS229" s="1"/>
      <c r="EUT229" s="1"/>
      <c r="EUU229" s="1"/>
      <c r="EUV229" s="1"/>
      <c r="EUW229" s="1"/>
      <c r="EUX229" s="1"/>
      <c r="EUY229" s="1"/>
      <c r="EUZ229" s="1"/>
      <c r="EVA229" s="1"/>
      <c r="EVB229" s="1"/>
      <c r="EVC229" s="1"/>
      <c r="EVD229" s="1"/>
      <c r="EVE229" s="1"/>
      <c r="EVF229" s="1"/>
      <c r="EVG229" s="1"/>
      <c r="EVH229" s="1"/>
      <c r="EVI229" s="1"/>
      <c r="EVJ229" s="1"/>
      <c r="EVK229" s="1"/>
      <c r="EVL229" s="1"/>
      <c r="EVM229" s="1"/>
      <c r="EVN229" s="1"/>
      <c r="EVO229" s="1"/>
      <c r="EVP229" s="1"/>
      <c r="EVQ229" s="1"/>
      <c r="EVR229" s="1"/>
      <c r="EVS229" s="1"/>
      <c r="EVT229" s="1"/>
      <c r="EVU229" s="1"/>
      <c r="EVV229" s="1"/>
      <c r="EVW229" s="1"/>
      <c r="EVX229" s="1"/>
      <c r="EVY229" s="1"/>
      <c r="EVZ229" s="1"/>
      <c r="EWA229" s="1"/>
      <c r="EWB229" s="1"/>
      <c r="EWC229" s="1"/>
      <c r="EWD229" s="1"/>
      <c r="EWE229" s="1"/>
      <c r="EWF229" s="1"/>
      <c r="EWG229" s="1"/>
      <c r="EWH229" s="1"/>
      <c r="EWI229" s="1"/>
      <c r="EWJ229" s="1"/>
      <c r="EWK229" s="1"/>
      <c r="EWL229" s="1"/>
      <c r="EWM229" s="1"/>
      <c r="EWN229" s="1"/>
      <c r="EWO229" s="1"/>
      <c r="EWP229" s="1"/>
      <c r="EWQ229" s="1"/>
      <c r="EWR229" s="1"/>
      <c r="EWS229" s="1"/>
      <c r="EWT229" s="1"/>
      <c r="EWU229" s="1"/>
      <c r="EWV229" s="1"/>
      <c r="EWW229" s="1"/>
      <c r="EWX229" s="1"/>
      <c r="EWY229" s="1"/>
      <c r="EWZ229" s="1"/>
      <c r="EXA229" s="1"/>
      <c r="EXB229" s="1"/>
      <c r="EXC229" s="1"/>
      <c r="EXD229" s="1"/>
      <c r="EXE229" s="1"/>
      <c r="EXF229" s="1"/>
      <c r="EXG229" s="1"/>
      <c r="EXH229" s="1"/>
      <c r="EXI229" s="1"/>
      <c r="EXJ229" s="1"/>
      <c r="EXK229" s="1"/>
      <c r="EXL229" s="1"/>
      <c r="EXM229" s="1"/>
      <c r="EXN229" s="1"/>
      <c r="EXO229" s="1"/>
      <c r="EXP229" s="1"/>
      <c r="EXQ229" s="1"/>
      <c r="EXR229" s="1"/>
      <c r="EXS229" s="1"/>
      <c r="EXT229" s="1"/>
      <c r="EXU229" s="1"/>
      <c r="EXV229" s="1"/>
      <c r="EXW229" s="1"/>
      <c r="EXX229" s="1"/>
      <c r="EXY229" s="1"/>
      <c r="EXZ229" s="1"/>
      <c r="EYA229" s="1"/>
      <c r="EYB229" s="1"/>
      <c r="EYC229" s="1"/>
      <c r="EYD229" s="1"/>
      <c r="EYE229" s="1"/>
      <c r="EYF229" s="1"/>
      <c r="EYG229" s="1"/>
      <c r="EYH229" s="1"/>
      <c r="EYI229" s="1"/>
      <c r="EYJ229" s="1"/>
      <c r="EYK229" s="1"/>
      <c r="EYL229" s="1"/>
      <c r="EYM229" s="1"/>
      <c r="EYN229" s="1"/>
      <c r="EYO229" s="1"/>
      <c r="EYP229" s="1"/>
      <c r="EYQ229" s="1"/>
      <c r="EYR229" s="1"/>
      <c r="EYS229" s="1"/>
      <c r="EYT229" s="1"/>
      <c r="EYU229" s="1"/>
      <c r="EYV229" s="1"/>
      <c r="EYW229" s="1"/>
      <c r="EYX229" s="1"/>
      <c r="EYY229" s="1"/>
      <c r="EYZ229" s="1"/>
      <c r="EZA229" s="1"/>
      <c r="EZB229" s="1"/>
      <c r="EZC229" s="1"/>
      <c r="EZD229" s="1"/>
      <c r="EZE229" s="1"/>
      <c r="EZF229" s="1"/>
      <c r="EZG229" s="1"/>
      <c r="EZH229" s="1"/>
      <c r="EZI229" s="1"/>
      <c r="EZJ229" s="1"/>
      <c r="EZK229" s="1"/>
      <c r="EZL229" s="1"/>
      <c r="EZM229" s="1"/>
      <c r="EZN229" s="1"/>
      <c r="EZO229" s="1"/>
      <c r="EZP229" s="1"/>
      <c r="EZQ229" s="1"/>
      <c r="EZR229" s="1"/>
      <c r="EZS229" s="1"/>
      <c r="EZT229" s="1"/>
      <c r="EZU229" s="1"/>
      <c r="EZV229" s="1"/>
      <c r="EZW229" s="1"/>
      <c r="EZX229" s="1"/>
      <c r="EZY229" s="1"/>
      <c r="EZZ229" s="1"/>
      <c r="FAA229" s="1"/>
      <c r="FAB229" s="1"/>
      <c r="FAC229" s="1"/>
      <c r="FAD229" s="1"/>
      <c r="FAE229" s="1"/>
      <c r="FAF229" s="1"/>
      <c r="FAG229" s="1"/>
      <c r="FAH229" s="1"/>
      <c r="FAI229" s="1"/>
      <c r="FAJ229" s="1"/>
      <c r="FAK229" s="1"/>
      <c r="FAL229" s="1"/>
      <c r="FAM229" s="1"/>
      <c r="FAN229" s="1"/>
      <c r="FAO229" s="1"/>
      <c r="FAP229" s="1"/>
      <c r="FAQ229" s="1"/>
      <c r="FAR229" s="1"/>
      <c r="FAS229" s="1"/>
      <c r="FAT229" s="1"/>
      <c r="FAU229" s="1"/>
      <c r="FAV229" s="1"/>
      <c r="FAW229" s="1"/>
      <c r="FAX229" s="1"/>
      <c r="FAY229" s="1"/>
      <c r="FAZ229" s="1"/>
      <c r="FBA229" s="1"/>
      <c r="FBB229" s="1"/>
      <c r="FBC229" s="1"/>
      <c r="FBD229" s="1"/>
      <c r="FBE229" s="1"/>
      <c r="FBF229" s="1"/>
      <c r="FBG229" s="1"/>
      <c r="FBH229" s="1"/>
      <c r="FBI229" s="1"/>
      <c r="FBJ229" s="1"/>
      <c r="FBK229" s="1"/>
      <c r="FBL229" s="1"/>
      <c r="FBM229" s="1"/>
      <c r="FBN229" s="1"/>
      <c r="FBO229" s="1"/>
      <c r="FBP229" s="1"/>
      <c r="FBQ229" s="1"/>
      <c r="FBR229" s="1"/>
      <c r="FBS229" s="1"/>
      <c r="FBT229" s="1"/>
      <c r="FBU229" s="1"/>
      <c r="FBV229" s="1"/>
      <c r="FBW229" s="1"/>
      <c r="FBX229" s="1"/>
      <c r="FBY229" s="1"/>
      <c r="FBZ229" s="1"/>
      <c r="FCA229" s="1"/>
      <c r="FCB229" s="1"/>
      <c r="FCC229" s="1"/>
      <c r="FCD229" s="1"/>
      <c r="FCE229" s="1"/>
      <c r="FCF229" s="1"/>
      <c r="FCG229" s="1"/>
      <c r="FCH229" s="1"/>
      <c r="FCI229" s="1"/>
      <c r="FCJ229" s="1"/>
      <c r="FCK229" s="1"/>
      <c r="FCL229" s="1"/>
      <c r="FCM229" s="1"/>
      <c r="FCN229" s="1"/>
      <c r="FCO229" s="1"/>
      <c r="FCP229" s="1"/>
      <c r="FCQ229" s="1"/>
      <c r="FCR229" s="1"/>
      <c r="FCS229" s="1"/>
      <c r="FCT229" s="1"/>
      <c r="FCU229" s="1"/>
      <c r="FCV229" s="1"/>
      <c r="FCW229" s="1"/>
      <c r="FCX229" s="1"/>
      <c r="FCY229" s="1"/>
      <c r="FCZ229" s="1"/>
      <c r="FDA229" s="1"/>
      <c r="FDB229" s="1"/>
      <c r="FDC229" s="1"/>
      <c r="FDD229" s="1"/>
      <c r="FDE229" s="1"/>
      <c r="FDF229" s="1"/>
      <c r="FDG229" s="1"/>
      <c r="FDH229" s="1"/>
      <c r="FDI229" s="1"/>
      <c r="FDJ229" s="1"/>
      <c r="FDK229" s="1"/>
      <c r="FDL229" s="1"/>
      <c r="FDM229" s="1"/>
      <c r="FDN229" s="1"/>
      <c r="FDO229" s="1"/>
      <c r="FDP229" s="1"/>
      <c r="FDQ229" s="1"/>
      <c r="FDR229" s="1"/>
      <c r="FDS229" s="1"/>
      <c r="FDT229" s="1"/>
      <c r="FDU229" s="1"/>
      <c r="FDV229" s="1"/>
      <c r="FDW229" s="1"/>
      <c r="FDX229" s="1"/>
      <c r="FDY229" s="1"/>
      <c r="FDZ229" s="1"/>
      <c r="FEA229" s="1"/>
      <c r="FEB229" s="1"/>
      <c r="FEC229" s="1"/>
      <c r="FED229" s="1"/>
      <c r="FEE229" s="1"/>
      <c r="FEF229" s="1"/>
      <c r="FEG229" s="1"/>
      <c r="FEH229" s="1"/>
      <c r="FEI229" s="1"/>
      <c r="FEJ229" s="1"/>
      <c r="FEK229" s="1"/>
      <c r="FEL229" s="1"/>
      <c r="FEM229" s="1"/>
      <c r="FEN229" s="1"/>
      <c r="FEO229" s="1"/>
      <c r="FEP229" s="1"/>
      <c r="FEQ229" s="1"/>
      <c r="FER229" s="1"/>
      <c r="FES229" s="1"/>
      <c r="FET229" s="1"/>
      <c r="FEU229" s="1"/>
      <c r="FEV229" s="1"/>
      <c r="FEW229" s="1"/>
      <c r="FEX229" s="1"/>
      <c r="FEY229" s="1"/>
      <c r="FEZ229" s="1"/>
      <c r="FFA229" s="1"/>
      <c r="FFB229" s="1"/>
      <c r="FFC229" s="1"/>
      <c r="FFD229" s="1"/>
      <c r="FFE229" s="1"/>
      <c r="FFF229" s="1"/>
      <c r="FFG229" s="1"/>
      <c r="FFH229" s="1"/>
      <c r="FFI229" s="1"/>
      <c r="FFJ229" s="1"/>
      <c r="FFK229" s="1"/>
      <c r="FFL229" s="1"/>
      <c r="FFM229" s="1"/>
      <c r="FFN229" s="1"/>
      <c r="FFO229" s="1"/>
      <c r="FFP229" s="1"/>
      <c r="FFQ229" s="1"/>
      <c r="FFR229" s="1"/>
      <c r="FFS229" s="1"/>
      <c r="FFT229" s="1"/>
      <c r="FFU229" s="1"/>
      <c r="FFV229" s="1"/>
      <c r="FFW229" s="1"/>
      <c r="FFX229" s="1"/>
      <c r="FFY229" s="1"/>
      <c r="FFZ229" s="1"/>
      <c r="FGA229" s="1"/>
      <c r="FGB229" s="1"/>
      <c r="FGC229" s="1"/>
      <c r="FGD229" s="1"/>
      <c r="FGE229" s="1"/>
      <c r="FGF229" s="1"/>
      <c r="FGG229" s="1"/>
      <c r="FGH229" s="1"/>
      <c r="FGI229" s="1"/>
      <c r="FGJ229" s="1"/>
      <c r="FGK229" s="1"/>
      <c r="FGL229" s="1"/>
      <c r="FGM229" s="1"/>
      <c r="FGN229" s="1"/>
      <c r="FGO229" s="1"/>
      <c r="FGP229" s="1"/>
      <c r="FGQ229" s="1"/>
      <c r="FGR229" s="1"/>
      <c r="FGS229" s="1"/>
      <c r="FGT229" s="1"/>
      <c r="FGU229" s="1"/>
      <c r="FGV229" s="1"/>
      <c r="FGW229" s="1"/>
      <c r="FGX229" s="1"/>
      <c r="FGY229" s="1"/>
      <c r="FGZ229" s="1"/>
      <c r="FHA229" s="1"/>
      <c r="FHB229" s="1"/>
      <c r="FHC229" s="1"/>
      <c r="FHD229" s="1"/>
      <c r="FHE229" s="1"/>
      <c r="FHF229" s="1"/>
      <c r="FHG229" s="1"/>
      <c r="FHH229" s="1"/>
      <c r="FHI229" s="1"/>
      <c r="FHJ229" s="1"/>
      <c r="FHK229" s="1"/>
      <c r="FHL229" s="1"/>
      <c r="FHM229" s="1"/>
      <c r="FHN229" s="1"/>
      <c r="FHO229" s="1"/>
      <c r="FHP229" s="1"/>
      <c r="FHQ229" s="1"/>
      <c r="FHR229" s="1"/>
      <c r="FHS229" s="1"/>
      <c r="FHT229" s="1"/>
      <c r="FHU229" s="1"/>
      <c r="FHV229" s="1"/>
      <c r="FHW229" s="1"/>
      <c r="FHX229" s="1"/>
      <c r="FHY229" s="1"/>
      <c r="FHZ229" s="1"/>
      <c r="FIA229" s="1"/>
      <c r="FIB229" s="1"/>
      <c r="FIC229" s="1"/>
      <c r="FID229" s="1"/>
      <c r="FIE229" s="1"/>
      <c r="FIF229" s="1"/>
      <c r="FIG229" s="1"/>
      <c r="FIH229" s="1"/>
      <c r="FII229" s="1"/>
      <c r="FIJ229" s="1"/>
      <c r="FIK229" s="1"/>
      <c r="FIL229" s="1"/>
      <c r="FIM229" s="1"/>
      <c r="FIN229" s="1"/>
      <c r="FIO229" s="1"/>
      <c r="FIP229" s="1"/>
      <c r="FIQ229" s="1"/>
      <c r="FIR229" s="1"/>
      <c r="FIS229" s="1"/>
      <c r="FIT229" s="1"/>
      <c r="FIU229" s="1"/>
      <c r="FIV229" s="1"/>
      <c r="FIW229" s="1"/>
      <c r="FIX229" s="1"/>
      <c r="FIY229" s="1"/>
      <c r="FIZ229" s="1"/>
      <c r="FJA229" s="1"/>
      <c r="FJB229" s="1"/>
      <c r="FJC229" s="1"/>
      <c r="FJD229" s="1"/>
      <c r="FJE229" s="1"/>
      <c r="FJF229" s="1"/>
      <c r="FJG229" s="1"/>
      <c r="FJH229" s="1"/>
      <c r="FJI229" s="1"/>
      <c r="FJJ229" s="1"/>
      <c r="FJK229" s="1"/>
      <c r="FJL229" s="1"/>
      <c r="FJM229" s="1"/>
      <c r="FJN229" s="1"/>
      <c r="FJO229" s="1"/>
      <c r="FJP229" s="1"/>
      <c r="FJQ229" s="1"/>
      <c r="FJR229" s="1"/>
      <c r="FJS229" s="1"/>
      <c r="FJT229" s="1"/>
      <c r="FJU229" s="1"/>
      <c r="FJV229" s="1"/>
      <c r="FJW229" s="1"/>
      <c r="FJX229" s="1"/>
      <c r="FJY229" s="1"/>
      <c r="FJZ229" s="1"/>
      <c r="FKA229" s="1"/>
      <c r="FKB229" s="1"/>
      <c r="FKC229" s="1"/>
      <c r="FKD229" s="1"/>
      <c r="FKE229" s="1"/>
      <c r="FKF229" s="1"/>
      <c r="FKG229" s="1"/>
      <c r="FKH229" s="1"/>
      <c r="FKI229" s="1"/>
      <c r="FKJ229" s="1"/>
      <c r="FKK229" s="1"/>
      <c r="FKL229" s="1"/>
      <c r="FKM229" s="1"/>
      <c r="FKN229" s="1"/>
      <c r="FKO229" s="1"/>
      <c r="FKP229" s="1"/>
      <c r="FKQ229" s="1"/>
      <c r="FKR229" s="1"/>
      <c r="FKS229" s="1"/>
      <c r="FKT229" s="1"/>
      <c r="FKU229" s="1"/>
      <c r="FKV229" s="1"/>
      <c r="FKW229" s="1"/>
      <c r="FKX229" s="1"/>
      <c r="FKY229" s="1"/>
      <c r="FKZ229" s="1"/>
      <c r="FLA229" s="1"/>
      <c r="FLB229" s="1"/>
      <c r="FLC229" s="1"/>
      <c r="FLD229" s="1"/>
      <c r="FLE229" s="1"/>
      <c r="FLF229" s="1"/>
      <c r="FLG229" s="1"/>
      <c r="FLH229" s="1"/>
      <c r="FLI229" s="1"/>
      <c r="FLJ229" s="1"/>
      <c r="FLK229" s="1"/>
      <c r="FLL229" s="1"/>
      <c r="FLM229" s="1"/>
      <c r="FLN229" s="1"/>
      <c r="FLO229" s="1"/>
      <c r="FLP229" s="1"/>
      <c r="FLQ229" s="1"/>
      <c r="FLR229" s="1"/>
      <c r="FLS229" s="1"/>
      <c r="FLT229" s="1"/>
      <c r="FLU229" s="1"/>
      <c r="FLV229" s="1"/>
      <c r="FLW229" s="1"/>
      <c r="FLX229" s="1"/>
      <c r="FLY229" s="1"/>
      <c r="FLZ229" s="1"/>
      <c r="FMA229" s="1"/>
      <c r="FMB229" s="1"/>
      <c r="FMC229" s="1"/>
      <c r="FMD229" s="1"/>
      <c r="FME229" s="1"/>
      <c r="FMF229" s="1"/>
      <c r="FMG229" s="1"/>
      <c r="FMH229" s="1"/>
      <c r="FMI229" s="1"/>
      <c r="FMJ229" s="1"/>
      <c r="FMK229" s="1"/>
      <c r="FML229" s="1"/>
      <c r="FMM229" s="1"/>
      <c r="FMN229" s="1"/>
      <c r="FMO229" s="1"/>
      <c r="FMP229" s="1"/>
      <c r="FMQ229" s="1"/>
      <c r="FMR229" s="1"/>
      <c r="FMS229" s="1"/>
      <c r="FMT229" s="1"/>
      <c r="FMU229" s="1"/>
      <c r="FMV229" s="1"/>
      <c r="FMW229" s="1"/>
      <c r="FMX229" s="1"/>
      <c r="FMY229" s="1"/>
      <c r="FMZ229" s="1"/>
      <c r="FNA229" s="1"/>
      <c r="FNB229" s="1"/>
      <c r="FNC229" s="1"/>
      <c r="FND229" s="1"/>
      <c r="FNE229" s="1"/>
      <c r="FNF229" s="1"/>
      <c r="FNG229" s="1"/>
      <c r="FNH229" s="1"/>
      <c r="FNI229" s="1"/>
      <c r="FNJ229" s="1"/>
      <c r="FNK229" s="1"/>
      <c r="FNL229" s="1"/>
      <c r="FNM229" s="1"/>
      <c r="FNN229" s="1"/>
      <c r="FNO229" s="1"/>
      <c r="FNP229" s="1"/>
      <c r="FNQ229" s="1"/>
      <c r="FNR229" s="1"/>
      <c r="FNS229" s="1"/>
      <c r="FNT229" s="1"/>
      <c r="FNU229" s="1"/>
      <c r="FNV229" s="1"/>
      <c r="FNW229" s="1"/>
      <c r="FNX229" s="1"/>
      <c r="FNY229" s="1"/>
      <c r="FNZ229" s="1"/>
      <c r="FOA229" s="1"/>
      <c r="FOB229" s="1"/>
      <c r="FOC229" s="1"/>
      <c r="FOD229" s="1"/>
      <c r="FOE229" s="1"/>
      <c r="FOF229" s="1"/>
      <c r="FOG229" s="1"/>
      <c r="FOH229" s="1"/>
      <c r="FOI229" s="1"/>
      <c r="FOJ229" s="1"/>
      <c r="FOK229" s="1"/>
      <c r="FOL229" s="1"/>
      <c r="FOM229" s="1"/>
      <c r="FON229" s="1"/>
      <c r="FOO229" s="1"/>
      <c r="FOP229" s="1"/>
      <c r="FOQ229" s="1"/>
      <c r="FOR229" s="1"/>
      <c r="FOS229" s="1"/>
      <c r="FOT229" s="1"/>
      <c r="FOU229" s="1"/>
      <c r="FOV229" s="1"/>
      <c r="FOW229" s="1"/>
      <c r="FOX229" s="1"/>
      <c r="FOY229" s="1"/>
      <c r="FOZ229" s="1"/>
      <c r="FPA229" s="1"/>
      <c r="FPB229" s="1"/>
      <c r="FPC229" s="1"/>
      <c r="FPD229" s="1"/>
      <c r="FPE229" s="1"/>
      <c r="FPF229" s="1"/>
      <c r="FPG229" s="1"/>
      <c r="FPH229" s="1"/>
      <c r="FPI229" s="1"/>
      <c r="FPJ229" s="1"/>
      <c r="FPK229" s="1"/>
      <c r="FPL229" s="1"/>
      <c r="FPM229" s="1"/>
      <c r="FPN229" s="1"/>
      <c r="FPO229" s="1"/>
      <c r="FPP229" s="1"/>
      <c r="FPQ229" s="1"/>
      <c r="FPR229" s="1"/>
      <c r="FPS229" s="1"/>
      <c r="FPT229" s="1"/>
      <c r="FPU229" s="1"/>
      <c r="FPV229" s="1"/>
      <c r="FPW229" s="1"/>
      <c r="FPX229" s="1"/>
      <c r="FPY229" s="1"/>
      <c r="FPZ229" s="1"/>
      <c r="FQA229" s="1"/>
      <c r="FQB229" s="1"/>
      <c r="FQC229" s="1"/>
      <c r="FQD229" s="1"/>
      <c r="FQE229" s="1"/>
      <c r="FQF229" s="1"/>
      <c r="FQG229" s="1"/>
      <c r="FQH229" s="1"/>
      <c r="FQI229" s="1"/>
      <c r="FQJ229" s="1"/>
      <c r="FQK229" s="1"/>
      <c r="FQL229" s="1"/>
      <c r="FQM229" s="1"/>
      <c r="FQN229" s="1"/>
      <c r="FQO229" s="1"/>
      <c r="FQP229" s="1"/>
      <c r="FQQ229" s="1"/>
      <c r="FQR229" s="1"/>
      <c r="FQS229" s="1"/>
      <c r="FQT229" s="1"/>
      <c r="FQU229" s="1"/>
      <c r="FQV229" s="1"/>
      <c r="FQW229" s="1"/>
      <c r="FQX229" s="1"/>
      <c r="FQY229" s="1"/>
      <c r="FQZ229" s="1"/>
      <c r="FRA229" s="1"/>
      <c r="FRB229" s="1"/>
      <c r="FRC229" s="1"/>
      <c r="FRD229" s="1"/>
      <c r="FRE229" s="1"/>
      <c r="FRF229" s="1"/>
      <c r="FRG229" s="1"/>
      <c r="FRH229" s="1"/>
      <c r="FRI229" s="1"/>
      <c r="FRJ229" s="1"/>
      <c r="FRK229" s="1"/>
      <c r="FRL229" s="1"/>
      <c r="FRM229" s="1"/>
      <c r="FRN229" s="1"/>
      <c r="FRO229" s="1"/>
      <c r="FRP229" s="1"/>
      <c r="FRQ229" s="1"/>
      <c r="FRR229" s="1"/>
      <c r="FRS229" s="1"/>
      <c r="FRT229" s="1"/>
      <c r="FRU229" s="1"/>
      <c r="FRV229" s="1"/>
      <c r="FRW229" s="1"/>
      <c r="FRX229" s="1"/>
      <c r="FRY229" s="1"/>
      <c r="FRZ229" s="1"/>
      <c r="FSA229" s="1"/>
      <c r="FSB229" s="1"/>
      <c r="FSC229" s="1"/>
      <c r="FSD229" s="1"/>
      <c r="FSE229" s="1"/>
      <c r="FSF229" s="1"/>
      <c r="FSG229" s="1"/>
      <c r="FSH229" s="1"/>
      <c r="FSI229" s="1"/>
      <c r="FSJ229" s="1"/>
      <c r="FSK229" s="1"/>
      <c r="FSL229" s="1"/>
      <c r="FSM229" s="1"/>
      <c r="FSN229" s="1"/>
      <c r="FSO229" s="1"/>
      <c r="FSP229" s="1"/>
      <c r="FSQ229" s="1"/>
      <c r="FSR229" s="1"/>
      <c r="FSS229" s="1"/>
      <c r="FST229" s="1"/>
      <c r="FSU229" s="1"/>
      <c r="FSV229" s="1"/>
      <c r="FSW229" s="1"/>
      <c r="FSX229" s="1"/>
      <c r="FSY229" s="1"/>
      <c r="FSZ229" s="1"/>
      <c r="FTA229" s="1"/>
      <c r="FTB229" s="1"/>
      <c r="FTC229" s="1"/>
      <c r="FTD229" s="1"/>
      <c r="FTE229" s="1"/>
      <c r="FTF229" s="1"/>
      <c r="FTG229" s="1"/>
      <c r="FTH229" s="1"/>
      <c r="FTI229" s="1"/>
      <c r="FTJ229" s="1"/>
      <c r="FTK229" s="1"/>
      <c r="FTL229" s="1"/>
      <c r="FTM229" s="1"/>
      <c r="FTN229" s="1"/>
      <c r="FTO229" s="1"/>
      <c r="FTP229" s="1"/>
      <c r="FTQ229" s="1"/>
      <c r="FTR229" s="1"/>
      <c r="FTS229" s="1"/>
      <c r="FTT229" s="1"/>
      <c r="FTU229" s="1"/>
      <c r="FTV229" s="1"/>
      <c r="FTW229" s="1"/>
      <c r="FTX229" s="1"/>
      <c r="FTY229" s="1"/>
      <c r="FTZ229" s="1"/>
      <c r="FUA229" s="1"/>
      <c r="FUB229" s="1"/>
      <c r="FUC229" s="1"/>
      <c r="FUD229" s="1"/>
      <c r="FUE229" s="1"/>
      <c r="FUF229" s="1"/>
      <c r="FUG229" s="1"/>
      <c r="FUH229" s="1"/>
      <c r="FUI229" s="1"/>
      <c r="FUJ229" s="1"/>
      <c r="FUK229" s="1"/>
      <c r="FUL229" s="1"/>
      <c r="FUM229" s="1"/>
      <c r="FUN229" s="1"/>
      <c r="FUO229" s="1"/>
      <c r="FUP229" s="1"/>
      <c r="FUQ229" s="1"/>
      <c r="FUR229" s="1"/>
      <c r="FUS229" s="1"/>
      <c r="FUT229" s="1"/>
      <c r="FUU229" s="1"/>
      <c r="FUV229" s="1"/>
      <c r="FUW229" s="1"/>
      <c r="FUX229" s="1"/>
      <c r="FUY229" s="1"/>
      <c r="FUZ229" s="1"/>
      <c r="FVA229" s="1"/>
      <c r="FVB229" s="1"/>
      <c r="FVC229" s="1"/>
      <c r="FVD229" s="1"/>
      <c r="FVE229" s="1"/>
      <c r="FVF229" s="1"/>
      <c r="FVG229" s="1"/>
      <c r="FVH229" s="1"/>
      <c r="FVI229" s="1"/>
      <c r="FVJ229" s="1"/>
      <c r="FVK229" s="1"/>
      <c r="FVL229" s="1"/>
      <c r="FVM229" s="1"/>
      <c r="FVN229" s="1"/>
      <c r="FVO229" s="1"/>
      <c r="FVP229" s="1"/>
      <c r="FVQ229" s="1"/>
      <c r="FVR229" s="1"/>
      <c r="FVS229" s="1"/>
      <c r="FVT229" s="1"/>
      <c r="FVU229" s="1"/>
      <c r="FVV229" s="1"/>
      <c r="FVW229" s="1"/>
      <c r="FVX229" s="1"/>
      <c r="FVY229" s="1"/>
      <c r="FVZ229" s="1"/>
      <c r="FWA229" s="1"/>
      <c r="FWB229" s="1"/>
      <c r="FWC229" s="1"/>
      <c r="FWD229" s="1"/>
      <c r="FWE229" s="1"/>
      <c r="FWF229" s="1"/>
      <c r="FWG229" s="1"/>
      <c r="FWH229" s="1"/>
      <c r="FWI229" s="1"/>
      <c r="FWJ229" s="1"/>
      <c r="FWK229" s="1"/>
      <c r="FWL229" s="1"/>
      <c r="FWM229" s="1"/>
      <c r="FWN229" s="1"/>
      <c r="FWO229" s="1"/>
      <c r="FWP229" s="1"/>
      <c r="FWQ229" s="1"/>
      <c r="FWR229" s="1"/>
      <c r="FWS229" s="1"/>
      <c r="FWT229" s="1"/>
      <c r="FWU229" s="1"/>
      <c r="FWV229" s="1"/>
      <c r="FWW229" s="1"/>
      <c r="FWX229" s="1"/>
      <c r="FWY229" s="1"/>
      <c r="FWZ229" s="1"/>
      <c r="FXA229" s="1"/>
      <c r="FXB229" s="1"/>
      <c r="FXC229" s="1"/>
      <c r="FXD229" s="1"/>
      <c r="FXE229" s="1"/>
      <c r="FXF229" s="1"/>
      <c r="FXG229" s="1"/>
      <c r="FXH229" s="1"/>
      <c r="FXI229" s="1"/>
      <c r="FXJ229" s="1"/>
      <c r="FXK229" s="1"/>
      <c r="FXL229" s="1"/>
      <c r="FXM229" s="1"/>
      <c r="FXN229" s="1"/>
      <c r="FXO229" s="1"/>
      <c r="FXP229" s="1"/>
      <c r="FXQ229" s="1"/>
      <c r="FXR229" s="1"/>
      <c r="FXS229" s="1"/>
      <c r="FXT229" s="1"/>
      <c r="FXU229" s="1"/>
      <c r="FXV229" s="1"/>
      <c r="FXW229" s="1"/>
      <c r="FXX229" s="1"/>
      <c r="FXY229" s="1"/>
      <c r="FXZ229" s="1"/>
      <c r="FYA229" s="1"/>
      <c r="FYB229" s="1"/>
      <c r="FYC229" s="1"/>
      <c r="FYD229" s="1"/>
      <c r="FYE229" s="1"/>
      <c r="FYF229" s="1"/>
      <c r="FYG229" s="1"/>
      <c r="FYH229" s="1"/>
      <c r="FYI229" s="1"/>
      <c r="FYJ229" s="1"/>
      <c r="FYK229" s="1"/>
      <c r="FYL229" s="1"/>
      <c r="FYM229" s="1"/>
      <c r="FYN229" s="1"/>
      <c r="FYO229" s="1"/>
      <c r="FYP229" s="1"/>
      <c r="FYQ229" s="1"/>
      <c r="FYR229" s="1"/>
      <c r="FYS229" s="1"/>
      <c r="FYT229" s="1"/>
      <c r="FYU229" s="1"/>
      <c r="FYV229" s="1"/>
      <c r="FYW229" s="1"/>
      <c r="FYX229" s="1"/>
      <c r="FYY229" s="1"/>
      <c r="FYZ229" s="1"/>
      <c r="FZA229" s="1"/>
      <c r="FZB229" s="1"/>
      <c r="FZC229" s="1"/>
      <c r="FZD229" s="1"/>
      <c r="FZE229" s="1"/>
      <c r="FZF229" s="1"/>
      <c r="FZG229" s="1"/>
      <c r="FZH229" s="1"/>
      <c r="FZI229" s="1"/>
      <c r="FZJ229" s="1"/>
      <c r="FZK229" s="1"/>
      <c r="FZL229" s="1"/>
      <c r="FZM229" s="1"/>
      <c r="FZN229" s="1"/>
      <c r="FZO229" s="1"/>
      <c r="FZP229" s="1"/>
      <c r="FZQ229" s="1"/>
      <c r="FZR229" s="1"/>
      <c r="FZS229" s="1"/>
      <c r="FZT229" s="1"/>
      <c r="FZU229" s="1"/>
      <c r="FZV229" s="1"/>
      <c r="FZW229" s="1"/>
      <c r="FZX229" s="1"/>
      <c r="FZY229" s="1"/>
      <c r="FZZ229" s="1"/>
      <c r="GAA229" s="1"/>
      <c r="GAB229" s="1"/>
      <c r="GAC229" s="1"/>
      <c r="GAD229" s="1"/>
      <c r="GAE229" s="1"/>
      <c r="GAF229" s="1"/>
      <c r="GAG229" s="1"/>
      <c r="GAH229" s="1"/>
      <c r="GAI229" s="1"/>
      <c r="GAJ229" s="1"/>
      <c r="GAK229" s="1"/>
      <c r="GAL229" s="1"/>
      <c r="GAM229" s="1"/>
      <c r="GAN229" s="1"/>
      <c r="GAO229" s="1"/>
      <c r="GAP229" s="1"/>
      <c r="GAQ229" s="1"/>
      <c r="GAR229" s="1"/>
      <c r="GAS229" s="1"/>
      <c r="GAT229" s="1"/>
      <c r="GAU229" s="1"/>
      <c r="GAV229" s="1"/>
      <c r="GAW229" s="1"/>
      <c r="GAX229" s="1"/>
      <c r="GAY229" s="1"/>
      <c r="GAZ229" s="1"/>
      <c r="GBA229" s="1"/>
      <c r="GBB229" s="1"/>
      <c r="GBC229" s="1"/>
      <c r="GBD229" s="1"/>
      <c r="GBE229" s="1"/>
      <c r="GBF229" s="1"/>
      <c r="GBG229" s="1"/>
      <c r="GBH229" s="1"/>
      <c r="GBI229" s="1"/>
      <c r="GBJ229" s="1"/>
      <c r="GBK229" s="1"/>
      <c r="GBL229" s="1"/>
      <c r="GBM229" s="1"/>
      <c r="GBN229" s="1"/>
      <c r="GBO229" s="1"/>
      <c r="GBP229" s="1"/>
      <c r="GBQ229" s="1"/>
      <c r="GBR229" s="1"/>
      <c r="GBS229" s="1"/>
      <c r="GBT229" s="1"/>
      <c r="GBU229" s="1"/>
      <c r="GBV229" s="1"/>
      <c r="GBW229" s="1"/>
      <c r="GBX229" s="1"/>
      <c r="GBY229" s="1"/>
      <c r="GBZ229" s="1"/>
      <c r="GCA229" s="1"/>
      <c r="GCB229" s="1"/>
      <c r="GCC229" s="1"/>
      <c r="GCD229" s="1"/>
      <c r="GCE229" s="1"/>
      <c r="GCF229" s="1"/>
      <c r="GCG229" s="1"/>
      <c r="GCH229" s="1"/>
      <c r="GCI229" s="1"/>
      <c r="GCJ229" s="1"/>
      <c r="GCK229" s="1"/>
      <c r="GCL229" s="1"/>
      <c r="GCM229" s="1"/>
      <c r="GCN229" s="1"/>
      <c r="GCO229" s="1"/>
      <c r="GCP229" s="1"/>
      <c r="GCQ229" s="1"/>
      <c r="GCR229" s="1"/>
      <c r="GCS229" s="1"/>
      <c r="GCT229" s="1"/>
      <c r="GCU229" s="1"/>
      <c r="GCV229" s="1"/>
      <c r="GCW229" s="1"/>
      <c r="GCX229" s="1"/>
      <c r="GCY229" s="1"/>
      <c r="GCZ229" s="1"/>
      <c r="GDA229" s="1"/>
      <c r="GDB229" s="1"/>
      <c r="GDC229" s="1"/>
      <c r="GDD229" s="1"/>
      <c r="GDE229" s="1"/>
      <c r="GDF229" s="1"/>
      <c r="GDG229" s="1"/>
      <c r="GDH229" s="1"/>
      <c r="GDI229" s="1"/>
      <c r="GDJ229" s="1"/>
      <c r="GDK229" s="1"/>
      <c r="GDL229" s="1"/>
      <c r="GDM229" s="1"/>
      <c r="GDN229" s="1"/>
      <c r="GDO229" s="1"/>
      <c r="GDP229" s="1"/>
      <c r="GDQ229" s="1"/>
      <c r="GDR229" s="1"/>
      <c r="GDS229" s="1"/>
      <c r="GDT229" s="1"/>
      <c r="GDU229" s="1"/>
      <c r="GDV229" s="1"/>
      <c r="GDW229" s="1"/>
      <c r="GDX229" s="1"/>
      <c r="GDY229" s="1"/>
      <c r="GDZ229" s="1"/>
      <c r="GEA229" s="1"/>
      <c r="GEB229" s="1"/>
      <c r="GEC229" s="1"/>
      <c r="GED229" s="1"/>
      <c r="GEE229" s="1"/>
      <c r="GEF229" s="1"/>
      <c r="GEG229" s="1"/>
      <c r="GEH229" s="1"/>
      <c r="GEI229" s="1"/>
      <c r="GEJ229" s="1"/>
      <c r="GEK229" s="1"/>
      <c r="GEL229" s="1"/>
      <c r="GEM229" s="1"/>
      <c r="GEN229" s="1"/>
      <c r="GEO229" s="1"/>
      <c r="GEP229" s="1"/>
      <c r="GEQ229" s="1"/>
      <c r="GER229" s="1"/>
      <c r="GES229" s="1"/>
      <c r="GET229" s="1"/>
      <c r="GEU229" s="1"/>
      <c r="GEV229" s="1"/>
      <c r="GEW229" s="1"/>
      <c r="GEX229" s="1"/>
      <c r="GEY229" s="1"/>
      <c r="GEZ229" s="1"/>
      <c r="GFA229" s="1"/>
      <c r="GFB229" s="1"/>
      <c r="GFC229" s="1"/>
      <c r="GFD229" s="1"/>
      <c r="GFE229" s="1"/>
      <c r="GFF229" s="1"/>
      <c r="GFG229" s="1"/>
      <c r="GFH229" s="1"/>
      <c r="GFI229" s="1"/>
      <c r="GFJ229" s="1"/>
      <c r="GFK229" s="1"/>
      <c r="GFL229" s="1"/>
      <c r="GFM229" s="1"/>
      <c r="GFN229" s="1"/>
      <c r="GFO229" s="1"/>
      <c r="GFP229" s="1"/>
      <c r="GFQ229" s="1"/>
      <c r="GFR229" s="1"/>
      <c r="GFS229" s="1"/>
      <c r="GFT229" s="1"/>
      <c r="GFU229" s="1"/>
      <c r="GFV229" s="1"/>
      <c r="GFW229" s="1"/>
      <c r="GFX229" s="1"/>
      <c r="GFY229" s="1"/>
      <c r="GFZ229" s="1"/>
      <c r="GGA229" s="1"/>
      <c r="GGB229" s="1"/>
      <c r="GGC229" s="1"/>
      <c r="GGD229" s="1"/>
      <c r="GGE229" s="1"/>
      <c r="GGF229" s="1"/>
      <c r="GGG229" s="1"/>
      <c r="GGH229" s="1"/>
      <c r="GGI229" s="1"/>
      <c r="GGJ229" s="1"/>
      <c r="GGK229" s="1"/>
      <c r="GGL229" s="1"/>
      <c r="GGM229" s="1"/>
      <c r="GGN229" s="1"/>
      <c r="GGO229" s="1"/>
      <c r="GGP229" s="1"/>
      <c r="GGQ229" s="1"/>
      <c r="GGR229" s="1"/>
      <c r="GGS229" s="1"/>
      <c r="GGT229" s="1"/>
      <c r="GGU229" s="1"/>
      <c r="GGV229" s="1"/>
      <c r="GGW229" s="1"/>
      <c r="GGX229" s="1"/>
      <c r="GGY229" s="1"/>
      <c r="GGZ229" s="1"/>
      <c r="GHA229" s="1"/>
      <c r="GHB229" s="1"/>
      <c r="GHC229" s="1"/>
      <c r="GHD229" s="1"/>
      <c r="GHE229" s="1"/>
      <c r="GHF229" s="1"/>
      <c r="GHG229" s="1"/>
      <c r="GHH229" s="1"/>
      <c r="GHI229" s="1"/>
      <c r="GHJ229" s="1"/>
      <c r="GHK229" s="1"/>
      <c r="GHL229" s="1"/>
      <c r="GHM229" s="1"/>
      <c r="GHN229" s="1"/>
      <c r="GHO229" s="1"/>
      <c r="GHP229" s="1"/>
      <c r="GHQ229" s="1"/>
      <c r="GHR229" s="1"/>
      <c r="GHS229" s="1"/>
      <c r="GHT229" s="1"/>
      <c r="GHU229" s="1"/>
      <c r="GHV229" s="1"/>
      <c r="GHW229" s="1"/>
      <c r="GHX229" s="1"/>
      <c r="GHY229" s="1"/>
      <c r="GHZ229" s="1"/>
      <c r="GIA229" s="1"/>
      <c r="GIB229" s="1"/>
      <c r="GIC229" s="1"/>
      <c r="GID229" s="1"/>
      <c r="GIE229" s="1"/>
      <c r="GIF229" s="1"/>
      <c r="GIG229" s="1"/>
      <c r="GIH229" s="1"/>
      <c r="GII229" s="1"/>
      <c r="GIJ229" s="1"/>
      <c r="GIK229" s="1"/>
      <c r="GIL229" s="1"/>
      <c r="GIM229" s="1"/>
      <c r="GIN229" s="1"/>
      <c r="GIO229" s="1"/>
      <c r="GIP229" s="1"/>
      <c r="GIQ229" s="1"/>
      <c r="GIR229" s="1"/>
      <c r="GIS229" s="1"/>
      <c r="GIT229" s="1"/>
      <c r="GIU229" s="1"/>
      <c r="GIV229" s="1"/>
      <c r="GIW229" s="1"/>
      <c r="GIX229" s="1"/>
      <c r="GIY229" s="1"/>
      <c r="GIZ229" s="1"/>
      <c r="GJA229" s="1"/>
      <c r="GJB229" s="1"/>
      <c r="GJC229" s="1"/>
      <c r="GJD229" s="1"/>
      <c r="GJE229" s="1"/>
      <c r="GJF229" s="1"/>
      <c r="GJG229" s="1"/>
      <c r="GJH229" s="1"/>
      <c r="GJI229" s="1"/>
      <c r="GJJ229" s="1"/>
      <c r="GJK229" s="1"/>
      <c r="GJL229" s="1"/>
      <c r="GJM229" s="1"/>
      <c r="GJN229" s="1"/>
      <c r="GJO229" s="1"/>
      <c r="GJP229" s="1"/>
      <c r="GJQ229" s="1"/>
      <c r="GJR229" s="1"/>
      <c r="GJS229" s="1"/>
      <c r="GJT229" s="1"/>
      <c r="GJU229" s="1"/>
      <c r="GJV229" s="1"/>
      <c r="GJW229" s="1"/>
      <c r="GJX229" s="1"/>
      <c r="GJY229" s="1"/>
      <c r="GJZ229" s="1"/>
      <c r="GKA229" s="1"/>
      <c r="GKB229" s="1"/>
      <c r="GKC229" s="1"/>
      <c r="GKD229" s="1"/>
      <c r="GKE229" s="1"/>
      <c r="GKF229" s="1"/>
      <c r="GKG229" s="1"/>
      <c r="GKH229" s="1"/>
      <c r="GKI229" s="1"/>
      <c r="GKJ229" s="1"/>
      <c r="GKK229" s="1"/>
      <c r="GKL229" s="1"/>
      <c r="GKM229" s="1"/>
      <c r="GKN229" s="1"/>
      <c r="GKO229" s="1"/>
      <c r="GKP229" s="1"/>
      <c r="GKQ229" s="1"/>
      <c r="GKR229" s="1"/>
      <c r="GKS229" s="1"/>
      <c r="GKT229" s="1"/>
      <c r="GKU229" s="1"/>
      <c r="GKV229" s="1"/>
      <c r="GKW229" s="1"/>
      <c r="GKX229" s="1"/>
      <c r="GKY229" s="1"/>
      <c r="GKZ229" s="1"/>
      <c r="GLA229" s="1"/>
      <c r="GLB229" s="1"/>
      <c r="GLC229" s="1"/>
      <c r="GLD229" s="1"/>
      <c r="GLE229" s="1"/>
      <c r="GLF229" s="1"/>
      <c r="GLG229" s="1"/>
      <c r="GLH229" s="1"/>
      <c r="GLI229" s="1"/>
      <c r="GLJ229" s="1"/>
      <c r="GLK229" s="1"/>
      <c r="GLL229" s="1"/>
      <c r="GLM229" s="1"/>
      <c r="GLN229" s="1"/>
      <c r="GLO229" s="1"/>
      <c r="GLP229" s="1"/>
      <c r="GLQ229" s="1"/>
      <c r="GLR229" s="1"/>
      <c r="GLS229" s="1"/>
      <c r="GLT229" s="1"/>
      <c r="GLU229" s="1"/>
      <c r="GLV229" s="1"/>
      <c r="GLW229" s="1"/>
      <c r="GLX229" s="1"/>
      <c r="GLY229" s="1"/>
      <c r="GLZ229" s="1"/>
      <c r="GMA229" s="1"/>
      <c r="GMB229" s="1"/>
      <c r="GMC229" s="1"/>
      <c r="GMD229" s="1"/>
      <c r="GME229" s="1"/>
      <c r="GMF229" s="1"/>
      <c r="GMG229" s="1"/>
      <c r="GMH229" s="1"/>
      <c r="GMI229" s="1"/>
      <c r="GMJ229" s="1"/>
      <c r="GMK229" s="1"/>
      <c r="GML229" s="1"/>
      <c r="GMM229" s="1"/>
      <c r="GMN229" s="1"/>
      <c r="GMO229" s="1"/>
      <c r="GMP229" s="1"/>
      <c r="GMQ229" s="1"/>
      <c r="GMR229" s="1"/>
      <c r="GMS229" s="1"/>
      <c r="GMT229" s="1"/>
      <c r="GMU229" s="1"/>
      <c r="GMV229" s="1"/>
      <c r="GMW229" s="1"/>
      <c r="GMX229" s="1"/>
      <c r="GMY229" s="1"/>
      <c r="GMZ229" s="1"/>
      <c r="GNA229" s="1"/>
      <c r="GNB229" s="1"/>
      <c r="GNC229" s="1"/>
      <c r="GND229" s="1"/>
      <c r="GNE229" s="1"/>
      <c r="GNF229" s="1"/>
      <c r="GNG229" s="1"/>
      <c r="GNH229" s="1"/>
      <c r="GNI229" s="1"/>
      <c r="GNJ229" s="1"/>
      <c r="GNK229" s="1"/>
      <c r="GNL229" s="1"/>
      <c r="GNM229" s="1"/>
      <c r="GNN229" s="1"/>
      <c r="GNO229" s="1"/>
      <c r="GNP229" s="1"/>
      <c r="GNQ229" s="1"/>
      <c r="GNR229" s="1"/>
      <c r="GNS229" s="1"/>
      <c r="GNT229" s="1"/>
      <c r="GNU229" s="1"/>
      <c r="GNV229" s="1"/>
      <c r="GNW229" s="1"/>
      <c r="GNX229" s="1"/>
      <c r="GNY229" s="1"/>
      <c r="GNZ229" s="1"/>
      <c r="GOA229" s="1"/>
      <c r="GOB229" s="1"/>
      <c r="GOC229" s="1"/>
      <c r="GOD229" s="1"/>
      <c r="GOE229" s="1"/>
      <c r="GOF229" s="1"/>
      <c r="GOG229" s="1"/>
      <c r="GOH229" s="1"/>
      <c r="GOI229" s="1"/>
      <c r="GOJ229" s="1"/>
      <c r="GOK229" s="1"/>
      <c r="GOL229" s="1"/>
      <c r="GOM229" s="1"/>
      <c r="GON229" s="1"/>
      <c r="GOO229" s="1"/>
      <c r="GOP229" s="1"/>
      <c r="GOQ229" s="1"/>
      <c r="GOR229" s="1"/>
      <c r="GOS229" s="1"/>
      <c r="GOT229" s="1"/>
      <c r="GOU229" s="1"/>
      <c r="GOV229" s="1"/>
      <c r="GOW229" s="1"/>
      <c r="GOX229" s="1"/>
      <c r="GOY229" s="1"/>
      <c r="GOZ229" s="1"/>
      <c r="GPA229" s="1"/>
      <c r="GPB229" s="1"/>
      <c r="GPC229" s="1"/>
      <c r="GPD229" s="1"/>
      <c r="GPE229" s="1"/>
      <c r="GPF229" s="1"/>
      <c r="GPG229" s="1"/>
      <c r="GPH229" s="1"/>
      <c r="GPI229" s="1"/>
      <c r="GPJ229" s="1"/>
      <c r="GPK229" s="1"/>
      <c r="GPL229" s="1"/>
      <c r="GPM229" s="1"/>
      <c r="GPN229" s="1"/>
      <c r="GPO229" s="1"/>
      <c r="GPP229" s="1"/>
      <c r="GPQ229" s="1"/>
      <c r="GPR229" s="1"/>
      <c r="GPS229" s="1"/>
      <c r="GPT229" s="1"/>
      <c r="GPU229" s="1"/>
      <c r="GPV229" s="1"/>
      <c r="GPW229" s="1"/>
      <c r="GPX229" s="1"/>
      <c r="GPY229" s="1"/>
      <c r="GPZ229" s="1"/>
      <c r="GQA229" s="1"/>
      <c r="GQB229" s="1"/>
      <c r="GQC229" s="1"/>
      <c r="GQD229" s="1"/>
      <c r="GQE229" s="1"/>
      <c r="GQF229" s="1"/>
      <c r="GQG229" s="1"/>
      <c r="GQH229" s="1"/>
      <c r="GQI229" s="1"/>
      <c r="GQJ229" s="1"/>
      <c r="GQK229" s="1"/>
      <c r="GQL229" s="1"/>
      <c r="GQM229" s="1"/>
      <c r="GQN229" s="1"/>
      <c r="GQO229" s="1"/>
      <c r="GQP229" s="1"/>
      <c r="GQQ229" s="1"/>
      <c r="GQR229" s="1"/>
      <c r="GQS229" s="1"/>
      <c r="GQT229" s="1"/>
      <c r="GQU229" s="1"/>
      <c r="GQV229" s="1"/>
      <c r="GQW229" s="1"/>
      <c r="GQX229" s="1"/>
      <c r="GQY229" s="1"/>
      <c r="GQZ229" s="1"/>
      <c r="GRA229" s="1"/>
      <c r="GRB229" s="1"/>
      <c r="GRC229" s="1"/>
      <c r="GRD229" s="1"/>
      <c r="GRE229" s="1"/>
      <c r="GRF229" s="1"/>
      <c r="GRG229" s="1"/>
      <c r="GRH229" s="1"/>
      <c r="GRI229" s="1"/>
      <c r="GRJ229" s="1"/>
      <c r="GRK229" s="1"/>
      <c r="GRL229" s="1"/>
      <c r="GRM229" s="1"/>
      <c r="GRN229" s="1"/>
      <c r="GRO229" s="1"/>
      <c r="GRP229" s="1"/>
      <c r="GRQ229" s="1"/>
      <c r="GRR229" s="1"/>
      <c r="GRS229" s="1"/>
      <c r="GRT229" s="1"/>
      <c r="GRU229" s="1"/>
      <c r="GRV229" s="1"/>
      <c r="GRW229" s="1"/>
      <c r="GRX229" s="1"/>
      <c r="GRY229" s="1"/>
      <c r="GRZ229" s="1"/>
      <c r="GSA229" s="1"/>
      <c r="GSB229" s="1"/>
      <c r="GSC229" s="1"/>
      <c r="GSD229" s="1"/>
      <c r="GSE229" s="1"/>
      <c r="GSF229" s="1"/>
      <c r="GSG229" s="1"/>
      <c r="GSH229" s="1"/>
      <c r="GSI229" s="1"/>
      <c r="GSJ229" s="1"/>
      <c r="GSK229" s="1"/>
      <c r="GSL229" s="1"/>
      <c r="GSM229" s="1"/>
      <c r="GSN229" s="1"/>
      <c r="GSO229" s="1"/>
      <c r="GSP229" s="1"/>
      <c r="GSQ229" s="1"/>
      <c r="GSR229" s="1"/>
      <c r="GSS229" s="1"/>
      <c r="GST229" s="1"/>
      <c r="GSU229" s="1"/>
      <c r="GSV229" s="1"/>
      <c r="GSW229" s="1"/>
      <c r="GSX229" s="1"/>
      <c r="GSY229" s="1"/>
      <c r="GSZ229" s="1"/>
      <c r="GTA229" s="1"/>
      <c r="GTB229" s="1"/>
      <c r="GTC229" s="1"/>
      <c r="GTD229" s="1"/>
      <c r="GTE229" s="1"/>
      <c r="GTF229" s="1"/>
      <c r="GTG229" s="1"/>
      <c r="GTH229" s="1"/>
      <c r="GTI229" s="1"/>
      <c r="GTJ229" s="1"/>
      <c r="GTK229" s="1"/>
      <c r="GTL229" s="1"/>
      <c r="GTM229" s="1"/>
      <c r="GTN229" s="1"/>
      <c r="GTO229" s="1"/>
      <c r="GTP229" s="1"/>
      <c r="GTQ229" s="1"/>
      <c r="GTR229" s="1"/>
      <c r="GTS229" s="1"/>
      <c r="GTT229" s="1"/>
      <c r="GTU229" s="1"/>
      <c r="GTV229" s="1"/>
      <c r="GTW229" s="1"/>
      <c r="GTX229" s="1"/>
      <c r="GTY229" s="1"/>
      <c r="GTZ229" s="1"/>
      <c r="GUA229" s="1"/>
      <c r="GUB229" s="1"/>
      <c r="GUC229" s="1"/>
      <c r="GUD229" s="1"/>
      <c r="GUE229" s="1"/>
      <c r="GUF229" s="1"/>
      <c r="GUG229" s="1"/>
      <c r="GUH229" s="1"/>
      <c r="GUI229" s="1"/>
      <c r="GUJ229" s="1"/>
      <c r="GUK229" s="1"/>
      <c r="GUL229" s="1"/>
      <c r="GUM229" s="1"/>
      <c r="GUN229" s="1"/>
      <c r="GUO229" s="1"/>
      <c r="GUP229" s="1"/>
      <c r="GUQ229" s="1"/>
      <c r="GUR229" s="1"/>
      <c r="GUS229" s="1"/>
      <c r="GUT229" s="1"/>
      <c r="GUU229" s="1"/>
      <c r="GUV229" s="1"/>
      <c r="GUW229" s="1"/>
      <c r="GUX229" s="1"/>
      <c r="GUY229" s="1"/>
      <c r="GUZ229" s="1"/>
      <c r="GVA229" s="1"/>
      <c r="GVB229" s="1"/>
      <c r="GVC229" s="1"/>
      <c r="GVD229" s="1"/>
      <c r="GVE229" s="1"/>
      <c r="GVF229" s="1"/>
      <c r="GVG229" s="1"/>
      <c r="GVH229" s="1"/>
      <c r="GVI229" s="1"/>
      <c r="GVJ229" s="1"/>
      <c r="GVK229" s="1"/>
      <c r="GVL229" s="1"/>
      <c r="GVM229" s="1"/>
      <c r="GVN229" s="1"/>
      <c r="GVO229" s="1"/>
      <c r="GVP229" s="1"/>
      <c r="GVQ229" s="1"/>
      <c r="GVR229" s="1"/>
      <c r="GVS229" s="1"/>
      <c r="GVT229" s="1"/>
      <c r="GVU229" s="1"/>
      <c r="GVV229" s="1"/>
      <c r="GVW229" s="1"/>
      <c r="GVX229" s="1"/>
      <c r="GVY229" s="1"/>
      <c r="GVZ229" s="1"/>
      <c r="GWA229" s="1"/>
      <c r="GWB229" s="1"/>
      <c r="GWC229" s="1"/>
      <c r="GWD229" s="1"/>
      <c r="GWE229" s="1"/>
      <c r="GWF229" s="1"/>
      <c r="GWG229" s="1"/>
      <c r="GWH229" s="1"/>
      <c r="GWI229" s="1"/>
      <c r="GWJ229" s="1"/>
      <c r="GWK229" s="1"/>
      <c r="GWL229" s="1"/>
      <c r="GWM229" s="1"/>
      <c r="GWN229" s="1"/>
      <c r="GWO229" s="1"/>
      <c r="GWP229" s="1"/>
      <c r="GWQ229" s="1"/>
      <c r="GWR229" s="1"/>
      <c r="GWS229" s="1"/>
      <c r="GWT229" s="1"/>
      <c r="GWU229" s="1"/>
      <c r="GWV229" s="1"/>
      <c r="GWW229" s="1"/>
      <c r="GWX229" s="1"/>
      <c r="GWY229" s="1"/>
      <c r="GWZ229" s="1"/>
      <c r="GXA229" s="1"/>
      <c r="GXB229" s="1"/>
      <c r="GXC229" s="1"/>
      <c r="GXD229" s="1"/>
      <c r="GXE229" s="1"/>
      <c r="GXF229" s="1"/>
      <c r="GXG229" s="1"/>
      <c r="GXH229" s="1"/>
      <c r="GXI229" s="1"/>
      <c r="GXJ229" s="1"/>
      <c r="GXK229" s="1"/>
      <c r="GXL229" s="1"/>
      <c r="GXM229" s="1"/>
      <c r="GXN229" s="1"/>
      <c r="GXO229" s="1"/>
      <c r="GXP229" s="1"/>
      <c r="GXQ229" s="1"/>
      <c r="GXR229" s="1"/>
      <c r="GXS229" s="1"/>
      <c r="GXT229" s="1"/>
      <c r="GXU229" s="1"/>
      <c r="GXV229" s="1"/>
      <c r="GXW229" s="1"/>
      <c r="GXX229" s="1"/>
      <c r="GXY229" s="1"/>
      <c r="GXZ229" s="1"/>
      <c r="GYA229" s="1"/>
      <c r="GYB229" s="1"/>
      <c r="GYC229" s="1"/>
      <c r="GYD229" s="1"/>
      <c r="GYE229" s="1"/>
      <c r="GYF229" s="1"/>
      <c r="GYG229" s="1"/>
      <c r="GYH229" s="1"/>
      <c r="GYI229" s="1"/>
      <c r="GYJ229" s="1"/>
      <c r="GYK229" s="1"/>
      <c r="GYL229" s="1"/>
      <c r="GYM229" s="1"/>
      <c r="GYN229" s="1"/>
      <c r="GYO229" s="1"/>
      <c r="GYP229" s="1"/>
      <c r="GYQ229" s="1"/>
      <c r="GYR229" s="1"/>
      <c r="GYS229" s="1"/>
      <c r="GYT229" s="1"/>
      <c r="GYU229" s="1"/>
      <c r="GYV229" s="1"/>
      <c r="GYW229" s="1"/>
      <c r="GYX229" s="1"/>
      <c r="GYY229" s="1"/>
      <c r="GYZ229" s="1"/>
      <c r="GZA229" s="1"/>
      <c r="GZB229" s="1"/>
      <c r="GZC229" s="1"/>
      <c r="GZD229" s="1"/>
      <c r="GZE229" s="1"/>
      <c r="GZF229" s="1"/>
      <c r="GZG229" s="1"/>
      <c r="GZH229" s="1"/>
      <c r="GZI229" s="1"/>
      <c r="GZJ229" s="1"/>
      <c r="GZK229" s="1"/>
      <c r="GZL229" s="1"/>
      <c r="GZM229" s="1"/>
      <c r="GZN229" s="1"/>
      <c r="GZO229" s="1"/>
      <c r="GZP229" s="1"/>
      <c r="GZQ229" s="1"/>
      <c r="GZR229" s="1"/>
      <c r="GZS229" s="1"/>
      <c r="GZT229" s="1"/>
      <c r="GZU229" s="1"/>
      <c r="GZV229" s="1"/>
      <c r="GZW229" s="1"/>
      <c r="GZX229" s="1"/>
      <c r="GZY229" s="1"/>
      <c r="GZZ229" s="1"/>
      <c r="HAA229" s="1"/>
      <c r="HAB229" s="1"/>
      <c r="HAC229" s="1"/>
      <c r="HAD229" s="1"/>
      <c r="HAE229" s="1"/>
      <c r="HAF229" s="1"/>
      <c r="HAG229" s="1"/>
      <c r="HAH229" s="1"/>
      <c r="HAI229" s="1"/>
      <c r="HAJ229" s="1"/>
      <c r="HAK229" s="1"/>
      <c r="HAL229" s="1"/>
      <c r="HAM229" s="1"/>
      <c r="HAN229" s="1"/>
      <c r="HAO229" s="1"/>
      <c r="HAP229" s="1"/>
      <c r="HAQ229" s="1"/>
      <c r="HAR229" s="1"/>
      <c r="HAS229" s="1"/>
      <c r="HAT229" s="1"/>
      <c r="HAU229" s="1"/>
      <c r="HAV229" s="1"/>
      <c r="HAW229" s="1"/>
      <c r="HAX229" s="1"/>
      <c r="HAY229" s="1"/>
      <c r="HAZ229" s="1"/>
      <c r="HBA229" s="1"/>
      <c r="HBB229" s="1"/>
      <c r="HBC229" s="1"/>
      <c r="HBD229" s="1"/>
      <c r="HBE229" s="1"/>
      <c r="HBF229" s="1"/>
      <c r="HBG229" s="1"/>
      <c r="HBH229" s="1"/>
      <c r="HBI229" s="1"/>
      <c r="HBJ229" s="1"/>
      <c r="HBK229" s="1"/>
      <c r="HBL229" s="1"/>
      <c r="HBM229" s="1"/>
      <c r="HBN229" s="1"/>
      <c r="HBO229" s="1"/>
      <c r="HBP229" s="1"/>
      <c r="HBQ229" s="1"/>
      <c r="HBR229" s="1"/>
      <c r="HBS229" s="1"/>
      <c r="HBT229" s="1"/>
      <c r="HBU229" s="1"/>
      <c r="HBV229" s="1"/>
      <c r="HBW229" s="1"/>
      <c r="HBX229" s="1"/>
      <c r="HBY229" s="1"/>
      <c r="HBZ229" s="1"/>
      <c r="HCA229" s="1"/>
      <c r="HCB229" s="1"/>
      <c r="HCC229" s="1"/>
      <c r="HCD229" s="1"/>
      <c r="HCE229" s="1"/>
      <c r="HCF229" s="1"/>
      <c r="HCG229" s="1"/>
      <c r="HCH229" s="1"/>
      <c r="HCI229" s="1"/>
      <c r="HCJ229" s="1"/>
      <c r="HCK229" s="1"/>
      <c r="HCL229" s="1"/>
      <c r="HCM229" s="1"/>
      <c r="HCN229" s="1"/>
      <c r="HCO229" s="1"/>
      <c r="HCP229" s="1"/>
      <c r="HCQ229" s="1"/>
      <c r="HCR229" s="1"/>
      <c r="HCS229" s="1"/>
      <c r="HCT229" s="1"/>
      <c r="HCU229" s="1"/>
      <c r="HCV229" s="1"/>
      <c r="HCW229" s="1"/>
      <c r="HCX229" s="1"/>
      <c r="HCY229" s="1"/>
      <c r="HCZ229" s="1"/>
      <c r="HDA229" s="1"/>
      <c r="HDB229" s="1"/>
      <c r="HDC229" s="1"/>
      <c r="HDD229" s="1"/>
      <c r="HDE229" s="1"/>
      <c r="HDF229" s="1"/>
      <c r="HDG229" s="1"/>
      <c r="HDH229" s="1"/>
      <c r="HDI229" s="1"/>
      <c r="HDJ229" s="1"/>
      <c r="HDK229" s="1"/>
      <c r="HDL229" s="1"/>
      <c r="HDM229" s="1"/>
      <c r="HDN229" s="1"/>
      <c r="HDO229" s="1"/>
      <c r="HDP229" s="1"/>
      <c r="HDQ229" s="1"/>
      <c r="HDR229" s="1"/>
      <c r="HDS229" s="1"/>
      <c r="HDT229" s="1"/>
      <c r="HDU229" s="1"/>
      <c r="HDV229" s="1"/>
      <c r="HDW229" s="1"/>
      <c r="HDX229" s="1"/>
      <c r="HDY229" s="1"/>
      <c r="HDZ229" s="1"/>
      <c r="HEA229" s="1"/>
      <c r="HEB229" s="1"/>
      <c r="HEC229" s="1"/>
      <c r="HED229" s="1"/>
      <c r="HEE229" s="1"/>
      <c r="HEF229" s="1"/>
      <c r="HEG229" s="1"/>
      <c r="HEH229" s="1"/>
      <c r="HEI229" s="1"/>
      <c r="HEJ229" s="1"/>
      <c r="HEK229" s="1"/>
      <c r="HEL229" s="1"/>
      <c r="HEM229" s="1"/>
      <c r="HEN229" s="1"/>
      <c r="HEO229" s="1"/>
      <c r="HEP229" s="1"/>
      <c r="HEQ229" s="1"/>
      <c r="HER229" s="1"/>
      <c r="HES229" s="1"/>
      <c r="HET229" s="1"/>
      <c r="HEU229" s="1"/>
      <c r="HEV229" s="1"/>
      <c r="HEW229" s="1"/>
      <c r="HEX229" s="1"/>
      <c r="HEY229" s="1"/>
      <c r="HEZ229" s="1"/>
      <c r="HFA229" s="1"/>
      <c r="HFB229" s="1"/>
      <c r="HFC229" s="1"/>
      <c r="HFD229" s="1"/>
      <c r="HFE229" s="1"/>
      <c r="HFF229" s="1"/>
      <c r="HFG229" s="1"/>
      <c r="HFH229" s="1"/>
      <c r="HFI229" s="1"/>
      <c r="HFJ229" s="1"/>
      <c r="HFK229" s="1"/>
      <c r="HFL229" s="1"/>
      <c r="HFM229" s="1"/>
      <c r="HFN229" s="1"/>
      <c r="HFO229" s="1"/>
      <c r="HFP229" s="1"/>
      <c r="HFQ229" s="1"/>
      <c r="HFR229" s="1"/>
      <c r="HFS229" s="1"/>
      <c r="HFT229" s="1"/>
      <c r="HFU229" s="1"/>
      <c r="HFV229" s="1"/>
      <c r="HFW229" s="1"/>
      <c r="HFX229" s="1"/>
      <c r="HFY229" s="1"/>
      <c r="HFZ229" s="1"/>
      <c r="HGA229" s="1"/>
      <c r="HGB229" s="1"/>
      <c r="HGC229" s="1"/>
      <c r="HGD229" s="1"/>
      <c r="HGE229" s="1"/>
      <c r="HGF229" s="1"/>
      <c r="HGG229" s="1"/>
      <c r="HGH229" s="1"/>
      <c r="HGI229" s="1"/>
      <c r="HGJ229" s="1"/>
      <c r="HGK229" s="1"/>
      <c r="HGL229" s="1"/>
      <c r="HGM229" s="1"/>
      <c r="HGN229" s="1"/>
      <c r="HGO229" s="1"/>
      <c r="HGP229" s="1"/>
      <c r="HGQ229" s="1"/>
      <c r="HGR229" s="1"/>
      <c r="HGS229" s="1"/>
      <c r="HGT229" s="1"/>
      <c r="HGU229" s="1"/>
      <c r="HGV229" s="1"/>
      <c r="HGW229" s="1"/>
      <c r="HGX229" s="1"/>
      <c r="HGY229" s="1"/>
      <c r="HGZ229" s="1"/>
      <c r="HHA229" s="1"/>
      <c r="HHB229" s="1"/>
      <c r="HHC229" s="1"/>
      <c r="HHD229" s="1"/>
      <c r="HHE229" s="1"/>
      <c r="HHF229" s="1"/>
      <c r="HHG229" s="1"/>
      <c r="HHH229" s="1"/>
      <c r="HHI229" s="1"/>
      <c r="HHJ229" s="1"/>
      <c r="HHK229" s="1"/>
      <c r="HHL229" s="1"/>
      <c r="HHM229" s="1"/>
      <c r="HHN229" s="1"/>
      <c r="HHO229" s="1"/>
      <c r="HHP229" s="1"/>
      <c r="HHQ229" s="1"/>
      <c r="HHR229" s="1"/>
      <c r="HHS229" s="1"/>
      <c r="HHT229" s="1"/>
      <c r="HHU229" s="1"/>
      <c r="HHV229" s="1"/>
      <c r="HHW229" s="1"/>
      <c r="HHX229" s="1"/>
      <c r="HHY229" s="1"/>
      <c r="HHZ229" s="1"/>
      <c r="HIA229" s="1"/>
      <c r="HIB229" s="1"/>
      <c r="HIC229" s="1"/>
      <c r="HID229" s="1"/>
      <c r="HIE229" s="1"/>
      <c r="HIF229" s="1"/>
      <c r="HIG229" s="1"/>
      <c r="HIH229" s="1"/>
      <c r="HII229" s="1"/>
      <c r="HIJ229" s="1"/>
      <c r="HIK229" s="1"/>
      <c r="HIL229" s="1"/>
      <c r="HIM229" s="1"/>
      <c r="HIN229" s="1"/>
      <c r="HIO229" s="1"/>
      <c r="HIP229" s="1"/>
      <c r="HIQ229" s="1"/>
      <c r="HIR229" s="1"/>
      <c r="HIS229" s="1"/>
      <c r="HIT229" s="1"/>
      <c r="HIU229" s="1"/>
      <c r="HIV229" s="1"/>
      <c r="HIW229" s="1"/>
      <c r="HIX229" s="1"/>
      <c r="HIY229" s="1"/>
      <c r="HIZ229" s="1"/>
      <c r="HJA229" s="1"/>
      <c r="HJB229" s="1"/>
      <c r="HJC229" s="1"/>
      <c r="HJD229" s="1"/>
      <c r="HJE229" s="1"/>
      <c r="HJF229" s="1"/>
      <c r="HJG229" s="1"/>
      <c r="HJH229" s="1"/>
      <c r="HJI229" s="1"/>
      <c r="HJJ229" s="1"/>
      <c r="HJK229" s="1"/>
      <c r="HJL229" s="1"/>
      <c r="HJM229" s="1"/>
      <c r="HJN229" s="1"/>
      <c r="HJO229" s="1"/>
      <c r="HJP229" s="1"/>
      <c r="HJQ229" s="1"/>
      <c r="HJR229" s="1"/>
      <c r="HJS229" s="1"/>
      <c r="HJT229" s="1"/>
      <c r="HJU229" s="1"/>
      <c r="HJV229" s="1"/>
      <c r="HJW229" s="1"/>
      <c r="HJX229" s="1"/>
      <c r="HJY229" s="1"/>
      <c r="HJZ229" s="1"/>
      <c r="HKA229" s="1"/>
      <c r="HKB229" s="1"/>
      <c r="HKC229" s="1"/>
      <c r="HKD229" s="1"/>
      <c r="HKE229" s="1"/>
      <c r="HKF229" s="1"/>
      <c r="HKG229" s="1"/>
      <c r="HKH229" s="1"/>
      <c r="HKI229" s="1"/>
      <c r="HKJ229" s="1"/>
      <c r="HKK229" s="1"/>
      <c r="HKL229" s="1"/>
      <c r="HKM229" s="1"/>
      <c r="HKN229" s="1"/>
      <c r="HKO229" s="1"/>
      <c r="HKP229" s="1"/>
      <c r="HKQ229" s="1"/>
      <c r="HKR229" s="1"/>
      <c r="HKS229" s="1"/>
      <c r="HKT229" s="1"/>
      <c r="HKU229" s="1"/>
      <c r="HKV229" s="1"/>
      <c r="HKW229" s="1"/>
      <c r="HKX229" s="1"/>
      <c r="HKY229" s="1"/>
      <c r="HKZ229" s="1"/>
      <c r="HLA229" s="1"/>
      <c r="HLB229" s="1"/>
      <c r="HLC229" s="1"/>
      <c r="HLD229" s="1"/>
      <c r="HLE229" s="1"/>
      <c r="HLF229" s="1"/>
      <c r="HLG229" s="1"/>
      <c r="HLH229" s="1"/>
      <c r="HLI229" s="1"/>
      <c r="HLJ229" s="1"/>
      <c r="HLK229" s="1"/>
      <c r="HLL229" s="1"/>
      <c r="HLM229" s="1"/>
      <c r="HLN229" s="1"/>
      <c r="HLO229" s="1"/>
      <c r="HLP229" s="1"/>
      <c r="HLQ229" s="1"/>
      <c r="HLR229" s="1"/>
      <c r="HLS229" s="1"/>
      <c r="HLT229" s="1"/>
      <c r="HLU229" s="1"/>
      <c r="HLV229" s="1"/>
      <c r="HLW229" s="1"/>
      <c r="HLX229" s="1"/>
      <c r="HLY229" s="1"/>
      <c r="HLZ229" s="1"/>
      <c r="HMA229" s="1"/>
      <c r="HMB229" s="1"/>
      <c r="HMC229" s="1"/>
      <c r="HMD229" s="1"/>
      <c r="HME229" s="1"/>
      <c r="HMF229" s="1"/>
      <c r="HMG229" s="1"/>
      <c r="HMH229" s="1"/>
      <c r="HMI229" s="1"/>
      <c r="HMJ229" s="1"/>
      <c r="HMK229" s="1"/>
      <c r="HML229" s="1"/>
      <c r="HMM229" s="1"/>
      <c r="HMN229" s="1"/>
      <c r="HMO229" s="1"/>
      <c r="HMP229" s="1"/>
      <c r="HMQ229" s="1"/>
      <c r="HMR229" s="1"/>
      <c r="HMS229" s="1"/>
      <c r="HMT229" s="1"/>
      <c r="HMU229" s="1"/>
      <c r="HMV229" s="1"/>
      <c r="HMW229" s="1"/>
      <c r="HMX229" s="1"/>
      <c r="HMY229" s="1"/>
      <c r="HMZ229" s="1"/>
      <c r="HNA229" s="1"/>
      <c r="HNB229" s="1"/>
      <c r="HNC229" s="1"/>
      <c r="HND229" s="1"/>
      <c r="HNE229" s="1"/>
      <c r="HNF229" s="1"/>
      <c r="HNG229" s="1"/>
      <c r="HNH229" s="1"/>
      <c r="HNI229" s="1"/>
      <c r="HNJ229" s="1"/>
      <c r="HNK229" s="1"/>
      <c r="HNL229" s="1"/>
      <c r="HNM229" s="1"/>
      <c r="HNN229" s="1"/>
      <c r="HNO229" s="1"/>
      <c r="HNP229" s="1"/>
      <c r="HNQ229" s="1"/>
      <c r="HNR229" s="1"/>
      <c r="HNS229" s="1"/>
      <c r="HNT229" s="1"/>
      <c r="HNU229" s="1"/>
      <c r="HNV229" s="1"/>
      <c r="HNW229" s="1"/>
      <c r="HNX229" s="1"/>
      <c r="HNY229" s="1"/>
      <c r="HNZ229" s="1"/>
      <c r="HOA229" s="1"/>
      <c r="HOB229" s="1"/>
      <c r="HOC229" s="1"/>
      <c r="HOD229" s="1"/>
      <c r="HOE229" s="1"/>
      <c r="HOF229" s="1"/>
      <c r="HOG229" s="1"/>
      <c r="HOH229" s="1"/>
      <c r="HOI229" s="1"/>
      <c r="HOJ229" s="1"/>
      <c r="HOK229" s="1"/>
      <c r="HOL229" s="1"/>
      <c r="HOM229" s="1"/>
      <c r="HON229" s="1"/>
      <c r="HOO229" s="1"/>
      <c r="HOP229" s="1"/>
      <c r="HOQ229" s="1"/>
      <c r="HOR229" s="1"/>
      <c r="HOS229" s="1"/>
      <c r="HOT229" s="1"/>
      <c r="HOU229" s="1"/>
      <c r="HOV229" s="1"/>
      <c r="HOW229" s="1"/>
      <c r="HOX229" s="1"/>
      <c r="HOY229" s="1"/>
      <c r="HOZ229" s="1"/>
      <c r="HPA229" s="1"/>
      <c r="HPB229" s="1"/>
      <c r="HPC229" s="1"/>
      <c r="HPD229" s="1"/>
      <c r="HPE229" s="1"/>
      <c r="HPF229" s="1"/>
      <c r="HPG229" s="1"/>
      <c r="HPH229" s="1"/>
      <c r="HPI229" s="1"/>
      <c r="HPJ229" s="1"/>
      <c r="HPK229" s="1"/>
      <c r="HPL229" s="1"/>
      <c r="HPM229" s="1"/>
      <c r="HPN229" s="1"/>
      <c r="HPO229" s="1"/>
      <c r="HPP229" s="1"/>
      <c r="HPQ229" s="1"/>
      <c r="HPR229" s="1"/>
      <c r="HPS229" s="1"/>
      <c r="HPT229" s="1"/>
      <c r="HPU229" s="1"/>
      <c r="HPV229" s="1"/>
      <c r="HPW229" s="1"/>
      <c r="HPX229" s="1"/>
      <c r="HPY229" s="1"/>
      <c r="HPZ229" s="1"/>
      <c r="HQA229" s="1"/>
      <c r="HQB229" s="1"/>
      <c r="HQC229" s="1"/>
      <c r="HQD229" s="1"/>
      <c r="HQE229" s="1"/>
      <c r="HQF229" s="1"/>
      <c r="HQG229" s="1"/>
      <c r="HQH229" s="1"/>
      <c r="HQI229" s="1"/>
      <c r="HQJ229" s="1"/>
      <c r="HQK229" s="1"/>
      <c r="HQL229" s="1"/>
      <c r="HQM229" s="1"/>
      <c r="HQN229" s="1"/>
      <c r="HQO229" s="1"/>
      <c r="HQP229" s="1"/>
      <c r="HQQ229" s="1"/>
      <c r="HQR229" s="1"/>
      <c r="HQS229" s="1"/>
      <c r="HQT229" s="1"/>
      <c r="HQU229" s="1"/>
      <c r="HQV229" s="1"/>
      <c r="HQW229" s="1"/>
      <c r="HQX229" s="1"/>
      <c r="HQY229" s="1"/>
      <c r="HQZ229" s="1"/>
      <c r="HRA229" s="1"/>
      <c r="HRB229" s="1"/>
      <c r="HRC229" s="1"/>
      <c r="HRD229" s="1"/>
      <c r="HRE229" s="1"/>
      <c r="HRF229" s="1"/>
      <c r="HRG229" s="1"/>
      <c r="HRH229" s="1"/>
      <c r="HRI229" s="1"/>
      <c r="HRJ229" s="1"/>
      <c r="HRK229" s="1"/>
      <c r="HRL229" s="1"/>
      <c r="HRM229" s="1"/>
      <c r="HRN229" s="1"/>
      <c r="HRO229" s="1"/>
      <c r="HRP229" s="1"/>
      <c r="HRQ229" s="1"/>
      <c r="HRR229" s="1"/>
      <c r="HRS229" s="1"/>
      <c r="HRT229" s="1"/>
      <c r="HRU229" s="1"/>
      <c r="HRV229" s="1"/>
      <c r="HRW229" s="1"/>
      <c r="HRX229" s="1"/>
      <c r="HRY229" s="1"/>
      <c r="HRZ229" s="1"/>
      <c r="HSA229" s="1"/>
      <c r="HSB229" s="1"/>
      <c r="HSC229" s="1"/>
      <c r="HSD229" s="1"/>
      <c r="HSE229" s="1"/>
      <c r="HSF229" s="1"/>
      <c r="HSG229" s="1"/>
      <c r="HSH229" s="1"/>
      <c r="HSI229" s="1"/>
      <c r="HSJ229" s="1"/>
      <c r="HSK229" s="1"/>
      <c r="HSL229" s="1"/>
      <c r="HSM229" s="1"/>
      <c r="HSN229" s="1"/>
      <c r="HSO229" s="1"/>
      <c r="HSP229" s="1"/>
      <c r="HSQ229" s="1"/>
      <c r="HSR229" s="1"/>
      <c r="HSS229" s="1"/>
      <c r="HST229" s="1"/>
      <c r="HSU229" s="1"/>
      <c r="HSV229" s="1"/>
      <c r="HSW229" s="1"/>
      <c r="HSX229" s="1"/>
      <c r="HSY229" s="1"/>
      <c r="HSZ229" s="1"/>
      <c r="HTA229" s="1"/>
      <c r="HTB229" s="1"/>
      <c r="HTC229" s="1"/>
      <c r="HTD229" s="1"/>
      <c r="HTE229" s="1"/>
      <c r="HTF229" s="1"/>
      <c r="HTG229" s="1"/>
      <c r="HTH229" s="1"/>
      <c r="HTI229" s="1"/>
      <c r="HTJ229" s="1"/>
      <c r="HTK229" s="1"/>
      <c r="HTL229" s="1"/>
      <c r="HTM229" s="1"/>
      <c r="HTN229" s="1"/>
      <c r="HTO229" s="1"/>
      <c r="HTP229" s="1"/>
      <c r="HTQ229" s="1"/>
      <c r="HTR229" s="1"/>
      <c r="HTS229" s="1"/>
      <c r="HTT229" s="1"/>
      <c r="HTU229" s="1"/>
      <c r="HTV229" s="1"/>
      <c r="HTW229" s="1"/>
      <c r="HTX229" s="1"/>
      <c r="HTY229" s="1"/>
      <c r="HTZ229" s="1"/>
      <c r="HUA229" s="1"/>
      <c r="HUB229" s="1"/>
      <c r="HUC229" s="1"/>
      <c r="HUD229" s="1"/>
      <c r="HUE229" s="1"/>
      <c r="HUF229" s="1"/>
      <c r="HUG229" s="1"/>
      <c r="HUH229" s="1"/>
      <c r="HUI229" s="1"/>
      <c r="HUJ229" s="1"/>
      <c r="HUK229" s="1"/>
      <c r="HUL229" s="1"/>
      <c r="HUM229" s="1"/>
      <c r="HUN229" s="1"/>
      <c r="HUO229" s="1"/>
      <c r="HUP229" s="1"/>
      <c r="HUQ229" s="1"/>
      <c r="HUR229" s="1"/>
      <c r="HUS229" s="1"/>
      <c r="HUT229" s="1"/>
      <c r="HUU229" s="1"/>
      <c r="HUV229" s="1"/>
      <c r="HUW229" s="1"/>
      <c r="HUX229" s="1"/>
      <c r="HUY229" s="1"/>
      <c r="HUZ229" s="1"/>
      <c r="HVA229" s="1"/>
      <c r="HVB229" s="1"/>
      <c r="HVC229" s="1"/>
      <c r="HVD229" s="1"/>
      <c r="HVE229" s="1"/>
      <c r="HVF229" s="1"/>
      <c r="HVG229" s="1"/>
      <c r="HVH229" s="1"/>
      <c r="HVI229" s="1"/>
      <c r="HVJ229" s="1"/>
      <c r="HVK229" s="1"/>
      <c r="HVL229" s="1"/>
      <c r="HVM229" s="1"/>
      <c r="HVN229" s="1"/>
      <c r="HVO229" s="1"/>
      <c r="HVP229" s="1"/>
      <c r="HVQ229" s="1"/>
      <c r="HVR229" s="1"/>
      <c r="HVS229" s="1"/>
      <c r="HVT229" s="1"/>
      <c r="HVU229" s="1"/>
      <c r="HVV229" s="1"/>
      <c r="HVW229" s="1"/>
      <c r="HVX229" s="1"/>
      <c r="HVY229" s="1"/>
      <c r="HVZ229" s="1"/>
      <c r="HWA229" s="1"/>
      <c r="HWB229" s="1"/>
      <c r="HWC229" s="1"/>
      <c r="HWD229" s="1"/>
      <c r="HWE229" s="1"/>
      <c r="HWF229" s="1"/>
      <c r="HWG229" s="1"/>
      <c r="HWH229" s="1"/>
      <c r="HWI229" s="1"/>
      <c r="HWJ229" s="1"/>
      <c r="HWK229" s="1"/>
      <c r="HWL229" s="1"/>
      <c r="HWM229" s="1"/>
      <c r="HWN229" s="1"/>
      <c r="HWO229" s="1"/>
      <c r="HWP229" s="1"/>
      <c r="HWQ229" s="1"/>
      <c r="HWR229" s="1"/>
      <c r="HWS229" s="1"/>
      <c r="HWT229" s="1"/>
      <c r="HWU229" s="1"/>
      <c r="HWV229" s="1"/>
      <c r="HWW229" s="1"/>
      <c r="HWX229" s="1"/>
      <c r="HWY229" s="1"/>
      <c r="HWZ229" s="1"/>
      <c r="HXA229" s="1"/>
      <c r="HXB229" s="1"/>
      <c r="HXC229" s="1"/>
      <c r="HXD229" s="1"/>
      <c r="HXE229" s="1"/>
      <c r="HXF229" s="1"/>
      <c r="HXG229" s="1"/>
      <c r="HXH229" s="1"/>
      <c r="HXI229" s="1"/>
      <c r="HXJ229" s="1"/>
      <c r="HXK229" s="1"/>
      <c r="HXL229" s="1"/>
      <c r="HXM229" s="1"/>
      <c r="HXN229" s="1"/>
      <c r="HXO229" s="1"/>
      <c r="HXP229" s="1"/>
      <c r="HXQ229" s="1"/>
      <c r="HXR229" s="1"/>
      <c r="HXS229" s="1"/>
      <c r="HXT229" s="1"/>
      <c r="HXU229" s="1"/>
      <c r="HXV229" s="1"/>
      <c r="HXW229" s="1"/>
      <c r="HXX229" s="1"/>
      <c r="HXY229" s="1"/>
      <c r="HXZ229" s="1"/>
      <c r="HYA229" s="1"/>
      <c r="HYB229" s="1"/>
      <c r="HYC229" s="1"/>
      <c r="HYD229" s="1"/>
      <c r="HYE229" s="1"/>
      <c r="HYF229" s="1"/>
      <c r="HYG229" s="1"/>
      <c r="HYH229" s="1"/>
      <c r="HYI229" s="1"/>
      <c r="HYJ229" s="1"/>
      <c r="HYK229" s="1"/>
      <c r="HYL229" s="1"/>
      <c r="HYM229" s="1"/>
      <c r="HYN229" s="1"/>
      <c r="HYO229" s="1"/>
      <c r="HYP229" s="1"/>
      <c r="HYQ229" s="1"/>
      <c r="HYR229" s="1"/>
      <c r="HYS229" s="1"/>
      <c r="HYT229" s="1"/>
      <c r="HYU229" s="1"/>
      <c r="HYV229" s="1"/>
      <c r="HYW229" s="1"/>
      <c r="HYX229" s="1"/>
      <c r="HYY229" s="1"/>
      <c r="HYZ229" s="1"/>
      <c r="HZA229" s="1"/>
      <c r="HZB229" s="1"/>
      <c r="HZC229" s="1"/>
      <c r="HZD229" s="1"/>
      <c r="HZE229" s="1"/>
      <c r="HZF229" s="1"/>
      <c r="HZG229" s="1"/>
      <c r="HZH229" s="1"/>
      <c r="HZI229" s="1"/>
      <c r="HZJ229" s="1"/>
      <c r="HZK229" s="1"/>
      <c r="HZL229" s="1"/>
      <c r="HZM229" s="1"/>
      <c r="HZN229" s="1"/>
      <c r="HZO229" s="1"/>
      <c r="HZP229" s="1"/>
      <c r="HZQ229" s="1"/>
      <c r="HZR229" s="1"/>
      <c r="HZS229" s="1"/>
      <c r="HZT229" s="1"/>
      <c r="HZU229" s="1"/>
      <c r="HZV229" s="1"/>
      <c r="HZW229" s="1"/>
      <c r="HZX229" s="1"/>
      <c r="HZY229" s="1"/>
      <c r="HZZ229" s="1"/>
      <c r="IAA229" s="1"/>
      <c r="IAB229" s="1"/>
      <c r="IAC229" s="1"/>
      <c r="IAD229" s="1"/>
      <c r="IAE229" s="1"/>
      <c r="IAF229" s="1"/>
      <c r="IAG229" s="1"/>
      <c r="IAH229" s="1"/>
      <c r="IAI229" s="1"/>
      <c r="IAJ229" s="1"/>
      <c r="IAK229" s="1"/>
      <c r="IAL229" s="1"/>
      <c r="IAM229" s="1"/>
      <c r="IAN229" s="1"/>
      <c r="IAO229" s="1"/>
      <c r="IAP229" s="1"/>
      <c r="IAQ229" s="1"/>
      <c r="IAR229" s="1"/>
      <c r="IAS229" s="1"/>
      <c r="IAT229" s="1"/>
      <c r="IAU229" s="1"/>
      <c r="IAV229" s="1"/>
      <c r="IAW229" s="1"/>
      <c r="IAX229" s="1"/>
      <c r="IAY229" s="1"/>
      <c r="IAZ229" s="1"/>
      <c r="IBA229" s="1"/>
      <c r="IBB229" s="1"/>
      <c r="IBC229" s="1"/>
      <c r="IBD229" s="1"/>
      <c r="IBE229" s="1"/>
      <c r="IBF229" s="1"/>
      <c r="IBG229" s="1"/>
      <c r="IBH229" s="1"/>
      <c r="IBI229" s="1"/>
      <c r="IBJ229" s="1"/>
      <c r="IBK229" s="1"/>
      <c r="IBL229" s="1"/>
      <c r="IBM229" s="1"/>
      <c r="IBN229" s="1"/>
      <c r="IBO229" s="1"/>
      <c r="IBP229" s="1"/>
      <c r="IBQ229" s="1"/>
      <c r="IBR229" s="1"/>
      <c r="IBS229" s="1"/>
      <c r="IBT229" s="1"/>
      <c r="IBU229" s="1"/>
      <c r="IBV229" s="1"/>
      <c r="IBW229" s="1"/>
      <c r="IBX229" s="1"/>
      <c r="IBY229" s="1"/>
      <c r="IBZ229" s="1"/>
      <c r="ICA229" s="1"/>
      <c r="ICB229" s="1"/>
      <c r="ICC229" s="1"/>
      <c r="ICD229" s="1"/>
      <c r="ICE229" s="1"/>
      <c r="ICF229" s="1"/>
      <c r="ICG229" s="1"/>
      <c r="ICH229" s="1"/>
      <c r="ICI229" s="1"/>
      <c r="ICJ229" s="1"/>
      <c r="ICK229" s="1"/>
      <c r="ICL229" s="1"/>
      <c r="ICM229" s="1"/>
      <c r="ICN229" s="1"/>
      <c r="ICO229" s="1"/>
      <c r="ICP229" s="1"/>
      <c r="ICQ229" s="1"/>
      <c r="ICR229" s="1"/>
      <c r="ICS229" s="1"/>
      <c r="ICT229" s="1"/>
      <c r="ICU229" s="1"/>
      <c r="ICV229" s="1"/>
      <c r="ICW229" s="1"/>
      <c r="ICX229" s="1"/>
      <c r="ICY229" s="1"/>
      <c r="ICZ229" s="1"/>
      <c r="IDA229" s="1"/>
      <c r="IDB229" s="1"/>
      <c r="IDC229" s="1"/>
      <c r="IDD229" s="1"/>
      <c r="IDE229" s="1"/>
      <c r="IDF229" s="1"/>
      <c r="IDG229" s="1"/>
      <c r="IDH229" s="1"/>
      <c r="IDI229" s="1"/>
      <c r="IDJ229" s="1"/>
      <c r="IDK229" s="1"/>
      <c r="IDL229" s="1"/>
      <c r="IDM229" s="1"/>
      <c r="IDN229" s="1"/>
      <c r="IDO229" s="1"/>
      <c r="IDP229" s="1"/>
      <c r="IDQ229" s="1"/>
      <c r="IDR229" s="1"/>
      <c r="IDS229" s="1"/>
      <c r="IDT229" s="1"/>
      <c r="IDU229" s="1"/>
      <c r="IDV229" s="1"/>
      <c r="IDW229" s="1"/>
      <c r="IDX229" s="1"/>
      <c r="IDY229" s="1"/>
      <c r="IDZ229" s="1"/>
      <c r="IEA229" s="1"/>
      <c r="IEB229" s="1"/>
      <c r="IEC229" s="1"/>
      <c r="IED229" s="1"/>
      <c r="IEE229" s="1"/>
      <c r="IEF229" s="1"/>
      <c r="IEG229" s="1"/>
      <c r="IEH229" s="1"/>
      <c r="IEI229" s="1"/>
      <c r="IEJ229" s="1"/>
      <c r="IEK229" s="1"/>
      <c r="IEL229" s="1"/>
      <c r="IEM229" s="1"/>
      <c r="IEN229" s="1"/>
      <c r="IEO229" s="1"/>
      <c r="IEP229" s="1"/>
      <c r="IEQ229" s="1"/>
      <c r="IER229" s="1"/>
      <c r="IES229" s="1"/>
      <c r="IET229" s="1"/>
      <c r="IEU229" s="1"/>
      <c r="IEV229" s="1"/>
      <c r="IEW229" s="1"/>
      <c r="IEX229" s="1"/>
      <c r="IEY229" s="1"/>
      <c r="IEZ229" s="1"/>
      <c r="IFA229" s="1"/>
      <c r="IFB229" s="1"/>
      <c r="IFC229" s="1"/>
      <c r="IFD229" s="1"/>
      <c r="IFE229" s="1"/>
      <c r="IFF229" s="1"/>
      <c r="IFG229" s="1"/>
      <c r="IFH229" s="1"/>
      <c r="IFI229" s="1"/>
      <c r="IFJ229" s="1"/>
      <c r="IFK229" s="1"/>
      <c r="IFL229" s="1"/>
      <c r="IFM229" s="1"/>
      <c r="IFN229" s="1"/>
      <c r="IFO229" s="1"/>
      <c r="IFP229" s="1"/>
      <c r="IFQ229" s="1"/>
      <c r="IFR229" s="1"/>
      <c r="IFS229" s="1"/>
      <c r="IFT229" s="1"/>
      <c r="IFU229" s="1"/>
      <c r="IFV229" s="1"/>
      <c r="IFW229" s="1"/>
      <c r="IFX229" s="1"/>
      <c r="IFY229" s="1"/>
      <c r="IFZ229" s="1"/>
      <c r="IGA229" s="1"/>
      <c r="IGB229" s="1"/>
      <c r="IGC229" s="1"/>
      <c r="IGD229" s="1"/>
      <c r="IGE229" s="1"/>
      <c r="IGF229" s="1"/>
      <c r="IGG229" s="1"/>
      <c r="IGH229" s="1"/>
      <c r="IGI229" s="1"/>
      <c r="IGJ229" s="1"/>
      <c r="IGK229" s="1"/>
      <c r="IGL229" s="1"/>
      <c r="IGM229" s="1"/>
      <c r="IGN229" s="1"/>
      <c r="IGO229" s="1"/>
      <c r="IGP229" s="1"/>
      <c r="IGQ229" s="1"/>
      <c r="IGR229" s="1"/>
      <c r="IGS229" s="1"/>
      <c r="IGT229" s="1"/>
      <c r="IGU229" s="1"/>
      <c r="IGV229" s="1"/>
      <c r="IGW229" s="1"/>
      <c r="IGX229" s="1"/>
      <c r="IGY229" s="1"/>
      <c r="IGZ229" s="1"/>
      <c r="IHA229" s="1"/>
      <c r="IHB229" s="1"/>
      <c r="IHC229" s="1"/>
      <c r="IHD229" s="1"/>
      <c r="IHE229" s="1"/>
      <c r="IHF229" s="1"/>
      <c r="IHG229" s="1"/>
      <c r="IHH229" s="1"/>
      <c r="IHI229" s="1"/>
      <c r="IHJ229" s="1"/>
      <c r="IHK229" s="1"/>
      <c r="IHL229" s="1"/>
      <c r="IHM229" s="1"/>
      <c r="IHN229" s="1"/>
      <c r="IHO229" s="1"/>
      <c r="IHP229" s="1"/>
      <c r="IHQ229" s="1"/>
      <c r="IHR229" s="1"/>
      <c r="IHS229" s="1"/>
      <c r="IHT229" s="1"/>
      <c r="IHU229" s="1"/>
      <c r="IHV229" s="1"/>
      <c r="IHW229" s="1"/>
      <c r="IHX229" s="1"/>
      <c r="IHY229" s="1"/>
      <c r="IHZ229" s="1"/>
      <c r="IIA229" s="1"/>
      <c r="IIB229" s="1"/>
      <c r="IIC229" s="1"/>
      <c r="IID229" s="1"/>
      <c r="IIE229" s="1"/>
      <c r="IIF229" s="1"/>
      <c r="IIG229" s="1"/>
      <c r="IIH229" s="1"/>
      <c r="III229" s="1"/>
      <c r="IIJ229" s="1"/>
      <c r="IIK229" s="1"/>
      <c r="IIL229" s="1"/>
      <c r="IIM229" s="1"/>
      <c r="IIN229" s="1"/>
      <c r="IIO229" s="1"/>
      <c r="IIP229" s="1"/>
      <c r="IIQ229" s="1"/>
      <c r="IIR229" s="1"/>
      <c r="IIS229" s="1"/>
      <c r="IIT229" s="1"/>
      <c r="IIU229" s="1"/>
      <c r="IIV229" s="1"/>
      <c r="IIW229" s="1"/>
      <c r="IIX229" s="1"/>
      <c r="IIY229" s="1"/>
      <c r="IIZ229" s="1"/>
      <c r="IJA229" s="1"/>
      <c r="IJB229" s="1"/>
      <c r="IJC229" s="1"/>
      <c r="IJD229" s="1"/>
      <c r="IJE229" s="1"/>
      <c r="IJF229" s="1"/>
      <c r="IJG229" s="1"/>
      <c r="IJH229" s="1"/>
      <c r="IJI229" s="1"/>
      <c r="IJJ229" s="1"/>
      <c r="IJK229" s="1"/>
      <c r="IJL229" s="1"/>
      <c r="IJM229" s="1"/>
      <c r="IJN229" s="1"/>
      <c r="IJO229" s="1"/>
      <c r="IJP229" s="1"/>
      <c r="IJQ229" s="1"/>
      <c r="IJR229" s="1"/>
      <c r="IJS229" s="1"/>
      <c r="IJT229" s="1"/>
      <c r="IJU229" s="1"/>
      <c r="IJV229" s="1"/>
      <c r="IJW229" s="1"/>
      <c r="IJX229" s="1"/>
      <c r="IJY229" s="1"/>
      <c r="IJZ229" s="1"/>
      <c r="IKA229" s="1"/>
      <c r="IKB229" s="1"/>
      <c r="IKC229" s="1"/>
      <c r="IKD229" s="1"/>
      <c r="IKE229" s="1"/>
      <c r="IKF229" s="1"/>
      <c r="IKG229" s="1"/>
      <c r="IKH229" s="1"/>
      <c r="IKI229" s="1"/>
      <c r="IKJ229" s="1"/>
      <c r="IKK229" s="1"/>
      <c r="IKL229" s="1"/>
      <c r="IKM229" s="1"/>
      <c r="IKN229" s="1"/>
      <c r="IKO229" s="1"/>
      <c r="IKP229" s="1"/>
      <c r="IKQ229" s="1"/>
      <c r="IKR229" s="1"/>
      <c r="IKS229" s="1"/>
      <c r="IKT229" s="1"/>
      <c r="IKU229" s="1"/>
      <c r="IKV229" s="1"/>
      <c r="IKW229" s="1"/>
      <c r="IKX229" s="1"/>
      <c r="IKY229" s="1"/>
      <c r="IKZ229" s="1"/>
      <c r="ILA229" s="1"/>
      <c r="ILB229" s="1"/>
      <c r="ILC229" s="1"/>
      <c r="ILD229" s="1"/>
      <c r="ILE229" s="1"/>
      <c r="ILF229" s="1"/>
      <c r="ILG229" s="1"/>
      <c r="ILH229" s="1"/>
      <c r="ILI229" s="1"/>
      <c r="ILJ229" s="1"/>
      <c r="ILK229" s="1"/>
      <c r="ILL229" s="1"/>
      <c r="ILM229" s="1"/>
      <c r="ILN229" s="1"/>
      <c r="ILO229" s="1"/>
      <c r="ILP229" s="1"/>
      <c r="ILQ229" s="1"/>
      <c r="ILR229" s="1"/>
      <c r="ILS229" s="1"/>
      <c r="ILT229" s="1"/>
      <c r="ILU229" s="1"/>
      <c r="ILV229" s="1"/>
      <c r="ILW229" s="1"/>
      <c r="ILX229" s="1"/>
      <c r="ILY229" s="1"/>
      <c r="ILZ229" s="1"/>
      <c r="IMA229" s="1"/>
      <c r="IMB229" s="1"/>
      <c r="IMC229" s="1"/>
      <c r="IMD229" s="1"/>
      <c r="IME229" s="1"/>
      <c r="IMF229" s="1"/>
      <c r="IMG229" s="1"/>
      <c r="IMH229" s="1"/>
      <c r="IMI229" s="1"/>
      <c r="IMJ229" s="1"/>
      <c r="IMK229" s="1"/>
      <c r="IML229" s="1"/>
      <c r="IMM229" s="1"/>
      <c r="IMN229" s="1"/>
      <c r="IMO229" s="1"/>
      <c r="IMP229" s="1"/>
      <c r="IMQ229" s="1"/>
      <c r="IMR229" s="1"/>
      <c r="IMS229" s="1"/>
      <c r="IMT229" s="1"/>
      <c r="IMU229" s="1"/>
      <c r="IMV229" s="1"/>
      <c r="IMW229" s="1"/>
      <c r="IMX229" s="1"/>
      <c r="IMY229" s="1"/>
      <c r="IMZ229" s="1"/>
      <c r="INA229" s="1"/>
      <c r="INB229" s="1"/>
      <c r="INC229" s="1"/>
      <c r="IND229" s="1"/>
      <c r="INE229" s="1"/>
      <c r="INF229" s="1"/>
      <c r="ING229" s="1"/>
      <c r="INH229" s="1"/>
      <c r="INI229" s="1"/>
      <c r="INJ229" s="1"/>
      <c r="INK229" s="1"/>
      <c r="INL229" s="1"/>
      <c r="INM229" s="1"/>
      <c r="INN229" s="1"/>
      <c r="INO229" s="1"/>
      <c r="INP229" s="1"/>
      <c r="INQ229" s="1"/>
      <c r="INR229" s="1"/>
      <c r="INS229" s="1"/>
      <c r="INT229" s="1"/>
      <c r="INU229" s="1"/>
      <c r="INV229" s="1"/>
      <c r="INW229" s="1"/>
      <c r="INX229" s="1"/>
      <c r="INY229" s="1"/>
      <c r="INZ229" s="1"/>
      <c r="IOA229" s="1"/>
      <c r="IOB229" s="1"/>
      <c r="IOC229" s="1"/>
      <c r="IOD229" s="1"/>
      <c r="IOE229" s="1"/>
      <c r="IOF229" s="1"/>
      <c r="IOG229" s="1"/>
      <c r="IOH229" s="1"/>
      <c r="IOI229" s="1"/>
      <c r="IOJ229" s="1"/>
      <c r="IOK229" s="1"/>
      <c r="IOL229" s="1"/>
      <c r="IOM229" s="1"/>
      <c r="ION229" s="1"/>
      <c r="IOO229" s="1"/>
      <c r="IOP229" s="1"/>
      <c r="IOQ229" s="1"/>
      <c r="IOR229" s="1"/>
      <c r="IOS229" s="1"/>
      <c r="IOT229" s="1"/>
      <c r="IOU229" s="1"/>
      <c r="IOV229" s="1"/>
      <c r="IOW229" s="1"/>
      <c r="IOX229" s="1"/>
      <c r="IOY229" s="1"/>
      <c r="IOZ229" s="1"/>
      <c r="IPA229" s="1"/>
      <c r="IPB229" s="1"/>
      <c r="IPC229" s="1"/>
      <c r="IPD229" s="1"/>
      <c r="IPE229" s="1"/>
      <c r="IPF229" s="1"/>
      <c r="IPG229" s="1"/>
      <c r="IPH229" s="1"/>
      <c r="IPI229" s="1"/>
      <c r="IPJ229" s="1"/>
      <c r="IPK229" s="1"/>
      <c r="IPL229" s="1"/>
      <c r="IPM229" s="1"/>
      <c r="IPN229" s="1"/>
      <c r="IPO229" s="1"/>
      <c r="IPP229" s="1"/>
      <c r="IPQ229" s="1"/>
      <c r="IPR229" s="1"/>
      <c r="IPS229" s="1"/>
      <c r="IPT229" s="1"/>
      <c r="IPU229" s="1"/>
      <c r="IPV229" s="1"/>
      <c r="IPW229" s="1"/>
      <c r="IPX229" s="1"/>
      <c r="IPY229" s="1"/>
      <c r="IPZ229" s="1"/>
      <c r="IQA229" s="1"/>
      <c r="IQB229" s="1"/>
      <c r="IQC229" s="1"/>
      <c r="IQD229" s="1"/>
      <c r="IQE229" s="1"/>
      <c r="IQF229" s="1"/>
      <c r="IQG229" s="1"/>
      <c r="IQH229" s="1"/>
      <c r="IQI229" s="1"/>
      <c r="IQJ229" s="1"/>
      <c r="IQK229" s="1"/>
      <c r="IQL229" s="1"/>
      <c r="IQM229" s="1"/>
      <c r="IQN229" s="1"/>
      <c r="IQO229" s="1"/>
      <c r="IQP229" s="1"/>
      <c r="IQQ229" s="1"/>
      <c r="IQR229" s="1"/>
      <c r="IQS229" s="1"/>
      <c r="IQT229" s="1"/>
      <c r="IQU229" s="1"/>
      <c r="IQV229" s="1"/>
      <c r="IQW229" s="1"/>
      <c r="IQX229" s="1"/>
      <c r="IQY229" s="1"/>
      <c r="IQZ229" s="1"/>
      <c r="IRA229" s="1"/>
      <c r="IRB229" s="1"/>
      <c r="IRC229" s="1"/>
      <c r="IRD229" s="1"/>
      <c r="IRE229" s="1"/>
      <c r="IRF229" s="1"/>
      <c r="IRG229" s="1"/>
      <c r="IRH229" s="1"/>
      <c r="IRI229" s="1"/>
      <c r="IRJ229" s="1"/>
      <c r="IRK229" s="1"/>
      <c r="IRL229" s="1"/>
      <c r="IRM229" s="1"/>
      <c r="IRN229" s="1"/>
      <c r="IRO229" s="1"/>
      <c r="IRP229" s="1"/>
      <c r="IRQ229" s="1"/>
      <c r="IRR229" s="1"/>
      <c r="IRS229" s="1"/>
      <c r="IRT229" s="1"/>
      <c r="IRU229" s="1"/>
      <c r="IRV229" s="1"/>
      <c r="IRW229" s="1"/>
      <c r="IRX229" s="1"/>
      <c r="IRY229" s="1"/>
      <c r="IRZ229" s="1"/>
      <c r="ISA229" s="1"/>
      <c r="ISB229" s="1"/>
      <c r="ISC229" s="1"/>
      <c r="ISD229" s="1"/>
      <c r="ISE229" s="1"/>
      <c r="ISF229" s="1"/>
      <c r="ISG229" s="1"/>
      <c r="ISH229" s="1"/>
      <c r="ISI229" s="1"/>
      <c r="ISJ229" s="1"/>
      <c r="ISK229" s="1"/>
      <c r="ISL229" s="1"/>
      <c r="ISM229" s="1"/>
      <c r="ISN229" s="1"/>
      <c r="ISO229" s="1"/>
      <c r="ISP229" s="1"/>
      <c r="ISQ229" s="1"/>
      <c r="ISR229" s="1"/>
      <c r="ISS229" s="1"/>
      <c r="IST229" s="1"/>
      <c r="ISU229" s="1"/>
      <c r="ISV229" s="1"/>
      <c r="ISW229" s="1"/>
      <c r="ISX229" s="1"/>
      <c r="ISY229" s="1"/>
      <c r="ISZ229" s="1"/>
      <c r="ITA229" s="1"/>
      <c r="ITB229" s="1"/>
      <c r="ITC229" s="1"/>
      <c r="ITD229" s="1"/>
      <c r="ITE229" s="1"/>
      <c r="ITF229" s="1"/>
      <c r="ITG229" s="1"/>
      <c r="ITH229" s="1"/>
      <c r="ITI229" s="1"/>
      <c r="ITJ229" s="1"/>
      <c r="ITK229" s="1"/>
      <c r="ITL229" s="1"/>
      <c r="ITM229" s="1"/>
      <c r="ITN229" s="1"/>
      <c r="ITO229" s="1"/>
      <c r="ITP229" s="1"/>
      <c r="ITQ229" s="1"/>
      <c r="ITR229" s="1"/>
      <c r="ITS229" s="1"/>
      <c r="ITT229" s="1"/>
      <c r="ITU229" s="1"/>
      <c r="ITV229" s="1"/>
      <c r="ITW229" s="1"/>
      <c r="ITX229" s="1"/>
      <c r="ITY229" s="1"/>
      <c r="ITZ229" s="1"/>
      <c r="IUA229" s="1"/>
      <c r="IUB229" s="1"/>
      <c r="IUC229" s="1"/>
      <c r="IUD229" s="1"/>
      <c r="IUE229" s="1"/>
      <c r="IUF229" s="1"/>
      <c r="IUG229" s="1"/>
      <c r="IUH229" s="1"/>
      <c r="IUI229" s="1"/>
      <c r="IUJ229" s="1"/>
      <c r="IUK229" s="1"/>
      <c r="IUL229" s="1"/>
      <c r="IUM229" s="1"/>
      <c r="IUN229" s="1"/>
      <c r="IUO229" s="1"/>
      <c r="IUP229" s="1"/>
      <c r="IUQ229" s="1"/>
      <c r="IUR229" s="1"/>
      <c r="IUS229" s="1"/>
      <c r="IUT229" s="1"/>
      <c r="IUU229" s="1"/>
      <c r="IUV229" s="1"/>
      <c r="IUW229" s="1"/>
      <c r="IUX229" s="1"/>
      <c r="IUY229" s="1"/>
      <c r="IUZ229" s="1"/>
      <c r="IVA229" s="1"/>
      <c r="IVB229" s="1"/>
      <c r="IVC229" s="1"/>
      <c r="IVD229" s="1"/>
      <c r="IVE229" s="1"/>
      <c r="IVF229" s="1"/>
      <c r="IVG229" s="1"/>
      <c r="IVH229" s="1"/>
      <c r="IVI229" s="1"/>
      <c r="IVJ229" s="1"/>
      <c r="IVK229" s="1"/>
      <c r="IVL229" s="1"/>
      <c r="IVM229" s="1"/>
      <c r="IVN229" s="1"/>
      <c r="IVO229" s="1"/>
      <c r="IVP229" s="1"/>
      <c r="IVQ229" s="1"/>
      <c r="IVR229" s="1"/>
      <c r="IVS229" s="1"/>
      <c r="IVT229" s="1"/>
      <c r="IVU229" s="1"/>
      <c r="IVV229" s="1"/>
      <c r="IVW229" s="1"/>
      <c r="IVX229" s="1"/>
      <c r="IVY229" s="1"/>
      <c r="IVZ229" s="1"/>
      <c r="IWA229" s="1"/>
      <c r="IWB229" s="1"/>
      <c r="IWC229" s="1"/>
      <c r="IWD229" s="1"/>
      <c r="IWE229" s="1"/>
      <c r="IWF229" s="1"/>
      <c r="IWG229" s="1"/>
      <c r="IWH229" s="1"/>
      <c r="IWI229" s="1"/>
      <c r="IWJ229" s="1"/>
      <c r="IWK229" s="1"/>
      <c r="IWL229" s="1"/>
      <c r="IWM229" s="1"/>
      <c r="IWN229" s="1"/>
      <c r="IWO229" s="1"/>
      <c r="IWP229" s="1"/>
      <c r="IWQ229" s="1"/>
      <c r="IWR229" s="1"/>
      <c r="IWS229" s="1"/>
      <c r="IWT229" s="1"/>
      <c r="IWU229" s="1"/>
      <c r="IWV229" s="1"/>
      <c r="IWW229" s="1"/>
      <c r="IWX229" s="1"/>
      <c r="IWY229" s="1"/>
      <c r="IWZ229" s="1"/>
      <c r="IXA229" s="1"/>
      <c r="IXB229" s="1"/>
      <c r="IXC229" s="1"/>
      <c r="IXD229" s="1"/>
      <c r="IXE229" s="1"/>
      <c r="IXF229" s="1"/>
      <c r="IXG229" s="1"/>
      <c r="IXH229" s="1"/>
      <c r="IXI229" s="1"/>
      <c r="IXJ229" s="1"/>
      <c r="IXK229" s="1"/>
      <c r="IXL229" s="1"/>
      <c r="IXM229" s="1"/>
      <c r="IXN229" s="1"/>
      <c r="IXO229" s="1"/>
      <c r="IXP229" s="1"/>
      <c r="IXQ229" s="1"/>
      <c r="IXR229" s="1"/>
      <c r="IXS229" s="1"/>
      <c r="IXT229" s="1"/>
      <c r="IXU229" s="1"/>
      <c r="IXV229" s="1"/>
      <c r="IXW229" s="1"/>
      <c r="IXX229" s="1"/>
      <c r="IXY229" s="1"/>
      <c r="IXZ229" s="1"/>
      <c r="IYA229" s="1"/>
      <c r="IYB229" s="1"/>
      <c r="IYC229" s="1"/>
      <c r="IYD229" s="1"/>
      <c r="IYE229" s="1"/>
      <c r="IYF229" s="1"/>
      <c r="IYG229" s="1"/>
      <c r="IYH229" s="1"/>
      <c r="IYI229" s="1"/>
      <c r="IYJ229" s="1"/>
      <c r="IYK229" s="1"/>
      <c r="IYL229" s="1"/>
      <c r="IYM229" s="1"/>
      <c r="IYN229" s="1"/>
      <c r="IYO229" s="1"/>
      <c r="IYP229" s="1"/>
      <c r="IYQ229" s="1"/>
      <c r="IYR229" s="1"/>
      <c r="IYS229" s="1"/>
      <c r="IYT229" s="1"/>
      <c r="IYU229" s="1"/>
      <c r="IYV229" s="1"/>
      <c r="IYW229" s="1"/>
      <c r="IYX229" s="1"/>
      <c r="IYY229" s="1"/>
      <c r="IYZ229" s="1"/>
      <c r="IZA229" s="1"/>
      <c r="IZB229" s="1"/>
      <c r="IZC229" s="1"/>
      <c r="IZD229" s="1"/>
      <c r="IZE229" s="1"/>
      <c r="IZF229" s="1"/>
      <c r="IZG229" s="1"/>
      <c r="IZH229" s="1"/>
      <c r="IZI229" s="1"/>
      <c r="IZJ229" s="1"/>
      <c r="IZK229" s="1"/>
      <c r="IZL229" s="1"/>
      <c r="IZM229" s="1"/>
      <c r="IZN229" s="1"/>
      <c r="IZO229" s="1"/>
      <c r="IZP229" s="1"/>
      <c r="IZQ229" s="1"/>
      <c r="IZR229" s="1"/>
      <c r="IZS229" s="1"/>
      <c r="IZT229" s="1"/>
      <c r="IZU229" s="1"/>
      <c r="IZV229" s="1"/>
      <c r="IZW229" s="1"/>
      <c r="IZX229" s="1"/>
      <c r="IZY229" s="1"/>
      <c r="IZZ229" s="1"/>
      <c r="JAA229" s="1"/>
      <c r="JAB229" s="1"/>
      <c r="JAC229" s="1"/>
      <c r="JAD229" s="1"/>
      <c r="JAE229" s="1"/>
      <c r="JAF229" s="1"/>
      <c r="JAG229" s="1"/>
      <c r="JAH229" s="1"/>
      <c r="JAI229" s="1"/>
      <c r="JAJ229" s="1"/>
      <c r="JAK229" s="1"/>
      <c r="JAL229" s="1"/>
      <c r="JAM229" s="1"/>
      <c r="JAN229" s="1"/>
      <c r="JAO229" s="1"/>
      <c r="JAP229" s="1"/>
      <c r="JAQ229" s="1"/>
      <c r="JAR229" s="1"/>
      <c r="JAS229" s="1"/>
      <c r="JAT229" s="1"/>
      <c r="JAU229" s="1"/>
      <c r="JAV229" s="1"/>
      <c r="JAW229" s="1"/>
      <c r="JAX229" s="1"/>
      <c r="JAY229" s="1"/>
      <c r="JAZ229" s="1"/>
      <c r="JBA229" s="1"/>
      <c r="JBB229" s="1"/>
      <c r="JBC229" s="1"/>
      <c r="JBD229" s="1"/>
      <c r="JBE229" s="1"/>
      <c r="JBF229" s="1"/>
      <c r="JBG229" s="1"/>
      <c r="JBH229" s="1"/>
      <c r="JBI229" s="1"/>
      <c r="JBJ229" s="1"/>
      <c r="JBK229" s="1"/>
      <c r="JBL229" s="1"/>
      <c r="JBM229" s="1"/>
      <c r="JBN229" s="1"/>
      <c r="JBO229" s="1"/>
      <c r="JBP229" s="1"/>
      <c r="JBQ229" s="1"/>
      <c r="JBR229" s="1"/>
      <c r="JBS229" s="1"/>
      <c r="JBT229" s="1"/>
      <c r="JBU229" s="1"/>
      <c r="JBV229" s="1"/>
      <c r="JBW229" s="1"/>
      <c r="JBX229" s="1"/>
      <c r="JBY229" s="1"/>
      <c r="JBZ229" s="1"/>
      <c r="JCA229" s="1"/>
      <c r="JCB229" s="1"/>
      <c r="JCC229" s="1"/>
      <c r="JCD229" s="1"/>
      <c r="JCE229" s="1"/>
      <c r="JCF229" s="1"/>
      <c r="JCG229" s="1"/>
      <c r="JCH229" s="1"/>
      <c r="JCI229" s="1"/>
      <c r="JCJ229" s="1"/>
      <c r="JCK229" s="1"/>
      <c r="JCL229" s="1"/>
      <c r="JCM229" s="1"/>
      <c r="JCN229" s="1"/>
      <c r="JCO229" s="1"/>
      <c r="JCP229" s="1"/>
      <c r="JCQ229" s="1"/>
      <c r="JCR229" s="1"/>
      <c r="JCS229" s="1"/>
      <c r="JCT229" s="1"/>
      <c r="JCU229" s="1"/>
      <c r="JCV229" s="1"/>
      <c r="JCW229" s="1"/>
      <c r="JCX229" s="1"/>
      <c r="JCY229" s="1"/>
      <c r="JCZ229" s="1"/>
      <c r="JDA229" s="1"/>
      <c r="JDB229" s="1"/>
      <c r="JDC229" s="1"/>
      <c r="JDD229" s="1"/>
      <c r="JDE229" s="1"/>
      <c r="JDF229" s="1"/>
      <c r="JDG229" s="1"/>
      <c r="JDH229" s="1"/>
      <c r="JDI229" s="1"/>
      <c r="JDJ229" s="1"/>
      <c r="JDK229" s="1"/>
      <c r="JDL229" s="1"/>
      <c r="JDM229" s="1"/>
      <c r="JDN229" s="1"/>
      <c r="JDO229" s="1"/>
      <c r="JDP229" s="1"/>
      <c r="JDQ229" s="1"/>
      <c r="JDR229" s="1"/>
      <c r="JDS229" s="1"/>
      <c r="JDT229" s="1"/>
      <c r="JDU229" s="1"/>
      <c r="JDV229" s="1"/>
      <c r="JDW229" s="1"/>
      <c r="JDX229" s="1"/>
      <c r="JDY229" s="1"/>
      <c r="JDZ229" s="1"/>
      <c r="JEA229" s="1"/>
      <c r="JEB229" s="1"/>
      <c r="JEC229" s="1"/>
      <c r="JED229" s="1"/>
      <c r="JEE229" s="1"/>
      <c r="JEF229" s="1"/>
      <c r="JEG229" s="1"/>
      <c r="JEH229" s="1"/>
      <c r="JEI229" s="1"/>
      <c r="JEJ229" s="1"/>
      <c r="JEK229" s="1"/>
      <c r="JEL229" s="1"/>
      <c r="JEM229" s="1"/>
      <c r="JEN229" s="1"/>
      <c r="JEO229" s="1"/>
      <c r="JEP229" s="1"/>
      <c r="JEQ229" s="1"/>
      <c r="JER229" s="1"/>
      <c r="JES229" s="1"/>
      <c r="JET229" s="1"/>
      <c r="JEU229" s="1"/>
      <c r="JEV229" s="1"/>
      <c r="JEW229" s="1"/>
      <c r="JEX229" s="1"/>
      <c r="JEY229" s="1"/>
      <c r="JEZ229" s="1"/>
      <c r="JFA229" s="1"/>
      <c r="JFB229" s="1"/>
      <c r="JFC229" s="1"/>
      <c r="JFD229" s="1"/>
      <c r="JFE229" s="1"/>
      <c r="JFF229" s="1"/>
      <c r="JFG229" s="1"/>
      <c r="JFH229" s="1"/>
      <c r="JFI229" s="1"/>
      <c r="JFJ229" s="1"/>
      <c r="JFK229" s="1"/>
      <c r="JFL229" s="1"/>
      <c r="JFM229" s="1"/>
      <c r="JFN229" s="1"/>
      <c r="JFO229" s="1"/>
      <c r="JFP229" s="1"/>
      <c r="JFQ229" s="1"/>
      <c r="JFR229" s="1"/>
      <c r="JFS229" s="1"/>
      <c r="JFT229" s="1"/>
      <c r="JFU229" s="1"/>
      <c r="JFV229" s="1"/>
      <c r="JFW229" s="1"/>
      <c r="JFX229" s="1"/>
      <c r="JFY229" s="1"/>
      <c r="JFZ229" s="1"/>
      <c r="JGA229" s="1"/>
      <c r="JGB229" s="1"/>
      <c r="JGC229" s="1"/>
      <c r="JGD229" s="1"/>
      <c r="JGE229" s="1"/>
      <c r="JGF229" s="1"/>
      <c r="JGG229" s="1"/>
      <c r="JGH229" s="1"/>
      <c r="JGI229" s="1"/>
      <c r="JGJ229" s="1"/>
      <c r="JGK229" s="1"/>
      <c r="JGL229" s="1"/>
      <c r="JGM229" s="1"/>
      <c r="JGN229" s="1"/>
      <c r="JGO229" s="1"/>
      <c r="JGP229" s="1"/>
      <c r="JGQ229" s="1"/>
      <c r="JGR229" s="1"/>
      <c r="JGS229" s="1"/>
      <c r="JGT229" s="1"/>
      <c r="JGU229" s="1"/>
      <c r="JGV229" s="1"/>
      <c r="JGW229" s="1"/>
      <c r="JGX229" s="1"/>
      <c r="JGY229" s="1"/>
      <c r="JGZ229" s="1"/>
      <c r="JHA229" s="1"/>
      <c r="JHB229" s="1"/>
      <c r="JHC229" s="1"/>
      <c r="JHD229" s="1"/>
      <c r="JHE229" s="1"/>
      <c r="JHF229" s="1"/>
      <c r="JHG229" s="1"/>
      <c r="JHH229" s="1"/>
      <c r="JHI229" s="1"/>
      <c r="JHJ229" s="1"/>
      <c r="JHK229" s="1"/>
      <c r="JHL229" s="1"/>
      <c r="JHM229" s="1"/>
      <c r="JHN229" s="1"/>
      <c r="JHO229" s="1"/>
      <c r="JHP229" s="1"/>
      <c r="JHQ229" s="1"/>
      <c r="JHR229" s="1"/>
      <c r="JHS229" s="1"/>
      <c r="JHT229" s="1"/>
      <c r="JHU229" s="1"/>
      <c r="JHV229" s="1"/>
      <c r="JHW229" s="1"/>
      <c r="JHX229" s="1"/>
      <c r="JHY229" s="1"/>
      <c r="JHZ229" s="1"/>
      <c r="JIA229" s="1"/>
      <c r="JIB229" s="1"/>
      <c r="JIC229" s="1"/>
      <c r="JID229" s="1"/>
      <c r="JIE229" s="1"/>
      <c r="JIF229" s="1"/>
      <c r="JIG229" s="1"/>
      <c r="JIH229" s="1"/>
      <c r="JII229" s="1"/>
      <c r="JIJ229" s="1"/>
      <c r="JIK229" s="1"/>
      <c r="JIL229" s="1"/>
      <c r="JIM229" s="1"/>
      <c r="JIN229" s="1"/>
      <c r="JIO229" s="1"/>
      <c r="JIP229" s="1"/>
      <c r="JIQ229" s="1"/>
      <c r="JIR229" s="1"/>
      <c r="JIS229" s="1"/>
      <c r="JIT229" s="1"/>
      <c r="JIU229" s="1"/>
      <c r="JIV229" s="1"/>
      <c r="JIW229" s="1"/>
      <c r="JIX229" s="1"/>
      <c r="JIY229" s="1"/>
      <c r="JIZ229" s="1"/>
      <c r="JJA229" s="1"/>
      <c r="JJB229" s="1"/>
      <c r="JJC229" s="1"/>
      <c r="JJD229" s="1"/>
      <c r="JJE229" s="1"/>
      <c r="JJF229" s="1"/>
      <c r="JJG229" s="1"/>
      <c r="JJH229" s="1"/>
      <c r="JJI229" s="1"/>
      <c r="JJJ229" s="1"/>
      <c r="JJK229" s="1"/>
      <c r="JJL229" s="1"/>
      <c r="JJM229" s="1"/>
      <c r="JJN229" s="1"/>
      <c r="JJO229" s="1"/>
      <c r="JJP229" s="1"/>
      <c r="JJQ229" s="1"/>
      <c r="JJR229" s="1"/>
      <c r="JJS229" s="1"/>
      <c r="JJT229" s="1"/>
      <c r="JJU229" s="1"/>
      <c r="JJV229" s="1"/>
      <c r="JJW229" s="1"/>
      <c r="JJX229" s="1"/>
      <c r="JJY229" s="1"/>
      <c r="JJZ229" s="1"/>
      <c r="JKA229" s="1"/>
      <c r="JKB229" s="1"/>
      <c r="JKC229" s="1"/>
      <c r="JKD229" s="1"/>
      <c r="JKE229" s="1"/>
      <c r="JKF229" s="1"/>
      <c r="JKG229" s="1"/>
      <c r="JKH229" s="1"/>
      <c r="JKI229" s="1"/>
      <c r="JKJ229" s="1"/>
      <c r="JKK229" s="1"/>
      <c r="JKL229" s="1"/>
      <c r="JKM229" s="1"/>
      <c r="JKN229" s="1"/>
      <c r="JKO229" s="1"/>
      <c r="JKP229" s="1"/>
      <c r="JKQ229" s="1"/>
      <c r="JKR229" s="1"/>
      <c r="JKS229" s="1"/>
      <c r="JKT229" s="1"/>
      <c r="JKU229" s="1"/>
      <c r="JKV229" s="1"/>
      <c r="JKW229" s="1"/>
      <c r="JKX229" s="1"/>
      <c r="JKY229" s="1"/>
      <c r="JKZ229" s="1"/>
      <c r="JLA229" s="1"/>
      <c r="JLB229" s="1"/>
      <c r="JLC229" s="1"/>
      <c r="JLD229" s="1"/>
      <c r="JLE229" s="1"/>
      <c r="JLF229" s="1"/>
      <c r="JLG229" s="1"/>
      <c r="JLH229" s="1"/>
      <c r="JLI229" s="1"/>
      <c r="JLJ229" s="1"/>
      <c r="JLK229" s="1"/>
      <c r="JLL229" s="1"/>
      <c r="JLM229" s="1"/>
      <c r="JLN229" s="1"/>
      <c r="JLO229" s="1"/>
      <c r="JLP229" s="1"/>
      <c r="JLQ229" s="1"/>
      <c r="JLR229" s="1"/>
      <c r="JLS229" s="1"/>
      <c r="JLT229" s="1"/>
      <c r="JLU229" s="1"/>
      <c r="JLV229" s="1"/>
      <c r="JLW229" s="1"/>
      <c r="JLX229" s="1"/>
      <c r="JLY229" s="1"/>
      <c r="JLZ229" s="1"/>
      <c r="JMA229" s="1"/>
      <c r="JMB229" s="1"/>
      <c r="JMC229" s="1"/>
      <c r="JMD229" s="1"/>
      <c r="JME229" s="1"/>
      <c r="JMF229" s="1"/>
      <c r="JMG229" s="1"/>
      <c r="JMH229" s="1"/>
      <c r="JMI229" s="1"/>
      <c r="JMJ229" s="1"/>
      <c r="JMK229" s="1"/>
      <c r="JML229" s="1"/>
      <c r="JMM229" s="1"/>
      <c r="JMN229" s="1"/>
      <c r="JMO229" s="1"/>
      <c r="JMP229" s="1"/>
      <c r="JMQ229" s="1"/>
      <c r="JMR229" s="1"/>
      <c r="JMS229" s="1"/>
      <c r="JMT229" s="1"/>
      <c r="JMU229" s="1"/>
      <c r="JMV229" s="1"/>
      <c r="JMW229" s="1"/>
      <c r="JMX229" s="1"/>
      <c r="JMY229" s="1"/>
      <c r="JMZ229" s="1"/>
      <c r="JNA229" s="1"/>
      <c r="JNB229" s="1"/>
      <c r="JNC229" s="1"/>
      <c r="JND229" s="1"/>
      <c r="JNE229" s="1"/>
      <c r="JNF229" s="1"/>
      <c r="JNG229" s="1"/>
      <c r="JNH229" s="1"/>
      <c r="JNI229" s="1"/>
      <c r="JNJ229" s="1"/>
      <c r="JNK229" s="1"/>
      <c r="JNL229" s="1"/>
      <c r="JNM229" s="1"/>
      <c r="JNN229" s="1"/>
      <c r="JNO229" s="1"/>
      <c r="JNP229" s="1"/>
      <c r="JNQ229" s="1"/>
      <c r="JNR229" s="1"/>
      <c r="JNS229" s="1"/>
      <c r="JNT229" s="1"/>
      <c r="JNU229" s="1"/>
      <c r="JNV229" s="1"/>
      <c r="JNW229" s="1"/>
      <c r="JNX229" s="1"/>
      <c r="JNY229" s="1"/>
      <c r="JNZ229" s="1"/>
      <c r="JOA229" s="1"/>
      <c r="JOB229" s="1"/>
      <c r="JOC229" s="1"/>
      <c r="JOD229" s="1"/>
      <c r="JOE229" s="1"/>
      <c r="JOF229" s="1"/>
      <c r="JOG229" s="1"/>
      <c r="JOH229" s="1"/>
      <c r="JOI229" s="1"/>
      <c r="JOJ229" s="1"/>
      <c r="JOK229" s="1"/>
      <c r="JOL229" s="1"/>
      <c r="JOM229" s="1"/>
      <c r="JON229" s="1"/>
      <c r="JOO229" s="1"/>
      <c r="JOP229" s="1"/>
      <c r="JOQ229" s="1"/>
      <c r="JOR229" s="1"/>
      <c r="JOS229" s="1"/>
      <c r="JOT229" s="1"/>
      <c r="JOU229" s="1"/>
      <c r="JOV229" s="1"/>
      <c r="JOW229" s="1"/>
      <c r="JOX229" s="1"/>
      <c r="JOY229" s="1"/>
      <c r="JOZ229" s="1"/>
      <c r="JPA229" s="1"/>
      <c r="JPB229" s="1"/>
      <c r="JPC229" s="1"/>
      <c r="JPD229" s="1"/>
      <c r="JPE229" s="1"/>
      <c r="JPF229" s="1"/>
      <c r="JPG229" s="1"/>
      <c r="JPH229" s="1"/>
      <c r="JPI229" s="1"/>
      <c r="JPJ229" s="1"/>
      <c r="JPK229" s="1"/>
      <c r="JPL229" s="1"/>
      <c r="JPM229" s="1"/>
      <c r="JPN229" s="1"/>
      <c r="JPO229" s="1"/>
      <c r="JPP229" s="1"/>
      <c r="JPQ229" s="1"/>
      <c r="JPR229" s="1"/>
      <c r="JPS229" s="1"/>
      <c r="JPT229" s="1"/>
      <c r="JPU229" s="1"/>
      <c r="JPV229" s="1"/>
      <c r="JPW229" s="1"/>
      <c r="JPX229" s="1"/>
      <c r="JPY229" s="1"/>
      <c r="JPZ229" s="1"/>
      <c r="JQA229" s="1"/>
      <c r="JQB229" s="1"/>
      <c r="JQC229" s="1"/>
      <c r="JQD229" s="1"/>
      <c r="JQE229" s="1"/>
      <c r="JQF229" s="1"/>
      <c r="JQG229" s="1"/>
      <c r="JQH229" s="1"/>
      <c r="JQI229" s="1"/>
      <c r="JQJ229" s="1"/>
      <c r="JQK229" s="1"/>
      <c r="JQL229" s="1"/>
      <c r="JQM229" s="1"/>
      <c r="JQN229" s="1"/>
      <c r="JQO229" s="1"/>
      <c r="JQP229" s="1"/>
      <c r="JQQ229" s="1"/>
      <c r="JQR229" s="1"/>
      <c r="JQS229" s="1"/>
      <c r="JQT229" s="1"/>
      <c r="JQU229" s="1"/>
      <c r="JQV229" s="1"/>
      <c r="JQW229" s="1"/>
      <c r="JQX229" s="1"/>
      <c r="JQY229" s="1"/>
      <c r="JQZ229" s="1"/>
      <c r="JRA229" s="1"/>
      <c r="JRB229" s="1"/>
      <c r="JRC229" s="1"/>
      <c r="JRD229" s="1"/>
      <c r="JRE229" s="1"/>
      <c r="JRF229" s="1"/>
      <c r="JRG229" s="1"/>
      <c r="JRH229" s="1"/>
      <c r="JRI229" s="1"/>
      <c r="JRJ229" s="1"/>
      <c r="JRK229" s="1"/>
      <c r="JRL229" s="1"/>
      <c r="JRM229" s="1"/>
      <c r="JRN229" s="1"/>
      <c r="JRO229" s="1"/>
      <c r="JRP229" s="1"/>
      <c r="JRQ229" s="1"/>
      <c r="JRR229" s="1"/>
      <c r="JRS229" s="1"/>
      <c r="JRT229" s="1"/>
      <c r="JRU229" s="1"/>
      <c r="JRV229" s="1"/>
      <c r="JRW229" s="1"/>
      <c r="JRX229" s="1"/>
      <c r="JRY229" s="1"/>
      <c r="JRZ229" s="1"/>
      <c r="JSA229" s="1"/>
      <c r="JSB229" s="1"/>
      <c r="JSC229" s="1"/>
      <c r="JSD229" s="1"/>
      <c r="JSE229" s="1"/>
      <c r="JSF229" s="1"/>
      <c r="JSG229" s="1"/>
      <c r="JSH229" s="1"/>
      <c r="JSI229" s="1"/>
      <c r="JSJ229" s="1"/>
      <c r="JSK229" s="1"/>
      <c r="JSL229" s="1"/>
      <c r="JSM229" s="1"/>
      <c r="JSN229" s="1"/>
      <c r="JSO229" s="1"/>
      <c r="JSP229" s="1"/>
      <c r="JSQ229" s="1"/>
      <c r="JSR229" s="1"/>
      <c r="JSS229" s="1"/>
      <c r="JST229" s="1"/>
      <c r="JSU229" s="1"/>
      <c r="JSV229" s="1"/>
      <c r="JSW229" s="1"/>
      <c r="JSX229" s="1"/>
      <c r="JSY229" s="1"/>
      <c r="JSZ229" s="1"/>
      <c r="JTA229" s="1"/>
      <c r="JTB229" s="1"/>
      <c r="JTC229" s="1"/>
      <c r="JTD229" s="1"/>
      <c r="JTE229" s="1"/>
      <c r="JTF229" s="1"/>
      <c r="JTG229" s="1"/>
      <c r="JTH229" s="1"/>
      <c r="JTI229" s="1"/>
      <c r="JTJ229" s="1"/>
      <c r="JTK229" s="1"/>
      <c r="JTL229" s="1"/>
      <c r="JTM229" s="1"/>
      <c r="JTN229" s="1"/>
      <c r="JTO229" s="1"/>
      <c r="JTP229" s="1"/>
      <c r="JTQ229" s="1"/>
      <c r="JTR229" s="1"/>
      <c r="JTS229" s="1"/>
      <c r="JTT229" s="1"/>
      <c r="JTU229" s="1"/>
      <c r="JTV229" s="1"/>
      <c r="JTW229" s="1"/>
      <c r="JTX229" s="1"/>
      <c r="JTY229" s="1"/>
      <c r="JTZ229" s="1"/>
      <c r="JUA229" s="1"/>
      <c r="JUB229" s="1"/>
      <c r="JUC229" s="1"/>
      <c r="JUD229" s="1"/>
      <c r="JUE229" s="1"/>
      <c r="JUF229" s="1"/>
      <c r="JUG229" s="1"/>
      <c r="JUH229" s="1"/>
      <c r="JUI229" s="1"/>
      <c r="JUJ229" s="1"/>
      <c r="JUK229" s="1"/>
      <c r="JUL229" s="1"/>
      <c r="JUM229" s="1"/>
      <c r="JUN229" s="1"/>
      <c r="JUO229" s="1"/>
      <c r="JUP229" s="1"/>
      <c r="JUQ229" s="1"/>
      <c r="JUR229" s="1"/>
      <c r="JUS229" s="1"/>
      <c r="JUT229" s="1"/>
      <c r="JUU229" s="1"/>
      <c r="JUV229" s="1"/>
      <c r="JUW229" s="1"/>
      <c r="JUX229" s="1"/>
      <c r="JUY229" s="1"/>
      <c r="JUZ229" s="1"/>
      <c r="JVA229" s="1"/>
      <c r="JVB229" s="1"/>
      <c r="JVC229" s="1"/>
      <c r="JVD229" s="1"/>
      <c r="JVE229" s="1"/>
      <c r="JVF229" s="1"/>
      <c r="JVG229" s="1"/>
      <c r="JVH229" s="1"/>
      <c r="JVI229" s="1"/>
      <c r="JVJ229" s="1"/>
      <c r="JVK229" s="1"/>
      <c r="JVL229" s="1"/>
      <c r="JVM229" s="1"/>
      <c r="JVN229" s="1"/>
      <c r="JVO229" s="1"/>
      <c r="JVP229" s="1"/>
      <c r="JVQ229" s="1"/>
      <c r="JVR229" s="1"/>
      <c r="JVS229" s="1"/>
      <c r="JVT229" s="1"/>
      <c r="JVU229" s="1"/>
      <c r="JVV229" s="1"/>
      <c r="JVW229" s="1"/>
      <c r="JVX229" s="1"/>
      <c r="JVY229" s="1"/>
      <c r="JVZ229" s="1"/>
      <c r="JWA229" s="1"/>
      <c r="JWB229" s="1"/>
      <c r="JWC229" s="1"/>
      <c r="JWD229" s="1"/>
      <c r="JWE229" s="1"/>
      <c r="JWF229" s="1"/>
      <c r="JWG229" s="1"/>
      <c r="JWH229" s="1"/>
      <c r="JWI229" s="1"/>
      <c r="JWJ229" s="1"/>
      <c r="JWK229" s="1"/>
      <c r="JWL229" s="1"/>
      <c r="JWM229" s="1"/>
      <c r="JWN229" s="1"/>
      <c r="JWO229" s="1"/>
      <c r="JWP229" s="1"/>
      <c r="JWQ229" s="1"/>
      <c r="JWR229" s="1"/>
      <c r="JWS229" s="1"/>
      <c r="JWT229" s="1"/>
      <c r="JWU229" s="1"/>
      <c r="JWV229" s="1"/>
      <c r="JWW229" s="1"/>
      <c r="JWX229" s="1"/>
      <c r="JWY229" s="1"/>
      <c r="JWZ229" s="1"/>
      <c r="JXA229" s="1"/>
      <c r="JXB229" s="1"/>
      <c r="JXC229" s="1"/>
      <c r="JXD229" s="1"/>
      <c r="JXE229" s="1"/>
      <c r="JXF229" s="1"/>
      <c r="JXG229" s="1"/>
      <c r="JXH229" s="1"/>
      <c r="JXI229" s="1"/>
      <c r="JXJ229" s="1"/>
      <c r="JXK229" s="1"/>
      <c r="JXL229" s="1"/>
      <c r="JXM229" s="1"/>
      <c r="JXN229" s="1"/>
      <c r="JXO229" s="1"/>
      <c r="JXP229" s="1"/>
      <c r="JXQ229" s="1"/>
      <c r="JXR229" s="1"/>
      <c r="JXS229" s="1"/>
      <c r="JXT229" s="1"/>
      <c r="JXU229" s="1"/>
      <c r="JXV229" s="1"/>
      <c r="JXW229" s="1"/>
      <c r="JXX229" s="1"/>
      <c r="JXY229" s="1"/>
      <c r="JXZ229" s="1"/>
      <c r="JYA229" s="1"/>
      <c r="JYB229" s="1"/>
      <c r="JYC229" s="1"/>
      <c r="JYD229" s="1"/>
      <c r="JYE229" s="1"/>
      <c r="JYF229" s="1"/>
      <c r="JYG229" s="1"/>
      <c r="JYH229" s="1"/>
      <c r="JYI229" s="1"/>
      <c r="JYJ229" s="1"/>
      <c r="JYK229" s="1"/>
      <c r="JYL229" s="1"/>
      <c r="JYM229" s="1"/>
      <c r="JYN229" s="1"/>
      <c r="JYO229" s="1"/>
      <c r="JYP229" s="1"/>
      <c r="JYQ229" s="1"/>
      <c r="JYR229" s="1"/>
      <c r="JYS229" s="1"/>
      <c r="JYT229" s="1"/>
      <c r="JYU229" s="1"/>
      <c r="JYV229" s="1"/>
      <c r="JYW229" s="1"/>
      <c r="JYX229" s="1"/>
      <c r="JYY229" s="1"/>
      <c r="JYZ229" s="1"/>
      <c r="JZA229" s="1"/>
      <c r="JZB229" s="1"/>
      <c r="JZC229" s="1"/>
      <c r="JZD229" s="1"/>
      <c r="JZE229" s="1"/>
      <c r="JZF229" s="1"/>
      <c r="JZG229" s="1"/>
      <c r="JZH229" s="1"/>
      <c r="JZI229" s="1"/>
      <c r="JZJ229" s="1"/>
      <c r="JZK229" s="1"/>
      <c r="JZL229" s="1"/>
      <c r="JZM229" s="1"/>
      <c r="JZN229" s="1"/>
      <c r="JZO229" s="1"/>
      <c r="JZP229" s="1"/>
      <c r="JZQ229" s="1"/>
      <c r="JZR229" s="1"/>
      <c r="JZS229" s="1"/>
      <c r="JZT229" s="1"/>
      <c r="JZU229" s="1"/>
      <c r="JZV229" s="1"/>
      <c r="JZW229" s="1"/>
      <c r="JZX229" s="1"/>
      <c r="JZY229" s="1"/>
      <c r="JZZ229" s="1"/>
      <c r="KAA229" s="1"/>
      <c r="KAB229" s="1"/>
      <c r="KAC229" s="1"/>
      <c r="KAD229" s="1"/>
      <c r="KAE229" s="1"/>
      <c r="KAF229" s="1"/>
      <c r="KAG229" s="1"/>
      <c r="KAH229" s="1"/>
      <c r="KAI229" s="1"/>
      <c r="KAJ229" s="1"/>
      <c r="KAK229" s="1"/>
      <c r="KAL229" s="1"/>
      <c r="KAM229" s="1"/>
      <c r="KAN229" s="1"/>
      <c r="KAO229" s="1"/>
      <c r="KAP229" s="1"/>
      <c r="KAQ229" s="1"/>
      <c r="KAR229" s="1"/>
      <c r="KAS229" s="1"/>
      <c r="KAT229" s="1"/>
      <c r="KAU229" s="1"/>
      <c r="KAV229" s="1"/>
      <c r="KAW229" s="1"/>
      <c r="KAX229" s="1"/>
      <c r="KAY229" s="1"/>
      <c r="KAZ229" s="1"/>
      <c r="KBA229" s="1"/>
      <c r="KBB229" s="1"/>
      <c r="KBC229" s="1"/>
      <c r="KBD229" s="1"/>
      <c r="KBE229" s="1"/>
      <c r="KBF229" s="1"/>
      <c r="KBG229" s="1"/>
      <c r="KBH229" s="1"/>
      <c r="KBI229" s="1"/>
      <c r="KBJ229" s="1"/>
      <c r="KBK229" s="1"/>
      <c r="KBL229" s="1"/>
      <c r="KBM229" s="1"/>
      <c r="KBN229" s="1"/>
      <c r="KBO229" s="1"/>
      <c r="KBP229" s="1"/>
      <c r="KBQ229" s="1"/>
      <c r="KBR229" s="1"/>
      <c r="KBS229" s="1"/>
      <c r="KBT229" s="1"/>
      <c r="KBU229" s="1"/>
      <c r="KBV229" s="1"/>
      <c r="KBW229" s="1"/>
      <c r="KBX229" s="1"/>
      <c r="KBY229" s="1"/>
      <c r="KBZ229" s="1"/>
      <c r="KCA229" s="1"/>
      <c r="KCB229" s="1"/>
      <c r="KCC229" s="1"/>
      <c r="KCD229" s="1"/>
      <c r="KCE229" s="1"/>
      <c r="KCF229" s="1"/>
      <c r="KCG229" s="1"/>
      <c r="KCH229" s="1"/>
      <c r="KCI229" s="1"/>
      <c r="KCJ229" s="1"/>
      <c r="KCK229" s="1"/>
      <c r="KCL229" s="1"/>
      <c r="KCM229" s="1"/>
      <c r="KCN229" s="1"/>
      <c r="KCO229" s="1"/>
      <c r="KCP229" s="1"/>
      <c r="KCQ229" s="1"/>
      <c r="KCR229" s="1"/>
      <c r="KCS229" s="1"/>
      <c r="KCT229" s="1"/>
      <c r="KCU229" s="1"/>
      <c r="KCV229" s="1"/>
      <c r="KCW229" s="1"/>
      <c r="KCX229" s="1"/>
      <c r="KCY229" s="1"/>
      <c r="KCZ229" s="1"/>
      <c r="KDA229" s="1"/>
      <c r="KDB229" s="1"/>
      <c r="KDC229" s="1"/>
      <c r="KDD229" s="1"/>
      <c r="KDE229" s="1"/>
      <c r="KDF229" s="1"/>
      <c r="KDG229" s="1"/>
      <c r="KDH229" s="1"/>
      <c r="KDI229" s="1"/>
      <c r="KDJ229" s="1"/>
      <c r="KDK229" s="1"/>
      <c r="KDL229" s="1"/>
      <c r="KDM229" s="1"/>
      <c r="KDN229" s="1"/>
      <c r="KDO229" s="1"/>
      <c r="KDP229" s="1"/>
      <c r="KDQ229" s="1"/>
      <c r="KDR229" s="1"/>
      <c r="KDS229" s="1"/>
      <c r="KDT229" s="1"/>
      <c r="KDU229" s="1"/>
      <c r="KDV229" s="1"/>
      <c r="KDW229" s="1"/>
      <c r="KDX229" s="1"/>
      <c r="KDY229" s="1"/>
      <c r="KDZ229" s="1"/>
      <c r="KEA229" s="1"/>
      <c r="KEB229" s="1"/>
      <c r="KEC229" s="1"/>
      <c r="KED229" s="1"/>
      <c r="KEE229" s="1"/>
      <c r="KEF229" s="1"/>
      <c r="KEG229" s="1"/>
      <c r="KEH229" s="1"/>
      <c r="KEI229" s="1"/>
      <c r="KEJ229" s="1"/>
      <c r="KEK229" s="1"/>
      <c r="KEL229" s="1"/>
      <c r="KEM229" s="1"/>
      <c r="KEN229" s="1"/>
      <c r="KEO229" s="1"/>
      <c r="KEP229" s="1"/>
      <c r="KEQ229" s="1"/>
      <c r="KER229" s="1"/>
      <c r="KES229" s="1"/>
      <c r="KET229" s="1"/>
      <c r="KEU229" s="1"/>
      <c r="KEV229" s="1"/>
      <c r="KEW229" s="1"/>
      <c r="KEX229" s="1"/>
      <c r="KEY229" s="1"/>
      <c r="KEZ229" s="1"/>
      <c r="KFA229" s="1"/>
      <c r="KFB229" s="1"/>
      <c r="KFC229" s="1"/>
      <c r="KFD229" s="1"/>
      <c r="KFE229" s="1"/>
      <c r="KFF229" s="1"/>
      <c r="KFG229" s="1"/>
      <c r="KFH229" s="1"/>
      <c r="KFI229" s="1"/>
      <c r="KFJ229" s="1"/>
      <c r="KFK229" s="1"/>
      <c r="KFL229" s="1"/>
      <c r="KFM229" s="1"/>
      <c r="KFN229" s="1"/>
      <c r="KFO229" s="1"/>
      <c r="KFP229" s="1"/>
      <c r="KFQ229" s="1"/>
      <c r="KFR229" s="1"/>
      <c r="KFS229" s="1"/>
      <c r="KFT229" s="1"/>
      <c r="KFU229" s="1"/>
      <c r="KFV229" s="1"/>
      <c r="KFW229" s="1"/>
      <c r="KFX229" s="1"/>
      <c r="KFY229" s="1"/>
      <c r="KFZ229" s="1"/>
      <c r="KGA229" s="1"/>
      <c r="KGB229" s="1"/>
      <c r="KGC229" s="1"/>
      <c r="KGD229" s="1"/>
      <c r="KGE229" s="1"/>
      <c r="KGF229" s="1"/>
      <c r="KGG229" s="1"/>
      <c r="KGH229" s="1"/>
      <c r="KGI229" s="1"/>
      <c r="KGJ229" s="1"/>
      <c r="KGK229" s="1"/>
      <c r="KGL229" s="1"/>
      <c r="KGM229" s="1"/>
      <c r="KGN229" s="1"/>
      <c r="KGO229" s="1"/>
      <c r="KGP229" s="1"/>
      <c r="KGQ229" s="1"/>
      <c r="KGR229" s="1"/>
      <c r="KGS229" s="1"/>
      <c r="KGT229" s="1"/>
      <c r="KGU229" s="1"/>
      <c r="KGV229" s="1"/>
      <c r="KGW229" s="1"/>
      <c r="KGX229" s="1"/>
      <c r="KGY229" s="1"/>
      <c r="KGZ229" s="1"/>
      <c r="KHA229" s="1"/>
      <c r="KHB229" s="1"/>
      <c r="KHC229" s="1"/>
      <c r="KHD229" s="1"/>
      <c r="KHE229" s="1"/>
      <c r="KHF229" s="1"/>
      <c r="KHG229" s="1"/>
      <c r="KHH229" s="1"/>
      <c r="KHI229" s="1"/>
      <c r="KHJ229" s="1"/>
      <c r="KHK229" s="1"/>
      <c r="KHL229" s="1"/>
      <c r="KHM229" s="1"/>
      <c r="KHN229" s="1"/>
      <c r="KHO229" s="1"/>
      <c r="KHP229" s="1"/>
      <c r="KHQ229" s="1"/>
      <c r="KHR229" s="1"/>
      <c r="KHS229" s="1"/>
      <c r="KHT229" s="1"/>
      <c r="KHU229" s="1"/>
      <c r="KHV229" s="1"/>
      <c r="KHW229" s="1"/>
      <c r="KHX229" s="1"/>
      <c r="KHY229" s="1"/>
      <c r="KHZ229" s="1"/>
      <c r="KIA229" s="1"/>
      <c r="KIB229" s="1"/>
      <c r="KIC229" s="1"/>
      <c r="KID229" s="1"/>
      <c r="KIE229" s="1"/>
      <c r="KIF229" s="1"/>
      <c r="KIG229" s="1"/>
      <c r="KIH229" s="1"/>
      <c r="KII229" s="1"/>
      <c r="KIJ229" s="1"/>
      <c r="KIK229" s="1"/>
      <c r="KIL229" s="1"/>
      <c r="KIM229" s="1"/>
      <c r="KIN229" s="1"/>
      <c r="KIO229" s="1"/>
      <c r="KIP229" s="1"/>
      <c r="KIQ229" s="1"/>
      <c r="KIR229" s="1"/>
      <c r="KIS229" s="1"/>
      <c r="KIT229" s="1"/>
      <c r="KIU229" s="1"/>
      <c r="KIV229" s="1"/>
      <c r="KIW229" s="1"/>
      <c r="KIX229" s="1"/>
      <c r="KIY229" s="1"/>
      <c r="KIZ229" s="1"/>
      <c r="KJA229" s="1"/>
      <c r="KJB229" s="1"/>
      <c r="KJC229" s="1"/>
      <c r="KJD229" s="1"/>
      <c r="KJE229" s="1"/>
      <c r="KJF229" s="1"/>
      <c r="KJG229" s="1"/>
      <c r="KJH229" s="1"/>
      <c r="KJI229" s="1"/>
      <c r="KJJ229" s="1"/>
      <c r="KJK229" s="1"/>
      <c r="KJL229" s="1"/>
      <c r="KJM229" s="1"/>
      <c r="KJN229" s="1"/>
      <c r="KJO229" s="1"/>
      <c r="KJP229" s="1"/>
      <c r="KJQ229" s="1"/>
      <c r="KJR229" s="1"/>
      <c r="KJS229" s="1"/>
      <c r="KJT229" s="1"/>
      <c r="KJU229" s="1"/>
      <c r="KJV229" s="1"/>
      <c r="KJW229" s="1"/>
      <c r="KJX229" s="1"/>
      <c r="KJY229" s="1"/>
      <c r="KJZ229" s="1"/>
      <c r="KKA229" s="1"/>
      <c r="KKB229" s="1"/>
      <c r="KKC229" s="1"/>
      <c r="KKD229" s="1"/>
      <c r="KKE229" s="1"/>
      <c r="KKF229" s="1"/>
      <c r="KKG229" s="1"/>
      <c r="KKH229" s="1"/>
      <c r="KKI229" s="1"/>
      <c r="KKJ229" s="1"/>
      <c r="KKK229" s="1"/>
      <c r="KKL229" s="1"/>
      <c r="KKM229" s="1"/>
      <c r="KKN229" s="1"/>
      <c r="KKO229" s="1"/>
      <c r="KKP229" s="1"/>
      <c r="KKQ229" s="1"/>
      <c r="KKR229" s="1"/>
      <c r="KKS229" s="1"/>
      <c r="KKT229" s="1"/>
      <c r="KKU229" s="1"/>
      <c r="KKV229" s="1"/>
      <c r="KKW229" s="1"/>
      <c r="KKX229" s="1"/>
      <c r="KKY229" s="1"/>
      <c r="KKZ229" s="1"/>
      <c r="KLA229" s="1"/>
      <c r="KLB229" s="1"/>
      <c r="KLC229" s="1"/>
      <c r="KLD229" s="1"/>
      <c r="KLE229" s="1"/>
      <c r="KLF229" s="1"/>
      <c r="KLG229" s="1"/>
      <c r="KLH229" s="1"/>
      <c r="KLI229" s="1"/>
      <c r="KLJ229" s="1"/>
      <c r="KLK229" s="1"/>
      <c r="KLL229" s="1"/>
      <c r="KLM229" s="1"/>
      <c r="KLN229" s="1"/>
      <c r="KLO229" s="1"/>
      <c r="KLP229" s="1"/>
      <c r="KLQ229" s="1"/>
      <c r="KLR229" s="1"/>
      <c r="KLS229" s="1"/>
      <c r="KLT229" s="1"/>
      <c r="KLU229" s="1"/>
      <c r="KLV229" s="1"/>
      <c r="KLW229" s="1"/>
      <c r="KLX229" s="1"/>
      <c r="KLY229" s="1"/>
      <c r="KLZ229" s="1"/>
      <c r="KMA229" s="1"/>
      <c r="KMB229" s="1"/>
      <c r="KMC229" s="1"/>
      <c r="KMD229" s="1"/>
      <c r="KME229" s="1"/>
      <c r="KMF229" s="1"/>
      <c r="KMG229" s="1"/>
      <c r="KMH229" s="1"/>
      <c r="KMI229" s="1"/>
      <c r="KMJ229" s="1"/>
      <c r="KMK229" s="1"/>
      <c r="KML229" s="1"/>
      <c r="KMM229" s="1"/>
      <c r="KMN229" s="1"/>
      <c r="KMO229" s="1"/>
      <c r="KMP229" s="1"/>
      <c r="KMQ229" s="1"/>
      <c r="KMR229" s="1"/>
      <c r="KMS229" s="1"/>
      <c r="KMT229" s="1"/>
      <c r="KMU229" s="1"/>
      <c r="KMV229" s="1"/>
      <c r="KMW229" s="1"/>
      <c r="KMX229" s="1"/>
      <c r="KMY229" s="1"/>
      <c r="KMZ229" s="1"/>
      <c r="KNA229" s="1"/>
      <c r="KNB229" s="1"/>
      <c r="KNC229" s="1"/>
      <c r="KND229" s="1"/>
      <c r="KNE229" s="1"/>
      <c r="KNF229" s="1"/>
      <c r="KNG229" s="1"/>
      <c r="KNH229" s="1"/>
      <c r="KNI229" s="1"/>
      <c r="KNJ229" s="1"/>
      <c r="KNK229" s="1"/>
      <c r="KNL229" s="1"/>
      <c r="KNM229" s="1"/>
      <c r="KNN229" s="1"/>
      <c r="KNO229" s="1"/>
      <c r="KNP229" s="1"/>
      <c r="KNQ229" s="1"/>
      <c r="KNR229" s="1"/>
      <c r="KNS229" s="1"/>
      <c r="KNT229" s="1"/>
      <c r="KNU229" s="1"/>
      <c r="KNV229" s="1"/>
      <c r="KNW229" s="1"/>
      <c r="KNX229" s="1"/>
      <c r="KNY229" s="1"/>
      <c r="KNZ229" s="1"/>
      <c r="KOA229" s="1"/>
      <c r="KOB229" s="1"/>
      <c r="KOC229" s="1"/>
      <c r="KOD229" s="1"/>
      <c r="KOE229" s="1"/>
      <c r="KOF229" s="1"/>
      <c r="KOG229" s="1"/>
      <c r="KOH229" s="1"/>
      <c r="KOI229" s="1"/>
      <c r="KOJ229" s="1"/>
      <c r="KOK229" s="1"/>
      <c r="KOL229" s="1"/>
      <c r="KOM229" s="1"/>
      <c r="KON229" s="1"/>
      <c r="KOO229" s="1"/>
      <c r="KOP229" s="1"/>
      <c r="KOQ229" s="1"/>
      <c r="KOR229" s="1"/>
      <c r="KOS229" s="1"/>
      <c r="KOT229" s="1"/>
      <c r="KOU229" s="1"/>
      <c r="KOV229" s="1"/>
      <c r="KOW229" s="1"/>
      <c r="KOX229" s="1"/>
      <c r="KOY229" s="1"/>
      <c r="KOZ229" s="1"/>
      <c r="KPA229" s="1"/>
      <c r="KPB229" s="1"/>
      <c r="KPC229" s="1"/>
      <c r="KPD229" s="1"/>
      <c r="KPE229" s="1"/>
      <c r="KPF229" s="1"/>
      <c r="KPG229" s="1"/>
      <c r="KPH229" s="1"/>
      <c r="KPI229" s="1"/>
      <c r="KPJ229" s="1"/>
      <c r="KPK229" s="1"/>
      <c r="KPL229" s="1"/>
      <c r="KPM229" s="1"/>
      <c r="KPN229" s="1"/>
      <c r="KPO229" s="1"/>
      <c r="KPP229" s="1"/>
      <c r="KPQ229" s="1"/>
      <c r="KPR229" s="1"/>
      <c r="KPS229" s="1"/>
      <c r="KPT229" s="1"/>
      <c r="KPU229" s="1"/>
      <c r="KPV229" s="1"/>
      <c r="KPW229" s="1"/>
      <c r="KPX229" s="1"/>
      <c r="KPY229" s="1"/>
      <c r="KPZ229" s="1"/>
      <c r="KQA229" s="1"/>
      <c r="KQB229" s="1"/>
      <c r="KQC229" s="1"/>
      <c r="KQD229" s="1"/>
      <c r="KQE229" s="1"/>
      <c r="KQF229" s="1"/>
      <c r="KQG229" s="1"/>
      <c r="KQH229" s="1"/>
      <c r="KQI229" s="1"/>
      <c r="KQJ229" s="1"/>
      <c r="KQK229" s="1"/>
      <c r="KQL229" s="1"/>
      <c r="KQM229" s="1"/>
      <c r="KQN229" s="1"/>
      <c r="KQO229" s="1"/>
      <c r="KQP229" s="1"/>
      <c r="KQQ229" s="1"/>
      <c r="KQR229" s="1"/>
      <c r="KQS229" s="1"/>
      <c r="KQT229" s="1"/>
      <c r="KQU229" s="1"/>
      <c r="KQV229" s="1"/>
      <c r="KQW229" s="1"/>
      <c r="KQX229" s="1"/>
      <c r="KQY229" s="1"/>
      <c r="KQZ229" s="1"/>
      <c r="KRA229" s="1"/>
      <c r="KRB229" s="1"/>
      <c r="KRC229" s="1"/>
      <c r="KRD229" s="1"/>
      <c r="KRE229" s="1"/>
      <c r="KRF229" s="1"/>
      <c r="KRG229" s="1"/>
      <c r="KRH229" s="1"/>
      <c r="KRI229" s="1"/>
      <c r="KRJ229" s="1"/>
      <c r="KRK229" s="1"/>
      <c r="KRL229" s="1"/>
      <c r="KRM229" s="1"/>
      <c r="KRN229" s="1"/>
      <c r="KRO229" s="1"/>
      <c r="KRP229" s="1"/>
      <c r="KRQ229" s="1"/>
      <c r="KRR229" s="1"/>
      <c r="KRS229" s="1"/>
      <c r="KRT229" s="1"/>
      <c r="KRU229" s="1"/>
      <c r="KRV229" s="1"/>
      <c r="KRW229" s="1"/>
      <c r="KRX229" s="1"/>
      <c r="KRY229" s="1"/>
      <c r="KRZ229" s="1"/>
      <c r="KSA229" s="1"/>
      <c r="KSB229" s="1"/>
      <c r="KSC229" s="1"/>
      <c r="KSD229" s="1"/>
      <c r="KSE229" s="1"/>
      <c r="KSF229" s="1"/>
      <c r="KSG229" s="1"/>
      <c r="KSH229" s="1"/>
      <c r="KSI229" s="1"/>
      <c r="KSJ229" s="1"/>
      <c r="KSK229" s="1"/>
      <c r="KSL229" s="1"/>
      <c r="KSM229" s="1"/>
      <c r="KSN229" s="1"/>
      <c r="KSO229" s="1"/>
      <c r="KSP229" s="1"/>
      <c r="KSQ229" s="1"/>
      <c r="KSR229" s="1"/>
      <c r="KSS229" s="1"/>
      <c r="KST229" s="1"/>
      <c r="KSU229" s="1"/>
      <c r="KSV229" s="1"/>
      <c r="KSW229" s="1"/>
      <c r="KSX229" s="1"/>
      <c r="KSY229" s="1"/>
      <c r="KSZ229" s="1"/>
      <c r="KTA229" s="1"/>
      <c r="KTB229" s="1"/>
      <c r="KTC229" s="1"/>
      <c r="KTD229" s="1"/>
      <c r="KTE229" s="1"/>
      <c r="KTF229" s="1"/>
      <c r="KTG229" s="1"/>
      <c r="KTH229" s="1"/>
      <c r="KTI229" s="1"/>
      <c r="KTJ229" s="1"/>
      <c r="KTK229" s="1"/>
      <c r="KTL229" s="1"/>
      <c r="KTM229" s="1"/>
      <c r="KTN229" s="1"/>
      <c r="KTO229" s="1"/>
      <c r="KTP229" s="1"/>
      <c r="KTQ229" s="1"/>
      <c r="KTR229" s="1"/>
      <c r="KTS229" s="1"/>
      <c r="KTT229" s="1"/>
      <c r="KTU229" s="1"/>
      <c r="KTV229" s="1"/>
      <c r="KTW229" s="1"/>
      <c r="KTX229" s="1"/>
      <c r="KTY229" s="1"/>
      <c r="KTZ229" s="1"/>
      <c r="KUA229" s="1"/>
      <c r="KUB229" s="1"/>
      <c r="KUC229" s="1"/>
      <c r="KUD229" s="1"/>
      <c r="KUE229" s="1"/>
      <c r="KUF229" s="1"/>
      <c r="KUG229" s="1"/>
      <c r="KUH229" s="1"/>
      <c r="KUI229" s="1"/>
      <c r="KUJ229" s="1"/>
      <c r="KUK229" s="1"/>
      <c r="KUL229" s="1"/>
      <c r="KUM229" s="1"/>
      <c r="KUN229" s="1"/>
      <c r="KUO229" s="1"/>
      <c r="KUP229" s="1"/>
      <c r="KUQ229" s="1"/>
      <c r="KUR229" s="1"/>
      <c r="KUS229" s="1"/>
      <c r="KUT229" s="1"/>
      <c r="KUU229" s="1"/>
      <c r="KUV229" s="1"/>
      <c r="KUW229" s="1"/>
      <c r="KUX229" s="1"/>
      <c r="KUY229" s="1"/>
      <c r="KUZ229" s="1"/>
      <c r="KVA229" s="1"/>
      <c r="KVB229" s="1"/>
      <c r="KVC229" s="1"/>
      <c r="KVD229" s="1"/>
      <c r="KVE229" s="1"/>
      <c r="KVF229" s="1"/>
      <c r="KVG229" s="1"/>
      <c r="KVH229" s="1"/>
      <c r="KVI229" s="1"/>
      <c r="KVJ229" s="1"/>
      <c r="KVK229" s="1"/>
      <c r="KVL229" s="1"/>
      <c r="KVM229" s="1"/>
      <c r="KVN229" s="1"/>
      <c r="KVO229" s="1"/>
      <c r="KVP229" s="1"/>
      <c r="KVQ229" s="1"/>
      <c r="KVR229" s="1"/>
      <c r="KVS229" s="1"/>
      <c r="KVT229" s="1"/>
      <c r="KVU229" s="1"/>
      <c r="KVV229" s="1"/>
      <c r="KVW229" s="1"/>
      <c r="KVX229" s="1"/>
      <c r="KVY229" s="1"/>
      <c r="KVZ229" s="1"/>
      <c r="KWA229" s="1"/>
      <c r="KWB229" s="1"/>
      <c r="KWC229" s="1"/>
      <c r="KWD229" s="1"/>
      <c r="KWE229" s="1"/>
      <c r="KWF229" s="1"/>
      <c r="KWG229" s="1"/>
      <c r="KWH229" s="1"/>
      <c r="KWI229" s="1"/>
      <c r="KWJ229" s="1"/>
      <c r="KWK229" s="1"/>
      <c r="KWL229" s="1"/>
      <c r="KWM229" s="1"/>
      <c r="KWN229" s="1"/>
      <c r="KWO229" s="1"/>
      <c r="KWP229" s="1"/>
      <c r="KWQ229" s="1"/>
      <c r="KWR229" s="1"/>
      <c r="KWS229" s="1"/>
      <c r="KWT229" s="1"/>
      <c r="KWU229" s="1"/>
      <c r="KWV229" s="1"/>
      <c r="KWW229" s="1"/>
      <c r="KWX229" s="1"/>
      <c r="KWY229" s="1"/>
      <c r="KWZ229" s="1"/>
      <c r="KXA229" s="1"/>
      <c r="KXB229" s="1"/>
      <c r="KXC229" s="1"/>
      <c r="KXD229" s="1"/>
      <c r="KXE229" s="1"/>
      <c r="KXF229" s="1"/>
      <c r="KXG229" s="1"/>
      <c r="KXH229" s="1"/>
      <c r="KXI229" s="1"/>
      <c r="KXJ229" s="1"/>
      <c r="KXK229" s="1"/>
      <c r="KXL229" s="1"/>
      <c r="KXM229" s="1"/>
      <c r="KXN229" s="1"/>
      <c r="KXO229" s="1"/>
      <c r="KXP229" s="1"/>
      <c r="KXQ229" s="1"/>
      <c r="KXR229" s="1"/>
      <c r="KXS229" s="1"/>
      <c r="KXT229" s="1"/>
      <c r="KXU229" s="1"/>
      <c r="KXV229" s="1"/>
      <c r="KXW229" s="1"/>
      <c r="KXX229" s="1"/>
      <c r="KXY229" s="1"/>
      <c r="KXZ229" s="1"/>
      <c r="KYA229" s="1"/>
      <c r="KYB229" s="1"/>
      <c r="KYC229" s="1"/>
      <c r="KYD229" s="1"/>
      <c r="KYE229" s="1"/>
      <c r="KYF229" s="1"/>
      <c r="KYG229" s="1"/>
      <c r="KYH229" s="1"/>
      <c r="KYI229" s="1"/>
      <c r="KYJ229" s="1"/>
      <c r="KYK229" s="1"/>
      <c r="KYL229" s="1"/>
      <c r="KYM229" s="1"/>
      <c r="KYN229" s="1"/>
      <c r="KYO229" s="1"/>
      <c r="KYP229" s="1"/>
      <c r="KYQ229" s="1"/>
      <c r="KYR229" s="1"/>
      <c r="KYS229" s="1"/>
      <c r="KYT229" s="1"/>
      <c r="KYU229" s="1"/>
      <c r="KYV229" s="1"/>
      <c r="KYW229" s="1"/>
      <c r="KYX229" s="1"/>
      <c r="KYY229" s="1"/>
      <c r="KYZ229" s="1"/>
      <c r="KZA229" s="1"/>
      <c r="KZB229" s="1"/>
      <c r="KZC229" s="1"/>
      <c r="KZD229" s="1"/>
      <c r="KZE229" s="1"/>
      <c r="KZF229" s="1"/>
      <c r="KZG229" s="1"/>
      <c r="KZH229" s="1"/>
      <c r="KZI229" s="1"/>
      <c r="KZJ229" s="1"/>
      <c r="KZK229" s="1"/>
      <c r="KZL229" s="1"/>
      <c r="KZM229" s="1"/>
      <c r="KZN229" s="1"/>
      <c r="KZO229" s="1"/>
      <c r="KZP229" s="1"/>
      <c r="KZQ229" s="1"/>
      <c r="KZR229" s="1"/>
      <c r="KZS229" s="1"/>
      <c r="KZT229" s="1"/>
      <c r="KZU229" s="1"/>
      <c r="KZV229" s="1"/>
      <c r="KZW229" s="1"/>
      <c r="KZX229" s="1"/>
      <c r="KZY229" s="1"/>
      <c r="KZZ229" s="1"/>
      <c r="LAA229" s="1"/>
      <c r="LAB229" s="1"/>
      <c r="LAC229" s="1"/>
      <c r="LAD229" s="1"/>
      <c r="LAE229" s="1"/>
      <c r="LAF229" s="1"/>
      <c r="LAG229" s="1"/>
      <c r="LAH229" s="1"/>
      <c r="LAI229" s="1"/>
      <c r="LAJ229" s="1"/>
      <c r="LAK229" s="1"/>
      <c r="LAL229" s="1"/>
      <c r="LAM229" s="1"/>
      <c r="LAN229" s="1"/>
      <c r="LAO229" s="1"/>
      <c r="LAP229" s="1"/>
      <c r="LAQ229" s="1"/>
      <c r="LAR229" s="1"/>
      <c r="LAS229" s="1"/>
      <c r="LAT229" s="1"/>
      <c r="LAU229" s="1"/>
      <c r="LAV229" s="1"/>
      <c r="LAW229" s="1"/>
      <c r="LAX229" s="1"/>
      <c r="LAY229" s="1"/>
      <c r="LAZ229" s="1"/>
      <c r="LBA229" s="1"/>
      <c r="LBB229" s="1"/>
      <c r="LBC229" s="1"/>
      <c r="LBD229" s="1"/>
      <c r="LBE229" s="1"/>
      <c r="LBF229" s="1"/>
      <c r="LBG229" s="1"/>
      <c r="LBH229" s="1"/>
      <c r="LBI229" s="1"/>
      <c r="LBJ229" s="1"/>
      <c r="LBK229" s="1"/>
      <c r="LBL229" s="1"/>
      <c r="LBM229" s="1"/>
      <c r="LBN229" s="1"/>
      <c r="LBO229" s="1"/>
      <c r="LBP229" s="1"/>
      <c r="LBQ229" s="1"/>
      <c r="LBR229" s="1"/>
      <c r="LBS229" s="1"/>
      <c r="LBT229" s="1"/>
      <c r="LBU229" s="1"/>
      <c r="LBV229" s="1"/>
      <c r="LBW229" s="1"/>
      <c r="LBX229" s="1"/>
      <c r="LBY229" s="1"/>
      <c r="LBZ229" s="1"/>
      <c r="LCA229" s="1"/>
      <c r="LCB229" s="1"/>
      <c r="LCC229" s="1"/>
      <c r="LCD229" s="1"/>
      <c r="LCE229" s="1"/>
      <c r="LCF229" s="1"/>
      <c r="LCG229" s="1"/>
      <c r="LCH229" s="1"/>
      <c r="LCI229" s="1"/>
      <c r="LCJ229" s="1"/>
      <c r="LCK229" s="1"/>
      <c r="LCL229" s="1"/>
      <c r="LCM229" s="1"/>
      <c r="LCN229" s="1"/>
      <c r="LCO229" s="1"/>
      <c r="LCP229" s="1"/>
      <c r="LCQ229" s="1"/>
      <c r="LCR229" s="1"/>
      <c r="LCS229" s="1"/>
      <c r="LCT229" s="1"/>
      <c r="LCU229" s="1"/>
      <c r="LCV229" s="1"/>
      <c r="LCW229" s="1"/>
      <c r="LCX229" s="1"/>
      <c r="LCY229" s="1"/>
      <c r="LCZ229" s="1"/>
      <c r="LDA229" s="1"/>
      <c r="LDB229" s="1"/>
      <c r="LDC229" s="1"/>
      <c r="LDD229" s="1"/>
      <c r="LDE229" s="1"/>
      <c r="LDF229" s="1"/>
      <c r="LDG229" s="1"/>
      <c r="LDH229" s="1"/>
      <c r="LDI229" s="1"/>
      <c r="LDJ229" s="1"/>
      <c r="LDK229" s="1"/>
      <c r="LDL229" s="1"/>
      <c r="LDM229" s="1"/>
      <c r="LDN229" s="1"/>
      <c r="LDO229" s="1"/>
      <c r="LDP229" s="1"/>
      <c r="LDQ229" s="1"/>
      <c r="LDR229" s="1"/>
      <c r="LDS229" s="1"/>
      <c r="LDT229" s="1"/>
      <c r="LDU229" s="1"/>
      <c r="LDV229" s="1"/>
      <c r="LDW229" s="1"/>
      <c r="LDX229" s="1"/>
      <c r="LDY229" s="1"/>
      <c r="LDZ229" s="1"/>
      <c r="LEA229" s="1"/>
      <c r="LEB229" s="1"/>
      <c r="LEC229" s="1"/>
      <c r="LED229" s="1"/>
      <c r="LEE229" s="1"/>
      <c r="LEF229" s="1"/>
      <c r="LEG229" s="1"/>
      <c r="LEH229" s="1"/>
      <c r="LEI229" s="1"/>
      <c r="LEJ229" s="1"/>
      <c r="LEK229" s="1"/>
      <c r="LEL229" s="1"/>
      <c r="LEM229" s="1"/>
      <c r="LEN229" s="1"/>
      <c r="LEO229" s="1"/>
      <c r="LEP229" s="1"/>
      <c r="LEQ229" s="1"/>
      <c r="LER229" s="1"/>
      <c r="LES229" s="1"/>
      <c r="LET229" s="1"/>
      <c r="LEU229" s="1"/>
      <c r="LEV229" s="1"/>
      <c r="LEW229" s="1"/>
      <c r="LEX229" s="1"/>
      <c r="LEY229" s="1"/>
      <c r="LEZ229" s="1"/>
      <c r="LFA229" s="1"/>
      <c r="LFB229" s="1"/>
      <c r="LFC229" s="1"/>
      <c r="LFD229" s="1"/>
      <c r="LFE229" s="1"/>
      <c r="LFF229" s="1"/>
      <c r="LFG229" s="1"/>
      <c r="LFH229" s="1"/>
      <c r="LFI229" s="1"/>
      <c r="LFJ229" s="1"/>
      <c r="LFK229" s="1"/>
      <c r="LFL229" s="1"/>
      <c r="LFM229" s="1"/>
      <c r="LFN229" s="1"/>
      <c r="LFO229" s="1"/>
      <c r="LFP229" s="1"/>
      <c r="LFQ229" s="1"/>
      <c r="LFR229" s="1"/>
      <c r="LFS229" s="1"/>
      <c r="LFT229" s="1"/>
      <c r="LFU229" s="1"/>
      <c r="LFV229" s="1"/>
      <c r="LFW229" s="1"/>
      <c r="LFX229" s="1"/>
      <c r="LFY229" s="1"/>
      <c r="LFZ229" s="1"/>
      <c r="LGA229" s="1"/>
      <c r="LGB229" s="1"/>
      <c r="LGC229" s="1"/>
      <c r="LGD229" s="1"/>
      <c r="LGE229" s="1"/>
      <c r="LGF229" s="1"/>
      <c r="LGG229" s="1"/>
      <c r="LGH229" s="1"/>
      <c r="LGI229" s="1"/>
      <c r="LGJ229" s="1"/>
      <c r="LGK229" s="1"/>
      <c r="LGL229" s="1"/>
      <c r="LGM229" s="1"/>
      <c r="LGN229" s="1"/>
      <c r="LGO229" s="1"/>
      <c r="LGP229" s="1"/>
      <c r="LGQ229" s="1"/>
      <c r="LGR229" s="1"/>
      <c r="LGS229" s="1"/>
      <c r="LGT229" s="1"/>
      <c r="LGU229" s="1"/>
      <c r="LGV229" s="1"/>
      <c r="LGW229" s="1"/>
      <c r="LGX229" s="1"/>
      <c r="LGY229" s="1"/>
      <c r="LGZ229" s="1"/>
      <c r="LHA229" s="1"/>
      <c r="LHB229" s="1"/>
      <c r="LHC229" s="1"/>
      <c r="LHD229" s="1"/>
      <c r="LHE229" s="1"/>
      <c r="LHF229" s="1"/>
      <c r="LHG229" s="1"/>
      <c r="LHH229" s="1"/>
      <c r="LHI229" s="1"/>
      <c r="LHJ229" s="1"/>
      <c r="LHK229" s="1"/>
      <c r="LHL229" s="1"/>
      <c r="LHM229" s="1"/>
      <c r="LHN229" s="1"/>
      <c r="LHO229" s="1"/>
      <c r="LHP229" s="1"/>
      <c r="LHQ229" s="1"/>
      <c r="LHR229" s="1"/>
      <c r="LHS229" s="1"/>
      <c r="LHT229" s="1"/>
      <c r="LHU229" s="1"/>
      <c r="LHV229" s="1"/>
      <c r="LHW229" s="1"/>
      <c r="LHX229" s="1"/>
      <c r="LHY229" s="1"/>
      <c r="LHZ229" s="1"/>
      <c r="LIA229" s="1"/>
      <c r="LIB229" s="1"/>
      <c r="LIC229" s="1"/>
      <c r="LID229" s="1"/>
      <c r="LIE229" s="1"/>
      <c r="LIF229" s="1"/>
      <c r="LIG229" s="1"/>
      <c r="LIH229" s="1"/>
      <c r="LII229" s="1"/>
      <c r="LIJ229" s="1"/>
      <c r="LIK229" s="1"/>
      <c r="LIL229" s="1"/>
      <c r="LIM229" s="1"/>
      <c r="LIN229" s="1"/>
      <c r="LIO229" s="1"/>
      <c r="LIP229" s="1"/>
      <c r="LIQ229" s="1"/>
      <c r="LIR229" s="1"/>
      <c r="LIS229" s="1"/>
      <c r="LIT229" s="1"/>
      <c r="LIU229" s="1"/>
      <c r="LIV229" s="1"/>
      <c r="LIW229" s="1"/>
      <c r="LIX229" s="1"/>
      <c r="LIY229" s="1"/>
      <c r="LIZ229" s="1"/>
      <c r="LJA229" s="1"/>
      <c r="LJB229" s="1"/>
      <c r="LJC229" s="1"/>
      <c r="LJD229" s="1"/>
      <c r="LJE229" s="1"/>
      <c r="LJF229" s="1"/>
      <c r="LJG229" s="1"/>
      <c r="LJH229" s="1"/>
      <c r="LJI229" s="1"/>
      <c r="LJJ229" s="1"/>
      <c r="LJK229" s="1"/>
      <c r="LJL229" s="1"/>
      <c r="LJM229" s="1"/>
      <c r="LJN229" s="1"/>
      <c r="LJO229" s="1"/>
      <c r="LJP229" s="1"/>
      <c r="LJQ229" s="1"/>
      <c r="LJR229" s="1"/>
      <c r="LJS229" s="1"/>
      <c r="LJT229" s="1"/>
      <c r="LJU229" s="1"/>
      <c r="LJV229" s="1"/>
      <c r="LJW229" s="1"/>
      <c r="LJX229" s="1"/>
      <c r="LJY229" s="1"/>
      <c r="LJZ229" s="1"/>
      <c r="LKA229" s="1"/>
      <c r="LKB229" s="1"/>
      <c r="LKC229" s="1"/>
      <c r="LKD229" s="1"/>
      <c r="LKE229" s="1"/>
      <c r="LKF229" s="1"/>
      <c r="LKG229" s="1"/>
      <c r="LKH229" s="1"/>
      <c r="LKI229" s="1"/>
      <c r="LKJ229" s="1"/>
      <c r="LKK229" s="1"/>
      <c r="LKL229" s="1"/>
      <c r="LKM229" s="1"/>
      <c r="LKN229" s="1"/>
      <c r="LKO229" s="1"/>
      <c r="LKP229" s="1"/>
      <c r="LKQ229" s="1"/>
      <c r="LKR229" s="1"/>
      <c r="LKS229" s="1"/>
      <c r="LKT229" s="1"/>
      <c r="LKU229" s="1"/>
      <c r="LKV229" s="1"/>
      <c r="LKW229" s="1"/>
      <c r="LKX229" s="1"/>
      <c r="LKY229" s="1"/>
      <c r="LKZ229" s="1"/>
      <c r="LLA229" s="1"/>
      <c r="LLB229" s="1"/>
      <c r="LLC229" s="1"/>
      <c r="LLD229" s="1"/>
      <c r="LLE229" s="1"/>
      <c r="LLF229" s="1"/>
      <c r="LLG229" s="1"/>
      <c r="LLH229" s="1"/>
      <c r="LLI229" s="1"/>
      <c r="LLJ229" s="1"/>
      <c r="LLK229" s="1"/>
      <c r="LLL229" s="1"/>
      <c r="LLM229" s="1"/>
      <c r="LLN229" s="1"/>
      <c r="LLO229" s="1"/>
      <c r="LLP229" s="1"/>
      <c r="LLQ229" s="1"/>
      <c r="LLR229" s="1"/>
      <c r="LLS229" s="1"/>
      <c r="LLT229" s="1"/>
      <c r="LLU229" s="1"/>
      <c r="LLV229" s="1"/>
      <c r="LLW229" s="1"/>
      <c r="LLX229" s="1"/>
      <c r="LLY229" s="1"/>
      <c r="LLZ229" s="1"/>
      <c r="LMA229" s="1"/>
      <c r="LMB229" s="1"/>
      <c r="LMC229" s="1"/>
      <c r="LMD229" s="1"/>
      <c r="LME229" s="1"/>
      <c r="LMF229" s="1"/>
      <c r="LMG229" s="1"/>
      <c r="LMH229" s="1"/>
      <c r="LMI229" s="1"/>
      <c r="LMJ229" s="1"/>
      <c r="LMK229" s="1"/>
      <c r="LML229" s="1"/>
      <c r="LMM229" s="1"/>
      <c r="LMN229" s="1"/>
      <c r="LMO229" s="1"/>
      <c r="LMP229" s="1"/>
      <c r="LMQ229" s="1"/>
      <c r="LMR229" s="1"/>
      <c r="LMS229" s="1"/>
      <c r="LMT229" s="1"/>
      <c r="LMU229" s="1"/>
      <c r="LMV229" s="1"/>
      <c r="LMW229" s="1"/>
      <c r="LMX229" s="1"/>
      <c r="LMY229" s="1"/>
      <c r="LMZ229" s="1"/>
      <c r="LNA229" s="1"/>
      <c r="LNB229" s="1"/>
      <c r="LNC229" s="1"/>
      <c r="LND229" s="1"/>
      <c r="LNE229" s="1"/>
      <c r="LNF229" s="1"/>
      <c r="LNG229" s="1"/>
      <c r="LNH229" s="1"/>
      <c r="LNI229" s="1"/>
      <c r="LNJ229" s="1"/>
      <c r="LNK229" s="1"/>
      <c r="LNL229" s="1"/>
      <c r="LNM229" s="1"/>
      <c r="LNN229" s="1"/>
      <c r="LNO229" s="1"/>
      <c r="LNP229" s="1"/>
      <c r="LNQ229" s="1"/>
      <c r="LNR229" s="1"/>
      <c r="LNS229" s="1"/>
      <c r="LNT229" s="1"/>
      <c r="LNU229" s="1"/>
      <c r="LNV229" s="1"/>
      <c r="LNW229" s="1"/>
      <c r="LNX229" s="1"/>
      <c r="LNY229" s="1"/>
      <c r="LNZ229" s="1"/>
      <c r="LOA229" s="1"/>
      <c r="LOB229" s="1"/>
      <c r="LOC229" s="1"/>
      <c r="LOD229" s="1"/>
      <c r="LOE229" s="1"/>
      <c r="LOF229" s="1"/>
      <c r="LOG229" s="1"/>
      <c r="LOH229" s="1"/>
      <c r="LOI229" s="1"/>
      <c r="LOJ229" s="1"/>
      <c r="LOK229" s="1"/>
      <c r="LOL229" s="1"/>
      <c r="LOM229" s="1"/>
      <c r="LON229" s="1"/>
      <c r="LOO229" s="1"/>
      <c r="LOP229" s="1"/>
      <c r="LOQ229" s="1"/>
      <c r="LOR229" s="1"/>
      <c r="LOS229" s="1"/>
      <c r="LOT229" s="1"/>
      <c r="LOU229" s="1"/>
      <c r="LOV229" s="1"/>
      <c r="LOW229" s="1"/>
      <c r="LOX229" s="1"/>
      <c r="LOY229" s="1"/>
      <c r="LOZ229" s="1"/>
      <c r="LPA229" s="1"/>
      <c r="LPB229" s="1"/>
      <c r="LPC229" s="1"/>
      <c r="LPD229" s="1"/>
      <c r="LPE229" s="1"/>
      <c r="LPF229" s="1"/>
      <c r="LPG229" s="1"/>
      <c r="LPH229" s="1"/>
      <c r="LPI229" s="1"/>
      <c r="LPJ229" s="1"/>
      <c r="LPK229" s="1"/>
      <c r="LPL229" s="1"/>
      <c r="LPM229" s="1"/>
      <c r="LPN229" s="1"/>
      <c r="LPO229" s="1"/>
      <c r="LPP229" s="1"/>
      <c r="LPQ229" s="1"/>
      <c r="LPR229" s="1"/>
      <c r="LPS229" s="1"/>
      <c r="LPT229" s="1"/>
      <c r="LPU229" s="1"/>
      <c r="LPV229" s="1"/>
      <c r="LPW229" s="1"/>
      <c r="LPX229" s="1"/>
      <c r="LPY229" s="1"/>
      <c r="LPZ229" s="1"/>
      <c r="LQA229" s="1"/>
      <c r="LQB229" s="1"/>
      <c r="LQC229" s="1"/>
      <c r="LQD229" s="1"/>
      <c r="LQE229" s="1"/>
      <c r="LQF229" s="1"/>
      <c r="LQG229" s="1"/>
      <c r="LQH229" s="1"/>
      <c r="LQI229" s="1"/>
      <c r="LQJ229" s="1"/>
      <c r="LQK229" s="1"/>
      <c r="LQL229" s="1"/>
      <c r="LQM229" s="1"/>
      <c r="LQN229" s="1"/>
      <c r="LQO229" s="1"/>
      <c r="LQP229" s="1"/>
      <c r="LQQ229" s="1"/>
      <c r="LQR229" s="1"/>
      <c r="LQS229" s="1"/>
      <c r="LQT229" s="1"/>
      <c r="LQU229" s="1"/>
      <c r="LQV229" s="1"/>
      <c r="LQW229" s="1"/>
      <c r="LQX229" s="1"/>
      <c r="LQY229" s="1"/>
      <c r="LQZ229" s="1"/>
      <c r="LRA229" s="1"/>
      <c r="LRB229" s="1"/>
      <c r="LRC229" s="1"/>
      <c r="LRD229" s="1"/>
      <c r="LRE229" s="1"/>
      <c r="LRF229" s="1"/>
      <c r="LRG229" s="1"/>
      <c r="LRH229" s="1"/>
      <c r="LRI229" s="1"/>
      <c r="LRJ229" s="1"/>
      <c r="LRK229" s="1"/>
      <c r="LRL229" s="1"/>
      <c r="LRM229" s="1"/>
      <c r="LRN229" s="1"/>
      <c r="LRO229" s="1"/>
      <c r="LRP229" s="1"/>
      <c r="LRQ229" s="1"/>
      <c r="LRR229" s="1"/>
      <c r="LRS229" s="1"/>
      <c r="LRT229" s="1"/>
      <c r="LRU229" s="1"/>
      <c r="LRV229" s="1"/>
      <c r="LRW229" s="1"/>
      <c r="LRX229" s="1"/>
      <c r="LRY229" s="1"/>
      <c r="LRZ229" s="1"/>
      <c r="LSA229" s="1"/>
      <c r="LSB229" s="1"/>
      <c r="LSC229" s="1"/>
      <c r="LSD229" s="1"/>
      <c r="LSE229" s="1"/>
      <c r="LSF229" s="1"/>
      <c r="LSG229" s="1"/>
      <c r="LSH229" s="1"/>
      <c r="LSI229" s="1"/>
      <c r="LSJ229" s="1"/>
      <c r="LSK229" s="1"/>
      <c r="LSL229" s="1"/>
      <c r="LSM229" s="1"/>
      <c r="LSN229" s="1"/>
      <c r="LSO229" s="1"/>
      <c r="LSP229" s="1"/>
      <c r="LSQ229" s="1"/>
      <c r="LSR229" s="1"/>
      <c r="LSS229" s="1"/>
      <c r="LST229" s="1"/>
      <c r="LSU229" s="1"/>
      <c r="LSV229" s="1"/>
      <c r="LSW229" s="1"/>
      <c r="LSX229" s="1"/>
      <c r="LSY229" s="1"/>
      <c r="LSZ229" s="1"/>
      <c r="LTA229" s="1"/>
      <c r="LTB229" s="1"/>
      <c r="LTC229" s="1"/>
      <c r="LTD229" s="1"/>
      <c r="LTE229" s="1"/>
      <c r="LTF229" s="1"/>
      <c r="LTG229" s="1"/>
      <c r="LTH229" s="1"/>
      <c r="LTI229" s="1"/>
      <c r="LTJ229" s="1"/>
      <c r="LTK229" s="1"/>
      <c r="LTL229" s="1"/>
      <c r="LTM229" s="1"/>
      <c r="LTN229" s="1"/>
      <c r="LTO229" s="1"/>
      <c r="LTP229" s="1"/>
      <c r="LTQ229" s="1"/>
      <c r="LTR229" s="1"/>
      <c r="LTS229" s="1"/>
      <c r="LTT229" s="1"/>
      <c r="LTU229" s="1"/>
      <c r="LTV229" s="1"/>
      <c r="LTW229" s="1"/>
      <c r="LTX229" s="1"/>
      <c r="LTY229" s="1"/>
      <c r="LTZ229" s="1"/>
      <c r="LUA229" s="1"/>
      <c r="LUB229" s="1"/>
      <c r="LUC229" s="1"/>
      <c r="LUD229" s="1"/>
      <c r="LUE229" s="1"/>
      <c r="LUF229" s="1"/>
      <c r="LUG229" s="1"/>
      <c r="LUH229" s="1"/>
      <c r="LUI229" s="1"/>
      <c r="LUJ229" s="1"/>
      <c r="LUK229" s="1"/>
      <c r="LUL229" s="1"/>
      <c r="LUM229" s="1"/>
      <c r="LUN229" s="1"/>
      <c r="LUO229" s="1"/>
      <c r="LUP229" s="1"/>
      <c r="LUQ229" s="1"/>
      <c r="LUR229" s="1"/>
      <c r="LUS229" s="1"/>
      <c r="LUT229" s="1"/>
      <c r="LUU229" s="1"/>
      <c r="LUV229" s="1"/>
      <c r="LUW229" s="1"/>
      <c r="LUX229" s="1"/>
      <c r="LUY229" s="1"/>
      <c r="LUZ229" s="1"/>
      <c r="LVA229" s="1"/>
      <c r="LVB229" s="1"/>
      <c r="LVC229" s="1"/>
      <c r="LVD229" s="1"/>
      <c r="LVE229" s="1"/>
      <c r="LVF229" s="1"/>
      <c r="LVG229" s="1"/>
      <c r="LVH229" s="1"/>
      <c r="LVI229" s="1"/>
      <c r="LVJ229" s="1"/>
      <c r="LVK229" s="1"/>
      <c r="LVL229" s="1"/>
      <c r="LVM229" s="1"/>
      <c r="LVN229" s="1"/>
      <c r="LVO229" s="1"/>
      <c r="LVP229" s="1"/>
      <c r="LVQ229" s="1"/>
      <c r="LVR229" s="1"/>
      <c r="LVS229" s="1"/>
      <c r="LVT229" s="1"/>
      <c r="LVU229" s="1"/>
      <c r="LVV229" s="1"/>
      <c r="LVW229" s="1"/>
      <c r="LVX229" s="1"/>
      <c r="LVY229" s="1"/>
      <c r="LVZ229" s="1"/>
      <c r="LWA229" s="1"/>
      <c r="LWB229" s="1"/>
      <c r="LWC229" s="1"/>
      <c r="LWD229" s="1"/>
      <c r="LWE229" s="1"/>
      <c r="LWF229" s="1"/>
      <c r="LWG229" s="1"/>
      <c r="LWH229" s="1"/>
      <c r="LWI229" s="1"/>
      <c r="LWJ229" s="1"/>
      <c r="LWK229" s="1"/>
      <c r="LWL229" s="1"/>
      <c r="LWM229" s="1"/>
      <c r="LWN229" s="1"/>
      <c r="LWO229" s="1"/>
      <c r="LWP229" s="1"/>
      <c r="LWQ229" s="1"/>
      <c r="LWR229" s="1"/>
      <c r="LWS229" s="1"/>
      <c r="LWT229" s="1"/>
      <c r="LWU229" s="1"/>
      <c r="LWV229" s="1"/>
      <c r="LWW229" s="1"/>
      <c r="LWX229" s="1"/>
      <c r="LWY229" s="1"/>
      <c r="LWZ229" s="1"/>
      <c r="LXA229" s="1"/>
      <c r="LXB229" s="1"/>
      <c r="LXC229" s="1"/>
      <c r="LXD229" s="1"/>
      <c r="LXE229" s="1"/>
      <c r="LXF229" s="1"/>
      <c r="LXG229" s="1"/>
      <c r="LXH229" s="1"/>
      <c r="LXI229" s="1"/>
      <c r="LXJ229" s="1"/>
      <c r="LXK229" s="1"/>
      <c r="LXL229" s="1"/>
      <c r="LXM229" s="1"/>
      <c r="LXN229" s="1"/>
      <c r="LXO229" s="1"/>
      <c r="LXP229" s="1"/>
      <c r="LXQ229" s="1"/>
      <c r="LXR229" s="1"/>
      <c r="LXS229" s="1"/>
      <c r="LXT229" s="1"/>
      <c r="LXU229" s="1"/>
      <c r="LXV229" s="1"/>
      <c r="LXW229" s="1"/>
      <c r="LXX229" s="1"/>
      <c r="LXY229" s="1"/>
      <c r="LXZ229" s="1"/>
      <c r="LYA229" s="1"/>
      <c r="LYB229" s="1"/>
      <c r="LYC229" s="1"/>
      <c r="LYD229" s="1"/>
      <c r="LYE229" s="1"/>
      <c r="LYF229" s="1"/>
      <c r="LYG229" s="1"/>
      <c r="LYH229" s="1"/>
      <c r="LYI229" s="1"/>
      <c r="LYJ229" s="1"/>
      <c r="LYK229" s="1"/>
      <c r="LYL229" s="1"/>
      <c r="LYM229" s="1"/>
      <c r="LYN229" s="1"/>
      <c r="LYO229" s="1"/>
      <c r="LYP229" s="1"/>
      <c r="LYQ229" s="1"/>
      <c r="LYR229" s="1"/>
      <c r="LYS229" s="1"/>
      <c r="LYT229" s="1"/>
      <c r="LYU229" s="1"/>
      <c r="LYV229" s="1"/>
      <c r="LYW229" s="1"/>
      <c r="LYX229" s="1"/>
      <c r="LYY229" s="1"/>
      <c r="LYZ229" s="1"/>
      <c r="LZA229" s="1"/>
      <c r="LZB229" s="1"/>
      <c r="LZC229" s="1"/>
      <c r="LZD229" s="1"/>
      <c r="LZE229" s="1"/>
      <c r="LZF229" s="1"/>
      <c r="LZG229" s="1"/>
      <c r="LZH229" s="1"/>
      <c r="LZI229" s="1"/>
      <c r="LZJ229" s="1"/>
      <c r="LZK229" s="1"/>
      <c r="LZL229" s="1"/>
      <c r="LZM229" s="1"/>
      <c r="LZN229" s="1"/>
      <c r="LZO229" s="1"/>
      <c r="LZP229" s="1"/>
      <c r="LZQ229" s="1"/>
      <c r="LZR229" s="1"/>
      <c r="LZS229" s="1"/>
      <c r="LZT229" s="1"/>
      <c r="LZU229" s="1"/>
      <c r="LZV229" s="1"/>
      <c r="LZW229" s="1"/>
      <c r="LZX229" s="1"/>
      <c r="LZY229" s="1"/>
      <c r="LZZ229" s="1"/>
      <c r="MAA229" s="1"/>
      <c r="MAB229" s="1"/>
      <c r="MAC229" s="1"/>
      <c r="MAD229" s="1"/>
      <c r="MAE229" s="1"/>
      <c r="MAF229" s="1"/>
      <c r="MAG229" s="1"/>
      <c r="MAH229" s="1"/>
      <c r="MAI229" s="1"/>
      <c r="MAJ229" s="1"/>
      <c r="MAK229" s="1"/>
      <c r="MAL229" s="1"/>
      <c r="MAM229" s="1"/>
      <c r="MAN229" s="1"/>
      <c r="MAO229" s="1"/>
      <c r="MAP229" s="1"/>
      <c r="MAQ229" s="1"/>
      <c r="MAR229" s="1"/>
      <c r="MAS229" s="1"/>
      <c r="MAT229" s="1"/>
      <c r="MAU229" s="1"/>
      <c r="MAV229" s="1"/>
      <c r="MAW229" s="1"/>
      <c r="MAX229" s="1"/>
      <c r="MAY229" s="1"/>
      <c r="MAZ229" s="1"/>
      <c r="MBA229" s="1"/>
      <c r="MBB229" s="1"/>
      <c r="MBC229" s="1"/>
      <c r="MBD229" s="1"/>
      <c r="MBE229" s="1"/>
      <c r="MBF229" s="1"/>
      <c r="MBG229" s="1"/>
      <c r="MBH229" s="1"/>
      <c r="MBI229" s="1"/>
      <c r="MBJ229" s="1"/>
      <c r="MBK229" s="1"/>
      <c r="MBL229" s="1"/>
      <c r="MBM229" s="1"/>
      <c r="MBN229" s="1"/>
      <c r="MBO229" s="1"/>
      <c r="MBP229" s="1"/>
      <c r="MBQ229" s="1"/>
      <c r="MBR229" s="1"/>
      <c r="MBS229" s="1"/>
      <c r="MBT229" s="1"/>
      <c r="MBU229" s="1"/>
      <c r="MBV229" s="1"/>
      <c r="MBW229" s="1"/>
      <c r="MBX229" s="1"/>
      <c r="MBY229" s="1"/>
      <c r="MBZ229" s="1"/>
      <c r="MCA229" s="1"/>
      <c r="MCB229" s="1"/>
      <c r="MCC229" s="1"/>
      <c r="MCD229" s="1"/>
      <c r="MCE229" s="1"/>
      <c r="MCF229" s="1"/>
      <c r="MCG229" s="1"/>
      <c r="MCH229" s="1"/>
      <c r="MCI229" s="1"/>
      <c r="MCJ229" s="1"/>
      <c r="MCK229" s="1"/>
      <c r="MCL229" s="1"/>
      <c r="MCM229" s="1"/>
      <c r="MCN229" s="1"/>
      <c r="MCO229" s="1"/>
      <c r="MCP229" s="1"/>
      <c r="MCQ229" s="1"/>
      <c r="MCR229" s="1"/>
      <c r="MCS229" s="1"/>
      <c r="MCT229" s="1"/>
      <c r="MCU229" s="1"/>
      <c r="MCV229" s="1"/>
      <c r="MCW229" s="1"/>
      <c r="MCX229" s="1"/>
      <c r="MCY229" s="1"/>
      <c r="MCZ229" s="1"/>
      <c r="MDA229" s="1"/>
      <c r="MDB229" s="1"/>
      <c r="MDC229" s="1"/>
      <c r="MDD229" s="1"/>
      <c r="MDE229" s="1"/>
      <c r="MDF229" s="1"/>
      <c r="MDG229" s="1"/>
      <c r="MDH229" s="1"/>
      <c r="MDI229" s="1"/>
      <c r="MDJ229" s="1"/>
      <c r="MDK229" s="1"/>
      <c r="MDL229" s="1"/>
      <c r="MDM229" s="1"/>
      <c r="MDN229" s="1"/>
      <c r="MDO229" s="1"/>
      <c r="MDP229" s="1"/>
      <c r="MDQ229" s="1"/>
      <c r="MDR229" s="1"/>
      <c r="MDS229" s="1"/>
      <c r="MDT229" s="1"/>
      <c r="MDU229" s="1"/>
      <c r="MDV229" s="1"/>
      <c r="MDW229" s="1"/>
      <c r="MDX229" s="1"/>
      <c r="MDY229" s="1"/>
      <c r="MDZ229" s="1"/>
      <c r="MEA229" s="1"/>
      <c r="MEB229" s="1"/>
      <c r="MEC229" s="1"/>
      <c r="MED229" s="1"/>
      <c r="MEE229" s="1"/>
      <c r="MEF229" s="1"/>
      <c r="MEG229" s="1"/>
      <c r="MEH229" s="1"/>
      <c r="MEI229" s="1"/>
      <c r="MEJ229" s="1"/>
      <c r="MEK229" s="1"/>
      <c r="MEL229" s="1"/>
      <c r="MEM229" s="1"/>
      <c r="MEN229" s="1"/>
      <c r="MEO229" s="1"/>
      <c r="MEP229" s="1"/>
      <c r="MEQ229" s="1"/>
      <c r="MER229" s="1"/>
      <c r="MES229" s="1"/>
      <c r="MET229" s="1"/>
      <c r="MEU229" s="1"/>
      <c r="MEV229" s="1"/>
      <c r="MEW229" s="1"/>
      <c r="MEX229" s="1"/>
      <c r="MEY229" s="1"/>
      <c r="MEZ229" s="1"/>
      <c r="MFA229" s="1"/>
      <c r="MFB229" s="1"/>
      <c r="MFC229" s="1"/>
      <c r="MFD229" s="1"/>
      <c r="MFE229" s="1"/>
      <c r="MFF229" s="1"/>
      <c r="MFG229" s="1"/>
      <c r="MFH229" s="1"/>
      <c r="MFI229" s="1"/>
      <c r="MFJ229" s="1"/>
      <c r="MFK229" s="1"/>
      <c r="MFL229" s="1"/>
      <c r="MFM229" s="1"/>
      <c r="MFN229" s="1"/>
      <c r="MFO229" s="1"/>
      <c r="MFP229" s="1"/>
      <c r="MFQ229" s="1"/>
      <c r="MFR229" s="1"/>
      <c r="MFS229" s="1"/>
      <c r="MFT229" s="1"/>
      <c r="MFU229" s="1"/>
      <c r="MFV229" s="1"/>
      <c r="MFW229" s="1"/>
      <c r="MFX229" s="1"/>
      <c r="MFY229" s="1"/>
      <c r="MFZ229" s="1"/>
      <c r="MGA229" s="1"/>
      <c r="MGB229" s="1"/>
      <c r="MGC229" s="1"/>
      <c r="MGD229" s="1"/>
      <c r="MGE229" s="1"/>
      <c r="MGF229" s="1"/>
      <c r="MGG229" s="1"/>
      <c r="MGH229" s="1"/>
      <c r="MGI229" s="1"/>
      <c r="MGJ229" s="1"/>
      <c r="MGK229" s="1"/>
      <c r="MGL229" s="1"/>
      <c r="MGM229" s="1"/>
      <c r="MGN229" s="1"/>
      <c r="MGO229" s="1"/>
      <c r="MGP229" s="1"/>
      <c r="MGQ229" s="1"/>
      <c r="MGR229" s="1"/>
      <c r="MGS229" s="1"/>
      <c r="MGT229" s="1"/>
      <c r="MGU229" s="1"/>
      <c r="MGV229" s="1"/>
      <c r="MGW229" s="1"/>
      <c r="MGX229" s="1"/>
      <c r="MGY229" s="1"/>
      <c r="MGZ229" s="1"/>
      <c r="MHA229" s="1"/>
      <c r="MHB229" s="1"/>
      <c r="MHC229" s="1"/>
      <c r="MHD229" s="1"/>
      <c r="MHE229" s="1"/>
      <c r="MHF229" s="1"/>
      <c r="MHG229" s="1"/>
      <c r="MHH229" s="1"/>
      <c r="MHI229" s="1"/>
      <c r="MHJ229" s="1"/>
      <c r="MHK229" s="1"/>
      <c r="MHL229" s="1"/>
      <c r="MHM229" s="1"/>
      <c r="MHN229" s="1"/>
      <c r="MHO229" s="1"/>
      <c r="MHP229" s="1"/>
      <c r="MHQ229" s="1"/>
      <c r="MHR229" s="1"/>
      <c r="MHS229" s="1"/>
      <c r="MHT229" s="1"/>
      <c r="MHU229" s="1"/>
      <c r="MHV229" s="1"/>
      <c r="MHW229" s="1"/>
      <c r="MHX229" s="1"/>
      <c r="MHY229" s="1"/>
      <c r="MHZ229" s="1"/>
      <c r="MIA229" s="1"/>
      <c r="MIB229" s="1"/>
      <c r="MIC229" s="1"/>
      <c r="MID229" s="1"/>
      <c r="MIE229" s="1"/>
      <c r="MIF229" s="1"/>
      <c r="MIG229" s="1"/>
      <c r="MIH229" s="1"/>
      <c r="MII229" s="1"/>
      <c r="MIJ229" s="1"/>
      <c r="MIK229" s="1"/>
      <c r="MIL229" s="1"/>
      <c r="MIM229" s="1"/>
      <c r="MIN229" s="1"/>
      <c r="MIO229" s="1"/>
      <c r="MIP229" s="1"/>
      <c r="MIQ229" s="1"/>
      <c r="MIR229" s="1"/>
      <c r="MIS229" s="1"/>
      <c r="MIT229" s="1"/>
      <c r="MIU229" s="1"/>
      <c r="MIV229" s="1"/>
      <c r="MIW229" s="1"/>
      <c r="MIX229" s="1"/>
      <c r="MIY229" s="1"/>
      <c r="MIZ229" s="1"/>
      <c r="MJA229" s="1"/>
      <c r="MJB229" s="1"/>
      <c r="MJC229" s="1"/>
      <c r="MJD229" s="1"/>
      <c r="MJE229" s="1"/>
      <c r="MJF229" s="1"/>
      <c r="MJG229" s="1"/>
      <c r="MJH229" s="1"/>
      <c r="MJI229" s="1"/>
      <c r="MJJ229" s="1"/>
      <c r="MJK229" s="1"/>
      <c r="MJL229" s="1"/>
      <c r="MJM229" s="1"/>
      <c r="MJN229" s="1"/>
      <c r="MJO229" s="1"/>
      <c r="MJP229" s="1"/>
      <c r="MJQ229" s="1"/>
      <c r="MJR229" s="1"/>
      <c r="MJS229" s="1"/>
      <c r="MJT229" s="1"/>
      <c r="MJU229" s="1"/>
      <c r="MJV229" s="1"/>
      <c r="MJW229" s="1"/>
      <c r="MJX229" s="1"/>
      <c r="MJY229" s="1"/>
      <c r="MJZ229" s="1"/>
      <c r="MKA229" s="1"/>
      <c r="MKB229" s="1"/>
      <c r="MKC229" s="1"/>
      <c r="MKD229" s="1"/>
      <c r="MKE229" s="1"/>
      <c r="MKF229" s="1"/>
      <c r="MKG229" s="1"/>
      <c r="MKH229" s="1"/>
      <c r="MKI229" s="1"/>
      <c r="MKJ229" s="1"/>
      <c r="MKK229" s="1"/>
      <c r="MKL229" s="1"/>
      <c r="MKM229" s="1"/>
      <c r="MKN229" s="1"/>
      <c r="MKO229" s="1"/>
      <c r="MKP229" s="1"/>
      <c r="MKQ229" s="1"/>
      <c r="MKR229" s="1"/>
      <c r="MKS229" s="1"/>
      <c r="MKT229" s="1"/>
      <c r="MKU229" s="1"/>
      <c r="MKV229" s="1"/>
      <c r="MKW229" s="1"/>
      <c r="MKX229" s="1"/>
      <c r="MKY229" s="1"/>
      <c r="MKZ229" s="1"/>
      <c r="MLA229" s="1"/>
      <c r="MLB229" s="1"/>
      <c r="MLC229" s="1"/>
      <c r="MLD229" s="1"/>
      <c r="MLE229" s="1"/>
      <c r="MLF229" s="1"/>
      <c r="MLG229" s="1"/>
      <c r="MLH229" s="1"/>
      <c r="MLI229" s="1"/>
      <c r="MLJ229" s="1"/>
      <c r="MLK229" s="1"/>
      <c r="MLL229" s="1"/>
      <c r="MLM229" s="1"/>
      <c r="MLN229" s="1"/>
      <c r="MLO229" s="1"/>
      <c r="MLP229" s="1"/>
      <c r="MLQ229" s="1"/>
      <c r="MLR229" s="1"/>
      <c r="MLS229" s="1"/>
      <c r="MLT229" s="1"/>
      <c r="MLU229" s="1"/>
      <c r="MLV229" s="1"/>
      <c r="MLW229" s="1"/>
      <c r="MLX229" s="1"/>
      <c r="MLY229" s="1"/>
      <c r="MLZ229" s="1"/>
      <c r="MMA229" s="1"/>
      <c r="MMB229" s="1"/>
      <c r="MMC229" s="1"/>
      <c r="MMD229" s="1"/>
      <c r="MME229" s="1"/>
      <c r="MMF229" s="1"/>
      <c r="MMG229" s="1"/>
      <c r="MMH229" s="1"/>
      <c r="MMI229" s="1"/>
      <c r="MMJ229" s="1"/>
      <c r="MMK229" s="1"/>
      <c r="MML229" s="1"/>
      <c r="MMM229" s="1"/>
      <c r="MMN229" s="1"/>
      <c r="MMO229" s="1"/>
      <c r="MMP229" s="1"/>
      <c r="MMQ229" s="1"/>
      <c r="MMR229" s="1"/>
      <c r="MMS229" s="1"/>
      <c r="MMT229" s="1"/>
      <c r="MMU229" s="1"/>
      <c r="MMV229" s="1"/>
      <c r="MMW229" s="1"/>
      <c r="MMX229" s="1"/>
      <c r="MMY229" s="1"/>
      <c r="MMZ229" s="1"/>
      <c r="MNA229" s="1"/>
      <c r="MNB229" s="1"/>
      <c r="MNC229" s="1"/>
      <c r="MND229" s="1"/>
      <c r="MNE229" s="1"/>
      <c r="MNF229" s="1"/>
      <c r="MNG229" s="1"/>
      <c r="MNH229" s="1"/>
      <c r="MNI229" s="1"/>
      <c r="MNJ229" s="1"/>
      <c r="MNK229" s="1"/>
      <c r="MNL229" s="1"/>
      <c r="MNM229" s="1"/>
      <c r="MNN229" s="1"/>
      <c r="MNO229" s="1"/>
      <c r="MNP229" s="1"/>
      <c r="MNQ229" s="1"/>
      <c r="MNR229" s="1"/>
      <c r="MNS229" s="1"/>
      <c r="MNT229" s="1"/>
      <c r="MNU229" s="1"/>
      <c r="MNV229" s="1"/>
      <c r="MNW229" s="1"/>
      <c r="MNX229" s="1"/>
      <c r="MNY229" s="1"/>
      <c r="MNZ229" s="1"/>
      <c r="MOA229" s="1"/>
      <c r="MOB229" s="1"/>
      <c r="MOC229" s="1"/>
      <c r="MOD229" s="1"/>
      <c r="MOE229" s="1"/>
      <c r="MOF229" s="1"/>
      <c r="MOG229" s="1"/>
      <c r="MOH229" s="1"/>
      <c r="MOI229" s="1"/>
      <c r="MOJ229" s="1"/>
      <c r="MOK229" s="1"/>
      <c r="MOL229" s="1"/>
      <c r="MOM229" s="1"/>
      <c r="MON229" s="1"/>
      <c r="MOO229" s="1"/>
      <c r="MOP229" s="1"/>
      <c r="MOQ229" s="1"/>
      <c r="MOR229" s="1"/>
      <c r="MOS229" s="1"/>
      <c r="MOT229" s="1"/>
      <c r="MOU229" s="1"/>
      <c r="MOV229" s="1"/>
      <c r="MOW229" s="1"/>
      <c r="MOX229" s="1"/>
      <c r="MOY229" s="1"/>
      <c r="MOZ229" s="1"/>
      <c r="MPA229" s="1"/>
      <c r="MPB229" s="1"/>
      <c r="MPC229" s="1"/>
      <c r="MPD229" s="1"/>
      <c r="MPE229" s="1"/>
      <c r="MPF229" s="1"/>
      <c r="MPG229" s="1"/>
      <c r="MPH229" s="1"/>
      <c r="MPI229" s="1"/>
      <c r="MPJ229" s="1"/>
      <c r="MPK229" s="1"/>
      <c r="MPL229" s="1"/>
      <c r="MPM229" s="1"/>
      <c r="MPN229" s="1"/>
      <c r="MPO229" s="1"/>
      <c r="MPP229" s="1"/>
      <c r="MPQ229" s="1"/>
      <c r="MPR229" s="1"/>
      <c r="MPS229" s="1"/>
      <c r="MPT229" s="1"/>
      <c r="MPU229" s="1"/>
      <c r="MPV229" s="1"/>
      <c r="MPW229" s="1"/>
      <c r="MPX229" s="1"/>
      <c r="MPY229" s="1"/>
      <c r="MPZ229" s="1"/>
      <c r="MQA229" s="1"/>
      <c r="MQB229" s="1"/>
      <c r="MQC229" s="1"/>
      <c r="MQD229" s="1"/>
      <c r="MQE229" s="1"/>
      <c r="MQF229" s="1"/>
      <c r="MQG229" s="1"/>
      <c r="MQH229" s="1"/>
      <c r="MQI229" s="1"/>
      <c r="MQJ229" s="1"/>
      <c r="MQK229" s="1"/>
      <c r="MQL229" s="1"/>
      <c r="MQM229" s="1"/>
      <c r="MQN229" s="1"/>
      <c r="MQO229" s="1"/>
      <c r="MQP229" s="1"/>
      <c r="MQQ229" s="1"/>
      <c r="MQR229" s="1"/>
      <c r="MQS229" s="1"/>
      <c r="MQT229" s="1"/>
      <c r="MQU229" s="1"/>
      <c r="MQV229" s="1"/>
      <c r="MQW229" s="1"/>
      <c r="MQX229" s="1"/>
      <c r="MQY229" s="1"/>
      <c r="MQZ229" s="1"/>
      <c r="MRA229" s="1"/>
      <c r="MRB229" s="1"/>
      <c r="MRC229" s="1"/>
      <c r="MRD229" s="1"/>
      <c r="MRE229" s="1"/>
      <c r="MRF229" s="1"/>
      <c r="MRG229" s="1"/>
      <c r="MRH229" s="1"/>
      <c r="MRI229" s="1"/>
      <c r="MRJ229" s="1"/>
      <c r="MRK229" s="1"/>
      <c r="MRL229" s="1"/>
      <c r="MRM229" s="1"/>
      <c r="MRN229" s="1"/>
      <c r="MRO229" s="1"/>
      <c r="MRP229" s="1"/>
      <c r="MRQ229" s="1"/>
      <c r="MRR229" s="1"/>
      <c r="MRS229" s="1"/>
      <c r="MRT229" s="1"/>
      <c r="MRU229" s="1"/>
      <c r="MRV229" s="1"/>
      <c r="MRW229" s="1"/>
      <c r="MRX229" s="1"/>
      <c r="MRY229" s="1"/>
      <c r="MRZ229" s="1"/>
      <c r="MSA229" s="1"/>
      <c r="MSB229" s="1"/>
      <c r="MSC229" s="1"/>
      <c r="MSD229" s="1"/>
      <c r="MSE229" s="1"/>
      <c r="MSF229" s="1"/>
      <c r="MSG229" s="1"/>
      <c r="MSH229" s="1"/>
      <c r="MSI229" s="1"/>
      <c r="MSJ229" s="1"/>
      <c r="MSK229" s="1"/>
      <c r="MSL229" s="1"/>
      <c r="MSM229" s="1"/>
      <c r="MSN229" s="1"/>
      <c r="MSO229" s="1"/>
      <c r="MSP229" s="1"/>
      <c r="MSQ229" s="1"/>
      <c r="MSR229" s="1"/>
      <c r="MSS229" s="1"/>
      <c r="MST229" s="1"/>
      <c r="MSU229" s="1"/>
      <c r="MSV229" s="1"/>
      <c r="MSW229" s="1"/>
      <c r="MSX229" s="1"/>
      <c r="MSY229" s="1"/>
      <c r="MSZ229" s="1"/>
      <c r="MTA229" s="1"/>
      <c r="MTB229" s="1"/>
      <c r="MTC229" s="1"/>
      <c r="MTD229" s="1"/>
      <c r="MTE229" s="1"/>
      <c r="MTF229" s="1"/>
      <c r="MTG229" s="1"/>
      <c r="MTH229" s="1"/>
      <c r="MTI229" s="1"/>
      <c r="MTJ229" s="1"/>
      <c r="MTK229" s="1"/>
      <c r="MTL229" s="1"/>
      <c r="MTM229" s="1"/>
      <c r="MTN229" s="1"/>
      <c r="MTO229" s="1"/>
      <c r="MTP229" s="1"/>
      <c r="MTQ229" s="1"/>
      <c r="MTR229" s="1"/>
      <c r="MTS229" s="1"/>
      <c r="MTT229" s="1"/>
      <c r="MTU229" s="1"/>
      <c r="MTV229" s="1"/>
      <c r="MTW229" s="1"/>
      <c r="MTX229" s="1"/>
      <c r="MTY229" s="1"/>
      <c r="MTZ229" s="1"/>
      <c r="MUA229" s="1"/>
      <c r="MUB229" s="1"/>
      <c r="MUC229" s="1"/>
      <c r="MUD229" s="1"/>
      <c r="MUE229" s="1"/>
      <c r="MUF229" s="1"/>
      <c r="MUG229" s="1"/>
      <c r="MUH229" s="1"/>
      <c r="MUI229" s="1"/>
      <c r="MUJ229" s="1"/>
      <c r="MUK229" s="1"/>
      <c r="MUL229" s="1"/>
      <c r="MUM229" s="1"/>
      <c r="MUN229" s="1"/>
      <c r="MUO229" s="1"/>
      <c r="MUP229" s="1"/>
      <c r="MUQ229" s="1"/>
      <c r="MUR229" s="1"/>
      <c r="MUS229" s="1"/>
      <c r="MUT229" s="1"/>
      <c r="MUU229" s="1"/>
      <c r="MUV229" s="1"/>
      <c r="MUW229" s="1"/>
      <c r="MUX229" s="1"/>
      <c r="MUY229" s="1"/>
      <c r="MUZ229" s="1"/>
      <c r="MVA229" s="1"/>
      <c r="MVB229" s="1"/>
      <c r="MVC229" s="1"/>
      <c r="MVD229" s="1"/>
      <c r="MVE229" s="1"/>
      <c r="MVF229" s="1"/>
      <c r="MVG229" s="1"/>
      <c r="MVH229" s="1"/>
      <c r="MVI229" s="1"/>
      <c r="MVJ229" s="1"/>
      <c r="MVK229" s="1"/>
      <c r="MVL229" s="1"/>
      <c r="MVM229" s="1"/>
      <c r="MVN229" s="1"/>
      <c r="MVO229" s="1"/>
      <c r="MVP229" s="1"/>
      <c r="MVQ229" s="1"/>
      <c r="MVR229" s="1"/>
      <c r="MVS229" s="1"/>
      <c r="MVT229" s="1"/>
      <c r="MVU229" s="1"/>
      <c r="MVV229" s="1"/>
      <c r="MVW229" s="1"/>
      <c r="MVX229" s="1"/>
      <c r="MVY229" s="1"/>
      <c r="MVZ229" s="1"/>
      <c r="MWA229" s="1"/>
      <c r="MWB229" s="1"/>
      <c r="MWC229" s="1"/>
      <c r="MWD229" s="1"/>
      <c r="MWE229" s="1"/>
      <c r="MWF229" s="1"/>
      <c r="MWG229" s="1"/>
      <c r="MWH229" s="1"/>
      <c r="MWI229" s="1"/>
      <c r="MWJ229" s="1"/>
      <c r="MWK229" s="1"/>
      <c r="MWL229" s="1"/>
      <c r="MWM229" s="1"/>
      <c r="MWN229" s="1"/>
      <c r="MWO229" s="1"/>
      <c r="MWP229" s="1"/>
      <c r="MWQ229" s="1"/>
      <c r="MWR229" s="1"/>
      <c r="MWS229" s="1"/>
      <c r="MWT229" s="1"/>
      <c r="MWU229" s="1"/>
      <c r="MWV229" s="1"/>
      <c r="MWW229" s="1"/>
      <c r="MWX229" s="1"/>
      <c r="MWY229" s="1"/>
      <c r="MWZ229" s="1"/>
      <c r="MXA229" s="1"/>
      <c r="MXB229" s="1"/>
      <c r="MXC229" s="1"/>
      <c r="MXD229" s="1"/>
      <c r="MXE229" s="1"/>
      <c r="MXF229" s="1"/>
      <c r="MXG229" s="1"/>
      <c r="MXH229" s="1"/>
      <c r="MXI229" s="1"/>
      <c r="MXJ229" s="1"/>
      <c r="MXK229" s="1"/>
      <c r="MXL229" s="1"/>
      <c r="MXM229" s="1"/>
      <c r="MXN229" s="1"/>
      <c r="MXO229" s="1"/>
      <c r="MXP229" s="1"/>
      <c r="MXQ229" s="1"/>
      <c r="MXR229" s="1"/>
      <c r="MXS229" s="1"/>
      <c r="MXT229" s="1"/>
      <c r="MXU229" s="1"/>
      <c r="MXV229" s="1"/>
      <c r="MXW229" s="1"/>
      <c r="MXX229" s="1"/>
      <c r="MXY229" s="1"/>
      <c r="MXZ229" s="1"/>
      <c r="MYA229" s="1"/>
      <c r="MYB229" s="1"/>
      <c r="MYC229" s="1"/>
      <c r="MYD229" s="1"/>
      <c r="MYE229" s="1"/>
      <c r="MYF229" s="1"/>
      <c r="MYG229" s="1"/>
      <c r="MYH229" s="1"/>
      <c r="MYI229" s="1"/>
      <c r="MYJ229" s="1"/>
      <c r="MYK229" s="1"/>
      <c r="MYL229" s="1"/>
      <c r="MYM229" s="1"/>
      <c r="MYN229" s="1"/>
      <c r="MYO229" s="1"/>
      <c r="MYP229" s="1"/>
      <c r="MYQ229" s="1"/>
      <c r="MYR229" s="1"/>
      <c r="MYS229" s="1"/>
      <c r="MYT229" s="1"/>
      <c r="MYU229" s="1"/>
      <c r="MYV229" s="1"/>
      <c r="MYW229" s="1"/>
      <c r="MYX229" s="1"/>
      <c r="MYY229" s="1"/>
      <c r="MYZ229" s="1"/>
      <c r="MZA229" s="1"/>
      <c r="MZB229" s="1"/>
      <c r="MZC229" s="1"/>
      <c r="MZD229" s="1"/>
      <c r="MZE229" s="1"/>
      <c r="MZF229" s="1"/>
      <c r="MZG229" s="1"/>
      <c r="MZH229" s="1"/>
      <c r="MZI229" s="1"/>
      <c r="MZJ229" s="1"/>
      <c r="MZK229" s="1"/>
      <c r="MZL229" s="1"/>
      <c r="MZM229" s="1"/>
      <c r="MZN229" s="1"/>
      <c r="MZO229" s="1"/>
      <c r="MZP229" s="1"/>
      <c r="MZQ229" s="1"/>
      <c r="MZR229" s="1"/>
      <c r="MZS229" s="1"/>
      <c r="MZT229" s="1"/>
      <c r="MZU229" s="1"/>
      <c r="MZV229" s="1"/>
      <c r="MZW229" s="1"/>
      <c r="MZX229" s="1"/>
      <c r="MZY229" s="1"/>
      <c r="MZZ229" s="1"/>
      <c r="NAA229" s="1"/>
      <c r="NAB229" s="1"/>
      <c r="NAC229" s="1"/>
      <c r="NAD229" s="1"/>
      <c r="NAE229" s="1"/>
      <c r="NAF229" s="1"/>
      <c r="NAG229" s="1"/>
      <c r="NAH229" s="1"/>
      <c r="NAI229" s="1"/>
      <c r="NAJ229" s="1"/>
      <c r="NAK229" s="1"/>
      <c r="NAL229" s="1"/>
      <c r="NAM229" s="1"/>
      <c r="NAN229" s="1"/>
      <c r="NAO229" s="1"/>
      <c r="NAP229" s="1"/>
      <c r="NAQ229" s="1"/>
      <c r="NAR229" s="1"/>
      <c r="NAS229" s="1"/>
      <c r="NAT229" s="1"/>
      <c r="NAU229" s="1"/>
      <c r="NAV229" s="1"/>
      <c r="NAW229" s="1"/>
      <c r="NAX229" s="1"/>
      <c r="NAY229" s="1"/>
      <c r="NAZ229" s="1"/>
      <c r="NBA229" s="1"/>
      <c r="NBB229" s="1"/>
      <c r="NBC229" s="1"/>
      <c r="NBD229" s="1"/>
      <c r="NBE229" s="1"/>
      <c r="NBF229" s="1"/>
      <c r="NBG229" s="1"/>
      <c r="NBH229" s="1"/>
      <c r="NBI229" s="1"/>
      <c r="NBJ229" s="1"/>
      <c r="NBK229" s="1"/>
      <c r="NBL229" s="1"/>
      <c r="NBM229" s="1"/>
      <c r="NBN229" s="1"/>
      <c r="NBO229" s="1"/>
      <c r="NBP229" s="1"/>
      <c r="NBQ229" s="1"/>
      <c r="NBR229" s="1"/>
      <c r="NBS229" s="1"/>
      <c r="NBT229" s="1"/>
      <c r="NBU229" s="1"/>
      <c r="NBV229" s="1"/>
      <c r="NBW229" s="1"/>
      <c r="NBX229" s="1"/>
      <c r="NBY229" s="1"/>
      <c r="NBZ229" s="1"/>
      <c r="NCA229" s="1"/>
      <c r="NCB229" s="1"/>
      <c r="NCC229" s="1"/>
      <c r="NCD229" s="1"/>
      <c r="NCE229" s="1"/>
      <c r="NCF229" s="1"/>
      <c r="NCG229" s="1"/>
      <c r="NCH229" s="1"/>
      <c r="NCI229" s="1"/>
      <c r="NCJ229" s="1"/>
      <c r="NCK229" s="1"/>
      <c r="NCL229" s="1"/>
      <c r="NCM229" s="1"/>
      <c r="NCN229" s="1"/>
      <c r="NCO229" s="1"/>
      <c r="NCP229" s="1"/>
      <c r="NCQ229" s="1"/>
      <c r="NCR229" s="1"/>
      <c r="NCS229" s="1"/>
      <c r="NCT229" s="1"/>
      <c r="NCU229" s="1"/>
      <c r="NCV229" s="1"/>
      <c r="NCW229" s="1"/>
      <c r="NCX229" s="1"/>
      <c r="NCY229" s="1"/>
      <c r="NCZ229" s="1"/>
      <c r="NDA229" s="1"/>
      <c r="NDB229" s="1"/>
      <c r="NDC229" s="1"/>
      <c r="NDD229" s="1"/>
      <c r="NDE229" s="1"/>
      <c r="NDF229" s="1"/>
      <c r="NDG229" s="1"/>
      <c r="NDH229" s="1"/>
      <c r="NDI229" s="1"/>
      <c r="NDJ229" s="1"/>
      <c r="NDK229" s="1"/>
      <c r="NDL229" s="1"/>
      <c r="NDM229" s="1"/>
      <c r="NDN229" s="1"/>
      <c r="NDO229" s="1"/>
      <c r="NDP229" s="1"/>
      <c r="NDQ229" s="1"/>
      <c r="NDR229" s="1"/>
      <c r="NDS229" s="1"/>
      <c r="NDT229" s="1"/>
      <c r="NDU229" s="1"/>
      <c r="NDV229" s="1"/>
      <c r="NDW229" s="1"/>
      <c r="NDX229" s="1"/>
      <c r="NDY229" s="1"/>
      <c r="NDZ229" s="1"/>
      <c r="NEA229" s="1"/>
      <c r="NEB229" s="1"/>
      <c r="NEC229" s="1"/>
      <c r="NED229" s="1"/>
      <c r="NEE229" s="1"/>
      <c r="NEF229" s="1"/>
      <c r="NEG229" s="1"/>
      <c r="NEH229" s="1"/>
      <c r="NEI229" s="1"/>
      <c r="NEJ229" s="1"/>
      <c r="NEK229" s="1"/>
      <c r="NEL229" s="1"/>
      <c r="NEM229" s="1"/>
      <c r="NEN229" s="1"/>
      <c r="NEO229" s="1"/>
      <c r="NEP229" s="1"/>
      <c r="NEQ229" s="1"/>
      <c r="NER229" s="1"/>
      <c r="NES229" s="1"/>
      <c r="NET229" s="1"/>
      <c r="NEU229" s="1"/>
      <c r="NEV229" s="1"/>
      <c r="NEW229" s="1"/>
      <c r="NEX229" s="1"/>
      <c r="NEY229" s="1"/>
      <c r="NEZ229" s="1"/>
      <c r="NFA229" s="1"/>
      <c r="NFB229" s="1"/>
      <c r="NFC229" s="1"/>
      <c r="NFD229" s="1"/>
      <c r="NFE229" s="1"/>
      <c r="NFF229" s="1"/>
      <c r="NFG229" s="1"/>
      <c r="NFH229" s="1"/>
      <c r="NFI229" s="1"/>
      <c r="NFJ229" s="1"/>
      <c r="NFK229" s="1"/>
      <c r="NFL229" s="1"/>
      <c r="NFM229" s="1"/>
      <c r="NFN229" s="1"/>
      <c r="NFO229" s="1"/>
      <c r="NFP229" s="1"/>
      <c r="NFQ229" s="1"/>
      <c r="NFR229" s="1"/>
      <c r="NFS229" s="1"/>
      <c r="NFT229" s="1"/>
      <c r="NFU229" s="1"/>
      <c r="NFV229" s="1"/>
      <c r="NFW229" s="1"/>
      <c r="NFX229" s="1"/>
      <c r="NFY229" s="1"/>
      <c r="NFZ229" s="1"/>
      <c r="NGA229" s="1"/>
      <c r="NGB229" s="1"/>
      <c r="NGC229" s="1"/>
      <c r="NGD229" s="1"/>
      <c r="NGE229" s="1"/>
      <c r="NGF229" s="1"/>
      <c r="NGG229" s="1"/>
      <c r="NGH229" s="1"/>
      <c r="NGI229" s="1"/>
      <c r="NGJ229" s="1"/>
      <c r="NGK229" s="1"/>
      <c r="NGL229" s="1"/>
      <c r="NGM229" s="1"/>
      <c r="NGN229" s="1"/>
      <c r="NGO229" s="1"/>
      <c r="NGP229" s="1"/>
      <c r="NGQ229" s="1"/>
      <c r="NGR229" s="1"/>
      <c r="NGS229" s="1"/>
      <c r="NGT229" s="1"/>
      <c r="NGU229" s="1"/>
      <c r="NGV229" s="1"/>
      <c r="NGW229" s="1"/>
      <c r="NGX229" s="1"/>
      <c r="NGY229" s="1"/>
      <c r="NGZ229" s="1"/>
      <c r="NHA229" s="1"/>
      <c r="NHB229" s="1"/>
      <c r="NHC229" s="1"/>
      <c r="NHD229" s="1"/>
      <c r="NHE229" s="1"/>
      <c r="NHF229" s="1"/>
      <c r="NHG229" s="1"/>
      <c r="NHH229" s="1"/>
      <c r="NHI229" s="1"/>
      <c r="NHJ229" s="1"/>
      <c r="NHK229" s="1"/>
      <c r="NHL229" s="1"/>
      <c r="NHM229" s="1"/>
      <c r="NHN229" s="1"/>
      <c r="NHO229" s="1"/>
      <c r="NHP229" s="1"/>
      <c r="NHQ229" s="1"/>
      <c r="NHR229" s="1"/>
      <c r="NHS229" s="1"/>
      <c r="NHT229" s="1"/>
      <c r="NHU229" s="1"/>
      <c r="NHV229" s="1"/>
      <c r="NHW229" s="1"/>
      <c r="NHX229" s="1"/>
      <c r="NHY229" s="1"/>
      <c r="NHZ229" s="1"/>
      <c r="NIA229" s="1"/>
      <c r="NIB229" s="1"/>
      <c r="NIC229" s="1"/>
      <c r="NID229" s="1"/>
      <c r="NIE229" s="1"/>
      <c r="NIF229" s="1"/>
      <c r="NIG229" s="1"/>
      <c r="NIH229" s="1"/>
      <c r="NII229" s="1"/>
      <c r="NIJ229" s="1"/>
      <c r="NIK229" s="1"/>
      <c r="NIL229" s="1"/>
      <c r="NIM229" s="1"/>
      <c r="NIN229" s="1"/>
      <c r="NIO229" s="1"/>
      <c r="NIP229" s="1"/>
      <c r="NIQ229" s="1"/>
      <c r="NIR229" s="1"/>
      <c r="NIS229" s="1"/>
      <c r="NIT229" s="1"/>
      <c r="NIU229" s="1"/>
      <c r="NIV229" s="1"/>
      <c r="NIW229" s="1"/>
      <c r="NIX229" s="1"/>
      <c r="NIY229" s="1"/>
      <c r="NIZ229" s="1"/>
      <c r="NJA229" s="1"/>
      <c r="NJB229" s="1"/>
      <c r="NJC229" s="1"/>
      <c r="NJD229" s="1"/>
      <c r="NJE229" s="1"/>
      <c r="NJF229" s="1"/>
      <c r="NJG229" s="1"/>
      <c r="NJH229" s="1"/>
      <c r="NJI229" s="1"/>
      <c r="NJJ229" s="1"/>
      <c r="NJK229" s="1"/>
      <c r="NJL229" s="1"/>
      <c r="NJM229" s="1"/>
      <c r="NJN229" s="1"/>
      <c r="NJO229" s="1"/>
      <c r="NJP229" s="1"/>
      <c r="NJQ229" s="1"/>
      <c r="NJR229" s="1"/>
      <c r="NJS229" s="1"/>
      <c r="NJT229" s="1"/>
      <c r="NJU229" s="1"/>
      <c r="NJV229" s="1"/>
      <c r="NJW229" s="1"/>
      <c r="NJX229" s="1"/>
      <c r="NJY229" s="1"/>
      <c r="NJZ229" s="1"/>
      <c r="NKA229" s="1"/>
      <c r="NKB229" s="1"/>
      <c r="NKC229" s="1"/>
      <c r="NKD229" s="1"/>
      <c r="NKE229" s="1"/>
      <c r="NKF229" s="1"/>
      <c r="NKG229" s="1"/>
      <c r="NKH229" s="1"/>
      <c r="NKI229" s="1"/>
      <c r="NKJ229" s="1"/>
      <c r="NKK229" s="1"/>
      <c r="NKL229" s="1"/>
      <c r="NKM229" s="1"/>
      <c r="NKN229" s="1"/>
      <c r="NKO229" s="1"/>
      <c r="NKP229" s="1"/>
      <c r="NKQ229" s="1"/>
      <c r="NKR229" s="1"/>
      <c r="NKS229" s="1"/>
      <c r="NKT229" s="1"/>
      <c r="NKU229" s="1"/>
      <c r="NKV229" s="1"/>
      <c r="NKW229" s="1"/>
      <c r="NKX229" s="1"/>
      <c r="NKY229" s="1"/>
      <c r="NKZ229" s="1"/>
      <c r="NLA229" s="1"/>
      <c r="NLB229" s="1"/>
      <c r="NLC229" s="1"/>
      <c r="NLD229" s="1"/>
      <c r="NLE229" s="1"/>
      <c r="NLF229" s="1"/>
      <c r="NLG229" s="1"/>
      <c r="NLH229" s="1"/>
      <c r="NLI229" s="1"/>
      <c r="NLJ229" s="1"/>
      <c r="NLK229" s="1"/>
      <c r="NLL229" s="1"/>
      <c r="NLM229" s="1"/>
      <c r="NLN229" s="1"/>
      <c r="NLO229" s="1"/>
      <c r="NLP229" s="1"/>
      <c r="NLQ229" s="1"/>
      <c r="NLR229" s="1"/>
      <c r="NLS229" s="1"/>
      <c r="NLT229" s="1"/>
      <c r="NLU229" s="1"/>
      <c r="NLV229" s="1"/>
      <c r="NLW229" s="1"/>
      <c r="NLX229" s="1"/>
      <c r="NLY229" s="1"/>
      <c r="NLZ229" s="1"/>
      <c r="NMA229" s="1"/>
      <c r="NMB229" s="1"/>
      <c r="NMC229" s="1"/>
      <c r="NMD229" s="1"/>
      <c r="NME229" s="1"/>
      <c r="NMF229" s="1"/>
      <c r="NMG229" s="1"/>
      <c r="NMH229" s="1"/>
      <c r="NMI229" s="1"/>
      <c r="NMJ229" s="1"/>
      <c r="NMK229" s="1"/>
      <c r="NML229" s="1"/>
      <c r="NMM229" s="1"/>
      <c r="NMN229" s="1"/>
      <c r="NMO229" s="1"/>
      <c r="NMP229" s="1"/>
      <c r="NMQ229" s="1"/>
      <c r="NMR229" s="1"/>
      <c r="NMS229" s="1"/>
      <c r="NMT229" s="1"/>
      <c r="NMU229" s="1"/>
      <c r="NMV229" s="1"/>
      <c r="NMW229" s="1"/>
      <c r="NMX229" s="1"/>
      <c r="NMY229" s="1"/>
      <c r="NMZ229" s="1"/>
      <c r="NNA229" s="1"/>
      <c r="NNB229" s="1"/>
      <c r="NNC229" s="1"/>
      <c r="NND229" s="1"/>
      <c r="NNE229" s="1"/>
      <c r="NNF229" s="1"/>
      <c r="NNG229" s="1"/>
      <c r="NNH229" s="1"/>
      <c r="NNI229" s="1"/>
      <c r="NNJ229" s="1"/>
      <c r="NNK229" s="1"/>
      <c r="NNL229" s="1"/>
      <c r="NNM229" s="1"/>
      <c r="NNN229" s="1"/>
      <c r="NNO229" s="1"/>
      <c r="NNP229" s="1"/>
      <c r="NNQ229" s="1"/>
      <c r="NNR229" s="1"/>
      <c r="NNS229" s="1"/>
      <c r="NNT229" s="1"/>
      <c r="NNU229" s="1"/>
      <c r="NNV229" s="1"/>
      <c r="NNW229" s="1"/>
      <c r="NNX229" s="1"/>
      <c r="NNY229" s="1"/>
      <c r="NNZ229" s="1"/>
      <c r="NOA229" s="1"/>
      <c r="NOB229" s="1"/>
      <c r="NOC229" s="1"/>
      <c r="NOD229" s="1"/>
      <c r="NOE229" s="1"/>
      <c r="NOF229" s="1"/>
      <c r="NOG229" s="1"/>
      <c r="NOH229" s="1"/>
      <c r="NOI229" s="1"/>
      <c r="NOJ229" s="1"/>
      <c r="NOK229" s="1"/>
      <c r="NOL229" s="1"/>
      <c r="NOM229" s="1"/>
      <c r="NON229" s="1"/>
      <c r="NOO229" s="1"/>
      <c r="NOP229" s="1"/>
      <c r="NOQ229" s="1"/>
      <c r="NOR229" s="1"/>
      <c r="NOS229" s="1"/>
      <c r="NOT229" s="1"/>
      <c r="NOU229" s="1"/>
      <c r="NOV229" s="1"/>
      <c r="NOW229" s="1"/>
      <c r="NOX229" s="1"/>
      <c r="NOY229" s="1"/>
      <c r="NOZ229" s="1"/>
      <c r="NPA229" s="1"/>
      <c r="NPB229" s="1"/>
      <c r="NPC229" s="1"/>
      <c r="NPD229" s="1"/>
      <c r="NPE229" s="1"/>
      <c r="NPF229" s="1"/>
      <c r="NPG229" s="1"/>
      <c r="NPH229" s="1"/>
      <c r="NPI229" s="1"/>
      <c r="NPJ229" s="1"/>
      <c r="NPK229" s="1"/>
      <c r="NPL229" s="1"/>
      <c r="NPM229" s="1"/>
      <c r="NPN229" s="1"/>
      <c r="NPO229" s="1"/>
      <c r="NPP229" s="1"/>
      <c r="NPQ229" s="1"/>
      <c r="NPR229" s="1"/>
      <c r="NPS229" s="1"/>
      <c r="NPT229" s="1"/>
      <c r="NPU229" s="1"/>
      <c r="NPV229" s="1"/>
      <c r="NPW229" s="1"/>
      <c r="NPX229" s="1"/>
      <c r="NPY229" s="1"/>
      <c r="NPZ229" s="1"/>
      <c r="NQA229" s="1"/>
      <c r="NQB229" s="1"/>
      <c r="NQC229" s="1"/>
      <c r="NQD229" s="1"/>
      <c r="NQE229" s="1"/>
      <c r="NQF229" s="1"/>
      <c r="NQG229" s="1"/>
      <c r="NQH229" s="1"/>
      <c r="NQI229" s="1"/>
      <c r="NQJ229" s="1"/>
      <c r="NQK229" s="1"/>
      <c r="NQL229" s="1"/>
      <c r="NQM229" s="1"/>
      <c r="NQN229" s="1"/>
      <c r="NQO229" s="1"/>
      <c r="NQP229" s="1"/>
      <c r="NQQ229" s="1"/>
      <c r="NQR229" s="1"/>
      <c r="NQS229" s="1"/>
      <c r="NQT229" s="1"/>
      <c r="NQU229" s="1"/>
      <c r="NQV229" s="1"/>
      <c r="NQW229" s="1"/>
      <c r="NQX229" s="1"/>
      <c r="NQY229" s="1"/>
      <c r="NQZ229" s="1"/>
      <c r="NRA229" s="1"/>
      <c r="NRB229" s="1"/>
      <c r="NRC229" s="1"/>
      <c r="NRD229" s="1"/>
      <c r="NRE229" s="1"/>
      <c r="NRF229" s="1"/>
      <c r="NRG229" s="1"/>
      <c r="NRH229" s="1"/>
      <c r="NRI229" s="1"/>
      <c r="NRJ229" s="1"/>
      <c r="NRK229" s="1"/>
      <c r="NRL229" s="1"/>
      <c r="NRM229" s="1"/>
      <c r="NRN229" s="1"/>
      <c r="NRO229" s="1"/>
      <c r="NRP229" s="1"/>
      <c r="NRQ229" s="1"/>
      <c r="NRR229" s="1"/>
      <c r="NRS229" s="1"/>
      <c r="NRT229" s="1"/>
      <c r="NRU229" s="1"/>
      <c r="NRV229" s="1"/>
      <c r="NRW229" s="1"/>
      <c r="NRX229" s="1"/>
      <c r="NRY229" s="1"/>
      <c r="NRZ229" s="1"/>
      <c r="NSA229" s="1"/>
      <c r="NSB229" s="1"/>
      <c r="NSC229" s="1"/>
      <c r="NSD229" s="1"/>
      <c r="NSE229" s="1"/>
      <c r="NSF229" s="1"/>
      <c r="NSG229" s="1"/>
      <c r="NSH229" s="1"/>
      <c r="NSI229" s="1"/>
      <c r="NSJ229" s="1"/>
      <c r="NSK229" s="1"/>
      <c r="NSL229" s="1"/>
      <c r="NSM229" s="1"/>
      <c r="NSN229" s="1"/>
      <c r="NSO229" s="1"/>
      <c r="NSP229" s="1"/>
      <c r="NSQ229" s="1"/>
      <c r="NSR229" s="1"/>
      <c r="NSS229" s="1"/>
      <c r="NST229" s="1"/>
      <c r="NSU229" s="1"/>
      <c r="NSV229" s="1"/>
      <c r="NSW229" s="1"/>
      <c r="NSX229" s="1"/>
      <c r="NSY229" s="1"/>
      <c r="NSZ229" s="1"/>
      <c r="NTA229" s="1"/>
      <c r="NTB229" s="1"/>
      <c r="NTC229" s="1"/>
      <c r="NTD229" s="1"/>
      <c r="NTE229" s="1"/>
      <c r="NTF229" s="1"/>
      <c r="NTG229" s="1"/>
      <c r="NTH229" s="1"/>
      <c r="NTI229" s="1"/>
      <c r="NTJ229" s="1"/>
      <c r="NTK229" s="1"/>
      <c r="NTL229" s="1"/>
      <c r="NTM229" s="1"/>
      <c r="NTN229" s="1"/>
      <c r="NTO229" s="1"/>
      <c r="NTP229" s="1"/>
      <c r="NTQ229" s="1"/>
      <c r="NTR229" s="1"/>
      <c r="NTS229" s="1"/>
      <c r="NTT229" s="1"/>
      <c r="NTU229" s="1"/>
      <c r="NTV229" s="1"/>
      <c r="NTW229" s="1"/>
      <c r="NTX229" s="1"/>
      <c r="NTY229" s="1"/>
      <c r="NTZ229" s="1"/>
      <c r="NUA229" s="1"/>
      <c r="NUB229" s="1"/>
      <c r="NUC229" s="1"/>
      <c r="NUD229" s="1"/>
      <c r="NUE229" s="1"/>
      <c r="NUF229" s="1"/>
      <c r="NUG229" s="1"/>
      <c r="NUH229" s="1"/>
      <c r="NUI229" s="1"/>
      <c r="NUJ229" s="1"/>
      <c r="NUK229" s="1"/>
      <c r="NUL229" s="1"/>
      <c r="NUM229" s="1"/>
      <c r="NUN229" s="1"/>
      <c r="NUO229" s="1"/>
      <c r="NUP229" s="1"/>
      <c r="NUQ229" s="1"/>
      <c r="NUR229" s="1"/>
      <c r="NUS229" s="1"/>
      <c r="NUT229" s="1"/>
      <c r="NUU229" s="1"/>
      <c r="NUV229" s="1"/>
      <c r="NUW229" s="1"/>
      <c r="NUX229" s="1"/>
      <c r="NUY229" s="1"/>
      <c r="NUZ229" s="1"/>
      <c r="NVA229" s="1"/>
      <c r="NVB229" s="1"/>
      <c r="NVC229" s="1"/>
      <c r="NVD229" s="1"/>
      <c r="NVE229" s="1"/>
      <c r="NVF229" s="1"/>
      <c r="NVG229" s="1"/>
      <c r="NVH229" s="1"/>
      <c r="NVI229" s="1"/>
      <c r="NVJ229" s="1"/>
      <c r="NVK229" s="1"/>
      <c r="NVL229" s="1"/>
      <c r="NVM229" s="1"/>
      <c r="NVN229" s="1"/>
      <c r="NVO229" s="1"/>
      <c r="NVP229" s="1"/>
      <c r="NVQ229" s="1"/>
      <c r="NVR229" s="1"/>
      <c r="NVS229" s="1"/>
      <c r="NVT229" s="1"/>
      <c r="NVU229" s="1"/>
      <c r="NVV229" s="1"/>
      <c r="NVW229" s="1"/>
      <c r="NVX229" s="1"/>
      <c r="NVY229" s="1"/>
      <c r="NVZ229" s="1"/>
      <c r="NWA229" s="1"/>
      <c r="NWB229" s="1"/>
      <c r="NWC229" s="1"/>
      <c r="NWD229" s="1"/>
      <c r="NWE229" s="1"/>
      <c r="NWF229" s="1"/>
      <c r="NWG229" s="1"/>
      <c r="NWH229" s="1"/>
      <c r="NWI229" s="1"/>
      <c r="NWJ229" s="1"/>
      <c r="NWK229" s="1"/>
      <c r="NWL229" s="1"/>
      <c r="NWM229" s="1"/>
      <c r="NWN229" s="1"/>
      <c r="NWO229" s="1"/>
      <c r="NWP229" s="1"/>
      <c r="NWQ229" s="1"/>
      <c r="NWR229" s="1"/>
      <c r="NWS229" s="1"/>
      <c r="NWT229" s="1"/>
      <c r="NWU229" s="1"/>
      <c r="NWV229" s="1"/>
      <c r="NWW229" s="1"/>
      <c r="NWX229" s="1"/>
      <c r="NWY229" s="1"/>
      <c r="NWZ229" s="1"/>
      <c r="NXA229" s="1"/>
      <c r="NXB229" s="1"/>
      <c r="NXC229" s="1"/>
      <c r="NXD229" s="1"/>
      <c r="NXE229" s="1"/>
      <c r="NXF229" s="1"/>
      <c r="NXG229" s="1"/>
      <c r="NXH229" s="1"/>
      <c r="NXI229" s="1"/>
      <c r="NXJ229" s="1"/>
      <c r="NXK229" s="1"/>
      <c r="NXL229" s="1"/>
      <c r="NXM229" s="1"/>
      <c r="NXN229" s="1"/>
      <c r="NXO229" s="1"/>
      <c r="NXP229" s="1"/>
      <c r="NXQ229" s="1"/>
      <c r="NXR229" s="1"/>
      <c r="NXS229" s="1"/>
      <c r="NXT229" s="1"/>
      <c r="NXU229" s="1"/>
      <c r="NXV229" s="1"/>
      <c r="NXW229" s="1"/>
      <c r="NXX229" s="1"/>
      <c r="NXY229" s="1"/>
      <c r="NXZ229" s="1"/>
      <c r="NYA229" s="1"/>
      <c r="NYB229" s="1"/>
      <c r="NYC229" s="1"/>
      <c r="NYD229" s="1"/>
      <c r="NYE229" s="1"/>
      <c r="NYF229" s="1"/>
      <c r="NYG229" s="1"/>
      <c r="NYH229" s="1"/>
      <c r="NYI229" s="1"/>
      <c r="NYJ229" s="1"/>
      <c r="NYK229" s="1"/>
      <c r="NYL229" s="1"/>
      <c r="NYM229" s="1"/>
      <c r="NYN229" s="1"/>
      <c r="NYO229" s="1"/>
      <c r="NYP229" s="1"/>
      <c r="NYQ229" s="1"/>
      <c r="NYR229" s="1"/>
      <c r="NYS229" s="1"/>
      <c r="NYT229" s="1"/>
      <c r="NYU229" s="1"/>
      <c r="NYV229" s="1"/>
      <c r="NYW229" s="1"/>
      <c r="NYX229" s="1"/>
      <c r="NYY229" s="1"/>
      <c r="NYZ229" s="1"/>
      <c r="NZA229" s="1"/>
      <c r="NZB229" s="1"/>
      <c r="NZC229" s="1"/>
      <c r="NZD229" s="1"/>
      <c r="NZE229" s="1"/>
      <c r="NZF229" s="1"/>
      <c r="NZG229" s="1"/>
      <c r="NZH229" s="1"/>
      <c r="NZI229" s="1"/>
      <c r="NZJ229" s="1"/>
      <c r="NZK229" s="1"/>
      <c r="NZL229" s="1"/>
      <c r="NZM229" s="1"/>
      <c r="NZN229" s="1"/>
      <c r="NZO229" s="1"/>
      <c r="NZP229" s="1"/>
      <c r="NZQ229" s="1"/>
      <c r="NZR229" s="1"/>
      <c r="NZS229" s="1"/>
      <c r="NZT229" s="1"/>
      <c r="NZU229" s="1"/>
      <c r="NZV229" s="1"/>
      <c r="NZW229" s="1"/>
      <c r="NZX229" s="1"/>
      <c r="NZY229" s="1"/>
      <c r="NZZ229" s="1"/>
      <c r="OAA229" s="1"/>
      <c r="OAB229" s="1"/>
      <c r="OAC229" s="1"/>
      <c r="OAD229" s="1"/>
      <c r="OAE229" s="1"/>
      <c r="OAF229" s="1"/>
      <c r="OAG229" s="1"/>
      <c r="OAH229" s="1"/>
      <c r="OAI229" s="1"/>
      <c r="OAJ229" s="1"/>
      <c r="OAK229" s="1"/>
      <c r="OAL229" s="1"/>
      <c r="OAM229" s="1"/>
      <c r="OAN229" s="1"/>
      <c r="OAO229" s="1"/>
      <c r="OAP229" s="1"/>
      <c r="OAQ229" s="1"/>
      <c r="OAR229" s="1"/>
      <c r="OAS229" s="1"/>
      <c r="OAT229" s="1"/>
      <c r="OAU229" s="1"/>
      <c r="OAV229" s="1"/>
      <c r="OAW229" s="1"/>
      <c r="OAX229" s="1"/>
      <c r="OAY229" s="1"/>
      <c r="OAZ229" s="1"/>
      <c r="OBA229" s="1"/>
      <c r="OBB229" s="1"/>
      <c r="OBC229" s="1"/>
      <c r="OBD229" s="1"/>
      <c r="OBE229" s="1"/>
      <c r="OBF229" s="1"/>
      <c r="OBG229" s="1"/>
      <c r="OBH229" s="1"/>
      <c r="OBI229" s="1"/>
      <c r="OBJ229" s="1"/>
      <c r="OBK229" s="1"/>
      <c r="OBL229" s="1"/>
      <c r="OBM229" s="1"/>
      <c r="OBN229" s="1"/>
      <c r="OBO229" s="1"/>
      <c r="OBP229" s="1"/>
      <c r="OBQ229" s="1"/>
      <c r="OBR229" s="1"/>
      <c r="OBS229" s="1"/>
      <c r="OBT229" s="1"/>
      <c r="OBU229" s="1"/>
      <c r="OBV229" s="1"/>
      <c r="OBW229" s="1"/>
      <c r="OBX229" s="1"/>
      <c r="OBY229" s="1"/>
      <c r="OBZ229" s="1"/>
      <c r="OCA229" s="1"/>
      <c r="OCB229" s="1"/>
      <c r="OCC229" s="1"/>
      <c r="OCD229" s="1"/>
      <c r="OCE229" s="1"/>
      <c r="OCF229" s="1"/>
      <c r="OCG229" s="1"/>
      <c r="OCH229" s="1"/>
      <c r="OCI229" s="1"/>
      <c r="OCJ229" s="1"/>
      <c r="OCK229" s="1"/>
      <c r="OCL229" s="1"/>
      <c r="OCM229" s="1"/>
      <c r="OCN229" s="1"/>
      <c r="OCO229" s="1"/>
      <c r="OCP229" s="1"/>
      <c r="OCQ229" s="1"/>
      <c r="OCR229" s="1"/>
      <c r="OCS229" s="1"/>
      <c r="OCT229" s="1"/>
      <c r="OCU229" s="1"/>
      <c r="OCV229" s="1"/>
      <c r="OCW229" s="1"/>
      <c r="OCX229" s="1"/>
      <c r="OCY229" s="1"/>
      <c r="OCZ229" s="1"/>
      <c r="ODA229" s="1"/>
      <c r="ODB229" s="1"/>
      <c r="ODC229" s="1"/>
      <c r="ODD229" s="1"/>
      <c r="ODE229" s="1"/>
      <c r="ODF229" s="1"/>
      <c r="ODG229" s="1"/>
      <c r="ODH229" s="1"/>
      <c r="ODI229" s="1"/>
      <c r="ODJ229" s="1"/>
      <c r="ODK229" s="1"/>
      <c r="ODL229" s="1"/>
      <c r="ODM229" s="1"/>
      <c r="ODN229" s="1"/>
      <c r="ODO229" s="1"/>
      <c r="ODP229" s="1"/>
      <c r="ODQ229" s="1"/>
      <c r="ODR229" s="1"/>
      <c r="ODS229" s="1"/>
      <c r="ODT229" s="1"/>
      <c r="ODU229" s="1"/>
      <c r="ODV229" s="1"/>
      <c r="ODW229" s="1"/>
      <c r="ODX229" s="1"/>
      <c r="ODY229" s="1"/>
      <c r="ODZ229" s="1"/>
      <c r="OEA229" s="1"/>
      <c r="OEB229" s="1"/>
      <c r="OEC229" s="1"/>
      <c r="OED229" s="1"/>
      <c r="OEE229" s="1"/>
      <c r="OEF229" s="1"/>
      <c r="OEG229" s="1"/>
      <c r="OEH229" s="1"/>
      <c r="OEI229" s="1"/>
      <c r="OEJ229" s="1"/>
      <c r="OEK229" s="1"/>
      <c r="OEL229" s="1"/>
      <c r="OEM229" s="1"/>
      <c r="OEN229" s="1"/>
      <c r="OEO229" s="1"/>
      <c r="OEP229" s="1"/>
      <c r="OEQ229" s="1"/>
      <c r="OER229" s="1"/>
      <c r="OES229" s="1"/>
      <c r="OET229" s="1"/>
      <c r="OEU229" s="1"/>
      <c r="OEV229" s="1"/>
      <c r="OEW229" s="1"/>
      <c r="OEX229" s="1"/>
      <c r="OEY229" s="1"/>
      <c r="OEZ229" s="1"/>
      <c r="OFA229" s="1"/>
      <c r="OFB229" s="1"/>
      <c r="OFC229" s="1"/>
      <c r="OFD229" s="1"/>
      <c r="OFE229" s="1"/>
      <c r="OFF229" s="1"/>
      <c r="OFG229" s="1"/>
      <c r="OFH229" s="1"/>
      <c r="OFI229" s="1"/>
      <c r="OFJ229" s="1"/>
      <c r="OFK229" s="1"/>
      <c r="OFL229" s="1"/>
      <c r="OFM229" s="1"/>
      <c r="OFN229" s="1"/>
      <c r="OFO229" s="1"/>
      <c r="OFP229" s="1"/>
      <c r="OFQ229" s="1"/>
      <c r="OFR229" s="1"/>
      <c r="OFS229" s="1"/>
      <c r="OFT229" s="1"/>
      <c r="OFU229" s="1"/>
      <c r="OFV229" s="1"/>
      <c r="OFW229" s="1"/>
      <c r="OFX229" s="1"/>
      <c r="OFY229" s="1"/>
      <c r="OFZ229" s="1"/>
      <c r="OGA229" s="1"/>
      <c r="OGB229" s="1"/>
      <c r="OGC229" s="1"/>
      <c r="OGD229" s="1"/>
      <c r="OGE229" s="1"/>
      <c r="OGF229" s="1"/>
      <c r="OGG229" s="1"/>
      <c r="OGH229" s="1"/>
      <c r="OGI229" s="1"/>
      <c r="OGJ229" s="1"/>
      <c r="OGK229" s="1"/>
      <c r="OGL229" s="1"/>
      <c r="OGM229" s="1"/>
      <c r="OGN229" s="1"/>
      <c r="OGO229" s="1"/>
      <c r="OGP229" s="1"/>
      <c r="OGQ229" s="1"/>
      <c r="OGR229" s="1"/>
      <c r="OGS229" s="1"/>
      <c r="OGT229" s="1"/>
      <c r="OGU229" s="1"/>
      <c r="OGV229" s="1"/>
      <c r="OGW229" s="1"/>
      <c r="OGX229" s="1"/>
      <c r="OGY229" s="1"/>
      <c r="OGZ229" s="1"/>
      <c r="OHA229" s="1"/>
      <c r="OHB229" s="1"/>
      <c r="OHC229" s="1"/>
      <c r="OHD229" s="1"/>
      <c r="OHE229" s="1"/>
      <c r="OHF229" s="1"/>
      <c r="OHG229" s="1"/>
      <c r="OHH229" s="1"/>
      <c r="OHI229" s="1"/>
      <c r="OHJ229" s="1"/>
      <c r="OHK229" s="1"/>
      <c r="OHL229" s="1"/>
      <c r="OHM229" s="1"/>
      <c r="OHN229" s="1"/>
      <c r="OHO229" s="1"/>
      <c r="OHP229" s="1"/>
      <c r="OHQ229" s="1"/>
      <c r="OHR229" s="1"/>
      <c r="OHS229" s="1"/>
      <c r="OHT229" s="1"/>
      <c r="OHU229" s="1"/>
      <c r="OHV229" s="1"/>
      <c r="OHW229" s="1"/>
      <c r="OHX229" s="1"/>
      <c r="OHY229" s="1"/>
      <c r="OHZ229" s="1"/>
      <c r="OIA229" s="1"/>
      <c r="OIB229" s="1"/>
      <c r="OIC229" s="1"/>
      <c r="OID229" s="1"/>
      <c r="OIE229" s="1"/>
      <c r="OIF229" s="1"/>
      <c r="OIG229" s="1"/>
      <c r="OIH229" s="1"/>
      <c r="OII229" s="1"/>
      <c r="OIJ229" s="1"/>
      <c r="OIK229" s="1"/>
      <c r="OIL229" s="1"/>
      <c r="OIM229" s="1"/>
      <c r="OIN229" s="1"/>
      <c r="OIO229" s="1"/>
      <c r="OIP229" s="1"/>
      <c r="OIQ229" s="1"/>
      <c r="OIR229" s="1"/>
      <c r="OIS229" s="1"/>
      <c r="OIT229" s="1"/>
      <c r="OIU229" s="1"/>
      <c r="OIV229" s="1"/>
      <c r="OIW229" s="1"/>
      <c r="OIX229" s="1"/>
      <c r="OIY229" s="1"/>
      <c r="OIZ229" s="1"/>
      <c r="OJA229" s="1"/>
      <c r="OJB229" s="1"/>
      <c r="OJC229" s="1"/>
      <c r="OJD229" s="1"/>
      <c r="OJE229" s="1"/>
      <c r="OJF229" s="1"/>
      <c r="OJG229" s="1"/>
      <c r="OJH229" s="1"/>
      <c r="OJI229" s="1"/>
      <c r="OJJ229" s="1"/>
      <c r="OJK229" s="1"/>
      <c r="OJL229" s="1"/>
      <c r="OJM229" s="1"/>
      <c r="OJN229" s="1"/>
      <c r="OJO229" s="1"/>
      <c r="OJP229" s="1"/>
      <c r="OJQ229" s="1"/>
      <c r="OJR229" s="1"/>
      <c r="OJS229" s="1"/>
      <c r="OJT229" s="1"/>
      <c r="OJU229" s="1"/>
      <c r="OJV229" s="1"/>
      <c r="OJW229" s="1"/>
      <c r="OJX229" s="1"/>
      <c r="OJY229" s="1"/>
      <c r="OJZ229" s="1"/>
      <c r="OKA229" s="1"/>
      <c r="OKB229" s="1"/>
      <c r="OKC229" s="1"/>
      <c r="OKD229" s="1"/>
      <c r="OKE229" s="1"/>
      <c r="OKF229" s="1"/>
      <c r="OKG229" s="1"/>
      <c r="OKH229" s="1"/>
      <c r="OKI229" s="1"/>
      <c r="OKJ229" s="1"/>
      <c r="OKK229" s="1"/>
      <c r="OKL229" s="1"/>
      <c r="OKM229" s="1"/>
      <c r="OKN229" s="1"/>
      <c r="OKO229" s="1"/>
      <c r="OKP229" s="1"/>
      <c r="OKQ229" s="1"/>
      <c r="OKR229" s="1"/>
      <c r="OKS229" s="1"/>
      <c r="OKT229" s="1"/>
      <c r="OKU229" s="1"/>
      <c r="OKV229" s="1"/>
      <c r="OKW229" s="1"/>
      <c r="OKX229" s="1"/>
      <c r="OKY229" s="1"/>
      <c r="OKZ229" s="1"/>
      <c r="OLA229" s="1"/>
      <c r="OLB229" s="1"/>
      <c r="OLC229" s="1"/>
      <c r="OLD229" s="1"/>
      <c r="OLE229" s="1"/>
      <c r="OLF229" s="1"/>
      <c r="OLG229" s="1"/>
      <c r="OLH229" s="1"/>
      <c r="OLI229" s="1"/>
      <c r="OLJ229" s="1"/>
      <c r="OLK229" s="1"/>
      <c r="OLL229" s="1"/>
      <c r="OLM229" s="1"/>
      <c r="OLN229" s="1"/>
      <c r="OLO229" s="1"/>
      <c r="OLP229" s="1"/>
      <c r="OLQ229" s="1"/>
      <c r="OLR229" s="1"/>
      <c r="OLS229" s="1"/>
      <c r="OLT229" s="1"/>
      <c r="OLU229" s="1"/>
      <c r="OLV229" s="1"/>
      <c r="OLW229" s="1"/>
      <c r="OLX229" s="1"/>
      <c r="OLY229" s="1"/>
      <c r="OLZ229" s="1"/>
      <c r="OMA229" s="1"/>
      <c r="OMB229" s="1"/>
      <c r="OMC229" s="1"/>
      <c r="OMD229" s="1"/>
      <c r="OME229" s="1"/>
      <c r="OMF229" s="1"/>
      <c r="OMG229" s="1"/>
      <c r="OMH229" s="1"/>
      <c r="OMI229" s="1"/>
      <c r="OMJ229" s="1"/>
      <c r="OMK229" s="1"/>
      <c r="OML229" s="1"/>
      <c r="OMM229" s="1"/>
      <c r="OMN229" s="1"/>
      <c r="OMO229" s="1"/>
      <c r="OMP229" s="1"/>
      <c r="OMQ229" s="1"/>
      <c r="OMR229" s="1"/>
      <c r="OMS229" s="1"/>
      <c r="OMT229" s="1"/>
      <c r="OMU229" s="1"/>
      <c r="OMV229" s="1"/>
      <c r="OMW229" s="1"/>
      <c r="OMX229" s="1"/>
      <c r="OMY229" s="1"/>
      <c r="OMZ229" s="1"/>
      <c r="ONA229" s="1"/>
      <c r="ONB229" s="1"/>
      <c r="ONC229" s="1"/>
      <c r="OND229" s="1"/>
      <c r="ONE229" s="1"/>
      <c r="ONF229" s="1"/>
      <c r="ONG229" s="1"/>
      <c r="ONH229" s="1"/>
      <c r="ONI229" s="1"/>
      <c r="ONJ229" s="1"/>
      <c r="ONK229" s="1"/>
      <c r="ONL229" s="1"/>
      <c r="ONM229" s="1"/>
      <c r="ONN229" s="1"/>
      <c r="ONO229" s="1"/>
      <c r="ONP229" s="1"/>
      <c r="ONQ229" s="1"/>
      <c r="ONR229" s="1"/>
      <c r="ONS229" s="1"/>
      <c r="ONT229" s="1"/>
      <c r="ONU229" s="1"/>
      <c r="ONV229" s="1"/>
      <c r="ONW229" s="1"/>
      <c r="ONX229" s="1"/>
      <c r="ONY229" s="1"/>
      <c r="ONZ229" s="1"/>
      <c r="OOA229" s="1"/>
      <c r="OOB229" s="1"/>
      <c r="OOC229" s="1"/>
      <c r="OOD229" s="1"/>
      <c r="OOE229" s="1"/>
      <c r="OOF229" s="1"/>
      <c r="OOG229" s="1"/>
      <c r="OOH229" s="1"/>
      <c r="OOI229" s="1"/>
      <c r="OOJ229" s="1"/>
      <c r="OOK229" s="1"/>
      <c r="OOL229" s="1"/>
      <c r="OOM229" s="1"/>
      <c r="OON229" s="1"/>
      <c r="OOO229" s="1"/>
      <c r="OOP229" s="1"/>
      <c r="OOQ229" s="1"/>
      <c r="OOR229" s="1"/>
      <c r="OOS229" s="1"/>
      <c r="OOT229" s="1"/>
      <c r="OOU229" s="1"/>
      <c r="OOV229" s="1"/>
      <c r="OOW229" s="1"/>
      <c r="OOX229" s="1"/>
      <c r="OOY229" s="1"/>
      <c r="OOZ229" s="1"/>
      <c r="OPA229" s="1"/>
      <c r="OPB229" s="1"/>
      <c r="OPC229" s="1"/>
      <c r="OPD229" s="1"/>
      <c r="OPE229" s="1"/>
      <c r="OPF229" s="1"/>
      <c r="OPG229" s="1"/>
      <c r="OPH229" s="1"/>
      <c r="OPI229" s="1"/>
      <c r="OPJ229" s="1"/>
      <c r="OPK229" s="1"/>
      <c r="OPL229" s="1"/>
      <c r="OPM229" s="1"/>
      <c r="OPN229" s="1"/>
      <c r="OPO229" s="1"/>
      <c r="OPP229" s="1"/>
      <c r="OPQ229" s="1"/>
      <c r="OPR229" s="1"/>
      <c r="OPS229" s="1"/>
      <c r="OPT229" s="1"/>
      <c r="OPU229" s="1"/>
      <c r="OPV229" s="1"/>
      <c r="OPW229" s="1"/>
      <c r="OPX229" s="1"/>
      <c r="OPY229" s="1"/>
      <c r="OPZ229" s="1"/>
      <c r="OQA229" s="1"/>
      <c r="OQB229" s="1"/>
      <c r="OQC229" s="1"/>
      <c r="OQD229" s="1"/>
      <c r="OQE229" s="1"/>
      <c r="OQF229" s="1"/>
      <c r="OQG229" s="1"/>
      <c r="OQH229" s="1"/>
      <c r="OQI229" s="1"/>
      <c r="OQJ229" s="1"/>
      <c r="OQK229" s="1"/>
      <c r="OQL229" s="1"/>
      <c r="OQM229" s="1"/>
      <c r="OQN229" s="1"/>
      <c r="OQO229" s="1"/>
      <c r="OQP229" s="1"/>
      <c r="OQQ229" s="1"/>
      <c r="OQR229" s="1"/>
      <c r="OQS229" s="1"/>
      <c r="OQT229" s="1"/>
      <c r="OQU229" s="1"/>
      <c r="OQV229" s="1"/>
      <c r="OQW229" s="1"/>
      <c r="OQX229" s="1"/>
      <c r="OQY229" s="1"/>
      <c r="OQZ229" s="1"/>
      <c r="ORA229" s="1"/>
      <c r="ORB229" s="1"/>
      <c r="ORC229" s="1"/>
      <c r="ORD229" s="1"/>
      <c r="ORE229" s="1"/>
      <c r="ORF229" s="1"/>
      <c r="ORG229" s="1"/>
      <c r="ORH229" s="1"/>
      <c r="ORI229" s="1"/>
      <c r="ORJ229" s="1"/>
      <c r="ORK229" s="1"/>
      <c r="ORL229" s="1"/>
      <c r="ORM229" s="1"/>
      <c r="ORN229" s="1"/>
      <c r="ORO229" s="1"/>
      <c r="ORP229" s="1"/>
      <c r="ORQ229" s="1"/>
      <c r="ORR229" s="1"/>
      <c r="ORS229" s="1"/>
      <c r="ORT229" s="1"/>
      <c r="ORU229" s="1"/>
      <c r="ORV229" s="1"/>
      <c r="ORW229" s="1"/>
      <c r="ORX229" s="1"/>
      <c r="ORY229" s="1"/>
      <c r="ORZ229" s="1"/>
      <c r="OSA229" s="1"/>
      <c r="OSB229" s="1"/>
      <c r="OSC229" s="1"/>
      <c r="OSD229" s="1"/>
      <c r="OSE229" s="1"/>
      <c r="OSF229" s="1"/>
      <c r="OSG229" s="1"/>
      <c r="OSH229" s="1"/>
      <c r="OSI229" s="1"/>
      <c r="OSJ229" s="1"/>
      <c r="OSK229" s="1"/>
      <c r="OSL229" s="1"/>
      <c r="OSM229" s="1"/>
      <c r="OSN229" s="1"/>
      <c r="OSO229" s="1"/>
      <c r="OSP229" s="1"/>
      <c r="OSQ229" s="1"/>
      <c r="OSR229" s="1"/>
      <c r="OSS229" s="1"/>
      <c r="OST229" s="1"/>
      <c r="OSU229" s="1"/>
      <c r="OSV229" s="1"/>
      <c r="OSW229" s="1"/>
      <c r="OSX229" s="1"/>
      <c r="OSY229" s="1"/>
      <c r="OSZ229" s="1"/>
      <c r="OTA229" s="1"/>
      <c r="OTB229" s="1"/>
      <c r="OTC229" s="1"/>
      <c r="OTD229" s="1"/>
      <c r="OTE229" s="1"/>
      <c r="OTF229" s="1"/>
      <c r="OTG229" s="1"/>
      <c r="OTH229" s="1"/>
      <c r="OTI229" s="1"/>
      <c r="OTJ229" s="1"/>
      <c r="OTK229" s="1"/>
      <c r="OTL229" s="1"/>
      <c r="OTM229" s="1"/>
      <c r="OTN229" s="1"/>
      <c r="OTO229" s="1"/>
      <c r="OTP229" s="1"/>
      <c r="OTQ229" s="1"/>
      <c r="OTR229" s="1"/>
      <c r="OTS229" s="1"/>
      <c r="OTT229" s="1"/>
      <c r="OTU229" s="1"/>
      <c r="OTV229" s="1"/>
      <c r="OTW229" s="1"/>
      <c r="OTX229" s="1"/>
      <c r="OTY229" s="1"/>
      <c r="OTZ229" s="1"/>
      <c r="OUA229" s="1"/>
      <c r="OUB229" s="1"/>
      <c r="OUC229" s="1"/>
      <c r="OUD229" s="1"/>
      <c r="OUE229" s="1"/>
      <c r="OUF229" s="1"/>
      <c r="OUG229" s="1"/>
      <c r="OUH229" s="1"/>
      <c r="OUI229" s="1"/>
      <c r="OUJ229" s="1"/>
      <c r="OUK229" s="1"/>
      <c r="OUL229" s="1"/>
      <c r="OUM229" s="1"/>
      <c r="OUN229" s="1"/>
      <c r="OUO229" s="1"/>
      <c r="OUP229" s="1"/>
      <c r="OUQ229" s="1"/>
      <c r="OUR229" s="1"/>
      <c r="OUS229" s="1"/>
      <c r="OUT229" s="1"/>
      <c r="OUU229" s="1"/>
      <c r="OUV229" s="1"/>
      <c r="OUW229" s="1"/>
      <c r="OUX229" s="1"/>
      <c r="OUY229" s="1"/>
      <c r="OUZ229" s="1"/>
      <c r="OVA229" s="1"/>
      <c r="OVB229" s="1"/>
      <c r="OVC229" s="1"/>
      <c r="OVD229" s="1"/>
      <c r="OVE229" s="1"/>
      <c r="OVF229" s="1"/>
      <c r="OVG229" s="1"/>
      <c r="OVH229" s="1"/>
      <c r="OVI229" s="1"/>
      <c r="OVJ229" s="1"/>
      <c r="OVK229" s="1"/>
      <c r="OVL229" s="1"/>
      <c r="OVM229" s="1"/>
      <c r="OVN229" s="1"/>
      <c r="OVO229" s="1"/>
      <c r="OVP229" s="1"/>
      <c r="OVQ229" s="1"/>
      <c r="OVR229" s="1"/>
      <c r="OVS229" s="1"/>
      <c r="OVT229" s="1"/>
      <c r="OVU229" s="1"/>
      <c r="OVV229" s="1"/>
      <c r="OVW229" s="1"/>
      <c r="OVX229" s="1"/>
      <c r="OVY229" s="1"/>
      <c r="OVZ229" s="1"/>
      <c r="OWA229" s="1"/>
      <c r="OWB229" s="1"/>
      <c r="OWC229" s="1"/>
      <c r="OWD229" s="1"/>
      <c r="OWE229" s="1"/>
      <c r="OWF229" s="1"/>
      <c r="OWG229" s="1"/>
      <c r="OWH229" s="1"/>
      <c r="OWI229" s="1"/>
      <c r="OWJ229" s="1"/>
      <c r="OWK229" s="1"/>
      <c r="OWL229" s="1"/>
      <c r="OWM229" s="1"/>
      <c r="OWN229" s="1"/>
      <c r="OWO229" s="1"/>
      <c r="OWP229" s="1"/>
      <c r="OWQ229" s="1"/>
      <c r="OWR229" s="1"/>
      <c r="OWS229" s="1"/>
      <c r="OWT229" s="1"/>
      <c r="OWU229" s="1"/>
      <c r="OWV229" s="1"/>
      <c r="OWW229" s="1"/>
      <c r="OWX229" s="1"/>
      <c r="OWY229" s="1"/>
      <c r="OWZ229" s="1"/>
      <c r="OXA229" s="1"/>
      <c r="OXB229" s="1"/>
      <c r="OXC229" s="1"/>
      <c r="OXD229" s="1"/>
      <c r="OXE229" s="1"/>
      <c r="OXF229" s="1"/>
      <c r="OXG229" s="1"/>
      <c r="OXH229" s="1"/>
      <c r="OXI229" s="1"/>
      <c r="OXJ229" s="1"/>
      <c r="OXK229" s="1"/>
      <c r="OXL229" s="1"/>
      <c r="OXM229" s="1"/>
      <c r="OXN229" s="1"/>
      <c r="OXO229" s="1"/>
      <c r="OXP229" s="1"/>
      <c r="OXQ229" s="1"/>
      <c r="OXR229" s="1"/>
      <c r="OXS229" s="1"/>
      <c r="OXT229" s="1"/>
      <c r="OXU229" s="1"/>
      <c r="OXV229" s="1"/>
      <c r="OXW229" s="1"/>
      <c r="OXX229" s="1"/>
      <c r="OXY229" s="1"/>
      <c r="OXZ229" s="1"/>
      <c r="OYA229" s="1"/>
      <c r="OYB229" s="1"/>
      <c r="OYC229" s="1"/>
      <c r="OYD229" s="1"/>
      <c r="OYE229" s="1"/>
      <c r="OYF229" s="1"/>
      <c r="OYG229" s="1"/>
      <c r="OYH229" s="1"/>
      <c r="OYI229" s="1"/>
      <c r="OYJ229" s="1"/>
      <c r="OYK229" s="1"/>
      <c r="OYL229" s="1"/>
      <c r="OYM229" s="1"/>
      <c r="OYN229" s="1"/>
      <c r="OYO229" s="1"/>
      <c r="OYP229" s="1"/>
      <c r="OYQ229" s="1"/>
      <c r="OYR229" s="1"/>
      <c r="OYS229" s="1"/>
      <c r="OYT229" s="1"/>
      <c r="OYU229" s="1"/>
      <c r="OYV229" s="1"/>
      <c r="OYW229" s="1"/>
      <c r="OYX229" s="1"/>
      <c r="OYY229" s="1"/>
      <c r="OYZ229" s="1"/>
      <c r="OZA229" s="1"/>
      <c r="OZB229" s="1"/>
      <c r="OZC229" s="1"/>
      <c r="OZD229" s="1"/>
      <c r="OZE229" s="1"/>
      <c r="OZF229" s="1"/>
      <c r="OZG229" s="1"/>
      <c r="OZH229" s="1"/>
      <c r="OZI229" s="1"/>
      <c r="OZJ229" s="1"/>
      <c r="OZK229" s="1"/>
      <c r="OZL229" s="1"/>
      <c r="OZM229" s="1"/>
      <c r="OZN229" s="1"/>
      <c r="OZO229" s="1"/>
      <c r="OZP229" s="1"/>
      <c r="OZQ229" s="1"/>
      <c r="OZR229" s="1"/>
      <c r="OZS229" s="1"/>
      <c r="OZT229" s="1"/>
      <c r="OZU229" s="1"/>
      <c r="OZV229" s="1"/>
      <c r="OZW229" s="1"/>
      <c r="OZX229" s="1"/>
      <c r="OZY229" s="1"/>
      <c r="OZZ229" s="1"/>
      <c r="PAA229" s="1"/>
      <c r="PAB229" s="1"/>
      <c r="PAC229" s="1"/>
      <c r="PAD229" s="1"/>
      <c r="PAE229" s="1"/>
      <c r="PAF229" s="1"/>
      <c r="PAG229" s="1"/>
      <c r="PAH229" s="1"/>
      <c r="PAI229" s="1"/>
      <c r="PAJ229" s="1"/>
      <c r="PAK229" s="1"/>
      <c r="PAL229" s="1"/>
      <c r="PAM229" s="1"/>
      <c r="PAN229" s="1"/>
      <c r="PAO229" s="1"/>
      <c r="PAP229" s="1"/>
      <c r="PAQ229" s="1"/>
      <c r="PAR229" s="1"/>
      <c r="PAS229" s="1"/>
      <c r="PAT229" s="1"/>
      <c r="PAU229" s="1"/>
      <c r="PAV229" s="1"/>
      <c r="PAW229" s="1"/>
      <c r="PAX229" s="1"/>
      <c r="PAY229" s="1"/>
      <c r="PAZ229" s="1"/>
      <c r="PBA229" s="1"/>
      <c r="PBB229" s="1"/>
      <c r="PBC229" s="1"/>
      <c r="PBD229" s="1"/>
      <c r="PBE229" s="1"/>
      <c r="PBF229" s="1"/>
      <c r="PBG229" s="1"/>
      <c r="PBH229" s="1"/>
      <c r="PBI229" s="1"/>
      <c r="PBJ229" s="1"/>
      <c r="PBK229" s="1"/>
      <c r="PBL229" s="1"/>
      <c r="PBM229" s="1"/>
      <c r="PBN229" s="1"/>
      <c r="PBO229" s="1"/>
      <c r="PBP229" s="1"/>
      <c r="PBQ229" s="1"/>
      <c r="PBR229" s="1"/>
      <c r="PBS229" s="1"/>
      <c r="PBT229" s="1"/>
      <c r="PBU229" s="1"/>
      <c r="PBV229" s="1"/>
      <c r="PBW229" s="1"/>
      <c r="PBX229" s="1"/>
      <c r="PBY229" s="1"/>
      <c r="PBZ229" s="1"/>
      <c r="PCA229" s="1"/>
      <c r="PCB229" s="1"/>
      <c r="PCC229" s="1"/>
      <c r="PCD229" s="1"/>
      <c r="PCE229" s="1"/>
      <c r="PCF229" s="1"/>
      <c r="PCG229" s="1"/>
      <c r="PCH229" s="1"/>
      <c r="PCI229" s="1"/>
      <c r="PCJ229" s="1"/>
      <c r="PCK229" s="1"/>
      <c r="PCL229" s="1"/>
      <c r="PCM229" s="1"/>
      <c r="PCN229" s="1"/>
      <c r="PCO229" s="1"/>
      <c r="PCP229" s="1"/>
      <c r="PCQ229" s="1"/>
      <c r="PCR229" s="1"/>
      <c r="PCS229" s="1"/>
      <c r="PCT229" s="1"/>
      <c r="PCU229" s="1"/>
      <c r="PCV229" s="1"/>
      <c r="PCW229" s="1"/>
      <c r="PCX229" s="1"/>
      <c r="PCY229" s="1"/>
      <c r="PCZ229" s="1"/>
      <c r="PDA229" s="1"/>
      <c r="PDB229" s="1"/>
      <c r="PDC229" s="1"/>
      <c r="PDD229" s="1"/>
      <c r="PDE229" s="1"/>
      <c r="PDF229" s="1"/>
      <c r="PDG229" s="1"/>
      <c r="PDH229" s="1"/>
      <c r="PDI229" s="1"/>
      <c r="PDJ229" s="1"/>
      <c r="PDK229" s="1"/>
      <c r="PDL229" s="1"/>
      <c r="PDM229" s="1"/>
      <c r="PDN229" s="1"/>
      <c r="PDO229" s="1"/>
      <c r="PDP229" s="1"/>
      <c r="PDQ229" s="1"/>
      <c r="PDR229" s="1"/>
      <c r="PDS229" s="1"/>
      <c r="PDT229" s="1"/>
      <c r="PDU229" s="1"/>
      <c r="PDV229" s="1"/>
      <c r="PDW229" s="1"/>
      <c r="PDX229" s="1"/>
      <c r="PDY229" s="1"/>
      <c r="PDZ229" s="1"/>
      <c r="PEA229" s="1"/>
      <c r="PEB229" s="1"/>
      <c r="PEC229" s="1"/>
      <c r="PED229" s="1"/>
      <c r="PEE229" s="1"/>
      <c r="PEF229" s="1"/>
      <c r="PEG229" s="1"/>
      <c r="PEH229" s="1"/>
      <c r="PEI229" s="1"/>
      <c r="PEJ229" s="1"/>
      <c r="PEK229" s="1"/>
      <c r="PEL229" s="1"/>
      <c r="PEM229" s="1"/>
      <c r="PEN229" s="1"/>
      <c r="PEO229" s="1"/>
      <c r="PEP229" s="1"/>
      <c r="PEQ229" s="1"/>
      <c r="PER229" s="1"/>
      <c r="PES229" s="1"/>
      <c r="PET229" s="1"/>
      <c r="PEU229" s="1"/>
      <c r="PEV229" s="1"/>
      <c r="PEW229" s="1"/>
      <c r="PEX229" s="1"/>
      <c r="PEY229" s="1"/>
      <c r="PEZ229" s="1"/>
      <c r="PFA229" s="1"/>
      <c r="PFB229" s="1"/>
      <c r="PFC229" s="1"/>
      <c r="PFD229" s="1"/>
      <c r="PFE229" s="1"/>
      <c r="PFF229" s="1"/>
      <c r="PFG229" s="1"/>
      <c r="PFH229" s="1"/>
      <c r="PFI229" s="1"/>
      <c r="PFJ229" s="1"/>
      <c r="PFK229" s="1"/>
      <c r="PFL229" s="1"/>
      <c r="PFM229" s="1"/>
      <c r="PFN229" s="1"/>
      <c r="PFO229" s="1"/>
      <c r="PFP229" s="1"/>
      <c r="PFQ229" s="1"/>
      <c r="PFR229" s="1"/>
      <c r="PFS229" s="1"/>
      <c r="PFT229" s="1"/>
      <c r="PFU229" s="1"/>
      <c r="PFV229" s="1"/>
      <c r="PFW229" s="1"/>
      <c r="PFX229" s="1"/>
      <c r="PFY229" s="1"/>
      <c r="PFZ229" s="1"/>
      <c r="PGA229" s="1"/>
      <c r="PGB229" s="1"/>
      <c r="PGC229" s="1"/>
      <c r="PGD229" s="1"/>
      <c r="PGE229" s="1"/>
      <c r="PGF229" s="1"/>
      <c r="PGG229" s="1"/>
      <c r="PGH229" s="1"/>
      <c r="PGI229" s="1"/>
      <c r="PGJ229" s="1"/>
      <c r="PGK229" s="1"/>
      <c r="PGL229" s="1"/>
      <c r="PGM229" s="1"/>
      <c r="PGN229" s="1"/>
      <c r="PGO229" s="1"/>
      <c r="PGP229" s="1"/>
      <c r="PGQ229" s="1"/>
      <c r="PGR229" s="1"/>
      <c r="PGS229" s="1"/>
      <c r="PGT229" s="1"/>
      <c r="PGU229" s="1"/>
      <c r="PGV229" s="1"/>
      <c r="PGW229" s="1"/>
      <c r="PGX229" s="1"/>
      <c r="PGY229" s="1"/>
      <c r="PGZ229" s="1"/>
      <c r="PHA229" s="1"/>
      <c r="PHB229" s="1"/>
      <c r="PHC229" s="1"/>
      <c r="PHD229" s="1"/>
      <c r="PHE229" s="1"/>
      <c r="PHF229" s="1"/>
      <c r="PHG229" s="1"/>
      <c r="PHH229" s="1"/>
      <c r="PHI229" s="1"/>
      <c r="PHJ229" s="1"/>
      <c r="PHK229" s="1"/>
      <c r="PHL229" s="1"/>
      <c r="PHM229" s="1"/>
      <c r="PHN229" s="1"/>
      <c r="PHO229" s="1"/>
      <c r="PHP229" s="1"/>
      <c r="PHQ229" s="1"/>
      <c r="PHR229" s="1"/>
      <c r="PHS229" s="1"/>
      <c r="PHT229" s="1"/>
      <c r="PHU229" s="1"/>
      <c r="PHV229" s="1"/>
      <c r="PHW229" s="1"/>
      <c r="PHX229" s="1"/>
      <c r="PHY229" s="1"/>
      <c r="PHZ229" s="1"/>
      <c r="PIA229" s="1"/>
      <c r="PIB229" s="1"/>
      <c r="PIC229" s="1"/>
      <c r="PID229" s="1"/>
      <c r="PIE229" s="1"/>
      <c r="PIF229" s="1"/>
      <c r="PIG229" s="1"/>
      <c r="PIH229" s="1"/>
      <c r="PII229" s="1"/>
      <c r="PIJ229" s="1"/>
      <c r="PIK229" s="1"/>
      <c r="PIL229" s="1"/>
      <c r="PIM229" s="1"/>
      <c r="PIN229" s="1"/>
      <c r="PIO229" s="1"/>
      <c r="PIP229" s="1"/>
      <c r="PIQ229" s="1"/>
      <c r="PIR229" s="1"/>
      <c r="PIS229" s="1"/>
      <c r="PIT229" s="1"/>
      <c r="PIU229" s="1"/>
      <c r="PIV229" s="1"/>
      <c r="PIW229" s="1"/>
      <c r="PIX229" s="1"/>
      <c r="PIY229" s="1"/>
      <c r="PIZ229" s="1"/>
      <c r="PJA229" s="1"/>
      <c r="PJB229" s="1"/>
      <c r="PJC229" s="1"/>
      <c r="PJD229" s="1"/>
      <c r="PJE229" s="1"/>
      <c r="PJF229" s="1"/>
      <c r="PJG229" s="1"/>
      <c r="PJH229" s="1"/>
      <c r="PJI229" s="1"/>
      <c r="PJJ229" s="1"/>
      <c r="PJK229" s="1"/>
      <c r="PJL229" s="1"/>
      <c r="PJM229" s="1"/>
      <c r="PJN229" s="1"/>
      <c r="PJO229" s="1"/>
      <c r="PJP229" s="1"/>
      <c r="PJQ229" s="1"/>
      <c r="PJR229" s="1"/>
      <c r="PJS229" s="1"/>
      <c r="PJT229" s="1"/>
      <c r="PJU229" s="1"/>
      <c r="PJV229" s="1"/>
      <c r="PJW229" s="1"/>
      <c r="PJX229" s="1"/>
      <c r="PJY229" s="1"/>
      <c r="PJZ229" s="1"/>
      <c r="PKA229" s="1"/>
      <c r="PKB229" s="1"/>
      <c r="PKC229" s="1"/>
      <c r="PKD229" s="1"/>
      <c r="PKE229" s="1"/>
      <c r="PKF229" s="1"/>
      <c r="PKG229" s="1"/>
      <c r="PKH229" s="1"/>
      <c r="PKI229" s="1"/>
      <c r="PKJ229" s="1"/>
      <c r="PKK229" s="1"/>
      <c r="PKL229" s="1"/>
      <c r="PKM229" s="1"/>
      <c r="PKN229" s="1"/>
      <c r="PKO229" s="1"/>
      <c r="PKP229" s="1"/>
      <c r="PKQ229" s="1"/>
      <c r="PKR229" s="1"/>
      <c r="PKS229" s="1"/>
      <c r="PKT229" s="1"/>
      <c r="PKU229" s="1"/>
      <c r="PKV229" s="1"/>
      <c r="PKW229" s="1"/>
      <c r="PKX229" s="1"/>
      <c r="PKY229" s="1"/>
      <c r="PKZ229" s="1"/>
      <c r="PLA229" s="1"/>
      <c r="PLB229" s="1"/>
      <c r="PLC229" s="1"/>
      <c r="PLD229" s="1"/>
      <c r="PLE229" s="1"/>
      <c r="PLF229" s="1"/>
      <c r="PLG229" s="1"/>
      <c r="PLH229" s="1"/>
      <c r="PLI229" s="1"/>
      <c r="PLJ229" s="1"/>
      <c r="PLK229" s="1"/>
      <c r="PLL229" s="1"/>
      <c r="PLM229" s="1"/>
      <c r="PLN229" s="1"/>
      <c r="PLO229" s="1"/>
      <c r="PLP229" s="1"/>
      <c r="PLQ229" s="1"/>
      <c r="PLR229" s="1"/>
      <c r="PLS229" s="1"/>
      <c r="PLT229" s="1"/>
      <c r="PLU229" s="1"/>
      <c r="PLV229" s="1"/>
      <c r="PLW229" s="1"/>
      <c r="PLX229" s="1"/>
      <c r="PLY229" s="1"/>
      <c r="PLZ229" s="1"/>
      <c r="PMA229" s="1"/>
      <c r="PMB229" s="1"/>
      <c r="PMC229" s="1"/>
      <c r="PMD229" s="1"/>
      <c r="PME229" s="1"/>
      <c r="PMF229" s="1"/>
      <c r="PMG229" s="1"/>
      <c r="PMH229" s="1"/>
      <c r="PMI229" s="1"/>
      <c r="PMJ229" s="1"/>
      <c r="PMK229" s="1"/>
      <c r="PML229" s="1"/>
      <c r="PMM229" s="1"/>
      <c r="PMN229" s="1"/>
      <c r="PMO229" s="1"/>
      <c r="PMP229" s="1"/>
      <c r="PMQ229" s="1"/>
      <c r="PMR229" s="1"/>
      <c r="PMS229" s="1"/>
      <c r="PMT229" s="1"/>
      <c r="PMU229" s="1"/>
      <c r="PMV229" s="1"/>
      <c r="PMW229" s="1"/>
      <c r="PMX229" s="1"/>
      <c r="PMY229" s="1"/>
      <c r="PMZ229" s="1"/>
      <c r="PNA229" s="1"/>
      <c r="PNB229" s="1"/>
      <c r="PNC229" s="1"/>
      <c r="PND229" s="1"/>
      <c r="PNE229" s="1"/>
      <c r="PNF229" s="1"/>
      <c r="PNG229" s="1"/>
      <c r="PNH229" s="1"/>
      <c r="PNI229" s="1"/>
      <c r="PNJ229" s="1"/>
      <c r="PNK229" s="1"/>
      <c r="PNL229" s="1"/>
      <c r="PNM229" s="1"/>
      <c r="PNN229" s="1"/>
      <c r="PNO229" s="1"/>
      <c r="PNP229" s="1"/>
      <c r="PNQ229" s="1"/>
      <c r="PNR229" s="1"/>
      <c r="PNS229" s="1"/>
      <c r="PNT229" s="1"/>
      <c r="PNU229" s="1"/>
      <c r="PNV229" s="1"/>
      <c r="PNW229" s="1"/>
      <c r="PNX229" s="1"/>
      <c r="PNY229" s="1"/>
      <c r="PNZ229" s="1"/>
      <c r="POA229" s="1"/>
      <c r="POB229" s="1"/>
      <c r="POC229" s="1"/>
      <c r="POD229" s="1"/>
      <c r="POE229" s="1"/>
      <c r="POF229" s="1"/>
      <c r="POG229" s="1"/>
      <c r="POH229" s="1"/>
      <c r="POI229" s="1"/>
      <c r="POJ229" s="1"/>
      <c r="POK229" s="1"/>
      <c r="POL229" s="1"/>
      <c r="POM229" s="1"/>
      <c r="PON229" s="1"/>
      <c r="POO229" s="1"/>
      <c r="POP229" s="1"/>
      <c r="POQ229" s="1"/>
      <c r="POR229" s="1"/>
      <c r="POS229" s="1"/>
      <c r="POT229" s="1"/>
      <c r="POU229" s="1"/>
      <c r="POV229" s="1"/>
      <c r="POW229" s="1"/>
      <c r="POX229" s="1"/>
      <c r="POY229" s="1"/>
      <c r="POZ229" s="1"/>
      <c r="PPA229" s="1"/>
      <c r="PPB229" s="1"/>
      <c r="PPC229" s="1"/>
      <c r="PPD229" s="1"/>
      <c r="PPE229" s="1"/>
      <c r="PPF229" s="1"/>
      <c r="PPG229" s="1"/>
      <c r="PPH229" s="1"/>
      <c r="PPI229" s="1"/>
      <c r="PPJ229" s="1"/>
      <c r="PPK229" s="1"/>
      <c r="PPL229" s="1"/>
      <c r="PPM229" s="1"/>
      <c r="PPN229" s="1"/>
      <c r="PPO229" s="1"/>
      <c r="PPP229" s="1"/>
      <c r="PPQ229" s="1"/>
      <c r="PPR229" s="1"/>
      <c r="PPS229" s="1"/>
      <c r="PPT229" s="1"/>
      <c r="PPU229" s="1"/>
      <c r="PPV229" s="1"/>
      <c r="PPW229" s="1"/>
      <c r="PPX229" s="1"/>
      <c r="PPY229" s="1"/>
      <c r="PPZ229" s="1"/>
      <c r="PQA229" s="1"/>
      <c r="PQB229" s="1"/>
      <c r="PQC229" s="1"/>
      <c r="PQD229" s="1"/>
      <c r="PQE229" s="1"/>
      <c r="PQF229" s="1"/>
      <c r="PQG229" s="1"/>
      <c r="PQH229" s="1"/>
      <c r="PQI229" s="1"/>
      <c r="PQJ229" s="1"/>
      <c r="PQK229" s="1"/>
      <c r="PQL229" s="1"/>
      <c r="PQM229" s="1"/>
      <c r="PQN229" s="1"/>
      <c r="PQO229" s="1"/>
      <c r="PQP229" s="1"/>
      <c r="PQQ229" s="1"/>
      <c r="PQR229" s="1"/>
      <c r="PQS229" s="1"/>
      <c r="PQT229" s="1"/>
      <c r="PQU229" s="1"/>
      <c r="PQV229" s="1"/>
      <c r="PQW229" s="1"/>
      <c r="PQX229" s="1"/>
      <c r="PQY229" s="1"/>
      <c r="PQZ229" s="1"/>
      <c r="PRA229" s="1"/>
      <c r="PRB229" s="1"/>
      <c r="PRC229" s="1"/>
      <c r="PRD229" s="1"/>
      <c r="PRE229" s="1"/>
      <c r="PRF229" s="1"/>
      <c r="PRG229" s="1"/>
      <c r="PRH229" s="1"/>
      <c r="PRI229" s="1"/>
      <c r="PRJ229" s="1"/>
      <c r="PRK229" s="1"/>
      <c r="PRL229" s="1"/>
      <c r="PRM229" s="1"/>
      <c r="PRN229" s="1"/>
      <c r="PRO229" s="1"/>
      <c r="PRP229" s="1"/>
      <c r="PRQ229" s="1"/>
      <c r="PRR229" s="1"/>
      <c r="PRS229" s="1"/>
      <c r="PRT229" s="1"/>
      <c r="PRU229" s="1"/>
      <c r="PRV229" s="1"/>
      <c r="PRW229" s="1"/>
      <c r="PRX229" s="1"/>
      <c r="PRY229" s="1"/>
      <c r="PRZ229" s="1"/>
      <c r="PSA229" s="1"/>
      <c r="PSB229" s="1"/>
      <c r="PSC229" s="1"/>
      <c r="PSD229" s="1"/>
      <c r="PSE229" s="1"/>
      <c r="PSF229" s="1"/>
      <c r="PSG229" s="1"/>
      <c r="PSH229" s="1"/>
      <c r="PSI229" s="1"/>
      <c r="PSJ229" s="1"/>
      <c r="PSK229" s="1"/>
      <c r="PSL229" s="1"/>
      <c r="PSM229" s="1"/>
      <c r="PSN229" s="1"/>
      <c r="PSO229" s="1"/>
      <c r="PSP229" s="1"/>
      <c r="PSQ229" s="1"/>
      <c r="PSR229" s="1"/>
      <c r="PSS229" s="1"/>
      <c r="PST229" s="1"/>
      <c r="PSU229" s="1"/>
      <c r="PSV229" s="1"/>
      <c r="PSW229" s="1"/>
      <c r="PSX229" s="1"/>
      <c r="PSY229" s="1"/>
      <c r="PSZ229" s="1"/>
      <c r="PTA229" s="1"/>
      <c r="PTB229" s="1"/>
      <c r="PTC229" s="1"/>
      <c r="PTD229" s="1"/>
      <c r="PTE229" s="1"/>
      <c r="PTF229" s="1"/>
      <c r="PTG229" s="1"/>
      <c r="PTH229" s="1"/>
      <c r="PTI229" s="1"/>
      <c r="PTJ229" s="1"/>
      <c r="PTK229" s="1"/>
      <c r="PTL229" s="1"/>
      <c r="PTM229" s="1"/>
      <c r="PTN229" s="1"/>
      <c r="PTO229" s="1"/>
      <c r="PTP229" s="1"/>
      <c r="PTQ229" s="1"/>
      <c r="PTR229" s="1"/>
      <c r="PTS229" s="1"/>
      <c r="PTT229" s="1"/>
      <c r="PTU229" s="1"/>
      <c r="PTV229" s="1"/>
      <c r="PTW229" s="1"/>
      <c r="PTX229" s="1"/>
      <c r="PTY229" s="1"/>
      <c r="PTZ229" s="1"/>
      <c r="PUA229" s="1"/>
      <c r="PUB229" s="1"/>
      <c r="PUC229" s="1"/>
      <c r="PUD229" s="1"/>
      <c r="PUE229" s="1"/>
      <c r="PUF229" s="1"/>
      <c r="PUG229" s="1"/>
      <c r="PUH229" s="1"/>
      <c r="PUI229" s="1"/>
      <c r="PUJ229" s="1"/>
      <c r="PUK229" s="1"/>
      <c r="PUL229" s="1"/>
      <c r="PUM229" s="1"/>
      <c r="PUN229" s="1"/>
      <c r="PUO229" s="1"/>
      <c r="PUP229" s="1"/>
      <c r="PUQ229" s="1"/>
      <c r="PUR229" s="1"/>
      <c r="PUS229" s="1"/>
      <c r="PUT229" s="1"/>
      <c r="PUU229" s="1"/>
      <c r="PUV229" s="1"/>
      <c r="PUW229" s="1"/>
      <c r="PUX229" s="1"/>
      <c r="PUY229" s="1"/>
      <c r="PUZ229" s="1"/>
      <c r="PVA229" s="1"/>
      <c r="PVB229" s="1"/>
      <c r="PVC229" s="1"/>
      <c r="PVD229" s="1"/>
      <c r="PVE229" s="1"/>
      <c r="PVF229" s="1"/>
      <c r="PVG229" s="1"/>
      <c r="PVH229" s="1"/>
      <c r="PVI229" s="1"/>
      <c r="PVJ229" s="1"/>
      <c r="PVK229" s="1"/>
      <c r="PVL229" s="1"/>
      <c r="PVM229" s="1"/>
      <c r="PVN229" s="1"/>
      <c r="PVO229" s="1"/>
      <c r="PVP229" s="1"/>
      <c r="PVQ229" s="1"/>
      <c r="PVR229" s="1"/>
      <c r="PVS229" s="1"/>
      <c r="PVT229" s="1"/>
      <c r="PVU229" s="1"/>
      <c r="PVV229" s="1"/>
      <c r="PVW229" s="1"/>
      <c r="PVX229" s="1"/>
      <c r="PVY229" s="1"/>
      <c r="PVZ229" s="1"/>
      <c r="PWA229" s="1"/>
      <c r="PWB229" s="1"/>
      <c r="PWC229" s="1"/>
      <c r="PWD229" s="1"/>
      <c r="PWE229" s="1"/>
      <c r="PWF229" s="1"/>
      <c r="PWG229" s="1"/>
      <c r="PWH229" s="1"/>
      <c r="PWI229" s="1"/>
      <c r="PWJ229" s="1"/>
      <c r="PWK229" s="1"/>
      <c r="PWL229" s="1"/>
      <c r="PWM229" s="1"/>
      <c r="PWN229" s="1"/>
      <c r="PWO229" s="1"/>
      <c r="PWP229" s="1"/>
      <c r="PWQ229" s="1"/>
      <c r="PWR229" s="1"/>
      <c r="PWS229" s="1"/>
      <c r="PWT229" s="1"/>
      <c r="PWU229" s="1"/>
      <c r="PWV229" s="1"/>
      <c r="PWW229" s="1"/>
      <c r="PWX229" s="1"/>
      <c r="PWY229" s="1"/>
      <c r="PWZ229" s="1"/>
      <c r="PXA229" s="1"/>
      <c r="PXB229" s="1"/>
      <c r="PXC229" s="1"/>
      <c r="PXD229" s="1"/>
      <c r="PXE229" s="1"/>
      <c r="PXF229" s="1"/>
      <c r="PXG229" s="1"/>
      <c r="PXH229" s="1"/>
      <c r="PXI229" s="1"/>
      <c r="PXJ229" s="1"/>
      <c r="PXK229" s="1"/>
      <c r="PXL229" s="1"/>
      <c r="PXM229" s="1"/>
      <c r="PXN229" s="1"/>
      <c r="PXO229" s="1"/>
      <c r="PXP229" s="1"/>
      <c r="PXQ229" s="1"/>
      <c r="PXR229" s="1"/>
      <c r="PXS229" s="1"/>
      <c r="PXT229" s="1"/>
      <c r="PXU229" s="1"/>
      <c r="PXV229" s="1"/>
      <c r="PXW229" s="1"/>
      <c r="PXX229" s="1"/>
      <c r="PXY229" s="1"/>
      <c r="PXZ229" s="1"/>
      <c r="PYA229" s="1"/>
      <c r="PYB229" s="1"/>
      <c r="PYC229" s="1"/>
      <c r="PYD229" s="1"/>
      <c r="PYE229" s="1"/>
      <c r="PYF229" s="1"/>
      <c r="PYG229" s="1"/>
      <c r="PYH229" s="1"/>
      <c r="PYI229" s="1"/>
      <c r="PYJ229" s="1"/>
      <c r="PYK229" s="1"/>
      <c r="PYL229" s="1"/>
      <c r="PYM229" s="1"/>
      <c r="PYN229" s="1"/>
      <c r="PYO229" s="1"/>
      <c r="PYP229" s="1"/>
      <c r="PYQ229" s="1"/>
      <c r="PYR229" s="1"/>
      <c r="PYS229" s="1"/>
      <c r="PYT229" s="1"/>
      <c r="PYU229" s="1"/>
      <c r="PYV229" s="1"/>
      <c r="PYW229" s="1"/>
      <c r="PYX229" s="1"/>
      <c r="PYY229" s="1"/>
      <c r="PYZ229" s="1"/>
      <c r="PZA229" s="1"/>
      <c r="PZB229" s="1"/>
      <c r="PZC229" s="1"/>
      <c r="PZD229" s="1"/>
      <c r="PZE229" s="1"/>
      <c r="PZF229" s="1"/>
      <c r="PZG229" s="1"/>
      <c r="PZH229" s="1"/>
      <c r="PZI229" s="1"/>
      <c r="PZJ229" s="1"/>
      <c r="PZK229" s="1"/>
      <c r="PZL229" s="1"/>
      <c r="PZM229" s="1"/>
      <c r="PZN229" s="1"/>
      <c r="PZO229" s="1"/>
      <c r="PZP229" s="1"/>
      <c r="PZQ229" s="1"/>
      <c r="PZR229" s="1"/>
      <c r="PZS229" s="1"/>
      <c r="PZT229" s="1"/>
      <c r="PZU229" s="1"/>
      <c r="PZV229" s="1"/>
      <c r="PZW229" s="1"/>
      <c r="PZX229" s="1"/>
      <c r="PZY229" s="1"/>
      <c r="PZZ229" s="1"/>
      <c r="QAA229" s="1"/>
      <c r="QAB229" s="1"/>
      <c r="QAC229" s="1"/>
      <c r="QAD229" s="1"/>
      <c r="QAE229" s="1"/>
      <c r="QAF229" s="1"/>
      <c r="QAG229" s="1"/>
      <c r="QAH229" s="1"/>
      <c r="QAI229" s="1"/>
      <c r="QAJ229" s="1"/>
      <c r="QAK229" s="1"/>
      <c r="QAL229" s="1"/>
      <c r="QAM229" s="1"/>
      <c r="QAN229" s="1"/>
      <c r="QAO229" s="1"/>
      <c r="QAP229" s="1"/>
      <c r="QAQ229" s="1"/>
      <c r="QAR229" s="1"/>
      <c r="QAS229" s="1"/>
      <c r="QAT229" s="1"/>
      <c r="QAU229" s="1"/>
      <c r="QAV229" s="1"/>
      <c r="QAW229" s="1"/>
      <c r="QAX229" s="1"/>
      <c r="QAY229" s="1"/>
      <c r="QAZ229" s="1"/>
      <c r="QBA229" s="1"/>
      <c r="QBB229" s="1"/>
      <c r="QBC229" s="1"/>
      <c r="QBD229" s="1"/>
      <c r="QBE229" s="1"/>
      <c r="QBF229" s="1"/>
      <c r="QBG229" s="1"/>
      <c r="QBH229" s="1"/>
      <c r="QBI229" s="1"/>
      <c r="QBJ229" s="1"/>
      <c r="QBK229" s="1"/>
      <c r="QBL229" s="1"/>
      <c r="QBM229" s="1"/>
      <c r="QBN229" s="1"/>
      <c r="QBO229" s="1"/>
      <c r="QBP229" s="1"/>
      <c r="QBQ229" s="1"/>
      <c r="QBR229" s="1"/>
      <c r="QBS229" s="1"/>
      <c r="QBT229" s="1"/>
      <c r="QBU229" s="1"/>
      <c r="QBV229" s="1"/>
      <c r="QBW229" s="1"/>
      <c r="QBX229" s="1"/>
      <c r="QBY229" s="1"/>
      <c r="QBZ229" s="1"/>
      <c r="QCA229" s="1"/>
      <c r="QCB229" s="1"/>
      <c r="QCC229" s="1"/>
      <c r="QCD229" s="1"/>
      <c r="QCE229" s="1"/>
      <c r="QCF229" s="1"/>
      <c r="QCG229" s="1"/>
      <c r="QCH229" s="1"/>
      <c r="QCI229" s="1"/>
      <c r="QCJ229" s="1"/>
      <c r="QCK229" s="1"/>
      <c r="QCL229" s="1"/>
      <c r="QCM229" s="1"/>
      <c r="QCN229" s="1"/>
      <c r="QCO229" s="1"/>
      <c r="QCP229" s="1"/>
      <c r="QCQ229" s="1"/>
      <c r="QCR229" s="1"/>
      <c r="QCS229" s="1"/>
      <c r="QCT229" s="1"/>
      <c r="QCU229" s="1"/>
      <c r="QCV229" s="1"/>
      <c r="QCW229" s="1"/>
      <c r="QCX229" s="1"/>
      <c r="QCY229" s="1"/>
      <c r="QCZ229" s="1"/>
      <c r="QDA229" s="1"/>
      <c r="QDB229" s="1"/>
      <c r="QDC229" s="1"/>
      <c r="QDD229" s="1"/>
      <c r="QDE229" s="1"/>
      <c r="QDF229" s="1"/>
      <c r="QDG229" s="1"/>
      <c r="QDH229" s="1"/>
      <c r="QDI229" s="1"/>
      <c r="QDJ229" s="1"/>
      <c r="QDK229" s="1"/>
      <c r="QDL229" s="1"/>
      <c r="QDM229" s="1"/>
      <c r="QDN229" s="1"/>
      <c r="QDO229" s="1"/>
      <c r="QDP229" s="1"/>
      <c r="QDQ229" s="1"/>
      <c r="QDR229" s="1"/>
      <c r="QDS229" s="1"/>
      <c r="QDT229" s="1"/>
      <c r="QDU229" s="1"/>
      <c r="QDV229" s="1"/>
      <c r="QDW229" s="1"/>
      <c r="QDX229" s="1"/>
      <c r="QDY229" s="1"/>
      <c r="QDZ229" s="1"/>
      <c r="QEA229" s="1"/>
      <c r="QEB229" s="1"/>
      <c r="QEC229" s="1"/>
      <c r="QED229" s="1"/>
      <c r="QEE229" s="1"/>
      <c r="QEF229" s="1"/>
      <c r="QEG229" s="1"/>
      <c r="QEH229" s="1"/>
      <c r="QEI229" s="1"/>
      <c r="QEJ229" s="1"/>
      <c r="QEK229" s="1"/>
      <c r="QEL229" s="1"/>
      <c r="QEM229" s="1"/>
      <c r="QEN229" s="1"/>
      <c r="QEO229" s="1"/>
      <c r="QEP229" s="1"/>
      <c r="QEQ229" s="1"/>
      <c r="QER229" s="1"/>
      <c r="QES229" s="1"/>
      <c r="QET229" s="1"/>
      <c r="QEU229" s="1"/>
      <c r="QEV229" s="1"/>
      <c r="QEW229" s="1"/>
      <c r="QEX229" s="1"/>
      <c r="QEY229" s="1"/>
      <c r="QEZ229" s="1"/>
      <c r="QFA229" s="1"/>
      <c r="QFB229" s="1"/>
      <c r="QFC229" s="1"/>
      <c r="QFD229" s="1"/>
      <c r="QFE229" s="1"/>
      <c r="QFF229" s="1"/>
      <c r="QFG229" s="1"/>
      <c r="QFH229" s="1"/>
      <c r="QFI229" s="1"/>
      <c r="QFJ229" s="1"/>
      <c r="QFK229" s="1"/>
      <c r="QFL229" s="1"/>
      <c r="QFM229" s="1"/>
      <c r="QFN229" s="1"/>
      <c r="QFO229" s="1"/>
      <c r="QFP229" s="1"/>
      <c r="QFQ229" s="1"/>
      <c r="QFR229" s="1"/>
      <c r="QFS229" s="1"/>
      <c r="QFT229" s="1"/>
      <c r="QFU229" s="1"/>
      <c r="QFV229" s="1"/>
      <c r="QFW229" s="1"/>
      <c r="QFX229" s="1"/>
      <c r="QFY229" s="1"/>
      <c r="QFZ229" s="1"/>
      <c r="QGA229" s="1"/>
      <c r="QGB229" s="1"/>
      <c r="QGC229" s="1"/>
      <c r="QGD229" s="1"/>
      <c r="QGE229" s="1"/>
      <c r="QGF229" s="1"/>
      <c r="QGG229" s="1"/>
      <c r="QGH229" s="1"/>
      <c r="QGI229" s="1"/>
      <c r="QGJ229" s="1"/>
      <c r="QGK229" s="1"/>
      <c r="QGL229" s="1"/>
      <c r="QGM229" s="1"/>
      <c r="QGN229" s="1"/>
      <c r="QGO229" s="1"/>
      <c r="QGP229" s="1"/>
      <c r="QGQ229" s="1"/>
      <c r="QGR229" s="1"/>
      <c r="QGS229" s="1"/>
      <c r="QGT229" s="1"/>
      <c r="QGU229" s="1"/>
      <c r="QGV229" s="1"/>
      <c r="QGW229" s="1"/>
      <c r="QGX229" s="1"/>
      <c r="QGY229" s="1"/>
      <c r="QGZ229" s="1"/>
      <c r="QHA229" s="1"/>
      <c r="QHB229" s="1"/>
      <c r="QHC229" s="1"/>
      <c r="QHD229" s="1"/>
      <c r="QHE229" s="1"/>
      <c r="QHF229" s="1"/>
      <c r="QHG229" s="1"/>
      <c r="QHH229" s="1"/>
      <c r="QHI229" s="1"/>
      <c r="QHJ229" s="1"/>
      <c r="QHK229" s="1"/>
      <c r="QHL229" s="1"/>
      <c r="QHM229" s="1"/>
      <c r="QHN229" s="1"/>
      <c r="QHO229" s="1"/>
      <c r="QHP229" s="1"/>
      <c r="QHQ229" s="1"/>
      <c r="QHR229" s="1"/>
      <c r="QHS229" s="1"/>
      <c r="QHT229" s="1"/>
      <c r="QHU229" s="1"/>
      <c r="QHV229" s="1"/>
      <c r="QHW229" s="1"/>
      <c r="QHX229" s="1"/>
      <c r="QHY229" s="1"/>
      <c r="QHZ229" s="1"/>
      <c r="QIA229" s="1"/>
      <c r="QIB229" s="1"/>
      <c r="QIC229" s="1"/>
      <c r="QID229" s="1"/>
      <c r="QIE229" s="1"/>
      <c r="QIF229" s="1"/>
      <c r="QIG229" s="1"/>
      <c r="QIH229" s="1"/>
      <c r="QII229" s="1"/>
      <c r="QIJ229" s="1"/>
      <c r="QIK229" s="1"/>
      <c r="QIL229" s="1"/>
      <c r="QIM229" s="1"/>
      <c r="QIN229" s="1"/>
      <c r="QIO229" s="1"/>
      <c r="QIP229" s="1"/>
      <c r="QIQ229" s="1"/>
      <c r="QIR229" s="1"/>
      <c r="QIS229" s="1"/>
      <c r="QIT229" s="1"/>
      <c r="QIU229" s="1"/>
      <c r="QIV229" s="1"/>
      <c r="QIW229" s="1"/>
      <c r="QIX229" s="1"/>
      <c r="QIY229" s="1"/>
      <c r="QIZ229" s="1"/>
      <c r="QJA229" s="1"/>
      <c r="QJB229" s="1"/>
      <c r="QJC229" s="1"/>
      <c r="QJD229" s="1"/>
      <c r="QJE229" s="1"/>
      <c r="QJF229" s="1"/>
      <c r="QJG229" s="1"/>
      <c r="QJH229" s="1"/>
      <c r="QJI229" s="1"/>
      <c r="QJJ229" s="1"/>
      <c r="QJK229" s="1"/>
      <c r="QJL229" s="1"/>
      <c r="QJM229" s="1"/>
      <c r="QJN229" s="1"/>
      <c r="QJO229" s="1"/>
      <c r="QJP229" s="1"/>
      <c r="QJQ229" s="1"/>
      <c r="QJR229" s="1"/>
      <c r="QJS229" s="1"/>
      <c r="QJT229" s="1"/>
      <c r="QJU229" s="1"/>
      <c r="QJV229" s="1"/>
      <c r="QJW229" s="1"/>
      <c r="QJX229" s="1"/>
      <c r="QJY229" s="1"/>
      <c r="QJZ229" s="1"/>
      <c r="QKA229" s="1"/>
      <c r="QKB229" s="1"/>
      <c r="QKC229" s="1"/>
      <c r="QKD229" s="1"/>
      <c r="QKE229" s="1"/>
      <c r="QKF229" s="1"/>
      <c r="QKG229" s="1"/>
      <c r="QKH229" s="1"/>
      <c r="QKI229" s="1"/>
      <c r="QKJ229" s="1"/>
      <c r="QKK229" s="1"/>
      <c r="QKL229" s="1"/>
      <c r="QKM229" s="1"/>
      <c r="QKN229" s="1"/>
      <c r="QKO229" s="1"/>
      <c r="QKP229" s="1"/>
      <c r="QKQ229" s="1"/>
      <c r="QKR229" s="1"/>
      <c r="QKS229" s="1"/>
      <c r="QKT229" s="1"/>
      <c r="QKU229" s="1"/>
      <c r="QKV229" s="1"/>
      <c r="QKW229" s="1"/>
      <c r="QKX229" s="1"/>
      <c r="QKY229" s="1"/>
      <c r="QKZ229" s="1"/>
      <c r="QLA229" s="1"/>
      <c r="QLB229" s="1"/>
      <c r="QLC229" s="1"/>
      <c r="QLD229" s="1"/>
      <c r="QLE229" s="1"/>
      <c r="QLF229" s="1"/>
      <c r="QLG229" s="1"/>
      <c r="QLH229" s="1"/>
      <c r="QLI229" s="1"/>
      <c r="QLJ229" s="1"/>
      <c r="QLK229" s="1"/>
      <c r="QLL229" s="1"/>
      <c r="QLM229" s="1"/>
      <c r="QLN229" s="1"/>
      <c r="QLO229" s="1"/>
      <c r="QLP229" s="1"/>
      <c r="QLQ229" s="1"/>
      <c r="QLR229" s="1"/>
      <c r="QLS229" s="1"/>
      <c r="QLT229" s="1"/>
      <c r="QLU229" s="1"/>
      <c r="QLV229" s="1"/>
      <c r="QLW229" s="1"/>
      <c r="QLX229" s="1"/>
      <c r="QLY229" s="1"/>
      <c r="QLZ229" s="1"/>
      <c r="QMA229" s="1"/>
      <c r="QMB229" s="1"/>
      <c r="QMC229" s="1"/>
      <c r="QMD229" s="1"/>
      <c r="QME229" s="1"/>
      <c r="QMF229" s="1"/>
      <c r="QMG229" s="1"/>
      <c r="QMH229" s="1"/>
      <c r="QMI229" s="1"/>
      <c r="QMJ229" s="1"/>
      <c r="QMK229" s="1"/>
      <c r="QML229" s="1"/>
      <c r="QMM229" s="1"/>
      <c r="QMN229" s="1"/>
      <c r="QMO229" s="1"/>
      <c r="QMP229" s="1"/>
      <c r="QMQ229" s="1"/>
      <c r="QMR229" s="1"/>
      <c r="QMS229" s="1"/>
      <c r="QMT229" s="1"/>
      <c r="QMU229" s="1"/>
      <c r="QMV229" s="1"/>
      <c r="QMW229" s="1"/>
      <c r="QMX229" s="1"/>
      <c r="QMY229" s="1"/>
      <c r="QMZ229" s="1"/>
      <c r="QNA229" s="1"/>
      <c r="QNB229" s="1"/>
      <c r="QNC229" s="1"/>
      <c r="QND229" s="1"/>
      <c r="QNE229" s="1"/>
      <c r="QNF229" s="1"/>
      <c r="QNG229" s="1"/>
      <c r="QNH229" s="1"/>
      <c r="QNI229" s="1"/>
      <c r="QNJ229" s="1"/>
      <c r="QNK229" s="1"/>
      <c r="QNL229" s="1"/>
      <c r="QNM229" s="1"/>
      <c r="QNN229" s="1"/>
      <c r="QNO229" s="1"/>
      <c r="QNP229" s="1"/>
      <c r="QNQ229" s="1"/>
      <c r="QNR229" s="1"/>
      <c r="QNS229" s="1"/>
      <c r="QNT229" s="1"/>
      <c r="QNU229" s="1"/>
      <c r="QNV229" s="1"/>
      <c r="QNW229" s="1"/>
      <c r="QNX229" s="1"/>
      <c r="QNY229" s="1"/>
      <c r="QNZ229" s="1"/>
      <c r="QOA229" s="1"/>
      <c r="QOB229" s="1"/>
      <c r="QOC229" s="1"/>
      <c r="QOD229" s="1"/>
      <c r="QOE229" s="1"/>
      <c r="QOF229" s="1"/>
      <c r="QOG229" s="1"/>
      <c r="QOH229" s="1"/>
      <c r="QOI229" s="1"/>
      <c r="QOJ229" s="1"/>
      <c r="QOK229" s="1"/>
      <c r="QOL229" s="1"/>
      <c r="QOM229" s="1"/>
      <c r="QON229" s="1"/>
      <c r="QOO229" s="1"/>
      <c r="QOP229" s="1"/>
      <c r="QOQ229" s="1"/>
      <c r="QOR229" s="1"/>
      <c r="QOS229" s="1"/>
      <c r="QOT229" s="1"/>
      <c r="QOU229" s="1"/>
      <c r="QOV229" s="1"/>
      <c r="QOW229" s="1"/>
      <c r="QOX229" s="1"/>
      <c r="QOY229" s="1"/>
      <c r="QOZ229" s="1"/>
      <c r="QPA229" s="1"/>
      <c r="QPB229" s="1"/>
      <c r="QPC229" s="1"/>
      <c r="QPD229" s="1"/>
      <c r="QPE229" s="1"/>
      <c r="QPF229" s="1"/>
      <c r="QPG229" s="1"/>
      <c r="QPH229" s="1"/>
      <c r="QPI229" s="1"/>
      <c r="QPJ229" s="1"/>
      <c r="QPK229" s="1"/>
      <c r="QPL229" s="1"/>
      <c r="QPM229" s="1"/>
      <c r="QPN229" s="1"/>
      <c r="QPO229" s="1"/>
      <c r="QPP229" s="1"/>
      <c r="QPQ229" s="1"/>
      <c r="QPR229" s="1"/>
      <c r="QPS229" s="1"/>
      <c r="QPT229" s="1"/>
      <c r="QPU229" s="1"/>
      <c r="QPV229" s="1"/>
      <c r="QPW229" s="1"/>
      <c r="QPX229" s="1"/>
      <c r="QPY229" s="1"/>
      <c r="QPZ229" s="1"/>
      <c r="QQA229" s="1"/>
      <c r="QQB229" s="1"/>
      <c r="QQC229" s="1"/>
      <c r="QQD229" s="1"/>
      <c r="QQE229" s="1"/>
      <c r="QQF229" s="1"/>
      <c r="QQG229" s="1"/>
      <c r="QQH229" s="1"/>
      <c r="QQI229" s="1"/>
      <c r="QQJ229" s="1"/>
      <c r="QQK229" s="1"/>
      <c r="QQL229" s="1"/>
      <c r="QQM229" s="1"/>
      <c r="QQN229" s="1"/>
      <c r="QQO229" s="1"/>
      <c r="QQP229" s="1"/>
      <c r="QQQ229" s="1"/>
      <c r="QQR229" s="1"/>
      <c r="QQS229" s="1"/>
      <c r="QQT229" s="1"/>
      <c r="QQU229" s="1"/>
      <c r="QQV229" s="1"/>
      <c r="QQW229" s="1"/>
      <c r="QQX229" s="1"/>
      <c r="QQY229" s="1"/>
      <c r="QQZ229" s="1"/>
      <c r="QRA229" s="1"/>
      <c r="QRB229" s="1"/>
      <c r="QRC229" s="1"/>
      <c r="QRD229" s="1"/>
      <c r="QRE229" s="1"/>
      <c r="QRF229" s="1"/>
      <c r="QRG229" s="1"/>
      <c r="QRH229" s="1"/>
      <c r="QRI229" s="1"/>
      <c r="QRJ229" s="1"/>
      <c r="QRK229" s="1"/>
      <c r="QRL229" s="1"/>
      <c r="QRM229" s="1"/>
      <c r="QRN229" s="1"/>
      <c r="QRO229" s="1"/>
      <c r="QRP229" s="1"/>
      <c r="QRQ229" s="1"/>
      <c r="QRR229" s="1"/>
      <c r="QRS229" s="1"/>
      <c r="QRT229" s="1"/>
      <c r="QRU229" s="1"/>
      <c r="QRV229" s="1"/>
      <c r="QRW229" s="1"/>
      <c r="QRX229" s="1"/>
      <c r="QRY229" s="1"/>
      <c r="QRZ229" s="1"/>
      <c r="QSA229" s="1"/>
      <c r="QSB229" s="1"/>
      <c r="QSC229" s="1"/>
      <c r="QSD229" s="1"/>
      <c r="QSE229" s="1"/>
      <c r="QSF229" s="1"/>
      <c r="QSG229" s="1"/>
      <c r="QSH229" s="1"/>
      <c r="QSI229" s="1"/>
      <c r="QSJ229" s="1"/>
      <c r="QSK229" s="1"/>
      <c r="QSL229" s="1"/>
      <c r="QSM229" s="1"/>
      <c r="QSN229" s="1"/>
      <c r="QSO229" s="1"/>
      <c r="QSP229" s="1"/>
      <c r="QSQ229" s="1"/>
      <c r="QSR229" s="1"/>
      <c r="QSS229" s="1"/>
      <c r="QST229" s="1"/>
      <c r="QSU229" s="1"/>
      <c r="QSV229" s="1"/>
      <c r="QSW229" s="1"/>
      <c r="QSX229" s="1"/>
      <c r="QSY229" s="1"/>
      <c r="QSZ229" s="1"/>
      <c r="QTA229" s="1"/>
      <c r="QTB229" s="1"/>
      <c r="QTC229" s="1"/>
      <c r="QTD229" s="1"/>
      <c r="QTE229" s="1"/>
      <c r="QTF229" s="1"/>
      <c r="QTG229" s="1"/>
      <c r="QTH229" s="1"/>
      <c r="QTI229" s="1"/>
      <c r="QTJ229" s="1"/>
      <c r="QTK229" s="1"/>
      <c r="QTL229" s="1"/>
      <c r="QTM229" s="1"/>
      <c r="QTN229" s="1"/>
      <c r="QTO229" s="1"/>
      <c r="QTP229" s="1"/>
      <c r="QTQ229" s="1"/>
      <c r="QTR229" s="1"/>
      <c r="QTS229" s="1"/>
      <c r="QTT229" s="1"/>
      <c r="QTU229" s="1"/>
      <c r="QTV229" s="1"/>
      <c r="QTW229" s="1"/>
      <c r="QTX229" s="1"/>
      <c r="QTY229" s="1"/>
      <c r="QTZ229" s="1"/>
      <c r="QUA229" s="1"/>
      <c r="QUB229" s="1"/>
      <c r="QUC229" s="1"/>
      <c r="QUD229" s="1"/>
      <c r="QUE229" s="1"/>
      <c r="QUF229" s="1"/>
      <c r="QUG229" s="1"/>
      <c r="QUH229" s="1"/>
      <c r="QUI229" s="1"/>
      <c r="QUJ229" s="1"/>
      <c r="QUK229" s="1"/>
      <c r="QUL229" s="1"/>
      <c r="QUM229" s="1"/>
      <c r="QUN229" s="1"/>
      <c r="QUO229" s="1"/>
      <c r="QUP229" s="1"/>
      <c r="QUQ229" s="1"/>
      <c r="QUR229" s="1"/>
      <c r="QUS229" s="1"/>
      <c r="QUT229" s="1"/>
      <c r="QUU229" s="1"/>
      <c r="QUV229" s="1"/>
      <c r="QUW229" s="1"/>
      <c r="QUX229" s="1"/>
      <c r="QUY229" s="1"/>
      <c r="QUZ229" s="1"/>
      <c r="QVA229" s="1"/>
      <c r="QVB229" s="1"/>
      <c r="QVC229" s="1"/>
      <c r="QVD229" s="1"/>
      <c r="QVE229" s="1"/>
      <c r="QVF229" s="1"/>
      <c r="QVG229" s="1"/>
      <c r="QVH229" s="1"/>
      <c r="QVI229" s="1"/>
      <c r="QVJ229" s="1"/>
      <c r="QVK229" s="1"/>
      <c r="QVL229" s="1"/>
      <c r="QVM229" s="1"/>
      <c r="QVN229" s="1"/>
      <c r="QVO229" s="1"/>
      <c r="QVP229" s="1"/>
      <c r="QVQ229" s="1"/>
      <c r="QVR229" s="1"/>
      <c r="QVS229" s="1"/>
      <c r="QVT229" s="1"/>
      <c r="QVU229" s="1"/>
      <c r="QVV229" s="1"/>
      <c r="QVW229" s="1"/>
      <c r="QVX229" s="1"/>
      <c r="QVY229" s="1"/>
      <c r="QVZ229" s="1"/>
      <c r="QWA229" s="1"/>
      <c r="QWB229" s="1"/>
      <c r="QWC229" s="1"/>
      <c r="QWD229" s="1"/>
      <c r="QWE229" s="1"/>
      <c r="QWF229" s="1"/>
      <c r="QWG229" s="1"/>
      <c r="QWH229" s="1"/>
      <c r="QWI229" s="1"/>
      <c r="QWJ229" s="1"/>
      <c r="QWK229" s="1"/>
      <c r="QWL229" s="1"/>
      <c r="QWM229" s="1"/>
      <c r="QWN229" s="1"/>
      <c r="QWO229" s="1"/>
      <c r="QWP229" s="1"/>
      <c r="QWQ229" s="1"/>
      <c r="QWR229" s="1"/>
      <c r="QWS229" s="1"/>
      <c r="QWT229" s="1"/>
      <c r="QWU229" s="1"/>
      <c r="QWV229" s="1"/>
      <c r="QWW229" s="1"/>
      <c r="QWX229" s="1"/>
      <c r="QWY229" s="1"/>
      <c r="QWZ229" s="1"/>
      <c r="QXA229" s="1"/>
      <c r="QXB229" s="1"/>
      <c r="QXC229" s="1"/>
      <c r="QXD229" s="1"/>
      <c r="QXE229" s="1"/>
      <c r="QXF229" s="1"/>
      <c r="QXG229" s="1"/>
      <c r="QXH229" s="1"/>
      <c r="QXI229" s="1"/>
      <c r="QXJ229" s="1"/>
      <c r="QXK229" s="1"/>
      <c r="QXL229" s="1"/>
      <c r="QXM229" s="1"/>
      <c r="QXN229" s="1"/>
      <c r="QXO229" s="1"/>
      <c r="QXP229" s="1"/>
      <c r="QXQ229" s="1"/>
      <c r="QXR229" s="1"/>
      <c r="QXS229" s="1"/>
      <c r="QXT229" s="1"/>
      <c r="QXU229" s="1"/>
      <c r="QXV229" s="1"/>
      <c r="QXW229" s="1"/>
      <c r="QXX229" s="1"/>
      <c r="QXY229" s="1"/>
      <c r="QXZ229" s="1"/>
      <c r="QYA229" s="1"/>
      <c r="QYB229" s="1"/>
      <c r="QYC229" s="1"/>
      <c r="QYD229" s="1"/>
      <c r="QYE229" s="1"/>
      <c r="QYF229" s="1"/>
      <c r="QYG229" s="1"/>
      <c r="QYH229" s="1"/>
      <c r="QYI229" s="1"/>
      <c r="QYJ229" s="1"/>
      <c r="QYK229" s="1"/>
      <c r="QYL229" s="1"/>
      <c r="QYM229" s="1"/>
      <c r="QYN229" s="1"/>
      <c r="QYO229" s="1"/>
      <c r="QYP229" s="1"/>
      <c r="QYQ229" s="1"/>
      <c r="QYR229" s="1"/>
      <c r="QYS229" s="1"/>
      <c r="QYT229" s="1"/>
      <c r="QYU229" s="1"/>
      <c r="QYV229" s="1"/>
      <c r="QYW229" s="1"/>
      <c r="QYX229" s="1"/>
      <c r="QYY229" s="1"/>
      <c r="QYZ229" s="1"/>
      <c r="QZA229" s="1"/>
      <c r="QZB229" s="1"/>
      <c r="QZC229" s="1"/>
      <c r="QZD229" s="1"/>
      <c r="QZE229" s="1"/>
      <c r="QZF229" s="1"/>
      <c r="QZG229" s="1"/>
      <c r="QZH229" s="1"/>
      <c r="QZI229" s="1"/>
      <c r="QZJ229" s="1"/>
      <c r="QZK229" s="1"/>
      <c r="QZL229" s="1"/>
      <c r="QZM229" s="1"/>
      <c r="QZN229" s="1"/>
      <c r="QZO229" s="1"/>
      <c r="QZP229" s="1"/>
      <c r="QZQ229" s="1"/>
      <c r="QZR229" s="1"/>
      <c r="QZS229" s="1"/>
      <c r="QZT229" s="1"/>
      <c r="QZU229" s="1"/>
      <c r="QZV229" s="1"/>
      <c r="QZW229" s="1"/>
      <c r="QZX229" s="1"/>
      <c r="QZY229" s="1"/>
      <c r="QZZ229" s="1"/>
      <c r="RAA229" s="1"/>
      <c r="RAB229" s="1"/>
      <c r="RAC229" s="1"/>
      <c r="RAD229" s="1"/>
      <c r="RAE229" s="1"/>
      <c r="RAF229" s="1"/>
      <c r="RAG229" s="1"/>
      <c r="RAH229" s="1"/>
      <c r="RAI229" s="1"/>
      <c r="RAJ229" s="1"/>
      <c r="RAK229" s="1"/>
      <c r="RAL229" s="1"/>
      <c r="RAM229" s="1"/>
      <c r="RAN229" s="1"/>
      <c r="RAO229" s="1"/>
      <c r="RAP229" s="1"/>
      <c r="RAQ229" s="1"/>
      <c r="RAR229" s="1"/>
      <c r="RAS229" s="1"/>
      <c r="RAT229" s="1"/>
      <c r="RAU229" s="1"/>
      <c r="RAV229" s="1"/>
      <c r="RAW229" s="1"/>
      <c r="RAX229" s="1"/>
      <c r="RAY229" s="1"/>
      <c r="RAZ229" s="1"/>
      <c r="RBA229" s="1"/>
      <c r="RBB229" s="1"/>
      <c r="RBC229" s="1"/>
      <c r="RBD229" s="1"/>
      <c r="RBE229" s="1"/>
      <c r="RBF229" s="1"/>
      <c r="RBG229" s="1"/>
      <c r="RBH229" s="1"/>
      <c r="RBI229" s="1"/>
      <c r="RBJ229" s="1"/>
      <c r="RBK229" s="1"/>
      <c r="RBL229" s="1"/>
      <c r="RBM229" s="1"/>
      <c r="RBN229" s="1"/>
      <c r="RBO229" s="1"/>
      <c r="RBP229" s="1"/>
      <c r="RBQ229" s="1"/>
      <c r="RBR229" s="1"/>
      <c r="RBS229" s="1"/>
      <c r="RBT229" s="1"/>
      <c r="RBU229" s="1"/>
      <c r="RBV229" s="1"/>
      <c r="RBW229" s="1"/>
      <c r="RBX229" s="1"/>
      <c r="RBY229" s="1"/>
      <c r="RBZ229" s="1"/>
      <c r="RCA229" s="1"/>
      <c r="RCB229" s="1"/>
      <c r="RCC229" s="1"/>
      <c r="RCD229" s="1"/>
      <c r="RCE229" s="1"/>
      <c r="RCF229" s="1"/>
      <c r="RCG229" s="1"/>
      <c r="RCH229" s="1"/>
      <c r="RCI229" s="1"/>
      <c r="RCJ229" s="1"/>
      <c r="RCK229" s="1"/>
      <c r="RCL229" s="1"/>
      <c r="RCM229" s="1"/>
      <c r="RCN229" s="1"/>
      <c r="RCO229" s="1"/>
      <c r="RCP229" s="1"/>
      <c r="RCQ229" s="1"/>
      <c r="RCR229" s="1"/>
      <c r="RCS229" s="1"/>
      <c r="RCT229" s="1"/>
      <c r="RCU229" s="1"/>
      <c r="RCV229" s="1"/>
      <c r="RCW229" s="1"/>
      <c r="RCX229" s="1"/>
      <c r="RCY229" s="1"/>
      <c r="RCZ229" s="1"/>
      <c r="RDA229" s="1"/>
      <c r="RDB229" s="1"/>
      <c r="RDC229" s="1"/>
      <c r="RDD229" s="1"/>
      <c r="RDE229" s="1"/>
      <c r="RDF229" s="1"/>
      <c r="RDG229" s="1"/>
      <c r="RDH229" s="1"/>
      <c r="RDI229" s="1"/>
      <c r="RDJ229" s="1"/>
      <c r="RDK229" s="1"/>
      <c r="RDL229" s="1"/>
      <c r="RDM229" s="1"/>
      <c r="RDN229" s="1"/>
      <c r="RDO229" s="1"/>
      <c r="RDP229" s="1"/>
      <c r="RDQ229" s="1"/>
      <c r="RDR229" s="1"/>
      <c r="RDS229" s="1"/>
      <c r="RDT229" s="1"/>
      <c r="RDU229" s="1"/>
      <c r="RDV229" s="1"/>
      <c r="RDW229" s="1"/>
      <c r="RDX229" s="1"/>
      <c r="RDY229" s="1"/>
      <c r="RDZ229" s="1"/>
      <c r="REA229" s="1"/>
      <c r="REB229" s="1"/>
      <c r="REC229" s="1"/>
      <c r="RED229" s="1"/>
      <c r="REE229" s="1"/>
      <c r="REF229" s="1"/>
      <c r="REG229" s="1"/>
      <c r="REH229" s="1"/>
      <c r="REI229" s="1"/>
      <c r="REJ229" s="1"/>
      <c r="REK229" s="1"/>
      <c r="REL229" s="1"/>
      <c r="REM229" s="1"/>
      <c r="REN229" s="1"/>
      <c r="REO229" s="1"/>
      <c r="REP229" s="1"/>
      <c r="REQ229" s="1"/>
      <c r="RER229" s="1"/>
      <c r="RES229" s="1"/>
      <c r="RET229" s="1"/>
      <c r="REU229" s="1"/>
      <c r="REV229" s="1"/>
      <c r="REW229" s="1"/>
      <c r="REX229" s="1"/>
      <c r="REY229" s="1"/>
      <c r="REZ229" s="1"/>
      <c r="RFA229" s="1"/>
      <c r="RFB229" s="1"/>
      <c r="RFC229" s="1"/>
      <c r="RFD229" s="1"/>
      <c r="RFE229" s="1"/>
      <c r="RFF229" s="1"/>
      <c r="RFG229" s="1"/>
      <c r="RFH229" s="1"/>
      <c r="RFI229" s="1"/>
      <c r="RFJ229" s="1"/>
      <c r="RFK229" s="1"/>
      <c r="RFL229" s="1"/>
      <c r="RFM229" s="1"/>
      <c r="RFN229" s="1"/>
      <c r="RFO229" s="1"/>
      <c r="RFP229" s="1"/>
      <c r="RFQ229" s="1"/>
      <c r="RFR229" s="1"/>
      <c r="RFS229" s="1"/>
      <c r="RFT229" s="1"/>
      <c r="RFU229" s="1"/>
      <c r="RFV229" s="1"/>
      <c r="RFW229" s="1"/>
      <c r="RFX229" s="1"/>
      <c r="RFY229" s="1"/>
      <c r="RFZ229" s="1"/>
      <c r="RGA229" s="1"/>
      <c r="RGB229" s="1"/>
      <c r="RGC229" s="1"/>
      <c r="RGD229" s="1"/>
      <c r="RGE229" s="1"/>
      <c r="RGF229" s="1"/>
      <c r="RGG229" s="1"/>
      <c r="RGH229" s="1"/>
      <c r="RGI229" s="1"/>
      <c r="RGJ229" s="1"/>
      <c r="RGK229" s="1"/>
      <c r="RGL229" s="1"/>
      <c r="RGM229" s="1"/>
      <c r="RGN229" s="1"/>
      <c r="RGO229" s="1"/>
      <c r="RGP229" s="1"/>
      <c r="RGQ229" s="1"/>
      <c r="RGR229" s="1"/>
      <c r="RGS229" s="1"/>
      <c r="RGT229" s="1"/>
      <c r="RGU229" s="1"/>
      <c r="RGV229" s="1"/>
      <c r="RGW229" s="1"/>
      <c r="RGX229" s="1"/>
      <c r="RGY229" s="1"/>
      <c r="RGZ229" s="1"/>
      <c r="RHA229" s="1"/>
      <c r="RHB229" s="1"/>
      <c r="RHC229" s="1"/>
      <c r="RHD229" s="1"/>
      <c r="RHE229" s="1"/>
      <c r="RHF229" s="1"/>
      <c r="RHG229" s="1"/>
      <c r="RHH229" s="1"/>
      <c r="RHI229" s="1"/>
      <c r="RHJ229" s="1"/>
      <c r="RHK229" s="1"/>
      <c r="RHL229" s="1"/>
      <c r="RHM229" s="1"/>
      <c r="RHN229" s="1"/>
      <c r="RHO229" s="1"/>
      <c r="RHP229" s="1"/>
      <c r="RHQ229" s="1"/>
      <c r="RHR229" s="1"/>
      <c r="RHS229" s="1"/>
      <c r="RHT229" s="1"/>
      <c r="RHU229" s="1"/>
      <c r="RHV229" s="1"/>
      <c r="RHW229" s="1"/>
      <c r="RHX229" s="1"/>
      <c r="RHY229" s="1"/>
      <c r="RHZ229" s="1"/>
      <c r="RIA229" s="1"/>
      <c r="RIB229" s="1"/>
      <c r="RIC229" s="1"/>
      <c r="RID229" s="1"/>
      <c r="RIE229" s="1"/>
      <c r="RIF229" s="1"/>
      <c r="RIG229" s="1"/>
      <c r="RIH229" s="1"/>
      <c r="RII229" s="1"/>
      <c r="RIJ229" s="1"/>
      <c r="RIK229" s="1"/>
      <c r="RIL229" s="1"/>
      <c r="RIM229" s="1"/>
      <c r="RIN229" s="1"/>
      <c r="RIO229" s="1"/>
      <c r="RIP229" s="1"/>
      <c r="RIQ229" s="1"/>
      <c r="RIR229" s="1"/>
      <c r="RIS229" s="1"/>
      <c r="RIT229" s="1"/>
      <c r="RIU229" s="1"/>
      <c r="RIV229" s="1"/>
      <c r="RIW229" s="1"/>
      <c r="RIX229" s="1"/>
      <c r="RIY229" s="1"/>
      <c r="RIZ229" s="1"/>
      <c r="RJA229" s="1"/>
      <c r="RJB229" s="1"/>
      <c r="RJC229" s="1"/>
      <c r="RJD229" s="1"/>
      <c r="RJE229" s="1"/>
      <c r="RJF229" s="1"/>
      <c r="RJG229" s="1"/>
      <c r="RJH229" s="1"/>
      <c r="RJI229" s="1"/>
      <c r="RJJ229" s="1"/>
      <c r="RJK229" s="1"/>
      <c r="RJL229" s="1"/>
      <c r="RJM229" s="1"/>
      <c r="RJN229" s="1"/>
      <c r="RJO229" s="1"/>
      <c r="RJP229" s="1"/>
      <c r="RJQ229" s="1"/>
      <c r="RJR229" s="1"/>
      <c r="RJS229" s="1"/>
      <c r="RJT229" s="1"/>
      <c r="RJU229" s="1"/>
      <c r="RJV229" s="1"/>
      <c r="RJW229" s="1"/>
      <c r="RJX229" s="1"/>
      <c r="RJY229" s="1"/>
      <c r="RJZ229" s="1"/>
      <c r="RKA229" s="1"/>
      <c r="RKB229" s="1"/>
      <c r="RKC229" s="1"/>
      <c r="RKD229" s="1"/>
      <c r="RKE229" s="1"/>
      <c r="RKF229" s="1"/>
      <c r="RKG229" s="1"/>
      <c r="RKH229" s="1"/>
      <c r="RKI229" s="1"/>
      <c r="RKJ229" s="1"/>
      <c r="RKK229" s="1"/>
      <c r="RKL229" s="1"/>
      <c r="RKM229" s="1"/>
      <c r="RKN229" s="1"/>
      <c r="RKO229" s="1"/>
      <c r="RKP229" s="1"/>
      <c r="RKQ229" s="1"/>
      <c r="RKR229" s="1"/>
      <c r="RKS229" s="1"/>
      <c r="RKT229" s="1"/>
      <c r="RKU229" s="1"/>
      <c r="RKV229" s="1"/>
      <c r="RKW229" s="1"/>
      <c r="RKX229" s="1"/>
      <c r="RKY229" s="1"/>
      <c r="RKZ229" s="1"/>
      <c r="RLA229" s="1"/>
      <c r="RLB229" s="1"/>
      <c r="RLC229" s="1"/>
      <c r="RLD229" s="1"/>
      <c r="RLE229" s="1"/>
      <c r="RLF229" s="1"/>
      <c r="RLG229" s="1"/>
      <c r="RLH229" s="1"/>
      <c r="RLI229" s="1"/>
      <c r="RLJ229" s="1"/>
      <c r="RLK229" s="1"/>
      <c r="RLL229" s="1"/>
      <c r="RLM229" s="1"/>
      <c r="RLN229" s="1"/>
      <c r="RLO229" s="1"/>
      <c r="RLP229" s="1"/>
      <c r="RLQ229" s="1"/>
      <c r="RLR229" s="1"/>
      <c r="RLS229" s="1"/>
      <c r="RLT229" s="1"/>
      <c r="RLU229" s="1"/>
      <c r="RLV229" s="1"/>
      <c r="RLW229" s="1"/>
      <c r="RLX229" s="1"/>
      <c r="RLY229" s="1"/>
      <c r="RLZ229" s="1"/>
      <c r="RMA229" s="1"/>
      <c r="RMB229" s="1"/>
      <c r="RMC229" s="1"/>
      <c r="RMD229" s="1"/>
      <c r="RME229" s="1"/>
      <c r="RMF229" s="1"/>
      <c r="RMG229" s="1"/>
      <c r="RMH229" s="1"/>
      <c r="RMI229" s="1"/>
      <c r="RMJ229" s="1"/>
      <c r="RMK229" s="1"/>
      <c r="RML229" s="1"/>
      <c r="RMM229" s="1"/>
      <c r="RMN229" s="1"/>
      <c r="RMO229" s="1"/>
      <c r="RMP229" s="1"/>
      <c r="RMQ229" s="1"/>
      <c r="RMR229" s="1"/>
      <c r="RMS229" s="1"/>
      <c r="RMT229" s="1"/>
      <c r="RMU229" s="1"/>
      <c r="RMV229" s="1"/>
      <c r="RMW229" s="1"/>
      <c r="RMX229" s="1"/>
      <c r="RMY229" s="1"/>
      <c r="RMZ229" s="1"/>
      <c r="RNA229" s="1"/>
      <c r="RNB229" s="1"/>
      <c r="RNC229" s="1"/>
      <c r="RND229" s="1"/>
      <c r="RNE229" s="1"/>
      <c r="RNF229" s="1"/>
      <c r="RNG229" s="1"/>
      <c r="RNH229" s="1"/>
      <c r="RNI229" s="1"/>
      <c r="RNJ229" s="1"/>
      <c r="RNK229" s="1"/>
      <c r="RNL229" s="1"/>
      <c r="RNM229" s="1"/>
      <c r="RNN229" s="1"/>
      <c r="RNO229" s="1"/>
      <c r="RNP229" s="1"/>
      <c r="RNQ229" s="1"/>
      <c r="RNR229" s="1"/>
      <c r="RNS229" s="1"/>
      <c r="RNT229" s="1"/>
      <c r="RNU229" s="1"/>
      <c r="RNV229" s="1"/>
      <c r="RNW229" s="1"/>
      <c r="RNX229" s="1"/>
      <c r="RNY229" s="1"/>
      <c r="RNZ229" s="1"/>
      <c r="ROA229" s="1"/>
      <c r="ROB229" s="1"/>
      <c r="ROC229" s="1"/>
      <c r="ROD229" s="1"/>
      <c r="ROE229" s="1"/>
      <c r="ROF229" s="1"/>
      <c r="ROG229" s="1"/>
      <c r="ROH229" s="1"/>
      <c r="ROI229" s="1"/>
      <c r="ROJ229" s="1"/>
      <c r="ROK229" s="1"/>
      <c r="ROL229" s="1"/>
      <c r="ROM229" s="1"/>
      <c r="RON229" s="1"/>
      <c r="ROO229" s="1"/>
      <c r="ROP229" s="1"/>
      <c r="ROQ229" s="1"/>
      <c r="ROR229" s="1"/>
      <c r="ROS229" s="1"/>
      <c r="ROT229" s="1"/>
      <c r="ROU229" s="1"/>
      <c r="ROV229" s="1"/>
      <c r="ROW229" s="1"/>
      <c r="ROX229" s="1"/>
      <c r="ROY229" s="1"/>
      <c r="ROZ229" s="1"/>
      <c r="RPA229" s="1"/>
      <c r="RPB229" s="1"/>
      <c r="RPC229" s="1"/>
      <c r="RPD229" s="1"/>
      <c r="RPE229" s="1"/>
      <c r="RPF229" s="1"/>
      <c r="RPG229" s="1"/>
      <c r="RPH229" s="1"/>
      <c r="RPI229" s="1"/>
      <c r="RPJ229" s="1"/>
      <c r="RPK229" s="1"/>
      <c r="RPL229" s="1"/>
      <c r="RPM229" s="1"/>
      <c r="RPN229" s="1"/>
      <c r="RPO229" s="1"/>
      <c r="RPP229" s="1"/>
      <c r="RPQ229" s="1"/>
      <c r="RPR229" s="1"/>
      <c r="RPS229" s="1"/>
      <c r="RPT229" s="1"/>
      <c r="RPU229" s="1"/>
      <c r="RPV229" s="1"/>
      <c r="RPW229" s="1"/>
      <c r="RPX229" s="1"/>
      <c r="RPY229" s="1"/>
      <c r="RPZ229" s="1"/>
      <c r="RQA229" s="1"/>
      <c r="RQB229" s="1"/>
      <c r="RQC229" s="1"/>
      <c r="RQD229" s="1"/>
      <c r="RQE229" s="1"/>
      <c r="RQF229" s="1"/>
      <c r="RQG229" s="1"/>
      <c r="RQH229" s="1"/>
      <c r="RQI229" s="1"/>
      <c r="RQJ229" s="1"/>
      <c r="RQK229" s="1"/>
      <c r="RQL229" s="1"/>
      <c r="RQM229" s="1"/>
      <c r="RQN229" s="1"/>
      <c r="RQO229" s="1"/>
      <c r="RQP229" s="1"/>
      <c r="RQQ229" s="1"/>
      <c r="RQR229" s="1"/>
      <c r="RQS229" s="1"/>
      <c r="RQT229" s="1"/>
      <c r="RQU229" s="1"/>
      <c r="RQV229" s="1"/>
      <c r="RQW229" s="1"/>
      <c r="RQX229" s="1"/>
      <c r="RQY229" s="1"/>
      <c r="RQZ229" s="1"/>
      <c r="RRA229" s="1"/>
      <c r="RRB229" s="1"/>
      <c r="RRC229" s="1"/>
      <c r="RRD229" s="1"/>
      <c r="RRE229" s="1"/>
      <c r="RRF229" s="1"/>
      <c r="RRG229" s="1"/>
      <c r="RRH229" s="1"/>
      <c r="RRI229" s="1"/>
      <c r="RRJ229" s="1"/>
      <c r="RRK229" s="1"/>
      <c r="RRL229" s="1"/>
      <c r="RRM229" s="1"/>
      <c r="RRN229" s="1"/>
      <c r="RRO229" s="1"/>
      <c r="RRP229" s="1"/>
      <c r="RRQ229" s="1"/>
      <c r="RRR229" s="1"/>
      <c r="RRS229" s="1"/>
      <c r="RRT229" s="1"/>
      <c r="RRU229" s="1"/>
      <c r="RRV229" s="1"/>
      <c r="RRW229" s="1"/>
      <c r="RRX229" s="1"/>
      <c r="RRY229" s="1"/>
      <c r="RRZ229" s="1"/>
      <c r="RSA229" s="1"/>
      <c r="RSB229" s="1"/>
      <c r="RSC229" s="1"/>
      <c r="RSD229" s="1"/>
      <c r="RSE229" s="1"/>
      <c r="RSF229" s="1"/>
      <c r="RSG229" s="1"/>
      <c r="RSH229" s="1"/>
      <c r="RSI229" s="1"/>
      <c r="RSJ229" s="1"/>
      <c r="RSK229" s="1"/>
      <c r="RSL229" s="1"/>
      <c r="RSM229" s="1"/>
      <c r="RSN229" s="1"/>
      <c r="RSO229" s="1"/>
      <c r="RSP229" s="1"/>
      <c r="RSQ229" s="1"/>
      <c r="RSR229" s="1"/>
      <c r="RSS229" s="1"/>
      <c r="RST229" s="1"/>
      <c r="RSU229" s="1"/>
      <c r="RSV229" s="1"/>
      <c r="RSW229" s="1"/>
      <c r="RSX229" s="1"/>
      <c r="RSY229" s="1"/>
      <c r="RSZ229" s="1"/>
      <c r="RTA229" s="1"/>
      <c r="RTB229" s="1"/>
      <c r="RTC229" s="1"/>
      <c r="RTD229" s="1"/>
      <c r="RTE229" s="1"/>
      <c r="RTF229" s="1"/>
      <c r="RTG229" s="1"/>
      <c r="RTH229" s="1"/>
      <c r="RTI229" s="1"/>
      <c r="RTJ229" s="1"/>
      <c r="RTK229" s="1"/>
      <c r="RTL229" s="1"/>
      <c r="RTM229" s="1"/>
      <c r="RTN229" s="1"/>
      <c r="RTO229" s="1"/>
      <c r="RTP229" s="1"/>
      <c r="RTQ229" s="1"/>
      <c r="RTR229" s="1"/>
      <c r="RTS229" s="1"/>
      <c r="RTT229" s="1"/>
      <c r="RTU229" s="1"/>
      <c r="RTV229" s="1"/>
      <c r="RTW229" s="1"/>
      <c r="RTX229" s="1"/>
      <c r="RTY229" s="1"/>
      <c r="RTZ229" s="1"/>
      <c r="RUA229" s="1"/>
      <c r="RUB229" s="1"/>
      <c r="RUC229" s="1"/>
      <c r="RUD229" s="1"/>
      <c r="RUE229" s="1"/>
      <c r="RUF229" s="1"/>
      <c r="RUG229" s="1"/>
      <c r="RUH229" s="1"/>
      <c r="RUI229" s="1"/>
      <c r="RUJ229" s="1"/>
      <c r="RUK229" s="1"/>
      <c r="RUL229" s="1"/>
      <c r="RUM229" s="1"/>
      <c r="RUN229" s="1"/>
      <c r="RUO229" s="1"/>
      <c r="RUP229" s="1"/>
      <c r="RUQ229" s="1"/>
      <c r="RUR229" s="1"/>
      <c r="RUS229" s="1"/>
      <c r="RUT229" s="1"/>
      <c r="RUU229" s="1"/>
      <c r="RUV229" s="1"/>
      <c r="RUW229" s="1"/>
      <c r="RUX229" s="1"/>
      <c r="RUY229" s="1"/>
      <c r="RUZ229" s="1"/>
      <c r="RVA229" s="1"/>
      <c r="RVB229" s="1"/>
      <c r="RVC229" s="1"/>
      <c r="RVD229" s="1"/>
      <c r="RVE229" s="1"/>
      <c r="RVF229" s="1"/>
      <c r="RVG229" s="1"/>
      <c r="RVH229" s="1"/>
      <c r="RVI229" s="1"/>
      <c r="RVJ229" s="1"/>
      <c r="RVK229" s="1"/>
      <c r="RVL229" s="1"/>
      <c r="RVM229" s="1"/>
      <c r="RVN229" s="1"/>
      <c r="RVO229" s="1"/>
      <c r="RVP229" s="1"/>
      <c r="RVQ229" s="1"/>
      <c r="RVR229" s="1"/>
      <c r="RVS229" s="1"/>
      <c r="RVT229" s="1"/>
      <c r="RVU229" s="1"/>
      <c r="RVV229" s="1"/>
      <c r="RVW229" s="1"/>
      <c r="RVX229" s="1"/>
      <c r="RVY229" s="1"/>
      <c r="RVZ229" s="1"/>
      <c r="RWA229" s="1"/>
      <c r="RWB229" s="1"/>
      <c r="RWC229" s="1"/>
      <c r="RWD229" s="1"/>
      <c r="RWE229" s="1"/>
      <c r="RWF229" s="1"/>
      <c r="RWG229" s="1"/>
      <c r="RWH229" s="1"/>
      <c r="RWI229" s="1"/>
      <c r="RWJ229" s="1"/>
      <c r="RWK229" s="1"/>
      <c r="RWL229" s="1"/>
      <c r="RWM229" s="1"/>
      <c r="RWN229" s="1"/>
      <c r="RWO229" s="1"/>
      <c r="RWP229" s="1"/>
      <c r="RWQ229" s="1"/>
      <c r="RWR229" s="1"/>
      <c r="RWS229" s="1"/>
      <c r="RWT229" s="1"/>
      <c r="RWU229" s="1"/>
      <c r="RWV229" s="1"/>
      <c r="RWW229" s="1"/>
      <c r="RWX229" s="1"/>
      <c r="RWY229" s="1"/>
      <c r="RWZ229" s="1"/>
      <c r="RXA229" s="1"/>
      <c r="RXB229" s="1"/>
      <c r="RXC229" s="1"/>
      <c r="RXD229" s="1"/>
      <c r="RXE229" s="1"/>
      <c r="RXF229" s="1"/>
      <c r="RXG229" s="1"/>
      <c r="RXH229" s="1"/>
      <c r="RXI229" s="1"/>
      <c r="RXJ229" s="1"/>
      <c r="RXK229" s="1"/>
      <c r="RXL229" s="1"/>
      <c r="RXM229" s="1"/>
      <c r="RXN229" s="1"/>
      <c r="RXO229" s="1"/>
      <c r="RXP229" s="1"/>
      <c r="RXQ229" s="1"/>
      <c r="RXR229" s="1"/>
      <c r="RXS229" s="1"/>
      <c r="RXT229" s="1"/>
      <c r="RXU229" s="1"/>
      <c r="RXV229" s="1"/>
      <c r="RXW229" s="1"/>
      <c r="RXX229" s="1"/>
      <c r="RXY229" s="1"/>
      <c r="RXZ229" s="1"/>
      <c r="RYA229" s="1"/>
      <c r="RYB229" s="1"/>
      <c r="RYC229" s="1"/>
      <c r="RYD229" s="1"/>
      <c r="RYE229" s="1"/>
      <c r="RYF229" s="1"/>
      <c r="RYG229" s="1"/>
      <c r="RYH229" s="1"/>
      <c r="RYI229" s="1"/>
      <c r="RYJ229" s="1"/>
      <c r="RYK229" s="1"/>
      <c r="RYL229" s="1"/>
      <c r="RYM229" s="1"/>
      <c r="RYN229" s="1"/>
      <c r="RYO229" s="1"/>
      <c r="RYP229" s="1"/>
      <c r="RYQ229" s="1"/>
      <c r="RYR229" s="1"/>
      <c r="RYS229" s="1"/>
      <c r="RYT229" s="1"/>
      <c r="RYU229" s="1"/>
      <c r="RYV229" s="1"/>
      <c r="RYW229" s="1"/>
      <c r="RYX229" s="1"/>
      <c r="RYY229" s="1"/>
      <c r="RYZ229" s="1"/>
      <c r="RZA229" s="1"/>
      <c r="RZB229" s="1"/>
      <c r="RZC229" s="1"/>
      <c r="RZD229" s="1"/>
      <c r="RZE229" s="1"/>
      <c r="RZF229" s="1"/>
      <c r="RZG229" s="1"/>
      <c r="RZH229" s="1"/>
      <c r="RZI229" s="1"/>
      <c r="RZJ229" s="1"/>
      <c r="RZK229" s="1"/>
      <c r="RZL229" s="1"/>
      <c r="RZM229" s="1"/>
      <c r="RZN229" s="1"/>
      <c r="RZO229" s="1"/>
      <c r="RZP229" s="1"/>
      <c r="RZQ229" s="1"/>
      <c r="RZR229" s="1"/>
      <c r="RZS229" s="1"/>
      <c r="RZT229" s="1"/>
      <c r="RZU229" s="1"/>
      <c r="RZV229" s="1"/>
      <c r="RZW229" s="1"/>
      <c r="RZX229" s="1"/>
      <c r="RZY229" s="1"/>
      <c r="RZZ229" s="1"/>
      <c r="SAA229" s="1"/>
      <c r="SAB229" s="1"/>
      <c r="SAC229" s="1"/>
      <c r="SAD229" s="1"/>
      <c r="SAE229" s="1"/>
      <c r="SAF229" s="1"/>
      <c r="SAG229" s="1"/>
      <c r="SAH229" s="1"/>
      <c r="SAI229" s="1"/>
      <c r="SAJ229" s="1"/>
      <c r="SAK229" s="1"/>
      <c r="SAL229" s="1"/>
      <c r="SAM229" s="1"/>
      <c r="SAN229" s="1"/>
      <c r="SAO229" s="1"/>
      <c r="SAP229" s="1"/>
      <c r="SAQ229" s="1"/>
      <c r="SAR229" s="1"/>
      <c r="SAS229" s="1"/>
      <c r="SAT229" s="1"/>
      <c r="SAU229" s="1"/>
      <c r="SAV229" s="1"/>
      <c r="SAW229" s="1"/>
      <c r="SAX229" s="1"/>
      <c r="SAY229" s="1"/>
      <c r="SAZ229" s="1"/>
      <c r="SBA229" s="1"/>
      <c r="SBB229" s="1"/>
      <c r="SBC229" s="1"/>
      <c r="SBD229" s="1"/>
      <c r="SBE229" s="1"/>
      <c r="SBF229" s="1"/>
      <c r="SBG229" s="1"/>
      <c r="SBH229" s="1"/>
      <c r="SBI229" s="1"/>
      <c r="SBJ229" s="1"/>
      <c r="SBK229" s="1"/>
      <c r="SBL229" s="1"/>
      <c r="SBM229" s="1"/>
      <c r="SBN229" s="1"/>
      <c r="SBO229" s="1"/>
      <c r="SBP229" s="1"/>
      <c r="SBQ229" s="1"/>
      <c r="SBR229" s="1"/>
      <c r="SBS229" s="1"/>
      <c r="SBT229" s="1"/>
      <c r="SBU229" s="1"/>
      <c r="SBV229" s="1"/>
      <c r="SBW229" s="1"/>
      <c r="SBX229" s="1"/>
      <c r="SBY229" s="1"/>
      <c r="SBZ229" s="1"/>
      <c r="SCA229" s="1"/>
      <c r="SCB229" s="1"/>
      <c r="SCC229" s="1"/>
      <c r="SCD229" s="1"/>
      <c r="SCE229" s="1"/>
      <c r="SCF229" s="1"/>
      <c r="SCG229" s="1"/>
      <c r="SCH229" s="1"/>
      <c r="SCI229" s="1"/>
      <c r="SCJ229" s="1"/>
      <c r="SCK229" s="1"/>
      <c r="SCL229" s="1"/>
      <c r="SCM229" s="1"/>
      <c r="SCN229" s="1"/>
      <c r="SCO229" s="1"/>
      <c r="SCP229" s="1"/>
      <c r="SCQ229" s="1"/>
      <c r="SCR229" s="1"/>
      <c r="SCS229" s="1"/>
      <c r="SCT229" s="1"/>
      <c r="SCU229" s="1"/>
      <c r="SCV229" s="1"/>
      <c r="SCW229" s="1"/>
      <c r="SCX229" s="1"/>
      <c r="SCY229" s="1"/>
      <c r="SCZ229" s="1"/>
      <c r="SDA229" s="1"/>
      <c r="SDB229" s="1"/>
      <c r="SDC229" s="1"/>
      <c r="SDD229" s="1"/>
      <c r="SDE229" s="1"/>
      <c r="SDF229" s="1"/>
      <c r="SDG229" s="1"/>
      <c r="SDH229" s="1"/>
      <c r="SDI229" s="1"/>
      <c r="SDJ229" s="1"/>
      <c r="SDK229" s="1"/>
      <c r="SDL229" s="1"/>
      <c r="SDM229" s="1"/>
      <c r="SDN229" s="1"/>
      <c r="SDO229" s="1"/>
      <c r="SDP229" s="1"/>
      <c r="SDQ229" s="1"/>
      <c r="SDR229" s="1"/>
      <c r="SDS229" s="1"/>
      <c r="SDT229" s="1"/>
      <c r="SDU229" s="1"/>
      <c r="SDV229" s="1"/>
      <c r="SDW229" s="1"/>
      <c r="SDX229" s="1"/>
      <c r="SDY229" s="1"/>
      <c r="SDZ229" s="1"/>
      <c r="SEA229" s="1"/>
      <c r="SEB229" s="1"/>
      <c r="SEC229" s="1"/>
      <c r="SED229" s="1"/>
      <c r="SEE229" s="1"/>
      <c r="SEF229" s="1"/>
      <c r="SEG229" s="1"/>
      <c r="SEH229" s="1"/>
      <c r="SEI229" s="1"/>
      <c r="SEJ229" s="1"/>
      <c r="SEK229" s="1"/>
      <c r="SEL229" s="1"/>
      <c r="SEM229" s="1"/>
      <c r="SEN229" s="1"/>
      <c r="SEO229" s="1"/>
      <c r="SEP229" s="1"/>
      <c r="SEQ229" s="1"/>
      <c r="SER229" s="1"/>
      <c r="SES229" s="1"/>
      <c r="SET229" s="1"/>
      <c r="SEU229" s="1"/>
      <c r="SEV229" s="1"/>
      <c r="SEW229" s="1"/>
      <c r="SEX229" s="1"/>
      <c r="SEY229" s="1"/>
      <c r="SEZ229" s="1"/>
      <c r="SFA229" s="1"/>
      <c r="SFB229" s="1"/>
      <c r="SFC229" s="1"/>
      <c r="SFD229" s="1"/>
      <c r="SFE229" s="1"/>
      <c r="SFF229" s="1"/>
      <c r="SFG229" s="1"/>
      <c r="SFH229" s="1"/>
      <c r="SFI229" s="1"/>
      <c r="SFJ229" s="1"/>
      <c r="SFK229" s="1"/>
      <c r="SFL229" s="1"/>
      <c r="SFM229" s="1"/>
      <c r="SFN229" s="1"/>
      <c r="SFO229" s="1"/>
      <c r="SFP229" s="1"/>
      <c r="SFQ229" s="1"/>
      <c r="SFR229" s="1"/>
      <c r="SFS229" s="1"/>
      <c r="SFT229" s="1"/>
      <c r="SFU229" s="1"/>
      <c r="SFV229" s="1"/>
      <c r="SFW229" s="1"/>
      <c r="SFX229" s="1"/>
      <c r="SFY229" s="1"/>
      <c r="SFZ229" s="1"/>
      <c r="SGA229" s="1"/>
      <c r="SGB229" s="1"/>
      <c r="SGC229" s="1"/>
      <c r="SGD229" s="1"/>
      <c r="SGE229" s="1"/>
      <c r="SGF229" s="1"/>
      <c r="SGG229" s="1"/>
      <c r="SGH229" s="1"/>
      <c r="SGI229" s="1"/>
      <c r="SGJ229" s="1"/>
      <c r="SGK229" s="1"/>
      <c r="SGL229" s="1"/>
      <c r="SGM229" s="1"/>
      <c r="SGN229" s="1"/>
      <c r="SGO229" s="1"/>
      <c r="SGP229" s="1"/>
      <c r="SGQ229" s="1"/>
      <c r="SGR229" s="1"/>
      <c r="SGS229" s="1"/>
      <c r="SGT229" s="1"/>
      <c r="SGU229" s="1"/>
      <c r="SGV229" s="1"/>
      <c r="SGW229" s="1"/>
      <c r="SGX229" s="1"/>
      <c r="SGY229" s="1"/>
      <c r="SGZ229" s="1"/>
      <c r="SHA229" s="1"/>
      <c r="SHB229" s="1"/>
      <c r="SHC229" s="1"/>
      <c r="SHD229" s="1"/>
      <c r="SHE229" s="1"/>
      <c r="SHF229" s="1"/>
      <c r="SHG229" s="1"/>
      <c r="SHH229" s="1"/>
      <c r="SHI229" s="1"/>
      <c r="SHJ229" s="1"/>
      <c r="SHK229" s="1"/>
      <c r="SHL229" s="1"/>
      <c r="SHM229" s="1"/>
      <c r="SHN229" s="1"/>
      <c r="SHO229" s="1"/>
      <c r="SHP229" s="1"/>
      <c r="SHQ229" s="1"/>
      <c r="SHR229" s="1"/>
      <c r="SHS229" s="1"/>
      <c r="SHT229" s="1"/>
      <c r="SHU229" s="1"/>
      <c r="SHV229" s="1"/>
      <c r="SHW229" s="1"/>
      <c r="SHX229" s="1"/>
      <c r="SHY229" s="1"/>
      <c r="SHZ229" s="1"/>
      <c r="SIA229" s="1"/>
      <c r="SIB229" s="1"/>
      <c r="SIC229" s="1"/>
      <c r="SID229" s="1"/>
      <c r="SIE229" s="1"/>
      <c r="SIF229" s="1"/>
      <c r="SIG229" s="1"/>
      <c r="SIH229" s="1"/>
      <c r="SII229" s="1"/>
      <c r="SIJ229" s="1"/>
      <c r="SIK229" s="1"/>
      <c r="SIL229" s="1"/>
      <c r="SIM229" s="1"/>
      <c r="SIN229" s="1"/>
      <c r="SIO229" s="1"/>
      <c r="SIP229" s="1"/>
      <c r="SIQ229" s="1"/>
      <c r="SIR229" s="1"/>
      <c r="SIS229" s="1"/>
      <c r="SIT229" s="1"/>
      <c r="SIU229" s="1"/>
      <c r="SIV229" s="1"/>
      <c r="SIW229" s="1"/>
      <c r="SIX229" s="1"/>
      <c r="SIY229" s="1"/>
      <c r="SIZ229" s="1"/>
      <c r="SJA229" s="1"/>
      <c r="SJB229" s="1"/>
      <c r="SJC229" s="1"/>
      <c r="SJD229" s="1"/>
      <c r="SJE229" s="1"/>
      <c r="SJF229" s="1"/>
      <c r="SJG229" s="1"/>
      <c r="SJH229" s="1"/>
      <c r="SJI229" s="1"/>
      <c r="SJJ229" s="1"/>
      <c r="SJK229" s="1"/>
      <c r="SJL229" s="1"/>
      <c r="SJM229" s="1"/>
      <c r="SJN229" s="1"/>
      <c r="SJO229" s="1"/>
      <c r="SJP229" s="1"/>
      <c r="SJQ229" s="1"/>
      <c r="SJR229" s="1"/>
      <c r="SJS229" s="1"/>
      <c r="SJT229" s="1"/>
      <c r="SJU229" s="1"/>
      <c r="SJV229" s="1"/>
      <c r="SJW229" s="1"/>
      <c r="SJX229" s="1"/>
      <c r="SJY229" s="1"/>
      <c r="SJZ229" s="1"/>
      <c r="SKA229" s="1"/>
      <c r="SKB229" s="1"/>
      <c r="SKC229" s="1"/>
      <c r="SKD229" s="1"/>
      <c r="SKE229" s="1"/>
      <c r="SKF229" s="1"/>
      <c r="SKG229" s="1"/>
      <c r="SKH229" s="1"/>
      <c r="SKI229" s="1"/>
      <c r="SKJ229" s="1"/>
      <c r="SKK229" s="1"/>
      <c r="SKL229" s="1"/>
      <c r="SKM229" s="1"/>
      <c r="SKN229" s="1"/>
      <c r="SKO229" s="1"/>
      <c r="SKP229" s="1"/>
      <c r="SKQ229" s="1"/>
      <c r="SKR229" s="1"/>
      <c r="SKS229" s="1"/>
      <c r="SKT229" s="1"/>
      <c r="SKU229" s="1"/>
      <c r="SKV229" s="1"/>
      <c r="SKW229" s="1"/>
      <c r="SKX229" s="1"/>
      <c r="SKY229" s="1"/>
      <c r="SKZ229" s="1"/>
      <c r="SLA229" s="1"/>
      <c r="SLB229" s="1"/>
      <c r="SLC229" s="1"/>
      <c r="SLD229" s="1"/>
      <c r="SLE229" s="1"/>
      <c r="SLF229" s="1"/>
      <c r="SLG229" s="1"/>
      <c r="SLH229" s="1"/>
      <c r="SLI229" s="1"/>
      <c r="SLJ229" s="1"/>
      <c r="SLK229" s="1"/>
      <c r="SLL229" s="1"/>
      <c r="SLM229" s="1"/>
      <c r="SLN229" s="1"/>
      <c r="SLO229" s="1"/>
      <c r="SLP229" s="1"/>
      <c r="SLQ229" s="1"/>
      <c r="SLR229" s="1"/>
      <c r="SLS229" s="1"/>
      <c r="SLT229" s="1"/>
      <c r="SLU229" s="1"/>
      <c r="SLV229" s="1"/>
      <c r="SLW229" s="1"/>
      <c r="SLX229" s="1"/>
      <c r="SLY229" s="1"/>
      <c r="SLZ229" s="1"/>
      <c r="SMA229" s="1"/>
      <c r="SMB229" s="1"/>
      <c r="SMC229" s="1"/>
      <c r="SMD229" s="1"/>
      <c r="SME229" s="1"/>
      <c r="SMF229" s="1"/>
      <c r="SMG229" s="1"/>
      <c r="SMH229" s="1"/>
      <c r="SMI229" s="1"/>
      <c r="SMJ229" s="1"/>
      <c r="SMK229" s="1"/>
      <c r="SML229" s="1"/>
      <c r="SMM229" s="1"/>
      <c r="SMN229" s="1"/>
      <c r="SMO229" s="1"/>
      <c r="SMP229" s="1"/>
      <c r="SMQ229" s="1"/>
      <c r="SMR229" s="1"/>
      <c r="SMS229" s="1"/>
      <c r="SMT229" s="1"/>
      <c r="SMU229" s="1"/>
      <c r="SMV229" s="1"/>
      <c r="SMW229" s="1"/>
      <c r="SMX229" s="1"/>
      <c r="SMY229" s="1"/>
      <c r="SMZ229" s="1"/>
      <c r="SNA229" s="1"/>
      <c r="SNB229" s="1"/>
      <c r="SNC229" s="1"/>
      <c r="SND229" s="1"/>
      <c r="SNE229" s="1"/>
      <c r="SNF229" s="1"/>
      <c r="SNG229" s="1"/>
      <c r="SNH229" s="1"/>
      <c r="SNI229" s="1"/>
      <c r="SNJ229" s="1"/>
      <c r="SNK229" s="1"/>
      <c r="SNL229" s="1"/>
      <c r="SNM229" s="1"/>
      <c r="SNN229" s="1"/>
      <c r="SNO229" s="1"/>
      <c r="SNP229" s="1"/>
      <c r="SNQ229" s="1"/>
      <c r="SNR229" s="1"/>
      <c r="SNS229" s="1"/>
      <c r="SNT229" s="1"/>
      <c r="SNU229" s="1"/>
      <c r="SNV229" s="1"/>
      <c r="SNW229" s="1"/>
      <c r="SNX229" s="1"/>
      <c r="SNY229" s="1"/>
      <c r="SNZ229" s="1"/>
      <c r="SOA229" s="1"/>
      <c r="SOB229" s="1"/>
      <c r="SOC229" s="1"/>
      <c r="SOD229" s="1"/>
      <c r="SOE229" s="1"/>
      <c r="SOF229" s="1"/>
      <c r="SOG229" s="1"/>
      <c r="SOH229" s="1"/>
      <c r="SOI229" s="1"/>
      <c r="SOJ229" s="1"/>
      <c r="SOK229" s="1"/>
      <c r="SOL229" s="1"/>
      <c r="SOM229" s="1"/>
      <c r="SON229" s="1"/>
      <c r="SOO229" s="1"/>
      <c r="SOP229" s="1"/>
      <c r="SOQ229" s="1"/>
      <c r="SOR229" s="1"/>
      <c r="SOS229" s="1"/>
      <c r="SOT229" s="1"/>
      <c r="SOU229" s="1"/>
      <c r="SOV229" s="1"/>
      <c r="SOW229" s="1"/>
      <c r="SOX229" s="1"/>
      <c r="SOY229" s="1"/>
      <c r="SOZ229" s="1"/>
      <c r="SPA229" s="1"/>
      <c r="SPB229" s="1"/>
      <c r="SPC229" s="1"/>
      <c r="SPD229" s="1"/>
      <c r="SPE229" s="1"/>
      <c r="SPF229" s="1"/>
      <c r="SPG229" s="1"/>
      <c r="SPH229" s="1"/>
      <c r="SPI229" s="1"/>
      <c r="SPJ229" s="1"/>
      <c r="SPK229" s="1"/>
      <c r="SPL229" s="1"/>
      <c r="SPM229" s="1"/>
      <c r="SPN229" s="1"/>
      <c r="SPO229" s="1"/>
      <c r="SPP229" s="1"/>
      <c r="SPQ229" s="1"/>
      <c r="SPR229" s="1"/>
      <c r="SPS229" s="1"/>
      <c r="SPT229" s="1"/>
      <c r="SPU229" s="1"/>
      <c r="SPV229" s="1"/>
      <c r="SPW229" s="1"/>
      <c r="SPX229" s="1"/>
      <c r="SPY229" s="1"/>
      <c r="SPZ229" s="1"/>
      <c r="SQA229" s="1"/>
      <c r="SQB229" s="1"/>
      <c r="SQC229" s="1"/>
      <c r="SQD229" s="1"/>
      <c r="SQE229" s="1"/>
      <c r="SQF229" s="1"/>
      <c r="SQG229" s="1"/>
      <c r="SQH229" s="1"/>
      <c r="SQI229" s="1"/>
      <c r="SQJ229" s="1"/>
      <c r="SQK229" s="1"/>
      <c r="SQL229" s="1"/>
      <c r="SQM229" s="1"/>
      <c r="SQN229" s="1"/>
      <c r="SQO229" s="1"/>
      <c r="SQP229" s="1"/>
      <c r="SQQ229" s="1"/>
      <c r="SQR229" s="1"/>
      <c r="SQS229" s="1"/>
      <c r="SQT229" s="1"/>
      <c r="SQU229" s="1"/>
      <c r="SQV229" s="1"/>
      <c r="SQW229" s="1"/>
      <c r="SQX229" s="1"/>
      <c r="SQY229" s="1"/>
      <c r="SQZ229" s="1"/>
      <c r="SRA229" s="1"/>
      <c r="SRB229" s="1"/>
      <c r="SRC229" s="1"/>
      <c r="SRD229" s="1"/>
      <c r="SRE229" s="1"/>
      <c r="SRF229" s="1"/>
      <c r="SRG229" s="1"/>
      <c r="SRH229" s="1"/>
      <c r="SRI229" s="1"/>
      <c r="SRJ229" s="1"/>
      <c r="SRK229" s="1"/>
      <c r="SRL229" s="1"/>
      <c r="SRM229" s="1"/>
      <c r="SRN229" s="1"/>
      <c r="SRO229" s="1"/>
      <c r="SRP229" s="1"/>
      <c r="SRQ229" s="1"/>
      <c r="SRR229" s="1"/>
      <c r="SRS229" s="1"/>
      <c r="SRT229" s="1"/>
      <c r="SRU229" s="1"/>
      <c r="SRV229" s="1"/>
      <c r="SRW229" s="1"/>
      <c r="SRX229" s="1"/>
      <c r="SRY229" s="1"/>
      <c r="SRZ229" s="1"/>
      <c r="SSA229" s="1"/>
      <c r="SSB229" s="1"/>
      <c r="SSC229" s="1"/>
      <c r="SSD229" s="1"/>
      <c r="SSE229" s="1"/>
      <c r="SSF229" s="1"/>
      <c r="SSG229" s="1"/>
      <c r="SSH229" s="1"/>
      <c r="SSI229" s="1"/>
      <c r="SSJ229" s="1"/>
      <c r="SSK229" s="1"/>
      <c r="SSL229" s="1"/>
      <c r="SSM229" s="1"/>
      <c r="SSN229" s="1"/>
      <c r="SSO229" s="1"/>
      <c r="SSP229" s="1"/>
      <c r="SSQ229" s="1"/>
      <c r="SSR229" s="1"/>
      <c r="SSS229" s="1"/>
      <c r="SST229" s="1"/>
      <c r="SSU229" s="1"/>
      <c r="SSV229" s="1"/>
      <c r="SSW229" s="1"/>
      <c r="SSX229" s="1"/>
      <c r="SSY229" s="1"/>
      <c r="SSZ229" s="1"/>
      <c r="STA229" s="1"/>
      <c r="STB229" s="1"/>
      <c r="STC229" s="1"/>
      <c r="STD229" s="1"/>
      <c r="STE229" s="1"/>
      <c r="STF229" s="1"/>
      <c r="STG229" s="1"/>
      <c r="STH229" s="1"/>
      <c r="STI229" s="1"/>
      <c r="STJ229" s="1"/>
      <c r="STK229" s="1"/>
      <c r="STL229" s="1"/>
      <c r="STM229" s="1"/>
      <c r="STN229" s="1"/>
      <c r="STO229" s="1"/>
      <c r="STP229" s="1"/>
      <c r="STQ229" s="1"/>
      <c r="STR229" s="1"/>
      <c r="STS229" s="1"/>
      <c r="STT229" s="1"/>
      <c r="STU229" s="1"/>
      <c r="STV229" s="1"/>
      <c r="STW229" s="1"/>
      <c r="STX229" s="1"/>
      <c r="STY229" s="1"/>
      <c r="STZ229" s="1"/>
      <c r="SUA229" s="1"/>
      <c r="SUB229" s="1"/>
      <c r="SUC229" s="1"/>
      <c r="SUD229" s="1"/>
      <c r="SUE229" s="1"/>
      <c r="SUF229" s="1"/>
      <c r="SUG229" s="1"/>
      <c r="SUH229" s="1"/>
      <c r="SUI229" s="1"/>
      <c r="SUJ229" s="1"/>
      <c r="SUK229" s="1"/>
      <c r="SUL229" s="1"/>
      <c r="SUM229" s="1"/>
      <c r="SUN229" s="1"/>
      <c r="SUO229" s="1"/>
      <c r="SUP229" s="1"/>
      <c r="SUQ229" s="1"/>
      <c r="SUR229" s="1"/>
      <c r="SUS229" s="1"/>
      <c r="SUT229" s="1"/>
      <c r="SUU229" s="1"/>
      <c r="SUV229" s="1"/>
      <c r="SUW229" s="1"/>
      <c r="SUX229" s="1"/>
      <c r="SUY229" s="1"/>
      <c r="SUZ229" s="1"/>
      <c r="SVA229" s="1"/>
      <c r="SVB229" s="1"/>
      <c r="SVC229" s="1"/>
      <c r="SVD229" s="1"/>
      <c r="SVE229" s="1"/>
      <c r="SVF229" s="1"/>
      <c r="SVG229" s="1"/>
      <c r="SVH229" s="1"/>
      <c r="SVI229" s="1"/>
      <c r="SVJ229" s="1"/>
      <c r="SVK229" s="1"/>
      <c r="SVL229" s="1"/>
      <c r="SVM229" s="1"/>
      <c r="SVN229" s="1"/>
      <c r="SVO229" s="1"/>
      <c r="SVP229" s="1"/>
      <c r="SVQ229" s="1"/>
      <c r="SVR229" s="1"/>
      <c r="SVS229" s="1"/>
      <c r="SVT229" s="1"/>
      <c r="SVU229" s="1"/>
      <c r="SVV229" s="1"/>
      <c r="SVW229" s="1"/>
      <c r="SVX229" s="1"/>
      <c r="SVY229" s="1"/>
      <c r="SVZ229" s="1"/>
      <c r="SWA229" s="1"/>
      <c r="SWB229" s="1"/>
      <c r="SWC229" s="1"/>
      <c r="SWD229" s="1"/>
      <c r="SWE229" s="1"/>
      <c r="SWF229" s="1"/>
      <c r="SWG229" s="1"/>
      <c r="SWH229" s="1"/>
      <c r="SWI229" s="1"/>
      <c r="SWJ229" s="1"/>
      <c r="SWK229" s="1"/>
      <c r="SWL229" s="1"/>
      <c r="SWM229" s="1"/>
      <c r="SWN229" s="1"/>
      <c r="SWO229" s="1"/>
      <c r="SWP229" s="1"/>
      <c r="SWQ229" s="1"/>
      <c r="SWR229" s="1"/>
      <c r="SWS229" s="1"/>
      <c r="SWT229" s="1"/>
      <c r="SWU229" s="1"/>
      <c r="SWV229" s="1"/>
      <c r="SWW229" s="1"/>
      <c r="SWX229" s="1"/>
      <c r="SWY229" s="1"/>
      <c r="SWZ229" s="1"/>
      <c r="SXA229" s="1"/>
      <c r="SXB229" s="1"/>
      <c r="SXC229" s="1"/>
      <c r="SXD229" s="1"/>
      <c r="SXE229" s="1"/>
      <c r="SXF229" s="1"/>
      <c r="SXG229" s="1"/>
      <c r="SXH229" s="1"/>
      <c r="SXI229" s="1"/>
      <c r="SXJ229" s="1"/>
      <c r="SXK229" s="1"/>
      <c r="SXL229" s="1"/>
      <c r="SXM229" s="1"/>
      <c r="SXN229" s="1"/>
      <c r="SXO229" s="1"/>
      <c r="SXP229" s="1"/>
      <c r="SXQ229" s="1"/>
      <c r="SXR229" s="1"/>
      <c r="SXS229" s="1"/>
      <c r="SXT229" s="1"/>
      <c r="SXU229" s="1"/>
      <c r="SXV229" s="1"/>
      <c r="SXW229" s="1"/>
      <c r="SXX229" s="1"/>
      <c r="SXY229" s="1"/>
      <c r="SXZ229" s="1"/>
      <c r="SYA229" s="1"/>
      <c r="SYB229" s="1"/>
      <c r="SYC229" s="1"/>
      <c r="SYD229" s="1"/>
      <c r="SYE229" s="1"/>
      <c r="SYF229" s="1"/>
      <c r="SYG229" s="1"/>
      <c r="SYH229" s="1"/>
      <c r="SYI229" s="1"/>
      <c r="SYJ229" s="1"/>
      <c r="SYK229" s="1"/>
      <c r="SYL229" s="1"/>
      <c r="SYM229" s="1"/>
      <c r="SYN229" s="1"/>
      <c r="SYO229" s="1"/>
      <c r="SYP229" s="1"/>
      <c r="SYQ229" s="1"/>
      <c r="SYR229" s="1"/>
      <c r="SYS229" s="1"/>
      <c r="SYT229" s="1"/>
      <c r="SYU229" s="1"/>
      <c r="SYV229" s="1"/>
      <c r="SYW229" s="1"/>
      <c r="SYX229" s="1"/>
      <c r="SYY229" s="1"/>
      <c r="SYZ229" s="1"/>
      <c r="SZA229" s="1"/>
      <c r="SZB229" s="1"/>
      <c r="SZC229" s="1"/>
      <c r="SZD229" s="1"/>
      <c r="SZE229" s="1"/>
      <c r="SZF229" s="1"/>
      <c r="SZG229" s="1"/>
      <c r="SZH229" s="1"/>
      <c r="SZI229" s="1"/>
      <c r="SZJ229" s="1"/>
      <c r="SZK229" s="1"/>
      <c r="SZL229" s="1"/>
      <c r="SZM229" s="1"/>
      <c r="SZN229" s="1"/>
      <c r="SZO229" s="1"/>
      <c r="SZP229" s="1"/>
      <c r="SZQ229" s="1"/>
      <c r="SZR229" s="1"/>
      <c r="SZS229" s="1"/>
      <c r="SZT229" s="1"/>
      <c r="SZU229" s="1"/>
      <c r="SZV229" s="1"/>
      <c r="SZW229" s="1"/>
      <c r="SZX229" s="1"/>
      <c r="SZY229" s="1"/>
      <c r="SZZ229" s="1"/>
      <c r="TAA229" s="1"/>
      <c r="TAB229" s="1"/>
      <c r="TAC229" s="1"/>
      <c r="TAD229" s="1"/>
      <c r="TAE229" s="1"/>
      <c r="TAF229" s="1"/>
      <c r="TAG229" s="1"/>
      <c r="TAH229" s="1"/>
      <c r="TAI229" s="1"/>
      <c r="TAJ229" s="1"/>
      <c r="TAK229" s="1"/>
      <c r="TAL229" s="1"/>
      <c r="TAM229" s="1"/>
      <c r="TAN229" s="1"/>
      <c r="TAO229" s="1"/>
      <c r="TAP229" s="1"/>
      <c r="TAQ229" s="1"/>
      <c r="TAR229" s="1"/>
      <c r="TAS229" s="1"/>
      <c r="TAT229" s="1"/>
      <c r="TAU229" s="1"/>
      <c r="TAV229" s="1"/>
      <c r="TAW229" s="1"/>
      <c r="TAX229" s="1"/>
      <c r="TAY229" s="1"/>
      <c r="TAZ229" s="1"/>
      <c r="TBA229" s="1"/>
      <c r="TBB229" s="1"/>
      <c r="TBC229" s="1"/>
      <c r="TBD229" s="1"/>
      <c r="TBE229" s="1"/>
      <c r="TBF229" s="1"/>
      <c r="TBG229" s="1"/>
      <c r="TBH229" s="1"/>
      <c r="TBI229" s="1"/>
      <c r="TBJ229" s="1"/>
      <c r="TBK229" s="1"/>
      <c r="TBL229" s="1"/>
      <c r="TBM229" s="1"/>
      <c r="TBN229" s="1"/>
      <c r="TBO229" s="1"/>
      <c r="TBP229" s="1"/>
      <c r="TBQ229" s="1"/>
      <c r="TBR229" s="1"/>
      <c r="TBS229" s="1"/>
      <c r="TBT229" s="1"/>
      <c r="TBU229" s="1"/>
      <c r="TBV229" s="1"/>
      <c r="TBW229" s="1"/>
      <c r="TBX229" s="1"/>
      <c r="TBY229" s="1"/>
      <c r="TBZ229" s="1"/>
      <c r="TCA229" s="1"/>
      <c r="TCB229" s="1"/>
      <c r="TCC229" s="1"/>
      <c r="TCD229" s="1"/>
      <c r="TCE229" s="1"/>
      <c r="TCF229" s="1"/>
      <c r="TCG229" s="1"/>
      <c r="TCH229" s="1"/>
      <c r="TCI229" s="1"/>
      <c r="TCJ229" s="1"/>
      <c r="TCK229" s="1"/>
      <c r="TCL229" s="1"/>
      <c r="TCM229" s="1"/>
      <c r="TCN229" s="1"/>
      <c r="TCO229" s="1"/>
      <c r="TCP229" s="1"/>
      <c r="TCQ229" s="1"/>
      <c r="TCR229" s="1"/>
      <c r="TCS229" s="1"/>
      <c r="TCT229" s="1"/>
      <c r="TCU229" s="1"/>
      <c r="TCV229" s="1"/>
      <c r="TCW229" s="1"/>
      <c r="TCX229" s="1"/>
      <c r="TCY229" s="1"/>
      <c r="TCZ229" s="1"/>
      <c r="TDA229" s="1"/>
      <c r="TDB229" s="1"/>
      <c r="TDC229" s="1"/>
      <c r="TDD229" s="1"/>
      <c r="TDE229" s="1"/>
      <c r="TDF229" s="1"/>
      <c r="TDG229" s="1"/>
      <c r="TDH229" s="1"/>
      <c r="TDI229" s="1"/>
      <c r="TDJ229" s="1"/>
      <c r="TDK229" s="1"/>
      <c r="TDL229" s="1"/>
      <c r="TDM229" s="1"/>
      <c r="TDN229" s="1"/>
      <c r="TDO229" s="1"/>
      <c r="TDP229" s="1"/>
      <c r="TDQ229" s="1"/>
      <c r="TDR229" s="1"/>
      <c r="TDS229" s="1"/>
      <c r="TDT229" s="1"/>
      <c r="TDU229" s="1"/>
      <c r="TDV229" s="1"/>
      <c r="TDW229" s="1"/>
      <c r="TDX229" s="1"/>
      <c r="TDY229" s="1"/>
      <c r="TDZ229" s="1"/>
      <c r="TEA229" s="1"/>
      <c r="TEB229" s="1"/>
      <c r="TEC229" s="1"/>
      <c r="TED229" s="1"/>
      <c r="TEE229" s="1"/>
      <c r="TEF229" s="1"/>
      <c r="TEG229" s="1"/>
      <c r="TEH229" s="1"/>
      <c r="TEI229" s="1"/>
      <c r="TEJ229" s="1"/>
      <c r="TEK229" s="1"/>
      <c r="TEL229" s="1"/>
      <c r="TEM229" s="1"/>
      <c r="TEN229" s="1"/>
      <c r="TEO229" s="1"/>
      <c r="TEP229" s="1"/>
      <c r="TEQ229" s="1"/>
      <c r="TER229" s="1"/>
      <c r="TES229" s="1"/>
      <c r="TET229" s="1"/>
      <c r="TEU229" s="1"/>
      <c r="TEV229" s="1"/>
      <c r="TEW229" s="1"/>
      <c r="TEX229" s="1"/>
      <c r="TEY229" s="1"/>
      <c r="TEZ229" s="1"/>
      <c r="TFA229" s="1"/>
      <c r="TFB229" s="1"/>
      <c r="TFC229" s="1"/>
      <c r="TFD229" s="1"/>
      <c r="TFE229" s="1"/>
      <c r="TFF229" s="1"/>
      <c r="TFG229" s="1"/>
      <c r="TFH229" s="1"/>
      <c r="TFI229" s="1"/>
      <c r="TFJ229" s="1"/>
      <c r="TFK229" s="1"/>
      <c r="TFL229" s="1"/>
      <c r="TFM229" s="1"/>
      <c r="TFN229" s="1"/>
      <c r="TFO229" s="1"/>
      <c r="TFP229" s="1"/>
      <c r="TFQ229" s="1"/>
      <c r="TFR229" s="1"/>
      <c r="TFS229" s="1"/>
      <c r="TFT229" s="1"/>
      <c r="TFU229" s="1"/>
      <c r="TFV229" s="1"/>
      <c r="TFW229" s="1"/>
      <c r="TFX229" s="1"/>
      <c r="TFY229" s="1"/>
      <c r="TFZ229" s="1"/>
      <c r="TGA229" s="1"/>
      <c r="TGB229" s="1"/>
      <c r="TGC229" s="1"/>
      <c r="TGD229" s="1"/>
      <c r="TGE229" s="1"/>
      <c r="TGF229" s="1"/>
      <c r="TGG229" s="1"/>
      <c r="TGH229" s="1"/>
      <c r="TGI229" s="1"/>
      <c r="TGJ229" s="1"/>
      <c r="TGK229" s="1"/>
      <c r="TGL229" s="1"/>
      <c r="TGM229" s="1"/>
      <c r="TGN229" s="1"/>
      <c r="TGO229" s="1"/>
      <c r="TGP229" s="1"/>
      <c r="TGQ229" s="1"/>
      <c r="TGR229" s="1"/>
      <c r="TGS229" s="1"/>
      <c r="TGT229" s="1"/>
      <c r="TGU229" s="1"/>
      <c r="TGV229" s="1"/>
      <c r="TGW229" s="1"/>
      <c r="TGX229" s="1"/>
      <c r="TGY229" s="1"/>
      <c r="TGZ229" s="1"/>
      <c r="THA229" s="1"/>
      <c r="THB229" s="1"/>
      <c r="THC229" s="1"/>
      <c r="THD229" s="1"/>
      <c r="THE229" s="1"/>
      <c r="THF229" s="1"/>
      <c r="THG229" s="1"/>
      <c r="THH229" s="1"/>
      <c r="THI229" s="1"/>
      <c r="THJ229" s="1"/>
      <c r="THK229" s="1"/>
      <c r="THL229" s="1"/>
      <c r="THM229" s="1"/>
      <c r="THN229" s="1"/>
      <c r="THO229" s="1"/>
      <c r="THP229" s="1"/>
      <c r="THQ229" s="1"/>
      <c r="THR229" s="1"/>
      <c r="THS229" s="1"/>
      <c r="THT229" s="1"/>
      <c r="THU229" s="1"/>
      <c r="THV229" s="1"/>
      <c r="THW229" s="1"/>
      <c r="THX229" s="1"/>
      <c r="THY229" s="1"/>
      <c r="THZ229" s="1"/>
      <c r="TIA229" s="1"/>
      <c r="TIB229" s="1"/>
      <c r="TIC229" s="1"/>
      <c r="TID229" s="1"/>
      <c r="TIE229" s="1"/>
      <c r="TIF229" s="1"/>
      <c r="TIG229" s="1"/>
      <c r="TIH229" s="1"/>
      <c r="TII229" s="1"/>
      <c r="TIJ229" s="1"/>
      <c r="TIK229" s="1"/>
      <c r="TIL229" s="1"/>
      <c r="TIM229" s="1"/>
      <c r="TIN229" s="1"/>
      <c r="TIO229" s="1"/>
      <c r="TIP229" s="1"/>
      <c r="TIQ229" s="1"/>
      <c r="TIR229" s="1"/>
      <c r="TIS229" s="1"/>
      <c r="TIT229" s="1"/>
      <c r="TIU229" s="1"/>
      <c r="TIV229" s="1"/>
      <c r="TIW229" s="1"/>
      <c r="TIX229" s="1"/>
      <c r="TIY229" s="1"/>
      <c r="TIZ229" s="1"/>
      <c r="TJA229" s="1"/>
      <c r="TJB229" s="1"/>
      <c r="TJC229" s="1"/>
      <c r="TJD229" s="1"/>
      <c r="TJE229" s="1"/>
      <c r="TJF229" s="1"/>
      <c r="TJG229" s="1"/>
      <c r="TJH229" s="1"/>
      <c r="TJI229" s="1"/>
      <c r="TJJ229" s="1"/>
      <c r="TJK229" s="1"/>
      <c r="TJL229" s="1"/>
      <c r="TJM229" s="1"/>
      <c r="TJN229" s="1"/>
      <c r="TJO229" s="1"/>
      <c r="TJP229" s="1"/>
      <c r="TJQ229" s="1"/>
      <c r="TJR229" s="1"/>
      <c r="TJS229" s="1"/>
      <c r="TJT229" s="1"/>
      <c r="TJU229" s="1"/>
      <c r="TJV229" s="1"/>
      <c r="TJW229" s="1"/>
      <c r="TJX229" s="1"/>
      <c r="TJY229" s="1"/>
      <c r="TJZ229" s="1"/>
      <c r="TKA229" s="1"/>
      <c r="TKB229" s="1"/>
      <c r="TKC229" s="1"/>
      <c r="TKD229" s="1"/>
      <c r="TKE229" s="1"/>
      <c r="TKF229" s="1"/>
      <c r="TKG229" s="1"/>
      <c r="TKH229" s="1"/>
      <c r="TKI229" s="1"/>
      <c r="TKJ229" s="1"/>
      <c r="TKK229" s="1"/>
      <c r="TKL229" s="1"/>
      <c r="TKM229" s="1"/>
      <c r="TKN229" s="1"/>
      <c r="TKO229" s="1"/>
      <c r="TKP229" s="1"/>
      <c r="TKQ229" s="1"/>
      <c r="TKR229" s="1"/>
      <c r="TKS229" s="1"/>
      <c r="TKT229" s="1"/>
      <c r="TKU229" s="1"/>
      <c r="TKV229" s="1"/>
      <c r="TKW229" s="1"/>
      <c r="TKX229" s="1"/>
      <c r="TKY229" s="1"/>
      <c r="TKZ229" s="1"/>
      <c r="TLA229" s="1"/>
      <c r="TLB229" s="1"/>
      <c r="TLC229" s="1"/>
      <c r="TLD229" s="1"/>
      <c r="TLE229" s="1"/>
      <c r="TLF229" s="1"/>
      <c r="TLG229" s="1"/>
      <c r="TLH229" s="1"/>
      <c r="TLI229" s="1"/>
      <c r="TLJ229" s="1"/>
      <c r="TLK229" s="1"/>
      <c r="TLL229" s="1"/>
      <c r="TLM229" s="1"/>
      <c r="TLN229" s="1"/>
      <c r="TLO229" s="1"/>
      <c r="TLP229" s="1"/>
      <c r="TLQ229" s="1"/>
      <c r="TLR229" s="1"/>
      <c r="TLS229" s="1"/>
      <c r="TLT229" s="1"/>
      <c r="TLU229" s="1"/>
      <c r="TLV229" s="1"/>
      <c r="TLW229" s="1"/>
      <c r="TLX229" s="1"/>
      <c r="TLY229" s="1"/>
      <c r="TLZ229" s="1"/>
      <c r="TMA229" s="1"/>
      <c r="TMB229" s="1"/>
      <c r="TMC229" s="1"/>
      <c r="TMD229" s="1"/>
      <c r="TME229" s="1"/>
      <c r="TMF229" s="1"/>
      <c r="TMG229" s="1"/>
      <c r="TMH229" s="1"/>
      <c r="TMI229" s="1"/>
      <c r="TMJ229" s="1"/>
      <c r="TMK229" s="1"/>
      <c r="TML229" s="1"/>
      <c r="TMM229" s="1"/>
      <c r="TMN229" s="1"/>
      <c r="TMO229" s="1"/>
      <c r="TMP229" s="1"/>
      <c r="TMQ229" s="1"/>
      <c r="TMR229" s="1"/>
      <c r="TMS229" s="1"/>
      <c r="TMT229" s="1"/>
      <c r="TMU229" s="1"/>
      <c r="TMV229" s="1"/>
      <c r="TMW229" s="1"/>
      <c r="TMX229" s="1"/>
      <c r="TMY229" s="1"/>
      <c r="TMZ229" s="1"/>
      <c r="TNA229" s="1"/>
      <c r="TNB229" s="1"/>
      <c r="TNC229" s="1"/>
      <c r="TND229" s="1"/>
      <c r="TNE229" s="1"/>
      <c r="TNF229" s="1"/>
      <c r="TNG229" s="1"/>
      <c r="TNH229" s="1"/>
      <c r="TNI229" s="1"/>
      <c r="TNJ229" s="1"/>
      <c r="TNK229" s="1"/>
      <c r="TNL229" s="1"/>
      <c r="TNM229" s="1"/>
      <c r="TNN229" s="1"/>
      <c r="TNO229" s="1"/>
      <c r="TNP229" s="1"/>
      <c r="TNQ229" s="1"/>
      <c r="TNR229" s="1"/>
      <c r="TNS229" s="1"/>
      <c r="TNT229" s="1"/>
      <c r="TNU229" s="1"/>
      <c r="TNV229" s="1"/>
      <c r="TNW229" s="1"/>
      <c r="TNX229" s="1"/>
      <c r="TNY229" s="1"/>
      <c r="TNZ229" s="1"/>
      <c r="TOA229" s="1"/>
      <c r="TOB229" s="1"/>
      <c r="TOC229" s="1"/>
      <c r="TOD229" s="1"/>
      <c r="TOE229" s="1"/>
      <c r="TOF229" s="1"/>
      <c r="TOG229" s="1"/>
      <c r="TOH229" s="1"/>
      <c r="TOI229" s="1"/>
      <c r="TOJ229" s="1"/>
      <c r="TOK229" s="1"/>
      <c r="TOL229" s="1"/>
      <c r="TOM229" s="1"/>
      <c r="TON229" s="1"/>
      <c r="TOO229" s="1"/>
      <c r="TOP229" s="1"/>
      <c r="TOQ229" s="1"/>
      <c r="TOR229" s="1"/>
      <c r="TOS229" s="1"/>
      <c r="TOT229" s="1"/>
      <c r="TOU229" s="1"/>
      <c r="TOV229" s="1"/>
      <c r="TOW229" s="1"/>
      <c r="TOX229" s="1"/>
      <c r="TOY229" s="1"/>
      <c r="TOZ229" s="1"/>
      <c r="TPA229" s="1"/>
      <c r="TPB229" s="1"/>
      <c r="TPC229" s="1"/>
      <c r="TPD229" s="1"/>
      <c r="TPE229" s="1"/>
      <c r="TPF229" s="1"/>
      <c r="TPG229" s="1"/>
      <c r="TPH229" s="1"/>
      <c r="TPI229" s="1"/>
      <c r="TPJ229" s="1"/>
      <c r="TPK229" s="1"/>
      <c r="TPL229" s="1"/>
      <c r="TPM229" s="1"/>
      <c r="TPN229" s="1"/>
      <c r="TPO229" s="1"/>
      <c r="TPP229" s="1"/>
      <c r="TPQ229" s="1"/>
      <c r="TPR229" s="1"/>
      <c r="TPS229" s="1"/>
      <c r="TPT229" s="1"/>
      <c r="TPU229" s="1"/>
      <c r="TPV229" s="1"/>
      <c r="TPW229" s="1"/>
      <c r="TPX229" s="1"/>
      <c r="TPY229" s="1"/>
      <c r="TPZ229" s="1"/>
      <c r="TQA229" s="1"/>
      <c r="TQB229" s="1"/>
      <c r="TQC229" s="1"/>
      <c r="TQD229" s="1"/>
      <c r="TQE229" s="1"/>
      <c r="TQF229" s="1"/>
      <c r="TQG229" s="1"/>
      <c r="TQH229" s="1"/>
      <c r="TQI229" s="1"/>
      <c r="TQJ229" s="1"/>
      <c r="TQK229" s="1"/>
      <c r="TQL229" s="1"/>
      <c r="TQM229" s="1"/>
      <c r="TQN229" s="1"/>
      <c r="TQO229" s="1"/>
      <c r="TQP229" s="1"/>
      <c r="TQQ229" s="1"/>
      <c r="TQR229" s="1"/>
      <c r="TQS229" s="1"/>
      <c r="TQT229" s="1"/>
      <c r="TQU229" s="1"/>
      <c r="TQV229" s="1"/>
      <c r="TQW229" s="1"/>
      <c r="TQX229" s="1"/>
      <c r="TQY229" s="1"/>
      <c r="TQZ229" s="1"/>
      <c r="TRA229" s="1"/>
      <c r="TRB229" s="1"/>
      <c r="TRC229" s="1"/>
      <c r="TRD229" s="1"/>
      <c r="TRE229" s="1"/>
      <c r="TRF229" s="1"/>
      <c r="TRG229" s="1"/>
      <c r="TRH229" s="1"/>
      <c r="TRI229" s="1"/>
      <c r="TRJ229" s="1"/>
      <c r="TRK229" s="1"/>
      <c r="TRL229" s="1"/>
      <c r="TRM229" s="1"/>
      <c r="TRN229" s="1"/>
      <c r="TRO229" s="1"/>
      <c r="TRP229" s="1"/>
      <c r="TRQ229" s="1"/>
      <c r="TRR229" s="1"/>
      <c r="TRS229" s="1"/>
      <c r="TRT229" s="1"/>
      <c r="TRU229" s="1"/>
      <c r="TRV229" s="1"/>
      <c r="TRW229" s="1"/>
      <c r="TRX229" s="1"/>
      <c r="TRY229" s="1"/>
      <c r="TRZ229" s="1"/>
      <c r="TSA229" s="1"/>
      <c r="TSB229" s="1"/>
      <c r="TSC229" s="1"/>
      <c r="TSD229" s="1"/>
      <c r="TSE229" s="1"/>
      <c r="TSF229" s="1"/>
      <c r="TSG229" s="1"/>
      <c r="TSH229" s="1"/>
      <c r="TSI229" s="1"/>
      <c r="TSJ229" s="1"/>
      <c r="TSK229" s="1"/>
      <c r="TSL229" s="1"/>
      <c r="TSM229" s="1"/>
      <c r="TSN229" s="1"/>
      <c r="TSO229" s="1"/>
      <c r="TSP229" s="1"/>
      <c r="TSQ229" s="1"/>
      <c r="TSR229" s="1"/>
      <c r="TSS229" s="1"/>
      <c r="TST229" s="1"/>
      <c r="TSU229" s="1"/>
      <c r="TSV229" s="1"/>
      <c r="TSW229" s="1"/>
      <c r="TSX229" s="1"/>
      <c r="TSY229" s="1"/>
      <c r="TSZ229" s="1"/>
      <c r="TTA229" s="1"/>
      <c r="TTB229" s="1"/>
      <c r="TTC229" s="1"/>
      <c r="TTD229" s="1"/>
      <c r="TTE229" s="1"/>
      <c r="TTF229" s="1"/>
      <c r="TTG229" s="1"/>
      <c r="TTH229" s="1"/>
      <c r="TTI229" s="1"/>
      <c r="TTJ229" s="1"/>
      <c r="TTK229" s="1"/>
      <c r="TTL229" s="1"/>
      <c r="TTM229" s="1"/>
      <c r="TTN229" s="1"/>
      <c r="TTO229" s="1"/>
      <c r="TTP229" s="1"/>
      <c r="TTQ229" s="1"/>
      <c r="TTR229" s="1"/>
      <c r="TTS229" s="1"/>
      <c r="TTT229" s="1"/>
      <c r="TTU229" s="1"/>
      <c r="TTV229" s="1"/>
      <c r="TTW229" s="1"/>
      <c r="TTX229" s="1"/>
      <c r="TTY229" s="1"/>
      <c r="TTZ229" s="1"/>
      <c r="TUA229" s="1"/>
      <c r="TUB229" s="1"/>
      <c r="TUC229" s="1"/>
      <c r="TUD229" s="1"/>
      <c r="TUE229" s="1"/>
      <c r="TUF229" s="1"/>
      <c r="TUG229" s="1"/>
      <c r="TUH229" s="1"/>
      <c r="TUI229" s="1"/>
      <c r="TUJ229" s="1"/>
      <c r="TUK229" s="1"/>
      <c r="TUL229" s="1"/>
      <c r="TUM229" s="1"/>
      <c r="TUN229" s="1"/>
      <c r="TUO229" s="1"/>
      <c r="TUP229" s="1"/>
      <c r="TUQ229" s="1"/>
      <c r="TUR229" s="1"/>
      <c r="TUS229" s="1"/>
      <c r="TUT229" s="1"/>
      <c r="TUU229" s="1"/>
      <c r="TUV229" s="1"/>
      <c r="TUW229" s="1"/>
      <c r="TUX229" s="1"/>
      <c r="TUY229" s="1"/>
      <c r="TUZ229" s="1"/>
      <c r="TVA229" s="1"/>
      <c r="TVB229" s="1"/>
      <c r="TVC229" s="1"/>
      <c r="TVD229" s="1"/>
      <c r="TVE229" s="1"/>
      <c r="TVF229" s="1"/>
      <c r="TVG229" s="1"/>
      <c r="TVH229" s="1"/>
      <c r="TVI229" s="1"/>
      <c r="TVJ229" s="1"/>
      <c r="TVK229" s="1"/>
      <c r="TVL229" s="1"/>
      <c r="TVM229" s="1"/>
      <c r="TVN229" s="1"/>
      <c r="TVO229" s="1"/>
      <c r="TVP229" s="1"/>
      <c r="TVQ229" s="1"/>
      <c r="TVR229" s="1"/>
      <c r="TVS229" s="1"/>
      <c r="TVT229" s="1"/>
      <c r="TVU229" s="1"/>
      <c r="TVV229" s="1"/>
      <c r="TVW229" s="1"/>
      <c r="TVX229" s="1"/>
      <c r="TVY229" s="1"/>
      <c r="TVZ229" s="1"/>
      <c r="TWA229" s="1"/>
      <c r="TWB229" s="1"/>
      <c r="TWC229" s="1"/>
      <c r="TWD229" s="1"/>
      <c r="TWE229" s="1"/>
      <c r="TWF229" s="1"/>
      <c r="TWG229" s="1"/>
      <c r="TWH229" s="1"/>
      <c r="TWI229" s="1"/>
      <c r="TWJ229" s="1"/>
      <c r="TWK229" s="1"/>
      <c r="TWL229" s="1"/>
      <c r="TWM229" s="1"/>
      <c r="TWN229" s="1"/>
      <c r="TWO229" s="1"/>
      <c r="TWP229" s="1"/>
      <c r="TWQ229" s="1"/>
      <c r="TWR229" s="1"/>
      <c r="TWS229" s="1"/>
      <c r="TWT229" s="1"/>
      <c r="TWU229" s="1"/>
      <c r="TWV229" s="1"/>
      <c r="TWW229" s="1"/>
      <c r="TWX229" s="1"/>
      <c r="TWY229" s="1"/>
      <c r="TWZ229" s="1"/>
      <c r="TXA229" s="1"/>
      <c r="TXB229" s="1"/>
      <c r="TXC229" s="1"/>
      <c r="TXD229" s="1"/>
      <c r="TXE229" s="1"/>
      <c r="TXF229" s="1"/>
      <c r="TXG229" s="1"/>
      <c r="TXH229" s="1"/>
      <c r="TXI229" s="1"/>
      <c r="TXJ229" s="1"/>
      <c r="TXK229" s="1"/>
      <c r="TXL229" s="1"/>
      <c r="TXM229" s="1"/>
      <c r="TXN229" s="1"/>
      <c r="TXO229" s="1"/>
      <c r="TXP229" s="1"/>
      <c r="TXQ229" s="1"/>
      <c r="TXR229" s="1"/>
      <c r="TXS229" s="1"/>
      <c r="TXT229" s="1"/>
      <c r="TXU229" s="1"/>
      <c r="TXV229" s="1"/>
      <c r="TXW229" s="1"/>
      <c r="TXX229" s="1"/>
      <c r="TXY229" s="1"/>
      <c r="TXZ229" s="1"/>
      <c r="TYA229" s="1"/>
      <c r="TYB229" s="1"/>
      <c r="TYC229" s="1"/>
      <c r="TYD229" s="1"/>
      <c r="TYE229" s="1"/>
      <c r="TYF229" s="1"/>
      <c r="TYG229" s="1"/>
      <c r="TYH229" s="1"/>
      <c r="TYI229" s="1"/>
      <c r="TYJ229" s="1"/>
      <c r="TYK229" s="1"/>
      <c r="TYL229" s="1"/>
      <c r="TYM229" s="1"/>
      <c r="TYN229" s="1"/>
      <c r="TYO229" s="1"/>
      <c r="TYP229" s="1"/>
      <c r="TYQ229" s="1"/>
      <c r="TYR229" s="1"/>
      <c r="TYS229" s="1"/>
      <c r="TYT229" s="1"/>
      <c r="TYU229" s="1"/>
      <c r="TYV229" s="1"/>
      <c r="TYW229" s="1"/>
      <c r="TYX229" s="1"/>
      <c r="TYY229" s="1"/>
      <c r="TYZ229" s="1"/>
      <c r="TZA229" s="1"/>
      <c r="TZB229" s="1"/>
      <c r="TZC229" s="1"/>
      <c r="TZD229" s="1"/>
      <c r="TZE229" s="1"/>
      <c r="TZF229" s="1"/>
      <c r="TZG229" s="1"/>
      <c r="TZH229" s="1"/>
      <c r="TZI229" s="1"/>
      <c r="TZJ229" s="1"/>
      <c r="TZK229" s="1"/>
      <c r="TZL229" s="1"/>
      <c r="TZM229" s="1"/>
      <c r="TZN229" s="1"/>
      <c r="TZO229" s="1"/>
      <c r="TZP229" s="1"/>
      <c r="TZQ229" s="1"/>
      <c r="TZR229" s="1"/>
      <c r="TZS229" s="1"/>
      <c r="TZT229" s="1"/>
      <c r="TZU229" s="1"/>
      <c r="TZV229" s="1"/>
      <c r="TZW229" s="1"/>
      <c r="TZX229" s="1"/>
      <c r="TZY229" s="1"/>
      <c r="TZZ229" s="1"/>
      <c r="UAA229" s="1"/>
      <c r="UAB229" s="1"/>
      <c r="UAC229" s="1"/>
      <c r="UAD229" s="1"/>
      <c r="UAE229" s="1"/>
      <c r="UAF229" s="1"/>
      <c r="UAG229" s="1"/>
      <c r="UAH229" s="1"/>
      <c r="UAI229" s="1"/>
      <c r="UAJ229" s="1"/>
      <c r="UAK229" s="1"/>
      <c r="UAL229" s="1"/>
      <c r="UAM229" s="1"/>
      <c r="UAN229" s="1"/>
      <c r="UAO229" s="1"/>
      <c r="UAP229" s="1"/>
      <c r="UAQ229" s="1"/>
      <c r="UAR229" s="1"/>
      <c r="UAS229" s="1"/>
      <c r="UAT229" s="1"/>
      <c r="UAU229" s="1"/>
      <c r="UAV229" s="1"/>
      <c r="UAW229" s="1"/>
      <c r="UAX229" s="1"/>
      <c r="UAY229" s="1"/>
      <c r="UAZ229" s="1"/>
      <c r="UBA229" s="1"/>
      <c r="UBB229" s="1"/>
      <c r="UBC229" s="1"/>
      <c r="UBD229" s="1"/>
      <c r="UBE229" s="1"/>
      <c r="UBF229" s="1"/>
      <c r="UBG229" s="1"/>
      <c r="UBH229" s="1"/>
      <c r="UBI229" s="1"/>
      <c r="UBJ229" s="1"/>
      <c r="UBK229" s="1"/>
      <c r="UBL229" s="1"/>
      <c r="UBM229" s="1"/>
      <c r="UBN229" s="1"/>
      <c r="UBO229" s="1"/>
      <c r="UBP229" s="1"/>
      <c r="UBQ229" s="1"/>
      <c r="UBR229" s="1"/>
      <c r="UBS229" s="1"/>
      <c r="UBT229" s="1"/>
      <c r="UBU229" s="1"/>
      <c r="UBV229" s="1"/>
      <c r="UBW229" s="1"/>
      <c r="UBX229" s="1"/>
      <c r="UBY229" s="1"/>
      <c r="UBZ229" s="1"/>
      <c r="UCA229" s="1"/>
      <c r="UCB229" s="1"/>
      <c r="UCC229" s="1"/>
      <c r="UCD229" s="1"/>
      <c r="UCE229" s="1"/>
      <c r="UCF229" s="1"/>
      <c r="UCG229" s="1"/>
      <c r="UCH229" s="1"/>
      <c r="UCI229" s="1"/>
      <c r="UCJ229" s="1"/>
      <c r="UCK229" s="1"/>
      <c r="UCL229" s="1"/>
      <c r="UCM229" s="1"/>
      <c r="UCN229" s="1"/>
      <c r="UCO229" s="1"/>
      <c r="UCP229" s="1"/>
      <c r="UCQ229" s="1"/>
      <c r="UCR229" s="1"/>
      <c r="UCS229" s="1"/>
      <c r="UCT229" s="1"/>
      <c r="UCU229" s="1"/>
      <c r="UCV229" s="1"/>
      <c r="UCW229" s="1"/>
      <c r="UCX229" s="1"/>
      <c r="UCY229" s="1"/>
      <c r="UCZ229" s="1"/>
      <c r="UDA229" s="1"/>
      <c r="UDB229" s="1"/>
      <c r="UDC229" s="1"/>
      <c r="UDD229" s="1"/>
      <c r="UDE229" s="1"/>
      <c r="UDF229" s="1"/>
      <c r="UDG229" s="1"/>
      <c r="UDH229" s="1"/>
      <c r="UDI229" s="1"/>
      <c r="UDJ229" s="1"/>
      <c r="UDK229" s="1"/>
      <c r="UDL229" s="1"/>
      <c r="UDM229" s="1"/>
      <c r="UDN229" s="1"/>
      <c r="UDO229" s="1"/>
      <c r="UDP229" s="1"/>
      <c r="UDQ229" s="1"/>
      <c r="UDR229" s="1"/>
      <c r="UDS229" s="1"/>
      <c r="UDT229" s="1"/>
      <c r="UDU229" s="1"/>
      <c r="UDV229" s="1"/>
      <c r="UDW229" s="1"/>
      <c r="UDX229" s="1"/>
      <c r="UDY229" s="1"/>
      <c r="UDZ229" s="1"/>
      <c r="UEA229" s="1"/>
      <c r="UEB229" s="1"/>
      <c r="UEC229" s="1"/>
      <c r="UED229" s="1"/>
      <c r="UEE229" s="1"/>
      <c r="UEF229" s="1"/>
      <c r="UEG229" s="1"/>
      <c r="UEH229" s="1"/>
      <c r="UEI229" s="1"/>
      <c r="UEJ229" s="1"/>
      <c r="UEK229" s="1"/>
      <c r="UEL229" s="1"/>
      <c r="UEM229" s="1"/>
      <c r="UEN229" s="1"/>
      <c r="UEO229" s="1"/>
      <c r="UEP229" s="1"/>
      <c r="UEQ229" s="1"/>
      <c r="UER229" s="1"/>
      <c r="UES229" s="1"/>
      <c r="UET229" s="1"/>
      <c r="UEU229" s="1"/>
      <c r="UEV229" s="1"/>
      <c r="UEW229" s="1"/>
      <c r="UEX229" s="1"/>
      <c r="UEY229" s="1"/>
      <c r="UEZ229" s="1"/>
      <c r="UFA229" s="1"/>
      <c r="UFB229" s="1"/>
      <c r="UFC229" s="1"/>
      <c r="UFD229" s="1"/>
      <c r="UFE229" s="1"/>
      <c r="UFF229" s="1"/>
      <c r="UFG229" s="1"/>
      <c r="UFH229" s="1"/>
      <c r="UFI229" s="1"/>
      <c r="UFJ229" s="1"/>
      <c r="UFK229" s="1"/>
      <c r="UFL229" s="1"/>
      <c r="UFM229" s="1"/>
      <c r="UFN229" s="1"/>
      <c r="UFO229" s="1"/>
      <c r="UFP229" s="1"/>
      <c r="UFQ229" s="1"/>
      <c r="UFR229" s="1"/>
      <c r="UFS229" s="1"/>
      <c r="UFT229" s="1"/>
      <c r="UFU229" s="1"/>
      <c r="UFV229" s="1"/>
      <c r="UFW229" s="1"/>
      <c r="UFX229" s="1"/>
      <c r="UFY229" s="1"/>
      <c r="UFZ229" s="1"/>
      <c r="UGA229" s="1"/>
      <c r="UGB229" s="1"/>
      <c r="UGC229" s="1"/>
      <c r="UGD229" s="1"/>
      <c r="UGE229" s="1"/>
      <c r="UGF229" s="1"/>
      <c r="UGG229" s="1"/>
      <c r="UGH229" s="1"/>
      <c r="UGI229" s="1"/>
      <c r="UGJ229" s="1"/>
      <c r="UGK229" s="1"/>
      <c r="UGL229" s="1"/>
      <c r="UGM229" s="1"/>
      <c r="UGN229" s="1"/>
      <c r="UGO229" s="1"/>
      <c r="UGP229" s="1"/>
      <c r="UGQ229" s="1"/>
      <c r="UGR229" s="1"/>
      <c r="UGS229" s="1"/>
      <c r="UGT229" s="1"/>
      <c r="UGU229" s="1"/>
      <c r="UGV229" s="1"/>
      <c r="UGW229" s="1"/>
      <c r="UGX229" s="1"/>
      <c r="UGY229" s="1"/>
      <c r="UGZ229" s="1"/>
      <c r="UHA229" s="1"/>
      <c r="UHB229" s="1"/>
      <c r="UHC229" s="1"/>
      <c r="UHD229" s="1"/>
      <c r="UHE229" s="1"/>
      <c r="UHF229" s="1"/>
      <c r="UHG229" s="1"/>
      <c r="UHH229" s="1"/>
      <c r="UHI229" s="1"/>
      <c r="UHJ229" s="1"/>
      <c r="UHK229" s="1"/>
      <c r="UHL229" s="1"/>
      <c r="UHM229" s="1"/>
      <c r="UHN229" s="1"/>
      <c r="UHO229" s="1"/>
      <c r="UHP229" s="1"/>
      <c r="UHQ229" s="1"/>
      <c r="UHR229" s="1"/>
      <c r="UHS229" s="1"/>
      <c r="UHT229" s="1"/>
      <c r="UHU229" s="1"/>
      <c r="UHV229" s="1"/>
      <c r="UHW229" s="1"/>
      <c r="UHX229" s="1"/>
      <c r="UHY229" s="1"/>
      <c r="UHZ229" s="1"/>
      <c r="UIA229" s="1"/>
      <c r="UIB229" s="1"/>
      <c r="UIC229" s="1"/>
      <c r="UID229" s="1"/>
      <c r="UIE229" s="1"/>
      <c r="UIF229" s="1"/>
      <c r="UIG229" s="1"/>
      <c r="UIH229" s="1"/>
      <c r="UII229" s="1"/>
      <c r="UIJ229" s="1"/>
      <c r="UIK229" s="1"/>
      <c r="UIL229" s="1"/>
      <c r="UIM229" s="1"/>
      <c r="UIN229" s="1"/>
      <c r="UIO229" s="1"/>
      <c r="UIP229" s="1"/>
      <c r="UIQ229" s="1"/>
      <c r="UIR229" s="1"/>
      <c r="UIS229" s="1"/>
      <c r="UIT229" s="1"/>
      <c r="UIU229" s="1"/>
      <c r="UIV229" s="1"/>
      <c r="UIW229" s="1"/>
      <c r="UIX229" s="1"/>
      <c r="UIY229" s="1"/>
      <c r="UIZ229" s="1"/>
      <c r="UJA229" s="1"/>
      <c r="UJB229" s="1"/>
      <c r="UJC229" s="1"/>
      <c r="UJD229" s="1"/>
      <c r="UJE229" s="1"/>
      <c r="UJF229" s="1"/>
      <c r="UJG229" s="1"/>
      <c r="UJH229" s="1"/>
      <c r="UJI229" s="1"/>
      <c r="UJJ229" s="1"/>
      <c r="UJK229" s="1"/>
      <c r="UJL229" s="1"/>
      <c r="UJM229" s="1"/>
      <c r="UJN229" s="1"/>
      <c r="UJO229" s="1"/>
      <c r="UJP229" s="1"/>
      <c r="UJQ229" s="1"/>
      <c r="UJR229" s="1"/>
      <c r="UJS229" s="1"/>
      <c r="UJT229" s="1"/>
      <c r="UJU229" s="1"/>
      <c r="UJV229" s="1"/>
      <c r="UJW229" s="1"/>
      <c r="UJX229" s="1"/>
      <c r="UJY229" s="1"/>
      <c r="UJZ229" s="1"/>
      <c r="UKA229" s="1"/>
      <c r="UKB229" s="1"/>
      <c r="UKC229" s="1"/>
      <c r="UKD229" s="1"/>
      <c r="UKE229" s="1"/>
      <c r="UKF229" s="1"/>
      <c r="UKG229" s="1"/>
      <c r="UKH229" s="1"/>
      <c r="UKI229" s="1"/>
      <c r="UKJ229" s="1"/>
      <c r="UKK229" s="1"/>
      <c r="UKL229" s="1"/>
      <c r="UKM229" s="1"/>
      <c r="UKN229" s="1"/>
      <c r="UKO229" s="1"/>
      <c r="UKP229" s="1"/>
      <c r="UKQ229" s="1"/>
      <c r="UKR229" s="1"/>
      <c r="UKS229" s="1"/>
      <c r="UKT229" s="1"/>
      <c r="UKU229" s="1"/>
      <c r="UKV229" s="1"/>
      <c r="UKW229" s="1"/>
      <c r="UKX229" s="1"/>
      <c r="UKY229" s="1"/>
      <c r="UKZ229" s="1"/>
      <c r="ULA229" s="1"/>
      <c r="ULB229" s="1"/>
      <c r="ULC229" s="1"/>
      <c r="ULD229" s="1"/>
      <c r="ULE229" s="1"/>
      <c r="ULF229" s="1"/>
      <c r="ULG229" s="1"/>
      <c r="ULH229" s="1"/>
      <c r="ULI229" s="1"/>
      <c r="ULJ229" s="1"/>
      <c r="ULK229" s="1"/>
      <c r="ULL229" s="1"/>
      <c r="ULM229" s="1"/>
      <c r="ULN229" s="1"/>
      <c r="ULO229" s="1"/>
      <c r="ULP229" s="1"/>
      <c r="ULQ229" s="1"/>
      <c r="ULR229" s="1"/>
      <c r="ULS229" s="1"/>
      <c r="ULT229" s="1"/>
      <c r="ULU229" s="1"/>
      <c r="ULV229" s="1"/>
      <c r="ULW229" s="1"/>
      <c r="ULX229" s="1"/>
      <c r="ULY229" s="1"/>
      <c r="ULZ229" s="1"/>
      <c r="UMA229" s="1"/>
      <c r="UMB229" s="1"/>
      <c r="UMC229" s="1"/>
      <c r="UMD229" s="1"/>
      <c r="UME229" s="1"/>
      <c r="UMF229" s="1"/>
      <c r="UMG229" s="1"/>
      <c r="UMH229" s="1"/>
      <c r="UMI229" s="1"/>
      <c r="UMJ229" s="1"/>
      <c r="UMK229" s="1"/>
      <c r="UML229" s="1"/>
      <c r="UMM229" s="1"/>
      <c r="UMN229" s="1"/>
      <c r="UMO229" s="1"/>
      <c r="UMP229" s="1"/>
      <c r="UMQ229" s="1"/>
      <c r="UMR229" s="1"/>
      <c r="UMS229" s="1"/>
      <c r="UMT229" s="1"/>
      <c r="UMU229" s="1"/>
      <c r="UMV229" s="1"/>
      <c r="UMW229" s="1"/>
      <c r="UMX229" s="1"/>
      <c r="UMY229" s="1"/>
      <c r="UMZ229" s="1"/>
      <c r="UNA229" s="1"/>
      <c r="UNB229" s="1"/>
      <c r="UNC229" s="1"/>
      <c r="UND229" s="1"/>
      <c r="UNE229" s="1"/>
      <c r="UNF229" s="1"/>
      <c r="UNG229" s="1"/>
      <c r="UNH229" s="1"/>
      <c r="UNI229" s="1"/>
      <c r="UNJ229" s="1"/>
      <c r="UNK229" s="1"/>
      <c r="UNL229" s="1"/>
      <c r="UNM229" s="1"/>
      <c r="UNN229" s="1"/>
      <c r="UNO229" s="1"/>
      <c r="UNP229" s="1"/>
      <c r="UNQ229" s="1"/>
      <c r="UNR229" s="1"/>
      <c r="UNS229" s="1"/>
      <c r="UNT229" s="1"/>
      <c r="UNU229" s="1"/>
      <c r="UNV229" s="1"/>
      <c r="UNW229" s="1"/>
      <c r="UNX229" s="1"/>
      <c r="UNY229" s="1"/>
      <c r="UNZ229" s="1"/>
      <c r="UOA229" s="1"/>
      <c r="UOB229" s="1"/>
      <c r="UOC229" s="1"/>
      <c r="UOD229" s="1"/>
      <c r="UOE229" s="1"/>
      <c r="UOF229" s="1"/>
      <c r="UOG229" s="1"/>
      <c r="UOH229" s="1"/>
      <c r="UOI229" s="1"/>
      <c r="UOJ229" s="1"/>
      <c r="UOK229" s="1"/>
      <c r="UOL229" s="1"/>
      <c r="UOM229" s="1"/>
      <c r="UON229" s="1"/>
      <c r="UOO229" s="1"/>
      <c r="UOP229" s="1"/>
      <c r="UOQ229" s="1"/>
      <c r="UOR229" s="1"/>
      <c r="UOS229" s="1"/>
      <c r="UOT229" s="1"/>
      <c r="UOU229" s="1"/>
      <c r="UOV229" s="1"/>
      <c r="UOW229" s="1"/>
      <c r="UOX229" s="1"/>
      <c r="UOY229" s="1"/>
      <c r="UOZ229" s="1"/>
      <c r="UPA229" s="1"/>
      <c r="UPB229" s="1"/>
      <c r="UPC229" s="1"/>
      <c r="UPD229" s="1"/>
      <c r="UPE229" s="1"/>
      <c r="UPF229" s="1"/>
      <c r="UPG229" s="1"/>
      <c r="UPH229" s="1"/>
      <c r="UPI229" s="1"/>
      <c r="UPJ229" s="1"/>
      <c r="UPK229" s="1"/>
      <c r="UPL229" s="1"/>
      <c r="UPM229" s="1"/>
      <c r="UPN229" s="1"/>
      <c r="UPO229" s="1"/>
      <c r="UPP229" s="1"/>
      <c r="UPQ229" s="1"/>
      <c r="UPR229" s="1"/>
      <c r="UPS229" s="1"/>
      <c r="UPT229" s="1"/>
      <c r="UPU229" s="1"/>
      <c r="UPV229" s="1"/>
      <c r="UPW229" s="1"/>
      <c r="UPX229" s="1"/>
      <c r="UPY229" s="1"/>
      <c r="UPZ229" s="1"/>
      <c r="UQA229" s="1"/>
      <c r="UQB229" s="1"/>
      <c r="UQC229" s="1"/>
      <c r="UQD229" s="1"/>
      <c r="UQE229" s="1"/>
      <c r="UQF229" s="1"/>
      <c r="UQG229" s="1"/>
      <c r="UQH229" s="1"/>
      <c r="UQI229" s="1"/>
      <c r="UQJ229" s="1"/>
      <c r="UQK229" s="1"/>
      <c r="UQL229" s="1"/>
      <c r="UQM229" s="1"/>
      <c r="UQN229" s="1"/>
      <c r="UQO229" s="1"/>
      <c r="UQP229" s="1"/>
      <c r="UQQ229" s="1"/>
      <c r="UQR229" s="1"/>
      <c r="UQS229" s="1"/>
      <c r="UQT229" s="1"/>
      <c r="UQU229" s="1"/>
      <c r="UQV229" s="1"/>
      <c r="UQW229" s="1"/>
      <c r="UQX229" s="1"/>
      <c r="UQY229" s="1"/>
      <c r="UQZ229" s="1"/>
      <c r="URA229" s="1"/>
      <c r="URB229" s="1"/>
      <c r="URC229" s="1"/>
      <c r="URD229" s="1"/>
      <c r="URE229" s="1"/>
      <c r="URF229" s="1"/>
      <c r="URG229" s="1"/>
      <c r="URH229" s="1"/>
      <c r="URI229" s="1"/>
      <c r="URJ229" s="1"/>
      <c r="URK229" s="1"/>
      <c r="URL229" s="1"/>
      <c r="URM229" s="1"/>
      <c r="URN229" s="1"/>
      <c r="URO229" s="1"/>
      <c r="URP229" s="1"/>
      <c r="URQ229" s="1"/>
      <c r="URR229" s="1"/>
      <c r="URS229" s="1"/>
      <c r="URT229" s="1"/>
      <c r="URU229" s="1"/>
      <c r="URV229" s="1"/>
      <c r="URW229" s="1"/>
      <c r="URX229" s="1"/>
      <c r="URY229" s="1"/>
      <c r="URZ229" s="1"/>
      <c r="USA229" s="1"/>
      <c r="USB229" s="1"/>
      <c r="USC229" s="1"/>
      <c r="USD229" s="1"/>
      <c r="USE229" s="1"/>
      <c r="USF229" s="1"/>
      <c r="USG229" s="1"/>
      <c r="USH229" s="1"/>
      <c r="USI229" s="1"/>
      <c r="USJ229" s="1"/>
      <c r="USK229" s="1"/>
      <c r="USL229" s="1"/>
      <c r="USM229" s="1"/>
      <c r="USN229" s="1"/>
      <c r="USO229" s="1"/>
      <c r="USP229" s="1"/>
      <c r="USQ229" s="1"/>
      <c r="USR229" s="1"/>
      <c r="USS229" s="1"/>
      <c r="UST229" s="1"/>
      <c r="USU229" s="1"/>
      <c r="USV229" s="1"/>
      <c r="USW229" s="1"/>
      <c r="USX229" s="1"/>
      <c r="USY229" s="1"/>
      <c r="USZ229" s="1"/>
      <c r="UTA229" s="1"/>
      <c r="UTB229" s="1"/>
      <c r="UTC229" s="1"/>
      <c r="UTD229" s="1"/>
      <c r="UTE229" s="1"/>
      <c r="UTF229" s="1"/>
      <c r="UTG229" s="1"/>
      <c r="UTH229" s="1"/>
      <c r="UTI229" s="1"/>
      <c r="UTJ229" s="1"/>
      <c r="UTK229" s="1"/>
      <c r="UTL229" s="1"/>
      <c r="UTM229" s="1"/>
      <c r="UTN229" s="1"/>
      <c r="UTO229" s="1"/>
      <c r="UTP229" s="1"/>
      <c r="UTQ229" s="1"/>
      <c r="UTR229" s="1"/>
      <c r="UTS229" s="1"/>
      <c r="UTT229" s="1"/>
      <c r="UTU229" s="1"/>
      <c r="UTV229" s="1"/>
      <c r="UTW229" s="1"/>
      <c r="UTX229" s="1"/>
      <c r="UTY229" s="1"/>
      <c r="UTZ229" s="1"/>
      <c r="UUA229" s="1"/>
      <c r="UUB229" s="1"/>
      <c r="UUC229" s="1"/>
      <c r="UUD229" s="1"/>
      <c r="UUE229" s="1"/>
      <c r="UUF229" s="1"/>
      <c r="UUG229" s="1"/>
      <c r="UUH229" s="1"/>
      <c r="UUI229" s="1"/>
      <c r="UUJ229" s="1"/>
      <c r="UUK229" s="1"/>
      <c r="UUL229" s="1"/>
      <c r="UUM229" s="1"/>
      <c r="UUN229" s="1"/>
      <c r="UUO229" s="1"/>
      <c r="UUP229" s="1"/>
      <c r="UUQ229" s="1"/>
      <c r="UUR229" s="1"/>
      <c r="UUS229" s="1"/>
      <c r="UUT229" s="1"/>
      <c r="UUU229" s="1"/>
      <c r="UUV229" s="1"/>
      <c r="UUW229" s="1"/>
      <c r="UUX229" s="1"/>
      <c r="UUY229" s="1"/>
      <c r="UUZ229" s="1"/>
      <c r="UVA229" s="1"/>
      <c r="UVB229" s="1"/>
      <c r="UVC229" s="1"/>
      <c r="UVD229" s="1"/>
      <c r="UVE229" s="1"/>
      <c r="UVF229" s="1"/>
      <c r="UVG229" s="1"/>
      <c r="UVH229" s="1"/>
      <c r="UVI229" s="1"/>
      <c r="UVJ229" s="1"/>
      <c r="UVK229" s="1"/>
      <c r="UVL229" s="1"/>
      <c r="UVM229" s="1"/>
      <c r="UVN229" s="1"/>
      <c r="UVO229" s="1"/>
      <c r="UVP229" s="1"/>
      <c r="UVQ229" s="1"/>
      <c r="UVR229" s="1"/>
      <c r="UVS229" s="1"/>
      <c r="UVT229" s="1"/>
      <c r="UVU229" s="1"/>
      <c r="UVV229" s="1"/>
      <c r="UVW229" s="1"/>
      <c r="UVX229" s="1"/>
      <c r="UVY229" s="1"/>
      <c r="UVZ229" s="1"/>
      <c r="UWA229" s="1"/>
      <c r="UWB229" s="1"/>
      <c r="UWC229" s="1"/>
      <c r="UWD229" s="1"/>
      <c r="UWE229" s="1"/>
      <c r="UWF229" s="1"/>
      <c r="UWG229" s="1"/>
      <c r="UWH229" s="1"/>
      <c r="UWI229" s="1"/>
      <c r="UWJ229" s="1"/>
      <c r="UWK229" s="1"/>
      <c r="UWL229" s="1"/>
      <c r="UWM229" s="1"/>
      <c r="UWN229" s="1"/>
      <c r="UWO229" s="1"/>
      <c r="UWP229" s="1"/>
      <c r="UWQ229" s="1"/>
      <c r="UWR229" s="1"/>
      <c r="UWS229" s="1"/>
      <c r="UWT229" s="1"/>
      <c r="UWU229" s="1"/>
      <c r="UWV229" s="1"/>
      <c r="UWW229" s="1"/>
      <c r="UWX229" s="1"/>
      <c r="UWY229" s="1"/>
      <c r="UWZ229" s="1"/>
      <c r="UXA229" s="1"/>
      <c r="UXB229" s="1"/>
      <c r="UXC229" s="1"/>
      <c r="UXD229" s="1"/>
      <c r="UXE229" s="1"/>
      <c r="UXF229" s="1"/>
      <c r="UXG229" s="1"/>
      <c r="UXH229" s="1"/>
      <c r="UXI229" s="1"/>
      <c r="UXJ229" s="1"/>
      <c r="UXK229" s="1"/>
      <c r="UXL229" s="1"/>
      <c r="UXM229" s="1"/>
      <c r="UXN229" s="1"/>
      <c r="UXO229" s="1"/>
      <c r="UXP229" s="1"/>
      <c r="UXQ229" s="1"/>
      <c r="UXR229" s="1"/>
      <c r="UXS229" s="1"/>
      <c r="UXT229" s="1"/>
      <c r="UXU229" s="1"/>
      <c r="UXV229" s="1"/>
      <c r="UXW229" s="1"/>
      <c r="UXX229" s="1"/>
      <c r="UXY229" s="1"/>
      <c r="UXZ229" s="1"/>
      <c r="UYA229" s="1"/>
      <c r="UYB229" s="1"/>
      <c r="UYC229" s="1"/>
      <c r="UYD229" s="1"/>
      <c r="UYE229" s="1"/>
      <c r="UYF229" s="1"/>
      <c r="UYG229" s="1"/>
      <c r="UYH229" s="1"/>
      <c r="UYI229" s="1"/>
      <c r="UYJ229" s="1"/>
      <c r="UYK229" s="1"/>
      <c r="UYL229" s="1"/>
      <c r="UYM229" s="1"/>
      <c r="UYN229" s="1"/>
      <c r="UYO229" s="1"/>
      <c r="UYP229" s="1"/>
      <c r="UYQ229" s="1"/>
      <c r="UYR229" s="1"/>
      <c r="UYS229" s="1"/>
      <c r="UYT229" s="1"/>
      <c r="UYU229" s="1"/>
      <c r="UYV229" s="1"/>
      <c r="UYW229" s="1"/>
      <c r="UYX229" s="1"/>
      <c r="UYY229" s="1"/>
      <c r="UYZ229" s="1"/>
      <c r="UZA229" s="1"/>
      <c r="UZB229" s="1"/>
      <c r="UZC229" s="1"/>
      <c r="UZD229" s="1"/>
      <c r="UZE229" s="1"/>
      <c r="UZF229" s="1"/>
      <c r="UZG229" s="1"/>
      <c r="UZH229" s="1"/>
      <c r="UZI229" s="1"/>
      <c r="UZJ229" s="1"/>
      <c r="UZK229" s="1"/>
      <c r="UZL229" s="1"/>
      <c r="UZM229" s="1"/>
      <c r="UZN229" s="1"/>
      <c r="UZO229" s="1"/>
      <c r="UZP229" s="1"/>
      <c r="UZQ229" s="1"/>
      <c r="UZR229" s="1"/>
      <c r="UZS229" s="1"/>
      <c r="UZT229" s="1"/>
      <c r="UZU229" s="1"/>
      <c r="UZV229" s="1"/>
      <c r="UZW229" s="1"/>
      <c r="UZX229" s="1"/>
      <c r="UZY229" s="1"/>
      <c r="UZZ229" s="1"/>
      <c r="VAA229" s="1"/>
      <c r="VAB229" s="1"/>
      <c r="VAC229" s="1"/>
      <c r="VAD229" s="1"/>
      <c r="VAE229" s="1"/>
      <c r="VAF229" s="1"/>
      <c r="VAG229" s="1"/>
      <c r="VAH229" s="1"/>
      <c r="VAI229" s="1"/>
      <c r="VAJ229" s="1"/>
      <c r="VAK229" s="1"/>
      <c r="VAL229" s="1"/>
      <c r="VAM229" s="1"/>
      <c r="VAN229" s="1"/>
      <c r="VAO229" s="1"/>
      <c r="VAP229" s="1"/>
      <c r="VAQ229" s="1"/>
      <c r="VAR229" s="1"/>
      <c r="VAS229" s="1"/>
      <c r="VAT229" s="1"/>
      <c r="VAU229" s="1"/>
      <c r="VAV229" s="1"/>
      <c r="VAW229" s="1"/>
      <c r="VAX229" s="1"/>
      <c r="VAY229" s="1"/>
      <c r="VAZ229" s="1"/>
      <c r="VBA229" s="1"/>
      <c r="VBB229" s="1"/>
      <c r="VBC229" s="1"/>
      <c r="VBD229" s="1"/>
      <c r="VBE229" s="1"/>
      <c r="VBF229" s="1"/>
      <c r="VBG229" s="1"/>
      <c r="VBH229" s="1"/>
      <c r="VBI229" s="1"/>
      <c r="VBJ229" s="1"/>
      <c r="VBK229" s="1"/>
      <c r="VBL229" s="1"/>
      <c r="VBM229" s="1"/>
      <c r="VBN229" s="1"/>
      <c r="VBO229" s="1"/>
      <c r="VBP229" s="1"/>
      <c r="VBQ229" s="1"/>
      <c r="VBR229" s="1"/>
      <c r="VBS229" s="1"/>
      <c r="VBT229" s="1"/>
      <c r="VBU229" s="1"/>
      <c r="VBV229" s="1"/>
      <c r="VBW229" s="1"/>
      <c r="VBX229" s="1"/>
      <c r="VBY229" s="1"/>
      <c r="VBZ229" s="1"/>
      <c r="VCA229" s="1"/>
      <c r="VCB229" s="1"/>
      <c r="VCC229" s="1"/>
      <c r="VCD229" s="1"/>
      <c r="VCE229" s="1"/>
      <c r="VCF229" s="1"/>
      <c r="VCG229" s="1"/>
      <c r="VCH229" s="1"/>
      <c r="VCI229" s="1"/>
      <c r="VCJ229" s="1"/>
      <c r="VCK229" s="1"/>
      <c r="VCL229" s="1"/>
      <c r="VCM229" s="1"/>
      <c r="VCN229" s="1"/>
      <c r="VCO229" s="1"/>
      <c r="VCP229" s="1"/>
      <c r="VCQ229" s="1"/>
      <c r="VCR229" s="1"/>
      <c r="VCS229" s="1"/>
    </row>
    <row r="230" spans="1:14969" s="2" customFormat="1" x14ac:dyDescent="0.25">
      <c r="A230" s="1"/>
      <c r="B230" s="269"/>
      <c r="C230" s="209" t="s">
        <v>3</v>
      </c>
      <c r="D230" s="187">
        <v>28700</v>
      </c>
      <c r="E230" s="192" t="s">
        <v>2</v>
      </c>
      <c r="F230" s="11">
        <v>27300</v>
      </c>
      <c r="G230" s="11">
        <v>26900</v>
      </c>
      <c r="H230" s="11">
        <v>28000</v>
      </c>
      <c r="I230" s="11">
        <v>23300</v>
      </c>
      <c r="J230" s="11">
        <v>23500</v>
      </c>
      <c r="K230" s="11">
        <v>24100</v>
      </c>
      <c r="L230" s="11">
        <v>26300</v>
      </c>
      <c r="M230" s="346">
        <v>28300</v>
      </c>
      <c r="N230" s="11">
        <v>27200</v>
      </c>
      <c r="O230" s="11">
        <v>25500</v>
      </c>
      <c r="P230" s="11">
        <v>25100</v>
      </c>
      <c r="Q230" s="11">
        <v>27100</v>
      </c>
      <c r="R230" s="11">
        <v>25300</v>
      </c>
      <c r="S230" s="11">
        <v>25600</v>
      </c>
      <c r="T230" s="11">
        <v>24500</v>
      </c>
      <c r="U230" s="11">
        <v>24600</v>
      </c>
      <c r="V230" s="11">
        <v>26600</v>
      </c>
      <c r="W230" s="11">
        <v>27000</v>
      </c>
      <c r="X230" s="11">
        <v>27000</v>
      </c>
      <c r="Y230" s="11">
        <v>28000</v>
      </c>
      <c r="Z230" s="11">
        <v>29200</v>
      </c>
      <c r="AA230" s="11">
        <v>28300</v>
      </c>
      <c r="AB230" s="11">
        <v>28200</v>
      </c>
      <c r="AC230" s="11">
        <v>27400</v>
      </c>
      <c r="AD230" s="11">
        <v>26300</v>
      </c>
      <c r="AE230" s="11">
        <v>26300</v>
      </c>
      <c r="AF230" s="11">
        <v>28300</v>
      </c>
      <c r="AG230" s="11">
        <v>27600</v>
      </c>
      <c r="AH230" s="11">
        <v>29500</v>
      </c>
      <c r="AI230" s="11">
        <v>27600</v>
      </c>
      <c r="AJ230" s="11">
        <v>26300</v>
      </c>
      <c r="AK230" s="10"/>
      <c r="AL230" s="9">
        <f>SUM(F230:AJ230)</f>
        <v>826200</v>
      </c>
      <c r="AM230" s="1"/>
      <c r="AN230" s="8">
        <f>AL230/AL30</f>
        <v>26651.612903225807</v>
      </c>
      <c r="AP230" s="3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/>
      <c r="AHA230" s="1"/>
      <c r="AHB230" s="1"/>
      <c r="AHC230" s="1"/>
      <c r="AHD230" s="1"/>
      <c r="AHE230" s="1"/>
      <c r="AHF230" s="1"/>
      <c r="AHG230" s="1"/>
      <c r="AHH230" s="1"/>
      <c r="AHI230" s="1"/>
      <c r="AHJ230" s="1"/>
      <c r="AHK230" s="1"/>
      <c r="AHL230" s="1"/>
      <c r="AHM230" s="1"/>
      <c r="AHN230" s="1"/>
      <c r="AHO230" s="1"/>
      <c r="AHP230" s="1"/>
      <c r="AHQ230" s="1"/>
      <c r="AHR230" s="1"/>
      <c r="AHS230" s="1"/>
      <c r="AHT230" s="1"/>
      <c r="AHU230" s="1"/>
      <c r="AHV230" s="1"/>
      <c r="AHW230" s="1"/>
      <c r="AHX230" s="1"/>
      <c r="AHY230" s="1"/>
      <c r="AHZ230" s="1"/>
      <c r="AIA230" s="1"/>
      <c r="AIB230" s="1"/>
      <c r="AIC230" s="1"/>
      <c r="AID230" s="1"/>
      <c r="AIE230" s="1"/>
      <c r="AIF230" s="1"/>
      <c r="AIG230" s="1"/>
      <c r="AIH230" s="1"/>
      <c r="AII230" s="1"/>
      <c r="AIJ230" s="1"/>
      <c r="AIK230" s="1"/>
      <c r="AIL230" s="1"/>
      <c r="AIM230" s="1"/>
      <c r="AIN230" s="1"/>
      <c r="AIO230" s="1"/>
      <c r="AIP230" s="1"/>
      <c r="AIQ230" s="1"/>
      <c r="AIR230" s="1"/>
      <c r="AIS230" s="1"/>
      <c r="AIT230" s="1"/>
      <c r="AIU230" s="1"/>
      <c r="AIV230" s="1"/>
      <c r="AIW230" s="1"/>
      <c r="AIX230" s="1"/>
      <c r="AIY230" s="1"/>
      <c r="AIZ230" s="1"/>
      <c r="AJA230" s="1"/>
      <c r="AJB230" s="1"/>
      <c r="AJC230" s="1"/>
      <c r="AJD230" s="1"/>
      <c r="AJE230" s="1"/>
      <c r="AJF230" s="1"/>
      <c r="AJG230" s="1"/>
      <c r="AJH230" s="1"/>
      <c r="AJI230" s="1"/>
      <c r="AJJ230" s="1"/>
      <c r="AJK230" s="1"/>
      <c r="AJL230" s="1"/>
      <c r="AJM230" s="1"/>
      <c r="AJN230" s="1"/>
      <c r="AJO230" s="1"/>
      <c r="AJP230" s="1"/>
      <c r="AJQ230" s="1"/>
      <c r="AJR230" s="1"/>
      <c r="AJS230" s="1"/>
      <c r="AJT230" s="1"/>
      <c r="AJU230" s="1"/>
      <c r="AJV230" s="1"/>
      <c r="AJW230" s="1"/>
      <c r="AJX230" s="1"/>
      <c r="AJY230" s="1"/>
      <c r="AJZ230" s="1"/>
      <c r="AKA230" s="1"/>
      <c r="AKB230" s="1"/>
      <c r="AKC230" s="1"/>
      <c r="AKD230" s="1"/>
      <c r="AKE230" s="1"/>
      <c r="AKF230" s="1"/>
      <c r="AKG230" s="1"/>
      <c r="AKH230" s="1"/>
      <c r="AKI230" s="1"/>
      <c r="AKJ230" s="1"/>
      <c r="AKK230" s="1"/>
      <c r="AKL230" s="1"/>
      <c r="AKM230" s="1"/>
      <c r="AKN230" s="1"/>
      <c r="AKO230" s="1"/>
      <c r="AKP230" s="1"/>
      <c r="AKQ230" s="1"/>
      <c r="AKR230" s="1"/>
      <c r="AKS230" s="1"/>
      <c r="AKT230" s="1"/>
      <c r="AKU230" s="1"/>
      <c r="AKV230" s="1"/>
      <c r="AKW230" s="1"/>
      <c r="AKX230" s="1"/>
      <c r="AKY230" s="1"/>
      <c r="AKZ230" s="1"/>
      <c r="ALA230" s="1"/>
      <c r="ALB230" s="1"/>
      <c r="ALC230" s="1"/>
      <c r="ALD230" s="1"/>
      <c r="ALE230" s="1"/>
      <c r="ALF230" s="1"/>
      <c r="ALG230" s="1"/>
      <c r="ALH230" s="1"/>
      <c r="ALI230" s="1"/>
      <c r="ALJ230" s="1"/>
      <c r="ALK230" s="1"/>
      <c r="ALL230" s="1"/>
      <c r="ALM230" s="1"/>
      <c r="ALN230" s="1"/>
      <c r="ALO230" s="1"/>
      <c r="ALP230" s="1"/>
      <c r="ALQ230" s="1"/>
      <c r="ALR230" s="1"/>
      <c r="ALS230" s="1"/>
      <c r="ALT230" s="1"/>
      <c r="ALU230" s="1"/>
      <c r="ALV230" s="1"/>
      <c r="ALW230" s="1"/>
      <c r="ALX230" s="1"/>
      <c r="ALY230" s="1"/>
      <c r="ALZ230" s="1"/>
      <c r="AMA230" s="1"/>
      <c r="AMB230" s="1"/>
      <c r="AMC230" s="1"/>
      <c r="AMD230" s="1"/>
      <c r="AME230" s="1"/>
      <c r="AMF230" s="1"/>
      <c r="AMG230" s="1"/>
      <c r="AMH230" s="1"/>
      <c r="AMI230" s="1"/>
      <c r="AMJ230" s="1"/>
      <c r="AMK230" s="1"/>
      <c r="AML230" s="1"/>
      <c r="AMM230" s="1"/>
      <c r="AMN230" s="1"/>
      <c r="AMO230" s="1"/>
      <c r="AMP230" s="1"/>
      <c r="AMQ230" s="1"/>
      <c r="AMR230" s="1"/>
      <c r="AMS230" s="1"/>
      <c r="AMT230" s="1"/>
      <c r="AMU230" s="1"/>
      <c r="AMV230" s="1"/>
      <c r="AMW230" s="1"/>
      <c r="AMX230" s="1"/>
      <c r="AMY230" s="1"/>
      <c r="AMZ230" s="1"/>
      <c r="ANA230" s="1"/>
      <c r="ANB230" s="1"/>
      <c r="ANC230" s="1"/>
      <c r="AND230" s="1"/>
      <c r="ANE230" s="1"/>
      <c r="ANF230" s="1"/>
      <c r="ANG230" s="1"/>
      <c r="ANH230" s="1"/>
      <c r="ANI230" s="1"/>
      <c r="ANJ230" s="1"/>
      <c r="ANK230" s="1"/>
      <c r="ANL230" s="1"/>
      <c r="ANM230" s="1"/>
      <c r="ANN230" s="1"/>
      <c r="ANO230" s="1"/>
      <c r="ANP230" s="1"/>
      <c r="ANQ230" s="1"/>
      <c r="ANR230" s="1"/>
      <c r="ANS230" s="1"/>
      <c r="ANT230" s="1"/>
      <c r="ANU230" s="1"/>
      <c r="ANV230" s="1"/>
      <c r="ANW230" s="1"/>
      <c r="ANX230" s="1"/>
      <c r="ANY230" s="1"/>
      <c r="ANZ230" s="1"/>
      <c r="AOA230" s="1"/>
      <c r="AOB230" s="1"/>
      <c r="AOC230" s="1"/>
      <c r="AOD230" s="1"/>
      <c r="AOE230" s="1"/>
      <c r="AOF230" s="1"/>
      <c r="AOG230" s="1"/>
      <c r="AOH230" s="1"/>
      <c r="AOI230" s="1"/>
      <c r="AOJ230" s="1"/>
      <c r="AOK230" s="1"/>
      <c r="AOL230" s="1"/>
      <c r="AOM230" s="1"/>
      <c r="AON230" s="1"/>
      <c r="AOO230" s="1"/>
      <c r="AOP230" s="1"/>
      <c r="AOQ230" s="1"/>
      <c r="AOR230" s="1"/>
      <c r="AOS230" s="1"/>
      <c r="AOT230" s="1"/>
      <c r="AOU230" s="1"/>
      <c r="AOV230" s="1"/>
      <c r="AOW230" s="1"/>
      <c r="AOX230" s="1"/>
      <c r="AOY230" s="1"/>
      <c r="AOZ230" s="1"/>
      <c r="APA230" s="1"/>
      <c r="APB230" s="1"/>
      <c r="APC230" s="1"/>
      <c r="APD230" s="1"/>
      <c r="APE230" s="1"/>
      <c r="APF230" s="1"/>
      <c r="APG230" s="1"/>
      <c r="APH230" s="1"/>
      <c r="API230" s="1"/>
      <c r="APJ230" s="1"/>
      <c r="APK230" s="1"/>
      <c r="APL230" s="1"/>
      <c r="APM230" s="1"/>
      <c r="APN230" s="1"/>
      <c r="APO230" s="1"/>
      <c r="APP230" s="1"/>
      <c r="APQ230" s="1"/>
      <c r="APR230" s="1"/>
      <c r="APS230" s="1"/>
      <c r="APT230" s="1"/>
      <c r="APU230" s="1"/>
      <c r="APV230" s="1"/>
      <c r="APW230" s="1"/>
      <c r="APX230" s="1"/>
      <c r="APY230" s="1"/>
      <c r="APZ230" s="1"/>
      <c r="AQA230" s="1"/>
      <c r="AQB230" s="1"/>
      <c r="AQC230" s="1"/>
      <c r="AQD230" s="1"/>
      <c r="AQE230" s="1"/>
      <c r="AQF230" s="1"/>
      <c r="AQG230" s="1"/>
      <c r="AQH230" s="1"/>
      <c r="AQI230" s="1"/>
      <c r="AQJ230" s="1"/>
      <c r="AQK230" s="1"/>
      <c r="AQL230" s="1"/>
      <c r="AQM230" s="1"/>
      <c r="AQN230" s="1"/>
      <c r="AQO230" s="1"/>
      <c r="AQP230" s="1"/>
      <c r="AQQ230" s="1"/>
      <c r="AQR230" s="1"/>
      <c r="AQS230" s="1"/>
      <c r="AQT230" s="1"/>
      <c r="AQU230" s="1"/>
      <c r="AQV230" s="1"/>
      <c r="AQW230" s="1"/>
      <c r="AQX230" s="1"/>
      <c r="AQY230" s="1"/>
      <c r="AQZ230" s="1"/>
      <c r="ARA230" s="1"/>
      <c r="ARB230" s="1"/>
      <c r="ARC230" s="1"/>
      <c r="ARD230" s="1"/>
      <c r="ARE230" s="1"/>
      <c r="ARF230" s="1"/>
      <c r="ARG230" s="1"/>
      <c r="ARH230" s="1"/>
      <c r="ARI230" s="1"/>
      <c r="ARJ230" s="1"/>
      <c r="ARK230" s="1"/>
      <c r="ARL230" s="1"/>
      <c r="ARM230" s="1"/>
      <c r="ARN230" s="1"/>
      <c r="ARO230" s="1"/>
      <c r="ARP230" s="1"/>
      <c r="ARQ230" s="1"/>
      <c r="ARR230" s="1"/>
      <c r="ARS230" s="1"/>
      <c r="ART230" s="1"/>
      <c r="ARU230" s="1"/>
      <c r="ARV230" s="1"/>
      <c r="ARW230" s="1"/>
      <c r="ARX230" s="1"/>
      <c r="ARY230" s="1"/>
      <c r="ARZ230" s="1"/>
      <c r="ASA230" s="1"/>
      <c r="ASB230" s="1"/>
      <c r="ASC230" s="1"/>
      <c r="ASD230" s="1"/>
      <c r="ASE230" s="1"/>
      <c r="ASF230" s="1"/>
      <c r="ASG230" s="1"/>
      <c r="ASH230" s="1"/>
      <c r="ASI230" s="1"/>
      <c r="ASJ230" s="1"/>
      <c r="ASK230" s="1"/>
      <c r="ASL230" s="1"/>
      <c r="ASM230" s="1"/>
      <c r="ASN230" s="1"/>
      <c r="ASO230" s="1"/>
      <c r="ASP230" s="1"/>
      <c r="ASQ230" s="1"/>
      <c r="ASR230" s="1"/>
      <c r="ASS230" s="1"/>
      <c r="AST230" s="1"/>
      <c r="ASU230" s="1"/>
      <c r="ASV230" s="1"/>
      <c r="ASW230" s="1"/>
      <c r="ASX230" s="1"/>
      <c r="ASY230" s="1"/>
      <c r="ASZ230" s="1"/>
      <c r="ATA230" s="1"/>
      <c r="ATB230" s="1"/>
      <c r="ATC230" s="1"/>
      <c r="ATD230" s="1"/>
      <c r="ATE230" s="1"/>
      <c r="ATF230" s="1"/>
      <c r="ATG230" s="1"/>
      <c r="ATH230" s="1"/>
      <c r="ATI230" s="1"/>
      <c r="ATJ230" s="1"/>
      <c r="ATK230" s="1"/>
      <c r="ATL230" s="1"/>
      <c r="ATM230" s="1"/>
      <c r="ATN230" s="1"/>
      <c r="ATO230" s="1"/>
      <c r="ATP230" s="1"/>
      <c r="ATQ230" s="1"/>
      <c r="ATR230" s="1"/>
      <c r="ATS230" s="1"/>
      <c r="ATT230" s="1"/>
      <c r="ATU230" s="1"/>
      <c r="ATV230" s="1"/>
      <c r="ATW230" s="1"/>
      <c r="ATX230" s="1"/>
      <c r="ATY230" s="1"/>
      <c r="ATZ230" s="1"/>
      <c r="AUA230" s="1"/>
      <c r="AUB230" s="1"/>
      <c r="AUC230" s="1"/>
      <c r="AUD230" s="1"/>
      <c r="AUE230" s="1"/>
      <c r="AUF230" s="1"/>
      <c r="AUG230" s="1"/>
      <c r="AUH230" s="1"/>
      <c r="AUI230" s="1"/>
      <c r="AUJ230" s="1"/>
      <c r="AUK230" s="1"/>
      <c r="AUL230" s="1"/>
      <c r="AUM230" s="1"/>
      <c r="AUN230" s="1"/>
      <c r="AUO230" s="1"/>
      <c r="AUP230" s="1"/>
      <c r="AUQ230" s="1"/>
      <c r="AUR230" s="1"/>
      <c r="AUS230" s="1"/>
      <c r="AUT230" s="1"/>
      <c r="AUU230" s="1"/>
      <c r="AUV230" s="1"/>
      <c r="AUW230" s="1"/>
      <c r="AUX230" s="1"/>
      <c r="AUY230" s="1"/>
      <c r="AUZ230" s="1"/>
      <c r="AVA230" s="1"/>
      <c r="AVB230" s="1"/>
      <c r="AVC230" s="1"/>
      <c r="AVD230" s="1"/>
      <c r="AVE230" s="1"/>
      <c r="AVF230" s="1"/>
      <c r="AVG230" s="1"/>
      <c r="AVH230" s="1"/>
      <c r="AVI230" s="1"/>
      <c r="AVJ230" s="1"/>
      <c r="AVK230" s="1"/>
      <c r="AVL230" s="1"/>
      <c r="AVM230" s="1"/>
      <c r="AVN230" s="1"/>
      <c r="AVO230" s="1"/>
      <c r="AVP230" s="1"/>
      <c r="AVQ230" s="1"/>
      <c r="AVR230" s="1"/>
      <c r="AVS230" s="1"/>
      <c r="AVT230" s="1"/>
      <c r="AVU230" s="1"/>
      <c r="AVV230" s="1"/>
      <c r="AVW230" s="1"/>
      <c r="AVX230" s="1"/>
      <c r="AVY230" s="1"/>
      <c r="AVZ230" s="1"/>
      <c r="AWA230" s="1"/>
      <c r="AWB230" s="1"/>
      <c r="AWC230" s="1"/>
      <c r="AWD230" s="1"/>
      <c r="AWE230" s="1"/>
      <c r="AWF230" s="1"/>
      <c r="AWG230" s="1"/>
      <c r="AWH230" s="1"/>
      <c r="AWI230" s="1"/>
      <c r="AWJ230" s="1"/>
      <c r="AWK230" s="1"/>
      <c r="AWL230" s="1"/>
      <c r="AWM230" s="1"/>
      <c r="AWN230" s="1"/>
      <c r="AWO230" s="1"/>
      <c r="AWP230" s="1"/>
      <c r="AWQ230" s="1"/>
      <c r="AWR230" s="1"/>
      <c r="AWS230" s="1"/>
      <c r="AWT230" s="1"/>
      <c r="AWU230" s="1"/>
      <c r="AWV230" s="1"/>
      <c r="AWW230" s="1"/>
      <c r="AWX230" s="1"/>
      <c r="AWY230" s="1"/>
      <c r="AWZ230" s="1"/>
      <c r="AXA230" s="1"/>
      <c r="AXB230" s="1"/>
      <c r="AXC230" s="1"/>
      <c r="AXD230" s="1"/>
      <c r="AXE230" s="1"/>
      <c r="AXF230" s="1"/>
      <c r="AXG230" s="1"/>
      <c r="AXH230" s="1"/>
      <c r="AXI230" s="1"/>
      <c r="AXJ230" s="1"/>
      <c r="AXK230" s="1"/>
      <c r="AXL230" s="1"/>
      <c r="AXM230" s="1"/>
      <c r="AXN230" s="1"/>
      <c r="AXO230" s="1"/>
      <c r="AXP230" s="1"/>
      <c r="AXQ230" s="1"/>
      <c r="AXR230" s="1"/>
      <c r="AXS230" s="1"/>
      <c r="AXT230" s="1"/>
      <c r="AXU230" s="1"/>
      <c r="AXV230" s="1"/>
      <c r="AXW230" s="1"/>
      <c r="AXX230" s="1"/>
      <c r="AXY230" s="1"/>
      <c r="AXZ230" s="1"/>
      <c r="AYA230" s="1"/>
      <c r="AYB230" s="1"/>
      <c r="AYC230" s="1"/>
      <c r="AYD230" s="1"/>
      <c r="AYE230" s="1"/>
      <c r="AYF230" s="1"/>
      <c r="AYG230" s="1"/>
      <c r="AYH230" s="1"/>
      <c r="AYI230" s="1"/>
      <c r="AYJ230" s="1"/>
      <c r="AYK230" s="1"/>
      <c r="AYL230" s="1"/>
      <c r="AYM230" s="1"/>
      <c r="AYN230" s="1"/>
      <c r="AYO230" s="1"/>
      <c r="AYP230" s="1"/>
      <c r="AYQ230" s="1"/>
      <c r="AYR230" s="1"/>
      <c r="AYS230" s="1"/>
      <c r="AYT230" s="1"/>
      <c r="AYU230" s="1"/>
      <c r="AYV230" s="1"/>
      <c r="AYW230" s="1"/>
      <c r="AYX230" s="1"/>
      <c r="AYY230" s="1"/>
      <c r="AYZ230" s="1"/>
      <c r="AZA230" s="1"/>
      <c r="AZB230" s="1"/>
      <c r="AZC230" s="1"/>
      <c r="AZD230" s="1"/>
      <c r="AZE230" s="1"/>
      <c r="AZF230" s="1"/>
      <c r="AZG230" s="1"/>
      <c r="AZH230" s="1"/>
      <c r="AZI230" s="1"/>
      <c r="AZJ230" s="1"/>
      <c r="AZK230" s="1"/>
      <c r="AZL230" s="1"/>
      <c r="AZM230" s="1"/>
      <c r="AZN230" s="1"/>
      <c r="AZO230" s="1"/>
      <c r="AZP230" s="1"/>
      <c r="AZQ230" s="1"/>
      <c r="AZR230" s="1"/>
      <c r="AZS230" s="1"/>
      <c r="AZT230" s="1"/>
      <c r="AZU230" s="1"/>
      <c r="AZV230" s="1"/>
      <c r="AZW230" s="1"/>
      <c r="AZX230" s="1"/>
      <c r="AZY230" s="1"/>
      <c r="AZZ230" s="1"/>
      <c r="BAA230" s="1"/>
      <c r="BAB230" s="1"/>
      <c r="BAC230" s="1"/>
      <c r="BAD230" s="1"/>
      <c r="BAE230" s="1"/>
      <c r="BAF230" s="1"/>
      <c r="BAG230" s="1"/>
      <c r="BAH230" s="1"/>
      <c r="BAI230" s="1"/>
      <c r="BAJ230" s="1"/>
      <c r="BAK230" s="1"/>
      <c r="BAL230" s="1"/>
      <c r="BAM230" s="1"/>
      <c r="BAN230" s="1"/>
      <c r="BAO230" s="1"/>
      <c r="BAP230" s="1"/>
      <c r="BAQ230" s="1"/>
      <c r="BAR230" s="1"/>
      <c r="BAS230" s="1"/>
      <c r="BAT230" s="1"/>
      <c r="BAU230" s="1"/>
      <c r="BAV230" s="1"/>
      <c r="BAW230" s="1"/>
      <c r="BAX230" s="1"/>
      <c r="BAY230" s="1"/>
      <c r="BAZ230" s="1"/>
      <c r="BBA230" s="1"/>
      <c r="BBB230" s="1"/>
      <c r="BBC230" s="1"/>
      <c r="BBD230" s="1"/>
      <c r="BBE230" s="1"/>
      <c r="BBF230" s="1"/>
      <c r="BBG230" s="1"/>
      <c r="BBH230" s="1"/>
      <c r="BBI230" s="1"/>
      <c r="BBJ230" s="1"/>
      <c r="BBK230" s="1"/>
      <c r="BBL230" s="1"/>
      <c r="BBM230" s="1"/>
      <c r="BBN230" s="1"/>
      <c r="BBO230" s="1"/>
      <c r="BBP230" s="1"/>
      <c r="BBQ230" s="1"/>
      <c r="BBR230" s="1"/>
      <c r="BBS230" s="1"/>
      <c r="BBT230" s="1"/>
      <c r="BBU230" s="1"/>
      <c r="BBV230" s="1"/>
      <c r="BBW230" s="1"/>
      <c r="BBX230" s="1"/>
      <c r="BBY230" s="1"/>
      <c r="BBZ230" s="1"/>
      <c r="BCA230" s="1"/>
      <c r="BCB230" s="1"/>
      <c r="BCC230" s="1"/>
      <c r="BCD230" s="1"/>
      <c r="BCE230" s="1"/>
      <c r="BCF230" s="1"/>
      <c r="BCG230" s="1"/>
      <c r="BCH230" s="1"/>
      <c r="BCI230" s="1"/>
      <c r="BCJ230" s="1"/>
      <c r="BCK230" s="1"/>
      <c r="BCL230" s="1"/>
      <c r="BCM230" s="1"/>
      <c r="BCN230" s="1"/>
      <c r="BCO230" s="1"/>
      <c r="BCP230" s="1"/>
      <c r="BCQ230" s="1"/>
      <c r="BCR230" s="1"/>
      <c r="BCS230" s="1"/>
      <c r="BCT230" s="1"/>
      <c r="BCU230" s="1"/>
      <c r="BCV230" s="1"/>
      <c r="BCW230" s="1"/>
      <c r="BCX230" s="1"/>
      <c r="BCY230" s="1"/>
      <c r="BCZ230" s="1"/>
      <c r="BDA230" s="1"/>
      <c r="BDB230" s="1"/>
      <c r="BDC230" s="1"/>
      <c r="BDD230" s="1"/>
      <c r="BDE230" s="1"/>
      <c r="BDF230" s="1"/>
      <c r="BDG230" s="1"/>
      <c r="BDH230" s="1"/>
      <c r="BDI230" s="1"/>
      <c r="BDJ230" s="1"/>
      <c r="BDK230" s="1"/>
      <c r="BDL230" s="1"/>
      <c r="BDM230" s="1"/>
      <c r="BDN230" s="1"/>
      <c r="BDO230" s="1"/>
      <c r="BDP230" s="1"/>
      <c r="BDQ230" s="1"/>
      <c r="BDR230" s="1"/>
      <c r="BDS230" s="1"/>
      <c r="BDT230" s="1"/>
      <c r="BDU230" s="1"/>
      <c r="BDV230" s="1"/>
      <c r="BDW230" s="1"/>
      <c r="BDX230" s="1"/>
      <c r="BDY230" s="1"/>
      <c r="BDZ230" s="1"/>
      <c r="BEA230" s="1"/>
      <c r="BEB230" s="1"/>
      <c r="BEC230" s="1"/>
      <c r="BED230" s="1"/>
      <c r="BEE230" s="1"/>
      <c r="BEF230" s="1"/>
      <c r="BEG230" s="1"/>
      <c r="BEH230" s="1"/>
      <c r="BEI230" s="1"/>
      <c r="BEJ230" s="1"/>
      <c r="BEK230" s="1"/>
      <c r="BEL230" s="1"/>
      <c r="BEM230" s="1"/>
      <c r="BEN230" s="1"/>
      <c r="BEO230" s="1"/>
      <c r="BEP230" s="1"/>
      <c r="BEQ230" s="1"/>
      <c r="BER230" s="1"/>
      <c r="BES230" s="1"/>
      <c r="BET230" s="1"/>
      <c r="BEU230" s="1"/>
      <c r="BEV230" s="1"/>
      <c r="BEW230" s="1"/>
      <c r="BEX230" s="1"/>
      <c r="BEY230" s="1"/>
      <c r="BEZ230" s="1"/>
      <c r="BFA230" s="1"/>
      <c r="BFB230" s="1"/>
      <c r="BFC230" s="1"/>
      <c r="BFD230" s="1"/>
      <c r="BFE230" s="1"/>
      <c r="BFF230" s="1"/>
      <c r="BFG230" s="1"/>
      <c r="BFH230" s="1"/>
      <c r="BFI230" s="1"/>
      <c r="BFJ230" s="1"/>
      <c r="BFK230" s="1"/>
      <c r="BFL230" s="1"/>
      <c r="BFM230" s="1"/>
      <c r="BFN230" s="1"/>
      <c r="BFO230" s="1"/>
      <c r="BFP230" s="1"/>
      <c r="BFQ230" s="1"/>
      <c r="BFR230" s="1"/>
      <c r="BFS230" s="1"/>
      <c r="BFT230" s="1"/>
      <c r="BFU230" s="1"/>
      <c r="BFV230" s="1"/>
      <c r="BFW230" s="1"/>
      <c r="BFX230" s="1"/>
      <c r="BFY230" s="1"/>
      <c r="BFZ230" s="1"/>
      <c r="BGA230" s="1"/>
      <c r="BGB230" s="1"/>
      <c r="BGC230" s="1"/>
      <c r="BGD230" s="1"/>
      <c r="BGE230" s="1"/>
      <c r="BGF230" s="1"/>
      <c r="BGG230" s="1"/>
      <c r="BGH230" s="1"/>
      <c r="BGI230" s="1"/>
      <c r="BGJ230" s="1"/>
      <c r="BGK230" s="1"/>
      <c r="BGL230" s="1"/>
      <c r="BGM230" s="1"/>
      <c r="BGN230" s="1"/>
      <c r="BGO230" s="1"/>
      <c r="BGP230" s="1"/>
      <c r="BGQ230" s="1"/>
      <c r="BGR230" s="1"/>
      <c r="BGS230" s="1"/>
      <c r="BGT230" s="1"/>
      <c r="BGU230" s="1"/>
      <c r="BGV230" s="1"/>
      <c r="BGW230" s="1"/>
      <c r="BGX230" s="1"/>
      <c r="BGY230" s="1"/>
      <c r="BGZ230" s="1"/>
      <c r="BHA230" s="1"/>
      <c r="BHB230" s="1"/>
      <c r="BHC230" s="1"/>
      <c r="BHD230" s="1"/>
      <c r="BHE230" s="1"/>
      <c r="BHF230" s="1"/>
      <c r="BHG230" s="1"/>
      <c r="BHH230" s="1"/>
      <c r="BHI230" s="1"/>
      <c r="BHJ230" s="1"/>
      <c r="BHK230" s="1"/>
      <c r="BHL230" s="1"/>
      <c r="BHM230" s="1"/>
      <c r="BHN230" s="1"/>
      <c r="BHO230" s="1"/>
      <c r="BHP230" s="1"/>
      <c r="BHQ230" s="1"/>
      <c r="BHR230" s="1"/>
      <c r="BHS230" s="1"/>
      <c r="BHT230" s="1"/>
      <c r="BHU230" s="1"/>
      <c r="BHV230" s="1"/>
      <c r="BHW230" s="1"/>
      <c r="BHX230" s="1"/>
      <c r="BHY230" s="1"/>
      <c r="BHZ230" s="1"/>
      <c r="BIA230" s="1"/>
      <c r="BIB230" s="1"/>
      <c r="BIC230" s="1"/>
      <c r="BID230" s="1"/>
      <c r="BIE230" s="1"/>
      <c r="BIF230" s="1"/>
      <c r="BIG230" s="1"/>
      <c r="BIH230" s="1"/>
      <c r="BII230" s="1"/>
      <c r="BIJ230" s="1"/>
      <c r="BIK230" s="1"/>
      <c r="BIL230" s="1"/>
      <c r="BIM230" s="1"/>
      <c r="BIN230" s="1"/>
      <c r="BIO230" s="1"/>
      <c r="BIP230" s="1"/>
      <c r="BIQ230" s="1"/>
      <c r="BIR230" s="1"/>
      <c r="BIS230" s="1"/>
      <c r="BIT230" s="1"/>
      <c r="BIU230" s="1"/>
      <c r="BIV230" s="1"/>
      <c r="BIW230" s="1"/>
      <c r="BIX230" s="1"/>
      <c r="BIY230" s="1"/>
      <c r="BIZ230" s="1"/>
      <c r="BJA230" s="1"/>
      <c r="BJB230" s="1"/>
      <c r="BJC230" s="1"/>
      <c r="BJD230" s="1"/>
      <c r="BJE230" s="1"/>
      <c r="BJF230" s="1"/>
      <c r="BJG230" s="1"/>
      <c r="BJH230" s="1"/>
      <c r="BJI230" s="1"/>
      <c r="BJJ230" s="1"/>
      <c r="BJK230" s="1"/>
      <c r="BJL230" s="1"/>
      <c r="BJM230" s="1"/>
      <c r="BJN230" s="1"/>
      <c r="BJO230" s="1"/>
      <c r="BJP230" s="1"/>
      <c r="BJQ230" s="1"/>
      <c r="BJR230" s="1"/>
      <c r="BJS230" s="1"/>
      <c r="BJT230" s="1"/>
      <c r="BJU230" s="1"/>
      <c r="BJV230" s="1"/>
      <c r="BJW230" s="1"/>
      <c r="BJX230" s="1"/>
      <c r="BJY230" s="1"/>
      <c r="BJZ230" s="1"/>
      <c r="BKA230" s="1"/>
      <c r="BKB230" s="1"/>
      <c r="BKC230" s="1"/>
      <c r="BKD230" s="1"/>
      <c r="BKE230" s="1"/>
      <c r="BKF230" s="1"/>
      <c r="BKG230" s="1"/>
      <c r="BKH230" s="1"/>
      <c r="BKI230" s="1"/>
      <c r="BKJ230" s="1"/>
      <c r="BKK230" s="1"/>
      <c r="BKL230" s="1"/>
      <c r="BKM230" s="1"/>
      <c r="BKN230" s="1"/>
      <c r="BKO230" s="1"/>
      <c r="BKP230" s="1"/>
      <c r="BKQ230" s="1"/>
      <c r="BKR230" s="1"/>
      <c r="BKS230" s="1"/>
      <c r="BKT230" s="1"/>
      <c r="BKU230" s="1"/>
      <c r="BKV230" s="1"/>
      <c r="BKW230" s="1"/>
      <c r="BKX230" s="1"/>
      <c r="BKY230" s="1"/>
      <c r="BKZ230" s="1"/>
      <c r="BLA230" s="1"/>
      <c r="BLB230" s="1"/>
      <c r="BLC230" s="1"/>
      <c r="BLD230" s="1"/>
      <c r="BLE230" s="1"/>
      <c r="BLF230" s="1"/>
      <c r="BLG230" s="1"/>
      <c r="BLH230" s="1"/>
      <c r="BLI230" s="1"/>
      <c r="BLJ230" s="1"/>
      <c r="BLK230" s="1"/>
      <c r="BLL230" s="1"/>
      <c r="BLM230" s="1"/>
      <c r="BLN230" s="1"/>
      <c r="BLO230" s="1"/>
      <c r="BLP230" s="1"/>
      <c r="BLQ230" s="1"/>
      <c r="BLR230" s="1"/>
      <c r="BLS230" s="1"/>
      <c r="BLT230" s="1"/>
      <c r="BLU230" s="1"/>
      <c r="BLV230" s="1"/>
      <c r="BLW230" s="1"/>
      <c r="BLX230" s="1"/>
      <c r="BLY230" s="1"/>
      <c r="BLZ230" s="1"/>
      <c r="BMA230" s="1"/>
      <c r="BMB230" s="1"/>
      <c r="BMC230" s="1"/>
      <c r="BMD230" s="1"/>
      <c r="BME230" s="1"/>
      <c r="BMF230" s="1"/>
      <c r="BMG230" s="1"/>
      <c r="BMH230" s="1"/>
      <c r="BMI230" s="1"/>
      <c r="BMJ230" s="1"/>
      <c r="BMK230" s="1"/>
      <c r="BML230" s="1"/>
      <c r="BMM230" s="1"/>
      <c r="BMN230" s="1"/>
      <c r="BMO230" s="1"/>
      <c r="BMP230" s="1"/>
      <c r="BMQ230" s="1"/>
      <c r="BMR230" s="1"/>
      <c r="BMS230" s="1"/>
      <c r="BMT230" s="1"/>
      <c r="BMU230" s="1"/>
      <c r="BMV230" s="1"/>
      <c r="BMW230" s="1"/>
      <c r="BMX230" s="1"/>
      <c r="BMY230" s="1"/>
      <c r="BMZ230" s="1"/>
      <c r="BNA230" s="1"/>
      <c r="BNB230" s="1"/>
      <c r="BNC230" s="1"/>
      <c r="BND230" s="1"/>
      <c r="BNE230" s="1"/>
      <c r="BNF230" s="1"/>
      <c r="BNG230" s="1"/>
      <c r="BNH230" s="1"/>
      <c r="BNI230" s="1"/>
      <c r="BNJ230" s="1"/>
      <c r="BNK230" s="1"/>
      <c r="BNL230" s="1"/>
      <c r="BNM230" s="1"/>
      <c r="BNN230" s="1"/>
      <c r="BNO230" s="1"/>
      <c r="BNP230" s="1"/>
      <c r="BNQ230" s="1"/>
      <c r="BNR230" s="1"/>
      <c r="BNS230" s="1"/>
      <c r="BNT230" s="1"/>
      <c r="BNU230" s="1"/>
      <c r="BNV230" s="1"/>
      <c r="BNW230" s="1"/>
      <c r="BNX230" s="1"/>
      <c r="BNY230" s="1"/>
      <c r="BNZ230" s="1"/>
      <c r="BOA230" s="1"/>
      <c r="BOB230" s="1"/>
      <c r="BOC230" s="1"/>
      <c r="BOD230" s="1"/>
      <c r="BOE230" s="1"/>
      <c r="BOF230" s="1"/>
      <c r="BOG230" s="1"/>
      <c r="BOH230" s="1"/>
      <c r="BOI230" s="1"/>
      <c r="BOJ230" s="1"/>
      <c r="BOK230" s="1"/>
      <c r="BOL230" s="1"/>
      <c r="BOM230" s="1"/>
      <c r="BON230" s="1"/>
      <c r="BOO230" s="1"/>
      <c r="BOP230" s="1"/>
      <c r="BOQ230" s="1"/>
      <c r="BOR230" s="1"/>
      <c r="BOS230" s="1"/>
      <c r="BOT230" s="1"/>
      <c r="BOU230" s="1"/>
      <c r="BOV230" s="1"/>
      <c r="BOW230" s="1"/>
      <c r="BOX230" s="1"/>
      <c r="BOY230" s="1"/>
      <c r="BOZ230" s="1"/>
      <c r="BPA230" s="1"/>
      <c r="BPB230" s="1"/>
      <c r="BPC230" s="1"/>
      <c r="BPD230" s="1"/>
      <c r="BPE230" s="1"/>
      <c r="BPF230" s="1"/>
      <c r="BPG230" s="1"/>
      <c r="BPH230" s="1"/>
      <c r="BPI230" s="1"/>
      <c r="BPJ230" s="1"/>
      <c r="BPK230" s="1"/>
      <c r="BPL230" s="1"/>
      <c r="BPM230" s="1"/>
      <c r="BPN230" s="1"/>
      <c r="BPO230" s="1"/>
      <c r="BPP230" s="1"/>
      <c r="BPQ230" s="1"/>
      <c r="BPR230" s="1"/>
      <c r="BPS230" s="1"/>
      <c r="BPT230" s="1"/>
      <c r="BPU230" s="1"/>
      <c r="BPV230" s="1"/>
      <c r="BPW230" s="1"/>
      <c r="BPX230" s="1"/>
      <c r="BPY230" s="1"/>
      <c r="BPZ230" s="1"/>
      <c r="BQA230" s="1"/>
      <c r="BQB230" s="1"/>
      <c r="BQC230" s="1"/>
      <c r="BQD230" s="1"/>
      <c r="BQE230" s="1"/>
      <c r="BQF230" s="1"/>
      <c r="BQG230" s="1"/>
      <c r="BQH230" s="1"/>
      <c r="BQI230" s="1"/>
      <c r="BQJ230" s="1"/>
      <c r="BQK230" s="1"/>
      <c r="BQL230" s="1"/>
      <c r="BQM230" s="1"/>
      <c r="BQN230" s="1"/>
      <c r="BQO230" s="1"/>
      <c r="BQP230" s="1"/>
      <c r="BQQ230" s="1"/>
      <c r="BQR230" s="1"/>
      <c r="BQS230" s="1"/>
      <c r="BQT230" s="1"/>
      <c r="BQU230" s="1"/>
      <c r="BQV230" s="1"/>
      <c r="BQW230" s="1"/>
      <c r="BQX230" s="1"/>
      <c r="BQY230" s="1"/>
      <c r="BQZ230" s="1"/>
      <c r="BRA230" s="1"/>
      <c r="BRB230" s="1"/>
      <c r="BRC230" s="1"/>
      <c r="BRD230" s="1"/>
      <c r="BRE230" s="1"/>
      <c r="BRF230" s="1"/>
      <c r="BRG230" s="1"/>
      <c r="BRH230" s="1"/>
      <c r="BRI230" s="1"/>
      <c r="BRJ230" s="1"/>
      <c r="BRK230" s="1"/>
      <c r="BRL230" s="1"/>
      <c r="BRM230" s="1"/>
      <c r="BRN230" s="1"/>
      <c r="BRO230" s="1"/>
      <c r="BRP230" s="1"/>
      <c r="BRQ230" s="1"/>
      <c r="BRR230" s="1"/>
      <c r="BRS230" s="1"/>
      <c r="BRT230" s="1"/>
      <c r="BRU230" s="1"/>
      <c r="BRV230" s="1"/>
      <c r="BRW230" s="1"/>
      <c r="BRX230" s="1"/>
      <c r="BRY230" s="1"/>
      <c r="BRZ230" s="1"/>
      <c r="BSA230" s="1"/>
      <c r="BSB230" s="1"/>
      <c r="BSC230" s="1"/>
      <c r="BSD230" s="1"/>
      <c r="BSE230" s="1"/>
      <c r="BSF230" s="1"/>
      <c r="BSG230" s="1"/>
      <c r="BSH230" s="1"/>
      <c r="BSI230" s="1"/>
      <c r="BSJ230" s="1"/>
      <c r="BSK230" s="1"/>
      <c r="BSL230" s="1"/>
      <c r="BSM230" s="1"/>
      <c r="BSN230" s="1"/>
      <c r="BSO230" s="1"/>
      <c r="BSP230" s="1"/>
      <c r="BSQ230" s="1"/>
      <c r="BSR230" s="1"/>
      <c r="BSS230" s="1"/>
      <c r="BST230" s="1"/>
      <c r="BSU230" s="1"/>
      <c r="BSV230" s="1"/>
      <c r="BSW230" s="1"/>
      <c r="BSX230" s="1"/>
      <c r="BSY230" s="1"/>
      <c r="BSZ230" s="1"/>
      <c r="BTA230" s="1"/>
      <c r="BTB230" s="1"/>
      <c r="BTC230" s="1"/>
      <c r="BTD230" s="1"/>
      <c r="BTE230" s="1"/>
      <c r="BTF230" s="1"/>
      <c r="BTG230" s="1"/>
      <c r="BTH230" s="1"/>
      <c r="BTI230" s="1"/>
      <c r="BTJ230" s="1"/>
      <c r="BTK230" s="1"/>
      <c r="BTL230" s="1"/>
      <c r="BTM230" s="1"/>
      <c r="BTN230" s="1"/>
      <c r="BTO230" s="1"/>
      <c r="BTP230" s="1"/>
      <c r="BTQ230" s="1"/>
      <c r="BTR230" s="1"/>
      <c r="BTS230" s="1"/>
      <c r="BTT230" s="1"/>
      <c r="BTU230" s="1"/>
      <c r="BTV230" s="1"/>
      <c r="BTW230" s="1"/>
      <c r="BTX230" s="1"/>
      <c r="BTY230" s="1"/>
      <c r="BTZ230" s="1"/>
      <c r="BUA230" s="1"/>
      <c r="BUB230" s="1"/>
      <c r="BUC230" s="1"/>
      <c r="BUD230" s="1"/>
      <c r="BUE230" s="1"/>
      <c r="BUF230" s="1"/>
      <c r="BUG230" s="1"/>
      <c r="BUH230" s="1"/>
      <c r="BUI230" s="1"/>
      <c r="BUJ230" s="1"/>
      <c r="BUK230" s="1"/>
      <c r="BUL230" s="1"/>
      <c r="BUM230" s="1"/>
      <c r="BUN230" s="1"/>
      <c r="BUO230" s="1"/>
      <c r="BUP230" s="1"/>
      <c r="BUQ230" s="1"/>
      <c r="BUR230" s="1"/>
      <c r="BUS230" s="1"/>
      <c r="BUT230" s="1"/>
      <c r="BUU230" s="1"/>
      <c r="BUV230" s="1"/>
      <c r="BUW230" s="1"/>
      <c r="BUX230" s="1"/>
      <c r="BUY230" s="1"/>
      <c r="BUZ230" s="1"/>
      <c r="BVA230" s="1"/>
      <c r="BVB230" s="1"/>
      <c r="BVC230" s="1"/>
      <c r="BVD230" s="1"/>
      <c r="BVE230" s="1"/>
      <c r="BVF230" s="1"/>
      <c r="BVG230" s="1"/>
      <c r="BVH230" s="1"/>
      <c r="BVI230" s="1"/>
      <c r="BVJ230" s="1"/>
      <c r="BVK230" s="1"/>
      <c r="BVL230" s="1"/>
      <c r="BVM230" s="1"/>
      <c r="BVN230" s="1"/>
      <c r="BVO230" s="1"/>
      <c r="BVP230" s="1"/>
      <c r="BVQ230" s="1"/>
      <c r="BVR230" s="1"/>
      <c r="BVS230" s="1"/>
      <c r="BVT230" s="1"/>
      <c r="BVU230" s="1"/>
      <c r="BVV230" s="1"/>
      <c r="BVW230" s="1"/>
      <c r="BVX230" s="1"/>
      <c r="BVY230" s="1"/>
      <c r="BVZ230" s="1"/>
      <c r="BWA230" s="1"/>
      <c r="BWB230" s="1"/>
      <c r="BWC230" s="1"/>
      <c r="BWD230" s="1"/>
      <c r="BWE230" s="1"/>
      <c r="BWF230" s="1"/>
      <c r="BWG230" s="1"/>
      <c r="BWH230" s="1"/>
      <c r="BWI230" s="1"/>
      <c r="BWJ230" s="1"/>
      <c r="BWK230" s="1"/>
      <c r="BWL230" s="1"/>
      <c r="BWM230" s="1"/>
      <c r="BWN230" s="1"/>
      <c r="BWO230" s="1"/>
      <c r="BWP230" s="1"/>
      <c r="BWQ230" s="1"/>
      <c r="BWR230" s="1"/>
      <c r="BWS230" s="1"/>
      <c r="BWT230" s="1"/>
      <c r="BWU230" s="1"/>
      <c r="BWV230" s="1"/>
      <c r="BWW230" s="1"/>
      <c r="BWX230" s="1"/>
      <c r="BWY230" s="1"/>
      <c r="BWZ230" s="1"/>
      <c r="BXA230" s="1"/>
      <c r="BXB230" s="1"/>
      <c r="BXC230" s="1"/>
      <c r="BXD230" s="1"/>
      <c r="BXE230" s="1"/>
      <c r="BXF230" s="1"/>
      <c r="BXG230" s="1"/>
      <c r="BXH230" s="1"/>
      <c r="BXI230" s="1"/>
      <c r="BXJ230" s="1"/>
      <c r="BXK230" s="1"/>
      <c r="BXL230" s="1"/>
      <c r="BXM230" s="1"/>
      <c r="BXN230" s="1"/>
      <c r="BXO230" s="1"/>
      <c r="BXP230" s="1"/>
      <c r="BXQ230" s="1"/>
      <c r="BXR230" s="1"/>
      <c r="BXS230" s="1"/>
      <c r="BXT230" s="1"/>
      <c r="BXU230" s="1"/>
      <c r="BXV230" s="1"/>
      <c r="BXW230" s="1"/>
      <c r="BXX230" s="1"/>
      <c r="BXY230" s="1"/>
      <c r="BXZ230" s="1"/>
      <c r="BYA230" s="1"/>
      <c r="BYB230" s="1"/>
      <c r="BYC230" s="1"/>
      <c r="BYD230" s="1"/>
      <c r="BYE230" s="1"/>
      <c r="BYF230" s="1"/>
      <c r="BYG230" s="1"/>
      <c r="BYH230" s="1"/>
      <c r="BYI230" s="1"/>
      <c r="BYJ230" s="1"/>
      <c r="BYK230" s="1"/>
      <c r="BYL230" s="1"/>
      <c r="BYM230" s="1"/>
      <c r="BYN230" s="1"/>
      <c r="BYO230" s="1"/>
      <c r="BYP230" s="1"/>
      <c r="BYQ230" s="1"/>
      <c r="BYR230" s="1"/>
      <c r="BYS230" s="1"/>
      <c r="BYT230" s="1"/>
      <c r="BYU230" s="1"/>
      <c r="BYV230" s="1"/>
      <c r="BYW230" s="1"/>
      <c r="BYX230" s="1"/>
      <c r="BYY230" s="1"/>
      <c r="BYZ230" s="1"/>
      <c r="BZA230" s="1"/>
      <c r="BZB230" s="1"/>
      <c r="BZC230" s="1"/>
      <c r="BZD230" s="1"/>
      <c r="BZE230" s="1"/>
      <c r="BZF230" s="1"/>
      <c r="BZG230" s="1"/>
      <c r="BZH230" s="1"/>
      <c r="BZI230" s="1"/>
      <c r="BZJ230" s="1"/>
      <c r="BZK230" s="1"/>
      <c r="BZL230" s="1"/>
      <c r="BZM230" s="1"/>
      <c r="BZN230" s="1"/>
      <c r="BZO230" s="1"/>
      <c r="BZP230" s="1"/>
      <c r="BZQ230" s="1"/>
      <c r="BZR230" s="1"/>
      <c r="BZS230" s="1"/>
      <c r="BZT230" s="1"/>
      <c r="BZU230" s="1"/>
      <c r="BZV230" s="1"/>
      <c r="BZW230" s="1"/>
      <c r="BZX230" s="1"/>
      <c r="BZY230" s="1"/>
      <c r="BZZ230" s="1"/>
      <c r="CAA230" s="1"/>
      <c r="CAB230" s="1"/>
      <c r="CAC230" s="1"/>
      <c r="CAD230" s="1"/>
      <c r="CAE230" s="1"/>
      <c r="CAF230" s="1"/>
      <c r="CAG230" s="1"/>
      <c r="CAH230" s="1"/>
      <c r="CAI230" s="1"/>
      <c r="CAJ230" s="1"/>
      <c r="CAK230" s="1"/>
      <c r="CAL230" s="1"/>
      <c r="CAM230" s="1"/>
      <c r="CAN230" s="1"/>
      <c r="CAO230" s="1"/>
      <c r="CAP230" s="1"/>
      <c r="CAQ230" s="1"/>
      <c r="CAR230" s="1"/>
      <c r="CAS230" s="1"/>
      <c r="CAT230" s="1"/>
      <c r="CAU230" s="1"/>
      <c r="CAV230" s="1"/>
      <c r="CAW230" s="1"/>
      <c r="CAX230" s="1"/>
      <c r="CAY230" s="1"/>
      <c r="CAZ230" s="1"/>
      <c r="CBA230" s="1"/>
      <c r="CBB230" s="1"/>
      <c r="CBC230" s="1"/>
      <c r="CBD230" s="1"/>
      <c r="CBE230" s="1"/>
      <c r="CBF230" s="1"/>
      <c r="CBG230" s="1"/>
      <c r="CBH230" s="1"/>
      <c r="CBI230" s="1"/>
      <c r="CBJ230" s="1"/>
      <c r="CBK230" s="1"/>
      <c r="CBL230" s="1"/>
      <c r="CBM230" s="1"/>
      <c r="CBN230" s="1"/>
      <c r="CBO230" s="1"/>
      <c r="CBP230" s="1"/>
      <c r="CBQ230" s="1"/>
      <c r="CBR230" s="1"/>
      <c r="CBS230" s="1"/>
      <c r="CBT230" s="1"/>
      <c r="CBU230" s="1"/>
      <c r="CBV230" s="1"/>
      <c r="CBW230" s="1"/>
      <c r="CBX230" s="1"/>
      <c r="CBY230" s="1"/>
      <c r="CBZ230" s="1"/>
      <c r="CCA230" s="1"/>
      <c r="CCB230" s="1"/>
      <c r="CCC230" s="1"/>
      <c r="CCD230" s="1"/>
      <c r="CCE230" s="1"/>
      <c r="CCF230" s="1"/>
      <c r="CCG230" s="1"/>
      <c r="CCH230" s="1"/>
      <c r="CCI230" s="1"/>
      <c r="CCJ230" s="1"/>
      <c r="CCK230" s="1"/>
      <c r="CCL230" s="1"/>
      <c r="CCM230" s="1"/>
      <c r="CCN230" s="1"/>
      <c r="CCO230" s="1"/>
      <c r="CCP230" s="1"/>
      <c r="CCQ230" s="1"/>
      <c r="CCR230" s="1"/>
      <c r="CCS230" s="1"/>
      <c r="CCT230" s="1"/>
      <c r="CCU230" s="1"/>
      <c r="CCV230" s="1"/>
      <c r="CCW230" s="1"/>
      <c r="CCX230" s="1"/>
      <c r="CCY230" s="1"/>
      <c r="CCZ230" s="1"/>
      <c r="CDA230" s="1"/>
      <c r="CDB230" s="1"/>
      <c r="CDC230" s="1"/>
      <c r="CDD230" s="1"/>
      <c r="CDE230" s="1"/>
      <c r="CDF230" s="1"/>
      <c r="CDG230" s="1"/>
      <c r="CDH230" s="1"/>
      <c r="CDI230" s="1"/>
      <c r="CDJ230" s="1"/>
      <c r="CDK230" s="1"/>
      <c r="CDL230" s="1"/>
      <c r="CDM230" s="1"/>
      <c r="CDN230" s="1"/>
      <c r="CDO230" s="1"/>
      <c r="CDP230" s="1"/>
      <c r="CDQ230" s="1"/>
      <c r="CDR230" s="1"/>
      <c r="CDS230" s="1"/>
      <c r="CDT230" s="1"/>
      <c r="CDU230" s="1"/>
      <c r="CDV230" s="1"/>
      <c r="CDW230" s="1"/>
      <c r="CDX230" s="1"/>
      <c r="CDY230" s="1"/>
      <c r="CDZ230" s="1"/>
      <c r="CEA230" s="1"/>
      <c r="CEB230" s="1"/>
      <c r="CEC230" s="1"/>
      <c r="CED230" s="1"/>
      <c r="CEE230" s="1"/>
      <c r="CEF230" s="1"/>
      <c r="CEG230" s="1"/>
      <c r="CEH230" s="1"/>
      <c r="CEI230" s="1"/>
      <c r="CEJ230" s="1"/>
      <c r="CEK230" s="1"/>
      <c r="CEL230" s="1"/>
      <c r="CEM230" s="1"/>
      <c r="CEN230" s="1"/>
      <c r="CEO230" s="1"/>
      <c r="CEP230" s="1"/>
      <c r="CEQ230" s="1"/>
      <c r="CER230" s="1"/>
      <c r="CES230" s="1"/>
      <c r="CET230" s="1"/>
      <c r="CEU230" s="1"/>
      <c r="CEV230" s="1"/>
      <c r="CEW230" s="1"/>
      <c r="CEX230" s="1"/>
      <c r="CEY230" s="1"/>
      <c r="CEZ230" s="1"/>
      <c r="CFA230" s="1"/>
      <c r="CFB230" s="1"/>
      <c r="CFC230" s="1"/>
      <c r="CFD230" s="1"/>
      <c r="CFE230" s="1"/>
      <c r="CFF230" s="1"/>
      <c r="CFG230" s="1"/>
      <c r="CFH230" s="1"/>
      <c r="CFI230" s="1"/>
      <c r="CFJ230" s="1"/>
      <c r="CFK230" s="1"/>
      <c r="CFL230" s="1"/>
      <c r="CFM230" s="1"/>
      <c r="CFN230" s="1"/>
      <c r="CFO230" s="1"/>
      <c r="CFP230" s="1"/>
      <c r="CFQ230" s="1"/>
      <c r="CFR230" s="1"/>
      <c r="CFS230" s="1"/>
      <c r="CFT230" s="1"/>
      <c r="CFU230" s="1"/>
      <c r="CFV230" s="1"/>
      <c r="CFW230" s="1"/>
      <c r="CFX230" s="1"/>
      <c r="CFY230" s="1"/>
      <c r="CFZ230" s="1"/>
      <c r="CGA230" s="1"/>
      <c r="CGB230" s="1"/>
      <c r="CGC230" s="1"/>
      <c r="CGD230" s="1"/>
      <c r="CGE230" s="1"/>
      <c r="CGF230" s="1"/>
      <c r="CGG230" s="1"/>
      <c r="CGH230" s="1"/>
      <c r="CGI230" s="1"/>
      <c r="CGJ230" s="1"/>
      <c r="CGK230" s="1"/>
      <c r="CGL230" s="1"/>
      <c r="CGM230" s="1"/>
      <c r="CGN230" s="1"/>
      <c r="CGO230" s="1"/>
      <c r="CGP230" s="1"/>
      <c r="CGQ230" s="1"/>
      <c r="CGR230" s="1"/>
      <c r="CGS230" s="1"/>
      <c r="CGT230" s="1"/>
      <c r="CGU230" s="1"/>
      <c r="CGV230" s="1"/>
      <c r="CGW230" s="1"/>
      <c r="CGX230" s="1"/>
      <c r="CGY230" s="1"/>
      <c r="CGZ230" s="1"/>
      <c r="CHA230" s="1"/>
      <c r="CHB230" s="1"/>
      <c r="CHC230" s="1"/>
      <c r="CHD230" s="1"/>
      <c r="CHE230" s="1"/>
      <c r="CHF230" s="1"/>
      <c r="CHG230" s="1"/>
      <c r="CHH230" s="1"/>
      <c r="CHI230" s="1"/>
      <c r="CHJ230" s="1"/>
      <c r="CHK230" s="1"/>
      <c r="CHL230" s="1"/>
      <c r="CHM230" s="1"/>
      <c r="CHN230" s="1"/>
      <c r="CHO230" s="1"/>
      <c r="CHP230" s="1"/>
      <c r="CHQ230" s="1"/>
      <c r="CHR230" s="1"/>
      <c r="CHS230" s="1"/>
      <c r="CHT230" s="1"/>
      <c r="CHU230" s="1"/>
      <c r="CHV230" s="1"/>
      <c r="CHW230" s="1"/>
      <c r="CHX230" s="1"/>
      <c r="CHY230" s="1"/>
      <c r="CHZ230" s="1"/>
      <c r="CIA230" s="1"/>
      <c r="CIB230" s="1"/>
      <c r="CIC230" s="1"/>
      <c r="CID230" s="1"/>
      <c r="CIE230" s="1"/>
      <c r="CIF230" s="1"/>
      <c r="CIG230" s="1"/>
      <c r="CIH230" s="1"/>
      <c r="CII230" s="1"/>
      <c r="CIJ230" s="1"/>
      <c r="CIK230" s="1"/>
      <c r="CIL230" s="1"/>
      <c r="CIM230" s="1"/>
      <c r="CIN230" s="1"/>
      <c r="CIO230" s="1"/>
      <c r="CIP230" s="1"/>
      <c r="CIQ230" s="1"/>
      <c r="CIR230" s="1"/>
      <c r="CIS230" s="1"/>
      <c r="CIT230" s="1"/>
      <c r="CIU230" s="1"/>
      <c r="CIV230" s="1"/>
      <c r="CIW230" s="1"/>
      <c r="CIX230" s="1"/>
      <c r="CIY230" s="1"/>
      <c r="CIZ230" s="1"/>
      <c r="CJA230" s="1"/>
      <c r="CJB230" s="1"/>
      <c r="CJC230" s="1"/>
      <c r="CJD230" s="1"/>
      <c r="CJE230" s="1"/>
      <c r="CJF230" s="1"/>
      <c r="CJG230" s="1"/>
      <c r="CJH230" s="1"/>
      <c r="CJI230" s="1"/>
      <c r="CJJ230" s="1"/>
      <c r="CJK230" s="1"/>
      <c r="CJL230" s="1"/>
      <c r="CJM230" s="1"/>
      <c r="CJN230" s="1"/>
      <c r="CJO230" s="1"/>
      <c r="CJP230" s="1"/>
      <c r="CJQ230" s="1"/>
      <c r="CJR230" s="1"/>
      <c r="CJS230" s="1"/>
      <c r="CJT230" s="1"/>
      <c r="CJU230" s="1"/>
      <c r="CJV230" s="1"/>
      <c r="CJW230" s="1"/>
      <c r="CJX230" s="1"/>
      <c r="CJY230" s="1"/>
      <c r="CJZ230" s="1"/>
      <c r="CKA230" s="1"/>
      <c r="CKB230" s="1"/>
      <c r="CKC230" s="1"/>
      <c r="CKD230" s="1"/>
      <c r="CKE230" s="1"/>
      <c r="CKF230" s="1"/>
      <c r="CKG230" s="1"/>
      <c r="CKH230" s="1"/>
      <c r="CKI230" s="1"/>
      <c r="CKJ230" s="1"/>
      <c r="CKK230" s="1"/>
      <c r="CKL230" s="1"/>
      <c r="CKM230" s="1"/>
      <c r="CKN230" s="1"/>
      <c r="CKO230" s="1"/>
      <c r="CKP230" s="1"/>
      <c r="CKQ230" s="1"/>
      <c r="CKR230" s="1"/>
      <c r="CKS230" s="1"/>
      <c r="CKT230" s="1"/>
      <c r="CKU230" s="1"/>
      <c r="CKV230" s="1"/>
      <c r="CKW230" s="1"/>
      <c r="CKX230" s="1"/>
      <c r="CKY230" s="1"/>
      <c r="CKZ230" s="1"/>
      <c r="CLA230" s="1"/>
      <c r="CLB230" s="1"/>
      <c r="CLC230" s="1"/>
      <c r="CLD230" s="1"/>
      <c r="CLE230" s="1"/>
      <c r="CLF230" s="1"/>
      <c r="CLG230" s="1"/>
      <c r="CLH230" s="1"/>
      <c r="CLI230" s="1"/>
      <c r="CLJ230" s="1"/>
      <c r="CLK230" s="1"/>
      <c r="CLL230" s="1"/>
      <c r="CLM230" s="1"/>
      <c r="CLN230" s="1"/>
      <c r="CLO230" s="1"/>
      <c r="CLP230" s="1"/>
      <c r="CLQ230" s="1"/>
      <c r="CLR230" s="1"/>
      <c r="CLS230" s="1"/>
      <c r="CLT230" s="1"/>
      <c r="CLU230" s="1"/>
      <c r="CLV230" s="1"/>
      <c r="CLW230" s="1"/>
      <c r="CLX230" s="1"/>
      <c r="CLY230" s="1"/>
      <c r="CLZ230" s="1"/>
      <c r="CMA230" s="1"/>
      <c r="CMB230" s="1"/>
      <c r="CMC230" s="1"/>
      <c r="CMD230" s="1"/>
      <c r="CME230" s="1"/>
      <c r="CMF230" s="1"/>
      <c r="CMG230" s="1"/>
      <c r="CMH230" s="1"/>
      <c r="CMI230" s="1"/>
      <c r="CMJ230" s="1"/>
      <c r="CMK230" s="1"/>
      <c r="CML230" s="1"/>
      <c r="CMM230" s="1"/>
      <c r="CMN230" s="1"/>
      <c r="CMO230" s="1"/>
      <c r="CMP230" s="1"/>
      <c r="CMQ230" s="1"/>
      <c r="CMR230" s="1"/>
      <c r="CMS230" s="1"/>
      <c r="CMT230" s="1"/>
      <c r="CMU230" s="1"/>
      <c r="CMV230" s="1"/>
      <c r="CMW230" s="1"/>
      <c r="CMX230" s="1"/>
      <c r="CMY230" s="1"/>
      <c r="CMZ230" s="1"/>
      <c r="CNA230" s="1"/>
      <c r="CNB230" s="1"/>
      <c r="CNC230" s="1"/>
      <c r="CND230" s="1"/>
      <c r="CNE230" s="1"/>
      <c r="CNF230" s="1"/>
      <c r="CNG230" s="1"/>
      <c r="CNH230" s="1"/>
      <c r="CNI230" s="1"/>
      <c r="CNJ230" s="1"/>
      <c r="CNK230" s="1"/>
      <c r="CNL230" s="1"/>
      <c r="CNM230" s="1"/>
      <c r="CNN230" s="1"/>
      <c r="CNO230" s="1"/>
      <c r="CNP230" s="1"/>
      <c r="CNQ230" s="1"/>
      <c r="CNR230" s="1"/>
      <c r="CNS230" s="1"/>
      <c r="CNT230" s="1"/>
      <c r="CNU230" s="1"/>
      <c r="CNV230" s="1"/>
      <c r="CNW230" s="1"/>
      <c r="CNX230" s="1"/>
      <c r="CNY230" s="1"/>
      <c r="CNZ230" s="1"/>
      <c r="COA230" s="1"/>
      <c r="COB230" s="1"/>
      <c r="COC230" s="1"/>
      <c r="COD230" s="1"/>
      <c r="COE230" s="1"/>
      <c r="COF230" s="1"/>
      <c r="COG230" s="1"/>
      <c r="COH230" s="1"/>
      <c r="COI230" s="1"/>
      <c r="COJ230" s="1"/>
      <c r="COK230" s="1"/>
      <c r="COL230" s="1"/>
      <c r="COM230" s="1"/>
      <c r="CON230" s="1"/>
      <c r="COO230" s="1"/>
      <c r="COP230" s="1"/>
      <c r="COQ230" s="1"/>
      <c r="COR230" s="1"/>
      <c r="COS230" s="1"/>
      <c r="COT230" s="1"/>
      <c r="COU230" s="1"/>
      <c r="COV230" s="1"/>
      <c r="COW230" s="1"/>
      <c r="COX230" s="1"/>
      <c r="COY230" s="1"/>
      <c r="COZ230" s="1"/>
      <c r="CPA230" s="1"/>
      <c r="CPB230" s="1"/>
      <c r="CPC230" s="1"/>
      <c r="CPD230" s="1"/>
      <c r="CPE230" s="1"/>
      <c r="CPF230" s="1"/>
      <c r="CPG230" s="1"/>
      <c r="CPH230" s="1"/>
      <c r="CPI230" s="1"/>
      <c r="CPJ230" s="1"/>
      <c r="CPK230" s="1"/>
      <c r="CPL230" s="1"/>
      <c r="CPM230" s="1"/>
      <c r="CPN230" s="1"/>
      <c r="CPO230" s="1"/>
      <c r="CPP230" s="1"/>
      <c r="CPQ230" s="1"/>
      <c r="CPR230" s="1"/>
      <c r="CPS230" s="1"/>
      <c r="CPT230" s="1"/>
      <c r="CPU230" s="1"/>
      <c r="CPV230" s="1"/>
      <c r="CPW230" s="1"/>
      <c r="CPX230" s="1"/>
      <c r="CPY230" s="1"/>
      <c r="CPZ230" s="1"/>
      <c r="CQA230" s="1"/>
      <c r="CQB230" s="1"/>
      <c r="CQC230" s="1"/>
      <c r="CQD230" s="1"/>
      <c r="CQE230" s="1"/>
      <c r="CQF230" s="1"/>
      <c r="CQG230" s="1"/>
      <c r="CQH230" s="1"/>
      <c r="CQI230" s="1"/>
      <c r="CQJ230" s="1"/>
      <c r="CQK230" s="1"/>
      <c r="CQL230" s="1"/>
      <c r="CQM230" s="1"/>
      <c r="CQN230" s="1"/>
      <c r="CQO230" s="1"/>
      <c r="CQP230" s="1"/>
      <c r="CQQ230" s="1"/>
      <c r="CQR230" s="1"/>
      <c r="CQS230" s="1"/>
      <c r="CQT230" s="1"/>
      <c r="CQU230" s="1"/>
      <c r="CQV230" s="1"/>
      <c r="CQW230" s="1"/>
      <c r="CQX230" s="1"/>
      <c r="CQY230" s="1"/>
      <c r="CQZ230" s="1"/>
      <c r="CRA230" s="1"/>
      <c r="CRB230" s="1"/>
      <c r="CRC230" s="1"/>
      <c r="CRD230" s="1"/>
      <c r="CRE230" s="1"/>
      <c r="CRF230" s="1"/>
      <c r="CRG230" s="1"/>
      <c r="CRH230" s="1"/>
      <c r="CRI230" s="1"/>
      <c r="CRJ230" s="1"/>
      <c r="CRK230" s="1"/>
      <c r="CRL230" s="1"/>
      <c r="CRM230" s="1"/>
      <c r="CRN230" s="1"/>
      <c r="CRO230" s="1"/>
      <c r="CRP230" s="1"/>
      <c r="CRQ230" s="1"/>
      <c r="CRR230" s="1"/>
      <c r="CRS230" s="1"/>
      <c r="CRT230" s="1"/>
      <c r="CRU230" s="1"/>
      <c r="CRV230" s="1"/>
      <c r="CRW230" s="1"/>
      <c r="CRX230" s="1"/>
      <c r="CRY230" s="1"/>
      <c r="CRZ230" s="1"/>
      <c r="CSA230" s="1"/>
      <c r="CSB230" s="1"/>
      <c r="CSC230" s="1"/>
      <c r="CSD230" s="1"/>
      <c r="CSE230" s="1"/>
      <c r="CSF230" s="1"/>
      <c r="CSG230" s="1"/>
      <c r="CSH230" s="1"/>
      <c r="CSI230" s="1"/>
      <c r="CSJ230" s="1"/>
      <c r="CSK230" s="1"/>
      <c r="CSL230" s="1"/>
      <c r="CSM230" s="1"/>
      <c r="CSN230" s="1"/>
      <c r="CSO230" s="1"/>
      <c r="CSP230" s="1"/>
      <c r="CSQ230" s="1"/>
      <c r="CSR230" s="1"/>
      <c r="CSS230" s="1"/>
      <c r="CST230" s="1"/>
      <c r="CSU230" s="1"/>
      <c r="CSV230" s="1"/>
      <c r="CSW230" s="1"/>
      <c r="CSX230" s="1"/>
      <c r="CSY230" s="1"/>
      <c r="CSZ230" s="1"/>
      <c r="CTA230" s="1"/>
      <c r="CTB230" s="1"/>
      <c r="CTC230" s="1"/>
      <c r="CTD230" s="1"/>
      <c r="CTE230" s="1"/>
      <c r="CTF230" s="1"/>
      <c r="CTG230" s="1"/>
      <c r="CTH230" s="1"/>
      <c r="CTI230" s="1"/>
      <c r="CTJ230" s="1"/>
      <c r="CTK230" s="1"/>
      <c r="CTL230" s="1"/>
      <c r="CTM230" s="1"/>
      <c r="CTN230" s="1"/>
      <c r="CTO230" s="1"/>
      <c r="CTP230" s="1"/>
      <c r="CTQ230" s="1"/>
      <c r="CTR230" s="1"/>
      <c r="CTS230" s="1"/>
      <c r="CTT230" s="1"/>
      <c r="CTU230" s="1"/>
      <c r="CTV230" s="1"/>
      <c r="CTW230" s="1"/>
      <c r="CTX230" s="1"/>
      <c r="CTY230" s="1"/>
      <c r="CTZ230" s="1"/>
      <c r="CUA230" s="1"/>
      <c r="CUB230" s="1"/>
      <c r="CUC230" s="1"/>
      <c r="CUD230" s="1"/>
      <c r="CUE230" s="1"/>
      <c r="CUF230" s="1"/>
      <c r="CUG230" s="1"/>
      <c r="CUH230" s="1"/>
      <c r="CUI230" s="1"/>
      <c r="CUJ230" s="1"/>
      <c r="CUK230" s="1"/>
      <c r="CUL230" s="1"/>
      <c r="CUM230" s="1"/>
      <c r="CUN230" s="1"/>
      <c r="CUO230" s="1"/>
      <c r="CUP230" s="1"/>
      <c r="CUQ230" s="1"/>
      <c r="CUR230" s="1"/>
      <c r="CUS230" s="1"/>
      <c r="CUT230" s="1"/>
      <c r="CUU230" s="1"/>
      <c r="CUV230" s="1"/>
      <c r="CUW230" s="1"/>
      <c r="CUX230" s="1"/>
      <c r="CUY230" s="1"/>
      <c r="CUZ230" s="1"/>
      <c r="CVA230" s="1"/>
      <c r="CVB230" s="1"/>
      <c r="CVC230" s="1"/>
      <c r="CVD230" s="1"/>
      <c r="CVE230" s="1"/>
      <c r="CVF230" s="1"/>
      <c r="CVG230" s="1"/>
      <c r="CVH230" s="1"/>
      <c r="CVI230" s="1"/>
      <c r="CVJ230" s="1"/>
      <c r="CVK230" s="1"/>
      <c r="CVL230" s="1"/>
      <c r="CVM230" s="1"/>
      <c r="CVN230" s="1"/>
      <c r="CVO230" s="1"/>
      <c r="CVP230" s="1"/>
      <c r="CVQ230" s="1"/>
      <c r="CVR230" s="1"/>
      <c r="CVS230" s="1"/>
      <c r="CVT230" s="1"/>
      <c r="CVU230" s="1"/>
      <c r="CVV230" s="1"/>
      <c r="CVW230" s="1"/>
      <c r="CVX230" s="1"/>
      <c r="CVY230" s="1"/>
      <c r="CVZ230" s="1"/>
      <c r="CWA230" s="1"/>
      <c r="CWB230" s="1"/>
      <c r="CWC230" s="1"/>
      <c r="CWD230" s="1"/>
      <c r="CWE230" s="1"/>
      <c r="CWF230" s="1"/>
      <c r="CWG230" s="1"/>
      <c r="CWH230" s="1"/>
      <c r="CWI230" s="1"/>
      <c r="CWJ230" s="1"/>
      <c r="CWK230" s="1"/>
      <c r="CWL230" s="1"/>
      <c r="CWM230" s="1"/>
      <c r="CWN230" s="1"/>
      <c r="CWO230" s="1"/>
      <c r="CWP230" s="1"/>
      <c r="CWQ230" s="1"/>
      <c r="CWR230" s="1"/>
      <c r="CWS230" s="1"/>
      <c r="CWT230" s="1"/>
      <c r="CWU230" s="1"/>
      <c r="CWV230" s="1"/>
      <c r="CWW230" s="1"/>
      <c r="CWX230" s="1"/>
      <c r="CWY230" s="1"/>
      <c r="CWZ230" s="1"/>
      <c r="CXA230" s="1"/>
      <c r="CXB230" s="1"/>
      <c r="CXC230" s="1"/>
      <c r="CXD230" s="1"/>
      <c r="CXE230" s="1"/>
      <c r="CXF230" s="1"/>
      <c r="CXG230" s="1"/>
      <c r="CXH230" s="1"/>
      <c r="CXI230" s="1"/>
      <c r="CXJ230" s="1"/>
      <c r="CXK230" s="1"/>
      <c r="CXL230" s="1"/>
      <c r="CXM230" s="1"/>
      <c r="CXN230" s="1"/>
      <c r="CXO230" s="1"/>
      <c r="CXP230" s="1"/>
      <c r="CXQ230" s="1"/>
      <c r="CXR230" s="1"/>
      <c r="CXS230" s="1"/>
      <c r="CXT230" s="1"/>
      <c r="CXU230" s="1"/>
      <c r="CXV230" s="1"/>
      <c r="CXW230" s="1"/>
      <c r="CXX230" s="1"/>
      <c r="CXY230" s="1"/>
      <c r="CXZ230" s="1"/>
      <c r="CYA230" s="1"/>
      <c r="CYB230" s="1"/>
      <c r="CYC230" s="1"/>
      <c r="CYD230" s="1"/>
      <c r="CYE230" s="1"/>
      <c r="CYF230" s="1"/>
      <c r="CYG230" s="1"/>
      <c r="CYH230" s="1"/>
      <c r="CYI230" s="1"/>
      <c r="CYJ230" s="1"/>
      <c r="CYK230" s="1"/>
      <c r="CYL230" s="1"/>
      <c r="CYM230" s="1"/>
      <c r="CYN230" s="1"/>
      <c r="CYO230" s="1"/>
      <c r="CYP230" s="1"/>
      <c r="CYQ230" s="1"/>
      <c r="CYR230" s="1"/>
      <c r="CYS230" s="1"/>
      <c r="CYT230" s="1"/>
      <c r="CYU230" s="1"/>
      <c r="CYV230" s="1"/>
      <c r="CYW230" s="1"/>
      <c r="CYX230" s="1"/>
      <c r="CYY230" s="1"/>
      <c r="CYZ230" s="1"/>
      <c r="CZA230" s="1"/>
      <c r="CZB230" s="1"/>
      <c r="CZC230" s="1"/>
      <c r="CZD230" s="1"/>
      <c r="CZE230" s="1"/>
      <c r="CZF230" s="1"/>
      <c r="CZG230" s="1"/>
      <c r="CZH230" s="1"/>
      <c r="CZI230" s="1"/>
      <c r="CZJ230" s="1"/>
      <c r="CZK230" s="1"/>
      <c r="CZL230" s="1"/>
      <c r="CZM230" s="1"/>
      <c r="CZN230" s="1"/>
      <c r="CZO230" s="1"/>
      <c r="CZP230" s="1"/>
      <c r="CZQ230" s="1"/>
      <c r="CZR230" s="1"/>
      <c r="CZS230" s="1"/>
      <c r="CZT230" s="1"/>
      <c r="CZU230" s="1"/>
      <c r="CZV230" s="1"/>
      <c r="CZW230" s="1"/>
      <c r="CZX230" s="1"/>
      <c r="CZY230" s="1"/>
      <c r="CZZ230" s="1"/>
      <c r="DAA230" s="1"/>
      <c r="DAB230" s="1"/>
      <c r="DAC230" s="1"/>
      <c r="DAD230" s="1"/>
      <c r="DAE230" s="1"/>
      <c r="DAF230" s="1"/>
      <c r="DAG230" s="1"/>
      <c r="DAH230" s="1"/>
      <c r="DAI230" s="1"/>
      <c r="DAJ230" s="1"/>
      <c r="DAK230" s="1"/>
      <c r="DAL230" s="1"/>
      <c r="DAM230" s="1"/>
      <c r="DAN230" s="1"/>
      <c r="DAO230" s="1"/>
      <c r="DAP230" s="1"/>
      <c r="DAQ230" s="1"/>
      <c r="DAR230" s="1"/>
      <c r="DAS230" s="1"/>
      <c r="DAT230" s="1"/>
      <c r="DAU230" s="1"/>
      <c r="DAV230" s="1"/>
      <c r="DAW230" s="1"/>
      <c r="DAX230" s="1"/>
      <c r="DAY230" s="1"/>
      <c r="DAZ230" s="1"/>
      <c r="DBA230" s="1"/>
      <c r="DBB230" s="1"/>
      <c r="DBC230" s="1"/>
      <c r="DBD230" s="1"/>
      <c r="DBE230" s="1"/>
      <c r="DBF230" s="1"/>
      <c r="DBG230" s="1"/>
      <c r="DBH230" s="1"/>
      <c r="DBI230" s="1"/>
      <c r="DBJ230" s="1"/>
      <c r="DBK230" s="1"/>
      <c r="DBL230" s="1"/>
      <c r="DBM230" s="1"/>
      <c r="DBN230" s="1"/>
      <c r="DBO230" s="1"/>
      <c r="DBP230" s="1"/>
      <c r="DBQ230" s="1"/>
      <c r="DBR230" s="1"/>
      <c r="DBS230" s="1"/>
      <c r="DBT230" s="1"/>
      <c r="DBU230" s="1"/>
      <c r="DBV230" s="1"/>
      <c r="DBW230" s="1"/>
      <c r="DBX230" s="1"/>
      <c r="DBY230" s="1"/>
      <c r="DBZ230" s="1"/>
      <c r="DCA230" s="1"/>
      <c r="DCB230" s="1"/>
      <c r="DCC230" s="1"/>
      <c r="DCD230" s="1"/>
      <c r="DCE230" s="1"/>
      <c r="DCF230" s="1"/>
      <c r="DCG230" s="1"/>
      <c r="DCH230" s="1"/>
      <c r="DCI230" s="1"/>
      <c r="DCJ230" s="1"/>
      <c r="DCK230" s="1"/>
      <c r="DCL230" s="1"/>
      <c r="DCM230" s="1"/>
      <c r="DCN230" s="1"/>
      <c r="DCO230" s="1"/>
      <c r="DCP230" s="1"/>
      <c r="DCQ230" s="1"/>
      <c r="DCR230" s="1"/>
      <c r="DCS230" s="1"/>
      <c r="DCT230" s="1"/>
      <c r="DCU230" s="1"/>
      <c r="DCV230" s="1"/>
      <c r="DCW230" s="1"/>
      <c r="DCX230" s="1"/>
      <c r="DCY230" s="1"/>
      <c r="DCZ230" s="1"/>
      <c r="DDA230" s="1"/>
      <c r="DDB230" s="1"/>
      <c r="DDC230" s="1"/>
      <c r="DDD230" s="1"/>
      <c r="DDE230" s="1"/>
      <c r="DDF230" s="1"/>
      <c r="DDG230" s="1"/>
      <c r="DDH230" s="1"/>
      <c r="DDI230" s="1"/>
      <c r="DDJ230" s="1"/>
      <c r="DDK230" s="1"/>
      <c r="DDL230" s="1"/>
      <c r="DDM230" s="1"/>
      <c r="DDN230" s="1"/>
      <c r="DDO230" s="1"/>
      <c r="DDP230" s="1"/>
      <c r="DDQ230" s="1"/>
      <c r="DDR230" s="1"/>
      <c r="DDS230" s="1"/>
      <c r="DDT230" s="1"/>
      <c r="DDU230" s="1"/>
      <c r="DDV230" s="1"/>
      <c r="DDW230" s="1"/>
      <c r="DDX230" s="1"/>
      <c r="DDY230" s="1"/>
      <c r="DDZ230" s="1"/>
      <c r="DEA230" s="1"/>
      <c r="DEB230" s="1"/>
      <c r="DEC230" s="1"/>
      <c r="DED230" s="1"/>
      <c r="DEE230" s="1"/>
      <c r="DEF230" s="1"/>
      <c r="DEG230" s="1"/>
      <c r="DEH230" s="1"/>
      <c r="DEI230" s="1"/>
      <c r="DEJ230" s="1"/>
      <c r="DEK230" s="1"/>
      <c r="DEL230" s="1"/>
      <c r="DEM230" s="1"/>
      <c r="DEN230" s="1"/>
      <c r="DEO230" s="1"/>
      <c r="DEP230" s="1"/>
      <c r="DEQ230" s="1"/>
      <c r="DER230" s="1"/>
      <c r="DES230" s="1"/>
      <c r="DET230" s="1"/>
      <c r="DEU230" s="1"/>
      <c r="DEV230" s="1"/>
      <c r="DEW230" s="1"/>
      <c r="DEX230" s="1"/>
      <c r="DEY230" s="1"/>
      <c r="DEZ230" s="1"/>
      <c r="DFA230" s="1"/>
      <c r="DFB230" s="1"/>
      <c r="DFC230" s="1"/>
      <c r="DFD230" s="1"/>
      <c r="DFE230" s="1"/>
      <c r="DFF230" s="1"/>
      <c r="DFG230" s="1"/>
      <c r="DFH230" s="1"/>
      <c r="DFI230" s="1"/>
      <c r="DFJ230" s="1"/>
      <c r="DFK230" s="1"/>
      <c r="DFL230" s="1"/>
      <c r="DFM230" s="1"/>
      <c r="DFN230" s="1"/>
      <c r="DFO230" s="1"/>
      <c r="DFP230" s="1"/>
      <c r="DFQ230" s="1"/>
      <c r="DFR230" s="1"/>
      <c r="DFS230" s="1"/>
      <c r="DFT230" s="1"/>
      <c r="DFU230" s="1"/>
      <c r="DFV230" s="1"/>
      <c r="DFW230" s="1"/>
      <c r="DFX230" s="1"/>
      <c r="DFY230" s="1"/>
      <c r="DFZ230" s="1"/>
      <c r="DGA230" s="1"/>
      <c r="DGB230" s="1"/>
      <c r="DGC230" s="1"/>
      <c r="DGD230" s="1"/>
      <c r="DGE230" s="1"/>
      <c r="DGF230" s="1"/>
      <c r="DGG230" s="1"/>
      <c r="DGH230" s="1"/>
      <c r="DGI230" s="1"/>
      <c r="DGJ230" s="1"/>
      <c r="DGK230" s="1"/>
      <c r="DGL230" s="1"/>
      <c r="DGM230" s="1"/>
      <c r="DGN230" s="1"/>
      <c r="DGO230" s="1"/>
      <c r="DGP230" s="1"/>
      <c r="DGQ230" s="1"/>
      <c r="DGR230" s="1"/>
      <c r="DGS230" s="1"/>
      <c r="DGT230" s="1"/>
      <c r="DGU230" s="1"/>
      <c r="DGV230" s="1"/>
      <c r="DGW230" s="1"/>
      <c r="DGX230" s="1"/>
      <c r="DGY230" s="1"/>
      <c r="DGZ230" s="1"/>
      <c r="DHA230" s="1"/>
      <c r="DHB230" s="1"/>
      <c r="DHC230" s="1"/>
      <c r="DHD230" s="1"/>
      <c r="DHE230" s="1"/>
      <c r="DHF230" s="1"/>
      <c r="DHG230" s="1"/>
      <c r="DHH230" s="1"/>
      <c r="DHI230" s="1"/>
      <c r="DHJ230" s="1"/>
      <c r="DHK230" s="1"/>
      <c r="DHL230" s="1"/>
      <c r="DHM230" s="1"/>
      <c r="DHN230" s="1"/>
      <c r="DHO230" s="1"/>
      <c r="DHP230" s="1"/>
      <c r="DHQ230" s="1"/>
      <c r="DHR230" s="1"/>
      <c r="DHS230" s="1"/>
      <c r="DHT230" s="1"/>
      <c r="DHU230" s="1"/>
      <c r="DHV230" s="1"/>
      <c r="DHW230" s="1"/>
      <c r="DHX230" s="1"/>
      <c r="DHY230" s="1"/>
      <c r="DHZ230" s="1"/>
      <c r="DIA230" s="1"/>
      <c r="DIB230" s="1"/>
      <c r="DIC230" s="1"/>
      <c r="DID230" s="1"/>
      <c r="DIE230" s="1"/>
      <c r="DIF230" s="1"/>
      <c r="DIG230" s="1"/>
      <c r="DIH230" s="1"/>
      <c r="DII230" s="1"/>
      <c r="DIJ230" s="1"/>
      <c r="DIK230" s="1"/>
      <c r="DIL230" s="1"/>
      <c r="DIM230" s="1"/>
      <c r="DIN230" s="1"/>
      <c r="DIO230" s="1"/>
      <c r="DIP230" s="1"/>
      <c r="DIQ230" s="1"/>
      <c r="DIR230" s="1"/>
      <c r="DIS230" s="1"/>
      <c r="DIT230" s="1"/>
      <c r="DIU230" s="1"/>
      <c r="DIV230" s="1"/>
      <c r="DIW230" s="1"/>
      <c r="DIX230" s="1"/>
      <c r="DIY230" s="1"/>
      <c r="DIZ230" s="1"/>
      <c r="DJA230" s="1"/>
      <c r="DJB230" s="1"/>
      <c r="DJC230" s="1"/>
      <c r="DJD230" s="1"/>
      <c r="DJE230" s="1"/>
      <c r="DJF230" s="1"/>
      <c r="DJG230" s="1"/>
      <c r="DJH230" s="1"/>
      <c r="DJI230" s="1"/>
      <c r="DJJ230" s="1"/>
      <c r="DJK230" s="1"/>
      <c r="DJL230" s="1"/>
      <c r="DJM230" s="1"/>
      <c r="DJN230" s="1"/>
      <c r="DJO230" s="1"/>
      <c r="DJP230" s="1"/>
      <c r="DJQ230" s="1"/>
      <c r="DJR230" s="1"/>
      <c r="DJS230" s="1"/>
      <c r="DJT230" s="1"/>
      <c r="DJU230" s="1"/>
      <c r="DJV230" s="1"/>
      <c r="DJW230" s="1"/>
      <c r="DJX230" s="1"/>
      <c r="DJY230" s="1"/>
      <c r="DJZ230" s="1"/>
      <c r="DKA230" s="1"/>
      <c r="DKB230" s="1"/>
      <c r="DKC230" s="1"/>
      <c r="DKD230" s="1"/>
      <c r="DKE230" s="1"/>
      <c r="DKF230" s="1"/>
      <c r="DKG230" s="1"/>
      <c r="DKH230" s="1"/>
      <c r="DKI230" s="1"/>
      <c r="DKJ230" s="1"/>
      <c r="DKK230" s="1"/>
      <c r="DKL230" s="1"/>
      <c r="DKM230" s="1"/>
      <c r="DKN230" s="1"/>
      <c r="DKO230" s="1"/>
      <c r="DKP230" s="1"/>
      <c r="DKQ230" s="1"/>
      <c r="DKR230" s="1"/>
      <c r="DKS230" s="1"/>
      <c r="DKT230" s="1"/>
      <c r="DKU230" s="1"/>
      <c r="DKV230" s="1"/>
      <c r="DKW230" s="1"/>
      <c r="DKX230" s="1"/>
      <c r="DKY230" s="1"/>
      <c r="DKZ230" s="1"/>
      <c r="DLA230" s="1"/>
      <c r="DLB230" s="1"/>
      <c r="DLC230" s="1"/>
      <c r="DLD230" s="1"/>
      <c r="DLE230" s="1"/>
      <c r="DLF230" s="1"/>
      <c r="DLG230" s="1"/>
      <c r="DLH230" s="1"/>
      <c r="DLI230" s="1"/>
      <c r="DLJ230" s="1"/>
      <c r="DLK230" s="1"/>
      <c r="DLL230" s="1"/>
      <c r="DLM230" s="1"/>
      <c r="DLN230" s="1"/>
      <c r="DLO230" s="1"/>
      <c r="DLP230" s="1"/>
      <c r="DLQ230" s="1"/>
      <c r="DLR230" s="1"/>
      <c r="DLS230" s="1"/>
      <c r="DLT230" s="1"/>
      <c r="DLU230" s="1"/>
      <c r="DLV230" s="1"/>
      <c r="DLW230" s="1"/>
      <c r="DLX230" s="1"/>
      <c r="DLY230" s="1"/>
      <c r="DLZ230" s="1"/>
      <c r="DMA230" s="1"/>
      <c r="DMB230" s="1"/>
      <c r="DMC230" s="1"/>
      <c r="DMD230" s="1"/>
      <c r="DME230" s="1"/>
      <c r="DMF230" s="1"/>
      <c r="DMG230" s="1"/>
      <c r="DMH230" s="1"/>
      <c r="DMI230" s="1"/>
      <c r="DMJ230" s="1"/>
      <c r="DMK230" s="1"/>
      <c r="DML230" s="1"/>
      <c r="DMM230" s="1"/>
      <c r="DMN230" s="1"/>
      <c r="DMO230" s="1"/>
      <c r="DMP230" s="1"/>
      <c r="DMQ230" s="1"/>
      <c r="DMR230" s="1"/>
      <c r="DMS230" s="1"/>
      <c r="DMT230" s="1"/>
      <c r="DMU230" s="1"/>
      <c r="DMV230" s="1"/>
      <c r="DMW230" s="1"/>
      <c r="DMX230" s="1"/>
      <c r="DMY230" s="1"/>
      <c r="DMZ230" s="1"/>
      <c r="DNA230" s="1"/>
      <c r="DNB230" s="1"/>
      <c r="DNC230" s="1"/>
      <c r="DND230" s="1"/>
      <c r="DNE230" s="1"/>
      <c r="DNF230" s="1"/>
      <c r="DNG230" s="1"/>
      <c r="DNH230" s="1"/>
      <c r="DNI230" s="1"/>
      <c r="DNJ230" s="1"/>
      <c r="DNK230" s="1"/>
      <c r="DNL230" s="1"/>
      <c r="DNM230" s="1"/>
      <c r="DNN230" s="1"/>
      <c r="DNO230" s="1"/>
      <c r="DNP230" s="1"/>
      <c r="DNQ230" s="1"/>
      <c r="DNR230" s="1"/>
      <c r="DNS230" s="1"/>
      <c r="DNT230" s="1"/>
      <c r="DNU230" s="1"/>
      <c r="DNV230" s="1"/>
      <c r="DNW230" s="1"/>
      <c r="DNX230" s="1"/>
      <c r="DNY230" s="1"/>
      <c r="DNZ230" s="1"/>
      <c r="DOA230" s="1"/>
      <c r="DOB230" s="1"/>
      <c r="DOC230" s="1"/>
      <c r="DOD230" s="1"/>
      <c r="DOE230" s="1"/>
      <c r="DOF230" s="1"/>
      <c r="DOG230" s="1"/>
      <c r="DOH230" s="1"/>
      <c r="DOI230" s="1"/>
      <c r="DOJ230" s="1"/>
      <c r="DOK230" s="1"/>
      <c r="DOL230" s="1"/>
      <c r="DOM230" s="1"/>
      <c r="DON230" s="1"/>
      <c r="DOO230" s="1"/>
      <c r="DOP230" s="1"/>
      <c r="DOQ230" s="1"/>
      <c r="DOR230" s="1"/>
      <c r="DOS230" s="1"/>
      <c r="DOT230" s="1"/>
      <c r="DOU230" s="1"/>
      <c r="DOV230" s="1"/>
      <c r="DOW230" s="1"/>
      <c r="DOX230" s="1"/>
      <c r="DOY230" s="1"/>
      <c r="DOZ230" s="1"/>
      <c r="DPA230" s="1"/>
      <c r="DPB230" s="1"/>
      <c r="DPC230" s="1"/>
      <c r="DPD230" s="1"/>
      <c r="DPE230" s="1"/>
      <c r="DPF230" s="1"/>
      <c r="DPG230" s="1"/>
      <c r="DPH230" s="1"/>
      <c r="DPI230" s="1"/>
      <c r="DPJ230" s="1"/>
      <c r="DPK230" s="1"/>
      <c r="DPL230" s="1"/>
      <c r="DPM230" s="1"/>
      <c r="DPN230" s="1"/>
      <c r="DPO230" s="1"/>
      <c r="DPP230" s="1"/>
      <c r="DPQ230" s="1"/>
      <c r="DPR230" s="1"/>
      <c r="DPS230" s="1"/>
      <c r="DPT230" s="1"/>
      <c r="DPU230" s="1"/>
      <c r="DPV230" s="1"/>
      <c r="DPW230" s="1"/>
      <c r="DPX230" s="1"/>
      <c r="DPY230" s="1"/>
      <c r="DPZ230" s="1"/>
      <c r="DQA230" s="1"/>
      <c r="DQB230" s="1"/>
      <c r="DQC230" s="1"/>
      <c r="DQD230" s="1"/>
      <c r="DQE230" s="1"/>
      <c r="DQF230" s="1"/>
      <c r="DQG230" s="1"/>
      <c r="DQH230" s="1"/>
      <c r="DQI230" s="1"/>
      <c r="DQJ230" s="1"/>
      <c r="DQK230" s="1"/>
      <c r="DQL230" s="1"/>
      <c r="DQM230" s="1"/>
      <c r="DQN230" s="1"/>
      <c r="DQO230" s="1"/>
      <c r="DQP230" s="1"/>
      <c r="DQQ230" s="1"/>
      <c r="DQR230" s="1"/>
      <c r="DQS230" s="1"/>
      <c r="DQT230" s="1"/>
      <c r="DQU230" s="1"/>
      <c r="DQV230" s="1"/>
      <c r="DQW230" s="1"/>
      <c r="DQX230" s="1"/>
      <c r="DQY230" s="1"/>
      <c r="DQZ230" s="1"/>
      <c r="DRA230" s="1"/>
      <c r="DRB230" s="1"/>
      <c r="DRC230" s="1"/>
      <c r="DRD230" s="1"/>
      <c r="DRE230" s="1"/>
      <c r="DRF230" s="1"/>
      <c r="DRG230" s="1"/>
      <c r="DRH230" s="1"/>
      <c r="DRI230" s="1"/>
      <c r="DRJ230" s="1"/>
      <c r="DRK230" s="1"/>
      <c r="DRL230" s="1"/>
      <c r="DRM230" s="1"/>
      <c r="DRN230" s="1"/>
      <c r="DRO230" s="1"/>
      <c r="DRP230" s="1"/>
      <c r="DRQ230" s="1"/>
      <c r="DRR230" s="1"/>
      <c r="DRS230" s="1"/>
      <c r="DRT230" s="1"/>
      <c r="DRU230" s="1"/>
      <c r="DRV230" s="1"/>
      <c r="DRW230" s="1"/>
      <c r="DRX230" s="1"/>
      <c r="DRY230" s="1"/>
      <c r="DRZ230" s="1"/>
      <c r="DSA230" s="1"/>
      <c r="DSB230" s="1"/>
      <c r="DSC230" s="1"/>
      <c r="DSD230" s="1"/>
      <c r="DSE230" s="1"/>
      <c r="DSF230" s="1"/>
      <c r="DSG230" s="1"/>
      <c r="DSH230" s="1"/>
      <c r="DSI230" s="1"/>
      <c r="DSJ230" s="1"/>
      <c r="DSK230" s="1"/>
      <c r="DSL230" s="1"/>
      <c r="DSM230" s="1"/>
      <c r="DSN230" s="1"/>
      <c r="DSO230" s="1"/>
      <c r="DSP230" s="1"/>
      <c r="DSQ230" s="1"/>
      <c r="DSR230" s="1"/>
      <c r="DSS230" s="1"/>
      <c r="DST230" s="1"/>
      <c r="DSU230" s="1"/>
      <c r="DSV230" s="1"/>
      <c r="DSW230" s="1"/>
      <c r="DSX230" s="1"/>
      <c r="DSY230" s="1"/>
      <c r="DSZ230" s="1"/>
      <c r="DTA230" s="1"/>
      <c r="DTB230" s="1"/>
      <c r="DTC230" s="1"/>
      <c r="DTD230" s="1"/>
      <c r="DTE230" s="1"/>
      <c r="DTF230" s="1"/>
      <c r="DTG230" s="1"/>
      <c r="DTH230" s="1"/>
      <c r="DTI230" s="1"/>
      <c r="DTJ230" s="1"/>
      <c r="DTK230" s="1"/>
      <c r="DTL230" s="1"/>
      <c r="DTM230" s="1"/>
      <c r="DTN230" s="1"/>
      <c r="DTO230" s="1"/>
      <c r="DTP230" s="1"/>
      <c r="DTQ230" s="1"/>
      <c r="DTR230" s="1"/>
      <c r="DTS230" s="1"/>
      <c r="DTT230" s="1"/>
      <c r="DTU230" s="1"/>
      <c r="DTV230" s="1"/>
      <c r="DTW230" s="1"/>
      <c r="DTX230" s="1"/>
      <c r="DTY230" s="1"/>
      <c r="DTZ230" s="1"/>
      <c r="DUA230" s="1"/>
      <c r="DUB230" s="1"/>
      <c r="DUC230" s="1"/>
      <c r="DUD230" s="1"/>
      <c r="DUE230" s="1"/>
      <c r="DUF230" s="1"/>
      <c r="DUG230" s="1"/>
      <c r="DUH230" s="1"/>
      <c r="DUI230" s="1"/>
      <c r="DUJ230" s="1"/>
      <c r="DUK230" s="1"/>
      <c r="DUL230" s="1"/>
      <c r="DUM230" s="1"/>
      <c r="DUN230" s="1"/>
      <c r="DUO230" s="1"/>
      <c r="DUP230" s="1"/>
      <c r="DUQ230" s="1"/>
      <c r="DUR230" s="1"/>
      <c r="DUS230" s="1"/>
      <c r="DUT230" s="1"/>
      <c r="DUU230" s="1"/>
      <c r="DUV230" s="1"/>
      <c r="DUW230" s="1"/>
      <c r="DUX230" s="1"/>
      <c r="DUY230" s="1"/>
      <c r="DUZ230" s="1"/>
      <c r="DVA230" s="1"/>
      <c r="DVB230" s="1"/>
      <c r="DVC230" s="1"/>
      <c r="DVD230" s="1"/>
      <c r="DVE230" s="1"/>
      <c r="DVF230" s="1"/>
      <c r="DVG230" s="1"/>
      <c r="DVH230" s="1"/>
      <c r="DVI230" s="1"/>
      <c r="DVJ230" s="1"/>
      <c r="DVK230" s="1"/>
      <c r="DVL230" s="1"/>
      <c r="DVM230" s="1"/>
      <c r="DVN230" s="1"/>
      <c r="DVO230" s="1"/>
      <c r="DVP230" s="1"/>
      <c r="DVQ230" s="1"/>
      <c r="DVR230" s="1"/>
      <c r="DVS230" s="1"/>
      <c r="DVT230" s="1"/>
      <c r="DVU230" s="1"/>
      <c r="DVV230" s="1"/>
      <c r="DVW230" s="1"/>
      <c r="DVX230" s="1"/>
      <c r="DVY230" s="1"/>
      <c r="DVZ230" s="1"/>
      <c r="DWA230" s="1"/>
      <c r="DWB230" s="1"/>
      <c r="DWC230" s="1"/>
      <c r="DWD230" s="1"/>
      <c r="DWE230" s="1"/>
      <c r="DWF230" s="1"/>
      <c r="DWG230" s="1"/>
      <c r="DWH230" s="1"/>
      <c r="DWI230" s="1"/>
      <c r="DWJ230" s="1"/>
      <c r="DWK230" s="1"/>
      <c r="DWL230" s="1"/>
      <c r="DWM230" s="1"/>
      <c r="DWN230" s="1"/>
      <c r="DWO230" s="1"/>
      <c r="DWP230" s="1"/>
      <c r="DWQ230" s="1"/>
      <c r="DWR230" s="1"/>
      <c r="DWS230" s="1"/>
      <c r="DWT230" s="1"/>
      <c r="DWU230" s="1"/>
      <c r="DWV230" s="1"/>
      <c r="DWW230" s="1"/>
      <c r="DWX230" s="1"/>
      <c r="DWY230" s="1"/>
      <c r="DWZ230" s="1"/>
      <c r="DXA230" s="1"/>
      <c r="DXB230" s="1"/>
      <c r="DXC230" s="1"/>
      <c r="DXD230" s="1"/>
      <c r="DXE230" s="1"/>
      <c r="DXF230" s="1"/>
      <c r="DXG230" s="1"/>
      <c r="DXH230" s="1"/>
      <c r="DXI230" s="1"/>
      <c r="DXJ230" s="1"/>
      <c r="DXK230" s="1"/>
      <c r="DXL230" s="1"/>
      <c r="DXM230" s="1"/>
      <c r="DXN230" s="1"/>
      <c r="DXO230" s="1"/>
      <c r="DXP230" s="1"/>
      <c r="DXQ230" s="1"/>
      <c r="DXR230" s="1"/>
      <c r="DXS230" s="1"/>
      <c r="DXT230" s="1"/>
      <c r="DXU230" s="1"/>
      <c r="DXV230" s="1"/>
      <c r="DXW230" s="1"/>
      <c r="DXX230" s="1"/>
      <c r="DXY230" s="1"/>
      <c r="DXZ230" s="1"/>
      <c r="DYA230" s="1"/>
      <c r="DYB230" s="1"/>
      <c r="DYC230" s="1"/>
      <c r="DYD230" s="1"/>
      <c r="DYE230" s="1"/>
      <c r="DYF230" s="1"/>
      <c r="DYG230" s="1"/>
      <c r="DYH230" s="1"/>
      <c r="DYI230" s="1"/>
      <c r="DYJ230" s="1"/>
      <c r="DYK230" s="1"/>
      <c r="DYL230" s="1"/>
      <c r="DYM230" s="1"/>
      <c r="DYN230" s="1"/>
      <c r="DYO230" s="1"/>
      <c r="DYP230" s="1"/>
      <c r="DYQ230" s="1"/>
      <c r="DYR230" s="1"/>
      <c r="DYS230" s="1"/>
      <c r="DYT230" s="1"/>
      <c r="DYU230" s="1"/>
      <c r="DYV230" s="1"/>
      <c r="DYW230" s="1"/>
      <c r="DYX230" s="1"/>
      <c r="DYY230" s="1"/>
      <c r="DYZ230" s="1"/>
      <c r="DZA230" s="1"/>
      <c r="DZB230" s="1"/>
      <c r="DZC230" s="1"/>
      <c r="DZD230" s="1"/>
      <c r="DZE230" s="1"/>
      <c r="DZF230" s="1"/>
      <c r="DZG230" s="1"/>
      <c r="DZH230" s="1"/>
      <c r="DZI230" s="1"/>
      <c r="DZJ230" s="1"/>
      <c r="DZK230" s="1"/>
      <c r="DZL230" s="1"/>
      <c r="DZM230" s="1"/>
      <c r="DZN230" s="1"/>
      <c r="DZO230" s="1"/>
      <c r="DZP230" s="1"/>
      <c r="DZQ230" s="1"/>
      <c r="DZR230" s="1"/>
      <c r="DZS230" s="1"/>
      <c r="DZT230" s="1"/>
      <c r="DZU230" s="1"/>
      <c r="DZV230" s="1"/>
      <c r="DZW230" s="1"/>
      <c r="DZX230" s="1"/>
      <c r="DZY230" s="1"/>
      <c r="DZZ230" s="1"/>
      <c r="EAA230" s="1"/>
      <c r="EAB230" s="1"/>
      <c r="EAC230" s="1"/>
      <c r="EAD230" s="1"/>
      <c r="EAE230" s="1"/>
      <c r="EAF230" s="1"/>
      <c r="EAG230" s="1"/>
      <c r="EAH230" s="1"/>
      <c r="EAI230" s="1"/>
      <c r="EAJ230" s="1"/>
      <c r="EAK230" s="1"/>
      <c r="EAL230" s="1"/>
      <c r="EAM230" s="1"/>
      <c r="EAN230" s="1"/>
      <c r="EAO230" s="1"/>
      <c r="EAP230" s="1"/>
      <c r="EAQ230" s="1"/>
      <c r="EAR230" s="1"/>
      <c r="EAS230" s="1"/>
      <c r="EAT230" s="1"/>
      <c r="EAU230" s="1"/>
      <c r="EAV230" s="1"/>
      <c r="EAW230" s="1"/>
      <c r="EAX230" s="1"/>
      <c r="EAY230" s="1"/>
      <c r="EAZ230" s="1"/>
      <c r="EBA230" s="1"/>
      <c r="EBB230" s="1"/>
      <c r="EBC230" s="1"/>
      <c r="EBD230" s="1"/>
      <c r="EBE230" s="1"/>
      <c r="EBF230" s="1"/>
      <c r="EBG230" s="1"/>
      <c r="EBH230" s="1"/>
      <c r="EBI230" s="1"/>
      <c r="EBJ230" s="1"/>
      <c r="EBK230" s="1"/>
      <c r="EBL230" s="1"/>
      <c r="EBM230" s="1"/>
      <c r="EBN230" s="1"/>
      <c r="EBO230" s="1"/>
      <c r="EBP230" s="1"/>
      <c r="EBQ230" s="1"/>
      <c r="EBR230" s="1"/>
      <c r="EBS230" s="1"/>
      <c r="EBT230" s="1"/>
      <c r="EBU230" s="1"/>
      <c r="EBV230" s="1"/>
      <c r="EBW230" s="1"/>
      <c r="EBX230" s="1"/>
      <c r="EBY230" s="1"/>
      <c r="EBZ230" s="1"/>
      <c r="ECA230" s="1"/>
      <c r="ECB230" s="1"/>
      <c r="ECC230" s="1"/>
      <c r="ECD230" s="1"/>
      <c r="ECE230" s="1"/>
      <c r="ECF230" s="1"/>
      <c r="ECG230" s="1"/>
      <c r="ECH230" s="1"/>
      <c r="ECI230" s="1"/>
      <c r="ECJ230" s="1"/>
      <c r="ECK230" s="1"/>
      <c r="ECL230" s="1"/>
      <c r="ECM230" s="1"/>
      <c r="ECN230" s="1"/>
      <c r="ECO230" s="1"/>
      <c r="ECP230" s="1"/>
      <c r="ECQ230" s="1"/>
      <c r="ECR230" s="1"/>
      <c r="ECS230" s="1"/>
      <c r="ECT230" s="1"/>
      <c r="ECU230" s="1"/>
      <c r="ECV230" s="1"/>
      <c r="ECW230" s="1"/>
      <c r="ECX230" s="1"/>
      <c r="ECY230" s="1"/>
      <c r="ECZ230" s="1"/>
      <c r="EDA230" s="1"/>
      <c r="EDB230" s="1"/>
      <c r="EDC230" s="1"/>
      <c r="EDD230" s="1"/>
      <c r="EDE230" s="1"/>
      <c r="EDF230" s="1"/>
      <c r="EDG230" s="1"/>
      <c r="EDH230" s="1"/>
      <c r="EDI230" s="1"/>
      <c r="EDJ230" s="1"/>
      <c r="EDK230" s="1"/>
      <c r="EDL230" s="1"/>
      <c r="EDM230" s="1"/>
      <c r="EDN230" s="1"/>
      <c r="EDO230" s="1"/>
      <c r="EDP230" s="1"/>
      <c r="EDQ230" s="1"/>
      <c r="EDR230" s="1"/>
      <c r="EDS230" s="1"/>
      <c r="EDT230" s="1"/>
      <c r="EDU230" s="1"/>
      <c r="EDV230" s="1"/>
      <c r="EDW230" s="1"/>
      <c r="EDX230" s="1"/>
      <c r="EDY230" s="1"/>
      <c r="EDZ230" s="1"/>
      <c r="EEA230" s="1"/>
      <c r="EEB230" s="1"/>
      <c r="EEC230" s="1"/>
      <c r="EED230" s="1"/>
      <c r="EEE230" s="1"/>
      <c r="EEF230" s="1"/>
      <c r="EEG230" s="1"/>
      <c r="EEH230" s="1"/>
      <c r="EEI230" s="1"/>
      <c r="EEJ230" s="1"/>
      <c r="EEK230" s="1"/>
      <c r="EEL230" s="1"/>
      <c r="EEM230" s="1"/>
      <c r="EEN230" s="1"/>
      <c r="EEO230" s="1"/>
      <c r="EEP230" s="1"/>
      <c r="EEQ230" s="1"/>
      <c r="EER230" s="1"/>
      <c r="EES230" s="1"/>
      <c r="EET230" s="1"/>
      <c r="EEU230" s="1"/>
      <c r="EEV230" s="1"/>
      <c r="EEW230" s="1"/>
      <c r="EEX230" s="1"/>
      <c r="EEY230" s="1"/>
      <c r="EEZ230" s="1"/>
      <c r="EFA230" s="1"/>
      <c r="EFB230" s="1"/>
      <c r="EFC230" s="1"/>
      <c r="EFD230" s="1"/>
      <c r="EFE230" s="1"/>
      <c r="EFF230" s="1"/>
      <c r="EFG230" s="1"/>
      <c r="EFH230" s="1"/>
      <c r="EFI230" s="1"/>
      <c r="EFJ230" s="1"/>
      <c r="EFK230" s="1"/>
      <c r="EFL230" s="1"/>
      <c r="EFM230" s="1"/>
      <c r="EFN230" s="1"/>
      <c r="EFO230" s="1"/>
      <c r="EFP230" s="1"/>
      <c r="EFQ230" s="1"/>
      <c r="EFR230" s="1"/>
      <c r="EFS230" s="1"/>
      <c r="EFT230" s="1"/>
      <c r="EFU230" s="1"/>
      <c r="EFV230" s="1"/>
      <c r="EFW230" s="1"/>
      <c r="EFX230" s="1"/>
      <c r="EFY230" s="1"/>
      <c r="EFZ230" s="1"/>
      <c r="EGA230" s="1"/>
      <c r="EGB230" s="1"/>
      <c r="EGC230" s="1"/>
      <c r="EGD230" s="1"/>
      <c r="EGE230" s="1"/>
      <c r="EGF230" s="1"/>
      <c r="EGG230" s="1"/>
      <c r="EGH230" s="1"/>
      <c r="EGI230" s="1"/>
      <c r="EGJ230" s="1"/>
      <c r="EGK230" s="1"/>
      <c r="EGL230" s="1"/>
      <c r="EGM230" s="1"/>
      <c r="EGN230" s="1"/>
      <c r="EGO230" s="1"/>
      <c r="EGP230" s="1"/>
      <c r="EGQ230" s="1"/>
      <c r="EGR230" s="1"/>
      <c r="EGS230" s="1"/>
      <c r="EGT230" s="1"/>
      <c r="EGU230" s="1"/>
      <c r="EGV230" s="1"/>
      <c r="EGW230" s="1"/>
      <c r="EGX230" s="1"/>
      <c r="EGY230" s="1"/>
      <c r="EGZ230" s="1"/>
      <c r="EHA230" s="1"/>
      <c r="EHB230" s="1"/>
      <c r="EHC230" s="1"/>
      <c r="EHD230" s="1"/>
      <c r="EHE230" s="1"/>
      <c r="EHF230" s="1"/>
      <c r="EHG230" s="1"/>
      <c r="EHH230" s="1"/>
      <c r="EHI230" s="1"/>
      <c r="EHJ230" s="1"/>
      <c r="EHK230" s="1"/>
      <c r="EHL230" s="1"/>
      <c r="EHM230" s="1"/>
      <c r="EHN230" s="1"/>
      <c r="EHO230" s="1"/>
      <c r="EHP230" s="1"/>
      <c r="EHQ230" s="1"/>
      <c r="EHR230" s="1"/>
      <c r="EHS230" s="1"/>
      <c r="EHT230" s="1"/>
      <c r="EHU230" s="1"/>
      <c r="EHV230" s="1"/>
      <c r="EHW230" s="1"/>
      <c r="EHX230" s="1"/>
      <c r="EHY230" s="1"/>
      <c r="EHZ230" s="1"/>
      <c r="EIA230" s="1"/>
      <c r="EIB230" s="1"/>
      <c r="EIC230" s="1"/>
      <c r="EID230" s="1"/>
      <c r="EIE230" s="1"/>
      <c r="EIF230" s="1"/>
      <c r="EIG230" s="1"/>
      <c r="EIH230" s="1"/>
      <c r="EII230" s="1"/>
      <c r="EIJ230" s="1"/>
      <c r="EIK230" s="1"/>
      <c r="EIL230" s="1"/>
      <c r="EIM230" s="1"/>
      <c r="EIN230" s="1"/>
      <c r="EIO230" s="1"/>
      <c r="EIP230" s="1"/>
      <c r="EIQ230" s="1"/>
      <c r="EIR230" s="1"/>
      <c r="EIS230" s="1"/>
      <c r="EIT230" s="1"/>
      <c r="EIU230" s="1"/>
      <c r="EIV230" s="1"/>
      <c r="EIW230" s="1"/>
      <c r="EIX230" s="1"/>
      <c r="EIY230" s="1"/>
      <c r="EIZ230" s="1"/>
      <c r="EJA230" s="1"/>
      <c r="EJB230" s="1"/>
      <c r="EJC230" s="1"/>
      <c r="EJD230" s="1"/>
      <c r="EJE230" s="1"/>
      <c r="EJF230" s="1"/>
      <c r="EJG230" s="1"/>
      <c r="EJH230" s="1"/>
      <c r="EJI230" s="1"/>
      <c r="EJJ230" s="1"/>
      <c r="EJK230" s="1"/>
      <c r="EJL230" s="1"/>
      <c r="EJM230" s="1"/>
      <c r="EJN230" s="1"/>
      <c r="EJO230" s="1"/>
      <c r="EJP230" s="1"/>
      <c r="EJQ230" s="1"/>
      <c r="EJR230" s="1"/>
      <c r="EJS230" s="1"/>
      <c r="EJT230" s="1"/>
      <c r="EJU230" s="1"/>
      <c r="EJV230" s="1"/>
      <c r="EJW230" s="1"/>
      <c r="EJX230" s="1"/>
      <c r="EJY230" s="1"/>
      <c r="EJZ230" s="1"/>
      <c r="EKA230" s="1"/>
      <c r="EKB230" s="1"/>
      <c r="EKC230" s="1"/>
      <c r="EKD230" s="1"/>
      <c r="EKE230" s="1"/>
      <c r="EKF230" s="1"/>
      <c r="EKG230" s="1"/>
      <c r="EKH230" s="1"/>
      <c r="EKI230" s="1"/>
      <c r="EKJ230" s="1"/>
      <c r="EKK230" s="1"/>
      <c r="EKL230" s="1"/>
      <c r="EKM230" s="1"/>
      <c r="EKN230" s="1"/>
      <c r="EKO230" s="1"/>
      <c r="EKP230" s="1"/>
      <c r="EKQ230" s="1"/>
      <c r="EKR230" s="1"/>
      <c r="EKS230" s="1"/>
      <c r="EKT230" s="1"/>
      <c r="EKU230" s="1"/>
      <c r="EKV230" s="1"/>
      <c r="EKW230" s="1"/>
      <c r="EKX230" s="1"/>
      <c r="EKY230" s="1"/>
      <c r="EKZ230" s="1"/>
      <c r="ELA230" s="1"/>
      <c r="ELB230" s="1"/>
      <c r="ELC230" s="1"/>
      <c r="ELD230" s="1"/>
      <c r="ELE230" s="1"/>
      <c r="ELF230" s="1"/>
      <c r="ELG230" s="1"/>
      <c r="ELH230" s="1"/>
      <c r="ELI230" s="1"/>
      <c r="ELJ230" s="1"/>
      <c r="ELK230" s="1"/>
      <c r="ELL230" s="1"/>
      <c r="ELM230" s="1"/>
      <c r="ELN230" s="1"/>
      <c r="ELO230" s="1"/>
      <c r="ELP230" s="1"/>
      <c r="ELQ230" s="1"/>
      <c r="ELR230" s="1"/>
      <c r="ELS230" s="1"/>
      <c r="ELT230" s="1"/>
      <c r="ELU230" s="1"/>
      <c r="ELV230" s="1"/>
      <c r="ELW230" s="1"/>
      <c r="ELX230" s="1"/>
      <c r="ELY230" s="1"/>
      <c r="ELZ230" s="1"/>
      <c r="EMA230" s="1"/>
      <c r="EMB230" s="1"/>
      <c r="EMC230" s="1"/>
      <c r="EMD230" s="1"/>
      <c r="EME230" s="1"/>
      <c r="EMF230" s="1"/>
      <c r="EMG230" s="1"/>
      <c r="EMH230" s="1"/>
      <c r="EMI230" s="1"/>
      <c r="EMJ230" s="1"/>
      <c r="EMK230" s="1"/>
      <c r="EML230" s="1"/>
      <c r="EMM230" s="1"/>
      <c r="EMN230" s="1"/>
      <c r="EMO230" s="1"/>
      <c r="EMP230" s="1"/>
      <c r="EMQ230" s="1"/>
      <c r="EMR230" s="1"/>
      <c r="EMS230" s="1"/>
      <c r="EMT230" s="1"/>
      <c r="EMU230" s="1"/>
      <c r="EMV230" s="1"/>
      <c r="EMW230" s="1"/>
      <c r="EMX230" s="1"/>
      <c r="EMY230" s="1"/>
      <c r="EMZ230" s="1"/>
      <c r="ENA230" s="1"/>
      <c r="ENB230" s="1"/>
      <c r="ENC230" s="1"/>
      <c r="END230" s="1"/>
      <c r="ENE230" s="1"/>
      <c r="ENF230" s="1"/>
      <c r="ENG230" s="1"/>
      <c r="ENH230" s="1"/>
      <c r="ENI230" s="1"/>
      <c r="ENJ230" s="1"/>
      <c r="ENK230" s="1"/>
      <c r="ENL230" s="1"/>
      <c r="ENM230" s="1"/>
      <c r="ENN230" s="1"/>
      <c r="ENO230" s="1"/>
      <c r="ENP230" s="1"/>
      <c r="ENQ230" s="1"/>
      <c r="ENR230" s="1"/>
      <c r="ENS230" s="1"/>
      <c r="ENT230" s="1"/>
      <c r="ENU230" s="1"/>
      <c r="ENV230" s="1"/>
      <c r="ENW230" s="1"/>
      <c r="ENX230" s="1"/>
      <c r="ENY230" s="1"/>
      <c r="ENZ230" s="1"/>
      <c r="EOA230" s="1"/>
      <c r="EOB230" s="1"/>
      <c r="EOC230" s="1"/>
      <c r="EOD230" s="1"/>
      <c r="EOE230" s="1"/>
      <c r="EOF230" s="1"/>
      <c r="EOG230" s="1"/>
      <c r="EOH230" s="1"/>
      <c r="EOI230" s="1"/>
      <c r="EOJ230" s="1"/>
      <c r="EOK230" s="1"/>
      <c r="EOL230" s="1"/>
      <c r="EOM230" s="1"/>
      <c r="EON230" s="1"/>
      <c r="EOO230" s="1"/>
      <c r="EOP230" s="1"/>
      <c r="EOQ230" s="1"/>
      <c r="EOR230" s="1"/>
      <c r="EOS230" s="1"/>
      <c r="EOT230" s="1"/>
      <c r="EOU230" s="1"/>
      <c r="EOV230" s="1"/>
      <c r="EOW230" s="1"/>
      <c r="EOX230" s="1"/>
      <c r="EOY230" s="1"/>
      <c r="EOZ230" s="1"/>
      <c r="EPA230" s="1"/>
      <c r="EPB230" s="1"/>
      <c r="EPC230" s="1"/>
      <c r="EPD230" s="1"/>
      <c r="EPE230" s="1"/>
      <c r="EPF230" s="1"/>
      <c r="EPG230" s="1"/>
      <c r="EPH230" s="1"/>
      <c r="EPI230" s="1"/>
      <c r="EPJ230" s="1"/>
      <c r="EPK230" s="1"/>
      <c r="EPL230" s="1"/>
      <c r="EPM230" s="1"/>
      <c r="EPN230" s="1"/>
      <c r="EPO230" s="1"/>
      <c r="EPP230" s="1"/>
      <c r="EPQ230" s="1"/>
      <c r="EPR230" s="1"/>
      <c r="EPS230" s="1"/>
      <c r="EPT230" s="1"/>
      <c r="EPU230" s="1"/>
      <c r="EPV230" s="1"/>
      <c r="EPW230" s="1"/>
      <c r="EPX230" s="1"/>
      <c r="EPY230" s="1"/>
      <c r="EPZ230" s="1"/>
      <c r="EQA230" s="1"/>
      <c r="EQB230" s="1"/>
      <c r="EQC230" s="1"/>
      <c r="EQD230" s="1"/>
      <c r="EQE230" s="1"/>
      <c r="EQF230" s="1"/>
      <c r="EQG230" s="1"/>
      <c r="EQH230" s="1"/>
      <c r="EQI230" s="1"/>
      <c r="EQJ230" s="1"/>
      <c r="EQK230" s="1"/>
      <c r="EQL230" s="1"/>
      <c r="EQM230" s="1"/>
      <c r="EQN230" s="1"/>
      <c r="EQO230" s="1"/>
      <c r="EQP230" s="1"/>
      <c r="EQQ230" s="1"/>
      <c r="EQR230" s="1"/>
      <c r="EQS230" s="1"/>
      <c r="EQT230" s="1"/>
      <c r="EQU230" s="1"/>
      <c r="EQV230" s="1"/>
      <c r="EQW230" s="1"/>
      <c r="EQX230" s="1"/>
      <c r="EQY230" s="1"/>
      <c r="EQZ230" s="1"/>
      <c r="ERA230" s="1"/>
      <c r="ERB230" s="1"/>
      <c r="ERC230" s="1"/>
      <c r="ERD230" s="1"/>
      <c r="ERE230" s="1"/>
      <c r="ERF230" s="1"/>
      <c r="ERG230" s="1"/>
      <c r="ERH230" s="1"/>
      <c r="ERI230" s="1"/>
      <c r="ERJ230" s="1"/>
      <c r="ERK230" s="1"/>
      <c r="ERL230" s="1"/>
      <c r="ERM230" s="1"/>
      <c r="ERN230" s="1"/>
      <c r="ERO230" s="1"/>
      <c r="ERP230" s="1"/>
      <c r="ERQ230" s="1"/>
      <c r="ERR230" s="1"/>
      <c r="ERS230" s="1"/>
      <c r="ERT230" s="1"/>
      <c r="ERU230" s="1"/>
      <c r="ERV230" s="1"/>
      <c r="ERW230" s="1"/>
      <c r="ERX230" s="1"/>
      <c r="ERY230" s="1"/>
      <c r="ERZ230" s="1"/>
      <c r="ESA230" s="1"/>
      <c r="ESB230" s="1"/>
      <c r="ESC230" s="1"/>
      <c r="ESD230" s="1"/>
      <c r="ESE230" s="1"/>
      <c r="ESF230" s="1"/>
      <c r="ESG230" s="1"/>
      <c r="ESH230" s="1"/>
      <c r="ESI230" s="1"/>
      <c r="ESJ230" s="1"/>
      <c r="ESK230" s="1"/>
      <c r="ESL230" s="1"/>
      <c r="ESM230" s="1"/>
      <c r="ESN230" s="1"/>
      <c r="ESO230" s="1"/>
      <c r="ESP230" s="1"/>
      <c r="ESQ230" s="1"/>
      <c r="ESR230" s="1"/>
      <c r="ESS230" s="1"/>
      <c r="EST230" s="1"/>
      <c r="ESU230" s="1"/>
      <c r="ESV230" s="1"/>
      <c r="ESW230" s="1"/>
      <c r="ESX230" s="1"/>
      <c r="ESY230" s="1"/>
      <c r="ESZ230" s="1"/>
      <c r="ETA230" s="1"/>
      <c r="ETB230" s="1"/>
      <c r="ETC230" s="1"/>
      <c r="ETD230" s="1"/>
      <c r="ETE230" s="1"/>
      <c r="ETF230" s="1"/>
      <c r="ETG230" s="1"/>
      <c r="ETH230" s="1"/>
      <c r="ETI230" s="1"/>
      <c r="ETJ230" s="1"/>
      <c r="ETK230" s="1"/>
      <c r="ETL230" s="1"/>
      <c r="ETM230" s="1"/>
      <c r="ETN230" s="1"/>
      <c r="ETO230" s="1"/>
      <c r="ETP230" s="1"/>
      <c r="ETQ230" s="1"/>
      <c r="ETR230" s="1"/>
      <c r="ETS230" s="1"/>
      <c r="ETT230" s="1"/>
      <c r="ETU230" s="1"/>
      <c r="ETV230" s="1"/>
      <c r="ETW230" s="1"/>
      <c r="ETX230" s="1"/>
      <c r="ETY230" s="1"/>
      <c r="ETZ230" s="1"/>
      <c r="EUA230" s="1"/>
      <c r="EUB230" s="1"/>
      <c r="EUC230" s="1"/>
      <c r="EUD230" s="1"/>
      <c r="EUE230" s="1"/>
      <c r="EUF230" s="1"/>
      <c r="EUG230" s="1"/>
      <c r="EUH230" s="1"/>
      <c r="EUI230" s="1"/>
      <c r="EUJ230" s="1"/>
      <c r="EUK230" s="1"/>
      <c r="EUL230" s="1"/>
      <c r="EUM230" s="1"/>
      <c r="EUN230" s="1"/>
      <c r="EUO230" s="1"/>
      <c r="EUP230" s="1"/>
      <c r="EUQ230" s="1"/>
      <c r="EUR230" s="1"/>
      <c r="EUS230" s="1"/>
      <c r="EUT230" s="1"/>
      <c r="EUU230" s="1"/>
      <c r="EUV230" s="1"/>
      <c r="EUW230" s="1"/>
      <c r="EUX230" s="1"/>
      <c r="EUY230" s="1"/>
      <c r="EUZ230" s="1"/>
      <c r="EVA230" s="1"/>
      <c r="EVB230" s="1"/>
      <c r="EVC230" s="1"/>
      <c r="EVD230" s="1"/>
      <c r="EVE230" s="1"/>
      <c r="EVF230" s="1"/>
      <c r="EVG230" s="1"/>
      <c r="EVH230" s="1"/>
      <c r="EVI230" s="1"/>
      <c r="EVJ230" s="1"/>
      <c r="EVK230" s="1"/>
      <c r="EVL230" s="1"/>
      <c r="EVM230" s="1"/>
      <c r="EVN230" s="1"/>
      <c r="EVO230" s="1"/>
      <c r="EVP230" s="1"/>
      <c r="EVQ230" s="1"/>
      <c r="EVR230" s="1"/>
      <c r="EVS230" s="1"/>
      <c r="EVT230" s="1"/>
      <c r="EVU230" s="1"/>
      <c r="EVV230" s="1"/>
      <c r="EVW230" s="1"/>
      <c r="EVX230" s="1"/>
      <c r="EVY230" s="1"/>
      <c r="EVZ230" s="1"/>
      <c r="EWA230" s="1"/>
      <c r="EWB230" s="1"/>
      <c r="EWC230" s="1"/>
      <c r="EWD230" s="1"/>
      <c r="EWE230" s="1"/>
      <c r="EWF230" s="1"/>
      <c r="EWG230" s="1"/>
      <c r="EWH230" s="1"/>
      <c r="EWI230" s="1"/>
      <c r="EWJ230" s="1"/>
      <c r="EWK230" s="1"/>
      <c r="EWL230" s="1"/>
      <c r="EWM230" s="1"/>
      <c r="EWN230" s="1"/>
      <c r="EWO230" s="1"/>
      <c r="EWP230" s="1"/>
      <c r="EWQ230" s="1"/>
      <c r="EWR230" s="1"/>
      <c r="EWS230" s="1"/>
      <c r="EWT230" s="1"/>
      <c r="EWU230" s="1"/>
      <c r="EWV230" s="1"/>
      <c r="EWW230" s="1"/>
      <c r="EWX230" s="1"/>
      <c r="EWY230" s="1"/>
      <c r="EWZ230" s="1"/>
      <c r="EXA230" s="1"/>
      <c r="EXB230" s="1"/>
      <c r="EXC230" s="1"/>
      <c r="EXD230" s="1"/>
      <c r="EXE230" s="1"/>
      <c r="EXF230" s="1"/>
      <c r="EXG230" s="1"/>
      <c r="EXH230" s="1"/>
      <c r="EXI230" s="1"/>
      <c r="EXJ230" s="1"/>
      <c r="EXK230" s="1"/>
      <c r="EXL230" s="1"/>
      <c r="EXM230" s="1"/>
      <c r="EXN230" s="1"/>
      <c r="EXO230" s="1"/>
      <c r="EXP230" s="1"/>
      <c r="EXQ230" s="1"/>
      <c r="EXR230" s="1"/>
      <c r="EXS230" s="1"/>
      <c r="EXT230" s="1"/>
      <c r="EXU230" s="1"/>
      <c r="EXV230" s="1"/>
      <c r="EXW230" s="1"/>
      <c r="EXX230" s="1"/>
      <c r="EXY230" s="1"/>
      <c r="EXZ230" s="1"/>
      <c r="EYA230" s="1"/>
      <c r="EYB230" s="1"/>
      <c r="EYC230" s="1"/>
      <c r="EYD230" s="1"/>
      <c r="EYE230" s="1"/>
      <c r="EYF230" s="1"/>
      <c r="EYG230" s="1"/>
      <c r="EYH230" s="1"/>
      <c r="EYI230" s="1"/>
      <c r="EYJ230" s="1"/>
      <c r="EYK230" s="1"/>
      <c r="EYL230" s="1"/>
      <c r="EYM230" s="1"/>
      <c r="EYN230" s="1"/>
      <c r="EYO230" s="1"/>
      <c r="EYP230" s="1"/>
      <c r="EYQ230" s="1"/>
      <c r="EYR230" s="1"/>
      <c r="EYS230" s="1"/>
      <c r="EYT230" s="1"/>
      <c r="EYU230" s="1"/>
      <c r="EYV230" s="1"/>
      <c r="EYW230" s="1"/>
      <c r="EYX230" s="1"/>
      <c r="EYY230" s="1"/>
      <c r="EYZ230" s="1"/>
      <c r="EZA230" s="1"/>
      <c r="EZB230" s="1"/>
      <c r="EZC230" s="1"/>
      <c r="EZD230" s="1"/>
      <c r="EZE230" s="1"/>
      <c r="EZF230" s="1"/>
      <c r="EZG230" s="1"/>
      <c r="EZH230" s="1"/>
      <c r="EZI230" s="1"/>
      <c r="EZJ230" s="1"/>
      <c r="EZK230" s="1"/>
      <c r="EZL230" s="1"/>
      <c r="EZM230" s="1"/>
      <c r="EZN230" s="1"/>
      <c r="EZO230" s="1"/>
      <c r="EZP230" s="1"/>
      <c r="EZQ230" s="1"/>
      <c r="EZR230" s="1"/>
      <c r="EZS230" s="1"/>
      <c r="EZT230" s="1"/>
      <c r="EZU230" s="1"/>
      <c r="EZV230" s="1"/>
      <c r="EZW230" s="1"/>
      <c r="EZX230" s="1"/>
      <c r="EZY230" s="1"/>
      <c r="EZZ230" s="1"/>
      <c r="FAA230" s="1"/>
      <c r="FAB230" s="1"/>
      <c r="FAC230" s="1"/>
      <c r="FAD230" s="1"/>
      <c r="FAE230" s="1"/>
      <c r="FAF230" s="1"/>
      <c r="FAG230" s="1"/>
      <c r="FAH230" s="1"/>
      <c r="FAI230" s="1"/>
      <c r="FAJ230" s="1"/>
      <c r="FAK230" s="1"/>
      <c r="FAL230" s="1"/>
      <c r="FAM230" s="1"/>
      <c r="FAN230" s="1"/>
      <c r="FAO230" s="1"/>
      <c r="FAP230" s="1"/>
      <c r="FAQ230" s="1"/>
      <c r="FAR230" s="1"/>
      <c r="FAS230" s="1"/>
      <c r="FAT230" s="1"/>
      <c r="FAU230" s="1"/>
      <c r="FAV230" s="1"/>
      <c r="FAW230" s="1"/>
      <c r="FAX230" s="1"/>
      <c r="FAY230" s="1"/>
      <c r="FAZ230" s="1"/>
      <c r="FBA230" s="1"/>
      <c r="FBB230" s="1"/>
      <c r="FBC230" s="1"/>
      <c r="FBD230" s="1"/>
      <c r="FBE230" s="1"/>
      <c r="FBF230" s="1"/>
      <c r="FBG230" s="1"/>
      <c r="FBH230" s="1"/>
      <c r="FBI230" s="1"/>
      <c r="FBJ230" s="1"/>
      <c r="FBK230" s="1"/>
      <c r="FBL230" s="1"/>
      <c r="FBM230" s="1"/>
      <c r="FBN230" s="1"/>
      <c r="FBO230" s="1"/>
      <c r="FBP230" s="1"/>
      <c r="FBQ230" s="1"/>
      <c r="FBR230" s="1"/>
      <c r="FBS230" s="1"/>
      <c r="FBT230" s="1"/>
      <c r="FBU230" s="1"/>
      <c r="FBV230" s="1"/>
      <c r="FBW230" s="1"/>
      <c r="FBX230" s="1"/>
      <c r="FBY230" s="1"/>
      <c r="FBZ230" s="1"/>
      <c r="FCA230" s="1"/>
      <c r="FCB230" s="1"/>
      <c r="FCC230" s="1"/>
      <c r="FCD230" s="1"/>
      <c r="FCE230" s="1"/>
      <c r="FCF230" s="1"/>
      <c r="FCG230" s="1"/>
      <c r="FCH230" s="1"/>
      <c r="FCI230" s="1"/>
      <c r="FCJ230" s="1"/>
      <c r="FCK230" s="1"/>
      <c r="FCL230" s="1"/>
      <c r="FCM230" s="1"/>
      <c r="FCN230" s="1"/>
      <c r="FCO230" s="1"/>
      <c r="FCP230" s="1"/>
      <c r="FCQ230" s="1"/>
      <c r="FCR230" s="1"/>
      <c r="FCS230" s="1"/>
      <c r="FCT230" s="1"/>
      <c r="FCU230" s="1"/>
      <c r="FCV230" s="1"/>
      <c r="FCW230" s="1"/>
      <c r="FCX230" s="1"/>
      <c r="FCY230" s="1"/>
      <c r="FCZ230" s="1"/>
      <c r="FDA230" s="1"/>
      <c r="FDB230" s="1"/>
      <c r="FDC230" s="1"/>
      <c r="FDD230" s="1"/>
      <c r="FDE230" s="1"/>
      <c r="FDF230" s="1"/>
      <c r="FDG230" s="1"/>
      <c r="FDH230" s="1"/>
      <c r="FDI230" s="1"/>
      <c r="FDJ230" s="1"/>
      <c r="FDK230" s="1"/>
      <c r="FDL230" s="1"/>
      <c r="FDM230" s="1"/>
      <c r="FDN230" s="1"/>
      <c r="FDO230" s="1"/>
      <c r="FDP230" s="1"/>
      <c r="FDQ230" s="1"/>
      <c r="FDR230" s="1"/>
      <c r="FDS230" s="1"/>
      <c r="FDT230" s="1"/>
      <c r="FDU230" s="1"/>
      <c r="FDV230" s="1"/>
      <c r="FDW230" s="1"/>
      <c r="FDX230" s="1"/>
      <c r="FDY230" s="1"/>
      <c r="FDZ230" s="1"/>
      <c r="FEA230" s="1"/>
      <c r="FEB230" s="1"/>
      <c r="FEC230" s="1"/>
      <c r="FED230" s="1"/>
      <c r="FEE230" s="1"/>
      <c r="FEF230" s="1"/>
      <c r="FEG230" s="1"/>
      <c r="FEH230" s="1"/>
      <c r="FEI230" s="1"/>
      <c r="FEJ230" s="1"/>
      <c r="FEK230" s="1"/>
      <c r="FEL230" s="1"/>
      <c r="FEM230" s="1"/>
      <c r="FEN230" s="1"/>
      <c r="FEO230" s="1"/>
      <c r="FEP230" s="1"/>
      <c r="FEQ230" s="1"/>
      <c r="FER230" s="1"/>
      <c r="FES230" s="1"/>
      <c r="FET230" s="1"/>
      <c r="FEU230" s="1"/>
      <c r="FEV230" s="1"/>
      <c r="FEW230" s="1"/>
      <c r="FEX230" s="1"/>
      <c r="FEY230" s="1"/>
      <c r="FEZ230" s="1"/>
      <c r="FFA230" s="1"/>
      <c r="FFB230" s="1"/>
      <c r="FFC230" s="1"/>
      <c r="FFD230" s="1"/>
      <c r="FFE230" s="1"/>
      <c r="FFF230" s="1"/>
      <c r="FFG230" s="1"/>
      <c r="FFH230" s="1"/>
      <c r="FFI230" s="1"/>
      <c r="FFJ230" s="1"/>
      <c r="FFK230" s="1"/>
      <c r="FFL230" s="1"/>
      <c r="FFM230" s="1"/>
      <c r="FFN230" s="1"/>
      <c r="FFO230" s="1"/>
      <c r="FFP230" s="1"/>
      <c r="FFQ230" s="1"/>
      <c r="FFR230" s="1"/>
      <c r="FFS230" s="1"/>
      <c r="FFT230" s="1"/>
      <c r="FFU230" s="1"/>
      <c r="FFV230" s="1"/>
      <c r="FFW230" s="1"/>
      <c r="FFX230" s="1"/>
      <c r="FFY230" s="1"/>
      <c r="FFZ230" s="1"/>
      <c r="FGA230" s="1"/>
      <c r="FGB230" s="1"/>
      <c r="FGC230" s="1"/>
      <c r="FGD230" s="1"/>
      <c r="FGE230" s="1"/>
      <c r="FGF230" s="1"/>
      <c r="FGG230" s="1"/>
      <c r="FGH230" s="1"/>
      <c r="FGI230" s="1"/>
      <c r="FGJ230" s="1"/>
      <c r="FGK230" s="1"/>
      <c r="FGL230" s="1"/>
      <c r="FGM230" s="1"/>
      <c r="FGN230" s="1"/>
      <c r="FGO230" s="1"/>
      <c r="FGP230" s="1"/>
      <c r="FGQ230" s="1"/>
      <c r="FGR230" s="1"/>
      <c r="FGS230" s="1"/>
      <c r="FGT230" s="1"/>
      <c r="FGU230" s="1"/>
      <c r="FGV230" s="1"/>
      <c r="FGW230" s="1"/>
      <c r="FGX230" s="1"/>
      <c r="FGY230" s="1"/>
      <c r="FGZ230" s="1"/>
      <c r="FHA230" s="1"/>
      <c r="FHB230" s="1"/>
      <c r="FHC230" s="1"/>
      <c r="FHD230" s="1"/>
      <c r="FHE230" s="1"/>
      <c r="FHF230" s="1"/>
      <c r="FHG230" s="1"/>
      <c r="FHH230" s="1"/>
      <c r="FHI230" s="1"/>
      <c r="FHJ230" s="1"/>
      <c r="FHK230" s="1"/>
      <c r="FHL230" s="1"/>
      <c r="FHM230" s="1"/>
      <c r="FHN230" s="1"/>
      <c r="FHO230" s="1"/>
      <c r="FHP230" s="1"/>
      <c r="FHQ230" s="1"/>
      <c r="FHR230" s="1"/>
      <c r="FHS230" s="1"/>
      <c r="FHT230" s="1"/>
      <c r="FHU230" s="1"/>
      <c r="FHV230" s="1"/>
      <c r="FHW230" s="1"/>
      <c r="FHX230" s="1"/>
      <c r="FHY230" s="1"/>
      <c r="FHZ230" s="1"/>
      <c r="FIA230" s="1"/>
      <c r="FIB230" s="1"/>
      <c r="FIC230" s="1"/>
      <c r="FID230" s="1"/>
      <c r="FIE230" s="1"/>
      <c r="FIF230" s="1"/>
      <c r="FIG230" s="1"/>
      <c r="FIH230" s="1"/>
      <c r="FII230" s="1"/>
      <c r="FIJ230" s="1"/>
      <c r="FIK230" s="1"/>
      <c r="FIL230" s="1"/>
      <c r="FIM230" s="1"/>
      <c r="FIN230" s="1"/>
      <c r="FIO230" s="1"/>
      <c r="FIP230" s="1"/>
      <c r="FIQ230" s="1"/>
      <c r="FIR230" s="1"/>
      <c r="FIS230" s="1"/>
      <c r="FIT230" s="1"/>
      <c r="FIU230" s="1"/>
      <c r="FIV230" s="1"/>
      <c r="FIW230" s="1"/>
      <c r="FIX230" s="1"/>
      <c r="FIY230" s="1"/>
      <c r="FIZ230" s="1"/>
      <c r="FJA230" s="1"/>
      <c r="FJB230" s="1"/>
      <c r="FJC230" s="1"/>
      <c r="FJD230" s="1"/>
      <c r="FJE230" s="1"/>
      <c r="FJF230" s="1"/>
      <c r="FJG230" s="1"/>
      <c r="FJH230" s="1"/>
      <c r="FJI230" s="1"/>
      <c r="FJJ230" s="1"/>
      <c r="FJK230" s="1"/>
      <c r="FJL230" s="1"/>
      <c r="FJM230" s="1"/>
      <c r="FJN230" s="1"/>
      <c r="FJO230" s="1"/>
      <c r="FJP230" s="1"/>
      <c r="FJQ230" s="1"/>
      <c r="FJR230" s="1"/>
      <c r="FJS230" s="1"/>
      <c r="FJT230" s="1"/>
      <c r="FJU230" s="1"/>
      <c r="FJV230" s="1"/>
      <c r="FJW230" s="1"/>
      <c r="FJX230" s="1"/>
      <c r="FJY230" s="1"/>
      <c r="FJZ230" s="1"/>
      <c r="FKA230" s="1"/>
      <c r="FKB230" s="1"/>
      <c r="FKC230" s="1"/>
      <c r="FKD230" s="1"/>
      <c r="FKE230" s="1"/>
      <c r="FKF230" s="1"/>
      <c r="FKG230" s="1"/>
      <c r="FKH230" s="1"/>
      <c r="FKI230" s="1"/>
      <c r="FKJ230" s="1"/>
      <c r="FKK230" s="1"/>
      <c r="FKL230" s="1"/>
      <c r="FKM230" s="1"/>
      <c r="FKN230" s="1"/>
      <c r="FKO230" s="1"/>
      <c r="FKP230" s="1"/>
      <c r="FKQ230" s="1"/>
      <c r="FKR230" s="1"/>
      <c r="FKS230" s="1"/>
      <c r="FKT230" s="1"/>
      <c r="FKU230" s="1"/>
      <c r="FKV230" s="1"/>
      <c r="FKW230" s="1"/>
      <c r="FKX230" s="1"/>
      <c r="FKY230" s="1"/>
      <c r="FKZ230" s="1"/>
      <c r="FLA230" s="1"/>
      <c r="FLB230" s="1"/>
      <c r="FLC230" s="1"/>
      <c r="FLD230" s="1"/>
      <c r="FLE230" s="1"/>
      <c r="FLF230" s="1"/>
      <c r="FLG230" s="1"/>
      <c r="FLH230" s="1"/>
      <c r="FLI230" s="1"/>
      <c r="FLJ230" s="1"/>
      <c r="FLK230" s="1"/>
      <c r="FLL230" s="1"/>
      <c r="FLM230" s="1"/>
      <c r="FLN230" s="1"/>
      <c r="FLO230" s="1"/>
      <c r="FLP230" s="1"/>
      <c r="FLQ230" s="1"/>
      <c r="FLR230" s="1"/>
      <c r="FLS230" s="1"/>
      <c r="FLT230" s="1"/>
      <c r="FLU230" s="1"/>
      <c r="FLV230" s="1"/>
      <c r="FLW230" s="1"/>
      <c r="FLX230" s="1"/>
      <c r="FLY230" s="1"/>
      <c r="FLZ230" s="1"/>
      <c r="FMA230" s="1"/>
      <c r="FMB230" s="1"/>
      <c r="FMC230" s="1"/>
      <c r="FMD230" s="1"/>
      <c r="FME230" s="1"/>
      <c r="FMF230" s="1"/>
      <c r="FMG230" s="1"/>
      <c r="FMH230" s="1"/>
      <c r="FMI230" s="1"/>
      <c r="FMJ230" s="1"/>
      <c r="FMK230" s="1"/>
      <c r="FML230" s="1"/>
      <c r="FMM230" s="1"/>
      <c r="FMN230" s="1"/>
      <c r="FMO230" s="1"/>
      <c r="FMP230" s="1"/>
      <c r="FMQ230" s="1"/>
      <c r="FMR230" s="1"/>
      <c r="FMS230" s="1"/>
      <c r="FMT230" s="1"/>
      <c r="FMU230" s="1"/>
      <c r="FMV230" s="1"/>
      <c r="FMW230" s="1"/>
      <c r="FMX230" s="1"/>
      <c r="FMY230" s="1"/>
      <c r="FMZ230" s="1"/>
      <c r="FNA230" s="1"/>
      <c r="FNB230" s="1"/>
      <c r="FNC230" s="1"/>
      <c r="FND230" s="1"/>
      <c r="FNE230" s="1"/>
      <c r="FNF230" s="1"/>
      <c r="FNG230" s="1"/>
      <c r="FNH230" s="1"/>
      <c r="FNI230" s="1"/>
      <c r="FNJ230" s="1"/>
      <c r="FNK230" s="1"/>
      <c r="FNL230" s="1"/>
      <c r="FNM230" s="1"/>
      <c r="FNN230" s="1"/>
      <c r="FNO230" s="1"/>
      <c r="FNP230" s="1"/>
      <c r="FNQ230" s="1"/>
      <c r="FNR230" s="1"/>
      <c r="FNS230" s="1"/>
      <c r="FNT230" s="1"/>
      <c r="FNU230" s="1"/>
      <c r="FNV230" s="1"/>
      <c r="FNW230" s="1"/>
      <c r="FNX230" s="1"/>
      <c r="FNY230" s="1"/>
      <c r="FNZ230" s="1"/>
      <c r="FOA230" s="1"/>
      <c r="FOB230" s="1"/>
      <c r="FOC230" s="1"/>
      <c r="FOD230" s="1"/>
      <c r="FOE230" s="1"/>
      <c r="FOF230" s="1"/>
      <c r="FOG230" s="1"/>
      <c r="FOH230" s="1"/>
      <c r="FOI230" s="1"/>
      <c r="FOJ230" s="1"/>
      <c r="FOK230" s="1"/>
      <c r="FOL230" s="1"/>
      <c r="FOM230" s="1"/>
      <c r="FON230" s="1"/>
      <c r="FOO230" s="1"/>
      <c r="FOP230" s="1"/>
      <c r="FOQ230" s="1"/>
      <c r="FOR230" s="1"/>
      <c r="FOS230" s="1"/>
      <c r="FOT230" s="1"/>
      <c r="FOU230" s="1"/>
      <c r="FOV230" s="1"/>
      <c r="FOW230" s="1"/>
      <c r="FOX230" s="1"/>
      <c r="FOY230" s="1"/>
      <c r="FOZ230" s="1"/>
      <c r="FPA230" s="1"/>
      <c r="FPB230" s="1"/>
      <c r="FPC230" s="1"/>
      <c r="FPD230" s="1"/>
      <c r="FPE230" s="1"/>
      <c r="FPF230" s="1"/>
      <c r="FPG230" s="1"/>
      <c r="FPH230" s="1"/>
      <c r="FPI230" s="1"/>
      <c r="FPJ230" s="1"/>
      <c r="FPK230" s="1"/>
      <c r="FPL230" s="1"/>
      <c r="FPM230" s="1"/>
      <c r="FPN230" s="1"/>
      <c r="FPO230" s="1"/>
      <c r="FPP230" s="1"/>
      <c r="FPQ230" s="1"/>
      <c r="FPR230" s="1"/>
      <c r="FPS230" s="1"/>
      <c r="FPT230" s="1"/>
      <c r="FPU230" s="1"/>
      <c r="FPV230" s="1"/>
      <c r="FPW230" s="1"/>
      <c r="FPX230" s="1"/>
      <c r="FPY230" s="1"/>
      <c r="FPZ230" s="1"/>
      <c r="FQA230" s="1"/>
      <c r="FQB230" s="1"/>
      <c r="FQC230" s="1"/>
      <c r="FQD230" s="1"/>
      <c r="FQE230" s="1"/>
      <c r="FQF230" s="1"/>
      <c r="FQG230" s="1"/>
      <c r="FQH230" s="1"/>
      <c r="FQI230" s="1"/>
      <c r="FQJ230" s="1"/>
      <c r="FQK230" s="1"/>
      <c r="FQL230" s="1"/>
      <c r="FQM230" s="1"/>
      <c r="FQN230" s="1"/>
      <c r="FQO230" s="1"/>
      <c r="FQP230" s="1"/>
      <c r="FQQ230" s="1"/>
      <c r="FQR230" s="1"/>
      <c r="FQS230" s="1"/>
      <c r="FQT230" s="1"/>
      <c r="FQU230" s="1"/>
      <c r="FQV230" s="1"/>
      <c r="FQW230" s="1"/>
      <c r="FQX230" s="1"/>
      <c r="FQY230" s="1"/>
      <c r="FQZ230" s="1"/>
      <c r="FRA230" s="1"/>
      <c r="FRB230" s="1"/>
      <c r="FRC230" s="1"/>
      <c r="FRD230" s="1"/>
      <c r="FRE230" s="1"/>
      <c r="FRF230" s="1"/>
      <c r="FRG230" s="1"/>
      <c r="FRH230" s="1"/>
      <c r="FRI230" s="1"/>
      <c r="FRJ230" s="1"/>
      <c r="FRK230" s="1"/>
      <c r="FRL230" s="1"/>
      <c r="FRM230" s="1"/>
      <c r="FRN230" s="1"/>
      <c r="FRO230" s="1"/>
      <c r="FRP230" s="1"/>
      <c r="FRQ230" s="1"/>
      <c r="FRR230" s="1"/>
      <c r="FRS230" s="1"/>
      <c r="FRT230" s="1"/>
      <c r="FRU230" s="1"/>
      <c r="FRV230" s="1"/>
      <c r="FRW230" s="1"/>
      <c r="FRX230" s="1"/>
      <c r="FRY230" s="1"/>
      <c r="FRZ230" s="1"/>
      <c r="FSA230" s="1"/>
      <c r="FSB230" s="1"/>
      <c r="FSC230" s="1"/>
      <c r="FSD230" s="1"/>
      <c r="FSE230" s="1"/>
      <c r="FSF230" s="1"/>
      <c r="FSG230" s="1"/>
      <c r="FSH230" s="1"/>
      <c r="FSI230" s="1"/>
      <c r="FSJ230" s="1"/>
      <c r="FSK230" s="1"/>
      <c r="FSL230" s="1"/>
      <c r="FSM230" s="1"/>
      <c r="FSN230" s="1"/>
      <c r="FSO230" s="1"/>
      <c r="FSP230" s="1"/>
      <c r="FSQ230" s="1"/>
      <c r="FSR230" s="1"/>
      <c r="FSS230" s="1"/>
      <c r="FST230" s="1"/>
      <c r="FSU230" s="1"/>
      <c r="FSV230" s="1"/>
      <c r="FSW230" s="1"/>
      <c r="FSX230" s="1"/>
      <c r="FSY230" s="1"/>
      <c r="FSZ230" s="1"/>
      <c r="FTA230" s="1"/>
      <c r="FTB230" s="1"/>
      <c r="FTC230" s="1"/>
      <c r="FTD230" s="1"/>
      <c r="FTE230" s="1"/>
      <c r="FTF230" s="1"/>
      <c r="FTG230" s="1"/>
      <c r="FTH230" s="1"/>
      <c r="FTI230" s="1"/>
      <c r="FTJ230" s="1"/>
      <c r="FTK230" s="1"/>
      <c r="FTL230" s="1"/>
      <c r="FTM230" s="1"/>
      <c r="FTN230" s="1"/>
      <c r="FTO230" s="1"/>
      <c r="FTP230" s="1"/>
      <c r="FTQ230" s="1"/>
      <c r="FTR230" s="1"/>
      <c r="FTS230" s="1"/>
      <c r="FTT230" s="1"/>
      <c r="FTU230" s="1"/>
      <c r="FTV230" s="1"/>
      <c r="FTW230" s="1"/>
      <c r="FTX230" s="1"/>
      <c r="FTY230" s="1"/>
      <c r="FTZ230" s="1"/>
      <c r="FUA230" s="1"/>
      <c r="FUB230" s="1"/>
      <c r="FUC230" s="1"/>
      <c r="FUD230" s="1"/>
      <c r="FUE230" s="1"/>
      <c r="FUF230" s="1"/>
      <c r="FUG230" s="1"/>
      <c r="FUH230" s="1"/>
      <c r="FUI230" s="1"/>
      <c r="FUJ230" s="1"/>
      <c r="FUK230" s="1"/>
      <c r="FUL230" s="1"/>
      <c r="FUM230" s="1"/>
      <c r="FUN230" s="1"/>
      <c r="FUO230" s="1"/>
      <c r="FUP230" s="1"/>
      <c r="FUQ230" s="1"/>
      <c r="FUR230" s="1"/>
      <c r="FUS230" s="1"/>
      <c r="FUT230" s="1"/>
      <c r="FUU230" s="1"/>
      <c r="FUV230" s="1"/>
      <c r="FUW230" s="1"/>
      <c r="FUX230" s="1"/>
      <c r="FUY230" s="1"/>
      <c r="FUZ230" s="1"/>
      <c r="FVA230" s="1"/>
      <c r="FVB230" s="1"/>
      <c r="FVC230" s="1"/>
      <c r="FVD230" s="1"/>
      <c r="FVE230" s="1"/>
      <c r="FVF230" s="1"/>
      <c r="FVG230" s="1"/>
      <c r="FVH230" s="1"/>
      <c r="FVI230" s="1"/>
      <c r="FVJ230" s="1"/>
      <c r="FVK230" s="1"/>
      <c r="FVL230" s="1"/>
      <c r="FVM230" s="1"/>
      <c r="FVN230" s="1"/>
      <c r="FVO230" s="1"/>
      <c r="FVP230" s="1"/>
      <c r="FVQ230" s="1"/>
      <c r="FVR230" s="1"/>
      <c r="FVS230" s="1"/>
      <c r="FVT230" s="1"/>
      <c r="FVU230" s="1"/>
      <c r="FVV230" s="1"/>
      <c r="FVW230" s="1"/>
      <c r="FVX230" s="1"/>
      <c r="FVY230" s="1"/>
      <c r="FVZ230" s="1"/>
      <c r="FWA230" s="1"/>
      <c r="FWB230" s="1"/>
      <c r="FWC230" s="1"/>
      <c r="FWD230" s="1"/>
      <c r="FWE230" s="1"/>
      <c r="FWF230" s="1"/>
      <c r="FWG230" s="1"/>
      <c r="FWH230" s="1"/>
      <c r="FWI230" s="1"/>
      <c r="FWJ230" s="1"/>
      <c r="FWK230" s="1"/>
      <c r="FWL230" s="1"/>
      <c r="FWM230" s="1"/>
      <c r="FWN230" s="1"/>
      <c r="FWO230" s="1"/>
      <c r="FWP230" s="1"/>
      <c r="FWQ230" s="1"/>
      <c r="FWR230" s="1"/>
      <c r="FWS230" s="1"/>
      <c r="FWT230" s="1"/>
      <c r="FWU230" s="1"/>
      <c r="FWV230" s="1"/>
      <c r="FWW230" s="1"/>
      <c r="FWX230" s="1"/>
      <c r="FWY230" s="1"/>
      <c r="FWZ230" s="1"/>
      <c r="FXA230" s="1"/>
      <c r="FXB230" s="1"/>
      <c r="FXC230" s="1"/>
      <c r="FXD230" s="1"/>
      <c r="FXE230" s="1"/>
      <c r="FXF230" s="1"/>
      <c r="FXG230" s="1"/>
      <c r="FXH230" s="1"/>
      <c r="FXI230" s="1"/>
      <c r="FXJ230" s="1"/>
      <c r="FXK230" s="1"/>
      <c r="FXL230" s="1"/>
      <c r="FXM230" s="1"/>
      <c r="FXN230" s="1"/>
      <c r="FXO230" s="1"/>
      <c r="FXP230" s="1"/>
      <c r="FXQ230" s="1"/>
      <c r="FXR230" s="1"/>
      <c r="FXS230" s="1"/>
      <c r="FXT230" s="1"/>
      <c r="FXU230" s="1"/>
      <c r="FXV230" s="1"/>
      <c r="FXW230" s="1"/>
      <c r="FXX230" s="1"/>
      <c r="FXY230" s="1"/>
      <c r="FXZ230" s="1"/>
      <c r="FYA230" s="1"/>
      <c r="FYB230" s="1"/>
      <c r="FYC230" s="1"/>
      <c r="FYD230" s="1"/>
      <c r="FYE230" s="1"/>
      <c r="FYF230" s="1"/>
      <c r="FYG230" s="1"/>
      <c r="FYH230" s="1"/>
      <c r="FYI230" s="1"/>
      <c r="FYJ230" s="1"/>
      <c r="FYK230" s="1"/>
      <c r="FYL230" s="1"/>
      <c r="FYM230" s="1"/>
      <c r="FYN230" s="1"/>
      <c r="FYO230" s="1"/>
      <c r="FYP230" s="1"/>
      <c r="FYQ230" s="1"/>
      <c r="FYR230" s="1"/>
      <c r="FYS230" s="1"/>
      <c r="FYT230" s="1"/>
      <c r="FYU230" s="1"/>
      <c r="FYV230" s="1"/>
      <c r="FYW230" s="1"/>
      <c r="FYX230" s="1"/>
      <c r="FYY230" s="1"/>
      <c r="FYZ230" s="1"/>
      <c r="FZA230" s="1"/>
      <c r="FZB230" s="1"/>
      <c r="FZC230" s="1"/>
      <c r="FZD230" s="1"/>
      <c r="FZE230" s="1"/>
      <c r="FZF230" s="1"/>
      <c r="FZG230" s="1"/>
      <c r="FZH230" s="1"/>
      <c r="FZI230" s="1"/>
      <c r="FZJ230" s="1"/>
      <c r="FZK230" s="1"/>
      <c r="FZL230" s="1"/>
      <c r="FZM230" s="1"/>
      <c r="FZN230" s="1"/>
      <c r="FZO230" s="1"/>
      <c r="FZP230" s="1"/>
      <c r="FZQ230" s="1"/>
      <c r="FZR230" s="1"/>
      <c r="FZS230" s="1"/>
      <c r="FZT230" s="1"/>
      <c r="FZU230" s="1"/>
      <c r="FZV230" s="1"/>
      <c r="FZW230" s="1"/>
      <c r="FZX230" s="1"/>
      <c r="FZY230" s="1"/>
      <c r="FZZ230" s="1"/>
      <c r="GAA230" s="1"/>
      <c r="GAB230" s="1"/>
      <c r="GAC230" s="1"/>
      <c r="GAD230" s="1"/>
      <c r="GAE230" s="1"/>
      <c r="GAF230" s="1"/>
      <c r="GAG230" s="1"/>
      <c r="GAH230" s="1"/>
      <c r="GAI230" s="1"/>
      <c r="GAJ230" s="1"/>
      <c r="GAK230" s="1"/>
      <c r="GAL230" s="1"/>
      <c r="GAM230" s="1"/>
      <c r="GAN230" s="1"/>
      <c r="GAO230" s="1"/>
      <c r="GAP230" s="1"/>
      <c r="GAQ230" s="1"/>
      <c r="GAR230" s="1"/>
      <c r="GAS230" s="1"/>
      <c r="GAT230" s="1"/>
      <c r="GAU230" s="1"/>
      <c r="GAV230" s="1"/>
      <c r="GAW230" s="1"/>
      <c r="GAX230" s="1"/>
      <c r="GAY230" s="1"/>
      <c r="GAZ230" s="1"/>
      <c r="GBA230" s="1"/>
      <c r="GBB230" s="1"/>
      <c r="GBC230" s="1"/>
      <c r="GBD230" s="1"/>
      <c r="GBE230" s="1"/>
      <c r="GBF230" s="1"/>
      <c r="GBG230" s="1"/>
      <c r="GBH230" s="1"/>
      <c r="GBI230" s="1"/>
      <c r="GBJ230" s="1"/>
      <c r="GBK230" s="1"/>
      <c r="GBL230" s="1"/>
      <c r="GBM230" s="1"/>
      <c r="GBN230" s="1"/>
      <c r="GBO230" s="1"/>
      <c r="GBP230" s="1"/>
      <c r="GBQ230" s="1"/>
      <c r="GBR230" s="1"/>
      <c r="GBS230" s="1"/>
      <c r="GBT230" s="1"/>
      <c r="GBU230" s="1"/>
      <c r="GBV230" s="1"/>
      <c r="GBW230" s="1"/>
      <c r="GBX230" s="1"/>
      <c r="GBY230" s="1"/>
      <c r="GBZ230" s="1"/>
      <c r="GCA230" s="1"/>
      <c r="GCB230" s="1"/>
      <c r="GCC230" s="1"/>
      <c r="GCD230" s="1"/>
      <c r="GCE230" s="1"/>
      <c r="GCF230" s="1"/>
      <c r="GCG230" s="1"/>
      <c r="GCH230" s="1"/>
      <c r="GCI230" s="1"/>
      <c r="GCJ230" s="1"/>
      <c r="GCK230" s="1"/>
      <c r="GCL230" s="1"/>
      <c r="GCM230" s="1"/>
      <c r="GCN230" s="1"/>
      <c r="GCO230" s="1"/>
      <c r="GCP230" s="1"/>
      <c r="GCQ230" s="1"/>
      <c r="GCR230" s="1"/>
      <c r="GCS230" s="1"/>
      <c r="GCT230" s="1"/>
      <c r="GCU230" s="1"/>
      <c r="GCV230" s="1"/>
      <c r="GCW230" s="1"/>
      <c r="GCX230" s="1"/>
      <c r="GCY230" s="1"/>
      <c r="GCZ230" s="1"/>
      <c r="GDA230" s="1"/>
      <c r="GDB230" s="1"/>
      <c r="GDC230" s="1"/>
      <c r="GDD230" s="1"/>
      <c r="GDE230" s="1"/>
      <c r="GDF230" s="1"/>
      <c r="GDG230" s="1"/>
      <c r="GDH230" s="1"/>
      <c r="GDI230" s="1"/>
      <c r="GDJ230" s="1"/>
      <c r="GDK230" s="1"/>
      <c r="GDL230" s="1"/>
      <c r="GDM230" s="1"/>
      <c r="GDN230" s="1"/>
      <c r="GDO230" s="1"/>
      <c r="GDP230" s="1"/>
      <c r="GDQ230" s="1"/>
      <c r="GDR230" s="1"/>
      <c r="GDS230" s="1"/>
      <c r="GDT230" s="1"/>
      <c r="GDU230" s="1"/>
      <c r="GDV230" s="1"/>
      <c r="GDW230" s="1"/>
      <c r="GDX230" s="1"/>
      <c r="GDY230" s="1"/>
      <c r="GDZ230" s="1"/>
      <c r="GEA230" s="1"/>
      <c r="GEB230" s="1"/>
      <c r="GEC230" s="1"/>
      <c r="GED230" s="1"/>
      <c r="GEE230" s="1"/>
      <c r="GEF230" s="1"/>
      <c r="GEG230" s="1"/>
      <c r="GEH230" s="1"/>
      <c r="GEI230" s="1"/>
      <c r="GEJ230" s="1"/>
      <c r="GEK230" s="1"/>
      <c r="GEL230" s="1"/>
      <c r="GEM230" s="1"/>
      <c r="GEN230" s="1"/>
      <c r="GEO230" s="1"/>
      <c r="GEP230" s="1"/>
      <c r="GEQ230" s="1"/>
      <c r="GER230" s="1"/>
      <c r="GES230" s="1"/>
      <c r="GET230" s="1"/>
      <c r="GEU230" s="1"/>
      <c r="GEV230" s="1"/>
      <c r="GEW230" s="1"/>
      <c r="GEX230" s="1"/>
      <c r="GEY230" s="1"/>
      <c r="GEZ230" s="1"/>
      <c r="GFA230" s="1"/>
      <c r="GFB230" s="1"/>
      <c r="GFC230" s="1"/>
      <c r="GFD230" s="1"/>
      <c r="GFE230" s="1"/>
      <c r="GFF230" s="1"/>
      <c r="GFG230" s="1"/>
      <c r="GFH230" s="1"/>
      <c r="GFI230" s="1"/>
      <c r="GFJ230" s="1"/>
      <c r="GFK230" s="1"/>
      <c r="GFL230" s="1"/>
      <c r="GFM230" s="1"/>
      <c r="GFN230" s="1"/>
      <c r="GFO230" s="1"/>
      <c r="GFP230" s="1"/>
      <c r="GFQ230" s="1"/>
      <c r="GFR230" s="1"/>
      <c r="GFS230" s="1"/>
      <c r="GFT230" s="1"/>
      <c r="GFU230" s="1"/>
      <c r="GFV230" s="1"/>
      <c r="GFW230" s="1"/>
      <c r="GFX230" s="1"/>
      <c r="GFY230" s="1"/>
      <c r="GFZ230" s="1"/>
      <c r="GGA230" s="1"/>
      <c r="GGB230" s="1"/>
      <c r="GGC230" s="1"/>
      <c r="GGD230" s="1"/>
      <c r="GGE230" s="1"/>
      <c r="GGF230" s="1"/>
      <c r="GGG230" s="1"/>
      <c r="GGH230" s="1"/>
      <c r="GGI230" s="1"/>
      <c r="GGJ230" s="1"/>
      <c r="GGK230" s="1"/>
      <c r="GGL230" s="1"/>
      <c r="GGM230" s="1"/>
      <c r="GGN230" s="1"/>
      <c r="GGO230" s="1"/>
      <c r="GGP230" s="1"/>
      <c r="GGQ230" s="1"/>
      <c r="GGR230" s="1"/>
      <c r="GGS230" s="1"/>
      <c r="GGT230" s="1"/>
      <c r="GGU230" s="1"/>
      <c r="GGV230" s="1"/>
      <c r="GGW230" s="1"/>
      <c r="GGX230" s="1"/>
      <c r="GGY230" s="1"/>
      <c r="GGZ230" s="1"/>
      <c r="GHA230" s="1"/>
      <c r="GHB230" s="1"/>
      <c r="GHC230" s="1"/>
      <c r="GHD230" s="1"/>
      <c r="GHE230" s="1"/>
      <c r="GHF230" s="1"/>
      <c r="GHG230" s="1"/>
      <c r="GHH230" s="1"/>
      <c r="GHI230" s="1"/>
      <c r="GHJ230" s="1"/>
      <c r="GHK230" s="1"/>
      <c r="GHL230" s="1"/>
      <c r="GHM230" s="1"/>
      <c r="GHN230" s="1"/>
      <c r="GHO230" s="1"/>
      <c r="GHP230" s="1"/>
      <c r="GHQ230" s="1"/>
      <c r="GHR230" s="1"/>
      <c r="GHS230" s="1"/>
      <c r="GHT230" s="1"/>
      <c r="GHU230" s="1"/>
      <c r="GHV230" s="1"/>
      <c r="GHW230" s="1"/>
      <c r="GHX230" s="1"/>
      <c r="GHY230" s="1"/>
      <c r="GHZ230" s="1"/>
      <c r="GIA230" s="1"/>
      <c r="GIB230" s="1"/>
      <c r="GIC230" s="1"/>
      <c r="GID230" s="1"/>
      <c r="GIE230" s="1"/>
      <c r="GIF230" s="1"/>
      <c r="GIG230" s="1"/>
      <c r="GIH230" s="1"/>
      <c r="GII230" s="1"/>
      <c r="GIJ230" s="1"/>
      <c r="GIK230" s="1"/>
      <c r="GIL230" s="1"/>
      <c r="GIM230" s="1"/>
      <c r="GIN230" s="1"/>
      <c r="GIO230" s="1"/>
      <c r="GIP230" s="1"/>
      <c r="GIQ230" s="1"/>
      <c r="GIR230" s="1"/>
      <c r="GIS230" s="1"/>
      <c r="GIT230" s="1"/>
      <c r="GIU230" s="1"/>
      <c r="GIV230" s="1"/>
      <c r="GIW230" s="1"/>
      <c r="GIX230" s="1"/>
      <c r="GIY230" s="1"/>
      <c r="GIZ230" s="1"/>
      <c r="GJA230" s="1"/>
      <c r="GJB230" s="1"/>
      <c r="GJC230" s="1"/>
      <c r="GJD230" s="1"/>
      <c r="GJE230" s="1"/>
      <c r="GJF230" s="1"/>
      <c r="GJG230" s="1"/>
      <c r="GJH230" s="1"/>
      <c r="GJI230" s="1"/>
      <c r="GJJ230" s="1"/>
      <c r="GJK230" s="1"/>
      <c r="GJL230" s="1"/>
      <c r="GJM230" s="1"/>
      <c r="GJN230" s="1"/>
      <c r="GJO230" s="1"/>
      <c r="GJP230" s="1"/>
      <c r="GJQ230" s="1"/>
      <c r="GJR230" s="1"/>
      <c r="GJS230" s="1"/>
      <c r="GJT230" s="1"/>
      <c r="GJU230" s="1"/>
      <c r="GJV230" s="1"/>
      <c r="GJW230" s="1"/>
      <c r="GJX230" s="1"/>
      <c r="GJY230" s="1"/>
      <c r="GJZ230" s="1"/>
      <c r="GKA230" s="1"/>
      <c r="GKB230" s="1"/>
      <c r="GKC230" s="1"/>
      <c r="GKD230" s="1"/>
      <c r="GKE230" s="1"/>
      <c r="GKF230" s="1"/>
      <c r="GKG230" s="1"/>
      <c r="GKH230" s="1"/>
      <c r="GKI230" s="1"/>
      <c r="GKJ230" s="1"/>
      <c r="GKK230" s="1"/>
      <c r="GKL230" s="1"/>
      <c r="GKM230" s="1"/>
      <c r="GKN230" s="1"/>
      <c r="GKO230" s="1"/>
      <c r="GKP230" s="1"/>
      <c r="GKQ230" s="1"/>
      <c r="GKR230" s="1"/>
      <c r="GKS230" s="1"/>
      <c r="GKT230" s="1"/>
      <c r="GKU230" s="1"/>
      <c r="GKV230" s="1"/>
      <c r="GKW230" s="1"/>
      <c r="GKX230" s="1"/>
      <c r="GKY230" s="1"/>
      <c r="GKZ230" s="1"/>
      <c r="GLA230" s="1"/>
      <c r="GLB230" s="1"/>
      <c r="GLC230" s="1"/>
      <c r="GLD230" s="1"/>
      <c r="GLE230" s="1"/>
      <c r="GLF230" s="1"/>
      <c r="GLG230" s="1"/>
      <c r="GLH230" s="1"/>
      <c r="GLI230" s="1"/>
      <c r="GLJ230" s="1"/>
      <c r="GLK230" s="1"/>
      <c r="GLL230" s="1"/>
      <c r="GLM230" s="1"/>
      <c r="GLN230" s="1"/>
      <c r="GLO230" s="1"/>
      <c r="GLP230" s="1"/>
      <c r="GLQ230" s="1"/>
      <c r="GLR230" s="1"/>
      <c r="GLS230" s="1"/>
      <c r="GLT230" s="1"/>
      <c r="GLU230" s="1"/>
      <c r="GLV230" s="1"/>
      <c r="GLW230" s="1"/>
      <c r="GLX230" s="1"/>
      <c r="GLY230" s="1"/>
      <c r="GLZ230" s="1"/>
      <c r="GMA230" s="1"/>
      <c r="GMB230" s="1"/>
      <c r="GMC230" s="1"/>
      <c r="GMD230" s="1"/>
      <c r="GME230" s="1"/>
      <c r="GMF230" s="1"/>
      <c r="GMG230" s="1"/>
      <c r="GMH230" s="1"/>
      <c r="GMI230" s="1"/>
      <c r="GMJ230" s="1"/>
      <c r="GMK230" s="1"/>
      <c r="GML230" s="1"/>
      <c r="GMM230" s="1"/>
      <c r="GMN230" s="1"/>
      <c r="GMO230" s="1"/>
      <c r="GMP230" s="1"/>
      <c r="GMQ230" s="1"/>
      <c r="GMR230" s="1"/>
      <c r="GMS230" s="1"/>
      <c r="GMT230" s="1"/>
      <c r="GMU230" s="1"/>
      <c r="GMV230" s="1"/>
      <c r="GMW230" s="1"/>
      <c r="GMX230" s="1"/>
      <c r="GMY230" s="1"/>
      <c r="GMZ230" s="1"/>
      <c r="GNA230" s="1"/>
      <c r="GNB230" s="1"/>
      <c r="GNC230" s="1"/>
      <c r="GND230" s="1"/>
      <c r="GNE230" s="1"/>
      <c r="GNF230" s="1"/>
      <c r="GNG230" s="1"/>
      <c r="GNH230" s="1"/>
      <c r="GNI230" s="1"/>
      <c r="GNJ230" s="1"/>
      <c r="GNK230" s="1"/>
      <c r="GNL230" s="1"/>
      <c r="GNM230" s="1"/>
      <c r="GNN230" s="1"/>
      <c r="GNO230" s="1"/>
      <c r="GNP230" s="1"/>
      <c r="GNQ230" s="1"/>
      <c r="GNR230" s="1"/>
      <c r="GNS230" s="1"/>
      <c r="GNT230" s="1"/>
      <c r="GNU230" s="1"/>
      <c r="GNV230" s="1"/>
      <c r="GNW230" s="1"/>
      <c r="GNX230" s="1"/>
      <c r="GNY230" s="1"/>
      <c r="GNZ230" s="1"/>
      <c r="GOA230" s="1"/>
      <c r="GOB230" s="1"/>
      <c r="GOC230" s="1"/>
      <c r="GOD230" s="1"/>
      <c r="GOE230" s="1"/>
      <c r="GOF230" s="1"/>
      <c r="GOG230" s="1"/>
      <c r="GOH230" s="1"/>
      <c r="GOI230" s="1"/>
      <c r="GOJ230" s="1"/>
      <c r="GOK230" s="1"/>
      <c r="GOL230" s="1"/>
      <c r="GOM230" s="1"/>
      <c r="GON230" s="1"/>
      <c r="GOO230" s="1"/>
      <c r="GOP230" s="1"/>
      <c r="GOQ230" s="1"/>
      <c r="GOR230" s="1"/>
      <c r="GOS230" s="1"/>
      <c r="GOT230" s="1"/>
      <c r="GOU230" s="1"/>
      <c r="GOV230" s="1"/>
      <c r="GOW230" s="1"/>
      <c r="GOX230" s="1"/>
      <c r="GOY230" s="1"/>
      <c r="GOZ230" s="1"/>
      <c r="GPA230" s="1"/>
      <c r="GPB230" s="1"/>
      <c r="GPC230" s="1"/>
      <c r="GPD230" s="1"/>
      <c r="GPE230" s="1"/>
      <c r="GPF230" s="1"/>
      <c r="GPG230" s="1"/>
      <c r="GPH230" s="1"/>
      <c r="GPI230" s="1"/>
      <c r="GPJ230" s="1"/>
      <c r="GPK230" s="1"/>
      <c r="GPL230" s="1"/>
      <c r="GPM230" s="1"/>
      <c r="GPN230" s="1"/>
      <c r="GPO230" s="1"/>
      <c r="GPP230" s="1"/>
      <c r="GPQ230" s="1"/>
      <c r="GPR230" s="1"/>
      <c r="GPS230" s="1"/>
      <c r="GPT230" s="1"/>
      <c r="GPU230" s="1"/>
      <c r="GPV230" s="1"/>
      <c r="GPW230" s="1"/>
      <c r="GPX230" s="1"/>
      <c r="GPY230" s="1"/>
      <c r="GPZ230" s="1"/>
      <c r="GQA230" s="1"/>
      <c r="GQB230" s="1"/>
      <c r="GQC230" s="1"/>
      <c r="GQD230" s="1"/>
      <c r="GQE230" s="1"/>
      <c r="GQF230" s="1"/>
      <c r="GQG230" s="1"/>
      <c r="GQH230" s="1"/>
      <c r="GQI230" s="1"/>
      <c r="GQJ230" s="1"/>
      <c r="GQK230" s="1"/>
      <c r="GQL230" s="1"/>
      <c r="GQM230" s="1"/>
      <c r="GQN230" s="1"/>
      <c r="GQO230" s="1"/>
      <c r="GQP230" s="1"/>
      <c r="GQQ230" s="1"/>
      <c r="GQR230" s="1"/>
      <c r="GQS230" s="1"/>
      <c r="GQT230" s="1"/>
      <c r="GQU230" s="1"/>
      <c r="GQV230" s="1"/>
      <c r="GQW230" s="1"/>
      <c r="GQX230" s="1"/>
      <c r="GQY230" s="1"/>
      <c r="GQZ230" s="1"/>
      <c r="GRA230" s="1"/>
      <c r="GRB230" s="1"/>
      <c r="GRC230" s="1"/>
      <c r="GRD230" s="1"/>
      <c r="GRE230" s="1"/>
      <c r="GRF230" s="1"/>
      <c r="GRG230" s="1"/>
      <c r="GRH230" s="1"/>
      <c r="GRI230" s="1"/>
      <c r="GRJ230" s="1"/>
      <c r="GRK230" s="1"/>
      <c r="GRL230" s="1"/>
      <c r="GRM230" s="1"/>
      <c r="GRN230" s="1"/>
      <c r="GRO230" s="1"/>
      <c r="GRP230" s="1"/>
      <c r="GRQ230" s="1"/>
      <c r="GRR230" s="1"/>
      <c r="GRS230" s="1"/>
      <c r="GRT230" s="1"/>
      <c r="GRU230" s="1"/>
      <c r="GRV230" s="1"/>
      <c r="GRW230" s="1"/>
      <c r="GRX230" s="1"/>
      <c r="GRY230" s="1"/>
      <c r="GRZ230" s="1"/>
      <c r="GSA230" s="1"/>
      <c r="GSB230" s="1"/>
      <c r="GSC230" s="1"/>
      <c r="GSD230" s="1"/>
      <c r="GSE230" s="1"/>
      <c r="GSF230" s="1"/>
      <c r="GSG230" s="1"/>
      <c r="GSH230" s="1"/>
      <c r="GSI230" s="1"/>
      <c r="GSJ230" s="1"/>
      <c r="GSK230" s="1"/>
      <c r="GSL230" s="1"/>
      <c r="GSM230" s="1"/>
      <c r="GSN230" s="1"/>
      <c r="GSO230" s="1"/>
      <c r="GSP230" s="1"/>
      <c r="GSQ230" s="1"/>
      <c r="GSR230" s="1"/>
      <c r="GSS230" s="1"/>
      <c r="GST230" s="1"/>
      <c r="GSU230" s="1"/>
      <c r="GSV230" s="1"/>
      <c r="GSW230" s="1"/>
      <c r="GSX230" s="1"/>
      <c r="GSY230" s="1"/>
      <c r="GSZ230" s="1"/>
      <c r="GTA230" s="1"/>
      <c r="GTB230" s="1"/>
      <c r="GTC230" s="1"/>
      <c r="GTD230" s="1"/>
      <c r="GTE230" s="1"/>
      <c r="GTF230" s="1"/>
      <c r="GTG230" s="1"/>
      <c r="GTH230" s="1"/>
      <c r="GTI230" s="1"/>
      <c r="GTJ230" s="1"/>
      <c r="GTK230" s="1"/>
      <c r="GTL230" s="1"/>
      <c r="GTM230" s="1"/>
      <c r="GTN230" s="1"/>
      <c r="GTO230" s="1"/>
      <c r="GTP230" s="1"/>
      <c r="GTQ230" s="1"/>
      <c r="GTR230" s="1"/>
      <c r="GTS230" s="1"/>
      <c r="GTT230" s="1"/>
      <c r="GTU230" s="1"/>
      <c r="GTV230" s="1"/>
      <c r="GTW230" s="1"/>
      <c r="GTX230" s="1"/>
      <c r="GTY230" s="1"/>
      <c r="GTZ230" s="1"/>
      <c r="GUA230" s="1"/>
      <c r="GUB230" s="1"/>
      <c r="GUC230" s="1"/>
      <c r="GUD230" s="1"/>
      <c r="GUE230" s="1"/>
      <c r="GUF230" s="1"/>
      <c r="GUG230" s="1"/>
      <c r="GUH230" s="1"/>
      <c r="GUI230" s="1"/>
      <c r="GUJ230" s="1"/>
      <c r="GUK230" s="1"/>
      <c r="GUL230" s="1"/>
      <c r="GUM230" s="1"/>
      <c r="GUN230" s="1"/>
      <c r="GUO230" s="1"/>
      <c r="GUP230" s="1"/>
      <c r="GUQ230" s="1"/>
      <c r="GUR230" s="1"/>
      <c r="GUS230" s="1"/>
      <c r="GUT230" s="1"/>
      <c r="GUU230" s="1"/>
      <c r="GUV230" s="1"/>
      <c r="GUW230" s="1"/>
      <c r="GUX230" s="1"/>
      <c r="GUY230" s="1"/>
      <c r="GUZ230" s="1"/>
      <c r="GVA230" s="1"/>
      <c r="GVB230" s="1"/>
      <c r="GVC230" s="1"/>
      <c r="GVD230" s="1"/>
      <c r="GVE230" s="1"/>
      <c r="GVF230" s="1"/>
      <c r="GVG230" s="1"/>
      <c r="GVH230" s="1"/>
      <c r="GVI230" s="1"/>
      <c r="GVJ230" s="1"/>
      <c r="GVK230" s="1"/>
      <c r="GVL230" s="1"/>
      <c r="GVM230" s="1"/>
      <c r="GVN230" s="1"/>
      <c r="GVO230" s="1"/>
      <c r="GVP230" s="1"/>
      <c r="GVQ230" s="1"/>
      <c r="GVR230" s="1"/>
      <c r="GVS230" s="1"/>
      <c r="GVT230" s="1"/>
      <c r="GVU230" s="1"/>
      <c r="GVV230" s="1"/>
      <c r="GVW230" s="1"/>
      <c r="GVX230" s="1"/>
      <c r="GVY230" s="1"/>
      <c r="GVZ230" s="1"/>
      <c r="GWA230" s="1"/>
      <c r="GWB230" s="1"/>
      <c r="GWC230" s="1"/>
      <c r="GWD230" s="1"/>
      <c r="GWE230" s="1"/>
      <c r="GWF230" s="1"/>
      <c r="GWG230" s="1"/>
      <c r="GWH230" s="1"/>
      <c r="GWI230" s="1"/>
      <c r="GWJ230" s="1"/>
      <c r="GWK230" s="1"/>
      <c r="GWL230" s="1"/>
      <c r="GWM230" s="1"/>
      <c r="GWN230" s="1"/>
      <c r="GWO230" s="1"/>
      <c r="GWP230" s="1"/>
      <c r="GWQ230" s="1"/>
      <c r="GWR230" s="1"/>
      <c r="GWS230" s="1"/>
      <c r="GWT230" s="1"/>
      <c r="GWU230" s="1"/>
      <c r="GWV230" s="1"/>
      <c r="GWW230" s="1"/>
      <c r="GWX230" s="1"/>
      <c r="GWY230" s="1"/>
      <c r="GWZ230" s="1"/>
      <c r="GXA230" s="1"/>
      <c r="GXB230" s="1"/>
      <c r="GXC230" s="1"/>
      <c r="GXD230" s="1"/>
      <c r="GXE230" s="1"/>
      <c r="GXF230" s="1"/>
      <c r="GXG230" s="1"/>
      <c r="GXH230" s="1"/>
      <c r="GXI230" s="1"/>
      <c r="GXJ230" s="1"/>
      <c r="GXK230" s="1"/>
      <c r="GXL230" s="1"/>
      <c r="GXM230" s="1"/>
      <c r="GXN230" s="1"/>
      <c r="GXO230" s="1"/>
      <c r="GXP230" s="1"/>
      <c r="GXQ230" s="1"/>
      <c r="GXR230" s="1"/>
      <c r="GXS230" s="1"/>
      <c r="GXT230" s="1"/>
      <c r="GXU230" s="1"/>
      <c r="GXV230" s="1"/>
      <c r="GXW230" s="1"/>
      <c r="GXX230" s="1"/>
      <c r="GXY230" s="1"/>
      <c r="GXZ230" s="1"/>
      <c r="GYA230" s="1"/>
      <c r="GYB230" s="1"/>
      <c r="GYC230" s="1"/>
      <c r="GYD230" s="1"/>
      <c r="GYE230" s="1"/>
      <c r="GYF230" s="1"/>
      <c r="GYG230" s="1"/>
      <c r="GYH230" s="1"/>
      <c r="GYI230" s="1"/>
      <c r="GYJ230" s="1"/>
      <c r="GYK230" s="1"/>
      <c r="GYL230" s="1"/>
      <c r="GYM230" s="1"/>
      <c r="GYN230" s="1"/>
      <c r="GYO230" s="1"/>
      <c r="GYP230" s="1"/>
      <c r="GYQ230" s="1"/>
      <c r="GYR230" s="1"/>
      <c r="GYS230" s="1"/>
      <c r="GYT230" s="1"/>
      <c r="GYU230" s="1"/>
      <c r="GYV230" s="1"/>
      <c r="GYW230" s="1"/>
      <c r="GYX230" s="1"/>
      <c r="GYY230" s="1"/>
      <c r="GYZ230" s="1"/>
      <c r="GZA230" s="1"/>
      <c r="GZB230" s="1"/>
      <c r="GZC230" s="1"/>
      <c r="GZD230" s="1"/>
      <c r="GZE230" s="1"/>
      <c r="GZF230" s="1"/>
      <c r="GZG230" s="1"/>
      <c r="GZH230" s="1"/>
      <c r="GZI230" s="1"/>
      <c r="GZJ230" s="1"/>
      <c r="GZK230" s="1"/>
      <c r="GZL230" s="1"/>
      <c r="GZM230" s="1"/>
      <c r="GZN230" s="1"/>
      <c r="GZO230" s="1"/>
      <c r="GZP230" s="1"/>
      <c r="GZQ230" s="1"/>
      <c r="GZR230" s="1"/>
      <c r="GZS230" s="1"/>
      <c r="GZT230" s="1"/>
      <c r="GZU230" s="1"/>
      <c r="GZV230" s="1"/>
      <c r="GZW230" s="1"/>
      <c r="GZX230" s="1"/>
      <c r="GZY230" s="1"/>
      <c r="GZZ230" s="1"/>
      <c r="HAA230" s="1"/>
      <c r="HAB230" s="1"/>
      <c r="HAC230" s="1"/>
      <c r="HAD230" s="1"/>
      <c r="HAE230" s="1"/>
      <c r="HAF230" s="1"/>
      <c r="HAG230" s="1"/>
      <c r="HAH230" s="1"/>
      <c r="HAI230" s="1"/>
      <c r="HAJ230" s="1"/>
      <c r="HAK230" s="1"/>
      <c r="HAL230" s="1"/>
      <c r="HAM230" s="1"/>
      <c r="HAN230" s="1"/>
      <c r="HAO230" s="1"/>
      <c r="HAP230" s="1"/>
      <c r="HAQ230" s="1"/>
      <c r="HAR230" s="1"/>
      <c r="HAS230" s="1"/>
      <c r="HAT230" s="1"/>
      <c r="HAU230" s="1"/>
      <c r="HAV230" s="1"/>
      <c r="HAW230" s="1"/>
      <c r="HAX230" s="1"/>
      <c r="HAY230" s="1"/>
      <c r="HAZ230" s="1"/>
      <c r="HBA230" s="1"/>
      <c r="HBB230" s="1"/>
      <c r="HBC230" s="1"/>
      <c r="HBD230" s="1"/>
      <c r="HBE230" s="1"/>
      <c r="HBF230" s="1"/>
      <c r="HBG230" s="1"/>
      <c r="HBH230" s="1"/>
      <c r="HBI230" s="1"/>
      <c r="HBJ230" s="1"/>
      <c r="HBK230" s="1"/>
      <c r="HBL230" s="1"/>
      <c r="HBM230" s="1"/>
      <c r="HBN230" s="1"/>
      <c r="HBO230" s="1"/>
      <c r="HBP230" s="1"/>
      <c r="HBQ230" s="1"/>
      <c r="HBR230" s="1"/>
      <c r="HBS230" s="1"/>
      <c r="HBT230" s="1"/>
      <c r="HBU230" s="1"/>
      <c r="HBV230" s="1"/>
      <c r="HBW230" s="1"/>
      <c r="HBX230" s="1"/>
      <c r="HBY230" s="1"/>
      <c r="HBZ230" s="1"/>
      <c r="HCA230" s="1"/>
      <c r="HCB230" s="1"/>
      <c r="HCC230" s="1"/>
      <c r="HCD230" s="1"/>
      <c r="HCE230" s="1"/>
      <c r="HCF230" s="1"/>
      <c r="HCG230" s="1"/>
      <c r="HCH230" s="1"/>
      <c r="HCI230" s="1"/>
      <c r="HCJ230" s="1"/>
      <c r="HCK230" s="1"/>
      <c r="HCL230" s="1"/>
      <c r="HCM230" s="1"/>
      <c r="HCN230" s="1"/>
      <c r="HCO230" s="1"/>
      <c r="HCP230" s="1"/>
      <c r="HCQ230" s="1"/>
      <c r="HCR230" s="1"/>
      <c r="HCS230" s="1"/>
      <c r="HCT230" s="1"/>
      <c r="HCU230" s="1"/>
      <c r="HCV230" s="1"/>
      <c r="HCW230" s="1"/>
      <c r="HCX230" s="1"/>
      <c r="HCY230" s="1"/>
      <c r="HCZ230" s="1"/>
      <c r="HDA230" s="1"/>
      <c r="HDB230" s="1"/>
      <c r="HDC230" s="1"/>
      <c r="HDD230" s="1"/>
      <c r="HDE230" s="1"/>
      <c r="HDF230" s="1"/>
      <c r="HDG230" s="1"/>
      <c r="HDH230" s="1"/>
      <c r="HDI230" s="1"/>
      <c r="HDJ230" s="1"/>
      <c r="HDK230" s="1"/>
      <c r="HDL230" s="1"/>
      <c r="HDM230" s="1"/>
      <c r="HDN230" s="1"/>
      <c r="HDO230" s="1"/>
      <c r="HDP230" s="1"/>
      <c r="HDQ230" s="1"/>
      <c r="HDR230" s="1"/>
      <c r="HDS230" s="1"/>
      <c r="HDT230" s="1"/>
      <c r="HDU230" s="1"/>
      <c r="HDV230" s="1"/>
      <c r="HDW230" s="1"/>
      <c r="HDX230" s="1"/>
      <c r="HDY230" s="1"/>
      <c r="HDZ230" s="1"/>
      <c r="HEA230" s="1"/>
      <c r="HEB230" s="1"/>
      <c r="HEC230" s="1"/>
      <c r="HED230" s="1"/>
      <c r="HEE230" s="1"/>
      <c r="HEF230" s="1"/>
      <c r="HEG230" s="1"/>
      <c r="HEH230" s="1"/>
      <c r="HEI230" s="1"/>
      <c r="HEJ230" s="1"/>
      <c r="HEK230" s="1"/>
      <c r="HEL230" s="1"/>
      <c r="HEM230" s="1"/>
      <c r="HEN230" s="1"/>
      <c r="HEO230" s="1"/>
      <c r="HEP230" s="1"/>
      <c r="HEQ230" s="1"/>
      <c r="HER230" s="1"/>
      <c r="HES230" s="1"/>
      <c r="HET230" s="1"/>
      <c r="HEU230" s="1"/>
      <c r="HEV230" s="1"/>
      <c r="HEW230" s="1"/>
      <c r="HEX230" s="1"/>
      <c r="HEY230" s="1"/>
      <c r="HEZ230" s="1"/>
      <c r="HFA230" s="1"/>
      <c r="HFB230" s="1"/>
      <c r="HFC230" s="1"/>
      <c r="HFD230" s="1"/>
      <c r="HFE230" s="1"/>
      <c r="HFF230" s="1"/>
      <c r="HFG230" s="1"/>
      <c r="HFH230" s="1"/>
      <c r="HFI230" s="1"/>
      <c r="HFJ230" s="1"/>
      <c r="HFK230" s="1"/>
      <c r="HFL230" s="1"/>
      <c r="HFM230" s="1"/>
      <c r="HFN230" s="1"/>
      <c r="HFO230" s="1"/>
      <c r="HFP230" s="1"/>
      <c r="HFQ230" s="1"/>
      <c r="HFR230" s="1"/>
      <c r="HFS230" s="1"/>
      <c r="HFT230" s="1"/>
      <c r="HFU230" s="1"/>
      <c r="HFV230" s="1"/>
      <c r="HFW230" s="1"/>
      <c r="HFX230" s="1"/>
      <c r="HFY230" s="1"/>
      <c r="HFZ230" s="1"/>
      <c r="HGA230" s="1"/>
      <c r="HGB230" s="1"/>
      <c r="HGC230" s="1"/>
      <c r="HGD230" s="1"/>
      <c r="HGE230" s="1"/>
      <c r="HGF230" s="1"/>
      <c r="HGG230" s="1"/>
      <c r="HGH230" s="1"/>
      <c r="HGI230" s="1"/>
      <c r="HGJ230" s="1"/>
      <c r="HGK230" s="1"/>
      <c r="HGL230" s="1"/>
      <c r="HGM230" s="1"/>
      <c r="HGN230" s="1"/>
      <c r="HGO230" s="1"/>
      <c r="HGP230" s="1"/>
      <c r="HGQ230" s="1"/>
      <c r="HGR230" s="1"/>
      <c r="HGS230" s="1"/>
      <c r="HGT230" s="1"/>
      <c r="HGU230" s="1"/>
      <c r="HGV230" s="1"/>
      <c r="HGW230" s="1"/>
      <c r="HGX230" s="1"/>
      <c r="HGY230" s="1"/>
      <c r="HGZ230" s="1"/>
      <c r="HHA230" s="1"/>
      <c r="HHB230" s="1"/>
      <c r="HHC230" s="1"/>
      <c r="HHD230" s="1"/>
      <c r="HHE230" s="1"/>
      <c r="HHF230" s="1"/>
      <c r="HHG230" s="1"/>
      <c r="HHH230" s="1"/>
      <c r="HHI230" s="1"/>
      <c r="HHJ230" s="1"/>
      <c r="HHK230" s="1"/>
      <c r="HHL230" s="1"/>
      <c r="HHM230" s="1"/>
      <c r="HHN230" s="1"/>
      <c r="HHO230" s="1"/>
      <c r="HHP230" s="1"/>
      <c r="HHQ230" s="1"/>
      <c r="HHR230" s="1"/>
      <c r="HHS230" s="1"/>
      <c r="HHT230" s="1"/>
      <c r="HHU230" s="1"/>
      <c r="HHV230" s="1"/>
      <c r="HHW230" s="1"/>
      <c r="HHX230" s="1"/>
      <c r="HHY230" s="1"/>
      <c r="HHZ230" s="1"/>
      <c r="HIA230" s="1"/>
      <c r="HIB230" s="1"/>
      <c r="HIC230" s="1"/>
      <c r="HID230" s="1"/>
      <c r="HIE230" s="1"/>
      <c r="HIF230" s="1"/>
      <c r="HIG230" s="1"/>
      <c r="HIH230" s="1"/>
      <c r="HII230" s="1"/>
      <c r="HIJ230" s="1"/>
      <c r="HIK230" s="1"/>
      <c r="HIL230" s="1"/>
      <c r="HIM230" s="1"/>
      <c r="HIN230" s="1"/>
      <c r="HIO230" s="1"/>
      <c r="HIP230" s="1"/>
      <c r="HIQ230" s="1"/>
      <c r="HIR230" s="1"/>
      <c r="HIS230" s="1"/>
      <c r="HIT230" s="1"/>
      <c r="HIU230" s="1"/>
      <c r="HIV230" s="1"/>
      <c r="HIW230" s="1"/>
      <c r="HIX230" s="1"/>
      <c r="HIY230" s="1"/>
      <c r="HIZ230" s="1"/>
      <c r="HJA230" s="1"/>
      <c r="HJB230" s="1"/>
      <c r="HJC230" s="1"/>
      <c r="HJD230" s="1"/>
      <c r="HJE230" s="1"/>
      <c r="HJF230" s="1"/>
      <c r="HJG230" s="1"/>
      <c r="HJH230" s="1"/>
      <c r="HJI230" s="1"/>
      <c r="HJJ230" s="1"/>
      <c r="HJK230" s="1"/>
      <c r="HJL230" s="1"/>
      <c r="HJM230" s="1"/>
      <c r="HJN230" s="1"/>
      <c r="HJO230" s="1"/>
      <c r="HJP230" s="1"/>
      <c r="HJQ230" s="1"/>
      <c r="HJR230" s="1"/>
      <c r="HJS230" s="1"/>
      <c r="HJT230" s="1"/>
      <c r="HJU230" s="1"/>
      <c r="HJV230" s="1"/>
      <c r="HJW230" s="1"/>
      <c r="HJX230" s="1"/>
      <c r="HJY230" s="1"/>
      <c r="HJZ230" s="1"/>
      <c r="HKA230" s="1"/>
      <c r="HKB230" s="1"/>
      <c r="HKC230" s="1"/>
      <c r="HKD230" s="1"/>
      <c r="HKE230" s="1"/>
      <c r="HKF230" s="1"/>
      <c r="HKG230" s="1"/>
      <c r="HKH230" s="1"/>
      <c r="HKI230" s="1"/>
      <c r="HKJ230" s="1"/>
      <c r="HKK230" s="1"/>
      <c r="HKL230" s="1"/>
      <c r="HKM230" s="1"/>
      <c r="HKN230" s="1"/>
      <c r="HKO230" s="1"/>
      <c r="HKP230" s="1"/>
      <c r="HKQ230" s="1"/>
      <c r="HKR230" s="1"/>
      <c r="HKS230" s="1"/>
      <c r="HKT230" s="1"/>
      <c r="HKU230" s="1"/>
      <c r="HKV230" s="1"/>
      <c r="HKW230" s="1"/>
      <c r="HKX230" s="1"/>
      <c r="HKY230" s="1"/>
      <c r="HKZ230" s="1"/>
      <c r="HLA230" s="1"/>
      <c r="HLB230" s="1"/>
      <c r="HLC230" s="1"/>
      <c r="HLD230" s="1"/>
      <c r="HLE230" s="1"/>
      <c r="HLF230" s="1"/>
      <c r="HLG230" s="1"/>
      <c r="HLH230" s="1"/>
      <c r="HLI230" s="1"/>
      <c r="HLJ230" s="1"/>
      <c r="HLK230" s="1"/>
      <c r="HLL230" s="1"/>
      <c r="HLM230" s="1"/>
      <c r="HLN230" s="1"/>
      <c r="HLO230" s="1"/>
      <c r="HLP230" s="1"/>
      <c r="HLQ230" s="1"/>
      <c r="HLR230" s="1"/>
      <c r="HLS230" s="1"/>
      <c r="HLT230" s="1"/>
      <c r="HLU230" s="1"/>
      <c r="HLV230" s="1"/>
      <c r="HLW230" s="1"/>
      <c r="HLX230" s="1"/>
      <c r="HLY230" s="1"/>
      <c r="HLZ230" s="1"/>
      <c r="HMA230" s="1"/>
      <c r="HMB230" s="1"/>
      <c r="HMC230" s="1"/>
      <c r="HMD230" s="1"/>
      <c r="HME230" s="1"/>
      <c r="HMF230" s="1"/>
      <c r="HMG230" s="1"/>
      <c r="HMH230" s="1"/>
      <c r="HMI230" s="1"/>
      <c r="HMJ230" s="1"/>
      <c r="HMK230" s="1"/>
      <c r="HML230" s="1"/>
      <c r="HMM230" s="1"/>
      <c r="HMN230" s="1"/>
      <c r="HMO230" s="1"/>
      <c r="HMP230" s="1"/>
      <c r="HMQ230" s="1"/>
      <c r="HMR230" s="1"/>
      <c r="HMS230" s="1"/>
      <c r="HMT230" s="1"/>
      <c r="HMU230" s="1"/>
      <c r="HMV230" s="1"/>
      <c r="HMW230" s="1"/>
      <c r="HMX230" s="1"/>
      <c r="HMY230" s="1"/>
      <c r="HMZ230" s="1"/>
      <c r="HNA230" s="1"/>
      <c r="HNB230" s="1"/>
      <c r="HNC230" s="1"/>
      <c r="HND230" s="1"/>
      <c r="HNE230" s="1"/>
      <c r="HNF230" s="1"/>
      <c r="HNG230" s="1"/>
      <c r="HNH230" s="1"/>
      <c r="HNI230" s="1"/>
      <c r="HNJ230" s="1"/>
      <c r="HNK230" s="1"/>
      <c r="HNL230" s="1"/>
      <c r="HNM230" s="1"/>
      <c r="HNN230" s="1"/>
      <c r="HNO230" s="1"/>
      <c r="HNP230" s="1"/>
      <c r="HNQ230" s="1"/>
      <c r="HNR230" s="1"/>
      <c r="HNS230" s="1"/>
      <c r="HNT230" s="1"/>
      <c r="HNU230" s="1"/>
      <c r="HNV230" s="1"/>
      <c r="HNW230" s="1"/>
      <c r="HNX230" s="1"/>
      <c r="HNY230" s="1"/>
      <c r="HNZ230" s="1"/>
      <c r="HOA230" s="1"/>
      <c r="HOB230" s="1"/>
      <c r="HOC230" s="1"/>
      <c r="HOD230" s="1"/>
      <c r="HOE230" s="1"/>
      <c r="HOF230" s="1"/>
      <c r="HOG230" s="1"/>
      <c r="HOH230" s="1"/>
      <c r="HOI230" s="1"/>
      <c r="HOJ230" s="1"/>
      <c r="HOK230" s="1"/>
      <c r="HOL230" s="1"/>
      <c r="HOM230" s="1"/>
      <c r="HON230" s="1"/>
      <c r="HOO230" s="1"/>
      <c r="HOP230" s="1"/>
      <c r="HOQ230" s="1"/>
      <c r="HOR230" s="1"/>
      <c r="HOS230" s="1"/>
      <c r="HOT230" s="1"/>
      <c r="HOU230" s="1"/>
      <c r="HOV230" s="1"/>
      <c r="HOW230" s="1"/>
      <c r="HOX230" s="1"/>
      <c r="HOY230" s="1"/>
      <c r="HOZ230" s="1"/>
      <c r="HPA230" s="1"/>
      <c r="HPB230" s="1"/>
      <c r="HPC230" s="1"/>
      <c r="HPD230" s="1"/>
      <c r="HPE230" s="1"/>
      <c r="HPF230" s="1"/>
      <c r="HPG230" s="1"/>
      <c r="HPH230" s="1"/>
      <c r="HPI230" s="1"/>
      <c r="HPJ230" s="1"/>
      <c r="HPK230" s="1"/>
      <c r="HPL230" s="1"/>
      <c r="HPM230" s="1"/>
      <c r="HPN230" s="1"/>
      <c r="HPO230" s="1"/>
      <c r="HPP230" s="1"/>
      <c r="HPQ230" s="1"/>
      <c r="HPR230" s="1"/>
      <c r="HPS230" s="1"/>
      <c r="HPT230" s="1"/>
      <c r="HPU230" s="1"/>
      <c r="HPV230" s="1"/>
      <c r="HPW230" s="1"/>
      <c r="HPX230" s="1"/>
      <c r="HPY230" s="1"/>
      <c r="HPZ230" s="1"/>
      <c r="HQA230" s="1"/>
      <c r="HQB230" s="1"/>
      <c r="HQC230" s="1"/>
      <c r="HQD230" s="1"/>
      <c r="HQE230" s="1"/>
      <c r="HQF230" s="1"/>
      <c r="HQG230" s="1"/>
      <c r="HQH230" s="1"/>
      <c r="HQI230" s="1"/>
      <c r="HQJ230" s="1"/>
      <c r="HQK230" s="1"/>
      <c r="HQL230" s="1"/>
      <c r="HQM230" s="1"/>
      <c r="HQN230" s="1"/>
      <c r="HQO230" s="1"/>
      <c r="HQP230" s="1"/>
      <c r="HQQ230" s="1"/>
      <c r="HQR230" s="1"/>
      <c r="HQS230" s="1"/>
      <c r="HQT230" s="1"/>
      <c r="HQU230" s="1"/>
      <c r="HQV230" s="1"/>
      <c r="HQW230" s="1"/>
      <c r="HQX230" s="1"/>
      <c r="HQY230" s="1"/>
      <c r="HQZ230" s="1"/>
      <c r="HRA230" s="1"/>
      <c r="HRB230" s="1"/>
      <c r="HRC230" s="1"/>
      <c r="HRD230" s="1"/>
      <c r="HRE230" s="1"/>
      <c r="HRF230" s="1"/>
      <c r="HRG230" s="1"/>
      <c r="HRH230" s="1"/>
      <c r="HRI230" s="1"/>
      <c r="HRJ230" s="1"/>
      <c r="HRK230" s="1"/>
      <c r="HRL230" s="1"/>
      <c r="HRM230" s="1"/>
      <c r="HRN230" s="1"/>
      <c r="HRO230" s="1"/>
      <c r="HRP230" s="1"/>
      <c r="HRQ230" s="1"/>
      <c r="HRR230" s="1"/>
      <c r="HRS230" s="1"/>
      <c r="HRT230" s="1"/>
      <c r="HRU230" s="1"/>
      <c r="HRV230" s="1"/>
      <c r="HRW230" s="1"/>
      <c r="HRX230" s="1"/>
      <c r="HRY230" s="1"/>
      <c r="HRZ230" s="1"/>
      <c r="HSA230" s="1"/>
      <c r="HSB230" s="1"/>
      <c r="HSC230" s="1"/>
      <c r="HSD230" s="1"/>
      <c r="HSE230" s="1"/>
      <c r="HSF230" s="1"/>
      <c r="HSG230" s="1"/>
      <c r="HSH230" s="1"/>
      <c r="HSI230" s="1"/>
      <c r="HSJ230" s="1"/>
      <c r="HSK230" s="1"/>
      <c r="HSL230" s="1"/>
      <c r="HSM230" s="1"/>
      <c r="HSN230" s="1"/>
      <c r="HSO230" s="1"/>
      <c r="HSP230" s="1"/>
      <c r="HSQ230" s="1"/>
      <c r="HSR230" s="1"/>
      <c r="HSS230" s="1"/>
      <c r="HST230" s="1"/>
      <c r="HSU230" s="1"/>
      <c r="HSV230" s="1"/>
      <c r="HSW230" s="1"/>
      <c r="HSX230" s="1"/>
      <c r="HSY230" s="1"/>
      <c r="HSZ230" s="1"/>
      <c r="HTA230" s="1"/>
      <c r="HTB230" s="1"/>
      <c r="HTC230" s="1"/>
      <c r="HTD230" s="1"/>
      <c r="HTE230" s="1"/>
      <c r="HTF230" s="1"/>
      <c r="HTG230" s="1"/>
      <c r="HTH230" s="1"/>
      <c r="HTI230" s="1"/>
      <c r="HTJ230" s="1"/>
      <c r="HTK230" s="1"/>
      <c r="HTL230" s="1"/>
      <c r="HTM230" s="1"/>
      <c r="HTN230" s="1"/>
      <c r="HTO230" s="1"/>
      <c r="HTP230" s="1"/>
      <c r="HTQ230" s="1"/>
      <c r="HTR230" s="1"/>
      <c r="HTS230" s="1"/>
      <c r="HTT230" s="1"/>
      <c r="HTU230" s="1"/>
      <c r="HTV230" s="1"/>
      <c r="HTW230" s="1"/>
      <c r="HTX230" s="1"/>
      <c r="HTY230" s="1"/>
      <c r="HTZ230" s="1"/>
      <c r="HUA230" s="1"/>
      <c r="HUB230" s="1"/>
      <c r="HUC230" s="1"/>
      <c r="HUD230" s="1"/>
      <c r="HUE230" s="1"/>
      <c r="HUF230" s="1"/>
      <c r="HUG230" s="1"/>
      <c r="HUH230" s="1"/>
      <c r="HUI230" s="1"/>
      <c r="HUJ230" s="1"/>
      <c r="HUK230" s="1"/>
      <c r="HUL230" s="1"/>
      <c r="HUM230" s="1"/>
      <c r="HUN230" s="1"/>
      <c r="HUO230" s="1"/>
      <c r="HUP230" s="1"/>
      <c r="HUQ230" s="1"/>
      <c r="HUR230" s="1"/>
      <c r="HUS230" s="1"/>
      <c r="HUT230" s="1"/>
      <c r="HUU230" s="1"/>
      <c r="HUV230" s="1"/>
      <c r="HUW230" s="1"/>
      <c r="HUX230" s="1"/>
      <c r="HUY230" s="1"/>
      <c r="HUZ230" s="1"/>
      <c r="HVA230" s="1"/>
      <c r="HVB230" s="1"/>
      <c r="HVC230" s="1"/>
      <c r="HVD230" s="1"/>
      <c r="HVE230" s="1"/>
      <c r="HVF230" s="1"/>
      <c r="HVG230" s="1"/>
      <c r="HVH230" s="1"/>
      <c r="HVI230" s="1"/>
      <c r="HVJ230" s="1"/>
      <c r="HVK230" s="1"/>
      <c r="HVL230" s="1"/>
      <c r="HVM230" s="1"/>
      <c r="HVN230" s="1"/>
      <c r="HVO230" s="1"/>
      <c r="HVP230" s="1"/>
      <c r="HVQ230" s="1"/>
      <c r="HVR230" s="1"/>
      <c r="HVS230" s="1"/>
      <c r="HVT230" s="1"/>
      <c r="HVU230" s="1"/>
      <c r="HVV230" s="1"/>
      <c r="HVW230" s="1"/>
      <c r="HVX230" s="1"/>
      <c r="HVY230" s="1"/>
      <c r="HVZ230" s="1"/>
      <c r="HWA230" s="1"/>
      <c r="HWB230" s="1"/>
      <c r="HWC230" s="1"/>
      <c r="HWD230" s="1"/>
      <c r="HWE230" s="1"/>
      <c r="HWF230" s="1"/>
      <c r="HWG230" s="1"/>
      <c r="HWH230" s="1"/>
      <c r="HWI230" s="1"/>
      <c r="HWJ230" s="1"/>
      <c r="HWK230" s="1"/>
      <c r="HWL230" s="1"/>
      <c r="HWM230" s="1"/>
      <c r="HWN230" s="1"/>
      <c r="HWO230" s="1"/>
      <c r="HWP230" s="1"/>
      <c r="HWQ230" s="1"/>
      <c r="HWR230" s="1"/>
      <c r="HWS230" s="1"/>
      <c r="HWT230" s="1"/>
      <c r="HWU230" s="1"/>
      <c r="HWV230" s="1"/>
      <c r="HWW230" s="1"/>
      <c r="HWX230" s="1"/>
      <c r="HWY230" s="1"/>
      <c r="HWZ230" s="1"/>
      <c r="HXA230" s="1"/>
      <c r="HXB230" s="1"/>
      <c r="HXC230" s="1"/>
      <c r="HXD230" s="1"/>
      <c r="HXE230" s="1"/>
      <c r="HXF230" s="1"/>
      <c r="HXG230" s="1"/>
      <c r="HXH230" s="1"/>
      <c r="HXI230" s="1"/>
      <c r="HXJ230" s="1"/>
      <c r="HXK230" s="1"/>
      <c r="HXL230" s="1"/>
      <c r="HXM230" s="1"/>
      <c r="HXN230" s="1"/>
      <c r="HXO230" s="1"/>
      <c r="HXP230" s="1"/>
      <c r="HXQ230" s="1"/>
      <c r="HXR230" s="1"/>
      <c r="HXS230" s="1"/>
      <c r="HXT230" s="1"/>
      <c r="HXU230" s="1"/>
      <c r="HXV230" s="1"/>
      <c r="HXW230" s="1"/>
      <c r="HXX230" s="1"/>
      <c r="HXY230" s="1"/>
      <c r="HXZ230" s="1"/>
      <c r="HYA230" s="1"/>
      <c r="HYB230" s="1"/>
      <c r="HYC230" s="1"/>
      <c r="HYD230" s="1"/>
      <c r="HYE230" s="1"/>
      <c r="HYF230" s="1"/>
      <c r="HYG230" s="1"/>
      <c r="HYH230" s="1"/>
      <c r="HYI230" s="1"/>
      <c r="HYJ230" s="1"/>
      <c r="HYK230" s="1"/>
      <c r="HYL230" s="1"/>
      <c r="HYM230" s="1"/>
      <c r="HYN230" s="1"/>
      <c r="HYO230" s="1"/>
      <c r="HYP230" s="1"/>
      <c r="HYQ230" s="1"/>
      <c r="HYR230" s="1"/>
      <c r="HYS230" s="1"/>
      <c r="HYT230" s="1"/>
      <c r="HYU230" s="1"/>
      <c r="HYV230" s="1"/>
      <c r="HYW230" s="1"/>
      <c r="HYX230" s="1"/>
      <c r="HYY230" s="1"/>
      <c r="HYZ230" s="1"/>
      <c r="HZA230" s="1"/>
      <c r="HZB230" s="1"/>
      <c r="HZC230" s="1"/>
      <c r="HZD230" s="1"/>
      <c r="HZE230" s="1"/>
      <c r="HZF230" s="1"/>
      <c r="HZG230" s="1"/>
      <c r="HZH230" s="1"/>
      <c r="HZI230" s="1"/>
      <c r="HZJ230" s="1"/>
      <c r="HZK230" s="1"/>
      <c r="HZL230" s="1"/>
      <c r="HZM230" s="1"/>
      <c r="HZN230" s="1"/>
      <c r="HZO230" s="1"/>
      <c r="HZP230" s="1"/>
      <c r="HZQ230" s="1"/>
      <c r="HZR230" s="1"/>
      <c r="HZS230" s="1"/>
      <c r="HZT230" s="1"/>
      <c r="HZU230" s="1"/>
      <c r="HZV230" s="1"/>
      <c r="HZW230" s="1"/>
      <c r="HZX230" s="1"/>
      <c r="HZY230" s="1"/>
      <c r="HZZ230" s="1"/>
      <c r="IAA230" s="1"/>
      <c r="IAB230" s="1"/>
      <c r="IAC230" s="1"/>
      <c r="IAD230" s="1"/>
      <c r="IAE230" s="1"/>
      <c r="IAF230" s="1"/>
      <c r="IAG230" s="1"/>
      <c r="IAH230" s="1"/>
      <c r="IAI230" s="1"/>
      <c r="IAJ230" s="1"/>
      <c r="IAK230" s="1"/>
      <c r="IAL230" s="1"/>
      <c r="IAM230" s="1"/>
      <c r="IAN230" s="1"/>
      <c r="IAO230" s="1"/>
      <c r="IAP230" s="1"/>
      <c r="IAQ230" s="1"/>
      <c r="IAR230" s="1"/>
      <c r="IAS230" s="1"/>
      <c r="IAT230" s="1"/>
      <c r="IAU230" s="1"/>
      <c r="IAV230" s="1"/>
      <c r="IAW230" s="1"/>
      <c r="IAX230" s="1"/>
      <c r="IAY230" s="1"/>
      <c r="IAZ230" s="1"/>
      <c r="IBA230" s="1"/>
      <c r="IBB230" s="1"/>
      <c r="IBC230" s="1"/>
      <c r="IBD230" s="1"/>
      <c r="IBE230" s="1"/>
      <c r="IBF230" s="1"/>
      <c r="IBG230" s="1"/>
      <c r="IBH230" s="1"/>
      <c r="IBI230" s="1"/>
      <c r="IBJ230" s="1"/>
      <c r="IBK230" s="1"/>
      <c r="IBL230" s="1"/>
      <c r="IBM230" s="1"/>
      <c r="IBN230" s="1"/>
      <c r="IBO230" s="1"/>
      <c r="IBP230" s="1"/>
      <c r="IBQ230" s="1"/>
      <c r="IBR230" s="1"/>
      <c r="IBS230" s="1"/>
      <c r="IBT230" s="1"/>
      <c r="IBU230" s="1"/>
      <c r="IBV230" s="1"/>
      <c r="IBW230" s="1"/>
      <c r="IBX230" s="1"/>
      <c r="IBY230" s="1"/>
      <c r="IBZ230" s="1"/>
      <c r="ICA230" s="1"/>
      <c r="ICB230" s="1"/>
      <c r="ICC230" s="1"/>
      <c r="ICD230" s="1"/>
      <c r="ICE230" s="1"/>
      <c r="ICF230" s="1"/>
      <c r="ICG230" s="1"/>
      <c r="ICH230" s="1"/>
      <c r="ICI230" s="1"/>
      <c r="ICJ230" s="1"/>
      <c r="ICK230" s="1"/>
      <c r="ICL230" s="1"/>
      <c r="ICM230" s="1"/>
      <c r="ICN230" s="1"/>
      <c r="ICO230" s="1"/>
      <c r="ICP230" s="1"/>
      <c r="ICQ230" s="1"/>
      <c r="ICR230" s="1"/>
      <c r="ICS230" s="1"/>
      <c r="ICT230" s="1"/>
      <c r="ICU230" s="1"/>
      <c r="ICV230" s="1"/>
      <c r="ICW230" s="1"/>
      <c r="ICX230" s="1"/>
      <c r="ICY230" s="1"/>
      <c r="ICZ230" s="1"/>
      <c r="IDA230" s="1"/>
      <c r="IDB230" s="1"/>
      <c r="IDC230" s="1"/>
      <c r="IDD230" s="1"/>
      <c r="IDE230" s="1"/>
      <c r="IDF230" s="1"/>
      <c r="IDG230" s="1"/>
      <c r="IDH230" s="1"/>
      <c r="IDI230" s="1"/>
      <c r="IDJ230" s="1"/>
      <c r="IDK230" s="1"/>
      <c r="IDL230" s="1"/>
      <c r="IDM230" s="1"/>
      <c r="IDN230" s="1"/>
      <c r="IDO230" s="1"/>
      <c r="IDP230" s="1"/>
      <c r="IDQ230" s="1"/>
      <c r="IDR230" s="1"/>
      <c r="IDS230" s="1"/>
      <c r="IDT230" s="1"/>
      <c r="IDU230" s="1"/>
      <c r="IDV230" s="1"/>
      <c r="IDW230" s="1"/>
      <c r="IDX230" s="1"/>
      <c r="IDY230" s="1"/>
      <c r="IDZ230" s="1"/>
      <c r="IEA230" s="1"/>
      <c r="IEB230" s="1"/>
      <c r="IEC230" s="1"/>
      <c r="IED230" s="1"/>
      <c r="IEE230" s="1"/>
      <c r="IEF230" s="1"/>
      <c r="IEG230" s="1"/>
      <c r="IEH230" s="1"/>
      <c r="IEI230" s="1"/>
      <c r="IEJ230" s="1"/>
      <c r="IEK230" s="1"/>
      <c r="IEL230" s="1"/>
      <c r="IEM230" s="1"/>
      <c r="IEN230" s="1"/>
      <c r="IEO230" s="1"/>
      <c r="IEP230" s="1"/>
      <c r="IEQ230" s="1"/>
      <c r="IER230" s="1"/>
      <c r="IES230" s="1"/>
      <c r="IET230" s="1"/>
      <c r="IEU230" s="1"/>
      <c r="IEV230" s="1"/>
      <c r="IEW230" s="1"/>
      <c r="IEX230" s="1"/>
      <c r="IEY230" s="1"/>
      <c r="IEZ230" s="1"/>
      <c r="IFA230" s="1"/>
      <c r="IFB230" s="1"/>
      <c r="IFC230" s="1"/>
      <c r="IFD230" s="1"/>
      <c r="IFE230" s="1"/>
      <c r="IFF230" s="1"/>
      <c r="IFG230" s="1"/>
      <c r="IFH230" s="1"/>
      <c r="IFI230" s="1"/>
      <c r="IFJ230" s="1"/>
      <c r="IFK230" s="1"/>
      <c r="IFL230" s="1"/>
      <c r="IFM230" s="1"/>
      <c r="IFN230" s="1"/>
      <c r="IFO230" s="1"/>
      <c r="IFP230" s="1"/>
      <c r="IFQ230" s="1"/>
      <c r="IFR230" s="1"/>
      <c r="IFS230" s="1"/>
      <c r="IFT230" s="1"/>
      <c r="IFU230" s="1"/>
      <c r="IFV230" s="1"/>
      <c r="IFW230" s="1"/>
      <c r="IFX230" s="1"/>
      <c r="IFY230" s="1"/>
      <c r="IFZ230" s="1"/>
      <c r="IGA230" s="1"/>
      <c r="IGB230" s="1"/>
      <c r="IGC230" s="1"/>
      <c r="IGD230" s="1"/>
      <c r="IGE230" s="1"/>
      <c r="IGF230" s="1"/>
      <c r="IGG230" s="1"/>
      <c r="IGH230" s="1"/>
      <c r="IGI230" s="1"/>
      <c r="IGJ230" s="1"/>
      <c r="IGK230" s="1"/>
      <c r="IGL230" s="1"/>
      <c r="IGM230" s="1"/>
      <c r="IGN230" s="1"/>
      <c r="IGO230" s="1"/>
      <c r="IGP230" s="1"/>
      <c r="IGQ230" s="1"/>
      <c r="IGR230" s="1"/>
      <c r="IGS230" s="1"/>
      <c r="IGT230" s="1"/>
      <c r="IGU230" s="1"/>
      <c r="IGV230" s="1"/>
      <c r="IGW230" s="1"/>
      <c r="IGX230" s="1"/>
      <c r="IGY230" s="1"/>
      <c r="IGZ230" s="1"/>
      <c r="IHA230" s="1"/>
      <c r="IHB230" s="1"/>
      <c r="IHC230" s="1"/>
      <c r="IHD230" s="1"/>
      <c r="IHE230" s="1"/>
      <c r="IHF230" s="1"/>
      <c r="IHG230" s="1"/>
      <c r="IHH230" s="1"/>
      <c r="IHI230" s="1"/>
      <c r="IHJ230" s="1"/>
      <c r="IHK230" s="1"/>
      <c r="IHL230" s="1"/>
      <c r="IHM230" s="1"/>
      <c r="IHN230" s="1"/>
      <c r="IHO230" s="1"/>
      <c r="IHP230" s="1"/>
      <c r="IHQ230" s="1"/>
      <c r="IHR230" s="1"/>
      <c r="IHS230" s="1"/>
      <c r="IHT230" s="1"/>
      <c r="IHU230" s="1"/>
      <c r="IHV230" s="1"/>
      <c r="IHW230" s="1"/>
      <c r="IHX230" s="1"/>
      <c r="IHY230" s="1"/>
      <c r="IHZ230" s="1"/>
      <c r="IIA230" s="1"/>
      <c r="IIB230" s="1"/>
      <c r="IIC230" s="1"/>
      <c r="IID230" s="1"/>
      <c r="IIE230" s="1"/>
      <c r="IIF230" s="1"/>
      <c r="IIG230" s="1"/>
      <c r="IIH230" s="1"/>
      <c r="III230" s="1"/>
      <c r="IIJ230" s="1"/>
      <c r="IIK230" s="1"/>
      <c r="IIL230" s="1"/>
      <c r="IIM230" s="1"/>
      <c r="IIN230" s="1"/>
      <c r="IIO230" s="1"/>
      <c r="IIP230" s="1"/>
      <c r="IIQ230" s="1"/>
      <c r="IIR230" s="1"/>
      <c r="IIS230" s="1"/>
      <c r="IIT230" s="1"/>
      <c r="IIU230" s="1"/>
      <c r="IIV230" s="1"/>
      <c r="IIW230" s="1"/>
      <c r="IIX230" s="1"/>
      <c r="IIY230" s="1"/>
      <c r="IIZ230" s="1"/>
      <c r="IJA230" s="1"/>
      <c r="IJB230" s="1"/>
      <c r="IJC230" s="1"/>
      <c r="IJD230" s="1"/>
      <c r="IJE230" s="1"/>
      <c r="IJF230" s="1"/>
      <c r="IJG230" s="1"/>
      <c r="IJH230" s="1"/>
      <c r="IJI230" s="1"/>
      <c r="IJJ230" s="1"/>
      <c r="IJK230" s="1"/>
      <c r="IJL230" s="1"/>
      <c r="IJM230" s="1"/>
      <c r="IJN230" s="1"/>
      <c r="IJO230" s="1"/>
      <c r="IJP230" s="1"/>
      <c r="IJQ230" s="1"/>
      <c r="IJR230" s="1"/>
      <c r="IJS230" s="1"/>
      <c r="IJT230" s="1"/>
      <c r="IJU230" s="1"/>
      <c r="IJV230" s="1"/>
      <c r="IJW230" s="1"/>
      <c r="IJX230" s="1"/>
      <c r="IJY230" s="1"/>
      <c r="IJZ230" s="1"/>
      <c r="IKA230" s="1"/>
      <c r="IKB230" s="1"/>
      <c r="IKC230" s="1"/>
      <c r="IKD230" s="1"/>
      <c r="IKE230" s="1"/>
      <c r="IKF230" s="1"/>
      <c r="IKG230" s="1"/>
      <c r="IKH230" s="1"/>
      <c r="IKI230" s="1"/>
      <c r="IKJ230" s="1"/>
      <c r="IKK230" s="1"/>
      <c r="IKL230" s="1"/>
      <c r="IKM230" s="1"/>
      <c r="IKN230" s="1"/>
      <c r="IKO230" s="1"/>
      <c r="IKP230" s="1"/>
      <c r="IKQ230" s="1"/>
      <c r="IKR230" s="1"/>
      <c r="IKS230" s="1"/>
      <c r="IKT230" s="1"/>
      <c r="IKU230" s="1"/>
      <c r="IKV230" s="1"/>
      <c r="IKW230" s="1"/>
      <c r="IKX230" s="1"/>
      <c r="IKY230" s="1"/>
      <c r="IKZ230" s="1"/>
      <c r="ILA230" s="1"/>
      <c r="ILB230" s="1"/>
      <c r="ILC230" s="1"/>
      <c r="ILD230" s="1"/>
      <c r="ILE230" s="1"/>
      <c r="ILF230" s="1"/>
      <c r="ILG230" s="1"/>
      <c r="ILH230" s="1"/>
      <c r="ILI230" s="1"/>
      <c r="ILJ230" s="1"/>
      <c r="ILK230" s="1"/>
      <c r="ILL230" s="1"/>
      <c r="ILM230" s="1"/>
      <c r="ILN230" s="1"/>
      <c r="ILO230" s="1"/>
      <c r="ILP230" s="1"/>
      <c r="ILQ230" s="1"/>
      <c r="ILR230" s="1"/>
      <c r="ILS230" s="1"/>
      <c r="ILT230" s="1"/>
      <c r="ILU230" s="1"/>
      <c r="ILV230" s="1"/>
      <c r="ILW230" s="1"/>
      <c r="ILX230" s="1"/>
      <c r="ILY230" s="1"/>
      <c r="ILZ230" s="1"/>
      <c r="IMA230" s="1"/>
      <c r="IMB230" s="1"/>
      <c r="IMC230" s="1"/>
      <c r="IMD230" s="1"/>
      <c r="IME230" s="1"/>
      <c r="IMF230" s="1"/>
      <c r="IMG230" s="1"/>
      <c r="IMH230" s="1"/>
      <c r="IMI230" s="1"/>
      <c r="IMJ230" s="1"/>
      <c r="IMK230" s="1"/>
      <c r="IML230" s="1"/>
      <c r="IMM230" s="1"/>
      <c r="IMN230" s="1"/>
      <c r="IMO230" s="1"/>
      <c r="IMP230" s="1"/>
      <c r="IMQ230" s="1"/>
      <c r="IMR230" s="1"/>
      <c r="IMS230" s="1"/>
      <c r="IMT230" s="1"/>
      <c r="IMU230" s="1"/>
      <c r="IMV230" s="1"/>
      <c r="IMW230" s="1"/>
      <c r="IMX230" s="1"/>
      <c r="IMY230" s="1"/>
      <c r="IMZ230" s="1"/>
      <c r="INA230" s="1"/>
      <c r="INB230" s="1"/>
      <c r="INC230" s="1"/>
      <c r="IND230" s="1"/>
      <c r="INE230" s="1"/>
      <c r="INF230" s="1"/>
      <c r="ING230" s="1"/>
      <c r="INH230" s="1"/>
      <c r="INI230" s="1"/>
      <c r="INJ230" s="1"/>
      <c r="INK230" s="1"/>
      <c r="INL230" s="1"/>
      <c r="INM230" s="1"/>
      <c r="INN230" s="1"/>
      <c r="INO230" s="1"/>
      <c r="INP230" s="1"/>
      <c r="INQ230" s="1"/>
      <c r="INR230" s="1"/>
      <c r="INS230" s="1"/>
      <c r="INT230" s="1"/>
      <c r="INU230" s="1"/>
      <c r="INV230" s="1"/>
      <c r="INW230" s="1"/>
      <c r="INX230" s="1"/>
      <c r="INY230" s="1"/>
      <c r="INZ230" s="1"/>
      <c r="IOA230" s="1"/>
      <c r="IOB230" s="1"/>
      <c r="IOC230" s="1"/>
      <c r="IOD230" s="1"/>
      <c r="IOE230" s="1"/>
      <c r="IOF230" s="1"/>
      <c r="IOG230" s="1"/>
      <c r="IOH230" s="1"/>
      <c r="IOI230" s="1"/>
      <c r="IOJ230" s="1"/>
      <c r="IOK230" s="1"/>
      <c r="IOL230" s="1"/>
      <c r="IOM230" s="1"/>
      <c r="ION230" s="1"/>
      <c r="IOO230" s="1"/>
      <c r="IOP230" s="1"/>
      <c r="IOQ230" s="1"/>
      <c r="IOR230" s="1"/>
      <c r="IOS230" s="1"/>
      <c r="IOT230" s="1"/>
      <c r="IOU230" s="1"/>
      <c r="IOV230" s="1"/>
      <c r="IOW230" s="1"/>
      <c r="IOX230" s="1"/>
      <c r="IOY230" s="1"/>
      <c r="IOZ230" s="1"/>
      <c r="IPA230" s="1"/>
      <c r="IPB230" s="1"/>
      <c r="IPC230" s="1"/>
      <c r="IPD230" s="1"/>
      <c r="IPE230" s="1"/>
      <c r="IPF230" s="1"/>
      <c r="IPG230" s="1"/>
      <c r="IPH230" s="1"/>
      <c r="IPI230" s="1"/>
      <c r="IPJ230" s="1"/>
      <c r="IPK230" s="1"/>
      <c r="IPL230" s="1"/>
      <c r="IPM230" s="1"/>
      <c r="IPN230" s="1"/>
      <c r="IPO230" s="1"/>
      <c r="IPP230" s="1"/>
      <c r="IPQ230" s="1"/>
      <c r="IPR230" s="1"/>
      <c r="IPS230" s="1"/>
      <c r="IPT230" s="1"/>
      <c r="IPU230" s="1"/>
      <c r="IPV230" s="1"/>
      <c r="IPW230" s="1"/>
      <c r="IPX230" s="1"/>
      <c r="IPY230" s="1"/>
      <c r="IPZ230" s="1"/>
      <c r="IQA230" s="1"/>
      <c r="IQB230" s="1"/>
      <c r="IQC230" s="1"/>
      <c r="IQD230" s="1"/>
      <c r="IQE230" s="1"/>
      <c r="IQF230" s="1"/>
      <c r="IQG230" s="1"/>
      <c r="IQH230" s="1"/>
      <c r="IQI230" s="1"/>
      <c r="IQJ230" s="1"/>
      <c r="IQK230" s="1"/>
      <c r="IQL230" s="1"/>
      <c r="IQM230" s="1"/>
      <c r="IQN230" s="1"/>
      <c r="IQO230" s="1"/>
      <c r="IQP230" s="1"/>
      <c r="IQQ230" s="1"/>
      <c r="IQR230" s="1"/>
      <c r="IQS230" s="1"/>
      <c r="IQT230" s="1"/>
      <c r="IQU230" s="1"/>
      <c r="IQV230" s="1"/>
      <c r="IQW230" s="1"/>
      <c r="IQX230" s="1"/>
      <c r="IQY230" s="1"/>
      <c r="IQZ230" s="1"/>
      <c r="IRA230" s="1"/>
      <c r="IRB230" s="1"/>
      <c r="IRC230" s="1"/>
      <c r="IRD230" s="1"/>
      <c r="IRE230" s="1"/>
      <c r="IRF230" s="1"/>
      <c r="IRG230" s="1"/>
      <c r="IRH230" s="1"/>
      <c r="IRI230" s="1"/>
      <c r="IRJ230" s="1"/>
      <c r="IRK230" s="1"/>
      <c r="IRL230" s="1"/>
      <c r="IRM230" s="1"/>
      <c r="IRN230" s="1"/>
      <c r="IRO230" s="1"/>
      <c r="IRP230" s="1"/>
      <c r="IRQ230" s="1"/>
      <c r="IRR230" s="1"/>
      <c r="IRS230" s="1"/>
      <c r="IRT230" s="1"/>
      <c r="IRU230" s="1"/>
      <c r="IRV230" s="1"/>
      <c r="IRW230" s="1"/>
      <c r="IRX230" s="1"/>
      <c r="IRY230" s="1"/>
      <c r="IRZ230" s="1"/>
      <c r="ISA230" s="1"/>
      <c r="ISB230" s="1"/>
      <c r="ISC230" s="1"/>
      <c r="ISD230" s="1"/>
      <c r="ISE230" s="1"/>
      <c r="ISF230" s="1"/>
      <c r="ISG230" s="1"/>
      <c r="ISH230" s="1"/>
      <c r="ISI230" s="1"/>
      <c r="ISJ230" s="1"/>
      <c r="ISK230" s="1"/>
      <c r="ISL230" s="1"/>
      <c r="ISM230" s="1"/>
      <c r="ISN230" s="1"/>
      <c r="ISO230" s="1"/>
      <c r="ISP230" s="1"/>
      <c r="ISQ230" s="1"/>
      <c r="ISR230" s="1"/>
      <c r="ISS230" s="1"/>
      <c r="IST230" s="1"/>
      <c r="ISU230" s="1"/>
      <c r="ISV230" s="1"/>
      <c r="ISW230" s="1"/>
      <c r="ISX230" s="1"/>
      <c r="ISY230" s="1"/>
      <c r="ISZ230" s="1"/>
      <c r="ITA230" s="1"/>
      <c r="ITB230" s="1"/>
      <c r="ITC230" s="1"/>
      <c r="ITD230" s="1"/>
      <c r="ITE230" s="1"/>
      <c r="ITF230" s="1"/>
      <c r="ITG230" s="1"/>
      <c r="ITH230" s="1"/>
      <c r="ITI230" s="1"/>
      <c r="ITJ230" s="1"/>
      <c r="ITK230" s="1"/>
      <c r="ITL230" s="1"/>
      <c r="ITM230" s="1"/>
      <c r="ITN230" s="1"/>
      <c r="ITO230" s="1"/>
      <c r="ITP230" s="1"/>
      <c r="ITQ230" s="1"/>
      <c r="ITR230" s="1"/>
      <c r="ITS230" s="1"/>
      <c r="ITT230" s="1"/>
      <c r="ITU230" s="1"/>
      <c r="ITV230" s="1"/>
      <c r="ITW230" s="1"/>
      <c r="ITX230" s="1"/>
      <c r="ITY230" s="1"/>
      <c r="ITZ230" s="1"/>
      <c r="IUA230" s="1"/>
      <c r="IUB230" s="1"/>
      <c r="IUC230" s="1"/>
      <c r="IUD230" s="1"/>
      <c r="IUE230" s="1"/>
      <c r="IUF230" s="1"/>
      <c r="IUG230" s="1"/>
      <c r="IUH230" s="1"/>
      <c r="IUI230" s="1"/>
      <c r="IUJ230" s="1"/>
      <c r="IUK230" s="1"/>
      <c r="IUL230" s="1"/>
      <c r="IUM230" s="1"/>
      <c r="IUN230" s="1"/>
      <c r="IUO230" s="1"/>
      <c r="IUP230" s="1"/>
      <c r="IUQ230" s="1"/>
      <c r="IUR230" s="1"/>
      <c r="IUS230" s="1"/>
      <c r="IUT230" s="1"/>
      <c r="IUU230" s="1"/>
      <c r="IUV230" s="1"/>
      <c r="IUW230" s="1"/>
      <c r="IUX230" s="1"/>
      <c r="IUY230" s="1"/>
      <c r="IUZ230" s="1"/>
      <c r="IVA230" s="1"/>
      <c r="IVB230" s="1"/>
      <c r="IVC230" s="1"/>
      <c r="IVD230" s="1"/>
      <c r="IVE230" s="1"/>
      <c r="IVF230" s="1"/>
      <c r="IVG230" s="1"/>
      <c r="IVH230" s="1"/>
      <c r="IVI230" s="1"/>
      <c r="IVJ230" s="1"/>
      <c r="IVK230" s="1"/>
      <c r="IVL230" s="1"/>
      <c r="IVM230" s="1"/>
      <c r="IVN230" s="1"/>
      <c r="IVO230" s="1"/>
      <c r="IVP230" s="1"/>
      <c r="IVQ230" s="1"/>
      <c r="IVR230" s="1"/>
      <c r="IVS230" s="1"/>
      <c r="IVT230" s="1"/>
      <c r="IVU230" s="1"/>
      <c r="IVV230" s="1"/>
      <c r="IVW230" s="1"/>
      <c r="IVX230" s="1"/>
      <c r="IVY230" s="1"/>
      <c r="IVZ230" s="1"/>
      <c r="IWA230" s="1"/>
      <c r="IWB230" s="1"/>
      <c r="IWC230" s="1"/>
      <c r="IWD230" s="1"/>
      <c r="IWE230" s="1"/>
      <c r="IWF230" s="1"/>
      <c r="IWG230" s="1"/>
      <c r="IWH230" s="1"/>
      <c r="IWI230" s="1"/>
      <c r="IWJ230" s="1"/>
      <c r="IWK230" s="1"/>
      <c r="IWL230" s="1"/>
      <c r="IWM230" s="1"/>
      <c r="IWN230" s="1"/>
      <c r="IWO230" s="1"/>
      <c r="IWP230" s="1"/>
      <c r="IWQ230" s="1"/>
      <c r="IWR230" s="1"/>
      <c r="IWS230" s="1"/>
      <c r="IWT230" s="1"/>
      <c r="IWU230" s="1"/>
      <c r="IWV230" s="1"/>
      <c r="IWW230" s="1"/>
      <c r="IWX230" s="1"/>
      <c r="IWY230" s="1"/>
      <c r="IWZ230" s="1"/>
      <c r="IXA230" s="1"/>
      <c r="IXB230" s="1"/>
      <c r="IXC230" s="1"/>
      <c r="IXD230" s="1"/>
      <c r="IXE230" s="1"/>
      <c r="IXF230" s="1"/>
      <c r="IXG230" s="1"/>
      <c r="IXH230" s="1"/>
      <c r="IXI230" s="1"/>
      <c r="IXJ230" s="1"/>
      <c r="IXK230" s="1"/>
      <c r="IXL230" s="1"/>
      <c r="IXM230" s="1"/>
      <c r="IXN230" s="1"/>
      <c r="IXO230" s="1"/>
      <c r="IXP230" s="1"/>
      <c r="IXQ230" s="1"/>
      <c r="IXR230" s="1"/>
      <c r="IXS230" s="1"/>
      <c r="IXT230" s="1"/>
      <c r="IXU230" s="1"/>
      <c r="IXV230" s="1"/>
      <c r="IXW230" s="1"/>
      <c r="IXX230" s="1"/>
      <c r="IXY230" s="1"/>
      <c r="IXZ230" s="1"/>
      <c r="IYA230" s="1"/>
      <c r="IYB230" s="1"/>
      <c r="IYC230" s="1"/>
      <c r="IYD230" s="1"/>
      <c r="IYE230" s="1"/>
      <c r="IYF230" s="1"/>
      <c r="IYG230" s="1"/>
      <c r="IYH230" s="1"/>
      <c r="IYI230" s="1"/>
      <c r="IYJ230" s="1"/>
      <c r="IYK230" s="1"/>
      <c r="IYL230" s="1"/>
      <c r="IYM230" s="1"/>
      <c r="IYN230" s="1"/>
      <c r="IYO230" s="1"/>
      <c r="IYP230" s="1"/>
      <c r="IYQ230" s="1"/>
      <c r="IYR230" s="1"/>
      <c r="IYS230" s="1"/>
      <c r="IYT230" s="1"/>
      <c r="IYU230" s="1"/>
      <c r="IYV230" s="1"/>
      <c r="IYW230" s="1"/>
      <c r="IYX230" s="1"/>
      <c r="IYY230" s="1"/>
      <c r="IYZ230" s="1"/>
      <c r="IZA230" s="1"/>
      <c r="IZB230" s="1"/>
      <c r="IZC230" s="1"/>
      <c r="IZD230" s="1"/>
      <c r="IZE230" s="1"/>
      <c r="IZF230" s="1"/>
      <c r="IZG230" s="1"/>
      <c r="IZH230" s="1"/>
      <c r="IZI230" s="1"/>
      <c r="IZJ230" s="1"/>
      <c r="IZK230" s="1"/>
      <c r="IZL230" s="1"/>
      <c r="IZM230" s="1"/>
      <c r="IZN230" s="1"/>
      <c r="IZO230" s="1"/>
      <c r="IZP230" s="1"/>
      <c r="IZQ230" s="1"/>
      <c r="IZR230" s="1"/>
      <c r="IZS230" s="1"/>
      <c r="IZT230" s="1"/>
      <c r="IZU230" s="1"/>
      <c r="IZV230" s="1"/>
      <c r="IZW230" s="1"/>
      <c r="IZX230" s="1"/>
      <c r="IZY230" s="1"/>
      <c r="IZZ230" s="1"/>
      <c r="JAA230" s="1"/>
      <c r="JAB230" s="1"/>
      <c r="JAC230" s="1"/>
      <c r="JAD230" s="1"/>
      <c r="JAE230" s="1"/>
      <c r="JAF230" s="1"/>
      <c r="JAG230" s="1"/>
      <c r="JAH230" s="1"/>
      <c r="JAI230" s="1"/>
      <c r="JAJ230" s="1"/>
      <c r="JAK230" s="1"/>
      <c r="JAL230" s="1"/>
      <c r="JAM230" s="1"/>
      <c r="JAN230" s="1"/>
      <c r="JAO230" s="1"/>
      <c r="JAP230" s="1"/>
      <c r="JAQ230" s="1"/>
      <c r="JAR230" s="1"/>
      <c r="JAS230" s="1"/>
      <c r="JAT230" s="1"/>
      <c r="JAU230" s="1"/>
      <c r="JAV230" s="1"/>
      <c r="JAW230" s="1"/>
      <c r="JAX230" s="1"/>
      <c r="JAY230" s="1"/>
      <c r="JAZ230" s="1"/>
      <c r="JBA230" s="1"/>
      <c r="JBB230" s="1"/>
      <c r="JBC230" s="1"/>
      <c r="JBD230" s="1"/>
      <c r="JBE230" s="1"/>
      <c r="JBF230" s="1"/>
      <c r="JBG230" s="1"/>
      <c r="JBH230" s="1"/>
      <c r="JBI230" s="1"/>
      <c r="JBJ230" s="1"/>
      <c r="JBK230" s="1"/>
      <c r="JBL230" s="1"/>
      <c r="JBM230" s="1"/>
      <c r="JBN230" s="1"/>
      <c r="JBO230" s="1"/>
      <c r="JBP230" s="1"/>
      <c r="JBQ230" s="1"/>
      <c r="JBR230" s="1"/>
      <c r="JBS230" s="1"/>
      <c r="JBT230" s="1"/>
      <c r="JBU230" s="1"/>
      <c r="JBV230" s="1"/>
      <c r="JBW230" s="1"/>
      <c r="JBX230" s="1"/>
      <c r="JBY230" s="1"/>
      <c r="JBZ230" s="1"/>
      <c r="JCA230" s="1"/>
      <c r="JCB230" s="1"/>
      <c r="JCC230" s="1"/>
      <c r="JCD230" s="1"/>
      <c r="JCE230" s="1"/>
      <c r="JCF230" s="1"/>
      <c r="JCG230" s="1"/>
      <c r="JCH230" s="1"/>
      <c r="JCI230" s="1"/>
      <c r="JCJ230" s="1"/>
      <c r="JCK230" s="1"/>
      <c r="JCL230" s="1"/>
      <c r="JCM230" s="1"/>
      <c r="JCN230" s="1"/>
      <c r="JCO230" s="1"/>
      <c r="JCP230" s="1"/>
      <c r="JCQ230" s="1"/>
      <c r="JCR230" s="1"/>
      <c r="JCS230" s="1"/>
      <c r="JCT230" s="1"/>
      <c r="JCU230" s="1"/>
      <c r="JCV230" s="1"/>
      <c r="JCW230" s="1"/>
      <c r="JCX230" s="1"/>
      <c r="JCY230" s="1"/>
      <c r="JCZ230" s="1"/>
      <c r="JDA230" s="1"/>
      <c r="JDB230" s="1"/>
      <c r="JDC230" s="1"/>
      <c r="JDD230" s="1"/>
      <c r="JDE230" s="1"/>
      <c r="JDF230" s="1"/>
      <c r="JDG230" s="1"/>
      <c r="JDH230" s="1"/>
      <c r="JDI230" s="1"/>
      <c r="JDJ230" s="1"/>
      <c r="JDK230" s="1"/>
      <c r="JDL230" s="1"/>
      <c r="JDM230" s="1"/>
      <c r="JDN230" s="1"/>
      <c r="JDO230" s="1"/>
      <c r="JDP230" s="1"/>
      <c r="JDQ230" s="1"/>
      <c r="JDR230" s="1"/>
      <c r="JDS230" s="1"/>
      <c r="JDT230" s="1"/>
      <c r="JDU230" s="1"/>
      <c r="JDV230" s="1"/>
      <c r="JDW230" s="1"/>
      <c r="JDX230" s="1"/>
      <c r="JDY230" s="1"/>
      <c r="JDZ230" s="1"/>
      <c r="JEA230" s="1"/>
      <c r="JEB230" s="1"/>
      <c r="JEC230" s="1"/>
      <c r="JED230" s="1"/>
      <c r="JEE230" s="1"/>
      <c r="JEF230" s="1"/>
      <c r="JEG230" s="1"/>
      <c r="JEH230" s="1"/>
      <c r="JEI230" s="1"/>
      <c r="JEJ230" s="1"/>
      <c r="JEK230" s="1"/>
      <c r="JEL230" s="1"/>
      <c r="JEM230" s="1"/>
      <c r="JEN230" s="1"/>
      <c r="JEO230" s="1"/>
      <c r="JEP230" s="1"/>
      <c r="JEQ230" s="1"/>
      <c r="JER230" s="1"/>
      <c r="JES230" s="1"/>
      <c r="JET230" s="1"/>
      <c r="JEU230" s="1"/>
      <c r="JEV230" s="1"/>
      <c r="JEW230" s="1"/>
      <c r="JEX230" s="1"/>
      <c r="JEY230" s="1"/>
      <c r="JEZ230" s="1"/>
      <c r="JFA230" s="1"/>
      <c r="JFB230" s="1"/>
      <c r="JFC230" s="1"/>
      <c r="JFD230" s="1"/>
      <c r="JFE230" s="1"/>
      <c r="JFF230" s="1"/>
      <c r="JFG230" s="1"/>
      <c r="JFH230" s="1"/>
      <c r="JFI230" s="1"/>
      <c r="JFJ230" s="1"/>
      <c r="JFK230" s="1"/>
      <c r="JFL230" s="1"/>
      <c r="JFM230" s="1"/>
      <c r="JFN230" s="1"/>
      <c r="JFO230" s="1"/>
      <c r="JFP230" s="1"/>
      <c r="JFQ230" s="1"/>
      <c r="JFR230" s="1"/>
      <c r="JFS230" s="1"/>
      <c r="JFT230" s="1"/>
      <c r="JFU230" s="1"/>
      <c r="JFV230" s="1"/>
      <c r="JFW230" s="1"/>
      <c r="JFX230" s="1"/>
      <c r="JFY230" s="1"/>
      <c r="JFZ230" s="1"/>
      <c r="JGA230" s="1"/>
      <c r="JGB230" s="1"/>
      <c r="JGC230" s="1"/>
      <c r="JGD230" s="1"/>
      <c r="JGE230" s="1"/>
      <c r="JGF230" s="1"/>
      <c r="JGG230" s="1"/>
      <c r="JGH230" s="1"/>
      <c r="JGI230" s="1"/>
      <c r="JGJ230" s="1"/>
      <c r="JGK230" s="1"/>
      <c r="JGL230" s="1"/>
      <c r="JGM230" s="1"/>
      <c r="JGN230" s="1"/>
      <c r="JGO230" s="1"/>
      <c r="JGP230" s="1"/>
      <c r="JGQ230" s="1"/>
      <c r="JGR230" s="1"/>
      <c r="JGS230" s="1"/>
      <c r="JGT230" s="1"/>
      <c r="JGU230" s="1"/>
      <c r="JGV230" s="1"/>
      <c r="JGW230" s="1"/>
      <c r="JGX230" s="1"/>
      <c r="JGY230" s="1"/>
      <c r="JGZ230" s="1"/>
      <c r="JHA230" s="1"/>
      <c r="JHB230" s="1"/>
      <c r="JHC230" s="1"/>
      <c r="JHD230" s="1"/>
      <c r="JHE230" s="1"/>
      <c r="JHF230" s="1"/>
      <c r="JHG230" s="1"/>
      <c r="JHH230" s="1"/>
      <c r="JHI230" s="1"/>
      <c r="JHJ230" s="1"/>
      <c r="JHK230" s="1"/>
      <c r="JHL230" s="1"/>
      <c r="JHM230" s="1"/>
      <c r="JHN230" s="1"/>
      <c r="JHO230" s="1"/>
      <c r="JHP230" s="1"/>
      <c r="JHQ230" s="1"/>
      <c r="JHR230" s="1"/>
      <c r="JHS230" s="1"/>
      <c r="JHT230" s="1"/>
      <c r="JHU230" s="1"/>
      <c r="JHV230" s="1"/>
      <c r="JHW230" s="1"/>
      <c r="JHX230" s="1"/>
      <c r="JHY230" s="1"/>
      <c r="JHZ230" s="1"/>
      <c r="JIA230" s="1"/>
      <c r="JIB230" s="1"/>
      <c r="JIC230" s="1"/>
      <c r="JID230" s="1"/>
      <c r="JIE230" s="1"/>
      <c r="JIF230" s="1"/>
      <c r="JIG230" s="1"/>
      <c r="JIH230" s="1"/>
      <c r="JII230" s="1"/>
      <c r="JIJ230" s="1"/>
      <c r="JIK230" s="1"/>
      <c r="JIL230" s="1"/>
      <c r="JIM230" s="1"/>
      <c r="JIN230" s="1"/>
      <c r="JIO230" s="1"/>
      <c r="JIP230" s="1"/>
      <c r="JIQ230" s="1"/>
      <c r="JIR230" s="1"/>
      <c r="JIS230" s="1"/>
      <c r="JIT230" s="1"/>
      <c r="JIU230" s="1"/>
      <c r="JIV230" s="1"/>
      <c r="JIW230" s="1"/>
      <c r="JIX230" s="1"/>
      <c r="JIY230" s="1"/>
      <c r="JIZ230" s="1"/>
      <c r="JJA230" s="1"/>
      <c r="JJB230" s="1"/>
      <c r="JJC230" s="1"/>
      <c r="JJD230" s="1"/>
      <c r="JJE230" s="1"/>
      <c r="JJF230" s="1"/>
      <c r="JJG230" s="1"/>
      <c r="JJH230" s="1"/>
      <c r="JJI230" s="1"/>
      <c r="JJJ230" s="1"/>
      <c r="JJK230" s="1"/>
      <c r="JJL230" s="1"/>
      <c r="JJM230" s="1"/>
      <c r="JJN230" s="1"/>
      <c r="JJO230" s="1"/>
      <c r="JJP230" s="1"/>
      <c r="JJQ230" s="1"/>
      <c r="JJR230" s="1"/>
      <c r="JJS230" s="1"/>
      <c r="JJT230" s="1"/>
      <c r="JJU230" s="1"/>
      <c r="JJV230" s="1"/>
      <c r="JJW230" s="1"/>
      <c r="JJX230" s="1"/>
      <c r="JJY230" s="1"/>
      <c r="JJZ230" s="1"/>
      <c r="JKA230" s="1"/>
      <c r="JKB230" s="1"/>
      <c r="JKC230" s="1"/>
      <c r="JKD230" s="1"/>
      <c r="JKE230" s="1"/>
      <c r="JKF230" s="1"/>
      <c r="JKG230" s="1"/>
      <c r="JKH230" s="1"/>
      <c r="JKI230" s="1"/>
      <c r="JKJ230" s="1"/>
      <c r="JKK230" s="1"/>
      <c r="JKL230" s="1"/>
      <c r="JKM230" s="1"/>
      <c r="JKN230" s="1"/>
      <c r="JKO230" s="1"/>
      <c r="JKP230" s="1"/>
      <c r="JKQ230" s="1"/>
      <c r="JKR230" s="1"/>
      <c r="JKS230" s="1"/>
      <c r="JKT230" s="1"/>
      <c r="JKU230" s="1"/>
      <c r="JKV230" s="1"/>
      <c r="JKW230" s="1"/>
      <c r="JKX230" s="1"/>
      <c r="JKY230" s="1"/>
      <c r="JKZ230" s="1"/>
      <c r="JLA230" s="1"/>
      <c r="JLB230" s="1"/>
      <c r="JLC230" s="1"/>
      <c r="JLD230" s="1"/>
      <c r="JLE230" s="1"/>
      <c r="JLF230" s="1"/>
      <c r="JLG230" s="1"/>
      <c r="JLH230" s="1"/>
      <c r="JLI230" s="1"/>
      <c r="JLJ230" s="1"/>
      <c r="JLK230" s="1"/>
      <c r="JLL230" s="1"/>
      <c r="JLM230" s="1"/>
      <c r="JLN230" s="1"/>
      <c r="JLO230" s="1"/>
      <c r="JLP230" s="1"/>
      <c r="JLQ230" s="1"/>
      <c r="JLR230" s="1"/>
      <c r="JLS230" s="1"/>
      <c r="JLT230" s="1"/>
      <c r="JLU230" s="1"/>
      <c r="JLV230" s="1"/>
      <c r="JLW230" s="1"/>
      <c r="JLX230" s="1"/>
      <c r="JLY230" s="1"/>
      <c r="JLZ230" s="1"/>
      <c r="JMA230" s="1"/>
      <c r="JMB230" s="1"/>
      <c r="JMC230" s="1"/>
      <c r="JMD230" s="1"/>
      <c r="JME230" s="1"/>
      <c r="JMF230" s="1"/>
      <c r="JMG230" s="1"/>
      <c r="JMH230" s="1"/>
      <c r="JMI230" s="1"/>
      <c r="JMJ230" s="1"/>
      <c r="JMK230" s="1"/>
      <c r="JML230" s="1"/>
      <c r="JMM230" s="1"/>
      <c r="JMN230" s="1"/>
      <c r="JMO230" s="1"/>
      <c r="JMP230" s="1"/>
      <c r="JMQ230" s="1"/>
      <c r="JMR230" s="1"/>
      <c r="JMS230" s="1"/>
      <c r="JMT230" s="1"/>
      <c r="JMU230" s="1"/>
      <c r="JMV230" s="1"/>
      <c r="JMW230" s="1"/>
      <c r="JMX230" s="1"/>
      <c r="JMY230" s="1"/>
      <c r="JMZ230" s="1"/>
      <c r="JNA230" s="1"/>
      <c r="JNB230" s="1"/>
      <c r="JNC230" s="1"/>
      <c r="JND230" s="1"/>
      <c r="JNE230" s="1"/>
      <c r="JNF230" s="1"/>
      <c r="JNG230" s="1"/>
      <c r="JNH230" s="1"/>
      <c r="JNI230" s="1"/>
      <c r="JNJ230" s="1"/>
      <c r="JNK230" s="1"/>
      <c r="JNL230" s="1"/>
      <c r="JNM230" s="1"/>
      <c r="JNN230" s="1"/>
      <c r="JNO230" s="1"/>
      <c r="JNP230" s="1"/>
      <c r="JNQ230" s="1"/>
      <c r="JNR230" s="1"/>
      <c r="JNS230" s="1"/>
      <c r="JNT230" s="1"/>
      <c r="JNU230" s="1"/>
      <c r="JNV230" s="1"/>
      <c r="JNW230" s="1"/>
      <c r="JNX230" s="1"/>
      <c r="JNY230" s="1"/>
      <c r="JNZ230" s="1"/>
      <c r="JOA230" s="1"/>
      <c r="JOB230" s="1"/>
      <c r="JOC230" s="1"/>
      <c r="JOD230" s="1"/>
      <c r="JOE230" s="1"/>
      <c r="JOF230" s="1"/>
      <c r="JOG230" s="1"/>
      <c r="JOH230" s="1"/>
      <c r="JOI230" s="1"/>
      <c r="JOJ230" s="1"/>
      <c r="JOK230" s="1"/>
      <c r="JOL230" s="1"/>
      <c r="JOM230" s="1"/>
      <c r="JON230" s="1"/>
      <c r="JOO230" s="1"/>
      <c r="JOP230" s="1"/>
      <c r="JOQ230" s="1"/>
      <c r="JOR230" s="1"/>
      <c r="JOS230" s="1"/>
      <c r="JOT230" s="1"/>
      <c r="JOU230" s="1"/>
      <c r="JOV230" s="1"/>
      <c r="JOW230" s="1"/>
      <c r="JOX230" s="1"/>
      <c r="JOY230" s="1"/>
      <c r="JOZ230" s="1"/>
      <c r="JPA230" s="1"/>
      <c r="JPB230" s="1"/>
      <c r="JPC230" s="1"/>
      <c r="JPD230" s="1"/>
      <c r="JPE230" s="1"/>
      <c r="JPF230" s="1"/>
      <c r="JPG230" s="1"/>
      <c r="JPH230" s="1"/>
      <c r="JPI230" s="1"/>
      <c r="JPJ230" s="1"/>
      <c r="JPK230" s="1"/>
      <c r="JPL230" s="1"/>
      <c r="JPM230" s="1"/>
      <c r="JPN230" s="1"/>
      <c r="JPO230" s="1"/>
      <c r="JPP230" s="1"/>
      <c r="JPQ230" s="1"/>
      <c r="JPR230" s="1"/>
      <c r="JPS230" s="1"/>
      <c r="JPT230" s="1"/>
      <c r="JPU230" s="1"/>
      <c r="JPV230" s="1"/>
      <c r="JPW230" s="1"/>
      <c r="JPX230" s="1"/>
      <c r="JPY230" s="1"/>
      <c r="JPZ230" s="1"/>
      <c r="JQA230" s="1"/>
      <c r="JQB230" s="1"/>
      <c r="JQC230" s="1"/>
      <c r="JQD230" s="1"/>
      <c r="JQE230" s="1"/>
      <c r="JQF230" s="1"/>
      <c r="JQG230" s="1"/>
      <c r="JQH230" s="1"/>
      <c r="JQI230" s="1"/>
      <c r="JQJ230" s="1"/>
      <c r="JQK230" s="1"/>
      <c r="JQL230" s="1"/>
      <c r="JQM230" s="1"/>
      <c r="JQN230" s="1"/>
      <c r="JQO230" s="1"/>
      <c r="JQP230" s="1"/>
      <c r="JQQ230" s="1"/>
      <c r="JQR230" s="1"/>
      <c r="JQS230" s="1"/>
      <c r="JQT230" s="1"/>
      <c r="JQU230" s="1"/>
      <c r="JQV230" s="1"/>
      <c r="JQW230" s="1"/>
      <c r="JQX230" s="1"/>
      <c r="JQY230" s="1"/>
      <c r="JQZ230" s="1"/>
      <c r="JRA230" s="1"/>
      <c r="JRB230" s="1"/>
      <c r="JRC230" s="1"/>
      <c r="JRD230" s="1"/>
      <c r="JRE230" s="1"/>
      <c r="JRF230" s="1"/>
      <c r="JRG230" s="1"/>
      <c r="JRH230" s="1"/>
      <c r="JRI230" s="1"/>
      <c r="JRJ230" s="1"/>
      <c r="JRK230" s="1"/>
      <c r="JRL230" s="1"/>
      <c r="JRM230" s="1"/>
      <c r="JRN230" s="1"/>
      <c r="JRO230" s="1"/>
      <c r="JRP230" s="1"/>
      <c r="JRQ230" s="1"/>
      <c r="JRR230" s="1"/>
      <c r="JRS230" s="1"/>
      <c r="JRT230" s="1"/>
      <c r="JRU230" s="1"/>
      <c r="JRV230" s="1"/>
      <c r="JRW230" s="1"/>
      <c r="JRX230" s="1"/>
      <c r="JRY230" s="1"/>
      <c r="JRZ230" s="1"/>
      <c r="JSA230" s="1"/>
      <c r="JSB230" s="1"/>
      <c r="JSC230" s="1"/>
      <c r="JSD230" s="1"/>
      <c r="JSE230" s="1"/>
      <c r="JSF230" s="1"/>
      <c r="JSG230" s="1"/>
      <c r="JSH230" s="1"/>
      <c r="JSI230" s="1"/>
      <c r="JSJ230" s="1"/>
      <c r="JSK230" s="1"/>
      <c r="JSL230" s="1"/>
      <c r="JSM230" s="1"/>
      <c r="JSN230" s="1"/>
      <c r="JSO230" s="1"/>
      <c r="JSP230" s="1"/>
      <c r="JSQ230" s="1"/>
      <c r="JSR230" s="1"/>
      <c r="JSS230" s="1"/>
      <c r="JST230" s="1"/>
      <c r="JSU230" s="1"/>
      <c r="JSV230" s="1"/>
      <c r="JSW230" s="1"/>
      <c r="JSX230" s="1"/>
      <c r="JSY230" s="1"/>
      <c r="JSZ230" s="1"/>
      <c r="JTA230" s="1"/>
      <c r="JTB230" s="1"/>
      <c r="JTC230" s="1"/>
      <c r="JTD230" s="1"/>
      <c r="JTE230" s="1"/>
      <c r="JTF230" s="1"/>
      <c r="JTG230" s="1"/>
      <c r="JTH230" s="1"/>
      <c r="JTI230" s="1"/>
      <c r="JTJ230" s="1"/>
      <c r="JTK230" s="1"/>
      <c r="JTL230" s="1"/>
      <c r="JTM230" s="1"/>
      <c r="JTN230" s="1"/>
      <c r="JTO230" s="1"/>
      <c r="JTP230" s="1"/>
      <c r="JTQ230" s="1"/>
      <c r="JTR230" s="1"/>
      <c r="JTS230" s="1"/>
      <c r="JTT230" s="1"/>
      <c r="JTU230" s="1"/>
      <c r="JTV230" s="1"/>
      <c r="JTW230" s="1"/>
      <c r="JTX230" s="1"/>
      <c r="JTY230" s="1"/>
      <c r="JTZ230" s="1"/>
      <c r="JUA230" s="1"/>
      <c r="JUB230" s="1"/>
      <c r="JUC230" s="1"/>
      <c r="JUD230" s="1"/>
      <c r="JUE230" s="1"/>
      <c r="JUF230" s="1"/>
      <c r="JUG230" s="1"/>
      <c r="JUH230" s="1"/>
      <c r="JUI230" s="1"/>
      <c r="JUJ230" s="1"/>
      <c r="JUK230" s="1"/>
      <c r="JUL230" s="1"/>
      <c r="JUM230" s="1"/>
      <c r="JUN230" s="1"/>
      <c r="JUO230" s="1"/>
      <c r="JUP230" s="1"/>
      <c r="JUQ230" s="1"/>
      <c r="JUR230" s="1"/>
      <c r="JUS230" s="1"/>
      <c r="JUT230" s="1"/>
      <c r="JUU230" s="1"/>
      <c r="JUV230" s="1"/>
      <c r="JUW230" s="1"/>
      <c r="JUX230" s="1"/>
      <c r="JUY230" s="1"/>
      <c r="JUZ230" s="1"/>
      <c r="JVA230" s="1"/>
      <c r="JVB230" s="1"/>
      <c r="JVC230" s="1"/>
      <c r="JVD230" s="1"/>
      <c r="JVE230" s="1"/>
      <c r="JVF230" s="1"/>
      <c r="JVG230" s="1"/>
      <c r="JVH230" s="1"/>
      <c r="JVI230" s="1"/>
      <c r="JVJ230" s="1"/>
      <c r="JVK230" s="1"/>
      <c r="JVL230" s="1"/>
      <c r="JVM230" s="1"/>
      <c r="JVN230" s="1"/>
      <c r="JVO230" s="1"/>
      <c r="JVP230" s="1"/>
      <c r="JVQ230" s="1"/>
      <c r="JVR230" s="1"/>
      <c r="JVS230" s="1"/>
      <c r="JVT230" s="1"/>
      <c r="JVU230" s="1"/>
      <c r="JVV230" s="1"/>
      <c r="JVW230" s="1"/>
      <c r="JVX230" s="1"/>
      <c r="JVY230" s="1"/>
      <c r="JVZ230" s="1"/>
      <c r="JWA230" s="1"/>
      <c r="JWB230" s="1"/>
      <c r="JWC230" s="1"/>
      <c r="JWD230" s="1"/>
      <c r="JWE230" s="1"/>
      <c r="JWF230" s="1"/>
      <c r="JWG230" s="1"/>
      <c r="JWH230" s="1"/>
      <c r="JWI230" s="1"/>
      <c r="JWJ230" s="1"/>
      <c r="JWK230" s="1"/>
      <c r="JWL230" s="1"/>
      <c r="JWM230" s="1"/>
      <c r="JWN230" s="1"/>
      <c r="JWO230" s="1"/>
      <c r="JWP230" s="1"/>
      <c r="JWQ230" s="1"/>
      <c r="JWR230" s="1"/>
      <c r="JWS230" s="1"/>
      <c r="JWT230" s="1"/>
      <c r="JWU230" s="1"/>
      <c r="JWV230" s="1"/>
      <c r="JWW230" s="1"/>
      <c r="JWX230" s="1"/>
      <c r="JWY230" s="1"/>
      <c r="JWZ230" s="1"/>
      <c r="JXA230" s="1"/>
      <c r="JXB230" s="1"/>
      <c r="JXC230" s="1"/>
      <c r="JXD230" s="1"/>
      <c r="JXE230" s="1"/>
      <c r="JXF230" s="1"/>
      <c r="JXG230" s="1"/>
      <c r="JXH230" s="1"/>
      <c r="JXI230" s="1"/>
      <c r="JXJ230" s="1"/>
      <c r="JXK230" s="1"/>
      <c r="JXL230" s="1"/>
      <c r="JXM230" s="1"/>
      <c r="JXN230" s="1"/>
      <c r="JXO230" s="1"/>
      <c r="JXP230" s="1"/>
      <c r="JXQ230" s="1"/>
      <c r="JXR230" s="1"/>
      <c r="JXS230" s="1"/>
      <c r="JXT230" s="1"/>
      <c r="JXU230" s="1"/>
      <c r="JXV230" s="1"/>
      <c r="JXW230" s="1"/>
      <c r="JXX230" s="1"/>
      <c r="JXY230" s="1"/>
      <c r="JXZ230" s="1"/>
      <c r="JYA230" s="1"/>
      <c r="JYB230" s="1"/>
      <c r="JYC230" s="1"/>
      <c r="JYD230" s="1"/>
      <c r="JYE230" s="1"/>
      <c r="JYF230" s="1"/>
      <c r="JYG230" s="1"/>
      <c r="JYH230" s="1"/>
      <c r="JYI230" s="1"/>
      <c r="JYJ230" s="1"/>
      <c r="JYK230" s="1"/>
      <c r="JYL230" s="1"/>
      <c r="JYM230" s="1"/>
      <c r="JYN230" s="1"/>
      <c r="JYO230" s="1"/>
      <c r="JYP230" s="1"/>
      <c r="JYQ230" s="1"/>
      <c r="JYR230" s="1"/>
      <c r="JYS230" s="1"/>
      <c r="JYT230" s="1"/>
      <c r="JYU230" s="1"/>
      <c r="JYV230" s="1"/>
      <c r="JYW230" s="1"/>
      <c r="JYX230" s="1"/>
      <c r="JYY230" s="1"/>
      <c r="JYZ230" s="1"/>
      <c r="JZA230" s="1"/>
      <c r="JZB230" s="1"/>
      <c r="JZC230" s="1"/>
      <c r="JZD230" s="1"/>
      <c r="JZE230" s="1"/>
      <c r="JZF230" s="1"/>
      <c r="JZG230" s="1"/>
      <c r="JZH230" s="1"/>
      <c r="JZI230" s="1"/>
      <c r="JZJ230" s="1"/>
      <c r="JZK230" s="1"/>
      <c r="JZL230" s="1"/>
      <c r="JZM230" s="1"/>
      <c r="JZN230" s="1"/>
      <c r="JZO230" s="1"/>
      <c r="JZP230" s="1"/>
      <c r="JZQ230" s="1"/>
      <c r="JZR230" s="1"/>
      <c r="JZS230" s="1"/>
      <c r="JZT230" s="1"/>
      <c r="JZU230" s="1"/>
      <c r="JZV230" s="1"/>
      <c r="JZW230" s="1"/>
      <c r="JZX230" s="1"/>
      <c r="JZY230" s="1"/>
      <c r="JZZ230" s="1"/>
      <c r="KAA230" s="1"/>
      <c r="KAB230" s="1"/>
      <c r="KAC230" s="1"/>
      <c r="KAD230" s="1"/>
      <c r="KAE230" s="1"/>
      <c r="KAF230" s="1"/>
      <c r="KAG230" s="1"/>
      <c r="KAH230" s="1"/>
      <c r="KAI230" s="1"/>
      <c r="KAJ230" s="1"/>
      <c r="KAK230" s="1"/>
      <c r="KAL230" s="1"/>
      <c r="KAM230" s="1"/>
      <c r="KAN230" s="1"/>
      <c r="KAO230" s="1"/>
      <c r="KAP230" s="1"/>
      <c r="KAQ230" s="1"/>
      <c r="KAR230" s="1"/>
      <c r="KAS230" s="1"/>
      <c r="KAT230" s="1"/>
      <c r="KAU230" s="1"/>
      <c r="KAV230" s="1"/>
      <c r="KAW230" s="1"/>
      <c r="KAX230" s="1"/>
      <c r="KAY230" s="1"/>
      <c r="KAZ230" s="1"/>
      <c r="KBA230" s="1"/>
      <c r="KBB230" s="1"/>
      <c r="KBC230" s="1"/>
      <c r="KBD230" s="1"/>
      <c r="KBE230" s="1"/>
      <c r="KBF230" s="1"/>
      <c r="KBG230" s="1"/>
      <c r="KBH230" s="1"/>
      <c r="KBI230" s="1"/>
      <c r="KBJ230" s="1"/>
      <c r="KBK230" s="1"/>
      <c r="KBL230" s="1"/>
      <c r="KBM230" s="1"/>
      <c r="KBN230" s="1"/>
      <c r="KBO230" s="1"/>
      <c r="KBP230" s="1"/>
      <c r="KBQ230" s="1"/>
      <c r="KBR230" s="1"/>
      <c r="KBS230" s="1"/>
      <c r="KBT230" s="1"/>
      <c r="KBU230" s="1"/>
      <c r="KBV230" s="1"/>
      <c r="KBW230" s="1"/>
      <c r="KBX230" s="1"/>
      <c r="KBY230" s="1"/>
      <c r="KBZ230" s="1"/>
      <c r="KCA230" s="1"/>
      <c r="KCB230" s="1"/>
      <c r="KCC230" s="1"/>
      <c r="KCD230" s="1"/>
      <c r="KCE230" s="1"/>
      <c r="KCF230" s="1"/>
      <c r="KCG230" s="1"/>
      <c r="KCH230" s="1"/>
      <c r="KCI230" s="1"/>
      <c r="KCJ230" s="1"/>
      <c r="KCK230" s="1"/>
      <c r="KCL230" s="1"/>
      <c r="KCM230" s="1"/>
      <c r="KCN230" s="1"/>
      <c r="KCO230" s="1"/>
      <c r="KCP230" s="1"/>
      <c r="KCQ230" s="1"/>
      <c r="KCR230" s="1"/>
      <c r="KCS230" s="1"/>
      <c r="KCT230" s="1"/>
      <c r="KCU230" s="1"/>
      <c r="KCV230" s="1"/>
      <c r="KCW230" s="1"/>
      <c r="KCX230" s="1"/>
      <c r="KCY230" s="1"/>
      <c r="KCZ230" s="1"/>
      <c r="KDA230" s="1"/>
      <c r="KDB230" s="1"/>
      <c r="KDC230" s="1"/>
      <c r="KDD230" s="1"/>
      <c r="KDE230" s="1"/>
      <c r="KDF230" s="1"/>
      <c r="KDG230" s="1"/>
      <c r="KDH230" s="1"/>
      <c r="KDI230" s="1"/>
      <c r="KDJ230" s="1"/>
      <c r="KDK230" s="1"/>
      <c r="KDL230" s="1"/>
      <c r="KDM230" s="1"/>
      <c r="KDN230" s="1"/>
      <c r="KDO230" s="1"/>
      <c r="KDP230" s="1"/>
      <c r="KDQ230" s="1"/>
      <c r="KDR230" s="1"/>
      <c r="KDS230" s="1"/>
      <c r="KDT230" s="1"/>
      <c r="KDU230" s="1"/>
      <c r="KDV230" s="1"/>
      <c r="KDW230" s="1"/>
      <c r="KDX230" s="1"/>
      <c r="KDY230" s="1"/>
      <c r="KDZ230" s="1"/>
      <c r="KEA230" s="1"/>
      <c r="KEB230" s="1"/>
      <c r="KEC230" s="1"/>
      <c r="KED230" s="1"/>
      <c r="KEE230" s="1"/>
      <c r="KEF230" s="1"/>
      <c r="KEG230" s="1"/>
      <c r="KEH230" s="1"/>
      <c r="KEI230" s="1"/>
      <c r="KEJ230" s="1"/>
      <c r="KEK230" s="1"/>
      <c r="KEL230" s="1"/>
      <c r="KEM230" s="1"/>
      <c r="KEN230" s="1"/>
      <c r="KEO230" s="1"/>
      <c r="KEP230" s="1"/>
      <c r="KEQ230" s="1"/>
      <c r="KER230" s="1"/>
      <c r="KES230" s="1"/>
      <c r="KET230" s="1"/>
      <c r="KEU230" s="1"/>
      <c r="KEV230" s="1"/>
      <c r="KEW230" s="1"/>
      <c r="KEX230" s="1"/>
      <c r="KEY230" s="1"/>
      <c r="KEZ230" s="1"/>
      <c r="KFA230" s="1"/>
      <c r="KFB230" s="1"/>
      <c r="KFC230" s="1"/>
      <c r="KFD230" s="1"/>
      <c r="KFE230" s="1"/>
      <c r="KFF230" s="1"/>
      <c r="KFG230" s="1"/>
      <c r="KFH230" s="1"/>
      <c r="KFI230" s="1"/>
      <c r="KFJ230" s="1"/>
      <c r="KFK230" s="1"/>
      <c r="KFL230" s="1"/>
      <c r="KFM230" s="1"/>
      <c r="KFN230" s="1"/>
      <c r="KFO230" s="1"/>
      <c r="KFP230" s="1"/>
      <c r="KFQ230" s="1"/>
      <c r="KFR230" s="1"/>
      <c r="KFS230" s="1"/>
      <c r="KFT230" s="1"/>
      <c r="KFU230" s="1"/>
      <c r="KFV230" s="1"/>
      <c r="KFW230" s="1"/>
      <c r="KFX230" s="1"/>
      <c r="KFY230" s="1"/>
      <c r="KFZ230" s="1"/>
      <c r="KGA230" s="1"/>
      <c r="KGB230" s="1"/>
      <c r="KGC230" s="1"/>
      <c r="KGD230" s="1"/>
      <c r="KGE230" s="1"/>
      <c r="KGF230" s="1"/>
      <c r="KGG230" s="1"/>
      <c r="KGH230" s="1"/>
      <c r="KGI230" s="1"/>
      <c r="KGJ230" s="1"/>
      <c r="KGK230" s="1"/>
      <c r="KGL230" s="1"/>
      <c r="KGM230" s="1"/>
      <c r="KGN230" s="1"/>
      <c r="KGO230" s="1"/>
      <c r="KGP230" s="1"/>
      <c r="KGQ230" s="1"/>
      <c r="KGR230" s="1"/>
      <c r="KGS230" s="1"/>
      <c r="KGT230" s="1"/>
      <c r="KGU230" s="1"/>
      <c r="KGV230" s="1"/>
      <c r="KGW230" s="1"/>
      <c r="KGX230" s="1"/>
      <c r="KGY230" s="1"/>
      <c r="KGZ230" s="1"/>
      <c r="KHA230" s="1"/>
      <c r="KHB230" s="1"/>
      <c r="KHC230" s="1"/>
      <c r="KHD230" s="1"/>
      <c r="KHE230" s="1"/>
      <c r="KHF230" s="1"/>
      <c r="KHG230" s="1"/>
      <c r="KHH230" s="1"/>
      <c r="KHI230" s="1"/>
      <c r="KHJ230" s="1"/>
      <c r="KHK230" s="1"/>
      <c r="KHL230" s="1"/>
      <c r="KHM230" s="1"/>
      <c r="KHN230" s="1"/>
      <c r="KHO230" s="1"/>
      <c r="KHP230" s="1"/>
      <c r="KHQ230" s="1"/>
      <c r="KHR230" s="1"/>
      <c r="KHS230" s="1"/>
      <c r="KHT230" s="1"/>
      <c r="KHU230" s="1"/>
      <c r="KHV230" s="1"/>
      <c r="KHW230" s="1"/>
      <c r="KHX230" s="1"/>
      <c r="KHY230" s="1"/>
      <c r="KHZ230" s="1"/>
      <c r="KIA230" s="1"/>
      <c r="KIB230" s="1"/>
      <c r="KIC230" s="1"/>
      <c r="KID230" s="1"/>
      <c r="KIE230" s="1"/>
      <c r="KIF230" s="1"/>
      <c r="KIG230" s="1"/>
      <c r="KIH230" s="1"/>
      <c r="KII230" s="1"/>
      <c r="KIJ230" s="1"/>
      <c r="KIK230" s="1"/>
      <c r="KIL230" s="1"/>
      <c r="KIM230" s="1"/>
      <c r="KIN230" s="1"/>
      <c r="KIO230" s="1"/>
      <c r="KIP230" s="1"/>
      <c r="KIQ230" s="1"/>
      <c r="KIR230" s="1"/>
      <c r="KIS230" s="1"/>
      <c r="KIT230" s="1"/>
      <c r="KIU230" s="1"/>
      <c r="KIV230" s="1"/>
      <c r="KIW230" s="1"/>
      <c r="KIX230" s="1"/>
      <c r="KIY230" s="1"/>
      <c r="KIZ230" s="1"/>
      <c r="KJA230" s="1"/>
      <c r="KJB230" s="1"/>
      <c r="KJC230" s="1"/>
      <c r="KJD230" s="1"/>
      <c r="KJE230" s="1"/>
      <c r="KJF230" s="1"/>
      <c r="KJG230" s="1"/>
      <c r="KJH230" s="1"/>
      <c r="KJI230" s="1"/>
      <c r="KJJ230" s="1"/>
      <c r="KJK230" s="1"/>
      <c r="KJL230" s="1"/>
      <c r="KJM230" s="1"/>
      <c r="KJN230" s="1"/>
      <c r="KJO230" s="1"/>
      <c r="KJP230" s="1"/>
      <c r="KJQ230" s="1"/>
      <c r="KJR230" s="1"/>
      <c r="KJS230" s="1"/>
      <c r="KJT230" s="1"/>
      <c r="KJU230" s="1"/>
      <c r="KJV230" s="1"/>
      <c r="KJW230" s="1"/>
      <c r="KJX230" s="1"/>
      <c r="KJY230" s="1"/>
      <c r="KJZ230" s="1"/>
      <c r="KKA230" s="1"/>
      <c r="KKB230" s="1"/>
      <c r="KKC230" s="1"/>
      <c r="KKD230" s="1"/>
      <c r="KKE230" s="1"/>
      <c r="KKF230" s="1"/>
      <c r="KKG230" s="1"/>
      <c r="KKH230" s="1"/>
      <c r="KKI230" s="1"/>
      <c r="KKJ230" s="1"/>
      <c r="KKK230" s="1"/>
      <c r="KKL230" s="1"/>
      <c r="KKM230" s="1"/>
      <c r="KKN230" s="1"/>
      <c r="KKO230" s="1"/>
      <c r="KKP230" s="1"/>
      <c r="KKQ230" s="1"/>
      <c r="KKR230" s="1"/>
      <c r="KKS230" s="1"/>
      <c r="KKT230" s="1"/>
      <c r="KKU230" s="1"/>
      <c r="KKV230" s="1"/>
      <c r="KKW230" s="1"/>
      <c r="KKX230" s="1"/>
      <c r="KKY230" s="1"/>
      <c r="KKZ230" s="1"/>
      <c r="KLA230" s="1"/>
      <c r="KLB230" s="1"/>
      <c r="KLC230" s="1"/>
      <c r="KLD230" s="1"/>
      <c r="KLE230" s="1"/>
      <c r="KLF230" s="1"/>
      <c r="KLG230" s="1"/>
      <c r="KLH230" s="1"/>
      <c r="KLI230" s="1"/>
      <c r="KLJ230" s="1"/>
      <c r="KLK230" s="1"/>
      <c r="KLL230" s="1"/>
      <c r="KLM230" s="1"/>
      <c r="KLN230" s="1"/>
      <c r="KLO230" s="1"/>
      <c r="KLP230" s="1"/>
      <c r="KLQ230" s="1"/>
      <c r="KLR230" s="1"/>
      <c r="KLS230" s="1"/>
      <c r="KLT230" s="1"/>
      <c r="KLU230" s="1"/>
      <c r="KLV230" s="1"/>
      <c r="KLW230" s="1"/>
      <c r="KLX230" s="1"/>
      <c r="KLY230" s="1"/>
      <c r="KLZ230" s="1"/>
      <c r="KMA230" s="1"/>
      <c r="KMB230" s="1"/>
      <c r="KMC230" s="1"/>
      <c r="KMD230" s="1"/>
      <c r="KME230" s="1"/>
      <c r="KMF230" s="1"/>
      <c r="KMG230" s="1"/>
      <c r="KMH230" s="1"/>
      <c r="KMI230" s="1"/>
      <c r="KMJ230" s="1"/>
      <c r="KMK230" s="1"/>
      <c r="KML230" s="1"/>
      <c r="KMM230" s="1"/>
      <c r="KMN230" s="1"/>
      <c r="KMO230" s="1"/>
      <c r="KMP230" s="1"/>
      <c r="KMQ230" s="1"/>
      <c r="KMR230" s="1"/>
      <c r="KMS230" s="1"/>
      <c r="KMT230" s="1"/>
      <c r="KMU230" s="1"/>
      <c r="KMV230" s="1"/>
      <c r="KMW230" s="1"/>
      <c r="KMX230" s="1"/>
      <c r="KMY230" s="1"/>
      <c r="KMZ230" s="1"/>
      <c r="KNA230" s="1"/>
      <c r="KNB230" s="1"/>
      <c r="KNC230" s="1"/>
      <c r="KND230" s="1"/>
      <c r="KNE230" s="1"/>
      <c r="KNF230" s="1"/>
      <c r="KNG230" s="1"/>
      <c r="KNH230" s="1"/>
      <c r="KNI230" s="1"/>
      <c r="KNJ230" s="1"/>
      <c r="KNK230" s="1"/>
      <c r="KNL230" s="1"/>
      <c r="KNM230" s="1"/>
      <c r="KNN230" s="1"/>
      <c r="KNO230" s="1"/>
      <c r="KNP230" s="1"/>
      <c r="KNQ230" s="1"/>
      <c r="KNR230" s="1"/>
      <c r="KNS230" s="1"/>
      <c r="KNT230" s="1"/>
      <c r="KNU230" s="1"/>
      <c r="KNV230" s="1"/>
      <c r="KNW230" s="1"/>
      <c r="KNX230" s="1"/>
      <c r="KNY230" s="1"/>
      <c r="KNZ230" s="1"/>
      <c r="KOA230" s="1"/>
      <c r="KOB230" s="1"/>
      <c r="KOC230" s="1"/>
      <c r="KOD230" s="1"/>
      <c r="KOE230" s="1"/>
      <c r="KOF230" s="1"/>
      <c r="KOG230" s="1"/>
      <c r="KOH230" s="1"/>
      <c r="KOI230" s="1"/>
      <c r="KOJ230" s="1"/>
      <c r="KOK230" s="1"/>
      <c r="KOL230" s="1"/>
      <c r="KOM230" s="1"/>
      <c r="KON230" s="1"/>
      <c r="KOO230" s="1"/>
      <c r="KOP230" s="1"/>
      <c r="KOQ230" s="1"/>
      <c r="KOR230" s="1"/>
      <c r="KOS230" s="1"/>
      <c r="KOT230" s="1"/>
      <c r="KOU230" s="1"/>
      <c r="KOV230" s="1"/>
      <c r="KOW230" s="1"/>
      <c r="KOX230" s="1"/>
      <c r="KOY230" s="1"/>
      <c r="KOZ230" s="1"/>
      <c r="KPA230" s="1"/>
      <c r="KPB230" s="1"/>
      <c r="KPC230" s="1"/>
      <c r="KPD230" s="1"/>
      <c r="KPE230" s="1"/>
      <c r="KPF230" s="1"/>
      <c r="KPG230" s="1"/>
      <c r="KPH230" s="1"/>
      <c r="KPI230" s="1"/>
      <c r="KPJ230" s="1"/>
      <c r="KPK230" s="1"/>
      <c r="KPL230" s="1"/>
      <c r="KPM230" s="1"/>
      <c r="KPN230" s="1"/>
      <c r="KPO230" s="1"/>
      <c r="KPP230" s="1"/>
      <c r="KPQ230" s="1"/>
      <c r="KPR230" s="1"/>
      <c r="KPS230" s="1"/>
      <c r="KPT230" s="1"/>
      <c r="KPU230" s="1"/>
      <c r="KPV230" s="1"/>
      <c r="KPW230" s="1"/>
      <c r="KPX230" s="1"/>
      <c r="KPY230" s="1"/>
      <c r="KPZ230" s="1"/>
      <c r="KQA230" s="1"/>
      <c r="KQB230" s="1"/>
      <c r="KQC230" s="1"/>
      <c r="KQD230" s="1"/>
      <c r="KQE230" s="1"/>
      <c r="KQF230" s="1"/>
      <c r="KQG230" s="1"/>
      <c r="KQH230" s="1"/>
      <c r="KQI230" s="1"/>
      <c r="KQJ230" s="1"/>
      <c r="KQK230" s="1"/>
      <c r="KQL230" s="1"/>
      <c r="KQM230" s="1"/>
      <c r="KQN230" s="1"/>
      <c r="KQO230" s="1"/>
      <c r="KQP230" s="1"/>
      <c r="KQQ230" s="1"/>
      <c r="KQR230" s="1"/>
      <c r="KQS230" s="1"/>
      <c r="KQT230" s="1"/>
      <c r="KQU230" s="1"/>
      <c r="KQV230" s="1"/>
      <c r="KQW230" s="1"/>
      <c r="KQX230" s="1"/>
      <c r="KQY230" s="1"/>
      <c r="KQZ230" s="1"/>
      <c r="KRA230" s="1"/>
      <c r="KRB230" s="1"/>
      <c r="KRC230" s="1"/>
      <c r="KRD230" s="1"/>
      <c r="KRE230" s="1"/>
      <c r="KRF230" s="1"/>
      <c r="KRG230" s="1"/>
      <c r="KRH230" s="1"/>
      <c r="KRI230" s="1"/>
      <c r="KRJ230" s="1"/>
      <c r="KRK230" s="1"/>
      <c r="KRL230" s="1"/>
      <c r="KRM230" s="1"/>
      <c r="KRN230" s="1"/>
      <c r="KRO230" s="1"/>
      <c r="KRP230" s="1"/>
      <c r="KRQ230" s="1"/>
      <c r="KRR230" s="1"/>
      <c r="KRS230" s="1"/>
      <c r="KRT230" s="1"/>
      <c r="KRU230" s="1"/>
      <c r="KRV230" s="1"/>
      <c r="KRW230" s="1"/>
      <c r="KRX230" s="1"/>
      <c r="KRY230" s="1"/>
      <c r="KRZ230" s="1"/>
      <c r="KSA230" s="1"/>
      <c r="KSB230" s="1"/>
      <c r="KSC230" s="1"/>
      <c r="KSD230" s="1"/>
      <c r="KSE230" s="1"/>
      <c r="KSF230" s="1"/>
      <c r="KSG230" s="1"/>
      <c r="KSH230" s="1"/>
      <c r="KSI230" s="1"/>
      <c r="KSJ230" s="1"/>
      <c r="KSK230" s="1"/>
      <c r="KSL230" s="1"/>
      <c r="KSM230" s="1"/>
      <c r="KSN230" s="1"/>
      <c r="KSO230" s="1"/>
      <c r="KSP230" s="1"/>
      <c r="KSQ230" s="1"/>
      <c r="KSR230" s="1"/>
      <c r="KSS230" s="1"/>
      <c r="KST230" s="1"/>
      <c r="KSU230" s="1"/>
      <c r="KSV230" s="1"/>
      <c r="KSW230" s="1"/>
      <c r="KSX230" s="1"/>
      <c r="KSY230" s="1"/>
      <c r="KSZ230" s="1"/>
      <c r="KTA230" s="1"/>
      <c r="KTB230" s="1"/>
      <c r="KTC230" s="1"/>
      <c r="KTD230" s="1"/>
      <c r="KTE230" s="1"/>
      <c r="KTF230" s="1"/>
      <c r="KTG230" s="1"/>
      <c r="KTH230" s="1"/>
      <c r="KTI230" s="1"/>
      <c r="KTJ230" s="1"/>
      <c r="KTK230" s="1"/>
      <c r="KTL230" s="1"/>
      <c r="KTM230" s="1"/>
      <c r="KTN230" s="1"/>
      <c r="KTO230" s="1"/>
      <c r="KTP230" s="1"/>
      <c r="KTQ230" s="1"/>
      <c r="KTR230" s="1"/>
      <c r="KTS230" s="1"/>
      <c r="KTT230" s="1"/>
      <c r="KTU230" s="1"/>
      <c r="KTV230" s="1"/>
      <c r="KTW230" s="1"/>
      <c r="KTX230" s="1"/>
      <c r="KTY230" s="1"/>
      <c r="KTZ230" s="1"/>
      <c r="KUA230" s="1"/>
      <c r="KUB230" s="1"/>
      <c r="KUC230" s="1"/>
      <c r="KUD230" s="1"/>
      <c r="KUE230" s="1"/>
      <c r="KUF230" s="1"/>
      <c r="KUG230" s="1"/>
      <c r="KUH230" s="1"/>
      <c r="KUI230" s="1"/>
      <c r="KUJ230" s="1"/>
      <c r="KUK230" s="1"/>
      <c r="KUL230" s="1"/>
      <c r="KUM230" s="1"/>
      <c r="KUN230" s="1"/>
      <c r="KUO230" s="1"/>
      <c r="KUP230" s="1"/>
      <c r="KUQ230" s="1"/>
      <c r="KUR230" s="1"/>
      <c r="KUS230" s="1"/>
      <c r="KUT230" s="1"/>
      <c r="KUU230" s="1"/>
      <c r="KUV230" s="1"/>
      <c r="KUW230" s="1"/>
      <c r="KUX230" s="1"/>
      <c r="KUY230" s="1"/>
      <c r="KUZ230" s="1"/>
      <c r="KVA230" s="1"/>
      <c r="KVB230" s="1"/>
      <c r="KVC230" s="1"/>
      <c r="KVD230" s="1"/>
      <c r="KVE230" s="1"/>
      <c r="KVF230" s="1"/>
      <c r="KVG230" s="1"/>
      <c r="KVH230" s="1"/>
      <c r="KVI230" s="1"/>
      <c r="KVJ230" s="1"/>
      <c r="KVK230" s="1"/>
      <c r="KVL230" s="1"/>
      <c r="KVM230" s="1"/>
      <c r="KVN230" s="1"/>
      <c r="KVO230" s="1"/>
      <c r="KVP230" s="1"/>
      <c r="KVQ230" s="1"/>
      <c r="KVR230" s="1"/>
      <c r="KVS230" s="1"/>
      <c r="KVT230" s="1"/>
      <c r="KVU230" s="1"/>
      <c r="KVV230" s="1"/>
      <c r="KVW230" s="1"/>
      <c r="KVX230" s="1"/>
      <c r="KVY230" s="1"/>
      <c r="KVZ230" s="1"/>
      <c r="KWA230" s="1"/>
      <c r="KWB230" s="1"/>
      <c r="KWC230" s="1"/>
      <c r="KWD230" s="1"/>
      <c r="KWE230" s="1"/>
      <c r="KWF230" s="1"/>
      <c r="KWG230" s="1"/>
      <c r="KWH230" s="1"/>
      <c r="KWI230" s="1"/>
      <c r="KWJ230" s="1"/>
      <c r="KWK230" s="1"/>
      <c r="KWL230" s="1"/>
      <c r="KWM230" s="1"/>
      <c r="KWN230" s="1"/>
      <c r="KWO230" s="1"/>
      <c r="KWP230" s="1"/>
      <c r="KWQ230" s="1"/>
      <c r="KWR230" s="1"/>
      <c r="KWS230" s="1"/>
      <c r="KWT230" s="1"/>
      <c r="KWU230" s="1"/>
      <c r="KWV230" s="1"/>
      <c r="KWW230" s="1"/>
      <c r="KWX230" s="1"/>
      <c r="KWY230" s="1"/>
      <c r="KWZ230" s="1"/>
      <c r="KXA230" s="1"/>
      <c r="KXB230" s="1"/>
      <c r="KXC230" s="1"/>
      <c r="KXD230" s="1"/>
      <c r="KXE230" s="1"/>
      <c r="KXF230" s="1"/>
      <c r="KXG230" s="1"/>
      <c r="KXH230" s="1"/>
      <c r="KXI230" s="1"/>
      <c r="KXJ230" s="1"/>
      <c r="KXK230" s="1"/>
      <c r="KXL230" s="1"/>
      <c r="KXM230" s="1"/>
      <c r="KXN230" s="1"/>
      <c r="KXO230" s="1"/>
      <c r="KXP230" s="1"/>
      <c r="KXQ230" s="1"/>
      <c r="KXR230" s="1"/>
      <c r="KXS230" s="1"/>
      <c r="KXT230" s="1"/>
      <c r="KXU230" s="1"/>
      <c r="KXV230" s="1"/>
      <c r="KXW230" s="1"/>
      <c r="KXX230" s="1"/>
      <c r="KXY230" s="1"/>
      <c r="KXZ230" s="1"/>
      <c r="KYA230" s="1"/>
      <c r="KYB230" s="1"/>
      <c r="KYC230" s="1"/>
      <c r="KYD230" s="1"/>
      <c r="KYE230" s="1"/>
      <c r="KYF230" s="1"/>
      <c r="KYG230" s="1"/>
      <c r="KYH230" s="1"/>
      <c r="KYI230" s="1"/>
      <c r="KYJ230" s="1"/>
      <c r="KYK230" s="1"/>
      <c r="KYL230" s="1"/>
      <c r="KYM230" s="1"/>
      <c r="KYN230" s="1"/>
      <c r="KYO230" s="1"/>
      <c r="KYP230" s="1"/>
      <c r="KYQ230" s="1"/>
      <c r="KYR230" s="1"/>
      <c r="KYS230" s="1"/>
      <c r="KYT230" s="1"/>
      <c r="KYU230" s="1"/>
      <c r="KYV230" s="1"/>
      <c r="KYW230" s="1"/>
      <c r="KYX230" s="1"/>
      <c r="KYY230" s="1"/>
      <c r="KYZ230" s="1"/>
      <c r="KZA230" s="1"/>
      <c r="KZB230" s="1"/>
      <c r="KZC230" s="1"/>
      <c r="KZD230" s="1"/>
      <c r="KZE230" s="1"/>
      <c r="KZF230" s="1"/>
      <c r="KZG230" s="1"/>
      <c r="KZH230" s="1"/>
      <c r="KZI230" s="1"/>
      <c r="KZJ230" s="1"/>
      <c r="KZK230" s="1"/>
      <c r="KZL230" s="1"/>
      <c r="KZM230" s="1"/>
      <c r="KZN230" s="1"/>
      <c r="KZO230" s="1"/>
      <c r="KZP230" s="1"/>
      <c r="KZQ230" s="1"/>
      <c r="KZR230" s="1"/>
      <c r="KZS230" s="1"/>
      <c r="KZT230" s="1"/>
      <c r="KZU230" s="1"/>
      <c r="KZV230" s="1"/>
      <c r="KZW230" s="1"/>
      <c r="KZX230" s="1"/>
      <c r="KZY230" s="1"/>
      <c r="KZZ230" s="1"/>
      <c r="LAA230" s="1"/>
      <c r="LAB230" s="1"/>
      <c r="LAC230" s="1"/>
      <c r="LAD230" s="1"/>
      <c r="LAE230" s="1"/>
      <c r="LAF230" s="1"/>
      <c r="LAG230" s="1"/>
      <c r="LAH230" s="1"/>
      <c r="LAI230" s="1"/>
      <c r="LAJ230" s="1"/>
      <c r="LAK230" s="1"/>
      <c r="LAL230" s="1"/>
      <c r="LAM230" s="1"/>
      <c r="LAN230" s="1"/>
      <c r="LAO230" s="1"/>
      <c r="LAP230" s="1"/>
      <c r="LAQ230" s="1"/>
      <c r="LAR230" s="1"/>
      <c r="LAS230" s="1"/>
      <c r="LAT230" s="1"/>
      <c r="LAU230" s="1"/>
      <c r="LAV230" s="1"/>
      <c r="LAW230" s="1"/>
      <c r="LAX230" s="1"/>
      <c r="LAY230" s="1"/>
      <c r="LAZ230" s="1"/>
      <c r="LBA230" s="1"/>
      <c r="LBB230" s="1"/>
      <c r="LBC230" s="1"/>
      <c r="LBD230" s="1"/>
      <c r="LBE230" s="1"/>
      <c r="LBF230" s="1"/>
      <c r="LBG230" s="1"/>
      <c r="LBH230" s="1"/>
      <c r="LBI230" s="1"/>
      <c r="LBJ230" s="1"/>
      <c r="LBK230" s="1"/>
      <c r="LBL230" s="1"/>
      <c r="LBM230" s="1"/>
      <c r="LBN230" s="1"/>
      <c r="LBO230" s="1"/>
      <c r="LBP230" s="1"/>
      <c r="LBQ230" s="1"/>
      <c r="LBR230" s="1"/>
      <c r="LBS230" s="1"/>
      <c r="LBT230" s="1"/>
      <c r="LBU230" s="1"/>
      <c r="LBV230" s="1"/>
      <c r="LBW230" s="1"/>
      <c r="LBX230" s="1"/>
      <c r="LBY230" s="1"/>
      <c r="LBZ230" s="1"/>
      <c r="LCA230" s="1"/>
      <c r="LCB230" s="1"/>
      <c r="LCC230" s="1"/>
      <c r="LCD230" s="1"/>
      <c r="LCE230" s="1"/>
      <c r="LCF230" s="1"/>
      <c r="LCG230" s="1"/>
      <c r="LCH230" s="1"/>
      <c r="LCI230" s="1"/>
      <c r="LCJ230" s="1"/>
      <c r="LCK230" s="1"/>
      <c r="LCL230" s="1"/>
      <c r="LCM230" s="1"/>
      <c r="LCN230" s="1"/>
      <c r="LCO230" s="1"/>
      <c r="LCP230" s="1"/>
      <c r="LCQ230" s="1"/>
      <c r="LCR230" s="1"/>
      <c r="LCS230" s="1"/>
      <c r="LCT230" s="1"/>
      <c r="LCU230" s="1"/>
      <c r="LCV230" s="1"/>
      <c r="LCW230" s="1"/>
      <c r="LCX230" s="1"/>
      <c r="LCY230" s="1"/>
      <c r="LCZ230" s="1"/>
      <c r="LDA230" s="1"/>
      <c r="LDB230" s="1"/>
      <c r="LDC230" s="1"/>
      <c r="LDD230" s="1"/>
      <c r="LDE230" s="1"/>
      <c r="LDF230" s="1"/>
      <c r="LDG230" s="1"/>
      <c r="LDH230" s="1"/>
      <c r="LDI230" s="1"/>
      <c r="LDJ230" s="1"/>
      <c r="LDK230" s="1"/>
      <c r="LDL230" s="1"/>
      <c r="LDM230" s="1"/>
      <c r="LDN230" s="1"/>
      <c r="LDO230" s="1"/>
      <c r="LDP230" s="1"/>
      <c r="LDQ230" s="1"/>
      <c r="LDR230" s="1"/>
      <c r="LDS230" s="1"/>
      <c r="LDT230" s="1"/>
      <c r="LDU230" s="1"/>
      <c r="LDV230" s="1"/>
      <c r="LDW230" s="1"/>
      <c r="LDX230" s="1"/>
      <c r="LDY230" s="1"/>
      <c r="LDZ230" s="1"/>
      <c r="LEA230" s="1"/>
      <c r="LEB230" s="1"/>
      <c r="LEC230" s="1"/>
      <c r="LED230" s="1"/>
      <c r="LEE230" s="1"/>
      <c r="LEF230" s="1"/>
      <c r="LEG230" s="1"/>
      <c r="LEH230" s="1"/>
      <c r="LEI230" s="1"/>
      <c r="LEJ230" s="1"/>
      <c r="LEK230" s="1"/>
      <c r="LEL230" s="1"/>
      <c r="LEM230" s="1"/>
      <c r="LEN230" s="1"/>
      <c r="LEO230" s="1"/>
      <c r="LEP230" s="1"/>
      <c r="LEQ230" s="1"/>
      <c r="LER230" s="1"/>
      <c r="LES230" s="1"/>
      <c r="LET230" s="1"/>
      <c r="LEU230" s="1"/>
      <c r="LEV230" s="1"/>
      <c r="LEW230" s="1"/>
      <c r="LEX230" s="1"/>
      <c r="LEY230" s="1"/>
      <c r="LEZ230" s="1"/>
      <c r="LFA230" s="1"/>
      <c r="LFB230" s="1"/>
      <c r="LFC230" s="1"/>
      <c r="LFD230" s="1"/>
      <c r="LFE230" s="1"/>
      <c r="LFF230" s="1"/>
      <c r="LFG230" s="1"/>
      <c r="LFH230" s="1"/>
      <c r="LFI230" s="1"/>
      <c r="LFJ230" s="1"/>
      <c r="LFK230" s="1"/>
      <c r="LFL230" s="1"/>
      <c r="LFM230" s="1"/>
      <c r="LFN230" s="1"/>
      <c r="LFO230" s="1"/>
      <c r="LFP230" s="1"/>
      <c r="LFQ230" s="1"/>
      <c r="LFR230" s="1"/>
      <c r="LFS230" s="1"/>
      <c r="LFT230" s="1"/>
      <c r="LFU230" s="1"/>
      <c r="LFV230" s="1"/>
      <c r="LFW230" s="1"/>
      <c r="LFX230" s="1"/>
      <c r="LFY230" s="1"/>
      <c r="LFZ230" s="1"/>
      <c r="LGA230" s="1"/>
      <c r="LGB230" s="1"/>
      <c r="LGC230" s="1"/>
      <c r="LGD230" s="1"/>
      <c r="LGE230" s="1"/>
      <c r="LGF230" s="1"/>
      <c r="LGG230" s="1"/>
      <c r="LGH230" s="1"/>
      <c r="LGI230" s="1"/>
      <c r="LGJ230" s="1"/>
      <c r="LGK230" s="1"/>
      <c r="LGL230" s="1"/>
      <c r="LGM230" s="1"/>
      <c r="LGN230" s="1"/>
      <c r="LGO230" s="1"/>
      <c r="LGP230" s="1"/>
      <c r="LGQ230" s="1"/>
      <c r="LGR230" s="1"/>
      <c r="LGS230" s="1"/>
      <c r="LGT230" s="1"/>
      <c r="LGU230" s="1"/>
      <c r="LGV230" s="1"/>
      <c r="LGW230" s="1"/>
      <c r="LGX230" s="1"/>
      <c r="LGY230" s="1"/>
      <c r="LGZ230" s="1"/>
      <c r="LHA230" s="1"/>
      <c r="LHB230" s="1"/>
      <c r="LHC230" s="1"/>
      <c r="LHD230" s="1"/>
      <c r="LHE230" s="1"/>
      <c r="LHF230" s="1"/>
      <c r="LHG230" s="1"/>
      <c r="LHH230" s="1"/>
      <c r="LHI230" s="1"/>
      <c r="LHJ230" s="1"/>
      <c r="LHK230" s="1"/>
      <c r="LHL230" s="1"/>
      <c r="LHM230" s="1"/>
      <c r="LHN230" s="1"/>
      <c r="LHO230" s="1"/>
      <c r="LHP230" s="1"/>
      <c r="LHQ230" s="1"/>
      <c r="LHR230" s="1"/>
      <c r="LHS230" s="1"/>
      <c r="LHT230" s="1"/>
      <c r="LHU230" s="1"/>
      <c r="LHV230" s="1"/>
      <c r="LHW230" s="1"/>
      <c r="LHX230" s="1"/>
      <c r="LHY230" s="1"/>
      <c r="LHZ230" s="1"/>
      <c r="LIA230" s="1"/>
      <c r="LIB230" s="1"/>
      <c r="LIC230" s="1"/>
      <c r="LID230" s="1"/>
      <c r="LIE230" s="1"/>
      <c r="LIF230" s="1"/>
      <c r="LIG230" s="1"/>
      <c r="LIH230" s="1"/>
      <c r="LII230" s="1"/>
      <c r="LIJ230" s="1"/>
      <c r="LIK230" s="1"/>
      <c r="LIL230" s="1"/>
      <c r="LIM230" s="1"/>
      <c r="LIN230" s="1"/>
      <c r="LIO230" s="1"/>
      <c r="LIP230" s="1"/>
      <c r="LIQ230" s="1"/>
      <c r="LIR230" s="1"/>
      <c r="LIS230" s="1"/>
      <c r="LIT230" s="1"/>
      <c r="LIU230" s="1"/>
      <c r="LIV230" s="1"/>
      <c r="LIW230" s="1"/>
      <c r="LIX230" s="1"/>
      <c r="LIY230" s="1"/>
      <c r="LIZ230" s="1"/>
      <c r="LJA230" s="1"/>
      <c r="LJB230" s="1"/>
      <c r="LJC230" s="1"/>
      <c r="LJD230" s="1"/>
      <c r="LJE230" s="1"/>
      <c r="LJF230" s="1"/>
      <c r="LJG230" s="1"/>
      <c r="LJH230" s="1"/>
      <c r="LJI230" s="1"/>
      <c r="LJJ230" s="1"/>
      <c r="LJK230" s="1"/>
      <c r="LJL230" s="1"/>
      <c r="LJM230" s="1"/>
      <c r="LJN230" s="1"/>
      <c r="LJO230" s="1"/>
      <c r="LJP230" s="1"/>
      <c r="LJQ230" s="1"/>
      <c r="LJR230" s="1"/>
      <c r="LJS230" s="1"/>
      <c r="LJT230" s="1"/>
      <c r="LJU230" s="1"/>
      <c r="LJV230" s="1"/>
      <c r="LJW230" s="1"/>
      <c r="LJX230" s="1"/>
      <c r="LJY230" s="1"/>
      <c r="LJZ230" s="1"/>
      <c r="LKA230" s="1"/>
      <c r="LKB230" s="1"/>
      <c r="LKC230" s="1"/>
      <c r="LKD230" s="1"/>
      <c r="LKE230" s="1"/>
      <c r="LKF230" s="1"/>
      <c r="LKG230" s="1"/>
      <c r="LKH230" s="1"/>
      <c r="LKI230" s="1"/>
      <c r="LKJ230" s="1"/>
      <c r="LKK230" s="1"/>
      <c r="LKL230" s="1"/>
      <c r="LKM230" s="1"/>
      <c r="LKN230" s="1"/>
      <c r="LKO230" s="1"/>
      <c r="LKP230" s="1"/>
      <c r="LKQ230" s="1"/>
      <c r="LKR230" s="1"/>
      <c r="LKS230" s="1"/>
      <c r="LKT230" s="1"/>
      <c r="LKU230" s="1"/>
      <c r="LKV230" s="1"/>
      <c r="LKW230" s="1"/>
      <c r="LKX230" s="1"/>
      <c r="LKY230" s="1"/>
      <c r="LKZ230" s="1"/>
      <c r="LLA230" s="1"/>
      <c r="LLB230" s="1"/>
      <c r="LLC230" s="1"/>
      <c r="LLD230" s="1"/>
      <c r="LLE230" s="1"/>
      <c r="LLF230" s="1"/>
      <c r="LLG230" s="1"/>
      <c r="LLH230" s="1"/>
      <c r="LLI230" s="1"/>
      <c r="LLJ230" s="1"/>
      <c r="LLK230" s="1"/>
      <c r="LLL230" s="1"/>
      <c r="LLM230" s="1"/>
      <c r="LLN230" s="1"/>
      <c r="LLO230" s="1"/>
      <c r="LLP230" s="1"/>
      <c r="LLQ230" s="1"/>
      <c r="LLR230" s="1"/>
      <c r="LLS230" s="1"/>
      <c r="LLT230" s="1"/>
      <c r="LLU230" s="1"/>
      <c r="LLV230" s="1"/>
      <c r="LLW230" s="1"/>
      <c r="LLX230" s="1"/>
      <c r="LLY230" s="1"/>
      <c r="LLZ230" s="1"/>
      <c r="LMA230" s="1"/>
      <c r="LMB230" s="1"/>
      <c r="LMC230" s="1"/>
      <c r="LMD230" s="1"/>
      <c r="LME230" s="1"/>
      <c r="LMF230" s="1"/>
      <c r="LMG230" s="1"/>
      <c r="LMH230" s="1"/>
      <c r="LMI230" s="1"/>
      <c r="LMJ230" s="1"/>
      <c r="LMK230" s="1"/>
      <c r="LML230" s="1"/>
      <c r="LMM230" s="1"/>
      <c r="LMN230" s="1"/>
      <c r="LMO230" s="1"/>
      <c r="LMP230" s="1"/>
      <c r="LMQ230" s="1"/>
      <c r="LMR230" s="1"/>
      <c r="LMS230" s="1"/>
      <c r="LMT230" s="1"/>
      <c r="LMU230" s="1"/>
      <c r="LMV230" s="1"/>
      <c r="LMW230" s="1"/>
      <c r="LMX230" s="1"/>
      <c r="LMY230" s="1"/>
      <c r="LMZ230" s="1"/>
      <c r="LNA230" s="1"/>
      <c r="LNB230" s="1"/>
      <c r="LNC230" s="1"/>
      <c r="LND230" s="1"/>
      <c r="LNE230" s="1"/>
      <c r="LNF230" s="1"/>
      <c r="LNG230" s="1"/>
      <c r="LNH230" s="1"/>
      <c r="LNI230" s="1"/>
      <c r="LNJ230" s="1"/>
      <c r="LNK230" s="1"/>
      <c r="LNL230" s="1"/>
      <c r="LNM230" s="1"/>
      <c r="LNN230" s="1"/>
      <c r="LNO230" s="1"/>
      <c r="LNP230" s="1"/>
      <c r="LNQ230" s="1"/>
      <c r="LNR230" s="1"/>
      <c r="LNS230" s="1"/>
      <c r="LNT230" s="1"/>
      <c r="LNU230" s="1"/>
      <c r="LNV230" s="1"/>
      <c r="LNW230" s="1"/>
      <c r="LNX230" s="1"/>
      <c r="LNY230" s="1"/>
      <c r="LNZ230" s="1"/>
      <c r="LOA230" s="1"/>
      <c r="LOB230" s="1"/>
      <c r="LOC230" s="1"/>
      <c r="LOD230" s="1"/>
      <c r="LOE230" s="1"/>
      <c r="LOF230" s="1"/>
      <c r="LOG230" s="1"/>
      <c r="LOH230" s="1"/>
      <c r="LOI230" s="1"/>
      <c r="LOJ230" s="1"/>
      <c r="LOK230" s="1"/>
      <c r="LOL230" s="1"/>
      <c r="LOM230" s="1"/>
      <c r="LON230" s="1"/>
      <c r="LOO230" s="1"/>
      <c r="LOP230" s="1"/>
      <c r="LOQ230" s="1"/>
      <c r="LOR230" s="1"/>
      <c r="LOS230" s="1"/>
      <c r="LOT230" s="1"/>
      <c r="LOU230" s="1"/>
      <c r="LOV230" s="1"/>
      <c r="LOW230" s="1"/>
      <c r="LOX230" s="1"/>
      <c r="LOY230" s="1"/>
      <c r="LOZ230" s="1"/>
      <c r="LPA230" s="1"/>
      <c r="LPB230" s="1"/>
      <c r="LPC230" s="1"/>
      <c r="LPD230" s="1"/>
      <c r="LPE230" s="1"/>
      <c r="LPF230" s="1"/>
      <c r="LPG230" s="1"/>
      <c r="LPH230" s="1"/>
      <c r="LPI230" s="1"/>
      <c r="LPJ230" s="1"/>
      <c r="LPK230" s="1"/>
      <c r="LPL230" s="1"/>
      <c r="LPM230" s="1"/>
      <c r="LPN230" s="1"/>
      <c r="LPO230" s="1"/>
      <c r="LPP230" s="1"/>
      <c r="LPQ230" s="1"/>
      <c r="LPR230" s="1"/>
      <c r="LPS230" s="1"/>
      <c r="LPT230" s="1"/>
      <c r="LPU230" s="1"/>
      <c r="LPV230" s="1"/>
      <c r="LPW230" s="1"/>
      <c r="LPX230" s="1"/>
      <c r="LPY230" s="1"/>
      <c r="LPZ230" s="1"/>
      <c r="LQA230" s="1"/>
      <c r="LQB230" s="1"/>
      <c r="LQC230" s="1"/>
      <c r="LQD230" s="1"/>
      <c r="LQE230" s="1"/>
      <c r="LQF230" s="1"/>
      <c r="LQG230" s="1"/>
      <c r="LQH230" s="1"/>
      <c r="LQI230" s="1"/>
      <c r="LQJ230" s="1"/>
      <c r="LQK230" s="1"/>
      <c r="LQL230" s="1"/>
      <c r="LQM230" s="1"/>
      <c r="LQN230" s="1"/>
      <c r="LQO230" s="1"/>
      <c r="LQP230" s="1"/>
      <c r="LQQ230" s="1"/>
      <c r="LQR230" s="1"/>
      <c r="LQS230" s="1"/>
      <c r="LQT230" s="1"/>
      <c r="LQU230" s="1"/>
      <c r="LQV230" s="1"/>
      <c r="LQW230" s="1"/>
      <c r="LQX230" s="1"/>
      <c r="LQY230" s="1"/>
      <c r="LQZ230" s="1"/>
      <c r="LRA230" s="1"/>
      <c r="LRB230" s="1"/>
      <c r="LRC230" s="1"/>
      <c r="LRD230" s="1"/>
      <c r="LRE230" s="1"/>
      <c r="LRF230" s="1"/>
      <c r="LRG230" s="1"/>
      <c r="LRH230" s="1"/>
      <c r="LRI230" s="1"/>
      <c r="LRJ230" s="1"/>
      <c r="LRK230" s="1"/>
      <c r="LRL230" s="1"/>
      <c r="LRM230" s="1"/>
      <c r="LRN230" s="1"/>
      <c r="LRO230" s="1"/>
      <c r="LRP230" s="1"/>
      <c r="LRQ230" s="1"/>
      <c r="LRR230" s="1"/>
      <c r="LRS230" s="1"/>
      <c r="LRT230" s="1"/>
      <c r="LRU230" s="1"/>
      <c r="LRV230" s="1"/>
      <c r="LRW230" s="1"/>
      <c r="LRX230" s="1"/>
      <c r="LRY230" s="1"/>
      <c r="LRZ230" s="1"/>
      <c r="LSA230" s="1"/>
      <c r="LSB230" s="1"/>
      <c r="LSC230" s="1"/>
      <c r="LSD230" s="1"/>
      <c r="LSE230" s="1"/>
      <c r="LSF230" s="1"/>
      <c r="LSG230" s="1"/>
      <c r="LSH230" s="1"/>
      <c r="LSI230" s="1"/>
      <c r="LSJ230" s="1"/>
      <c r="LSK230" s="1"/>
      <c r="LSL230" s="1"/>
      <c r="LSM230" s="1"/>
      <c r="LSN230" s="1"/>
      <c r="LSO230" s="1"/>
      <c r="LSP230" s="1"/>
      <c r="LSQ230" s="1"/>
      <c r="LSR230" s="1"/>
      <c r="LSS230" s="1"/>
      <c r="LST230" s="1"/>
      <c r="LSU230" s="1"/>
      <c r="LSV230" s="1"/>
      <c r="LSW230" s="1"/>
      <c r="LSX230" s="1"/>
      <c r="LSY230" s="1"/>
      <c r="LSZ230" s="1"/>
      <c r="LTA230" s="1"/>
      <c r="LTB230" s="1"/>
      <c r="LTC230" s="1"/>
      <c r="LTD230" s="1"/>
      <c r="LTE230" s="1"/>
      <c r="LTF230" s="1"/>
      <c r="LTG230" s="1"/>
      <c r="LTH230" s="1"/>
      <c r="LTI230" s="1"/>
      <c r="LTJ230" s="1"/>
      <c r="LTK230" s="1"/>
      <c r="LTL230" s="1"/>
      <c r="LTM230" s="1"/>
      <c r="LTN230" s="1"/>
      <c r="LTO230" s="1"/>
      <c r="LTP230" s="1"/>
      <c r="LTQ230" s="1"/>
      <c r="LTR230" s="1"/>
      <c r="LTS230" s="1"/>
      <c r="LTT230" s="1"/>
      <c r="LTU230" s="1"/>
      <c r="LTV230" s="1"/>
      <c r="LTW230" s="1"/>
      <c r="LTX230" s="1"/>
      <c r="LTY230" s="1"/>
      <c r="LTZ230" s="1"/>
      <c r="LUA230" s="1"/>
      <c r="LUB230" s="1"/>
      <c r="LUC230" s="1"/>
      <c r="LUD230" s="1"/>
      <c r="LUE230" s="1"/>
      <c r="LUF230" s="1"/>
      <c r="LUG230" s="1"/>
      <c r="LUH230" s="1"/>
      <c r="LUI230" s="1"/>
      <c r="LUJ230" s="1"/>
      <c r="LUK230" s="1"/>
      <c r="LUL230" s="1"/>
      <c r="LUM230" s="1"/>
      <c r="LUN230" s="1"/>
      <c r="LUO230" s="1"/>
      <c r="LUP230" s="1"/>
      <c r="LUQ230" s="1"/>
      <c r="LUR230" s="1"/>
      <c r="LUS230" s="1"/>
      <c r="LUT230" s="1"/>
      <c r="LUU230" s="1"/>
      <c r="LUV230" s="1"/>
      <c r="LUW230" s="1"/>
      <c r="LUX230" s="1"/>
      <c r="LUY230" s="1"/>
      <c r="LUZ230" s="1"/>
      <c r="LVA230" s="1"/>
      <c r="LVB230" s="1"/>
      <c r="LVC230" s="1"/>
      <c r="LVD230" s="1"/>
      <c r="LVE230" s="1"/>
      <c r="LVF230" s="1"/>
      <c r="LVG230" s="1"/>
      <c r="LVH230" s="1"/>
      <c r="LVI230" s="1"/>
      <c r="LVJ230" s="1"/>
      <c r="LVK230" s="1"/>
      <c r="LVL230" s="1"/>
      <c r="LVM230" s="1"/>
      <c r="LVN230" s="1"/>
      <c r="LVO230" s="1"/>
      <c r="LVP230" s="1"/>
      <c r="LVQ230" s="1"/>
      <c r="LVR230" s="1"/>
      <c r="LVS230" s="1"/>
      <c r="LVT230" s="1"/>
      <c r="LVU230" s="1"/>
      <c r="LVV230" s="1"/>
      <c r="LVW230" s="1"/>
      <c r="LVX230" s="1"/>
      <c r="LVY230" s="1"/>
      <c r="LVZ230" s="1"/>
      <c r="LWA230" s="1"/>
      <c r="LWB230" s="1"/>
      <c r="LWC230" s="1"/>
      <c r="LWD230" s="1"/>
      <c r="LWE230" s="1"/>
      <c r="LWF230" s="1"/>
      <c r="LWG230" s="1"/>
      <c r="LWH230" s="1"/>
      <c r="LWI230" s="1"/>
      <c r="LWJ230" s="1"/>
      <c r="LWK230" s="1"/>
      <c r="LWL230" s="1"/>
      <c r="LWM230" s="1"/>
      <c r="LWN230" s="1"/>
      <c r="LWO230" s="1"/>
      <c r="LWP230" s="1"/>
      <c r="LWQ230" s="1"/>
      <c r="LWR230" s="1"/>
      <c r="LWS230" s="1"/>
      <c r="LWT230" s="1"/>
      <c r="LWU230" s="1"/>
      <c r="LWV230" s="1"/>
      <c r="LWW230" s="1"/>
      <c r="LWX230" s="1"/>
      <c r="LWY230" s="1"/>
      <c r="LWZ230" s="1"/>
      <c r="LXA230" s="1"/>
      <c r="LXB230" s="1"/>
      <c r="LXC230" s="1"/>
      <c r="LXD230" s="1"/>
      <c r="LXE230" s="1"/>
      <c r="LXF230" s="1"/>
      <c r="LXG230" s="1"/>
      <c r="LXH230" s="1"/>
      <c r="LXI230" s="1"/>
      <c r="LXJ230" s="1"/>
      <c r="LXK230" s="1"/>
      <c r="LXL230" s="1"/>
      <c r="LXM230" s="1"/>
      <c r="LXN230" s="1"/>
      <c r="LXO230" s="1"/>
      <c r="LXP230" s="1"/>
      <c r="LXQ230" s="1"/>
      <c r="LXR230" s="1"/>
      <c r="LXS230" s="1"/>
      <c r="LXT230" s="1"/>
      <c r="LXU230" s="1"/>
      <c r="LXV230" s="1"/>
      <c r="LXW230" s="1"/>
      <c r="LXX230" s="1"/>
      <c r="LXY230" s="1"/>
      <c r="LXZ230" s="1"/>
      <c r="LYA230" s="1"/>
      <c r="LYB230" s="1"/>
      <c r="LYC230" s="1"/>
      <c r="LYD230" s="1"/>
      <c r="LYE230" s="1"/>
      <c r="LYF230" s="1"/>
      <c r="LYG230" s="1"/>
      <c r="LYH230" s="1"/>
      <c r="LYI230" s="1"/>
      <c r="LYJ230" s="1"/>
      <c r="LYK230" s="1"/>
      <c r="LYL230" s="1"/>
      <c r="LYM230" s="1"/>
      <c r="LYN230" s="1"/>
      <c r="LYO230" s="1"/>
      <c r="LYP230" s="1"/>
      <c r="LYQ230" s="1"/>
      <c r="LYR230" s="1"/>
      <c r="LYS230" s="1"/>
      <c r="LYT230" s="1"/>
      <c r="LYU230" s="1"/>
      <c r="LYV230" s="1"/>
      <c r="LYW230" s="1"/>
      <c r="LYX230" s="1"/>
      <c r="LYY230" s="1"/>
      <c r="LYZ230" s="1"/>
      <c r="LZA230" s="1"/>
      <c r="LZB230" s="1"/>
      <c r="LZC230" s="1"/>
      <c r="LZD230" s="1"/>
      <c r="LZE230" s="1"/>
      <c r="LZF230" s="1"/>
      <c r="LZG230" s="1"/>
      <c r="LZH230" s="1"/>
      <c r="LZI230" s="1"/>
      <c r="LZJ230" s="1"/>
      <c r="LZK230" s="1"/>
      <c r="LZL230" s="1"/>
      <c r="LZM230" s="1"/>
      <c r="LZN230" s="1"/>
      <c r="LZO230" s="1"/>
      <c r="LZP230" s="1"/>
      <c r="LZQ230" s="1"/>
      <c r="LZR230" s="1"/>
      <c r="LZS230" s="1"/>
      <c r="LZT230" s="1"/>
      <c r="LZU230" s="1"/>
      <c r="LZV230" s="1"/>
      <c r="LZW230" s="1"/>
      <c r="LZX230" s="1"/>
      <c r="LZY230" s="1"/>
      <c r="LZZ230" s="1"/>
      <c r="MAA230" s="1"/>
      <c r="MAB230" s="1"/>
      <c r="MAC230" s="1"/>
      <c r="MAD230" s="1"/>
      <c r="MAE230" s="1"/>
      <c r="MAF230" s="1"/>
      <c r="MAG230" s="1"/>
      <c r="MAH230" s="1"/>
      <c r="MAI230" s="1"/>
      <c r="MAJ230" s="1"/>
      <c r="MAK230" s="1"/>
      <c r="MAL230" s="1"/>
      <c r="MAM230" s="1"/>
      <c r="MAN230" s="1"/>
      <c r="MAO230" s="1"/>
      <c r="MAP230" s="1"/>
      <c r="MAQ230" s="1"/>
      <c r="MAR230" s="1"/>
      <c r="MAS230" s="1"/>
      <c r="MAT230" s="1"/>
      <c r="MAU230" s="1"/>
      <c r="MAV230" s="1"/>
      <c r="MAW230" s="1"/>
      <c r="MAX230" s="1"/>
      <c r="MAY230" s="1"/>
      <c r="MAZ230" s="1"/>
      <c r="MBA230" s="1"/>
      <c r="MBB230" s="1"/>
      <c r="MBC230" s="1"/>
      <c r="MBD230" s="1"/>
      <c r="MBE230" s="1"/>
      <c r="MBF230" s="1"/>
      <c r="MBG230" s="1"/>
      <c r="MBH230" s="1"/>
      <c r="MBI230" s="1"/>
      <c r="MBJ230" s="1"/>
      <c r="MBK230" s="1"/>
      <c r="MBL230" s="1"/>
      <c r="MBM230" s="1"/>
      <c r="MBN230" s="1"/>
      <c r="MBO230" s="1"/>
      <c r="MBP230" s="1"/>
      <c r="MBQ230" s="1"/>
      <c r="MBR230" s="1"/>
      <c r="MBS230" s="1"/>
      <c r="MBT230" s="1"/>
      <c r="MBU230" s="1"/>
      <c r="MBV230" s="1"/>
      <c r="MBW230" s="1"/>
      <c r="MBX230" s="1"/>
      <c r="MBY230" s="1"/>
      <c r="MBZ230" s="1"/>
      <c r="MCA230" s="1"/>
      <c r="MCB230" s="1"/>
      <c r="MCC230" s="1"/>
      <c r="MCD230" s="1"/>
      <c r="MCE230" s="1"/>
      <c r="MCF230" s="1"/>
      <c r="MCG230" s="1"/>
      <c r="MCH230" s="1"/>
      <c r="MCI230" s="1"/>
      <c r="MCJ230" s="1"/>
      <c r="MCK230" s="1"/>
      <c r="MCL230" s="1"/>
      <c r="MCM230" s="1"/>
      <c r="MCN230" s="1"/>
      <c r="MCO230" s="1"/>
      <c r="MCP230" s="1"/>
      <c r="MCQ230" s="1"/>
      <c r="MCR230" s="1"/>
      <c r="MCS230" s="1"/>
      <c r="MCT230" s="1"/>
      <c r="MCU230" s="1"/>
      <c r="MCV230" s="1"/>
      <c r="MCW230" s="1"/>
      <c r="MCX230" s="1"/>
      <c r="MCY230" s="1"/>
      <c r="MCZ230" s="1"/>
      <c r="MDA230" s="1"/>
      <c r="MDB230" s="1"/>
      <c r="MDC230" s="1"/>
      <c r="MDD230" s="1"/>
      <c r="MDE230" s="1"/>
      <c r="MDF230" s="1"/>
      <c r="MDG230" s="1"/>
      <c r="MDH230" s="1"/>
      <c r="MDI230" s="1"/>
      <c r="MDJ230" s="1"/>
      <c r="MDK230" s="1"/>
      <c r="MDL230" s="1"/>
      <c r="MDM230" s="1"/>
      <c r="MDN230" s="1"/>
      <c r="MDO230" s="1"/>
      <c r="MDP230" s="1"/>
      <c r="MDQ230" s="1"/>
      <c r="MDR230" s="1"/>
      <c r="MDS230" s="1"/>
      <c r="MDT230" s="1"/>
      <c r="MDU230" s="1"/>
      <c r="MDV230" s="1"/>
      <c r="MDW230" s="1"/>
      <c r="MDX230" s="1"/>
      <c r="MDY230" s="1"/>
      <c r="MDZ230" s="1"/>
      <c r="MEA230" s="1"/>
      <c r="MEB230" s="1"/>
      <c r="MEC230" s="1"/>
      <c r="MED230" s="1"/>
      <c r="MEE230" s="1"/>
      <c r="MEF230" s="1"/>
      <c r="MEG230" s="1"/>
      <c r="MEH230" s="1"/>
      <c r="MEI230" s="1"/>
      <c r="MEJ230" s="1"/>
      <c r="MEK230" s="1"/>
      <c r="MEL230" s="1"/>
      <c r="MEM230" s="1"/>
      <c r="MEN230" s="1"/>
      <c r="MEO230" s="1"/>
      <c r="MEP230" s="1"/>
      <c r="MEQ230" s="1"/>
      <c r="MER230" s="1"/>
      <c r="MES230" s="1"/>
      <c r="MET230" s="1"/>
      <c r="MEU230" s="1"/>
      <c r="MEV230" s="1"/>
      <c r="MEW230" s="1"/>
      <c r="MEX230" s="1"/>
      <c r="MEY230" s="1"/>
      <c r="MEZ230" s="1"/>
      <c r="MFA230" s="1"/>
      <c r="MFB230" s="1"/>
      <c r="MFC230" s="1"/>
      <c r="MFD230" s="1"/>
      <c r="MFE230" s="1"/>
      <c r="MFF230" s="1"/>
      <c r="MFG230" s="1"/>
      <c r="MFH230" s="1"/>
      <c r="MFI230" s="1"/>
      <c r="MFJ230" s="1"/>
      <c r="MFK230" s="1"/>
      <c r="MFL230" s="1"/>
      <c r="MFM230" s="1"/>
      <c r="MFN230" s="1"/>
      <c r="MFO230" s="1"/>
      <c r="MFP230" s="1"/>
      <c r="MFQ230" s="1"/>
      <c r="MFR230" s="1"/>
      <c r="MFS230" s="1"/>
      <c r="MFT230" s="1"/>
      <c r="MFU230" s="1"/>
      <c r="MFV230" s="1"/>
      <c r="MFW230" s="1"/>
      <c r="MFX230" s="1"/>
      <c r="MFY230" s="1"/>
      <c r="MFZ230" s="1"/>
      <c r="MGA230" s="1"/>
      <c r="MGB230" s="1"/>
      <c r="MGC230" s="1"/>
      <c r="MGD230" s="1"/>
      <c r="MGE230" s="1"/>
      <c r="MGF230" s="1"/>
      <c r="MGG230" s="1"/>
      <c r="MGH230" s="1"/>
      <c r="MGI230" s="1"/>
      <c r="MGJ230" s="1"/>
      <c r="MGK230" s="1"/>
      <c r="MGL230" s="1"/>
      <c r="MGM230" s="1"/>
      <c r="MGN230" s="1"/>
      <c r="MGO230" s="1"/>
      <c r="MGP230" s="1"/>
      <c r="MGQ230" s="1"/>
      <c r="MGR230" s="1"/>
      <c r="MGS230" s="1"/>
      <c r="MGT230" s="1"/>
      <c r="MGU230" s="1"/>
      <c r="MGV230" s="1"/>
      <c r="MGW230" s="1"/>
      <c r="MGX230" s="1"/>
      <c r="MGY230" s="1"/>
      <c r="MGZ230" s="1"/>
      <c r="MHA230" s="1"/>
      <c r="MHB230" s="1"/>
      <c r="MHC230" s="1"/>
      <c r="MHD230" s="1"/>
      <c r="MHE230" s="1"/>
      <c r="MHF230" s="1"/>
      <c r="MHG230" s="1"/>
      <c r="MHH230" s="1"/>
      <c r="MHI230" s="1"/>
      <c r="MHJ230" s="1"/>
      <c r="MHK230" s="1"/>
      <c r="MHL230" s="1"/>
      <c r="MHM230" s="1"/>
      <c r="MHN230" s="1"/>
      <c r="MHO230" s="1"/>
      <c r="MHP230" s="1"/>
      <c r="MHQ230" s="1"/>
      <c r="MHR230" s="1"/>
      <c r="MHS230" s="1"/>
      <c r="MHT230" s="1"/>
      <c r="MHU230" s="1"/>
      <c r="MHV230" s="1"/>
      <c r="MHW230" s="1"/>
      <c r="MHX230" s="1"/>
      <c r="MHY230" s="1"/>
      <c r="MHZ230" s="1"/>
      <c r="MIA230" s="1"/>
      <c r="MIB230" s="1"/>
      <c r="MIC230" s="1"/>
      <c r="MID230" s="1"/>
      <c r="MIE230" s="1"/>
      <c r="MIF230" s="1"/>
      <c r="MIG230" s="1"/>
      <c r="MIH230" s="1"/>
      <c r="MII230" s="1"/>
      <c r="MIJ230" s="1"/>
      <c r="MIK230" s="1"/>
      <c r="MIL230" s="1"/>
      <c r="MIM230" s="1"/>
      <c r="MIN230" s="1"/>
      <c r="MIO230" s="1"/>
      <c r="MIP230" s="1"/>
      <c r="MIQ230" s="1"/>
      <c r="MIR230" s="1"/>
      <c r="MIS230" s="1"/>
      <c r="MIT230" s="1"/>
      <c r="MIU230" s="1"/>
      <c r="MIV230" s="1"/>
      <c r="MIW230" s="1"/>
      <c r="MIX230" s="1"/>
      <c r="MIY230" s="1"/>
      <c r="MIZ230" s="1"/>
      <c r="MJA230" s="1"/>
      <c r="MJB230" s="1"/>
      <c r="MJC230" s="1"/>
      <c r="MJD230" s="1"/>
      <c r="MJE230" s="1"/>
      <c r="MJF230" s="1"/>
      <c r="MJG230" s="1"/>
      <c r="MJH230" s="1"/>
      <c r="MJI230" s="1"/>
      <c r="MJJ230" s="1"/>
      <c r="MJK230" s="1"/>
      <c r="MJL230" s="1"/>
      <c r="MJM230" s="1"/>
      <c r="MJN230" s="1"/>
      <c r="MJO230" s="1"/>
      <c r="MJP230" s="1"/>
      <c r="MJQ230" s="1"/>
      <c r="MJR230" s="1"/>
      <c r="MJS230" s="1"/>
      <c r="MJT230" s="1"/>
      <c r="MJU230" s="1"/>
      <c r="MJV230" s="1"/>
      <c r="MJW230" s="1"/>
      <c r="MJX230" s="1"/>
      <c r="MJY230" s="1"/>
      <c r="MJZ230" s="1"/>
      <c r="MKA230" s="1"/>
      <c r="MKB230" s="1"/>
      <c r="MKC230" s="1"/>
      <c r="MKD230" s="1"/>
      <c r="MKE230" s="1"/>
      <c r="MKF230" s="1"/>
      <c r="MKG230" s="1"/>
      <c r="MKH230" s="1"/>
      <c r="MKI230" s="1"/>
      <c r="MKJ230" s="1"/>
      <c r="MKK230" s="1"/>
      <c r="MKL230" s="1"/>
      <c r="MKM230" s="1"/>
      <c r="MKN230" s="1"/>
      <c r="MKO230" s="1"/>
      <c r="MKP230" s="1"/>
      <c r="MKQ230" s="1"/>
      <c r="MKR230" s="1"/>
      <c r="MKS230" s="1"/>
      <c r="MKT230" s="1"/>
      <c r="MKU230" s="1"/>
      <c r="MKV230" s="1"/>
      <c r="MKW230" s="1"/>
      <c r="MKX230" s="1"/>
      <c r="MKY230" s="1"/>
      <c r="MKZ230" s="1"/>
      <c r="MLA230" s="1"/>
      <c r="MLB230" s="1"/>
      <c r="MLC230" s="1"/>
      <c r="MLD230" s="1"/>
      <c r="MLE230" s="1"/>
      <c r="MLF230" s="1"/>
      <c r="MLG230" s="1"/>
      <c r="MLH230" s="1"/>
      <c r="MLI230" s="1"/>
      <c r="MLJ230" s="1"/>
      <c r="MLK230" s="1"/>
      <c r="MLL230" s="1"/>
      <c r="MLM230" s="1"/>
      <c r="MLN230" s="1"/>
      <c r="MLO230" s="1"/>
      <c r="MLP230" s="1"/>
      <c r="MLQ230" s="1"/>
      <c r="MLR230" s="1"/>
      <c r="MLS230" s="1"/>
      <c r="MLT230" s="1"/>
      <c r="MLU230" s="1"/>
      <c r="MLV230" s="1"/>
      <c r="MLW230" s="1"/>
      <c r="MLX230" s="1"/>
      <c r="MLY230" s="1"/>
      <c r="MLZ230" s="1"/>
      <c r="MMA230" s="1"/>
      <c r="MMB230" s="1"/>
      <c r="MMC230" s="1"/>
      <c r="MMD230" s="1"/>
      <c r="MME230" s="1"/>
      <c r="MMF230" s="1"/>
      <c r="MMG230" s="1"/>
      <c r="MMH230" s="1"/>
      <c r="MMI230" s="1"/>
      <c r="MMJ230" s="1"/>
      <c r="MMK230" s="1"/>
      <c r="MML230" s="1"/>
      <c r="MMM230" s="1"/>
      <c r="MMN230" s="1"/>
      <c r="MMO230" s="1"/>
      <c r="MMP230" s="1"/>
      <c r="MMQ230" s="1"/>
      <c r="MMR230" s="1"/>
      <c r="MMS230" s="1"/>
      <c r="MMT230" s="1"/>
      <c r="MMU230" s="1"/>
      <c r="MMV230" s="1"/>
      <c r="MMW230" s="1"/>
      <c r="MMX230" s="1"/>
      <c r="MMY230" s="1"/>
      <c r="MMZ230" s="1"/>
      <c r="MNA230" s="1"/>
      <c r="MNB230" s="1"/>
      <c r="MNC230" s="1"/>
      <c r="MND230" s="1"/>
      <c r="MNE230" s="1"/>
      <c r="MNF230" s="1"/>
      <c r="MNG230" s="1"/>
      <c r="MNH230" s="1"/>
      <c r="MNI230" s="1"/>
      <c r="MNJ230" s="1"/>
      <c r="MNK230" s="1"/>
      <c r="MNL230" s="1"/>
      <c r="MNM230" s="1"/>
      <c r="MNN230" s="1"/>
      <c r="MNO230" s="1"/>
      <c r="MNP230" s="1"/>
      <c r="MNQ230" s="1"/>
      <c r="MNR230" s="1"/>
      <c r="MNS230" s="1"/>
      <c r="MNT230" s="1"/>
      <c r="MNU230" s="1"/>
      <c r="MNV230" s="1"/>
      <c r="MNW230" s="1"/>
      <c r="MNX230" s="1"/>
      <c r="MNY230" s="1"/>
      <c r="MNZ230" s="1"/>
      <c r="MOA230" s="1"/>
      <c r="MOB230" s="1"/>
      <c r="MOC230" s="1"/>
      <c r="MOD230" s="1"/>
      <c r="MOE230" s="1"/>
      <c r="MOF230" s="1"/>
      <c r="MOG230" s="1"/>
      <c r="MOH230" s="1"/>
      <c r="MOI230" s="1"/>
      <c r="MOJ230" s="1"/>
      <c r="MOK230" s="1"/>
      <c r="MOL230" s="1"/>
      <c r="MOM230" s="1"/>
      <c r="MON230" s="1"/>
      <c r="MOO230" s="1"/>
      <c r="MOP230" s="1"/>
      <c r="MOQ230" s="1"/>
      <c r="MOR230" s="1"/>
      <c r="MOS230" s="1"/>
      <c r="MOT230" s="1"/>
      <c r="MOU230" s="1"/>
      <c r="MOV230" s="1"/>
      <c r="MOW230" s="1"/>
      <c r="MOX230" s="1"/>
      <c r="MOY230" s="1"/>
      <c r="MOZ230" s="1"/>
      <c r="MPA230" s="1"/>
      <c r="MPB230" s="1"/>
      <c r="MPC230" s="1"/>
      <c r="MPD230" s="1"/>
      <c r="MPE230" s="1"/>
      <c r="MPF230" s="1"/>
      <c r="MPG230" s="1"/>
      <c r="MPH230" s="1"/>
      <c r="MPI230" s="1"/>
      <c r="MPJ230" s="1"/>
      <c r="MPK230" s="1"/>
      <c r="MPL230" s="1"/>
      <c r="MPM230" s="1"/>
      <c r="MPN230" s="1"/>
      <c r="MPO230" s="1"/>
      <c r="MPP230" s="1"/>
      <c r="MPQ230" s="1"/>
      <c r="MPR230" s="1"/>
      <c r="MPS230" s="1"/>
      <c r="MPT230" s="1"/>
      <c r="MPU230" s="1"/>
      <c r="MPV230" s="1"/>
      <c r="MPW230" s="1"/>
      <c r="MPX230" s="1"/>
      <c r="MPY230" s="1"/>
      <c r="MPZ230" s="1"/>
      <c r="MQA230" s="1"/>
      <c r="MQB230" s="1"/>
      <c r="MQC230" s="1"/>
      <c r="MQD230" s="1"/>
      <c r="MQE230" s="1"/>
      <c r="MQF230" s="1"/>
      <c r="MQG230" s="1"/>
      <c r="MQH230" s="1"/>
      <c r="MQI230" s="1"/>
      <c r="MQJ230" s="1"/>
      <c r="MQK230" s="1"/>
      <c r="MQL230" s="1"/>
      <c r="MQM230" s="1"/>
      <c r="MQN230" s="1"/>
      <c r="MQO230" s="1"/>
      <c r="MQP230" s="1"/>
      <c r="MQQ230" s="1"/>
      <c r="MQR230" s="1"/>
      <c r="MQS230" s="1"/>
      <c r="MQT230" s="1"/>
      <c r="MQU230" s="1"/>
      <c r="MQV230" s="1"/>
      <c r="MQW230" s="1"/>
      <c r="MQX230" s="1"/>
      <c r="MQY230" s="1"/>
      <c r="MQZ230" s="1"/>
      <c r="MRA230" s="1"/>
      <c r="MRB230" s="1"/>
      <c r="MRC230" s="1"/>
      <c r="MRD230" s="1"/>
      <c r="MRE230" s="1"/>
      <c r="MRF230" s="1"/>
      <c r="MRG230" s="1"/>
      <c r="MRH230" s="1"/>
      <c r="MRI230" s="1"/>
      <c r="MRJ230" s="1"/>
      <c r="MRK230" s="1"/>
      <c r="MRL230" s="1"/>
      <c r="MRM230" s="1"/>
      <c r="MRN230" s="1"/>
      <c r="MRO230" s="1"/>
      <c r="MRP230" s="1"/>
      <c r="MRQ230" s="1"/>
      <c r="MRR230" s="1"/>
      <c r="MRS230" s="1"/>
      <c r="MRT230" s="1"/>
      <c r="MRU230" s="1"/>
      <c r="MRV230" s="1"/>
      <c r="MRW230" s="1"/>
      <c r="MRX230" s="1"/>
      <c r="MRY230" s="1"/>
      <c r="MRZ230" s="1"/>
      <c r="MSA230" s="1"/>
      <c r="MSB230" s="1"/>
      <c r="MSC230" s="1"/>
      <c r="MSD230" s="1"/>
      <c r="MSE230" s="1"/>
      <c r="MSF230" s="1"/>
      <c r="MSG230" s="1"/>
      <c r="MSH230" s="1"/>
      <c r="MSI230" s="1"/>
      <c r="MSJ230" s="1"/>
      <c r="MSK230" s="1"/>
      <c r="MSL230" s="1"/>
      <c r="MSM230" s="1"/>
      <c r="MSN230" s="1"/>
      <c r="MSO230" s="1"/>
      <c r="MSP230" s="1"/>
      <c r="MSQ230" s="1"/>
      <c r="MSR230" s="1"/>
      <c r="MSS230" s="1"/>
      <c r="MST230" s="1"/>
      <c r="MSU230" s="1"/>
      <c r="MSV230" s="1"/>
      <c r="MSW230" s="1"/>
      <c r="MSX230" s="1"/>
      <c r="MSY230" s="1"/>
      <c r="MSZ230" s="1"/>
      <c r="MTA230" s="1"/>
      <c r="MTB230" s="1"/>
      <c r="MTC230" s="1"/>
      <c r="MTD230" s="1"/>
      <c r="MTE230" s="1"/>
      <c r="MTF230" s="1"/>
      <c r="MTG230" s="1"/>
      <c r="MTH230" s="1"/>
      <c r="MTI230" s="1"/>
      <c r="MTJ230" s="1"/>
      <c r="MTK230" s="1"/>
      <c r="MTL230" s="1"/>
      <c r="MTM230" s="1"/>
      <c r="MTN230" s="1"/>
      <c r="MTO230" s="1"/>
      <c r="MTP230" s="1"/>
      <c r="MTQ230" s="1"/>
      <c r="MTR230" s="1"/>
      <c r="MTS230" s="1"/>
      <c r="MTT230" s="1"/>
      <c r="MTU230" s="1"/>
      <c r="MTV230" s="1"/>
      <c r="MTW230" s="1"/>
      <c r="MTX230" s="1"/>
      <c r="MTY230" s="1"/>
      <c r="MTZ230" s="1"/>
      <c r="MUA230" s="1"/>
      <c r="MUB230" s="1"/>
      <c r="MUC230" s="1"/>
      <c r="MUD230" s="1"/>
      <c r="MUE230" s="1"/>
      <c r="MUF230" s="1"/>
      <c r="MUG230" s="1"/>
      <c r="MUH230" s="1"/>
      <c r="MUI230" s="1"/>
      <c r="MUJ230" s="1"/>
      <c r="MUK230" s="1"/>
      <c r="MUL230" s="1"/>
      <c r="MUM230" s="1"/>
      <c r="MUN230" s="1"/>
      <c r="MUO230" s="1"/>
      <c r="MUP230" s="1"/>
      <c r="MUQ230" s="1"/>
      <c r="MUR230" s="1"/>
      <c r="MUS230" s="1"/>
      <c r="MUT230" s="1"/>
      <c r="MUU230" s="1"/>
      <c r="MUV230" s="1"/>
      <c r="MUW230" s="1"/>
      <c r="MUX230" s="1"/>
      <c r="MUY230" s="1"/>
      <c r="MUZ230" s="1"/>
      <c r="MVA230" s="1"/>
      <c r="MVB230" s="1"/>
      <c r="MVC230" s="1"/>
      <c r="MVD230" s="1"/>
      <c r="MVE230" s="1"/>
      <c r="MVF230" s="1"/>
      <c r="MVG230" s="1"/>
      <c r="MVH230" s="1"/>
      <c r="MVI230" s="1"/>
      <c r="MVJ230" s="1"/>
      <c r="MVK230" s="1"/>
      <c r="MVL230" s="1"/>
      <c r="MVM230" s="1"/>
      <c r="MVN230" s="1"/>
      <c r="MVO230" s="1"/>
      <c r="MVP230" s="1"/>
      <c r="MVQ230" s="1"/>
      <c r="MVR230" s="1"/>
      <c r="MVS230" s="1"/>
      <c r="MVT230" s="1"/>
      <c r="MVU230" s="1"/>
      <c r="MVV230" s="1"/>
      <c r="MVW230" s="1"/>
      <c r="MVX230" s="1"/>
      <c r="MVY230" s="1"/>
      <c r="MVZ230" s="1"/>
      <c r="MWA230" s="1"/>
      <c r="MWB230" s="1"/>
      <c r="MWC230" s="1"/>
      <c r="MWD230" s="1"/>
      <c r="MWE230" s="1"/>
      <c r="MWF230" s="1"/>
      <c r="MWG230" s="1"/>
      <c r="MWH230" s="1"/>
      <c r="MWI230" s="1"/>
      <c r="MWJ230" s="1"/>
      <c r="MWK230" s="1"/>
      <c r="MWL230" s="1"/>
      <c r="MWM230" s="1"/>
      <c r="MWN230" s="1"/>
      <c r="MWO230" s="1"/>
      <c r="MWP230" s="1"/>
      <c r="MWQ230" s="1"/>
      <c r="MWR230" s="1"/>
      <c r="MWS230" s="1"/>
      <c r="MWT230" s="1"/>
      <c r="MWU230" s="1"/>
      <c r="MWV230" s="1"/>
      <c r="MWW230" s="1"/>
      <c r="MWX230" s="1"/>
      <c r="MWY230" s="1"/>
      <c r="MWZ230" s="1"/>
      <c r="MXA230" s="1"/>
      <c r="MXB230" s="1"/>
      <c r="MXC230" s="1"/>
      <c r="MXD230" s="1"/>
      <c r="MXE230" s="1"/>
      <c r="MXF230" s="1"/>
      <c r="MXG230" s="1"/>
      <c r="MXH230" s="1"/>
      <c r="MXI230" s="1"/>
      <c r="MXJ230" s="1"/>
      <c r="MXK230" s="1"/>
      <c r="MXL230" s="1"/>
      <c r="MXM230" s="1"/>
      <c r="MXN230" s="1"/>
      <c r="MXO230" s="1"/>
      <c r="MXP230" s="1"/>
      <c r="MXQ230" s="1"/>
      <c r="MXR230" s="1"/>
      <c r="MXS230" s="1"/>
      <c r="MXT230" s="1"/>
      <c r="MXU230" s="1"/>
      <c r="MXV230" s="1"/>
      <c r="MXW230" s="1"/>
      <c r="MXX230" s="1"/>
      <c r="MXY230" s="1"/>
      <c r="MXZ230" s="1"/>
      <c r="MYA230" s="1"/>
      <c r="MYB230" s="1"/>
      <c r="MYC230" s="1"/>
      <c r="MYD230" s="1"/>
      <c r="MYE230" s="1"/>
      <c r="MYF230" s="1"/>
      <c r="MYG230" s="1"/>
      <c r="MYH230" s="1"/>
      <c r="MYI230" s="1"/>
      <c r="MYJ230" s="1"/>
      <c r="MYK230" s="1"/>
      <c r="MYL230" s="1"/>
      <c r="MYM230" s="1"/>
      <c r="MYN230" s="1"/>
      <c r="MYO230" s="1"/>
      <c r="MYP230" s="1"/>
      <c r="MYQ230" s="1"/>
      <c r="MYR230" s="1"/>
      <c r="MYS230" s="1"/>
      <c r="MYT230" s="1"/>
      <c r="MYU230" s="1"/>
      <c r="MYV230" s="1"/>
      <c r="MYW230" s="1"/>
      <c r="MYX230" s="1"/>
      <c r="MYY230" s="1"/>
      <c r="MYZ230" s="1"/>
      <c r="MZA230" s="1"/>
      <c r="MZB230" s="1"/>
      <c r="MZC230" s="1"/>
      <c r="MZD230" s="1"/>
      <c r="MZE230" s="1"/>
      <c r="MZF230" s="1"/>
      <c r="MZG230" s="1"/>
      <c r="MZH230" s="1"/>
      <c r="MZI230" s="1"/>
      <c r="MZJ230" s="1"/>
      <c r="MZK230" s="1"/>
      <c r="MZL230" s="1"/>
      <c r="MZM230" s="1"/>
      <c r="MZN230" s="1"/>
      <c r="MZO230" s="1"/>
      <c r="MZP230" s="1"/>
      <c r="MZQ230" s="1"/>
      <c r="MZR230" s="1"/>
      <c r="MZS230" s="1"/>
      <c r="MZT230" s="1"/>
      <c r="MZU230" s="1"/>
      <c r="MZV230" s="1"/>
      <c r="MZW230" s="1"/>
      <c r="MZX230" s="1"/>
      <c r="MZY230" s="1"/>
      <c r="MZZ230" s="1"/>
      <c r="NAA230" s="1"/>
      <c r="NAB230" s="1"/>
      <c r="NAC230" s="1"/>
      <c r="NAD230" s="1"/>
      <c r="NAE230" s="1"/>
      <c r="NAF230" s="1"/>
      <c r="NAG230" s="1"/>
      <c r="NAH230" s="1"/>
      <c r="NAI230" s="1"/>
      <c r="NAJ230" s="1"/>
      <c r="NAK230" s="1"/>
      <c r="NAL230" s="1"/>
      <c r="NAM230" s="1"/>
      <c r="NAN230" s="1"/>
      <c r="NAO230" s="1"/>
      <c r="NAP230" s="1"/>
      <c r="NAQ230" s="1"/>
      <c r="NAR230" s="1"/>
      <c r="NAS230" s="1"/>
      <c r="NAT230" s="1"/>
      <c r="NAU230" s="1"/>
      <c r="NAV230" s="1"/>
      <c r="NAW230" s="1"/>
      <c r="NAX230" s="1"/>
      <c r="NAY230" s="1"/>
      <c r="NAZ230" s="1"/>
      <c r="NBA230" s="1"/>
      <c r="NBB230" s="1"/>
      <c r="NBC230" s="1"/>
      <c r="NBD230" s="1"/>
      <c r="NBE230" s="1"/>
      <c r="NBF230" s="1"/>
      <c r="NBG230" s="1"/>
      <c r="NBH230" s="1"/>
      <c r="NBI230" s="1"/>
      <c r="NBJ230" s="1"/>
      <c r="NBK230" s="1"/>
      <c r="NBL230" s="1"/>
      <c r="NBM230" s="1"/>
      <c r="NBN230" s="1"/>
      <c r="NBO230" s="1"/>
      <c r="NBP230" s="1"/>
      <c r="NBQ230" s="1"/>
      <c r="NBR230" s="1"/>
      <c r="NBS230" s="1"/>
      <c r="NBT230" s="1"/>
      <c r="NBU230" s="1"/>
      <c r="NBV230" s="1"/>
      <c r="NBW230" s="1"/>
      <c r="NBX230" s="1"/>
      <c r="NBY230" s="1"/>
      <c r="NBZ230" s="1"/>
      <c r="NCA230" s="1"/>
      <c r="NCB230" s="1"/>
      <c r="NCC230" s="1"/>
      <c r="NCD230" s="1"/>
      <c r="NCE230" s="1"/>
      <c r="NCF230" s="1"/>
      <c r="NCG230" s="1"/>
      <c r="NCH230" s="1"/>
      <c r="NCI230" s="1"/>
      <c r="NCJ230" s="1"/>
      <c r="NCK230" s="1"/>
      <c r="NCL230" s="1"/>
      <c r="NCM230" s="1"/>
      <c r="NCN230" s="1"/>
      <c r="NCO230" s="1"/>
      <c r="NCP230" s="1"/>
      <c r="NCQ230" s="1"/>
      <c r="NCR230" s="1"/>
      <c r="NCS230" s="1"/>
      <c r="NCT230" s="1"/>
      <c r="NCU230" s="1"/>
      <c r="NCV230" s="1"/>
      <c r="NCW230" s="1"/>
      <c r="NCX230" s="1"/>
      <c r="NCY230" s="1"/>
      <c r="NCZ230" s="1"/>
      <c r="NDA230" s="1"/>
      <c r="NDB230" s="1"/>
      <c r="NDC230" s="1"/>
      <c r="NDD230" s="1"/>
      <c r="NDE230" s="1"/>
      <c r="NDF230" s="1"/>
      <c r="NDG230" s="1"/>
      <c r="NDH230" s="1"/>
      <c r="NDI230" s="1"/>
      <c r="NDJ230" s="1"/>
      <c r="NDK230" s="1"/>
      <c r="NDL230" s="1"/>
      <c r="NDM230" s="1"/>
      <c r="NDN230" s="1"/>
      <c r="NDO230" s="1"/>
      <c r="NDP230" s="1"/>
      <c r="NDQ230" s="1"/>
      <c r="NDR230" s="1"/>
      <c r="NDS230" s="1"/>
      <c r="NDT230" s="1"/>
      <c r="NDU230" s="1"/>
      <c r="NDV230" s="1"/>
      <c r="NDW230" s="1"/>
      <c r="NDX230" s="1"/>
      <c r="NDY230" s="1"/>
      <c r="NDZ230" s="1"/>
      <c r="NEA230" s="1"/>
      <c r="NEB230" s="1"/>
      <c r="NEC230" s="1"/>
      <c r="NED230" s="1"/>
      <c r="NEE230" s="1"/>
      <c r="NEF230" s="1"/>
      <c r="NEG230" s="1"/>
      <c r="NEH230" s="1"/>
      <c r="NEI230" s="1"/>
      <c r="NEJ230" s="1"/>
      <c r="NEK230" s="1"/>
      <c r="NEL230" s="1"/>
      <c r="NEM230" s="1"/>
      <c r="NEN230" s="1"/>
      <c r="NEO230" s="1"/>
      <c r="NEP230" s="1"/>
      <c r="NEQ230" s="1"/>
      <c r="NER230" s="1"/>
      <c r="NES230" s="1"/>
      <c r="NET230" s="1"/>
      <c r="NEU230" s="1"/>
      <c r="NEV230" s="1"/>
      <c r="NEW230" s="1"/>
      <c r="NEX230" s="1"/>
      <c r="NEY230" s="1"/>
      <c r="NEZ230" s="1"/>
      <c r="NFA230" s="1"/>
      <c r="NFB230" s="1"/>
      <c r="NFC230" s="1"/>
      <c r="NFD230" s="1"/>
      <c r="NFE230" s="1"/>
      <c r="NFF230" s="1"/>
      <c r="NFG230" s="1"/>
      <c r="NFH230" s="1"/>
      <c r="NFI230" s="1"/>
      <c r="NFJ230" s="1"/>
      <c r="NFK230" s="1"/>
      <c r="NFL230" s="1"/>
      <c r="NFM230" s="1"/>
      <c r="NFN230" s="1"/>
      <c r="NFO230" s="1"/>
      <c r="NFP230" s="1"/>
      <c r="NFQ230" s="1"/>
      <c r="NFR230" s="1"/>
      <c r="NFS230" s="1"/>
      <c r="NFT230" s="1"/>
      <c r="NFU230" s="1"/>
      <c r="NFV230" s="1"/>
      <c r="NFW230" s="1"/>
      <c r="NFX230" s="1"/>
      <c r="NFY230" s="1"/>
      <c r="NFZ230" s="1"/>
      <c r="NGA230" s="1"/>
      <c r="NGB230" s="1"/>
      <c r="NGC230" s="1"/>
      <c r="NGD230" s="1"/>
      <c r="NGE230" s="1"/>
      <c r="NGF230" s="1"/>
      <c r="NGG230" s="1"/>
      <c r="NGH230" s="1"/>
      <c r="NGI230" s="1"/>
      <c r="NGJ230" s="1"/>
      <c r="NGK230" s="1"/>
      <c r="NGL230" s="1"/>
      <c r="NGM230" s="1"/>
      <c r="NGN230" s="1"/>
      <c r="NGO230" s="1"/>
      <c r="NGP230" s="1"/>
      <c r="NGQ230" s="1"/>
      <c r="NGR230" s="1"/>
      <c r="NGS230" s="1"/>
      <c r="NGT230" s="1"/>
      <c r="NGU230" s="1"/>
      <c r="NGV230" s="1"/>
      <c r="NGW230" s="1"/>
      <c r="NGX230" s="1"/>
      <c r="NGY230" s="1"/>
      <c r="NGZ230" s="1"/>
      <c r="NHA230" s="1"/>
      <c r="NHB230" s="1"/>
      <c r="NHC230" s="1"/>
      <c r="NHD230" s="1"/>
      <c r="NHE230" s="1"/>
      <c r="NHF230" s="1"/>
      <c r="NHG230" s="1"/>
      <c r="NHH230" s="1"/>
      <c r="NHI230" s="1"/>
      <c r="NHJ230" s="1"/>
      <c r="NHK230" s="1"/>
      <c r="NHL230" s="1"/>
      <c r="NHM230" s="1"/>
      <c r="NHN230" s="1"/>
      <c r="NHO230" s="1"/>
      <c r="NHP230" s="1"/>
      <c r="NHQ230" s="1"/>
      <c r="NHR230" s="1"/>
      <c r="NHS230" s="1"/>
      <c r="NHT230" s="1"/>
      <c r="NHU230" s="1"/>
      <c r="NHV230" s="1"/>
      <c r="NHW230" s="1"/>
      <c r="NHX230" s="1"/>
      <c r="NHY230" s="1"/>
      <c r="NHZ230" s="1"/>
      <c r="NIA230" s="1"/>
      <c r="NIB230" s="1"/>
      <c r="NIC230" s="1"/>
      <c r="NID230" s="1"/>
      <c r="NIE230" s="1"/>
      <c r="NIF230" s="1"/>
      <c r="NIG230" s="1"/>
      <c r="NIH230" s="1"/>
      <c r="NII230" s="1"/>
      <c r="NIJ230" s="1"/>
      <c r="NIK230" s="1"/>
      <c r="NIL230" s="1"/>
      <c r="NIM230" s="1"/>
      <c r="NIN230" s="1"/>
      <c r="NIO230" s="1"/>
      <c r="NIP230" s="1"/>
      <c r="NIQ230" s="1"/>
      <c r="NIR230" s="1"/>
      <c r="NIS230" s="1"/>
      <c r="NIT230" s="1"/>
      <c r="NIU230" s="1"/>
      <c r="NIV230" s="1"/>
      <c r="NIW230" s="1"/>
      <c r="NIX230" s="1"/>
      <c r="NIY230" s="1"/>
      <c r="NIZ230" s="1"/>
      <c r="NJA230" s="1"/>
      <c r="NJB230" s="1"/>
      <c r="NJC230" s="1"/>
      <c r="NJD230" s="1"/>
      <c r="NJE230" s="1"/>
      <c r="NJF230" s="1"/>
      <c r="NJG230" s="1"/>
      <c r="NJH230" s="1"/>
      <c r="NJI230" s="1"/>
      <c r="NJJ230" s="1"/>
      <c r="NJK230" s="1"/>
      <c r="NJL230" s="1"/>
      <c r="NJM230" s="1"/>
      <c r="NJN230" s="1"/>
      <c r="NJO230" s="1"/>
      <c r="NJP230" s="1"/>
      <c r="NJQ230" s="1"/>
      <c r="NJR230" s="1"/>
      <c r="NJS230" s="1"/>
      <c r="NJT230" s="1"/>
      <c r="NJU230" s="1"/>
      <c r="NJV230" s="1"/>
      <c r="NJW230" s="1"/>
      <c r="NJX230" s="1"/>
      <c r="NJY230" s="1"/>
      <c r="NJZ230" s="1"/>
      <c r="NKA230" s="1"/>
      <c r="NKB230" s="1"/>
      <c r="NKC230" s="1"/>
      <c r="NKD230" s="1"/>
      <c r="NKE230" s="1"/>
      <c r="NKF230" s="1"/>
      <c r="NKG230" s="1"/>
      <c r="NKH230" s="1"/>
      <c r="NKI230" s="1"/>
      <c r="NKJ230" s="1"/>
      <c r="NKK230" s="1"/>
      <c r="NKL230" s="1"/>
      <c r="NKM230" s="1"/>
      <c r="NKN230" s="1"/>
      <c r="NKO230" s="1"/>
      <c r="NKP230" s="1"/>
      <c r="NKQ230" s="1"/>
      <c r="NKR230" s="1"/>
      <c r="NKS230" s="1"/>
      <c r="NKT230" s="1"/>
      <c r="NKU230" s="1"/>
      <c r="NKV230" s="1"/>
      <c r="NKW230" s="1"/>
      <c r="NKX230" s="1"/>
      <c r="NKY230" s="1"/>
      <c r="NKZ230" s="1"/>
      <c r="NLA230" s="1"/>
      <c r="NLB230" s="1"/>
      <c r="NLC230" s="1"/>
      <c r="NLD230" s="1"/>
      <c r="NLE230" s="1"/>
      <c r="NLF230" s="1"/>
      <c r="NLG230" s="1"/>
      <c r="NLH230" s="1"/>
      <c r="NLI230" s="1"/>
      <c r="NLJ230" s="1"/>
      <c r="NLK230" s="1"/>
      <c r="NLL230" s="1"/>
      <c r="NLM230" s="1"/>
      <c r="NLN230" s="1"/>
      <c r="NLO230" s="1"/>
      <c r="NLP230" s="1"/>
      <c r="NLQ230" s="1"/>
      <c r="NLR230" s="1"/>
      <c r="NLS230" s="1"/>
      <c r="NLT230" s="1"/>
      <c r="NLU230" s="1"/>
      <c r="NLV230" s="1"/>
      <c r="NLW230" s="1"/>
      <c r="NLX230" s="1"/>
      <c r="NLY230" s="1"/>
      <c r="NLZ230" s="1"/>
      <c r="NMA230" s="1"/>
      <c r="NMB230" s="1"/>
      <c r="NMC230" s="1"/>
      <c r="NMD230" s="1"/>
      <c r="NME230" s="1"/>
      <c r="NMF230" s="1"/>
      <c r="NMG230" s="1"/>
      <c r="NMH230" s="1"/>
      <c r="NMI230" s="1"/>
      <c r="NMJ230" s="1"/>
      <c r="NMK230" s="1"/>
      <c r="NML230" s="1"/>
      <c r="NMM230" s="1"/>
      <c r="NMN230" s="1"/>
      <c r="NMO230" s="1"/>
      <c r="NMP230" s="1"/>
      <c r="NMQ230" s="1"/>
      <c r="NMR230" s="1"/>
      <c r="NMS230" s="1"/>
      <c r="NMT230" s="1"/>
      <c r="NMU230" s="1"/>
      <c r="NMV230" s="1"/>
      <c r="NMW230" s="1"/>
      <c r="NMX230" s="1"/>
      <c r="NMY230" s="1"/>
      <c r="NMZ230" s="1"/>
      <c r="NNA230" s="1"/>
      <c r="NNB230" s="1"/>
      <c r="NNC230" s="1"/>
      <c r="NND230" s="1"/>
      <c r="NNE230" s="1"/>
      <c r="NNF230" s="1"/>
      <c r="NNG230" s="1"/>
      <c r="NNH230" s="1"/>
      <c r="NNI230" s="1"/>
      <c r="NNJ230" s="1"/>
      <c r="NNK230" s="1"/>
      <c r="NNL230" s="1"/>
      <c r="NNM230" s="1"/>
      <c r="NNN230" s="1"/>
      <c r="NNO230" s="1"/>
      <c r="NNP230" s="1"/>
      <c r="NNQ230" s="1"/>
      <c r="NNR230" s="1"/>
      <c r="NNS230" s="1"/>
      <c r="NNT230" s="1"/>
      <c r="NNU230" s="1"/>
      <c r="NNV230" s="1"/>
      <c r="NNW230" s="1"/>
      <c r="NNX230" s="1"/>
      <c r="NNY230" s="1"/>
      <c r="NNZ230" s="1"/>
      <c r="NOA230" s="1"/>
      <c r="NOB230" s="1"/>
      <c r="NOC230" s="1"/>
      <c r="NOD230" s="1"/>
      <c r="NOE230" s="1"/>
      <c r="NOF230" s="1"/>
      <c r="NOG230" s="1"/>
      <c r="NOH230" s="1"/>
      <c r="NOI230" s="1"/>
      <c r="NOJ230" s="1"/>
      <c r="NOK230" s="1"/>
      <c r="NOL230" s="1"/>
      <c r="NOM230" s="1"/>
      <c r="NON230" s="1"/>
      <c r="NOO230" s="1"/>
      <c r="NOP230" s="1"/>
      <c r="NOQ230" s="1"/>
      <c r="NOR230" s="1"/>
      <c r="NOS230" s="1"/>
      <c r="NOT230" s="1"/>
      <c r="NOU230" s="1"/>
      <c r="NOV230" s="1"/>
      <c r="NOW230" s="1"/>
      <c r="NOX230" s="1"/>
      <c r="NOY230" s="1"/>
      <c r="NOZ230" s="1"/>
      <c r="NPA230" s="1"/>
      <c r="NPB230" s="1"/>
      <c r="NPC230" s="1"/>
      <c r="NPD230" s="1"/>
      <c r="NPE230" s="1"/>
      <c r="NPF230" s="1"/>
      <c r="NPG230" s="1"/>
      <c r="NPH230" s="1"/>
      <c r="NPI230" s="1"/>
      <c r="NPJ230" s="1"/>
      <c r="NPK230" s="1"/>
      <c r="NPL230" s="1"/>
      <c r="NPM230" s="1"/>
      <c r="NPN230" s="1"/>
      <c r="NPO230" s="1"/>
      <c r="NPP230" s="1"/>
      <c r="NPQ230" s="1"/>
      <c r="NPR230" s="1"/>
      <c r="NPS230" s="1"/>
      <c r="NPT230" s="1"/>
      <c r="NPU230" s="1"/>
      <c r="NPV230" s="1"/>
      <c r="NPW230" s="1"/>
      <c r="NPX230" s="1"/>
      <c r="NPY230" s="1"/>
      <c r="NPZ230" s="1"/>
      <c r="NQA230" s="1"/>
      <c r="NQB230" s="1"/>
      <c r="NQC230" s="1"/>
      <c r="NQD230" s="1"/>
      <c r="NQE230" s="1"/>
      <c r="NQF230" s="1"/>
      <c r="NQG230" s="1"/>
      <c r="NQH230" s="1"/>
      <c r="NQI230" s="1"/>
      <c r="NQJ230" s="1"/>
      <c r="NQK230" s="1"/>
      <c r="NQL230" s="1"/>
      <c r="NQM230" s="1"/>
      <c r="NQN230" s="1"/>
      <c r="NQO230" s="1"/>
      <c r="NQP230" s="1"/>
      <c r="NQQ230" s="1"/>
      <c r="NQR230" s="1"/>
      <c r="NQS230" s="1"/>
      <c r="NQT230" s="1"/>
      <c r="NQU230" s="1"/>
      <c r="NQV230" s="1"/>
      <c r="NQW230" s="1"/>
      <c r="NQX230" s="1"/>
      <c r="NQY230" s="1"/>
      <c r="NQZ230" s="1"/>
      <c r="NRA230" s="1"/>
      <c r="NRB230" s="1"/>
      <c r="NRC230" s="1"/>
      <c r="NRD230" s="1"/>
      <c r="NRE230" s="1"/>
      <c r="NRF230" s="1"/>
      <c r="NRG230" s="1"/>
      <c r="NRH230" s="1"/>
      <c r="NRI230" s="1"/>
      <c r="NRJ230" s="1"/>
      <c r="NRK230" s="1"/>
      <c r="NRL230" s="1"/>
      <c r="NRM230" s="1"/>
      <c r="NRN230" s="1"/>
      <c r="NRO230" s="1"/>
      <c r="NRP230" s="1"/>
      <c r="NRQ230" s="1"/>
      <c r="NRR230" s="1"/>
      <c r="NRS230" s="1"/>
      <c r="NRT230" s="1"/>
      <c r="NRU230" s="1"/>
      <c r="NRV230" s="1"/>
      <c r="NRW230" s="1"/>
      <c r="NRX230" s="1"/>
      <c r="NRY230" s="1"/>
      <c r="NRZ230" s="1"/>
      <c r="NSA230" s="1"/>
      <c r="NSB230" s="1"/>
      <c r="NSC230" s="1"/>
      <c r="NSD230" s="1"/>
      <c r="NSE230" s="1"/>
      <c r="NSF230" s="1"/>
      <c r="NSG230" s="1"/>
      <c r="NSH230" s="1"/>
      <c r="NSI230" s="1"/>
      <c r="NSJ230" s="1"/>
      <c r="NSK230" s="1"/>
      <c r="NSL230" s="1"/>
      <c r="NSM230" s="1"/>
      <c r="NSN230" s="1"/>
      <c r="NSO230" s="1"/>
      <c r="NSP230" s="1"/>
      <c r="NSQ230" s="1"/>
      <c r="NSR230" s="1"/>
      <c r="NSS230" s="1"/>
      <c r="NST230" s="1"/>
      <c r="NSU230" s="1"/>
      <c r="NSV230" s="1"/>
      <c r="NSW230" s="1"/>
      <c r="NSX230" s="1"/>
      <c r="NSY230" s="1"/>
      <c r="NSZ230" s="1"/>
      <c r="NTA230" s="1"/>
      <c r="NTB230" s="1"/>
      <c r="NTC230" s="1"/>
      <c r="NTD230" s="1"/>
      <c r="NTE230" s="1"/>
      <c r="NTF230" s="1"/>
      <c r="NTG230" s="1"/>
      <c r="NTH230" s="1"/>
      <c r="NTI230" s="1"/>
      <c r="NTJ230" s="1"/>
      <c r="NTK230" s="1"/>
      <c r="NTL230" s="1"/>
      <c r="NTM230" s="1"/>
      <c r="NTN230" s="1"/>
      <c r="NTO230" s="1"/>
      <c r="NTP230" s="1"/>
      <c r="NTQ230" s="1"/>
      <c r="NTR230" s="1"/>
      <c r="NTS230" s="1"/>
      <c r="NTT230" s="1"/>
      <c r="NTU230" s="1"/>
      <c r="NTV230" s="1"/>
      <c r="NTW230" s="1"/>
      <c r="NTX230" s="1"/>
      <c r="NTY230" s="1"/>
      <c r="NTZ230" s="1"/>
      <c r="NUA230" s="1"/>
      <c r="NUB230" s="1"/>
      <c r="NUC230" s="1"/>
      <c r="NUD230" s="1"/>
      <c r="NUE230" s="1"/>
      <c r="NUF230" s="1"/>
      <c r="NUG230" s="1"/>
      <c r="NUH230" s="1"/>
      <c r="NUI230" s="1"/>
      <c r="NUJ230" s="1"/>
      <c r="NUK230" s="1"/>
      <c r="NUL230" s="1"/>
      <c r="NUM230" s="1"/>
      <c r="NUN230" s="1"/>
      <c r="NUO230" s="1"/>
      <c r="NUP230" s="1"/>
      <c r="NUQ230" s="1"/>
      <c r="NUR230" s="1"/>
      <c r="NUS230" s="1"/>
      <c r="NUT230" s="1"/>
      <c r="NUU230" s="1"/>
      <c r="NUV230" s="1"/>
      <c r="NUW230" s="1"/>
      <c r="NUX230" s="1"/>
      <c r="NUY230" s="1"/>
      <c r="NUZ230" s="1"/>
      <c r="NVA230" s="1"/>
      <c r="NVB230" s="1"/>
      <c r="NVC230" s="1"/>
      <c r="NVD230" s="1"/>
      <c r="NVE230" s="1"/>
      <c r="NVF230" s="1"/>
      <c r="NVG230" s="1"/>
      <c r="NVH230" s="1"/>
      <c r="NVI230" s="1"/>
      <c r="NVJ230" s="1"/>
      <c r="NVK230" s="1"/>
      <c r="NVL230" s="1"/>
      <c r="NVM230" s="1"/>
      <c r="NVN230" s="1"/>
      <c r="NVO230" s="1"/>
      <c r="NVP230" s="1"/>
      <c r="NVQ230" s="1"/>
      <c r="NVR230" s="1"/>
      <c r="NVS230" s="1"/>
      <c r="NVT230" s="1"/>
      <c r="NVU230" s="1"/>
      <c r="NVV230" s="1"/>
      <c r="NVW230" s="1"/>
      <c r="NVX230" s="1"/>
      <c r="NVY230" s="1"/>
      <c r="NVZ230" s="1"/>
      <c r="NWA230" s="1"/>
      <c r="NWB230" s="1"/>
      <c r="NWC230" s="1"/>
      <c r="NWD230" s="1"/>
      <c r="NWE230" s="1"/>
      <c r="NWF230" s="1"/>
      <c r="NWG230" s="1"/>
      <c r="NWH230" s="1"/>
      <c r="NWI230" s="1"/>
      <c r="NWJ230" s="1"/>
      <c r="NWK230" s="1"/>
      <c r="NWL230" s="1"/>
      <c r="NWM230" s="1"/>
      <c r="NWN230" s="1"/>
      <c r="NWO230" s="1"/>
      <c r="NWP230" s="1"/>
      <c r="NWQ230" s="1"/>
      <c r="NWR230" s="1"/>
      <c r="NWS230" s="1"/>
      <c r="NWT230" s="1"/>
      <c r="NWU230" s="1"/>
      <c r="NWV230" s="1"/>
      <c r="NWW230" s="1"/>
      <c r="NWX230" s="1"/>
      <c r="NWY230" s="1"/>
      <c r="NWZ230" s="1"/>
      <c r="NXA230" s="1"/>
      <c r="NXB230" s="1"/>
      <c r="NXC230" s="1"/>
      <c r="NXD230" s="1"/>
      <c r="NXE230" s="1"/>
      <c r="NXF230" s="1"/>
      <c r="NXG230" s="1"/>
      <c r="NXH230" s="1"/>
      <c r="NXI230" s="1"/>
      <c r="NXJ230" s="1"/>
      <c r="NXK230" s="1"/>
      <c r="NXL230" s="1"/>
      <c r="NXM230" s="1"/>
      <c r="NXN230" s="1"/>
      <c r="NXO230" s="1"/>
      <c r="NXP230" s="1"/>
      <c r="NXQ230" s="1"/>
      <c r="NXR230" s="1"/>
      <c r="NXS230" s="1"/>
      <c r="NXT230" s="1"/>
      <c r="NXU230" s="1"/>
      <c r="NXV230" s="1"/>
      <c r="NXW230" s="1"/>
      <c r="NXX230" s="1"/>
      <c r="NXY230" s="1"/>
      <c r="NXZ230" s="1"/>
      <c r="NYA230" s="1"/>
      <c r="NYB230" s="1"/>
      <c r="NYC230" s="1"/>
      <c r="NYD230" s="1"/>
      <c r="NYE230" s="1"/>
      <c r="NYF230" s="1"/>
      <c r="NYG230" s="1"/>
      <c r="NYH230" s="1"/>
      <c r="NYI230" s="1"/>
      <c r="NYJ230" s="1"/>
      <c r="NYK230" s="1"/>
      <c r="NYL230" s="1"/>
      <c r="NYM230" s="1"/>
      <c r="NYN230" s="1"/>
      <c r="NYO230" s="1"/>
      <c r="NYP230" s="1"/>
      <c r="NYQ230" s="1"/>
      <c r="NYR230" s="1"/>
      <c r="NYS230" s="1"/>
      <c r="NYT230" s="1"/>
      <c r="NYU230" s="1"/>
      <c r="NYV230" s="1"/>
      <c r="NYW230" s="1"/>
      <c r="NYX230" s="1"/>
      <c r="NYY230" s="1"/>
      <c r="NYZ230" s="1"/>
      <c r="NZA230" s="1"/>
      <c r="NZB230" s="1"/>
      <c r="NZC230" s="1"/>
      <c r="NZD230" s="1"/>
      <c r="NZE230" s="1"/>
      <c r="NZF230" s="1"/>
      <c r="NZG230" s="1"/>
      <c r="NZH230" s="1"/>
      <c r="NZI230" s="1"/>
      <c r="NZJ230" s="1"/>
      <c r="NZK230" s="1"/>
      <c r="NZL230" s="1"/>
      <c r="NZM230" s="1"/>
      <c r="NZN230" s="1"/>
      <c r="NZO230" s="1"/>
      <c r="NZP230" s="1"/>
      <c r="NZQ230" s="1"/>
      <c r="NZR230" s="1"/>
      <c r="NZS230" s="1"/>
      <c r="NZT230" s="1"/>
      <c r="NZU230" s="1"/>
      <c r="NZV230" s="1"/>
      <c r="NZW230" s="1"/>
      <c r="NZX230" s="1"/>
      <c r="NZY230" s="1"/>
      <c r="NZZ230" s="1"/>
      <c r="OAA230" s="1"/>
      <c r="OAB230" s="1"/>
      <c r="OAC230" s="1"/>
      <c r="OAD230" s="1"/>
      <c r="OAE230" s="1"/>
      <c r="OAF230" s="1"/>
      <c r="OAG230" s="1"/>
      <c r="OAH230" s="1"/>
      <c r="OAI230" s="1"/>
      <c r="OAJ230" s="1"/>
      <c r="OAK230" s="1"/>
      <c r="OAL230" s="1"/>
      <c r="OAM230" s="1"/>
      <c r="OAN230" s="1"/>
      <c r="OAO230" s="1"/>
      <c r="OAP230" s="1"/>
      <c r="OAQ230" s="1"/>
      <c r="OAR230" s="1"/>
      <c r="OAS230" s="1"/>
      <c r="OAT230" s="1"/>
      <c r="OAU230" s="1"/>
      <c r="OAV230" s="1"/>
      <c r="OAW230" s="1"/>
      <c r="OAX230" s="1"/>
      <c r="OAY230" s="1"/>
      <c r="OAZ230" s="1"/>
      <c r="OBA230" s="1"/>
      <c r="OBB230" s="1"/>
      <c r="OBC230" s="1"/>
      <c r="OBD230" s="1"/>
      <c r="OBE230" s="1"/>
      <c r="OBF230" s="1"/>
      <c r="OBG230" s="1"/>
      <c r="OBH230" s="1"/>
      <c r="OBI230" s="1"/>
      <c r="OBJ230" s="1"/>
      <c r="OBK230" s="1"/>
      <c r="OBL230" s="1"/>
      <c r="OBM230" s="1"/>
      <c r="OBN230" s="1"/>
      <c r="OBO230" s="1"/>
      <c r="OBP230" s="1"/>
      <c r="OBQ230" s="1"/>
      <c r="OBR230" s="1"/>
      <c r="OBS230" s="1"/>
      <c r="OBT230" s="1"/>
      <c r="OBU230" s="1"/>
      <c r="OBV230" s="1"/>
      <c r="OBW230" s="1"/>
      <c r="OBX230" s="1"/>
      <c r="OBY230" s="1"/>
      <c r="OBZ230" s="1"/>
      <c r="OCA230" s="1"/>
      <c r="OCB230" s="1"/>
      <c r="OCC230" s="1"/>
      <c r="OCD230" s="1"/>
      <c r="OCE230" s="1"/>
      <c r="OCF230" s="1"/>
      <c r="OCG230" s="1"/>
      <c r="OCH230" s="1"/>
      <c r="OCI230" s="1"/>
      <c r="OCJ230" s="1"/>
      <c r="OCK230" s="1"/>
      <c r="OCL230" s="1"/>
      <c r="OCM230" s="1"/>
      <c r="OCN230" s="1"/>
      <c r="OCO230" s="1"/>
      <c r="OCP230" s="1"/>
      <c r="OCQ230" s="1"/>
      <c r="OCR230" s="1"/>
      <c r="OCS230" s="1"/>
      <c r="OCT230" s="1"/>
      <c r="OCU230" s="1"/>
      <c r="OCV230" s="1"/>
      <c r="OCW230" s="1"/>
      <c r="OCX230" s="1"/>
      <c r="OCY230" s="1"/>
      <c r="OCZ230" s="1"/>
      <c r="ODA230" s="1"/>
      <c r="ODB230" s="1"/>
      <c r="ODC230" s="1"/>
      <c r="ODD230" s="1"/>
      <c r="ODE230" s="1"/>
      <c r="ODF230" s="1"/>
      <c r="ODG230" s="1"/>
      <c r="ODH230" s="1"/>
      <c r="ODI230" s="1"/>
      <c r="ODJ230" s="1"/>
      <c r="ODK230" s="1"/>
      <c r="ODL230" s="1"/>
      <c r="ODM230" s="1"/>
      <c r="ODN230" s="1"/>
      <c r="ODO230" s="1"/>
      <c r="ODP230" s="1"/>
      <c r="ODQ230" s="1"/>
      <c r="ODR230" s="1"/>
      <c r="ODS230" s="1"/>
      <c r="ODT230" s="1"/>
      <c r="ODU230" s="1"/>
      <c r="ODV230" s="1"/>
      <c r="ODW230" s="1"/>
      <c r="ODX230" s="1"/>
      <c r="ODY230" s="1"/>
      <c r="ODZ230" s="1"/>
      <c r="OEA230" s="1"/>
      <c r="OEB230" s="1"/>
      <c r="OEC230" s="1"/>
      <c r="OED230" s="1"/>
      <c r="OEE230" s="1"/>
      <c r="OEF230" s="1"/>
      <c r="OEG230" s="1"/>
      <c r="OEH230" s="1"/>
      <c r="OEI230" s="1"/>
      <c r="OEJ230" s="1"/>
      <c r="OEK230" s="1"/>
      <c r="OEL230" s="1"/>
      <c r="OEM230" s="1"/>
      <c r="OEN230" s="1"/>
      <c r="OEO230" s="1"/>
      <c r="OEP230" s="1"/>
      <c r="OEQ230" s="1"/>
      <c r="OER230" s="1"/>
      <c r="OES230" s="1"/>
      <c r="OET230" s="1"/>
      <c r="OEU230" s="1"/>
      <c r="OEV230" s="1"/>
      <c r="OEW230" s="1"/>
      <c r="OEX230" s="1"/>
      <c r="OEY230" s="1"/>
      <c r="OEZ230" s="1"/>
      <c r="OFA230" s="1"/>
      <c r="OFB230" s="1"/>
      <c r="OFC230" s="1"/>
      <c r="OFD230" s="1"/>
      <c r="OFE230" s="1"/>
      <c r="OFF230" s="1"/>
      <c r="OFG230" s="1"/>
      <c r="OFH230" s="1"/>
      <c r="OFI230" s="1"/>
      <c r="OFJ230" s="1"/>
      <c r="OFK230" s="1"/>
      <c r="OFL230" s="1"/>
      <c r="OFM230" s="1"/>
      <c r="OFN230" s="1"/>
      <c r="OFO230" s="1"/>
      <c r="OFP230" s="1"/>
      <c r="OFQ230" s="1"/>
      <c r="OFR230" s="1"/>
      <c r="OFS230" s="1"/>
      <c r="OFT230" s="1"/>
      <c r="OFU230" s="1"/>
      <c r="OFV230" s="1"/>
      <c r="OFW230" s="1"/>
      <c r="OFX230" s="1"/>
      <c r="OFY230" s="1"/>
      <c r="OFZ230" s="1"/>
      <c r="OGA230" s="1"/>
      <c r="OGB230" s="1"/>
      <c r="OGC230" s="1"/>
      <c r="OGD230" s="1"/>
      <c r="OGE230" s="1"/>
      <c r="OGF230" s="1"/>
      <c r="OGG230" s="1"/>
      <c r="OGH230" s="1"/>
      <c r="OGI230" s="1"/>
      <c r="OGJ230" s="1"/>
      <c r="OGK230" s="1"/>
      <c r="OGL230" s="1"/>
      <c r="OGM230" s="1"/>
      <c r="OGN230" s="1"/>
      <c r="OGO230" s="1"/>
      <c r="OGP230" s="1"/>
      <c r="OGQ230" s="1"/>
      <c r="OGR230" s="1"/>
      <c r="OGS230" s="1"/>
      <c r="OGT230" s="1"/>
      <c r="OGU230" s="1"/>
      <c r="OGV230" s="1"/>
      <c r="OGW230" s="1"/>
      <c r="OGX230" s="1"/>
      <c r="OGY230" s="1"/>
      <c r="OGZ230" s="1"/>
      <c r="OHA230" s="1"/>
      <c r="OHB230" s="1"/>
      <c r="OHC230" s="1"/>
      <c r="OHD230" s="1"/>
      <c r="OHE230" s="1"/>
      <c r="OHF230" s="1"/>
      <c r="OHG230" s="1"/>
      <c r="OHH230" s="1"/>
      <c r="OHI230" s="1"/>
      <c r="OHJ230" s="1"/>
      <c r="OHK230" s="1"/>
      <c r="OHL230" s="1"/>
      <c r="OHM230" s="1"/>
      <c r="OHN230" s="1"/>
      <c r="OHO230" s="1"/>
      <c r="OHP230" s="1"/>
      <c r="OHQ230" s="1"/>
      <c r="OHR230" s="1"/>
      <c r="OHS230" s="1"/>
      <c r="OHT230" s="1"/>
      <c r="OHU230" s="1"/>
      <c r="OHV230" s="1"/>
      <c r="OHW230" s="1"/>
      <c r="OHX230" s="1"/>
      <c r="OHY230" s="1"/>
      <c r="OHZ230" s="1"/>
      <c r="OIA230" s="1"/>
      <c r="OIB230" s="1"/>
      <c r="OIC230" s="1"/>
      <c r="OID230" s="1"/>
      <c r="OIE230" s="1"/>
      <c r="OIF230" s="1"/>
      <c r="OIG230" s="1"/>
      <c r="OIH230" s="1"/>
      <c r="OII230" s="1"/>
      <c r="OIJ230" s="1"/>
      <c r="OIK230" s="1"/>
      <c r="OIL230" s="1"/>
      <c r="OIM230" s="1"/>
      <c r="OIN230" s="1"/>
      <c r="OIO230" s="1"/>
      <c r="OIP230" s="1"/>
      <c r="OIQ230" s="1"/>
      <c r="OIR230" s="1"/>
      <c r="OIS230" s="1"/>
      <c r="OIT230" s="1"/>
      <c r="OIU230" s="1"/>
      <c r="OIV230" s="1"/>
      <c r="OIW230" s="1"/>
      <c r="OIX230" s="1"/>
      <c r="OIY230" s="1"/>
      <c r="OIZ230" s="1"/>
      <c r="OJA230" s="1"/>
      <c r="OJB230" s="1"/>
      <c r="OJC230" s="1"/>
      <c r="OJD230" s="1"/>
      <c r="OJE230" s="1"/>
      <c r="OJF230" s="1"/>
      <c r="OJG230" s="1"/>
      <c r="OJH230" s="1"/>
      <c r="OJI230" s="1"/>
      <c r="OJJ230" s="1"/>
      <c r="OJK230" s="1"/>
      <c r="OJL230" s="1"/>
      <c r="OJM230" s="1"/>
      <c r="OJN230" s="1"/>
      <c r="OJO230" s="1"/>
      <c r="OJP230" s="1"/>
      <c r="OJQ230" s="1"/>
      <c r="OJR230" s="1"/>
      <c r="OJS230" s="1"/>
      <c r="OJT230" s="1"/>
      <c r="OJU230" s="1"/>
      <c r="OJV230" s="1"/>
      <c r="OJW230" s="1"/>
      <c r="OJX230" s="1"/>
      <c r="OJY230" s="1"/>
      <c r="OJZ230" s="1"/>
      <c r="OKA230" s="1"/>
      <c r="OKB230" s="1"/>
      <c r="OKC230" s="1"/>
      <c r="OKD230" s="1"/>
      <c r="OKE230" s="1"/>
      <c r="OKF230" s="1"/>
      <c r="OKG230" s="1"/>
      <c r="OKH230" s="1"/>
      <c r="OKI230" s="1"/>
      <c r="OKJ230" s="1"/>
      <c r="OKK230" s="1"/>
      <c r="OKL230" s="1"/>
      <c r="OKM230" s="1"/>
      <c r="OKN230" s="1"/>
      <c r="OKO230" s="1"/>
      <c r="OKP230" s="1"/>
      <c r="OKQ230" s="1"/>
      <c r="OKR230" s="1"/>
      <c r="OKS230" s="1"/>
      <c r="OKT230" s="1"/>
      <c r="OKU230" s="1"/>
      <c r="OKV230" s="1"/>
      <c r="OKW230" s="1"/>
      <c r="OKX230" s="1"/>
      <c r="OKY230" s="1"/>
      <c r="OKZ230" s="1"/>
      <c r="OLA230" s="1"/>
      <c r="OLB230" s="1"/>
      <c r="OLC230" s="1"/>
      <c r="OLD230" s="1"/>
      <c r="OLE230" s="1"/>
      <c r="OLF230" s="1"/>
      <c r="OLG230" s="1"/>
      <c r="OLH230" s="1"/>
      <c r="OLI230" s="1"/>
      <c r="OLJ230" s="1"/>
      <c r="OLK230" s="1"/>
      <c r="OLL230" s="1"/>
      <c r="OLM230" s="1"/>
      <c r="OLN230" s="1"/>
      <c r="OLO230" s="1"/>
      <c r="OLP230" s="1"/>
      <c r="OLQ230" s="1"/>
      <c r="OLR230" s="1"/>
      <c r="OLS230" s="1"/>
      <c r="OLT230" s="1"/>
      <c r="OLU230" s="1"/>
      <c r="OLV230" s="1"/>
      <c r="OLW230" s="1"/>
      <c r="OLX230" s="1"/>
      <c r="OLY230" s="1"/>
      <c r="OLZ230" s="1"/>
      <c r="OMA230" s="1"/>
      <c r="OMB230" s="1"/>
      <c r="OMC230" s="1"/>
      <c r="OMD230" s="1"/>
      <c r="OME230" s="1"/>
      <c r="OMF230" s="1"/>
      <c r="OMG230" s="1"/>
      <c r="OMH230" s="1"/>
      <c r="OMI230" s="1"/>
      <c r="OMJ230" s="1"/>
      <c r="OMK230" s="1"/>
      <c r="OML230" s="1"/>
      <c r="OMM230" s="1"/>
      <c r="OMN230" s="1"/>
      <c r="OMO230" s="1"/>
      <c r="OMP230" s="1"/>
      <c r="OMQ230" s="1"/>
      <c r="OMR230" s="1"/>
      <c r="OMS230" s="1"/>
      <c r="OMT230" s="1"/>
      <c r="OMU230" s="1"/>
      <c r="OMV230" s="1"/>
      <c r="OMW230" s="1"/>
      <c r="OMX230" s="1"/>
      <c r="OMY230" s="1"/>
      <c r="OMZ230" s="1"/>
      <c r="ONA230" s="1"/>
      <c r="ONB230" s="1"/>
      <c r="ONC230" s="1"/>
      <c r="OND230" s="1"/>
      <c r="ONE230" s="1"/>
      <c r="ONF230" s="1"/>
      <c r="ONG230" s="1"/>
      <c r="ONH230" s="1"/>
      <c r="ONI230" s="1"/>
      <c r="ONJ230" s="1"/>
      <c r="ONK230" s="1"/>
      <c r="ONL230" s="1"/>
      <c r="ONM230" s="1"/>
      <c r="ONN230" s="1"/>
      <c r="ONO230" s="1"/>
      <c r="ONP230" s="1"/>
      <c r="ONQ230" s="1"/>
      <c r="ONR230" s="1"/>
      <c r="ONS230" s="1"/>
      <c r="ONT230" s="1"/>
      <c r="ONU230" s="1"/>
      <c r="ONV230" s="1"/>
      <c r="ONW230" s="1"/>
      <c r="ONX230" s="1"/>
      <c r="ONY230" s="1"/>
      <c r="ONZ230" s="1"/>
      <c r="OOA230" s="1"/>
      <c r="OOB230" s="1"/>
      <c r="OOC230" s="1"/>
      <c r="OOD230" s="1"/>
      <c r="OOE230" s="1"/>
      <c r="OOF230" s="1"/>
      <c r="OOG230" s="1"/>
      <c r="OOH230" s="1"/>
      <c r="OOI230" s="1"/>
      <c r="OOJ230" s="1"/>
      <c r="OOK230" s="1"/>
      <c r="OOL230" s="1"/>
      <c r="OOM230" s="1"/>
      <c r="OON230" s="1"/>
      <c r="OOO230" s="1"/>
      <c r="OOP230" s="1"/>
      <c r="OOQ230" s="1"/>
      <c r="OOR230" s="1"/>
      <c r="OOS230" s="1"/>
      <c r="OOT230" s="1"/>
      <c r="OOU230" s="1"/>
      <c r="OOV230" s="1"/>
      <c r="OOW230" s="1"/>
      <c r="OOX230" s="1"/>
      <c r="OOY230" s="1"/>
      <c r="OOZ230" s="1"/>
      <c r="OPA230" s="1"/>
      <c r="OPB230" s="1"/>
      <c r="OPC230" s="1"/>
      <c r="OPD230" s="1"/>
      <c r="OPE230" s="1"/>
      <c r="OPF230" s="1"/>
      <c r="OPG230" s="1"/>
      <c r="OPH230" s="1"/>
      <c r="OPI230" s="1"/>
      <c r="OPJ230" s="1"/>
      <c r="OPK230" s="1"/>
      <c r="OPL230" s="1"/>
      <c r="OPM230" s="1"/>
      <c r="OPN230" s="1"/>
      <c r="OPO230" s="1"/>
      <c r="OPP230" s="1"/>
      <c r="OPQ230" s="1"/>
      <c r="OPR230" s="1"/>
      <c r="OPS230" s="1"/>
      <c r="OPT230" s="1"/>
      <c r="OPU230" s="1"/>
      <c r="OPV230" s="1"/>
      <c r="OPW230" s="1"/>
      <c r="OPX230" s="1"/>
      <c r="OPY230" s="1"/>
      <c r="OPZ230" s="1"/>
      <c r="OQA230" s="1"/>
      <c r="OQB230" s="1"/>
      <c r="OQC230" s="1"/>
      <c r="OQD230" s="1"/>
      <c r="OQE230" s="1"/>
      <c r="OQF230" s="1"/>
      <c r="OQG230" s="1"/>
      <c r="OQH230" s="1"/>
      <c r="OQI230" s="1"/>
      <c r="OQJ230" s="1"/>
      <c r="OQK230" s="1"/>
      <c r="OQL230" s="1"/>
      <c r="OQM230" s="1"/>
      <c r="OQN230" s="1"/>
      <c r="OQO230" s="1"/>
      <c r="OQP230" s="1"/>
      <c r="OQQ230" s="1"/>
      <c r="OQR230" s="1"/>
      <c r="OQS230" s="1"/>
      <c r="OQT230" s="1"/>
      <c r="OQU230" s="1"/>
      <c r="OQV230" s="1"/>
      <c r="OQW230" s="1"/>
      <c r="OQX230" s="1"/>
      <c r="OQY230" s="1"/>
      <c r="OQZ230" s="1"/>
      <c r="ORA230" s="1"/>
      <c r="ORB230" s="1"/>
      <c r="ORC230" s="1"/>
      <c r="ORD230" s="1"/>
      <c r="ORE230" s="1"/>
      <c r="ORF230" s="1"/>
      <c r="ORG230" s="1"/>
      <c r="ORH230" s="1"/>
      <c r="ORI230" s="1"/>
      <c r="ORJ230" s="1"/>
      <c r="ORK230" s="1"/>
      <c r="ORL230" s="1"/>
      <c r="ORM230" s="1"/>
      <c r="ORN230" s="1"/>
      <c r="ORO230" s="1"/>
      <c r="ORP230" s="1"/>
      <c r="ORQ230" s="1"/>
      <c r="ORR230" s="1"/>
      <c r="ORS230" s="1"/>
      <c r="ORT230" s="1"/>
      <c r="ORU230" s="1"/>
      <c r="ORV230" s="1"/>
      <c r="ORW230" s="1"/>
      <c r="ORX230" s="1"/>
      <c r="ORY230" s="1"/>
      <c r="ORZ230" s="1"/>
      <c r="OSA230" s="1"/>
      <c r="OSB230" s="1"/>
      <c r="OSC230" s="1"/>
      <c r="OSD230" s="1"/>
      <c r="OSE230" s="1"/>
      <c r="OSF230" s="1"/>
      <c r="OSG230" s="1"/>
      <c r="OSH230" s="1"/>
      <c r="OSI230" s="1"/>
      <c r="OSJ230" s="1"/>
      <c r="OSK230" s="1"/>
      <c r="OSL230" s="1"/>
      <c r="OSM230" s="1"/>
      <c r="OSN230" s="1"/>
      <c r="OSO230" s="1"/>
      <c r="OSP230" s="1"/>
      <c r="OSQ230" s="1"/>
      <c r="OSR230" s="1"/>
      <c r="OSS230" s="1"/>
      <c r="OST230" s="1"/>
      <c r="OSU230" s="1"/>
      <c r="OSV230" s="1"/>
      <c r="OSW230" s="1"/>
      <c r="OSX230" s="1"/>
      <c r="OSY230" s="1"/>
      <c r="OSZ230" s="1"/>
      <c r="OTA230" s="1"/>
      <c r="OTB230" s="1"/>
      <c r="OTC230" s="1"/>
      <c r="OTD230" s="1"/>
      <c r="OTE230" s="1"/>
      <c r="OTF230" s="1"/>
      <c r="OTG230" s="1"/>
      <c r="OTH230" s="1"/>
      <c r="OTI230" s="1"/>
      <c r="OTJ230" s="1"/>
      <c r="OTK230" s="1"/>
      <c r="OTL230" s="1"/>
      <c r="OTM230" s="1"/>
      <c r="OTN230" s="1"/>
      <c r="OTO230" s="1"/>
      <c r="OTP230" s="1"/>
      <c r="OTQ230" s="1"/>
      <c r="OTR230" s="1"/>
      <c r="OTS230" s="1"/>
      <c r="OTT230" s="1"/>
      <c r="OTU230" s="1"/>
      <c r="OTV230" s="1"/>
      <c r="OTW230" s="1"/>
      <c r="OTX230" s="1"/>
      <c r="OTY230" s="1"/>
      <c r="OTZ230" s="1"/>
      <c r="OUA230" s="1"/>
      <c r="OUB230" s="1"/>
      <c r="OUC230" s="1"/>
      <c r="OUD230" s="1"/>
      <c r="OUE230" s="1"/>
      <c r="OUF230" s="1"/>
      <c r="OUG230" s="1"/>
      <c r="OUH230" s="1"/>
      <c r="OUI230" s="1"/>
      <c r="OUJ230" s="1"/>
      <c r="OUK230" s="1"/>
      <c r="OUL230" s="1"/>
      <c r="OUM230" s="1"/>
      <c r="OUN230" s="1"/>
      <c r="OUO230" s="1"/>
      <c r="OUP230" s="1"/>
      <c r="OUQ230" s="1"/>
      <c r="OUR230" s="1"/>
      <c r="OUS230" s="1"/>
      <c r="OUT230" s="1"/>
      <c r="OUU230" s="1"/>
      <c r="OUV230" s="1"/>
      <c r="OUW230" s="1"/>
      <c r="OUX230" s="1"/>
      <c r="OUY230" s="1"/>
      <c r="OUZ230" s="1"/>
      <c r="OVA230" s="1"/>
      <c r="OVB230" s="1"/>
      <c r="OVC230" s="1"/>
      <c r="OVD230" s="1"/>
      <c r="OVE230" s="1"/>
      <c r="OVF230" s="1"/>
      <c r="OVG230" s="1"/>
      <c r="OVH230" s="1"/>
      <c r="OVI230" s="1"/>
      <c r="OVJ230" s="1"/>
      <c r="OVK230" s="1"/>
      <c r="OVL230" s="1"/>
      <c r="OVM230" s="1"/>
      <c r="OVN230" s="1"/>
      <c r="OVO230" s="1"/>
      <c r="OVP230" s="1"/>
      <c r="OVQ230" s="1"/>
      <c r="OVR230" s="1"/>
      <c r="OVS230" s="1"/>
      <c r="OVT230" s="1"/>
      <c r="OVU230" s="1"/>
      <c r="OVV230" s="1"/>
      <c r="OVW230" s="1"/>
      <c r="OVX230" s="1"/>
      <c r="OVY230" s="1"/>
      <c r="OVZ230" s="1"/>
      <c r="OWA230" s="1"/>
      <c r="OWB230" s="1"/>
      <c r="OWC230" s="1"/>
      <c r="OWD230" s="1"/>
      <c r="OWE230" s="1"/>
      <c r="OWF230" s="1"/>
      <c r="OWG230" s="1"/>
      <c r="OWH230" s="1"/>
      <c r="OWI230" s="1"/>
      <c r="OWJ230" s="1"/>
      <c r="OWK230" s="1"/>
      <c r="OWL230" s="1"/>
      <c r="OWM230" s="1"/>
      <c r="OWN230" s="1"/>
      <c r="OWO230" s="1"/>
      <c r="OWP230" s="1"/>
      <c r="OWQ230" s="1"/>
      <c r="OWR230" s="1"/>
      <c r="OWS230" s="1"/>
      <c r="OWT230" s="1"/>
      <c r="OWU230" s="1"/>
      <c r="OWV230" s="1"/>
      <c r="OWW230" s="1"/>
      <c r="OWX230" s="1"/>
      <c r="OWY230" s="1"/>
      <c r="OWZ230" s="1"/>
      <c r="OXA230" s="1"/>
      <c r="OXB230" s="1"/>
      <c r="OXC230" s="1"/>
      <c r="OXD230" s="1"/>
      <c r="OXE230" s="1"/>
      <c r="OXF230" s="1"/>
      <c r="OXG230" s="1"/>
      <c r="OXH230" s="1"/>
      <c r="OXI230" s="1"/>
      <c r="OXJ230" s="1"/>
      <c r="OXK230" s="1"/>
      <c r="OXL230" s="1"/>
      <c r="OXM230" s="1"/>
      <c r="OXN230" s="1"/>
      <c r="OXO230" s="1"/>
      <c r="OXP230" s="1"/>
      <c r="OXQ230" s="1"/>
      <c r="OXR230" s="1"/>
      <c r="OXS230" s="1"/>
      <c r="OXT230" s="1"/>
      <c r="OXU230" s="1"/>
      <c r="OXV230" s="1"/>
      <c r="OXW230" s="1"/>
      <c r="OXX230" s="1"/>
      <c r="OXY230" s="1"/>
      <c r="OXZ230" s="1"/>
      <c r="OYA230" s="1"/>
      <c r="OYB230" s="1"/>
      <c r="OYC230" s="1"/>
      <c r="OYD230" s="1"/>
      <c r="OYE230" s="1"/>
      <c r="OYF230" s="1"/>
      <c r="OYG230" s="1"/>
      <c r="OYH230" s="1"/>
      <c r="OYI230" s="1"/>
      <c r="OYJ230" s="1"/>
      <c r="OYK230" s="1"/>
      <c r="OYL230" s="1"/>
      <c r="OYM230" s="1"/>
      <c r="OYN230" s="1"/>
      <c r="OYO230" s="1"/>
      <c r="OYP230" s="1"/>
      <c r="OYQ230" s="1"/>
      <c r="OYR230" s="1"/>
      <c r="OYS230" s="1"/>
      <c r="OYT230" s="1"/>
      <c r="OYU230" s="1"/>
      <c r="OYV230" s="1"/>
      <c r="OYW230" s="1"/>
      <c r="OYX230" s="1"/>
      <c r="OYY230" s="1"/>
      <c r="OYZ230" s="1"/>
      <c r="OZA230" s="1"/>
      <c r="OZB230" s="1"/>
      <c r="OZC230" s="1"/>
      <c r="OZD230" s="1"/>
      <c r="OZE230" s="1"/>
      <c r="OZF230" s="1"/>
      <c r="OZG230" s="1"/>
      <c r="OZH230" s="1"/>
      <c r="OZI230" s="1"/>
      <c r="OZJ230" s="1"/>
      <c r="OZK230" s="1"/>
      <c r="OZL230" s="1"/>
      <c r="OZM230" s="1"/>
      <c r="OZN230" s="1"/>
      <c r="OZO230" s="1"/>
      <c r="OZP230" s="1"/>
      <c r="OZQ230" s="1"/>
      <c r="OZR230" s="1"/>
      <c r="OZS230" s="1"/>
      <c r="OZT230" s="1"/>
      <c r="OZU230" s="1"/>
      <c r="OZV230" s="1"/>
      <c r="OZW230" s="1"/>
      <c r="OZX230" s="1"/>
      <c r="OZY230" s="1"/>
      <c r="OZZ230" s="1"/>
      <c r="PAA230" s="1"/>
      <c r="PAB230" s="1"/>
      <c r="PAC230" s="1"/>
      <c r="PAD230" s="1"/>
      <c r="PAE230" s="1"/>
      <c r="PAF230" s="1"/>
      <c r="PAG230" s="1"/>
      <c r="PAH230" s="1"/>
      <c r="PAI230" s="1"/>
      <c r="PAJ230" s="1"/>
      <c r="PAK230" s="1"/>
      <c r="PAL230" s="1"/>
      <c r="PAM230" s="1"/>
      <c r="PAN230" s="1"/>
      <c r="PAO230" s="1"/>
      <c r="PAP230" s="1"/>
      <c r="PAQ230" s="1"/>
      <c r="PAR230" s="1"/>
      <c r="PAS230" s="1"/>
      <c r="PAT230" s="1"/>
      <c r="PAU230" s="1"/>
      <c r="PAV230" s="1"/>
      <c r="PAW230" s="1"/>
      <c r="PAX230" s="1"/>
      <c r="PAY230" s="1"/>
      <c r="PAZ230" s="1"/>
      <c r="PBA230" s="1"/>
      <c r="PBB230" s="1"/>
      <c r="PBC230" s="1"/>
      <c r="PBD230" s="1"/>
      <c r="PBE230" s="1"/>
      <c r="PBF230" s="1"/>
      <c r="PBG230" s="1"/>
      <c r="PBH230" s="1"/>
      <c r="PBI230" s="1"/>
      <c r="PBJ230" s="1"/>
      <c r="PBK230" s="1"/>
      <c r="PBL230" s="1"/>
      <c r="PBM230" s="1"/>
      <c r="PBN230" s="1"/>
      <c r="PBO230" s="1"/>
      <c r="PBP230" s="1"/>
      <c r="PBQ230" s="1"/>
      <c r="PBR230" s="1"/>
      <c r="PBS230" s="1"/>
      <c r="PBT230" s="1"/>
      <c r="PBU230" s="1"/>
      <c r="PBV230" s="1"/>
      <c r="PBW230" s="1"/>
      <c r="PBX230" s="1"/>
      <c r="PBY230" s="1"/>
      <c r="PBZ230" s="1"/>
      <c r="PCA230" s="1"/>
      <c r="PCB230" s="1"/>
      <c r="PCC230" s="1"/>
      <c r="PCD230" s="1"/>
      <c r="PCE230" s="1"/>
      <c r="PCF230" s="1"/>
      <c r="PCG230" s="1"/>
      <c r="PCH230" s="1"/>
      <c r="PCI230" s="1"/>
      <c r="PCJ230" s="1"/>
      <c r="PCK230" s="1"/>
      <c r="PCL230" s="1"/>
      <c r="PCM230" s="1"/>
      <c r="PCN230" s="1"/>
      <c r="PCO230" s="1"/>
      <c r="PCP230" s="1"/>
      <c r="PCQ230" s="1"/>
      <c r="PCR230" s="1"/>
      <c r="PCS230" s="1"/>
      <c r="PCT230" s="1"/>
      <c r="PCU230" s="1"/>
      <c r="PCV230" s="1"/>
      <c r="PCW230" s="1"/>
      <c r="PCX230" s="1"/>
      <c r="PCY230" s="1"/>
      <c r="PCZ230" s="1"/>
      <c r="PDA230" s="1"/>
      <c r="PDB230" s="1"/>
      <c r="PDC230" s="1"/>
      <c r="PDD230" s="1"/>
      <c r="PDE230" s="1"/>
      <c r="PDF230" s="1"/>
      <c r="PDG230" s="1"/>
      <c r="PDH230" s="1"/>
      <c r="PDI230" s="1"/>
      <c r="PDJ230" s="1"/>
      <c r="PDK230" s="1"/>
      <c r="PDL230" s="1"/>
      <c r="PDM230" s="1"/>
      <c r="PDN230" s="1"/>
      <c r="PDO230" s="1"/>
      <c r="PDP230" s="1"/>
      <c r="PDQ230" s="1"/>
      <c r="PDR230" s="1"/>
      <c r="PDS230" s="1"/>
      <c r="PDT230" s="1"/>
      <c r="PDU230" s="1"/>
      <c r="PDV230" s="1"/>
      <c r="PDW230" s="1"/>
      <c r="PDX230" s="1"/>
      <c r="PDY230" s="1"/>
      <c r="PDZ230" s="1"/>
      <c r="PEA230" s="1"/>
      <c r="PEB230" s="1"/>
      <c r="PEC230" s="1"/>
      <c r="PED230" s="1"/>
      <c r="PEE230" s="1"/>
      <c r="PEF230" s="1"/>
      <c r="PEG230" s="1"/>
      <c r="PEH230" s="1"/>
      <c r="PEI230" s="1"/>
      <c r="PEJ230" s="1"/>
      <c r="PEK230" s="1"/>
      <c r="PEL230" s="1"/>
      <c r="PEM230" s="1"/>
      <c r="PEN230" s="1"/>
      <c r="PEO230" s="1"/>
      <c r="PEP230" s="1"/>
      <c r="PEQ230" s="1"/>
      <c r="PER230" s="1"/>
      <c r="PES230" s="1"/>
      <c r="PET230" s="1"/>
      <c r="PEU230" s="1"/>
      <c r="PEV230" s="1"/>
      <c r="PEW230" s="1"/>
      <c r="PEX230" s="1"/>
      <c r="PEY230" s="1"/>
      <c r="PEZ230" s="1"/>
      <c r="PFA230" s="1"/>
      <c r="PFB230" s="1"/>
      <c r="PFC230" s="1"/>
      <c r="PFD230" s="1"/>
      <c r="PFE230" s="1"/>
      <c r="PFF230" s="1"/>
      <c r="PFG230" s="1"/>
      <c r="PFH230" s="1"/>
      <c r="PFI230" s="1"/>
      <c r="PFJ230" s="1"/>
      <c r="PFK230" s="1"/>
      <c r="PFL230" s="1"/>
      <c r="PFM230" s="1"/>
      <c r="PFN230" s="1"/>
      <c r="PFO230" s="1"/>
      <c r="PFP230" s="1"/>
      <c r="PFQ230" s="1"/>
      <c r="PFR230" s="1"/>
      <c r="PFS230" s="1"/>
      <c r="PFT230" s="1"/>
      <c r="PFU230" s="1"/>
      <c r="PFV230" s="1"/>
      <c r="PFW230" s="1"/>
      <c r="PFX230" s="1"/>
      <c r="PFY230" s="1"/>
      <c r="PFZ230" s="1"/>
      <c r="PGA230" s="1"/>
      <c r="PGB230" s="1"/>
      <c r="PGC230" s="1"/>
      <c r="PGD230" s="1"/>
      <c r="PGE230" s="1"/>
      <c r="PGF230" s="1"/>
      <c r="PGG230" s="1"/>
      <c r="PGH230" s="1"/>
      <c r="PGI230" s="1"/>
      <c r="PGJ230" s="1"/>
      <c r="PGK230" s="1"/>
      <c r="PGL230" s="1"/>
      <c r="PGM230" s="1"/>
      <c r="PGN230" s="1"/>
      <c r="PGO230" s="1"/>
      <c r="PGP230" s="1"/>
      <c r="PGQ230" s="1"/>
      <c r="PGR230" s="1"/>
      <c r="PGS230" s="1"/>
      <c r="PGT230" s="1"/>
      <c r="PGU230" s="1"/>
      <c r="PGV230" s="1"/>
      <c r="PGW230" s="1"/>
      <c r="PGX230" s="1"/>
      <c r="PGY230" s="1"/>
      <c r="PGZ230" s="1"/>
      <c r="PHA230" s="1"/>
      <c r="PHB230" s="1"/>
      <c r="PHC230" s="1"/>
      <c r="PHD230" s="1"/>
      <c r="PHE230" s="1"/>
      <c r="PHF230" s="1"/>
      <c r="PHG230" s="1"/>
      <c r="PHH230" s="1"/>
      <c r="PHI230" s="1"/>
      <c r="PHJ230" s="1"/>
      <c r="PHK230" s="1"/>
      <c r="PHL230" s="1"/>
      <c r="PHM230" s="1"/>
      <c r="PHN230" s="1"/>
      <c r="PHO230" s="1"/>
      <c r="PHP230" s="1"/>
      <c r="PHQ230" s="1"/>
      <c r="PHR230" s="1"/>
      <c r="PHS230" s="1"/>
      <c r="PHT230" s="1"/>
      <c r="PHU230" s="1"/>
      <c r="PHV230" s="1"/>
      <c r="PHW230" s="1"/>
      <c r="PHX230" s="1"/>
      <c r="PHY230" s="1"/>
      <c r="PHZ230" s="1"/>
      <c r="PIA230" s="1"/>
      <c r="PIB230" s="1"/>
      <c r="PIC230" s="1"/>
      <c r="PID230" s="1"/>
      <c r="PIE230" s="1"/>
      <c r="PIF230" s="1"/>
      <c r="PIG230" s="1"/>
      <c r="PIH230" s="1"/>
      <c r="PII230" s="1"/>
      <c r="PIJ230" s="1"/>
      <c r="PIK230" s="1"/>
      <c r="PIL230" s="1"/>
      <c r="PIM230" s="1"/>
      <c r="PIN230" s="1"/>
      <c r="PIO230" s="1"/>
      <c r="PIP230" s="1"/>
      <c r="PIQ230" s="1"/>
      <c r="PIR230" s="1"/>
      <c r="PIS230" s="1"/>
      <c r="PIT230" s="1"/>
      <c r="PIU230" s="1"/>
      <c r="PIV230" s="1"/>
      <c r="PIW230" s="1"/>
      <c r="PIX230" s="1"/>
      <c r="PIY230" s="1"/>
      <c r="PIZ230" s="1"/>
      <c r="PJA230" s="1"/>
      <c r="PJB230" s="1"/>
      <c r="PJC230" s="1"/>
      <c r="PJD230" s="1"/>
      <c r="PJE230" s="1"/>
      <c r="PJF230" s="1"/>
      <c r="PJG230" s="1"/>
      <c r="PJH230" s="1"/>
      <c r="PJI230" s="1"/>
      <c r="PJJ230" s="1"/>
      <c r="PJK230" s="1"/>
      <c r="PJL230" s="1"/>
      <c r="PJM230" s="1"/>
      <c r="PJN230" s="1"/>
      <c r="PJO230" s="1"/>
      <c r="PJP230" s="1"/>
      <c r="PJQ230" s="1"/>
      <c r="PJR230" s="1"/>
      <c r="PJS230" s="1"/>
      <c r="PJT230" s="1"/>
      <c r="PJU230" s="1"/>
      <c r="PJV230" s="1"/>
      <c r="PJW230" s="1"/>
      <c r="PJX230" s="1"/>
      <c r="PJY230" s="1"/>
      <c r="PJZ230" s="1"/>
      <c r="PKA230" s="1"/>
      <c r="PKB230" s="1"/>
      <c r="PKC230" s="1"/>
      <c r="PKD230" s="1"/>
      <c r="PKE230" s="1"/>
      <c r="PKF230" s="1"/>
      <c r="PKG230" s="1"/>
      <c r="PKH230" s="1"/>
      <c r="PKI230" s="1"/>
      <c r="PKJ230" s="1"/>
      <c r="PKK230" s="1"/>
      <c r="PKL230" s="1"/>
      <c r="PKM230" s="1"/>
      <c r="PKN230" s="1"/>
      <c r="PKO230" s="1"/>
      <c r="PKP230" s="1"/>
      <c r="PKQ230" s="1"/>
      <c r="PKR230" s="1"/>
      <c r="PKS230" s="1"/>
      <c r="PKT230" s="1"/>
      <c r="PKU230" s="1"/>
      <c r="PKV230" s="1"/>
      <c r="PKW230" s="1"/>
      <c r="PKX230" s="1"/>
      <c r="PKY230" s="1"/>
      <c r="PKZ230" s="1"/>
      <c r="PLA230" s="1"/>
      <c r="PLB230" s="1"/>
      <c r="PLC230" s="1"/>
      <c r="PLD230" s="1"/>
      <c r="PLE230" s="1"/>
      <c r="PLF230" s="1"/>
      <c r="PLG230" s="1"/>
      <c r="PLH230" s="1"/>
      <c r="PLI230" s="1"/>
      <c r="PLJ230" s="1"/>
      <c r="PLK230" s="1"/>
      <c r="PLL230" s="1"/>
      <c r="PLM230" s="1"/>
      <c r="PLN230" s="1"/>
      <c r="PLO230" s="1"/>
      <c r="PLP230" s="1"/>
      <c r="PLQ230" s="1"/>
      <c r="PLR230" s="1"/>
      <c r="PLS230" s="1"/>
      <c r="PLT230" s="1"/>
      <c r="PLU230" s="1"/>
      <c r="PLV230" s="1"/>
      <c r="PLW230" s="1"/>
      <c r="PLX230" s="1"/>
      <c r="PLY230" s="1"/>
      <c r="PLZ230" s="1"/>
      <c r="PMA230" s="1"/>
      <c r="PMB230" s="1"/>
      <c r="PMC230" s="1"/>
      <c r="PMD230" s="1"/>
      <c r="PME230" s="1"/>
      <c r="PMF230" s="1"/>
      <c r="PMG230" s="1"/>
      <c r="PMH230" s="1"/>
      <c r="PMI230" s="1"/>
      <c r="PMJ230" s="1"/>
      <c r="PMK230" s="1"/>
      <c r="PML230" s="1"/>
      <c r="PMM230" s="1"/>
      <c r="PMN230" s="1"/>
      <c r="PMO230" s="1"/>
      <c r="PMP230" s="1"/>
      <c r="PMQ230" s="1"/>
      <c r="PMR230" s="1"/>
      <c r="PMS230" s="1"/>
      <c r="PMT230" s="1"/>
      <c r="PMU230" s="1"/>
      <c r="PMV230" s="1"/>
      <c r="PMW230" s="1"/>
      <c r="PMX230" s="1"/>
      <c r="PMY230" s="1"/>
      <c r="PMZ230" s="1"/>
      <c r="PNA230" s="1"/>
      <c r="PNB230" s="1"/>
      <c r="PNC230" s="1"/>
      <c r="PND230" s="1"/>
      <c r="PNE230" s="1"/>
      <c r="PNF230" s="1"/>
      <c r="PNG230" s="1"/>
      <c r="PNH230" s="1"/>
      <c r="PNI230" s="1"/>
      <c r="PNJ230" s="1"/>
      <c r="PNK230" s="1"/>
      <c r="PNL230" s="1"/>
      <c r="PNM230" s="1"/>
      <c r="PNN230" s="1"/>
      <c r="PNO230" s="1"/>
      <c r="PNP230" s="1"/>
      <c r="PNQ230" s="1"/>
      <c r="PNR230" s="1"/>
      <c r="PNS230" s="1"/>
      <c r="PNT230" s="1"/>
      <c r="PNU230" s="1"/>
      <c r="PNV230" s="1"/>
      <c r="PNW230" s="1"/>
      <c r="PNX230" s="1"/>
      <c r="PNY230" s="1"/>
      <c r="PNZ230" s="1"/>
      <c r="POA230" s="1"/>
      <c r="POB230" s="1"/>
      <c r="POC230" s="1"/>
      <c r="POD230" s="1"/>
      <c r="POE230" s="1"/>
      <c r="POF230" s="1"/>
      <c r="POG230" s="1"/>
      <c r="POH230" s="1"/>
      <c r="POI230" s="1"/>
      <c r="POJ230" s="1"/>
      <c r="POK230" s="1"/>
      <c r="POL230" s="1"/>
      <c r="POM230" s="1"/>
      <c r="PON230" s="1"/>
      <c r="POO230" s="1"/>
      <c r="POP230" s="1"/>
      <c r="POQ230" s="1"/>
      <c r="POR230" s="1"/>
      <c r="POS230" s="1"/>
      <c r="POT230" s="1"/>
      <c r="POU230" s="1"/>
      <c r="POV230" s="1"/>
      <c r="POW230" s="1"/>
      <c r="POX230" s="1"/>
      <c r="POY230" s="1"/>
      <c r="POZ230" s="1"/>
      <c r="PPA230" s="1"/>
      <c r="PPB230" s="1"/>
      <c r="PPC230" s="1"/>
      <c r="PPD230" s="1"/>
      <c r="PPE230" s="1"/>
      <c r="PPF230" s="1"/>
      <c r="PPG230" s="1"/>
      <c r="PPH230" s="1"/>
      <c r="PPI230" s="1"/>
      <c r="PPJ230" s="1"/>
      <c r="PPK230" s="1"/>
      <c r="PPL230" s="1"/>
      <c r="PPM230" s="1"/>
      <c r="PPN230" s="1"/>
      <c r="PPO230" s="1"/>
      <c r="PPP230" s="1"/>
      <c r="PPQ230" s="1"/>
      <c r="PPR230" s="1"/>
      <c r="PPS230" s="1"/>
      <c r="PPT230" s="1"/>
      <c r="PPU230" s="1"/>
      <c r="PPV230" s="1"/>
      <c r="PPW230" s="1"/>
      <c r="PPX230" s="1"/>
      <c r="PPY230" s="1"/>
      <c r="PPZ230" s="1"/>
      <c r="PQA230" s="1"/>
      <c r="PQB230" s="1"/>
      <c r="PQC230" s="1"/>
      <c r="PQD230" s="1"/>
      <c r="PQE230" s="1"/>
      <c r="PQF230" s="1"/>
      <c r="PQG230" s="1"/>
      <c r="PQH230" s="1"/>
      <c r="PQI230" s="1"/>
      <c r="PQJ230" s="1"/>
      <c r="PQK230" s="1"/>
      <c r="PQL230" s="1"/>
      <c r="PQM230" s="1"/>
      <c r="PQN230" s="1"/>
      <c r="PQO230" s="1"/>
      <c r="PQP230" s="1"/>
      <c r="PQQ230" s="1"/>
      <c r="PQR230" s="1"/>
      <c r="PQS230" s="1"/>
      <c r="PQT230" s="1"/>
      <c r="PQU230" s="1"/>
      <c r="PQV230" s="1"/>
      <c r="PQW230" s="1"/>
      <c r="PQX230" s="1"/>
      <c r="PQY230" s="1"/>
      <c r="PQZ230" s="1"/>
      <c r="PRA230" s="1"/>
      <c r="PRB230" s="1"/>
      <c r="PRC230" s="1"/>
      <c r="PRD230" s="1"/>
      <c r="PRE230" s="1"/>
      <c r="PRF230" s="1"/>
      <c r="PRG230" s="1"/>
      <c r="PRH230" s="1"/>
      <c r="PRI230" s="1"/>
      <c r="PRJ230" s="1"/>
      <c r="PRK230" s="1"/>
      <c r="PRL230" s="1"/>
      <c r="PRM230" s="1"/>
      <c r="PRN230" s="1"/>
      <c r="PRO230" s="1"/>
      <c r="PRP230" s="1"/>
      <c r="PRQ230" s="1"/>
      <c r="PRR230" s="1"/>
      <c r="PRS230" s="1"/>
      <c r="PRT230" s="1"/>
      <c r="PRU230" s="1"/>
      <c r="PRV230" s="1"/>
      <c r="PRW230" s="1"/>
      <c r="PRX230" s="1"/>
      <c r="PRY230" s="1"/>
      <c r="PRZ230" s="1"/>
      <c r="PSA230" s="1"/>
      <c r="PSB230" s="1"/>
      <c r="PSC230" s="1"/>
      <c r="PSD230" s="1"/>
      <c r="PSE230" s="1"/>
      <c r="PSF230" s="1"/>
      <c r="PSG230" s="1"/>
      <c r="PSH230" s="1"/>
      <c r="PSI230" s="1"/>
      <c r="PSJ230" s="1"/>
      <c r="PSK230" s="1"/>
      <c r="PSL230" s="1"/>
      <c r="PSM230" s="1"/>
      <c r="PSN230" s="1"/>
      <c r="PSO230" s="1"/>
      <c r="PSP230" s="1"/>
      <c r="PSQ230" s="1"/>
      <c r="PSR230" s="1"/>
      <c r="PSS230" s="1"/>
      <c r="PST230" s="1"/>
      <c r="PSU230" s="1"/>
      <c r="PSV230" s="1"/>
      <c r="PSW230" s="1"/>
      <c r="PSX230" s="1"/>
      <c r="PSY230" s="1"/>
      <c r="PSZ230" s="1"/>
      <c r="PTA230" s="1"/>
      <c r="PTB230" s="1"/>
      <c r="PTC230" s="1"/>
      <c r="PTD230" s="1"/>
      <c r="PTE230" s="1"/>
      <c r="PTF230" s="1"/>
      <c r="PTG230" s="1"/>
      <c r="PTH230" s="1"/>
      <c r="PTI230" s="1"/>
      <c r="PTJ230" s="1"/>
      <c r="PTK230" s="1"/>
      <c r="PTL230" s="1"/>
      <c r="PTM230" s="1"/>
      <c r="PTN230" s="1"/>
      <c r="PTO230" s="1"/>
      <c r="PTP230" s="1"/>
      <c r="PTQ230" s="1"/>
      <c r="PTR230" s="1"/>
      <c r="PTS230" s="1"/>
      <c r="PTT230" s="1"/>
      <c r="PTU230" s="1"/>
      <c r="PTV230" s="1"/>
      <c r="PTW230" s="1"/>
      <c r="PTX230" s="1"/>
      <c r="PTY230" s="1"/>
      <c r="PTZ230" s="1"/>
      <c r="PUA230" s="1"/>
      <c r="PUB230" s="1"/>
      <c r="PUC230" s="1"/>
      <c r="PUD230" s="1"/>
      <c r="PUE230" s="1"/>
      <c r="PUF230" s="1"/>
      <c r="PUG230" s="1"/>
      <c r="PUH230" s="1"/>
      <c r="PUI230" s="1"/>
      <c r="PUJ230" s="1"/>
      <c r="PUK230" s="1"/>
      <c r="PUL230" s="1"/>
      <c r="PUM230" s="1"/>
      <c r="PUN230" s="1"/>
      <c r="PUO230" s="1"/>
      <c r="PUP230" s="1"/>
      <c r="PUQ230" s="1"/>
      <c r="PUR230" s="1"/>
      <c r="PUS230" s="1"/>
      <c r="PUT230" s="1"/>
      <c r="PUU230" s="1"/>
      <c r="PUV230" s="1"/>
      <c r="PUW230" s="1"/>
      <c r="PUX230" s="1"/>
      <c r="PUY230" s="1"/>
      <c r="PUZ230" s="1"/>
      <c r="PVA230" s="1"/>
      <c r="PVB230" s="1"/>
      <c r="PVC230" s="1"/>
      <c r="PVD230" s="1"/>
      <c r="PVE230" s="1"/>
      <c r="PVF230" s="1"/>
      <c r="PVG230" s="1"/>
      <c r="PVH230" s="1"/>
      <c r="PVI230" s="1"/>
      <c r="PVJ230" s="1"/>
      <c r="PVK230" s="1"/>
      <c r="PVL230" s="1"/>
      <c r="PVM230" s="1"/>
      <c r="PVN230" s="1"/>
      <c r="PVO230" s="1"/>
      <c r="PVP230" s="1"/>
      <c r="PVQ230" s="1"/>
      <c r="PVR230" s="1"/>
      <c r="PVS230" s="1"/>
      <c r="PVT230" s="1"/>
      <c r="PVU230" s="1"/>
      <c r="PVV230" s="1"/>
      <c r="PVW230" s="1"/>
      <c r="PVX230" s="1"/>
      <c r="PVY230" s="1"/>
      <c r="PVZ230" s="1"/>
      <c r="PWA230" s="1"/>
      <c r="PWB230" s="1"/>
      <c r="PWC230" s="1"/>
      <c r="PWD230" s="1"/>
      <c r="PWE230" s="1"/>
      <c r="PWF230" s="1"/>
      <c r="PWG230" s="1"/>
      <c r="PWH230" s="1"/>
      <c r="PWI230" s="1"/>
      <c r="PWJ230" s="1"/>
      <c r="PWK230" s="1"/>
      <c r="PWL230" s="1"/>
      <c r="PWM230" s="1"/>
      <c r="PWN230" s="1"/>
      <c r="PWO230" s="1"/>
      <c r="PWP230" s="1"/>
      <c r="PWQ230" s="1"/>
      <c r="PWR230" s="1"/>
      <c r="PWS230" s="1"/>
      <c r="PWT230" s="1"/>
      <c r="PWU230" s="1"/>
      <c r="PWV230" s="1"/>
      <c r="PWW230" s="1"/>
      <c r="PWX230" s="1"/>
      <c r="PWY230" s="1"/>
      <c r="PWZ230" s="1"/>
      <c r="PXA230" s="1"/>
      <c r="PXB230" s="1"/>
      <c r="PXC230" s="1"/>
      <c r="PXD230" s="1"/>
      <c r="PXE230" s="1"/>
      <c r="PXF230" s="1"/>
      <c r="PXG230" s="1"/>
      <c r="PXH230" s="1"/>
      <c r="PXI230" s="1"/>
      <c r="PXJ230" s="1"/>
      <c r="PXK230" s="1"/>
      <c r="PXL230" s="1"/>
      <c r="PXM230" s="1"/>
      <c r="PXN230" s="1"/>
      <c r="PXO230" s="1"/>
      <c r="PXP230" s="1"/>
      <c r="PXQ230" s="1"/>
      <c r="PXR230" s="1"/>
      <c r="PXS230" s="1"/>
      <c r="PXT230" s="1"/>
      <c r="PXU230" s="1"/>
      <c r="PXV230" s="1"/>
      <c r="PXW230" s="1"/>
      <c r="PXX230" s="1"/>
      <c r="PXY230" s="1"/>
      <c r="PXZ230" s="1"/>
      <c r="PYA230" s="1"/>
      <c r="PYB230" s="1"/>
      <c r="PYC230" s="1"/>
      <c r="PYD230" s="1"/>
      <c r="PYE230" s="1"/>
      <c r="PYF230" s="1"/>
      <c r="PYG230" s="1"/>
      <c r="PYH230" s="1"/>
      <c r="PYI230" s="1"/>
      <c r="PYJ230" s="1"/>
      <c r="PYK230" s="1"/>
      <c r="PYL230" s="1"/>
      <c r="PYM230" s="1"/>
      <c r="PYN230" s="1"/>
      <c r="PYO230" s="1"/>
      <c r="PYP230" s="1"/>
      <c r="PYQ230" s="1"/>
      <c r="PYR230" s="1"/>
      <c r="PYS230" s="1"/>
      <c r="PYT230" s="1"/>
      <c r="PYU230" s="1"/>
      <c r="PYV230" s="1"/>
      <c r="PYW230" s="1"/>
      <c r="PYX230" s="1"/>
      <c r="PYY230" s="1"/>
      <c r="PYZ230" s="1"/>
      <c r="PZA230" s="1"/>
      <c r="PZB230" s="1"/>
      <c r="PZC230" s="1"/>
      <c r="PZD230" s="1"/>
      <c r="PZE230" s="1"/>
      <c r="PZF230" s="1"/>
      <c r="PZG230" s="1"/>
      <c r="PZH230" s="1"/>
      <c r="PZI230" s="1"/>
      <c r="PZJ230" s="1"/>
      <c r="PZK230" s="1"/>
      <c r="PZL230" s="1"/>
      <c r="PZM230" s="1"/>
      <c r="PZN230" s="1"/>
      <c r="PZO230" s="1"/>
      <c r="PZP230" s="1"/>
      <c r="PZQ230" s="1"/>
      <c r="PZR230" s="1"/>
      <c r="PZS230" s="1"/>
      <c r="PZT230" s="1"/>
      <c r="PZU230" s="1"/>
      <c r="PZV230" s="1"/>
      <c r="PZW230" s="1"/>
      <c r="PZX230" s="1"/>
      <c r="PZY230" s="1"/>
      <c r="PZZ230" s="1"/>
      <c r="QAA230" s="1"/>
      <c r="QAB230" s="1"/>
      <c r="QAC230" s="1"/>
      <c r="QAD230" s="1"/>
      <c r="QAE230" s="1"/>
      <c r="QAF230" s="1"/>
      <c r="QAG230" s="1"/>
      <c r="QAH230" s="1"/>
      <c r="QAI230" s="1"/>
      <c r="QAJ230" s="1"/>
      <c r="QAK230" s="1"/>
      <c r="QAL230" s="1"/>
      <c r="QAM230" s="1"/>
      <c r="QAN230" s="1"/>
      <c r="QAO230" s="1"/>
      <c r="QAP230" s="1"/>
      <c r="QAQ230" s="1"/>
      <c r="QAR230" s="1"/>
      <c r="QAS230" s="1"/>
      <c r="QAT230" s="1"/>
      <c r="QAU230" s="1"/>
      <c r="QAV230" s="1"/>
      <c r="QAW230" s="1"/>
      <c r="QAX230" s="1"/>
      <c r="QAY230" s="1"/>
      <c r="QAZ230" s="1"/>
      <c r="QBA230" s="1"/>
      <c r="QBB230" s="1"/>
      <c r="QBC230" s="1"/>
      <c r="QBD230" s="1"/>
      <c r="QBE230" s="1"/>
      <c r="QBF230" s="1"/>
      <c r="QBG230" s="1"/>
      <c r="QBH230" s="1"/>
      <c r="QBI230" s="1"/>
      <c r="QBJ230" s="1"/>
      <c r="QBK230" s="1"/>
      <c r="QBL230" s="1"/>
      <c r="QBM230" s="1"/>
      <c r="QBN230" s="1"/>
      <c r="QBO230" s="1"/>
      <c r="QBP230" s="1"/>
      <c r="QBQ230" s="1"/>
      <c r="QBR230" s="1"/>
      <c r="QBS230" s="1"/>
      <c r="QBT230" s="1"/>
      <c r="QBU230" s="1"/>
      <c r="QBV230" s="1"/>
      <c r="QBW230" s="1"/>
      <c r="QBX230" s="1"/>
      <c r="QBY230" s="1"/>
      <c r="QBZ230" s="1"/>
      <c r="QCA230" s="1"/>
      <c r="QCB230" s="1"/>
      <c r="QCC230" s="1"/>
      <c r="QCD230" s="1"/>
      <c r="QCE230" s="1"/>
      <c r="QCF230" s="1"/>
      <c r="QCG230" s="1"/>
      <c r="QCH230" s="1"/>
      <c r="QCI230" s="1"/>
      <c r="QCJ230" s="1"/>
      <c r="QCK230" s="1"/>
      <c r="QCL230" s="1"/>
      <c r="QCM230" s="1"/>
      <c r="QCN230" s="1"/>
      <c r="QCO230" s="1"/>
      <c r="QCP230" s="1"/>
      <c r="QCQ230" s="1"/>
      <c r="QCR230" s="1"/>
      <c r="QCS230" s="1"/>
      <c r="QCT230" s="1"/>
      <c r="QCU230" s="1"/>
      <c r="QCV230" s="1"/>
      <c r="QCW230" s="1"/>
      <c r="QCX230" s="1"/>
      <c r="QCY230" s="1"/>
      <c r="QCZ230" s="1"/>
      <c r="QDA230" s="1"/>
      <c r="QDB230" s="1"/>
      <c r="QDC230" s="1"/>
      <c r="QDD230" s="1"/>
      <c r="QDE230" s="1"/>
      <c r="QDF230" s="1"/>
      <c r="QDG230" s="1"/>
      <c r="QDH230" s="1"/>
      <c r="QDI230" s="1"/>
      <c r="QDJ230" s="1"/>
      <c r="QDK230" s="1"/>
      <c r="QDL230" s="1"/>
      <c r="QDM230" s="1"/>
      <c r="QDN230" s="1"/>
      <c r="QDO230" s="1"/>
      <c r="QDP230" s="1"/>
      <c r="QDQ230" s="1"/>
      <c r="QDR230" s="1"/>
      <c r="QDS230" s="1"/>
      <c r="QDT230" s="1"/>
      <c r="QDU230" s="1"/>
      <c r="QDV230" s="1"/>
      <c r="QDW230" s="1"/>
      <c r="QDX230" s="1"/>
      <c r="QDY230" s="1"/>
      <c r="QDZ230" s="1"/>
      <c r="QEA230" s="1"/>
      <c r="QEB230" s="1"/>
      <c r="QEC230" s="1"/>
      <c r="QED230" s="1"/>
      <c r="QEE230" s="1"/>
      <c r="QEF230" s="1"/>
      <c r="QEG230" s="1"/>
      <c r="QEH230" s="1"/>
      <c r="QEI230" s="1"/>
      <c r="QEJ230" s="1"/>
      <c r="QEK230" s="1"/>
      <c r="QEL230" s="1"/>
      <c r="QEM230" s="1"/>
      <c r="QEN230" s="1"/>
      <c r="QEO230" s="1"/>
      <c r="QEP230" s="1"/>
      <c r="QEQ230" s="1"/>
      <c r="QER230" s="1"/>
      <c r="QES230" s="1"/>
      <c r="QET230" s="1"/>
      <c r="QEU230" s="1"/>
      <c r="QEV230" s="1"/>
      <c r="QEW230" s="1"/>
      <c r="QEX230" s="1"/>
      <c r="QEY230" s="1"/>
      <c r="QEZ230" s="1"/>
      <c r="QFA230" s="1"/>
      <c r="QFB230" s="1"/>
      <c r="QFC230" s="1"/>
      <c r="QFD230" s="1"/>
      <c r="QFE230" s="1"/>
      <c r="QFF230" s="1"/>
      <c r="QFG230" s="1"/>
      <c r="QFH230" s="1"/>
      <c r="QFI230" s="1"/>
      <c r="QFJ230" s="1"/>
      <c r="QFK230" s="1"/>
      <c r="QFL230" s="1"/>
      <c r="QFM230" s="1"/>
      <c r="QFN230" s="1"/>
      <c r="QFO230" s="1"/>
      <c r="QFP230" s="1"/>
      <c r="QFQ230" s="1"/>
      <c r="QFR230" s="1"/>
      <c r="QFS230" s="1"/>
      <c r="QFT230" s="1"/>
      <c r="QFU230" s="1"/>
      <c r="QFV230" s="1"/>
      <c r="QFW230" s="1"/>
      <c r="QFX230" s="1"/>
      <c r="QFY230" s="1"/>
      <c r="QFZ230" s="1"/>
      <c r="QGA230" s="1"/>
      <c r="QGB230" s="1"/>
      <c r="QGC230" s="1"/>
      <c r="QGD230" s="1"/>
      <c r="QGE230" s="1"/>
      <c r="QGF230" s="1"/>
      <c r="QGG230" s="1"/>
      <c r="QGH230" s="1"/>
      <c r="QGI230" s="1"/>
      <c r="QGJ230" s="1"/>
      <c r="QGK230" s="1"/>
      <c r="QGL230" s="1"/>
      <c r="QGM230" s="1"/>
      <c r="QGN230" s="1"/>
      <c r="QGO230" s="1"/>
      <c r="QGP230" s="1"/>
      <c r="QGQ230" s="1"/>
      <c r="QGR230" s="1"/>
      <c r="QGS230" s="1"/>
      <c r="QGT230" s="1"/>
      <c r="QGU230" s="1"/>
      <c r="QGV230" s="1"/>
      <c r="QGW230" s="1"/>
      <c r="QGX230" s="1"/>
      <c r="QGY230" s="1"/>
      <c r="QGZ230" s="1"/>
      <c r="QHA230" s="1"/>
      <c r="QHB230" s="1"/>
      <c r="QHC230" s="1"/>
      <c r="QHD230" s="1"/>
      <c r="QHE230" s="1"/>
      <c r="QHF230" s="1"/>
      <c r="QHG230" s="1"/>
      <c r="QHH230" s="1"/>
      <c r="QHI230" s="1"/>
      <c r="QHJ230" s="1"/>
      <c r="QHK230" s="1"/>
      <c r="QHL230" s="1"/>
      <c r="QHM230" s="1"/>
      <c r="QHN230" s="1"/>
      <c r="QHO230" s="1"/>
      <c r="QHP230" s="1"/>
      <c r="QHQ230" s="1"/>
      <c r="QHR230" s="1"/>
      <c r="QHS230" s="1"/>
      <c r="QHT230" s="1"/>
      <c r="QHU230" s="1"/>
      <c r="QHV230" s="1"/>
      <c r="QHW230" s="1"/>
      <c r="QHX230" s="1"/>
      <c r="QHY230" s="1"/>
      <c r="QHZ230" s="1"/>
      <c r="QIA230" s="1"/>
      <c r="QIB230" s="1"/>
      <c r="QIC230" s="1"/>
      <c r="QID230" s="1"/>
      <c r="QIE230" s="1"/>
      <c r="QIF230" s="1"/>
      <c r="QIG230" s="1"/>
      <c r="QIH230" s="1"/>
      <c r="QII230" s="1"/>
      <c r="QIJ230" s="1"/>
      <c r="QIK230" s="1"/>
      <c r="QIL230" s="1"/>
      <c r="QIM230" s="1"/>
      <c r="QIN230" s="1"/>
      <c r="QIO230" s="1"/>
      <c r="QIP230" s="1"/>
      <c r="QIQ230" s="1"/>
      <c r="QIR230" s="1"/>
      <c r="QIS230" s="1"/>
      <c r="QIT230" s="1"/>
      <c r="QIU230" s="1"/>
      <c r="QIV230" s="1"/>
      <c r="QIW230" s="1"/>
      <c r="QIX230" s="1"/>
      <c r="QIY230" s="1"/>
      <c r="QIZ230" s="1"/>
      <c r="QJA230" s="1"/>
      <c r="QJB230" s="1"/>
      <c r="QJC230" s="1"/>
      <c r="QJD230" s="1"/>
      <c r="QJE230" s="1"/>
      <c r="QJF230" s="1"/>
      <c r="QJG230" s="1"/>
      <c r="QJH230" s="1"/>
      <c r="QJI230" s="1"/>
      <c r="QJJ230" s="1"/>
      <c r="QJK230" s="1"/>
      <c r="QJL230" s="1"/>
      <c r="QJM230" s="1"/>
      <c r="QJN230" s="1"/>
      <c r="QJO230" s="1"/>
      <c r="QJP230" s="1"/>
      <c r="QJQ230" s="1"/>
      <c r="QJR230" s="1"/>
      <c r="QJS230" s="1"/>
      <c r="QJT230" s="1"/>
      <c r="QJU230" s="1"/>
      <c r="QJV230" s="1"/>
      <c r="QJW230" s="1"/>
      <c r="QJX230" s="1"/>
      <c r="QJY230" s="1"/>
      <c r="QJZ230" s="1"/>
      <c r="QKA230" s="1"/>
      <c r="QKB230" s="1"/>
      <c r="QKC230" s="1"/>
      <c r="QKD230" s="1"/>
      <c r="QKE230" s="1"/>
      <c r="QKF230" s="1"/>
      <c r="QKG230" s="1"/>
      <c r="QKH230" s="1"/>
      <c r="QKI230" s="1"/>
      <c r="QKJ230" s="1"/>
      <c r="QKK230" s="1"/>
      <c r="QKL230" s="1"/>
      <c r="QKM230" s="1"/>
      <c r="QKN230" s="1"/>
      <c r="QKO230" s="1"/>
      <c r="QKP230" s="1"/>
      <c r="QKQ230" s="1"/>
      <c r="QKR230" s="1"/>
      <c r="QKS230" s="1"/>
      <c r="QKT230" s="1"/>
      <c r="QKU230" s="1"/>
      <c r="QKV230" s="1"/>
      <c r="QKW230" s="1"/>
      <c r="QKX230" s="1"/>
      <c r="QKY230" s="1"/>
      <c r="QKZ230" s="1"/>
      <c r="QLA230" s="1"/>
      <c r="QLB230" s="1"/>
      <c r="QLC230" s="1"/>
      <c r="QLD230" s="1"/>
      <c r="QLE230" s="1"/>
      <c r="QLF230" s="1"/>
      <c r="QLG230" s="1"/>
      <c r="QLH230" s="1"/>
      <c r="QLI230" s="1"/>
      <c r="QLJ230" s="1"/>
      <c r="QLK230" s="1"/>
      <c r="QLL230" s="1"/>
      <c r="QLM230" s="1"/>
      <c r="QLN230" s="1"/>
      <c r="QLO230" s="1"/>
      <c r="QLP230" s="1"/>
      <c r="QLQ230" s="1"/>
      <c r="QLR230" s="1"/>
      <c r="QLS230" s="1"/>
      <c r="QLT230" s="1"/>
      <c r="QLU230" s="1"/>
      <c r="QLV230" s="1"/>
      <c r="QLW230" s="1"/>
      <c r="QLX230" s="1"/>
      <c r="QLY230" s="1"/>
      <c r="QLZ230" s="1"/>
      <c r="QMA230" s="1"/>
      <c r="QMB230" s="1"/>
      <c r="QMC230" s="1"/>
      <c r="QMD230" s="1"/>
      <c r="QME230" s="1"/>
      <c r="QMF230" s="1"/>
      <c r="QMG230" s="1"/>
      <c r="QMH230" s="1"/>
      <c r="QMI230" s="1"/>
      <c r="QMJ230" s="1"/>
      <c r="QMK230" s="1"/>
      <c r="QML230" s="1"/>
      <c r="QMM230" s="1"/>
      <c r="QMN230" s="1"/>
      <c r="QMO230" s="1"/>
      <c r="QMP230" s="1"/>
      <c r="QMQ230" s="1"/>
      <c r="QMR230" s="1"/>
      <c r="QMS230" s="1"/>
      <c r="QMT230" s="1"/>
      <c r="QMU230" s="1"/>
      <c r="QMV230" s="1"/>
      <c r="QMW230" s="1"/>
      <c r="QMX230" s="1"/>
      <c r="QMY230" s="1"/>
      <c r="QMZ230" s="1"/>
      <c r="QNA230" s="1"/>
      <c r="QNB230" s="1"/>
      <c r="QNC230" s="1"/>
      <c r="QND230" s="1"/>
      <c r="QNE230" s="1"/>
      <c r="QNF230" s="1"/>
      <c r="QNG230" s="1"/>
      <c r="QNH230" s="1"/>
      <c r="QNI230" s="1"/>
      <c r="QNJ230" s="1"/>
      <c r="QNK230" s="1"/>
      <c r="QNL230" s="1"/>
      <c r="QNM230" s="1"/>
      <c r="QNN230" s="1"/>
      <c r="QNO230" s="1"/>
      <c r="QNP230" s="1"/>
      <c r="QNQ230" s="1"/>
      <c r="QNR230" s="1"/>
      <c r="QNS230" s="1"/>
      <c r="QNT230" s="1"/>
      <c r="QNU230" s="1"/>
      <c r="QNV230" s="1"/>
      <c r="QNW230" s="1"/>
      <c r="QNX230" s="1"/>
      <c r="QNY230" s="1"/>
      <c r="QNZ230" s="1"/>
      <c r="QOA230" s="1"/>
      <c r="QOB230" s="1"/>
      <c r="QOC230" s="1"/>
      <c r="QOD230" s="1"/>
      <c r="QOE230" s="1"/>
      <c r="QOF230" s="1"/>
      <c r="QOG230" s="1"/>
      <c r="QOH230" s="1"/>
      <c r="QOI230" s="1"/>
      <c r="QOJ230" s="1"/>
      <c r="QOK230" s="1"/>
      <c r="QOL230" s="1"/>
      <c r="QOM230" s="1"/>
      <c r="QON230" s="1"/>
      <c r="QOO230" s="1"/>
      <c r="QOP230" s="1"/>
      <c r="QOQ230" s="1"/>
      <c r="QOR230" s="1"/>
      <c r="QOS230" s="1"/>
      <c r="QOT230" s="1"/>
      <c r="QOU230" s="1"/>
      <c r="QOV230" s="1"/>
      <c r="QOW230" s="1"/>
      <c r="QOX230" s="1"/>
      <c r="QOY230" s="1"/>
      <c r="QOZ230" s="1"/>
      <c r="QPA230" s="1"/>
      <c r="QPB230" s="1"/>
      <c r="QPC230" s="1"/>
      <c r="QPD230" s="1"/>
      <c r="QPE230" s="1"/>
      <c r="QPF230" s="1"/>
      <c r="QPG230" s="1"/>
      <c r="QPH230" s="1"/>
      <c r="QPI230" s="1"/>
      <c r="QPJ230" s="1"/>
      <c r="QPK230" s="1"/>
      <c r="QPL230" s="1"/>
      <c r="QPM230" s="1"/>
      <c r="QPN230" s="1"/>
      <c r="QPO230" s="1"/>
      <c r="QPP230" s="1"/>
      <c r="QPQ230" s="1"/>
      <c r="QPR230" s="1"/>
      <c r="QPS230" s="1"/>
      <c r="QPT230" s="1"/>
      <c r="QPU230" s="1"/>
      <c r="QPV230" s="1"/>
      <c r="QPW230" s="1"/>
      <c r="QPX230" s="1"/>
      <c r="QPY230" s="1"/>
      <c r="QPZ230" s="1"/>
      <c r="QQA230" s="1"/>
      <c r="QQB230" s="1"/>
      <c r="QQC230" s="1"/>
      <c r="QQD230" s="1"/>
      <c r="QQE230" s="1"/>
      <c r="QQF230" s="1"/>
      <c r="QQG230" s="1"/>
      <c r="QQH230" s="1"/>
      <c r="QQI230" s="1"/>
      <c r="QQJ230" s="1"/>
      <c r="QQK230" s="1"/>
      <c r="QQL230" s="1"/>
      <c r="QQM230" s="1"/>
      <c r="QQN230" s="1"/>
      <c r="QQO230" s="1"/>
      <c r="QQP230" s="1"/>
      <c r="QQQ230" s="1"/>
      <c r="QQR230" s="1"/>
      <c r="QQS230" s="1"/>
      <c r="QQT230" s="1"/>
      <c r="QQU230" s="1"/>
      <c r="QQV230" s="1"/>
      <c r="QQW230" s="1"/>
      <c r="QQX230" s="1"/>
      <c r="QQY230" s="1"/>
      <c r="QQZ230" s="1"/>
      <c r="QRA230" s="1"/>
      <c r="QRB230" s="1"/>
      <c r="QRC230" s="1"/>
      <c r="QRD230" s="1"/>
      <c r="QRE230" s="1"/>
      <c r="QRF230" s="1"/>
      <c r="QRG230" s="1"/>
      <c r="QRH230" s="1"/>
      <c r="QRI230" s="1"/>
      <c r="QRJ230" s="1"/>
      <c r="QRK230" s="1"/>
      <c r="QRL230" s="1"/>
      <c r="QRM230" s="1"/>
      <c r="QRN230" s="1"/>
      <c r="QRO230" s="1"/>
      <c r="QRP230" s="1"/>
      <c r="QRQ230" s="1"/>
      <c r="QRR230" s="1"/>
      <c r="QRS230" s="1"/>
      <c r="QRT230" s="1"/>
      <c r="QRU230" s="1"/>
      <c r="QRV230" s="1"/>
      <c r="QRW230" s="1"/>
      <c r="QRX230" s="1"/>
      <c r="QRY230" s="1"/>
      <c r="QRZ230" s="1"/>
      <c r="QSA230" s="1"/>
      <c r="QSB230" s="1"/>
      <c r="QSC230" s="1"/>
      <c r="QSD230" s="1"/>
      <c r="QSE230" s="1"/>
      <c r="QSF230" s="1"/>
      <c r="QSG230" s="1"/>
      <c r="QSH230" s="1"/>
      <c r="QSI230" s="1"/>
      <c r="QSJ230" s="1"/>
      <c r="QSK230" s="1"/>
      <c r="QSL230" s="1"/>
      <c r="QSM230" s="1"/>
      <c r="QSN230" s="1"/>
      <c r="QSO230" s="1"/>
      <c r="QSP230" s="1"/>
      <c r="QSQ230" s="1"/>
      <c r="QSR230" s="1"/>
      <c r="QSS230" s="1"/>
      <c r="QST230" s="1"/>
      <c r="QSU230" s="1"/>
      <c r="QSV230" s="1"/>
      <c r="QSW230" s="1"/>
      <c r="QSX230" s="1"/>
      <c r="QSY230" s="1"/>
      <c r="QSZ230" s="1"/>
      <c r="QTA230" s="1"/>
      <c r="QTB230" s="1"/>
      <c r="QTC230" s="1"/>
      <c r="QTD230" s="1"/>
      <c r="QTE230" s="1"/>
      <c r="QTF230" s="1"/>
      <c r="QTG230" s="1"/>
      <c r="QTH230" s="1"/>
      <c r="QTI230" s="1"/>
      <c r="QTJ230" s="1"/>
      <c r="QTK230" s="1"/>
      <c r="QTL230" s="1"/>
      <c r="QTM230" s="1"/>
      <c r="QTN230" s="1"/>
      <c r="QTO230" s="1"/>
      <c r="QTP230" s="1"/>
      <c r="QTQ230" s="1"/>
      <c r="QTR230" s="1"/>
      <c r="QTS230" s="1"/>
      <c r="QTT230" s="1"/>
      <c r="QTU230" s="1"/>
      <c r="QTV230" s="1"/>
      <c r="QTW230" s="1"/>
      <c r="QTX230" s="1"/>
      <c r="QTY230" s="1"/>
      <c r="QTZ230" s="1"/>
      <c r="QUA230" s="1"/>
      <c r="QUB230" s="1"/>
      <c r="QUC230" s="1"/>
      <c r="QUD230" s="1"/>
      <c r="QUE230" s="1"/>
      <c r="QUF230" s="1"/>
      <c r="QUG230" s="1"/>
      <c r="QUH230" s="1"/>
      <c r="QUI230" s="1"/>
      <c r="QUJ230" s="1"/>
      <c r="QUK230" s="1"/>
      <c r="QUL230" s="1"/>
      <c r="QUM230" s="1"/>
      <c r="QUN230" s="1"/>
      <c r="QUO230" s="1"/>
      <c r="QUP230" s="1"/>
      <c r="QUQ230" s="1"/>
      <c r="QUR230" s="1"/>
      <c r="QUS230" s="1"/>
      <c r="QUT230" s="1"/>
      <c r="QUU230" s="1"/>
      <c r="QUV230" s="1"/>
      <c r="QUW230" s="1"/>
      <c r="QUX230" s="1"/>
      <c r="QUY230" s="1"/>
      <c r="QUZ230" s="1"/>
      <c r="QVA230" s="1"/>
      <c r="QVB230" s="1"/>
      <c r="QVC230" s="1"/>
      <c r="QVD230" s="1"/>
      <c r="QVE230" s="1"/>
      <c r="QVF230" s="1"/>
      <c r="QVG230" s="1"/>
      <c r="QVH230" s="1"/>
      <c r="QVI230" s="1"/>
      <c r="QVJ230" s="1"/>
      <c r="QVK230" s="1"/>
      <c r="QVL230" s="1"/>
      <c r="QVM230" s="1"/>
      <c r="QVN230" s="1"/>
      <c r="QVO230" s="1"/>
      <c r="QVP230" s="1"/>
      <c r="QVQ230" s="1"/>
      <c r="QVR230" s="1"/>
      <c r="QVS230" s="1"/>
      <c r="QVT230" s="1"/>
      <c r="QVU230" s="1"/>
      <c r="QVV230" s="1"/>
      <c r="QVW230" s="1"/>
      <c r="QVX230" s="1"/>
      <c r="QVY230" s="1"/>
      <c r="QVZ230" s="1"/>
      <c r="QWA230" s="1"/>
      <c r="QWB230" s="1"/>
      <c r="QWC230" s="1"/>
      <c r="QWD230" s="1"/>
      <c r="QWE230" s="1"/>
      <c r="QWF230" s="1"/>
      <c r="QWG230" s="1"/>
      <c r="QWH230" s="1"/>
      <c r="QWI230" s="1"/>
      <c r="QWJ230" s="1"/>
      <c r="QWK230" s="1"/>
      <c r="QWL230" s="1"/>
      <c r="QWM230" s="1"/>
      <c r="QWN230" s="1"/>
      <c r="QWO230" s="1"/>
      <c r="QWP230" s="1"/>
      <c r="QWQ230" s="1"/>
      <c r="QWR230" s="1"/>
      <c r="QWS230" s="1"/>
      <c r="QWT230" s="1"/>
      <c r="QWU230" s="1"/>
      <c r="QWV230" s="1"/>
      <c r="QWW230" s="1"/>
      <c r="QWX230" s="1"/>
      <c r="QWY230" s="1"/>
      <c r="QWZ230" s="1"/>
      <c r="QXA230" s="1"/>
      <c r="QXB230" s="1"/>
      <c r="QXC230" s="1"/>
      <c r="QXD230" s="1"/>
      <c r="QXE230" s="1"/>
      <c r="QXF230" s="1"/>
      <c r="QXG230" s="1"/>
      <c r="QXH230" s="1"/>
      <c r="QXI230" s="1"/>
      <c r="QXJ230" s="1"/>
      <c r="QXK230" s="1"/>
      <c r="QXL230" s="1"/>
      <c r="QXM230" s="1"/>
      <c r="QXN230" s="1"/>
      <c r="QXO230" s="1"/>
      <c r="QXP230" s="1"/>
      <c r="QXQ230" s="1"/>
      <c r="QXR230" s="1"/>
      <c r="QXS230" s="1"/>
      <c r="QXT230" s="1"/>
      <c r="QXU230" s="1"/>
      <c r="QXV230" s="1"/>
      <c r="QXW230" s="1"/>
      <c r="QXX230" s="1"/>
      <c r="QXY230" s="1"/>
      <c r="QXZ230" s="1"/>
      <c r="QYA230" s="1"/>
      <c r="QYB230" s="1"/>
      <c r="QYC230" s="1"/>
      <c r="QYD230" s="1"/>
      <c r="QYE230" s="1"/>
      <c r="QYF230" s="1"/>
      <c r="QYG230" s="1"/>
      <c r="QYH230" s="1"/>
      <c r="QYI230" s="1"/>
      <c r="QYJ230" s="1"/>
      <c r="QYK230" s="1"/>
      <c r="QYL230" s="1"/>
      <c r="QYM230" s="1"/>
      <c r="QYN230" s="1"/>
      <c r="QYO230" s="1"/>
      <c r="QYP230" s="1"/>
      <c r="QYQ230" s="1"/>
      <c r="QYR230" s="1"/>
      <c r="QYS230" s="1"/>
      <c r="QYT230" s="1"/>
      <c r="QYU230" s="1"/>
      <c r="QYV230" s="1"/>
      <c r="QYW230" s="1"/>
      <c r="QYX230" s="1"/>
      <c r="QYY230" s="1"/>
      <c r="QYZ230" s="1"/>
      <c r="QZA230" s="1"/>
      <c r="QZB230" s="1"/>
      <c r="QZC230" s="1"/>
      <c r="QZD230" s="1"/>
      <c r="QZE230" s="1"/>
      <c r="QZF230" s="1"/>
      <c r="QZG230" s="1"/>
      <c r="QZH230" s="1"/>
      <c r="QZI230" s="1"/>
      <c r="QZJ230" s="1"/>
      <c r="QZK230" s="1"/>
      <c r="QZL230" s="1"/>
      <c r="QZM230" s="1"/>
      <c r="QZN230" s="1"/>
      <c r="QZO230" s="1"/>
      <c r="QZP230" s="1"/>
      <c r="QZQ230" s="1"/>
      <c r="QZR230" s="1"/>
      <c r="QZS230" s="1"/>
      <c r="QZT230" s="1"/>
      <c r="QZU230" s="1"/>
      <c r="QZV230" s="1"/>
      <c r="QZW230" s="1"/>
      <c r="QZX230" s="1"/>
      <c r="QZY230" s="1"/>
      <c r="QZZ230" s="1"/>
      <c r="RAA230" s="1"/>
      <c r="RAB230" s="1"/>
      <c r="RAC230" s="1"/>
      <c r="RAD230" s="1"/>
      <c r="RAE230" s="1"/>
      <c r="RAF230" s="1"/>
      <c r="RAG230" s="1"/>
      <c r="RAH230" s="1"/>
      <c r="RAI230" s="1"/>
      <c r="RAJ230" s="1"/>
      <c r="RAK230" s="1"/>
      <c r="RAL230" s="1"/>
      <c r="RAM230" s="1"/>
      <c r="RAN230" s="1"/>
      <c r="RAO230" s="1"/>
      <c r="RAP230" s="1"/>
      <c r="RAQ230" s="1"/>
      <c r="RAR230" s="1"/>
      <c r="RAS230" s="1"/>
      <c r="RAT230" s="1"/>
      <c r="RAU230" s="1"/>
      <c r="RAV230" s="1"/>
      <c r="RAW230" s="1"/>
      <c r="RAX230" s="1"/>
      <c r="RAY230" s="1"/>
      <c r="RAZ230" s="1"/>
      <c r="RBA230" s="1"/>
      <c r="RBB230" s="1"/>
      <c r="RBC230" s="1"/>
      <c r="RBD230" s="1"/>
      <c r="RBE230" s="1"/>
      <c r="RBF230" s="1"/>
      <c r="RBG230" s="1"/>
      <c r="RBH230" s="1"/>
      <c r="RBI230" s="1"/>
      <c r="RBJ230" s="1"/>
      <c r="RBK230" s="1"/>
      <c r="RBL230" s="1"/>
      <c r="RBM230" s="1"/>
      <c r="RBN230" s="1"/>
      <c r="RBO230" s="1"/>
      <c r="RBP230" s="1"/>
      <c r="RBQ230" s="1"/>
      <c r="RBR230" s="1"/>
      <c r="RBS230" s="1"/>
      <c r="RBT230" s="1"/>
      <c r="RBU230" s="1"/>
      <c r="RBV230" s="1"/>
      <c r="RBW230" s="1"/>
      <c r="RBX230" s="1"/>
      <c r="RBY230" s="1"/>
      <c r="RBZ230" s="1"/>
      <c r="RCA230" s="1"/>
      <c r="RCB230" s="1"/>
      <c r="RCC230" s="1"/>
      <c r="RCD230" s="1"/>
      <c r="RCE230" s="1"/>
      <c r="RCF230" s="1"/>
      <c r="RCG230" s="1"/>
      <c r="RCH230" s="1"/>
      <c r="RCI230" s="1"/>
      <c r="RCJ230" s="1"/>
      <c r="RCK230" s="1"/>
      <c r="RCL230" s="1"/>
      <c r="RCM230" s="1"/>
      <c r="RCN230" s="1"/>
      <c r="RCO230" s="1"/>
      <c r="RCP230" s="1"/>
      <c r="RCQ230" s="1"/>
      <c r="RCR230" s="1"/>
      <c r="RCS230" s="1"/>
      <c r="RCT230" s="1"/>
      <c r="RCU230" s="1"/>
      <c r="RCV230" s="1"/>
      <c r="RCW230" s="1"/>
      <c r="RCX230" s="1"/>
      <c r="RCY230" s="1"/>
      <c r="RCZ230" s="1"/>
      <c r="RDA230" s="1"/>
      <c r="RDB230" s="1"/>
      <c r="RDC230" s="1"/>
      <c r="RDD230" s="1"/>
      <c r="RDE230" s="1"/>
      <c r="RDF230" s="1"/>
      <c r="RDG230" s="1"/>
      <c r="RDH230" s="1"/>
      <c r="RDI230" s="1"/>
      <c r="RDJ230" s="1"/>
      <c r="RDK230" s="1"/>
      <c r="RDL230" s="1"/>
      <c r="RDM230" s="1"/>
      <c r="RDN230" s="1"/>
      <c r="RDO230" s="1"/>
      <c r="RDP230" s="1"/>
      <c r="RDQ230" s="1"/>
      <c r="RDR230" s="1"/>
      <c r="RDS230" s="1"/>
      <c r="RDT230" s="1"/>
      <c r="RDU230" s="1"/>
      <c r="RDV230" s="1"/>
      <c r="RDW230" s="1"/>
      <c r="RDX230" s="1"/>
      <c r="RDY230" s="1"/>
      <c r="RDZ230" s="1"/>
      <c r="REA230" s="1"/>
      <c r="REB230" s="1"/>
      <c r="REC230" s="1"/>
      <c r="RED230" s="1"/>
      <c r="REE230" s="1"/>
      <c r="REF230" s="1"/>
      <c r="REG230" s="1"/>
      <c r="REH230" s="1"/>
      <c r="REI230" s="1"/>
      <c r="REJ230" s="1"/>
      <c r="REK230" s="1"/>
      <c r="REL230" s="1"/>
      <c r="REM230" s="1"/>
      <c r="REN230" s="1"/>
      <c r="REO230" s="1"/>
      <c r="REP230" s="1"/>
      <c r="REQ230" s="1"/>
      <c r="RER230" s="1"/>
      <c r="RES230" s="1"/>
      <c r="RET230" s="1"/>
      <c r="REU230" s="1"/>
      <c r="REV230" s="1"/>
      <c r="REW230" s="1"/>
      <c r="REX230" s="1"/>
      <c r="REY230" s="1"/>
      <c r="REZ230" s="1"/>
      <c r="RFA230" s="1"/>
      <c r="RFB230" s="1"/>
      <c r="RFC230" s="1"/>
      <c r="RFD230" s="1"/>
      <c r="RFE230" s="1"/>
      <c r="RFF230" s="1"/>
      <c r="RFG230" s="1"/>
      <c r="RFH230" s="1"/>
      <c r="RFI230" s="1"/>
      <c r="RFJ230" s="1"/>
      <c r="RFK230" s="1"/>
      <c r="RFL230" s="1"/>
      <c r="RFM230" s="1"/>
      <c r="RFN230" s="1"/>
      <c r="RFO230" s="1"/>
      <c r="RFP230" s="1"/>
      <c r="RFQ230" s="1"/>
      <c r="RFR230" s="1"/>
      <c r="RFS230" s="1"/>
      <c r="RFT230" s="1"/>
      <c r="RFU230" s="1"/>
      <c r="RFV230" s="1"/>
      <c r="RFW230" s="1"/>
      <c r="RFX230" s="1"/>
      <c r="RFY230" s="1"/>
      <c r="RFZ230" s="1"/>
      <c r="RGA230" s="1"/>
      <c r="RGB230" s="1"/>
      <c r="RGC230" s="1"/>
      <c r="RGD230" s="1"/>
      <c r="RGE230" s="1"/>
      <c r="RGF230" s="1"/>
      <c r="RGG230" s="1"/>
      <c r="RGH230" s="1"/>
      <c r="RGI230" s="1"/>
      <c r="RGJ230" s="1"/>
      <c r="RGK230" s="1"/>
      <c r="RGL230" s="1"/>
      <c r="RGM230" s="1"/>
      <c r="RGN230" s="1"/>
      <c r="RGO230" s="1"/>
      <c r="RGP230" s="1"/>
      <c r="RGQ230" s="1"/>
      <c r="RGR230" s="1"/>
      <c r="RGS230" s="1"/>
      <c r="RGT230" s="1"/>
      <c r="RGU230" s="1"/>
      <c r="RGV230" s="1"/>
      <c r="RGW230" s="1"/>
      <c r="RGX230" s="1"/>
      <c r="RGY230" s="1"/>
      <c r="RGZ230" s="1"/>
      <c r="RHA230" s="1"/>
      <c r="RHB230" s="1"/>
      <c r="RHC230" s="1"/>
      <c r="RHD230" s="1"/>
      <c r="RHE230" s="1"/>
      <c r="RHF230" s="1"/>
      <c r="RHG230" s="1"/>
      <c r="RHH230" s="1"/>
      <c r="RHI230" s="1"/>
      <c r="RHJ230" s="1"/>
      <c r="RHK230" s="1"/>
      <c r="RHL230" s="1"/>
      <c r="RHM230" s="1"/>
      <c r="RHN230" s="1"/>
      <c r="RHO230" s="1"/>
      <c r="RHP230" s="1"/>
      <c r="RHQ230" s="1"/>
      <c r="RHR230" s="1"/>
      <c r="RHS230" s="1"/>
      <c r="RHT230" s="1"/>
      <c r="RHU230" s="1"/>
      <c r="RHV230" s="1"/>
      <c r="RHW230" s="1"/>
      <c r="RHX230" s="1"/>
      <c r="RHY230" s="1"/>
      <c r="RHZ230" s="1"/>
      <c r="RIA230" s="1"/>
      <c r="RIB230" s="1"/>
      <c r="RIC230" s="1"/>
      <c r="RID230" s="1"/>
      <c r="RIE230" s="1"/>
      <c r="RIF230" s="1"/>
      <c r="RIG230" s="1"/>
      <c r="RIH230" s="1"/>
      <c r="RII230" s="1"/>
      <c r="RIJ230" s="1"/>
      <c r="RIK230" s="1"/>
      <c r="RIL230" s="1"/>
      <c r="RIM230" s="1"/>
      <c r="RIN230" s="1"/>
      <c r="RIO230" s="1"/>
      <c r="RIP230" s="1"/>
      <c r="RIQ230" s="1"/>
      <c r="RIR230" s="1"/>
      <c r="RIS230" s="1"/>
      <c r="RIT230" s="1"/>
      <c r="RIU230" s="1"/>
      <c r="RIV230" s="1"/>
      <c r="RIW230" s="1"/>
      <c r="RIX230" s="1"/>
      <c r="RIY230" s="1"/>
      <c r="RIZ230" s="1"/>
      <c r="RJA230" s="1"/>
      <c r="RJB230" s="1"/>
      <c r="RJC230" s="1"/>
      <c r="RJD230" s="1"/>
      <c r="RJE230" s="1"/>
      <c r="RJF230" s="1"/>
      <c r="RJG230" s="1"/>
      <c r="RJH230" s="1"/>
      <c r="RJI230" s="1"/>
      <c r="RJJ230" s="1"/>
      <c r="RJK230" s="1"/>
      <c r="RJL230" s="1"/>
      <c r="RJM230" s="1"/>
      <c r="RJN230" s="1"/>
      <c r="RJO230" s="1"/>
      <c r="RJP230" s="1"/>
      <c r="RJQ230" s="1"/>
      <c r="RJR230" s="1"/>
      <c r="RJS230" s="1"/>
      <c r="RJT230" s="1"/>
      <c r="RJU230" s="1"/>
      <c r="RJV230" s="1"/>
      <c r="RJW230" s="1"/>
      <c r="RJX230" s="1"/>
      <c r="RJY230" s="1"/>
      <c r="RJZ230" s="1"/>
      <c r="RKA230" s="1"/>
      <c r="RKB230" s="1"/>
      <c r="RKC230" s="1"/>
      <c r="RKD230" s="1"/>
      <c r="RKE230" s="1"/>
      <c r="RKF230" s="1"/>
      <c r="RKG230" s="1"/>
      <c r="RKH230" s="1"/>
      <c r="RKI230" s="1"/>
      <c r="RKJ230" s="1"/>
      <c r="RKK230" s="1"/>
      <c r="RKL230" s="1"/>
      <c r="RKM230" s="1"/>
      <c r="RKN230" s="1"/>
      <c r="RKO230" s="1"/>
      <c r="RKP230" s="1"/>
      <c r="RKQ230" s="1"/>
      <c r="RKR230" s="1"/>
      <c r="RKS230" s="1"/>
      <c r="RKT230" s="1"/>
      <c r="RKU230" s="1"/>
      <c r="RKV230" s="1"/>
      <c r="RKW230" s="1"/>
      <c r="RKX230" s="1"/>
      <c r="RKY230" s="1"/>
      <c r="RKZ230" s="1"/>
      <c r="RLA230" s="1"/>
      <c r="RLB230" s="1"/>
      <c r="RLC230" s="1"/>
      <c r="RLD230" s="1"/>
      <c r="RLE230" s="1"/>
      <c r="RLF230" s="1"/>
      <c r="RLG230" s="1"/>
      <c r="RLH230" s="1"/>
      <c r="RLI230" s="1"/>
      <c r="RLJ230" s="1"/>
      <c r="RLK230" s="1"/>
      <c r="RLL230" s="1"/>
      <c r="RLM230" s="1"/>
      <c r="RLN230" s="1"/>
      <c r="RLO230" s="1"/>
      <c r="RLP230" s="1"/>
      <c r="RLQ230" s="1"/>
      <c r="RLR230" s="1"/>
      <c r="RLS230" s="1"/>
      <c r="RLT230" s="1"/>
      <c r="RLU230" s="1"/>
      <c r="RLV230" s="1"/>
      <c r="RLW230" s="1"/>
      <c r="RLX230" s="1"/>
      <c r="RLY230" s="1"/>
      <c r="RLZ230" s="1"/>
      <c r="RMA230" s="1"/>
      <c r="RMB230" s="1"/>
      <c r="RMC230" s="1"/>
      <c r="RMD230" s="1"/>
      <c r="RME230" s="1"/>
      <c r="RMF230" s="1"/>
      <c r="RMG230" s="1"/>
      <c r="RMH230" s="1"/>
      <c r="RMI230" s="1"/>
      <c r="RMJ230" s="1"/>
      <c r="RMK230" s="1"/>
      <c r="RML230" s="1"/>
      <c r="RMM230" s="1"/>
      <c r="RMN230" s="1"/>
      <c r="RMO230" s="1"/>
      <c r="RMP230" s="1"/>
      <c r="RMQ230" s="1"/>
      <c r="RMR230" s="1"/>
      <c r="RMS230" s="1"/>
      <c r="RMT230" s="1"/>
      <c r="RMU230" s="1"/>
      <c r="RMV230" s="1"/>
      <c r="RMW230" s="1"/>
      <c r="RMX230" s="1"/>
      <c r="RMY230" s="1"/>
      <c r="RMZ230" s="1"/>
      <c r="RNA230" s="1"/>
      <c r="RNB230" s="1"/>
      <c r="RNC230" s="1"/>
      <c r="RND230" s="1"/>
      <c r="RNE230" s="1"/>
      <c r="RNF230" s="1"/>
      <c r="RNG230" s="1"/>
      <c r="RNH230" s="1"/>
      <c r="RNI230" s="1"/>
      <c r="RNJ230" s="1"/>
      <c r="RNK230" s="1"/>
      <c r="RNL230" s="1"/>
      <c r="RNM230" s="1"/>
      <c r="RNN230" s="1"/>
      <c r="RNO230" s="1"/>
      <c r="RNP230" s="1"/>
      <c r="RNQ230" s="1"/>
      <c r="RNR230" s="1"/>
      <c r="RNS230" s="1"/>
      <c r="RNT230" s="1"/>
      <c r="RNU230" s="1"/>
      <c r="RNV230" s="1"/>
      <c r="RNW230" s="1"/>
      <c r="RNX230" s="1"/>
      <c r="RNY230" s="1"/>
      <c r="RNZ230" s="1"/>
      <c r="ROA230" s="1"/>
      <c r="ROB230" s="1"/>
      <c r="ROC230" s="1"/>
      <c r="ROD230" s="1"/>
      <c r="ROE230" s="1"/>
      <c r="ROF230" s="1"/>
      <c r="ROG230" s="1"/>
      <c r="ROH230" s="1"/>
      <c r="ROI230" s="1"/>
      <c r="ROJ230" s="1"/>
      <c r="ROK230" s="1"/>
      <c r="ROL230" s="1"/>
      <c r="ROM230" s="1"/>
      <c r="RON230" s="1"/>
      <c r="ROO230" s="1"/>
      <c r="ROP230" s="1"/>
      <c r="ROQ230" s="1"/>
      <c r="ROR230" s="1"/>
      <c r="ROS230" s="1"/>
      <c r="ROT230" s="1"/>
      <c r="ROU230" s="1"/>
      <c r="ROV230" s="1"/>
      <c r="ROW230" s="1"/>
      <c r="ROX230" s="1"/>
      <c r="ROY230" s="1"/>
      <c r="ROZ230" s="1"/>
      <c r="RPA230" s="1"/>
      <c r="RPB230" s="1"/>
      <c r="RPC230" s="1"/>
      <c r="RPD230" s="1"/>
      <c r="RPE230" s="1"/>
      <c r="RPF230" s="1"/>
      <c r="RPG230" s="1"/>
      <c r="RPH230" s="1"/>
      <c r="RPI230" s="1"/>
      <c r="RPJ230" s="1"/>
      <c r="RPK230" s="1"/>
      <c r="RPL230" s="1"/>
      <c r="RPM230" s="1"/>
      <c r="RPN230" s="1"/>
      <c r="RPO230" s="1"/>
      <c r="RPP230" s="1"/>
      <c r="RPQ230" s="1"/>
      <c r="RPR230" s="1"/>
      <c r="RPS230" s="1"/>
      <c r="RPT230" s="1"/>
      <c r="RPU230" s="1"/>
      <c r="RPV230" s="1"/>
      <c r="RPW230" s="1"/>
      <c r="RPX230" s="1"/>
      <c r="RPY230" s="1"/>
      <c r="RPZ230" s="1"/>
      <c r="RQA230" s="1"/>
      <c r="RQB230" s="1"/>
      <c r="RQC230" s="1"/>
      <c r="RQD230" s="1"/>
      <c r="RQE230" s="1"/>
      <c r="RQF230" s="1"/>
      <c r="RQG230" s="1"/>
      <c r="RQH230" s="1"/>
      <c r="RQI230" s="1"/>
      <c r="RQJ230" s="1"/>
      <c r="RQK230" s="1"/>
      <c r="RQL230" s="1"/>
      <c r="RQM230" s="1"/>
      <c r="RQN230" s="1"/>
      <c r="RQO230" s="1"/>
      <c r="RQP230" s="1"/>
      <c r="RQQ230" s="1"/>
      <c r="RQR230" s="1"/>
      <c r="RQS230" s="1"/>
      <c r="RQT230" s="1"/>
      <c r="RQU230" s="1"/>
      <c r="RQV230" s="1"/>
      <c r="RQW230" s="1"/>
      <c r="RQX230" s="1"/>
      <c r="RQY230" s="1"/>
      <c r="RQZ230" s="1"/>
      <c r="RRA230" s="1"/>
      <c r="RRB230" s="1"/>
      <c r="RRC230" s="1"/>
      <c r="RRD230" s="1"/>
      <c r="RRE230" s="1"/>
      <c r="RRF230" s="1"/>
      <c r="RRG230" s="1"/>
      <c r="RRH230" s="1"/>
      <c r="RRI230" s="1"/>
      <c r="RRJ230" s="1"/>
      <c r="RRK230" s="1"/>
      <c r="RRL230" s="1"/>
      <c r="RRM230" s="1"/>
      <c r="RRN230" s="1"/>
      <c r="RRO230" s="1"/>
      <c r="RRP230" s="1"/>
      <c r="RRQ230" s="1"/>
      <c r="RRR230" s="1"/>
      <c r="RRS230" s="1"/>
      <c r="RRT230" s="1"/>
      <c r="RRU230" s="1"/>
      <c r="RRV230" s="1"/>
      <c r="RRW230" s="1"/>
      <c r="RRX230" s="1"/>
      <c r="RRY230" s="1"/>
      <c r="RRZ230" s="1"/>
      <c r="RSA230" s="1"/>
      <c r="RSB230" s="1"/>
      <c r="RSC230" s="1"/>
      <c r="RSD230" s="1"/>
      <c r="RSE230" s="1"/>
      <c r="RSF230" s="1"/>
      <c r="RSG230" s="1"/>
      <c r="RSH230" s="1"/>
      <c r="RSI230" s="1"/>
      <c r="RSJ230" s="1"/>
      <c r="RSK230" s="1"/>
      <c r="RSL230" s="1"/>
      <c r="RSM230" s="1"/>
      <c r="RSN230" s="1"/>
      <c r="RSO230" s="1"/>
      <c r="RSP230" s="1"/>
      <c r="RSQ230" s="1"/>
      <c r="RSR230" s="1"/>
      <c r="RSS230" s="1"/>
      <c r="RST230" s="1"/>
      <c r="RSU230" s="1"/>
      <c r="RSV230" s="1"/>
      <c r="RSW230" s="1"/>
      <c r="RSX230" s="1"/>
      <c r="RSY230" s="1"/>
      <c r="RSZ230" s="1"/>
      <c r="RTA230" s="1"/>
      <c r="RTB230" s="1"/>
      <c r="RTC230" s="1"/>
      <c r="RTD230" s="1"/>
      <c r="RTE230" s="1"/>
      <c r="RTF230" s="1"/>
      <c r="RTG230" s="1"/>
      <c r="RTH230" s="1"/>
      <c r="RTI230" s="1"/>
      <c r="RTJ230" s="1"/>
      <c r="RTK230" s="1"/>
      <c r="RTL230" s="1"/>
      <c r="RTM230" s="1"/>
      <c r="RTN230" s="1"/>
      <c r="RTO230" s="1"/>
      <c r="RTP230" s="1"/>
      <c r="RTQ230" s="1"/>
      <c r="RTR230" s="1"/>
      <c r="RTS230" s="1"/>
      <c r="RTT230" s="1"/>
      <c r="RTU230" s="1"/>
      <c r="RTV230" s="1"/>
      <c r="RTW230" s="1"/>
      <c r="RTX230" s="1"/>
      <c r="RTY230" s="1"/>
      <c r="RTZ230" s="1"/>
      <c r="RUA230" s="1"/>
      <c r="RUB230" s="1"/>
      <c r="RUC230" s="1"/>
      <c r="RUD230" s="1"/>
      <c r="RUE230" s="1"/>
      <c r="RUF230" s="1"/>
      <c r="RUG230" s="1"/>
      <c r="RUH230" s="1"/>
      <c r="RUI230" s="1"/>
      <c r="RUJ230" s="1"/>
      <c r="RUK230" s="1"/>
      <c r="RUL230" s="1"/>
      <c r="RUM230" s="1"/>
      <c r="RUN230" s="1"/>
      <c r="RUO230" s="1"/>
      <c r="RUP230" s="1"/>
      <c r="RUQ230" s="1"/>
      <c r="RUR230" s="1"/>
      <c r="RUS230" s="1"/>
      <c r="RUT230" s="1"/>
      <c r="RUU230" s="1"/>
      <c r="RUV230" s="1"/>
      <c r="RUW230" s="1"/>
      <c r="RUX230" s="1"/>
      <c r="RUY230" s="1"/>
      <c r="RUZ230" s="1"/>
      <c r="RVA230" s="1"/>
      <c r="RVB230" s="1"/>
      <c r="RVC230" s="1"/>
      <c r="RVD230" s="1"/>
      <c r="RVE230" s="1"/>
      <c r="RVF230" s="1"/>
      <c r="RVG230" s="1"/>
      <c r="RVH230" s="1"/>
      <c r="RVI230" s="1"/>
      <c r="RVJ230" s="1"/>
      <c r="RVK230" s="1"/>
      <c r="RVL230" s="1"/>
      <c r="RVM230" s="1"/>
      <c r="RVN230" s="1"/>
      <c r="RVO230" s="1"/>
      <c r="RVP230" s="1"/>
      <c r="RVQ230" s="1"/>
      <c r="RVR230" s="1"/>
      <c r="RVS230" s="1"/>
      <c r="RVT230" s="1"/>
      <c r="RVU230" s="1"/>
      <c r="RVV230" s="1"/>
      <c r="RVW230" s="1"/>
      <c r="RVX230" s="1"/>
      <c r="RVY230" s="1"/>
      <c r="RVZ230" s="1"/>
      <c r="RWA230" s="1"/>
      <c r="RWB230" s="1"/>
      <c r="RWC230" s="1"/>
      <c r="RWD230" s="1"/>
      <c r="RWE230" s="1"/>
      <c r="RWF230" s="1"/>
      <c r="RWG230" s="1"/>
      <c r="RWH230" s="1"/>
      <c r="RWI230" s="1"/>
      <c r="RWJ230" s="1"/>
      <c r="RWK230" s="1"/>
      <c r="RWL230" s="1"/>
      <c r="RWM230" s="1"/>
      <c r="RWN230" s="1"/>
      <c r="RWO230" s="1"/>
      <c r="RWP230" s="1"/>
      <c r="RWQ230" s="1"/>
      <c r="RWR230" s="1"/>
      <c r="RWS230" s="1"/>
      <c r="RWT230" s="1"/>
      <c r="RWU230" s="1"/>
      <c r="RWV230" s="1"/>
      <c r="RWW230" s="1"/>
      <c r="RWX230" s="1"/>
      <c r="RWY230" s="1"/>
      <c r="RWZ230" s="1"/>
      <c r="RXA230" s="1"/>
      <c r="RXB230" s="1"/>
      <c r="RXC230" s="1"/>
      <c r="RXD230" s="1"/>
      <c r="RXE230" s="1"/>
      <c r="RXF230" s="1"/>
      <c r="RXG230" s="1"/>
      <c r="RXH230" s="1"/>
      <c r="RXI230" s="1"/>
      <c r="RXJ230" s="1"/>
      <c r="RXK230" s="1"/>
      <c r="RXL230" s="1"/>
      <c r="RXM230" s="1"/>
      <c r="RXN230" s="1"/>
      <c r="RXO230" s="1"/>
      <c r="RXP230" s="1"/>
      <c r="RXQ230" s="1"/>
      <c r="RXR230" s="1"/>
      <c r="RXS230" s="1"/>
      <c r="RXT230" s="1"/>
      <c r="RXU230" s="1"/>
      <c r="RXV230" s="1"/>
      <c r="RXW230" s="1"/>
      <c r="RXX230" s="1"/>
      <c r="RXY230" s="1"/>
      <c r="RXZ230" s="1"/>
      <c r="RYA230" s="1"/>
      <c r="RYB230" s="1"/>
      <c r="RYC230" s="1"/>
      <c r="RYD230" s="1"/>
      <c r="RYE230" s="1"/>
      <c r="RYF230" s="1"/>
      <c r="RYG230" s="1"/>
      <c r="RYH230" s="1"/>
      <c r="RYI230" s="1"/>
      <c r="RYJ230" s="1"/>
      <c r="RYK230" s="1"/>
      <c r="RYL230" s="1"/>
      <c r="RYM230" s="1"/>
      <c r="RYN230" s="1"/>
      <c r="RYO230" s="1"/>
      <c r="RYP230" s="1"/>
      <c r="RYQ230" s="1"/>
      <c r="RYR230" s="1"/>
      <c r="RYS230" s="1"/>
      <c r="RYT230" s="1"/>
      <c r="RYU230" s="1"/>
      <c r="RYV230" s="1"/>
      <c r="RYW230" s="1"/>
      <c r="RYX230" s="1"/>
      <c r="RYY230" s="1"/>
      <c r="RYZ230" s="1"/>
      <c r="RZA230" s="1"/>
      <c r="RZB230" s="1"/>
      <c r="RZC230" s="1"/>
      <c r="RZD230" s="1"/>
      <c r="RZE230" s="1"/>
      <c r="RZF230" s="1"/>
      <c r="RZG230" s="1"/>
      <c r="RZH230" s="1"/>
      <c r="RZI230" s="1"/>
      <c r="RZJ230" s="1"/>
      <c r="RZK230" s="1"/>
      <c r="RZL230" s="1"/>
      <c r="RZM230" s="1"/>
      <c r="RZN230" s="1"/>
      <c r="RZO230" s="1"/>
      <c r="RZP230" s="1"/>
      <c r="RZQ230" s="1"/>
      <c r="RZR230" s="1"/>
      <c r="RZS230" s="1"/>
      <c r="RZT230" s="1"/>
      <c r="RZU230" s="1"/>
      <c r="RZV230" s="1"/>
      <c r="RZW230" s="1"/>
      <c r="RZX230" s="1"/>
      <c r="RZY230" s="1"/>
      <c r="RZZ230" s="1"/>
      <c r="SAA230" s="1"/>
      <c r="SAB230" s="1"/>
      <c r="SAC230" s="1"/>
      <c r="SAD230" s="1"/>
      <c r="SAE230" s="1"/>
      <c r="SAF230" s="1"/>
      <c r="SAG230" s="1"/>
      <c r="SAH230" s="1"/>
      <c r="SAI230" s="1"/>
      <c r="SAJ230" s="1"/>
      <c r="SAK230" s="1"/>
      <c r="SAL230" s="1"/>
      <c r="SAM230" s="1"/>
      <c r="SAN230" s="1"/>
      <c r="SAO230" s="1"/>
      <c r="SAP230" s="1"/>
      <c r="SAQ230" s="1"/>
      <c r="SAR230" s="1"/>
      <c r="SAS230" s="1"/>
      <c r="SAT230" s="1"/>
      <c r="SAU230" s="1"/>
      <c r="SAV230" s="1"/>
      <c r="SAW230" s="1"/>
      <c r="SAX230" s="1"/>
      <c r="SAY230" s="1"/>
      <c r="SAZ230" s="1"/>
      <c r="SBA230" s="1"/>
      <c r="SBB230" s="1"/>
      <c r="SBC230" s="1"/>
      <c r="SBD230" s="1"/>
      <c r="SBE230" s="1"/>
      <c r="SBF230" s="1"/>
      <c r="SBG230" s="1"/>
      <c r="SBH230" s="1"/>
      <c r="SBI230" s="1"/>
      <c r="SBJ230" s="1"/>
      <c r="SBK230" s="1"/>
      <c r="SBL230" s="1"/>
      <c r="SBM230" s="1"/>
      <c r="SBN230" s="1"/>
      <c r="SBO230" s="1"/>
      <c r="SBP230" s="1"/>
      <c r="SBQ230" s="1"/>
      <c r="SBR230" s="1"/>
      <c r="SBS230" s="1"/>
      <c r="SBT230" s="1"/>
      <c r="SBU230" s="1"/>
      <c r="SBV230" s="1"/>
      <c r="SBW230" s="1"/>
      <c r="SBX230" s="1"/>
      <c r="SBY230" s="1"/>
      <c r="SBZ230" s="1"/>
      <c r="SCA230" s="1"/>
      <c r="SCB230" s="1"/>
      <c r="SCC230" s="1"/>
      <c r="SCD230" s="1"/>
      <c r="SCE230" s="1"/>
      <c r="SCF230" s="1"/>
      <c r="SCG230" s="1"/>
      <c r="SCH230" s="1"/>
      <c r="SCI230" s="1"/>
      <c r="SCJ230" s="1"/>
      <c r="SCK230" s="1"/>
      <c r="SCL230" s="1"/>
      <c r="SCM230" s="1"/>
      <c r="SCN230" s="1"/>
      <c r="SCO230" s="1"/>
      <c r="SCP230" s="1"/>
      <c r="SCQ230" s="1"/>
      <c r="SCR230" s="1"/>
      <c r="SCS230" s="1"/>
      <c r="SCT230" s="1"/>
      <c r="SCU230" s="1"/>
      <c r="SCV230" s="1"/>
      <c r="SCW230" s="1"/>
      <c r="SCX230" s="1"/>
      <c r="SCY230" s="1"/>
      <c r="SCZ230" s="1"/>
      <c r="SDA230" s="1"/>
      <c r="SDB230" s="1"/>
      <c r="SDC230" s="1"/>
      <c r="SDD230" s="1"/>
      <c r="SDE230" s="1"/>
      <c r="SDF230" s="1"/>
      <c r="SDG230" s="1"/>
      <c r="SDH230" s="1"/>
      <c r="SDI230" s="1"/>
      <c r="SDJ230" s="1"/>
      <c r="SDK230" s="1"/>
      <c r="SDL230" s="1"/>
      <c r="SDM230" s="1"/>
      <c r="SDN230" s="1"/>
      <c r="SDO230" s="1"/>
      <c r="SDP230" s="1"/>
      <c r="SDQ230" s="1"/>
      <c r="SDR230" s="1"/>
      <c r="SDS230" s="1"/>
      <c r="SDT230" s="1"/>
      <c r="SDU230" s="1"/>
      <c r="SDV230" s="1"/>
      <c r="SDW230" s="1"/>
      <c r="SDX230" s="1"/>
      <c r="SDY230" s="1"/>
      <c r="SDZ230" s="1"/>
      <c r="SEA230" s="1"/>
      <c r="SEB230" s="1"/>
      <c r="SEC230" s="1"/>
      <c r="SED230" s="1"/>
      <c r="SEE230" s="1"/>
      <c r="SEF230" s="1"/>
      <c r="SEG230" s="1"/>
      <c r="SEH230" s="1"/>
      <c r="SEI230" s="1"/>
      <c r="SEJ230" s="1"/>
      <c r="SEK230" s="1"/>
      <c r="SEL230" s="1"/>
      <c r="SEM230" s="1"/>
      <c r="SEN230" s="1"/>
      <c r="SEO230" s="1"/>
      <c r="SEP230" s="1"/>
      <c r="SEQ230" s="1"/>
      <c r="SER230" s="1"/>
      <c r="SES230" s="1"/>
      <c r="SET230" s="1"/>
      <c r="SEU230" s="1"/>
      <c r="SEV230" s="1"/>
      <c r="SEW230" s="1"/>
      <c r="SEX230" s="1"/>
      <c r="SEY230" s="1"/>
      <c r="SEZ230" s="1"/>
      <c r="SFA230" s="1"/>
      <c r="SFB230" s="1"/>
      <c r="SFC230" s="1"/>
      <c r="SFD230" s="1"/>
      <c r="SFE230" s="1"/>
      <c r="SFF230" s="1"/>
      <c r="SFG230" s="1"/>
      <c r="SFH230" s="1"/>
      <c r="SFI230" s="1"/>
      <c r="SFJ230" s="1"/>
      <c r="SFK230" s="1"/>
      <c r="SFL230" s="1"/>
      <c r="SFM230" s="1"/>
      <c r="SFN230" s="1"/>
      <c r="SFO230" s="1"/>
      <c r="SFP230" s="1"/>
      <c r="SFQ230" s="1"/>
      <c r="SFR230" s="1"/>
      <c r="SFS230" s="1"/>
      <c r="SFT230" s="1"/>
      <c r="SFU230" s="1"/>
      <c r="SFV230" s="1"/>
      <c r="SFW230" s="1"/>
      <c r="SFX230" s="1"/>
      <c r="SFY230" s="1"/>
      <c r="SFZ230" s="1"/>
      <c r="SGA230" s="1"/>
      <c r="SGB230" s="1"/>
      <c r="SGC230" s="1"/>
      <c r="SGD230" s="1"/>
      <c r="SGE230" s="1"/>
      <c r="SGF230" s="1"/>
      <c r="SGG230" s="1"/>
      <c r="SGH230" s="1"/>
      <c r="SGI230" s="1"/>
      <c r="SGJ230" s="1"/>
      <c r="SGK230" s="1"/>
      <c r="SGL230" s="1"/>
      <c r="SGM230" s="1"/>
      <c r="SGN230" s="1"/>
      <c r="SGO230" s="1"/>
      <c r="SGP230" s="1"/>
      <c r="SGQ230" s="1"/>
      <c r="SGR230" s="1"/>
      <c r="SGS230" s="1"/>
      <c r="SGT230" s="1"/>
      <c r="SGU230" s="1"/>
      <c r="SGV230" s="1"/>
      <c r="SGW230" s="1"/>
      <c r="SGX230" s="1"/>
      <c r="SGY230" s="1"/>
      <c r="SGZ230" s="1"/>
      <c r="SHA230" s="1"/>
      <c r="SHB230" s="1"/>
      <c r="SHC230" s="1"/>
      <c r="SHD230" s="1"/>
      <c r="SHE230" s="1"/>
      <c r="SHF230" s="1"/>
      <c r="SHG230" s="1"/>
      <c r="SHH230" s="1"/>
      <c r="SHI230" s="1"/>
      <c r="SHJ230" s="1"/>
      <c r="SHK230" s="1"/>
      <c r="SHL230" s="1"/>
      <c r="SHM230" s="1"/>
      <c r="SHN230" s="1"/>
      <c r="SHO230" s="1"/>
      <c r="SHP230" s="1"/>
      <c r="SHQ230" s="1"/>
      <c r="SHR230" s="1"/>
      <c r="SHS230" s="1"/>
      <c r="SHT230" s="1"/>
      <c r="SHU230" s="1"/>
      <c r="SHV230" s="1"/>
      <c r="SHW230" s="1"/>
      <c r="SHX230" s="1"/>
      <c r="SHY230" s="1"/>
      <c r="SHZ230" s="1"/>
      <c r="SIA230" s="1"/>
      <c r="SIB230" s="1"/>
      <c r="SIC230" s="1"/>
      <c r="SID230" s="1"/>
      <c r="SIE230" s="1"/>
      <c r="SIF230" s="1"/>
      <c r="SIG230" s="1"/>
      <c r="SIH230" s="1"/>
      <c r="SII230" s="1"/>
      <c r="SIJ230" s="1"/>
      <c r="SIK230" s="1"/>
      <c r="SIL230" s="1"/>
      <c r="SIM230" s="1"/>
      <c r="SIN230" s="1"/>
      <c r="SIO230" s="1"/>
      <c r="SIP230" s="1"/>
      <c r="SIQ230" s="1"/>
      <c r="SIR230" s="1"/>
      <c r="SIS230" s="1"/>
      <c r="SIT230" s="1"/>
      <c r="SIU230" s="1"/>
      <c r="SIV230" s="1"/>
      <c r="SIW230" s="1"/>
      <c r="SIX230" s="1"/>
      <c r="SIY230" s="1"/>
      <c r="SIZ230" s="1"/>
      <c r="SJA230" s="1"/>
      <c r="SJB230" s="1"/>
      <c r="SJC230" s="1"/>
      <c r="SJD230" s="1"/>
      <c r="SJE230" s="1"/>
      <c r="SJF230" s="1"/>
      <c r="SJG230" s="1"/>
      <c r="SJH230" s="1"/>
      <c r="SJI230" s="1"/>
      <c r="SJJ230" s="1"/>
      <c r="SJK230" s="1"/>
      <c r="SJL230" s="1"/>
      <c r="SJM230" s="1"/>
      <c r="SJN230" s="1"/>
      <c r="SJO230" s="1"/>
      <c r="SJP230" s="1"/>
      <c r="SJQ230" s="1"/>
      <c r="SJR230" s="1"/>
      <c r="SJS230" s="1"/>
      <c r="SJT230" s="1"/>
      <c r="SJU230" s="1"/>
      <c r="SJV230" s="1"/>
      <c r="SJW230" s="1"/>
      <c r="SJX230" s="1"/>
      <c r="SJY230" s="1"/>
      <c r="SJZ230" s="1"/>
      <c r="SKA230" s="1"/>
      <c r="SKB230" s="1"/>
      <c r="SKC230" s="1"/>
      <c r="SKD230" s="1"/>
      <c r="SKE230" s="1"/>
      <c r="SKF230" s="1"/>
      <c r="SKG230" s="1"/>
      <c r="SKH230" s="1"/>
      <c r="SKI230" s="1"/>
      <c r="SKJ230" s="1"/>
      <c r="SKK230" s="1"/>
      <c r="SKL230" s="1"/>
      <c r="SKM230" s="1"/>
      <c r="SKN230" s="1"/>
      <c r="SKO230" s="1"/>
      <c r="SKP230" s="1"/>
      <c r="SKQ230" s="1"/>
      <c r="SKR230" s="1"/>
      <c r="SKS230" s="1"/>
      <c r="SKT230" s="1"/>
      <c r="SKU230" s="1"/>
      <c r="SKV230" s="1"/>
      <c r="SKW230" s="1"/>
      <c r="SKX230" s="1"/>
      <c r="SKY230" s="1"/>
      <c r="SKZ230" s="1"/>
      <c r="SLA230" s="1"/>
      <c r="SLB230" s="1"/>
      <c r="SLC230" s="1"/>
      <c r="SLD230" s="1"/>
      <c r="SLE230" s="1"/>
      <c r="SLF230" s="1"/>
      <c r="SLG230" s="1"/>
      <c r="SLH230" s="1"/>
      <c r="SLI230" s="1"/>
      <c r="SLJ230" s="1"/>
      <c r="SLK230" s="1"/>
      <c r="SLL230" s="1"/>
      <c r="SLM230" s="1"/>
      <c r="SLN230" s="1"/>
      <c r="SLO230" s="1"/>
      <c r="SLP230" s="1"/>
      <c r="SLQ230" s="1"/>
      <c r="SLR230" s="1"/>
      <c r="SLS230" s="1"/>
      <c r="SLT230" s="1"/>
      <c r="SLU230" s="1"/>
      <c r="SLV230" s="1"/>
      <c r="SLW230" s="1"/>
      <c r="SLX230" s="1"/>
      <c r="SLY230" s="1"/>
      <c r="SLZ230" s="1"/>
      <c r="SMA230" s="1"/>
      <c r="SMB230" s="1"/>
      <c r="SMC230" s="1"/>
      <c r="SMD230" s="1"/>
      <c r="SME230" s="1"/>
      <c r="SMF230" s="1"/>
      <c r="SMG230" s="1"/>
      <c r="SMH230" s="1"/>
      <c r="SMI230" s="1"/>
      <c r="SMJ230" s="1"/>
      <c r="SMK230" s="1"/>
      <c r="SML230" s="1"/>
      <c r="SMM230" s="1"/>
      <c r="SMN230" s="1"/>
      <c r="SMO230" s="1"/>
      <c r="SMP230" s="1"/>
      <c r="SMQ230" s="1"/>
      <c r="SMR230" s="1"/>
      <c r="SMS230" s="1"/>
      <c r="SMT230" s="1"/>
      <c r="SMU230" s="1"/>
      <c r="SMV230" s="1"/>
      <c r="SMW230" s="1"/>
      <c r="SMX230" s="1"/>
      <c r="SMY230" s="1"/>
      <c r="SMZ230" s="1"/>
      <c r="SNA230" s="1"/>
      <c r="SNB230" s="1"/>
      <c r="SNC230" s="1"/>
      <c r="SND230" s="1"/>
      <c r="SNE230" s="1"/>
      <c r="SNF230" s="1"/>
      <c r="SNG230" s="1"/>
      <c r="SNH230" s="1"/>
      <c r="SNI230" s="1"/>
      <c r="SNJ230" s="1"/>
      <c r="SNK230" s="1"/>
      <c r="SNL230" s="1"/>
      <c r="SNM230" s="1"/>
      <c r="SNN230" s="1"/>
      <c r="SNO230" s="1"/>
      <c r="SNP230" s="1"/>
      <c r="SNQ230" s="1"/>
      <c r="SNR230" s="1"/>
      <c r="SNS230" s="1"/>
      <c r="SNT230" s="1"/>
      <c r="SNU230" s="1"/>
      <c r="SNV230" s="1"/>
      <c r="SNW230" s="1"/>
      <c r="SNX230" s="1"/>
      <c r="SNY230" s="1"/>
      <c r="SNZ230" s="1"/>
      <c r="SOA230" s="1"/>
      <c r="SOB230" s="1"/>
      <c r="SOC230" s="1"/>
      <c r="SOD230" s="1"/>
      <c r="SOE230" s="1"/>
      <c r="SOF230" s="1"/>
      <c r="SOG230" s="1"/>
      <c r="SOH230" s="1"/>
      <c r="SOI230" s="1"/>
      <c r="SOJ230" s="1"/>
      <c r="SOK230" s="1"/>
      <c r="SOL230" s="1"/>
      <c r="SOM230" s="1"/>
      <c r="SON230" s="1"/>
      <c r="SOO230" s="1"/>
      <c r="SOP230" s="1"/>
      <c r="SOQ230" s="1"/>
      <c r="SOR230" s="1"/>
      <c r="SOS230" s="1"/>
      <c r="SOT230" s="1"/>
      <c r="SOU230" s="1"/>
      <c r="SOV230" s="1"/>
      <c r="SOW230" s="1"/>
      <c r="SOX230" s="1"/>
      <c r="SOY230" s="1"/>
      <c r="SOZ230" s="1"/>
      <c r="SPA230" s="1"/>
      <c r="SPB230" s="1"/>
      <c r="SPC230" s="1"/>
      <c r="SPD230" s="1"/>
      <c r="SPE230" s="1"/>
      <c r="SPF230" s="1"/>
      <c r="SPG230" s="1"/>
      <c r="SPH230" s="1"/>
      <c r="SPI230" s="1"/>
      <c r="SPJ230" s="1"/>
      <c r="SPK230" s="1"/>
      <c r="SPL230" s="1"/>
      <c r="SPM230" s="1"/>
      <c r="SPN230" s="1"/>
      <c r="SPO230" s="1"/>
      <c r="SPP230" s="1"/>
      <c r="SPQ230" s="1"/>
      <c r="SPR230" s="1"/>
      <c r="SPS230" s="1"/>
      <c r="SPT230" s="1"/>
      <c r="SPU230" s="1"/>
      <c r="SPV230" s="1"/>
      <c r="SPW230" s="1"/>
      <c r="SPX230" s="1"/>
      <c r="SPY230" s="1"/>
      <c r="SPZ230" s="1"/>
      <c r="SQA230" s="1"/>
      <c r="SQB230" s="1"/>
      <c r="SQC230" s="1"/>
      <c r="SQD230" s="1"/>
      <c r="SQE230" s="1"/>
      <c r="SQF230" s="1"/>
      <c r="SQG230" s="1"/>
      <c r="SQH230" s="1"/>
      <c r="SQI230" s="1"/>
      <c r="SQJ230" s="1"/>
      <c r="SQK230" s="1"/>
      <c r="SQL230" s="1"/>
      <c r="SQM230" s="1"/>
      <c r="SQN230" s="1"/>
      <c r="SQO230" s="1"/>
      <c r="SQP230" s="1"/>
      <c r="SQQ230" s="1"/>
      <c r="SQR230" s="1"/>
      <c r="SQS230" s="1"/>
      <c r="SQT230" s="1"/>
      <c r="SQU230" s="1"/>
      <c r="SQV230" s="1"/>
      <c r="SQW230" s="1"/>
      <c r="SQX230" s="1"/>
      <c r="SQY230" s="1"/>
      <c r="SQZ230" s="1"/>
      <c r="SRA230" s="1"/>
      <c r="SRB230" s="1"/>
      <c r="SRC230" s="1"/>
      <c r="SRD230" s="1"/>
      <c r="SRE230" s="1"/>
      <c r="SRF230" s="1"/>
      <c r="SRG230" s="1"/>
      <c r="SRH230" s="1"/>
      <c r="SRI230" s="1"/>
      <c r="SRJ230" s="1"/>
      <c r="SRK230" s="1"/>
      <c r="SRL230" s="1"/>
      <c r="SRM230" s="1"/>
      <c r="SRN230" s="1"/>
      <c r="SRO230" s="1"/>
      <c r="SRP230" s="1"/>
      <c r="SRQ230" s="1"/>
      <c r="SRR230" s="1"/>
      <c r="SRS230" s="1"/>
      <c r="SRT230" s="1"/>
      <c r="SRU230" s="1"/>
      <c r="SRV230" s="1"/>
      <c r="SRW230" s="1"/>
      <c r="SRX230" s="1"/>
      <c r="SRY230" s="1"/>
      <c r="SRZ230" s="1"/>
      <c r="SSA230" s="1"/>
      <c r="SSB230" s="1"/>
      <c r="SSC230" s="1"/>
      <c r="SSD230" s="1"/>
      <c r="SSE230" s="1"/>
      <c r="SSF230" s="1"/>
      <c r="SSG230" s="1"/>
      <c r="SSH230" s="1"/>
      <c r="SSI230" s="1"/>
      <c r="SSJ230" s="1"/>
      <c r="SSK230" s="1"/>
      <c r="SSL230" s="1"/>
      <c r="SSM230" s="1"/>
      <c r="SSN230" s="1"/>
      <c r="SSO230" s="1"/>
      <c r="SSP230" s="1"/>
      <c r="SSQ230" s="1"/>
      <c r="SSR230" s="1"/>
      <c r="SSS230" s="1"/>
      <c r="SST230" s="1"/>
      <c r="SSU230" s="1"/>
      <c r="SSV230" s="1"/>
      <c r="SSW230" s="1"/>
      <c r="SSX230" s="1"/>
      <c r="SSY230" s="1"/>
      <c r="SSZ230" s="1"/>
      <c r="STA230" s="1"/>
      <c r="STB230" s="1"/>
      <c r="STC230" s="1"/>
      <c r="STD230" s="1"/>
      <c r="STE230" s="1"/>
      <c r="STF230" s="1"/>
      <c r="STG230" s="1"/>
      <c r="STH230" s="1"/>
      <c r="STI230" s="1"/>
      <c r="STJ230" s="1"/>
      <c r="STK230" s="1"/>
      <c r="STL230" s="1"/>
      <c r="STM230" s="1"/>
      <c r="STN230" s="1"/>
      <c r="STO230" s="1"/>
      <c r="STP230" s="1"/>
      <c r="STQ230" s="1"/>
      <c r="STR230" s="1"/>
      <c r="STS230" s="1"/>
      <c r="STT230" s="1"/>
      <c r="STU230" s="1"/>
      <c r="STV230" s="1"/>
      <c r="STW230" s="1"/>
      <c r="STX230" s="1"/>
      <c r="STY230" s="1"/>
      <c r="STZ230" s="1"/>
      <c r="SUA230" s="1"/>
      <c r="SUB230" s="1"/>
      <c r="SUC230" s="1"/>
      <c r="SUD230" s="1"/>
      <c r="SUE230" s="1"/>
      <c r="SUF230" s="1"/>
      <c r="SUG230" s="1"/>
      <c r="SUH230" s="1"/>
      <c r="SUI230" s="1"/>
      <c r="SUJ230" s="1"/>
      <c r="SUK230" s="1"/>
      <c r="SUL230" s="1"/>
      <c r="SUM230" s="1"/>
      <c r="SUN230" s="1"/>
      <c r="SUO230" s="1"/>
      <c r="SUP230" s="1"/>
      <c r="SUQ230" s="1"/>
      <c r="SUR230" s="1"/>
      <c r="SUS230" s="1"/>
      <c r="SUT230" s="1"/>
      <c r="SUU230" s="1"/>
      <c r="SUV230" s="1"/>
      <c r="SUW230" s="1"/>
      <c r="SUX230" s="1"/>
      <c r="SUY230" s="1"/>
      <c r="SUZ230" s="1"/>
      <c r="SVA230" s="1"/>
      <c r="SVB230" s="1"/>
      <c r="SVC230" s="1"/>
      <c r="SVD230" s="1"/>
      <c r="SVE230" s="1"/>
      <c r="SVF230" s="1"/>
      <c r="SVG230" s="1"/>
      <c r="SVH230" s="1"/>
      <c r="SVI230" s="1"/>
      <c r="SVJ230" s="1"/>
      <c r="SVK230" s="1"/>
      <c r="SVL230" s="1"/>
      <c r="SVM230" s="1"/>
      <c r="SVN230" s="1"/>
      <c r="SVO230" s="1"/>
      <c r="SVP230" s="1"/>
      <c r="SVQ230" s="1"/>
      <c r="SVR230" s="1"/>
      <c r="SVS230" s="1"/>
      <c r="SVT230" s="1"/>
      <c r="SVU230" s="1"/>
      <c r="SVV230" s="1"/>
      <c r="SVW230" s="1"/>
      <c r="SVX230" s="1"/>
      <c r="SVY230" s="1"/>
      <c r="SVZ230" s="1"/>
      <c r="SWA230" s="1"/>
      <c r="SWB230" s="1"/>
      <c r="SWC230" s="1"/>
      <c r="SWD230" s="1"/>
      <c r="SWE230" s="1"/>
      <c r="SWF230" s="1"/>
      <c r="SWG230" s="1"/>
      <c r="SWH230" s="1"/>
      <c r="SWI230" s="1"/>
      <c r="SWJ230" s="1"/>
      <c r="SWK230" s="1"/>
      <c r="SWL230" s="1"/>
      <c r="SWM230" s="1"/>
      <c r="SWN230" s="1"/>
      <c r="SWO230" s="1"/>
      <c r="SWP230" s="1"/>
      <c r="SWQ230" s="1"/>
      <c r="SWR230" s="1"/>
      <c r="SWS230" s="1"/>
      <c r="SWT230" s="1"/>
      <c r="SWU230" s="1"/>
      <c r="SWV230" s="1"/>
      <c r="SWW230" s="1"/>
      <c r="SWX230" s="1"/>
      <c r="SWY230" s="1"/>
      <c r="SWZ230" s="1"/>
      <c r="SXA230" s="1"/>
      <c r="SXB230" s="1"/>
      <c r="SXC230" s="1"/>
      <c r="SXD230" s="1"/>
      <c r="SXE230" s="1"/>
      <c r="SXF230" s="1"/>
      <c r="SXG230" s="1"/>
      <c r="SXH230" s="1"/>
      <c r="SXI230" s="1"/>
      <c r="SXJ230" s="1"/>
      <c r="SXK230" s="1"/>
      <c r="SXL230" s="1"/>
      <c r="SXM230" s="1"/>
      <c r="SXN230" s="1"/>
      <c r="SXO230" s="1"/>
      <c r="SXP230" s="1"/>
      <c r="SXQ230" s="1"/>
      <c r="SXR230" s="1"/>
      <c r="SXS230" s="1"/>
      <c r="SXT230" s="1"/>
      <c r="SXU230" s="1"/>
      <c r="SXV230" s="1"/>
      <c r="SXW230" s="1"/>
      <c r="SXX230" s="1"/>
      <c r="SXY230" s="1"/>
      <c r="SXZ230" s="1"/>
      <c r="SYA230" s="1"/>
      <c r="SYB230" s="1"/>
      <c r="SYC230" s="1"/>
      <c r="SYD230" s="1"/>
      <c r="SYE230" s="1"/>
      <c r="SYF230" s="1"/>
      <c r="SYG230" s="1"/>
      <c r="SYH230" s="1"/>
      <c r="SYI230" s="1"/>
      <c r="SYJ230" s="1"/>
      <c r="SYK230" s="1"/>
      <c r="SYL230" s="1"/>
      <c r="SYM230" s="1"/>
      <c r="SYN230" s="1"/>
      <c r="SYO230" s="1"/>
      <c r="SYP230" s="1"/>
      <c r="SYQ230" s="1"/>
      <c r="SYR230" s="1"/>
      <c r="SYS230" s="1"/>
      <c r="SYT230" s="1"/>
      <c r="SYU230" s="1"/>
      <c r="SYV230" s="1"/>
      <c r="SYW230" s="1"/>
      <c r="SYX230" s="1"/>
      <c r="SYY230" s="1"/>
      <c r="SYZ230" s="1"/>
      <c r="SZA230" s="1"/>
      <c r="SZB230" s="1"/>
      <c r="SZC230" s="1"/>
      <c r="SZD230" s="1"/>
      <c r="SZE230" s="1"/>
      <c r="SZF230" s="1"/>
      <c r="SZG230" s="1"/>
      <c r="SZH230" s="1"/>
      <c r="SZI230" s="1"/>
      <c r="SZJ230" s="1"/>
      <c r="SZK230" s="1"/>
      <c r="SZL230" s="1"/>
      <c r="SZM230" s="1"/>
      <c r="SZN230" s="1"/>
      <c r="SZO230" s="1"/>
      <c r="SZP230" s="1"/>
      <c r="SZQ230" s="1"/>
      <c r="SZR230" s="1"/>
      <c r="SZS230" s="1"/>
      <c r="SZT230" s="1"/>
      <c r="SZU230" s="1"/>
      <c r="SZV230" s="1"/>
      <c r="SZW230" s="1"/>
      <c r="SZX230" s="1"/>
      <c r="SZY230" s="1"/>
      <c r="SZZ230" s="1"/>
      <c r="TAA230" s="1"/>
      <c r="TAB230" s="1"/>
      <c r="TAC230" s="1"/>
      <c r="TAD230" s="1"/>
      <c r="TAE230" s="1"/>
      <c r="TAF230" s="1"/>
      <c r="TAG230" s="1"/>
      <c r="TAH230" s="1"/>
      <c r="TAI230" s="1"/>
      <c r="TAJ230" s="1"/>
      <c r="TAK230" s="1"/>
      <c r="TAL230" s="1"/>
      <c r="TAM230" s="1"/>
      <c r="TAN230" s="1"/>
      <c r="TAO230" s="1"/>
      <c r="TAP230" s="1"/>
      <c r="TAQ230" s="1"/>
      <c r="TAR230" s="1"/>
      <c r="TAS230" s="1"/>
      <c r="TAT230" s="1"/>
      <c r="TAU230" s="1"/>
      <c r="TAV230" s="1"/>
      <c r="TAW230" s="1"/>
      <c r="TAX230" s="1"/>
      <c r="TAY230" s="1"/>
      <c r="TAZ230" s="1"/>
      <c r="TBA230" s="1"/>
      <c r="TBB230" s="1"/>
      <c r="TBC230" s="1"/>
      <c r="TBD230" s="1"/>
      <c r="TBE230" s="1"/>
      <c r="TBF230" s="1"/>
      <c r="TBG230" s="1"/>
      <c r="TBH230" s="1"/>
      <c r="TBI230" s="1"/>
      <c r="TBJ230" s="1"/>
      <c r="TBK230" s="1"/>
      <c r="TBL230" s="1"/>
      <c r="TBM230" s="1"/>
      <c r="TBN230" s="1"/>
      <c r="TBO230" s="1"/>
      <c r="TBP230" s="1"/>
      <c r="TBQ230" s="1"/>
      <c r="TBR230" s="1"/>
      <c r="TBS230" s="1"/>
      <c r="TBT230" s="1"/>
      <c r="TBU230" s="1"/>
      <c r="TBV230" s="1"/>
      <c r="TBW230" s="1"/>
      <c r="TBX230" s="1"/>
      <c r="TBY230" s="1"/>
      <c r="TBZ230" s="1"/>
      <c r="TCA230" s="1"/>
      <c r="TCB230" s="1"/>
      <c r="TCC230" s="1"/>
      <c r="TCD230" s="1"/>
      <c r="TCE230" s="1"/>
      <c r="TCF230" s="1"/>
      <c r="TCG230" s="1"/>
      <c r="TCH230" s="1"/>
      <c r="TCI230" s="1"/>
      <c r="TCJ230" s="1"/>
      <c r="TCK230" s="1"/>
      <c r="TCL230" s="1"/>
      <c r="TCM230" s="1"/>
      <c r="TCN230" s="1"/>
      <c r="TCO230" s="1"/>
      <c r="TCP230" s="1"/>
      <c r="TCQ230" s="1"/>
      <c r="TCR230" s="1"/>
      <c r="TCS230" s="1"/>
      <c r="TCT230" s="1"/>
      <c r="TCU230" s="1"/>
      <c r="TCV230" s="1"/>
      <c r="TCW230" s="1"/>
      <c r="TCX230" s="1"/>
      <c r="TCY230" s="1"/>
      <c r="TCZ230" s="1"/>
      <c r="TDA230" s="1"/>
      <c r="TDB230" s="1"/>
      <c r="TDC230" s="1"/>
      <c r="TDD230" s="1"/>
      <c r="TDE230" s="1"/>
      <c r="TDF230" s="1"/>
      <c r="TDG230" s="1"/>
      <c r="TDH230" s="1"/>
      <c r="TDI230" s="1"/>
      <c r="TDJ230" s="1"/>
      <c r="TDK230" s="1"/>
      <c r="TDL230" s="1"/>
      <c r="TDM230" s="1"/>
      <c r="TDN230" s="1"/>
      <c r="TDO230" s="1"/>
      <c r="TDP230" s="1"/>
      <c r="TDQ230" s="1"/>
      <c r="TDR230" s="1"/>
      <c r="TDS230" s="1"/>
      <c r="TDT230" s="1"/>
      <c r="TDU230" s="1"/>
      <c r="TDV230" s="1"/>
      <c r="TDW230" s="1"/>
      <c r="TDX230" s="1"/>
      <c r="TDY230" s="1"/>
      <c r="TDZ230" s="1"/>
      <c r="TEA230" s="1"/>
      <c r="TEB230" s="1"/>
      <c r="TEC230" s="1"/>
      <c r="TED230" s="1"/>
      <c r="TEE230" s="1"/>
      <c r="TEF230" s="1"/>
      <c r="TEG230" s="1"/>
      <c r="TEH230" s="1"/>
      <c r="TEI230" s="1"/>
      <c r="TEJ230" s="1"/>
      <c r="TEK230" s="1"/>
      <c r="TEL230" s="1"/>
      <c r="TEM230" s="1"/>
      <c r="TEN230" s="1"/>
      <c r="TEO230" s="1"/>
      <c r="TEP230" s="1"/>
      <c r="TEQ230" s="1"/>
      <c r="TER230" s="1"/>
      <c r="TES230" s="1"/>
      <c r="TET230" s="1"/>
      <c r="TEU230" s="1"/>
      <c r="TEV230" s="1"/>
      <c r="TEW230" s="1"/>
      <c r="TEX230" s="1"/>
      <c r="TEY230" s="1"/>
      <c r="TEZ230" s="1"/>
      <c r="TFA230" s="1"/>
      <c r="TFB230" s="1"/>
      <c r="TFC230" s="1"/>
      <c r="TFD230" s="1"/>
      <c r="TFE230" s="1"/>
      <c r="TFF230" s="1"/>
      <c r="TFG230" s="1"/>
      <c r="TFH230" s="1"/>
      <c r="TFI230" s="1"/>
      <c r="TFJ230" s="1"/>
      <c r="TFK230" s="1"/>
      <c r="TFL230" s="1"/>
      <c r="TFM230" s="1"/>
      <c r="TFN230" s="1"/>
      <c r="TFO230" s="1"/>
      <c r="TFP230" s="1"/>
      <c r="TFQ230" s="1"/>
      <c r="TFR230" s="1"/>
      <c r="TFS230" s="1"/>
      <c r="TFT230" s="1"/>
      <c r="TFU230" s="1"/>
      <c r="TFV230" s="1"/>
      <c r="TFW230" s="1"/>
      <c r="TFX230" s="1"/>
      <c r="TFY230" s="1"/>
      <c r="TFZ230" s="1"/>
      <c r="TGA230" s="1"/>
      <c r="TGB230" s="1"/>
      <c r="TGC230" s="1"/>
      <c r="TGD230" s="1"/>
      <c r="TGE230" s="1"/>
      <c r="TGF230" s="1"/>
      <c r="TGG230" s="1"/>
      <c r="TGH230" s="1"/>
      <c r="TGI230" s="1"/>
      <c r="TGJ230" s="1"/>
      <c r="TGK230" s="1"/>
      <c r="TGL230" s="1"/>
      <c r="TGM230" s="1"/>
      <c r="TGN230" s="1"/>
      <c r="TGO230" s="1"/>
      <c r="TGP230" s="1"/>
      <c r="TGQ230" s="1"/>
      <c r="TGR230" s="1"/>
      <c r="TGS230" s="1"/>
      <c r="TGT230" s="1"/>
      <c r="TGU230" s="1"/>
      <c r="TGV230" s="1"/>
      <c r="TGW230" s="1"/>
      <c r="TGX230" s="1"/>
      <c r="TGY230" s="1"/>
      <c r="TGZ230" s="1"/>
      <c r="THA230" s="1"/>
      <c r="THB230" s="1"/>
      <c r="THC230" s="1"/>
      <c r="THD230" s="1"/>
      <c r="THE230" s="1"/>
      <c r="THF230" s="1"/>
      <c r="THG230" s="1"/>
      <c r="THH230" s="1"/>
      <c r="THI230" s="1"/>
      <c r="THJ230" s="1"/>
      <c r="THK230" s="1"/>
      <c r="THL230" s="1"/>
      <c r="THM230" s="1"/>
      <c r="THN230" s="1"/>
      <c r="THO230" s="1"/>
      <c r="THP230" s="1"/>
      <c r="THQ230" s="1"/>
      <c r="THR230" s="1"/>
      <c r="THS230" s="1"/>
      <c r="THT230" s="1"/>
      <c r="THU230" s="1"/>
      <c r="THV230" s="1"/>
      <c r="THW230" s="1"/>
      <c r="THX230" s="1"/>
      <c r="THY230" s="1"/>
      <c r="THZ230" s="1"/>
      <c r="TIA230" s="1"/>
      <c r="TIB230" s="1"/>
      <c r="TIC230" s="1"/>
      <c r="TID230" s="1"/>
      <c r="TIE230" s="1"/>
      <c r="TIF230" s="1"/>
      <c r="TIG230" s="1"/>
      <c r="TIH230" s="1"/>
      <c r="TII230" s="1"/>
      <c r="TIJ230" s="1"/>
      <c r="TIK230" s="1"/>
      <c r="TIL230" s="1"/>
      <c r="TIM230" s="1"/>
      <c r="TIN230" s="1"/>
      <c r="TIO230" s="1"/>
      <c r="TIP230" s="1"/>
      <c r="TIQ230" s="1"/>
      <c r="TIR230" s="1"/>
      <c r="TIS230" s="1"/>
      <c r="TIT230" s="1"/>
      <c r="TIU230" s="1"/>
      <c r="TIV230" s="1"/>
      <c r="TIW230" s="1"/>
      <c r="TIX230" s="1"/>
      <c r="TIY230" s="1"/>
      <c r="TIZ230" s="1"/>
      <c r="TJA230" s="1"/>
      <c r="TJB230" s="1"/>
      <c r="TJC230" s="1"/>
      <c r="TJD230" s="1"/>
      <c r="TJE230" s="1"/>
      <c r="TJF230" s="1"/>
      <c r="TJG230" s="1"/>
      <c r="TJH230" s="1"/>
      <c r="TJI230" s="1"/>
      <c r="TJJ230" s="1"/>
      <c r="TJK230" s="1"/>
      <c r="TJL230" s="1"/>
      <c r="TJM230" s="1"/>
      <c r="TJN230" s="1"/>
      <c r="TJO230" s="1"/>
      <c r="TJP230" s="1"/>
      <c r="TJQ230" s="1"/>
      <c r="TJR230" s="1"/>
      <c r="TJS230" s="1"/>
      <c r="TJT230" s="1"/>
      <c r="TJU230" s="1"/>
      <c r="TJV230" s="1"/>
      <c r="TJW230" s="1"/>
      <c r="TJX230" s="1"/>
      <c r="TJY230" s="1"/>
      <c r="TJZ230" s="1"/>
      <c r="TKA230" s="1"/>
      <c r="TKB230" s="1"/>
      <c r="TKC230" s="1"/>
      <c r="TKD230" s="1"/>
      <c r="TKE230" s="1"/>
      <c r="TKF230" s="1"/>
      <c r="TKG230" s="1"/>
      <c r="TKH230" s="1"/>
      <c r="TKI230" s="1"/>
      <c r="TKJ230" s="1"/>
      <c r="TKK230" s="1"/>
      <c r="TKL230" s="1"/>
      <c r="TKM230" s="1"/>
      <c r="TKN230" s="1"/>
      <c r="TKO230" s="1"/>
      <c r="TKP230" s="1"/>
      <c r="TKQ230" s="1"/>
      <c r="TKR230" s="1"/>
      <c r="TKS230" s="1"/>
      <c r="TKT230" s="1"/>
      <c r="TKU230" s="1"/>
      <c r="TKV230" s="1"/>
      <c r="TKW230" s="1"/>
      <c r="TKX230" s="1"/>
      <c r="TKY230" s="1"/>
      <c r="TKZ230" s="1"/>
      <c r="TLA230" s="1"/>
      <c r="TLB230" s="1"/>
      <c r="TLC230" s="1"/>
      <c r="TLD230" s="1"/>
      <c r="TLE230" s="1"/>
      <c r="TLF230" s="1"/>
      <c r="TLG230" s="1"/>
      <c r="TLH230" s="1"/>
      <c r="TLI230" s="1"/>
      <c r="TLJ230" s="1"/>
      <c r="TLK230" s="1"/>
      <c r="TLL230" s="1"/>
      <c r="TLM230" s="1"/>
      <c r="TLN230" s="1"/>
      <c r="TLO230" s="1"/>
      <c r="TLP230" s="1"/>
      <c r="TLQ230" s="1"/>
      <c r="TLR230" s="1"/>
      <c r="TLS230" s="1"/>
      <c r="TLT230" s="1"/>
      <c r="TLU230" s="1"/>
      <c r="TLV230" s="1"/>
      <c r="TLW230" s="1"/>
      <c r="TLX230" s="1"/>
      <c r="TLY230" s="1"/>
      <c r="TLZ230" s="1"/>
      <c r="TMA230" s="1"/>
      <c r="TMB230" s="1"/>
      <c r="TMC230" s="1"/>
      <c r="TMD230" s="1"/>
      <c r="TME230" s="1"/>
      <c r="TMF230" s="1"/>
      <c r="TMG230" s="1"/>
      <c r="TMH230" s="1"/>
      <c r="TMI230" s="1"/>
      <c r="TMJ230" s="1"/>
      <c r="TMK230" s="1"/>
      <c r="TML230" s="1"/>
      <c r="TMM230" s="1"/>
      <c r="TMN230" s="1"/>
      <c r="TMO230" s="1"/>
      <c r="TMP230" s="1"/>
      <c r="TMQ230" s="1"/>
      <c r="TMR230" s="1"/>
      <c r="TMS230" s="1"/>
      <c r="TMT230" s="1"/>
      <c r="TMU230" s="1"/>
      <c r="TMV230" s="1"/>
      <c r="TMW230" s="1"/>
      <c r="TMX230" s="1"/>
      <c r="TMY230" s="1"/>
      <c r="TMZ230" s="1"/>
      <c r="TNA230" s="1"/>
      <c r="TNB230" s="1"/>
      <c r="TNC230" s="1"/>
      <c r="TND230" s="1"/>
      <c r="TNE230" s="1"/>
      <c r="TNF230" s="1"/>
      <c r="TNG230" s="1"/>
      <c r="TNH230" s="1"/>
      <c r="TNI230" s="1"/>
      <c r="TNJ230" s="1"/>
      <c r="TNK230" s="1"/>
      <c r="TNL230" s="1"/>
      <c r="TNM230" s="1"/>
      <c r="TNN230" s="1"/>
      <c r="TNO230" s="1"/>
      <c r="TNP230" s="1"/>
      <c r="TNQ230" s="1"/>
      <c r="TNR230" s="1"/>
      <c r="TNS230" s="1"/>
      <c r="TNT230" s="1"/>
      <c r="TNU230" s="1"/>
      <c r="TNV230" s="1"/>
      <c r="TNW230" s="1"/>
      <c r="TNX230" s="1"/>
      <c r="TNY230" s="1"/>
      <c r="TNZ230" s="1"/>
      <c r="TOA230" s="1"/>
      <c r="TOB230" s="1"/>
      <c r="TOC230" s="1"/>
      <c r="TOD230" s="1"/>
      <c r="TOE230" s="1"/>
      <c r="TOF230" s="1"/>
      <c r="TOG230" s="1"/>
      <c r="TOH230" s="1"/>
      <c r="TOI230" s="1"/>
      <c r="TOJ230" s="1"/>
      <c r="TOK230" s="1"/>
      <c r="TOL230" s="1"/>
      <c r="TOM230" s="1"/>
      <c r="TON230" s="1"/>
      <c r="TOO230" s="1"/>
      <c r="TOP230" s="1"/>
      <c r="TOQ230" s="1"/>
      <c r="TOR230" s="1"/>
      <c r="TOS230" s="1"/>
      <c r="TOT230" s="1"/>
      <c r="TOU230" s="1"/>
      <c r="TOV230" s="1"/>
      <c r="TOW230" s="1"/>
      <c r="TOX230" s="1"/>
      <c r="TOY230" s="1"/>
      <c r="TOZ230" s="1"/>
      <c r="TPA230" s="1"/>
      <c r="TPB230" s="1"/>
      <c r="TPC230" s="1"/>
      <c r="TPD230" s="1"/>
      <c r="TPE230" s="1"/>
      <c r="TPF230" s="1"/>
      <c r="TPG230" s="1"/>
      <c r="TPH230" s="1"/>
      <c r="TPI230" s="1"/>
      <c r="TPJ230" s="1"/>
      <c r="TPK230" s="1"/>
      <c r="TPL230" s="1"/>
      <c r="TPM230" s="1"/>
      <c r="TPN230" s="1"/>
      <c r="TPO230" s="1"/>
      <c r="TPP230" s="1"/>
      <c r="TPQ230" s="1"/>
      <c r="TPR230" s="1"/>
      <c r="TPS230" s="1"/>
      <c r="TPT230" s="1"/>
      <c r="TPU230" s="1"/>
      <c r="TPV230" s="1"/>
      <c r="TPW230" s="1"/>
      <c r="TPX230" s="1"/>
      <c r="TPY230" s="1"/>
      <c r="TPZ230" s="1"/>
      <c r="TQA230" s="1"/>
      <c r="TQB230" s="1"/>
      <c r="TQC230" s="1"/>
      <c r="TQD230" s="1"/>
      <c r="TQE230" s="1"/>
      <c r="TQF230" s="1"/>
      <c r="TQG230" s="1"/>
      <c r="TQH230" s="1"/>
      <c r="TQI230" s="1"/>
      <c r="TQJ230" s="1"/>
      <c r="TQK230" s="1"/>
      <c r="TQL230" s="1"/>
      <c r="TQM230" s="1"/>
      <c r="TQN230" s="1"/>
      <c r="TQO230" s="1"/>
      <c r="TQP230" s="1"/>
      <c r="TQQ230" s="1"/>
      <c r="TQR230" s="1"/>
      <c r="TQS230" s="1"/>
      <c r="TQT230" s="1"/>
      <c r="TQU230" s="1"/>
      <c r="TQV230" s="1"/>
      <c r="TQW230" s="1"/>
      <c r="TQX230" s="1"/>
      <c r="TQY230" s="1"/>
      <c r="TQZ230" s="1"/>
      <c r="TRA230" s="1"/>
      <c r="TRB230" s="1"/>
      <c r="TRC230" s="1"/>
      <c r="TRD230" s="1"/>
      <c r="TRE230" s="1"/>
      <c r="TRF230" s="1"/>
      <c r="TRG230" s="1"/>
      <c r="TRH230" s="1"/>
      <c r="TRI230" s="1"/>
      <c r="TRJ230" s="1"/>
      <c r="TRK230" s="1"/>
      <c r="TRL230" s="1"/>
      <c r="TRM230" s="1"/>
      <c r="TRN230" s="1"/>
      <c r="TRO230" s="1"/>
      <c r="TRP230" s="1"/>
      <c r="TRQ230" s="1"/>
      <c r="TRR230" s="1"/>
      <c r="TRS230" s="1"/>
      <c r="TRT230" s="1"/>
      <c r="TRU230" s="1"/>
      <c r="TRV230" s="1"/>
      <c r="TRW230" s="1"/>
      <c r="TRX230" s="1"/>
      <c r="TRY230" s="1"/>
      <c r="TRZ230" s="1"/>
      <c r="TSA230" s="1"/>
      <c r="TSB230" s="1"/>
      <c r="TSC230" s="1"/>
      <c r="TSD230" s="1"/>
      <c r="TSE230" s="1"/>
      <c r="TSF230" s="1"/>
      <c r="TSG230" s="1"/>
      <c r="TSH230" s="1"/>
      <c r="TSI230" s="1"/>
      <c r="TSJ230" s="1"/>
      <c r="TSK230" s="1"/>
      <c r="TSL230" s="1"/>
      <c r="TSM230" s="1"/>
      <c r="TSN230" s="1"/>
      <c r="TSO230" s="1"/>
      <c r="TSP230" s="1"/>
      <c r="TSQ230" s="1"/>
      <c r="TSR230" s="1"/>
      <c r="TSS230" s="1"/>
      <c r="TST230" s="1"/>
      <c r="TSU230" s="1"/>
      <c r="TSV230" s="1"/>
      <c r="TSW230" s="1"/>
      <c r="TSX230" s="1"/>
      <c r="TSY230" s="1"/>
      <c r="TSZ230" s="1"/>
      <c r="TTA230" s="1"/>
      <c r="TTB230" s="1"/>
      <c r="TTC230" s="1"/>
      <c r="TTD230" s="1"/>
      <c r="TTE230" s="1"/>
      <c r="TTF230" s="1"/>
      <c r="TTG230" s="1"/>
      <c r="TTH230" s="1"/>
      <c r="TTI230" s="1"/>
      <c r="TTJ230" s="1"/>
      <c r="TTK230" s="1"/>
      <c r="TTL230" s="1"/>
      <c r="TTM230" s="1"/>
      <c r="TTN230" s="1"/>
      <c r="TTO230" s="1"/>
      <c r="TTP230" s="1"/>
      <c r="TTQ230" s="1"/>
      <c r="TTR230" s="1"/>
      <c r="TTS230" s="1"/>
      <c r="TTT230" s="1"/>
      <c r="TTU230" s="1"/>
      <c r="TTV230" s="1"/>
      <c r="TTW230" s="1"/>
      <c r="TTX230" s="1"/>
      <c r="TTY230" s="1"/>
      <c r="TTZ230" s="1"/>
      <c r="TUA230" s="1"/>
      <c r="TUB230" s="1"/>
      <c r="TUC230" s="1"/>
      <c r="TUD230" s="1"/>
      <c r="TUE230" s="1"/>
      <c r="TUF230" s="1"/>
      <c r="TUG230" s="1"/>
      <c r="TUH230" s="1"/>
      <c r="TUI230" s="1"/>
      <c r="TUJ230" s="1"/>
      <c r="TUK230" s="1"/>
      <c r="TUL230" s="1"/>
      <c r="TUM230" s="1"/>
      <c r="TUN230" s="1"/>
      <c r="TUO230" s="1"/>
      <c r="TUP230" s="1"/>
      <c r="TUQ230" s="1"/>
      <c r="TUR230" s="1"/>
      <c r="TUS230" s="1"/>
      <c r="TUT230" s="1"/>
      <c r="TUU230" s="1"/>
      <c r="TUV230" s="1"/>
      <c r="TUW230" s="1"/>
      <c r="TUX230" s="1"/>
      <c r="TUY230" s="1"/>
      <c r="TUZ230" s="1"/>
      <c r="TVA230" s="1"/>
      <c r="TVB230" s="1"/>
      <c r="TVC230" s="1"/>
      <c r="TVD230" s="1"/>
      <c r="TVE230" s="1"/>
      <c r="TVF230" s="1"/>
      <c r="TVG230" s="1"/>
      <c r="TVH230" s="1"/>
      <c r="TVI230" s="1"/>
      <c r="TVJ230" s="1"/>
      <c r="TVK230" s="1"/>
      <c r="TVL230" s="1"/>
      <c r="TVM230" s="1"/>
      <c r="TVN230" s="1"/>
      <c r="TVO230" s="1"/>
      <c r="TVP230" s="1"/>
      <c r="TVQ230" s="1"/>
      <c r="TVR230" s="1"/>
      <c r="TVS230" s="1"/>
      <c r="TVT230" s="1"/>
      <c r="TVU230" s="1"/>
      <c r="TVV230" s="1"/>
      <c r="TVW230" s="1"/>
      <c r="TVX230" s="1"/>
      <c r="TVY230" s="1"/>
      <c r="TVZ230" s="1"/>
      <c r="TWA230" s="1"/>
      <c r="TWB230" s="1"/>
      <c r="TWC230" s="1"/>
      <c r="TWD230" s="1"/>
      <c r="TWE230" s="1"/>
      <c r="TWF230" s="1"/>
      <c r="TWG230" s="1"/>
      <c r="TWH230" s="1"/>
      <c r="TWI230" s="1"/>
      <c r="TWJ230" s="1"/>
      <c r="TWK230" s="1"/>
      <c r="TWL230" s="1"/>
      <c r="TWM230" s="1"/>
      <c r="TWN230" s="1"/>
      <c r="TWO230" s="1"/>
      <c r="TWP230" s="1"/>
      <c r="TWQ230" s="1"/>
      <c r="TWR230" s="1"/>
      <c r="TWS230" s="1"/>
      <c r="TWT230" s="1"/>
      <c r="TWU230" s="1"/>
      <c r="TWV230" s="1"/>
      <c r="TWW230" s="1"/>
      <c r="TWX230" s="1"/>
      <c r="TWY230" s="1"/>
      <c r="TWZ230" s="1"/>
      <c r="TXA230" s="1"/>
      <c r="TXB230" s="1"/>
      <c r="TXC230" s="1"/>
      <c r="TXD230" s="1"/>
      <c r="TXE230" s="1"/>
      <c r="TXF230" s="1"/>
      <c r="TXG230" s="1"/>
      <c r="TXH230" s="1"/>
      <c r="TXI230" s="1"/>
      <c r="TXJ230" s="1"/>
      <c r="TXK230" s="1"/>
      <c r="TXL230" s="1"/>
      <c r="TXM230" s="1"/>
      <c r="TXN230" s="1"/>
      <c r="TXO230" s="1"/>
      <c r="TXP230" s="1"/>
      <c r="TXQ230" s="1"/>
      <c r="TXR230" s="1"/>
      <c r="TXS230" s="1"/>
      <c r="TXT230" s="1"/>
      <c r="TXU230" s="1"/>
      <c r="TXV230" s="1"/>
      <c r="TXW230" s="1"/>
      <c r="TXX230" s="1"/>
      <c r="TXY230" s="1"/>
      <c r="TXZ230" s="1"/>
      <c r="TYA230" s="1"/>
      <c r="TYB230" s="1"/>
      <c r="TYC230" s="1"/>
      <c r="TYD230" s="1"/>
      <c r="TYE230" s="1"/>
      <c r="TYF230" s="1"/>
      <c r="TYG230" s="1"/>
      <c r="TYH230" s="1"/>
      <c r="TYI230" s="1"/>
      <c r="TYJ230" s="1"/>
      <c r="TYK230" s="1"/>
      <c r="TYL230" s="1"/>
      <c r="TYM230" s="1"/>
      <c r="TYN230" s="1"/>
      <c r="TYO230" s="1"/>
      <c r="TYP230" s="1"/>
      <c r="TYQ230" s="1"/>
      <c r="TYR230" s="1"/>
      <c r="TYS230" s="1"/>
      <c r="TYT230" s="1"/>
      <c r="TYU230" s="1"/>
      <c r="TYV230" s="1"/>
      <c r="TYW230" s="1"/>
      <c r="TYX230" s="1"/>
      <c r="TYY230" s="1"/>
      <c r="TYZ230" s="1"/>
      <c r="TZA230" s="1"/>
      <c r="TZB230" s="1"/>
      <c r="TZC230" s="1"/>
      <c r="TZD230" s="1"/>
      <c r="TZE230" s="1"/>
      <c r="TZF230" s="1"/>
      <c r="TZG230" s="1"/>
      <c r="TZH230" s="1"/>
      <c r="TZI230" s="1"/>
      <c r="TZJ230" s="1"/>
      <c r="TZK230" s="1"/>
      <c r="TZL230" s="1"/>
      <c r="TZM230" s="1"/>
      <c r="TZN230" s="1"/>
      <c r="TZO230" s="1"/>
      <c r="TZP230" s="1"/>
      <c r="TZQ230" s="1"/>
      <c r="TZR230" s="1"/>
      <c r="TZS230" s="1"/>
      <c r="TZT230" s="1"/>
      <c r="TZU230" s="1"/>
      <c r="TZV230" s="1"/>
      <c r="TZW230" s="1"/>
      <c r="TZX230" s="1"/>
      <c r="TZY230" s="1"/>
      <c r="TZZ230" s="1"/>
      <c r="UAA230" s="1"/>
      <c r="UAB230" s="1"/>
      <c r="UAC230" s="1"/>
      <c r="UAD230" s="1"/>
      <c r="UAE230" s="1"/>
      <c r="UAF230" s="1"/>
      <c r="UAG230" s="1"/>
      <c r="UAH230" s="1"/>
      <c r="UAI230" s="1"/>
      <c r="UAJ230" s="1"/>
      <c r="UAK230" s="1"/>
      <c r="UAL230" s="1"/>
      <c r="UAM230" s="1"/>
      <c r="UAN230" s="1"/>
      <c r="UAO230" s="1"/>
      <c r="UAP230" s="1"/>
      <c r="UAQ230" s="1"/>
      <c r="UAR230" s="1"/>
      <c r="UAS230" s="1"/>
      <c r="UAT230" s="1"/>
      <c r="UAU230" s="1"/>
      <c r="UAV230" s="1"/>
      <c r="UAW230" s="1"/>
      <c r="UAX230" s="1"/>
      <c r="UAY230" s="1"/>
      <c r="UAZ230" s="1"/>
      <c r="UBA230" s="1"/>
      <c r="UBB230" s="1"/>
      <c r="UBC230" s="1"/>
      <c r="UBD230" s="1"/>
      <c r="UBE230" s="1"/>
      <c r="UBF230" s="1"/>
      <c r="UBG230" s="1"/>
      <c r="UBH230" s="1"/>
      <c r="UBI230" s="1"/>
      <c r="UBJ230" s="1"/>
      <c r="UBK230" s="1"/>
      <c r="UBL230" s="1"/>
      <c r="UBM230" s="1"/>
      <c r="UBN230" s="1"/>
      <c r="UBO230" s="1"/>
      <c r="UBP230" s="1"/>
      <c r="UBQ230" s="1"/>
      <c r="UBR230" s="1"/>
      <c r="UBS230" s="1"/>
      <c r="UBT230" s="1"/>
      <c r="UBU230" s="1"/>
      <c r="UBV230" s="1"/>
      <c r="UBW230" s="1"/>
      <c r="UBX230" s="1"/>
      <c r="UBY230" s="1"/>
      <c r="UBZ230" s="1"/>
      <c r="UCA230" s="1"/>
      <c r="UCB230" s="1"/>
      <c r="UCC230" s="1"/>
      <c r="UCD230" s="1"/>
      <c r="UCE230" s="1"/>
      <c r="UCF230" s="1"/>
      <c r="UCG230" s="1"/>
      <c r="UCH230" s="1"/>
      <c r="UCI230" s="1"/>
      <c r="UCJ230" s="1"/>
      <c r="UCK230" s="1"/>
      <c r="UCL230" s="1"/>
      <c r="UCM230" s="1"/>
      <c r="UCN230" s="1"/>
      <c r="UCO230" s="1"/>
      <c r="UCP230" s="1"/>
      <c r="UCQ230" s="1"/>
      <c r="UCR230" s="1"/>
      <c r="UCS230" s="1"/>
      <c r="UCT230" s="1"/>
      <c r="UCU230" s="1"/>
      <c r="UCV230" s="1"/>
      <c r="UCW230" s="1"/>
      <c r="UCX230" s="1"/>
      <c r="UCY230" s="1"/>
      <c r="UCZ230" s="1"/>
      <c r="UDA230" s="1"/>
      <c r="UDB230" s="1"/>
      <c r="UDC230" s="1"/>
      <c r="UDD230" s="1"/>
      <c r="UDE230" s="1"/>
      <c r="UDF230" s="1"/>
      <c r="UDG230" s="1"/>
      <c r="UDH230" s="1"/>
      <c r="UDI230" s="1"/>
      <c r="UDJ230" s="1"/>
      <c r="UDK230" s="1"/>
      <c r="UDL230" s="1"/>
      <c r="UDM230" s="1"/>
      <c r="UDN230" s="1"/>
      <c r="UDO230" s="1"/>
      <c r="UDP230" s="1"/>
      <c r="UDQ230" s="1"/>
      <c r="UDR230" s="1"/>
      <c r="UDS230" s="1"/>
      <c r="UDT230" s="1"/>
      <c r="UDU230" s="1"/>
      <c r="UDV230" s="1"/>
      <c r="UDW230" s="1"/>
      <c r="UDX230" s="1"/>
      <c r="UDY230" s="1"/>
      <c r="UDZ230" s="1"/>
      <c r="UEA230" s="1"/>
      <c r="UEB230" s="1"/>
      <c r="UEC230" s="1"/>
      <c r="UED230" s="1"/>
      <c r="UEE230" s="1"/>
      <c r="UEF230" s="1"/>
      <c r="UEG230" s="1"/>
      <c r="UEH230" s="1"/>
      <c r="UEI230" s="1"/>
      <c r="UEJ230" s="1"/>
      <c r="UEK230" s="1"/>
      <c r="UEL230" s="1"/>
      <c r="UEM230" s="1"/>
      <c r="UEN230" s="1"/>
      <c r="UEO230" s="1"/>
      <c r="UEP230" s="1"/>
      <c r="UEQ230" s="1"/>
      <c r="UER230" s="1"/>
      <c r="UES230" s="1"/>
      <c r="UET230" s="1"/>
      <c r="UEU230" s="1"/>
      <c r="UEV230" s="1"/>
      <c r="UEW230" s="1"/>
      <c r="UEX230" s="1"/>
      <c r="UEY230" s="1"/>
      <c r="UEZ230" s="1"/>
      <c r="UFA230" s="1"/>
      <c r="UFB230" s="1"/>
      <c r="UFC230" s="1"/>
      <c r="UFD230" s="1"/>
      <c r="UFE230" s="1"/>
      <c r="UFF230" s="1"/>
      <c r="UFG230" s="1"/>
      <c r="UFH230" s="1"/>
      <c r="UFI230" s="1"/>
      <c r="UFJ230" s="1"/>
      <c r="UFK230" s="1"/>
      <c r="UFL230" s="1"/>
      <c r="UFM230" s="1"/>
      <c r="UFN230" s="1"/>
      <c r="UFO230" s="1"/>
      <c r="UFP230" s="1"/>
      <c r="UFQ230" s="1"/>
      <c r="UFR230" s="1"/>
      <c r="UFS230" s="1"/>
      <c r="UFT230" s="1"/>
      <c r="UFU230" s="1"/>
      <c r="UFV230" s="1"/>
      <c r="UFW230" s="1"/>
      <c r="UFX230" s="1"/>
      <c r="UFY230" s="1"/>
      <c r="UFZ230" s="1"/>
      <c r="UGA230" s="1"/>
      <c r="UGB230" s="1"/>
      <c r="UGC230" s="1"/>
      <c r="UGD230" s="1"/>
      <c r="UGE230" s="1"/>
      <c r="UGF230" s="1"/>
      <c r="UGG230" s="1"/>
      <c r="UGH230" s="1"/>
      <c r="UGI230" s="1"/>
      <c r="UGJ230" s="1"/>
      <c r="UGK230" s="1"/>
      <c r="UGL230" s="1"/>
      <c r="UGM230" s="1"/>
      <c r="UGN230" s="1"/>
      <c r="UGO230" s="1"/>
      <c r="UGP230" s="1"/>
      <c r="UGQ230" s="1"/>
      <c r="UGR230" s="1"/>
      <c r="UGS230" s="1"/>
      <c r="UGT230" s="1"/>
      <c r="UGU230" s="1"/>
      <c r="UGV230" s="1"/>
      <c r="UGW230" s="1"/>
      <c r="UGX230" s="1"/>
      <c r="UGY230" s="1"/>
      <c r="UGZ230" s="1"/>
      <c r="UHA230" s="1"/>
      <c r="UHB230" s="1"/>
      <c r="UHC230" s="1"/>
      <c r="UHD230" s="1"/>
      <c r="UHE230" s="1"/>
      <c r="UHF230" s="1"/>
      <c r="UHG230" s="1"/>
      <c r="UHH230" s="1"/>
      <c r="UHI230" s="1"/>
      <c r="UHJ230" s="1"/>
      <c r="UHK230" s="1"/>
      <c r="UHL230" s="1"/>
      <c r="UHM230" s="1"/>
      <c r="UHN230" s="1"/>
      <c r="UHO230" s="1"/>
      <c r="UHP230" s="1"/>
      <c r="UHQ230" s="1"/>
      <c r="UHR230" s="1"/>
      <c r="UHS230" s="1"/>
      <c r="UHT230" s="1"/>
      <c r="UHU230" s="1"/>
      <c r="UHV230" s="1"/>
      <c r="UHW230" s="1"/>
      <c r="UHX230" s="1"/>
      <c r="UHY230" s="1"/>
      <c r="UHZ230" s="1"/>
      <c r="UIA230" s="1"/>
      <c r="UIB230" s="1"/>
      <c r="UIC230" s="1"/>
      <c r="UID230" s="1"/>
      <c r="UIE230" s="1"/>
      <c r="UIF230" s="1"/>
      <c r="UIG230" s="1"/>
      <c r="UIH230" s="1"/>
      <c r="UII230" s="1"/>
      <c r="UIJ230" s="1"/>
      <c r="UIK230" s="1"/>
      <c r="UIL230" s="1"/>
      <c r="UIM230" s="1"/>
      <c r="UIN230" s="1"/>
      <c r="UIO230" s="1"/>
      <c r="UIP230" s="1"/>
      <c r="UIQ230" s="1"/>
      <c r="UIR230" s="1"/>
      <c r="UIS230" s="1"/>
      <c r="UIT230" s="1"/>
      <c r="UIU230" s="1"/>
      <c r="UIV230" s="1"/>
      <c r="UIW230" s="1"/>
      <c r="UIX230" s="1"/>
      <c r="UIY230" s="1"/>
      <c r="UIZ230" s="1"/>
      <c r="UJA230" s="1"/>
      <c r="UJB230" s="1"/>
      <c r="UJC230" s="1"/>
      <c r="UJD230" s="1"/>
      <c r="UJE230" s="1"/>
      <c r="UJF230" s="1"/>
      <c r="UJG230" s="1"/>
      <c r="UJH230" s="1"/>
      <c r="UJI230" s="1"/>
      <c r="UJJ230" s="1"/>
      <c r="UJK230" s="1"/>
      <c r="UJL230" s="1"/>
      <c r="UJM230" s="1"/>
      <c r="UJN230" s="1"/>
      <c r="UJO230" s="1"/>
      <c r="UJP230" s="1"/>
      <c r="UJQ230" s="1"/>
      <c r="UJR230" s="1"/>
      <c r="UJS230" s="1"/>
      <c r="UJT230" s="1"/>
      <c r="UJU230" s="1"/>
      <c r="UJV230" s="1"/>
      <c r="UJW230" s="1"/>
      <c r="UJX230" s="1"/>
      <c r="UJY230" s="1"/>
      <c r="UJZ230" s="1"/>
      <c r="UKA230" s="1"/>
      <c r="UKB230" s="1"/>
      <c r="UKC230" s="1"/>
      <c r="UKD230" s="1"/>
      <c r="UKE230" s="1"/>
      <c r="UKF230" s="1"/>
      <c r="UKG230" s="1"/>
      <c r="UKH230" s="1"/>
      <c r="UKI230" s="1"/>
      <c r="UKJ230" s="1"/>
      <c r="UKK230" s="1"/>
      <c r="UKL230" s="1"/>
      <c r="UKM230" s="1"/>
      <c r="UKN230" s="1"/>
      <c r="UKO230" s="1"/>
      <c r="UKP230" s="1"/>
      <c r="UKQ230" s="1"/>
      <c r="UKR230" s="1"/>
      <c r="UKS230" s="1"/>
      <c r="UKT230" s="1"/>
      <c r="UKU230" s="1"/>
      <c r="UKV230" s="1"/>
      <c r="UKW230" s="1"/>
      <c r="UKX230" s="1"/>
      <c r="UKY230" s="1"/>
      <c r="UKZ230" s="1"/>
      <c r="ULA230" s="1"/>
      <c r="ULB230" s="1"/>
      <c r="ULC230" s="1"/>
      <c r="ULD230" s="1"/>
      <c r="ULE230" s="1"/>
      <c r="ULF230" s="1"/>
      <c r="ULG230" s="1"/>
      <c r="ULH230" s="1"/>
      <c r="ULI230" s="1"/>
      <c r="ULJ230" s="1"/>
      <c r="ULK230" s="1"/>
      <c r="ULL230" s="1"/>
      <c r="ULM230" s="1"/>
      <c r="ULN230" s="1"/>
      <c r="ULO230" s="1"/>
      <c r="ULP230" s="1"/>
      <c r="ULQ230" s="1"/>
      <c r="ULR230" s="1"/>
      <c r="ULS230" s="1"/>
      <c r="ULT230" s="1"/>
      <c r="ULU230" s="1"/>
      <c r="ULV230" s="1"/>
      <c r="ULW230" s="1"/>
      <c r="ULX230" s="1"/>
      <c r="ULY230" s="1"/>
      <c r="ULZ230" s="1"/>
      <c r="UMA230" s="1"/>
      <c r="UMB230" s="1"/>
      <c r="UMC230" s="1"/>
      <c r="UMD230" s="1"/>
      <c r="UME230" s="1"/>
      <c r="UMF230" s="1"/>
      <c r="UMG230" s="1"/>
      <c r="UMH230" s="1"/>
      <c r="UMI230" s="1"/>
      <c r="UMJ230" s="1"/>
      <c r="UMK230" s="1"/>
      <c r="UML230" s="1"/>
      <c r="UMM230" s="1"/>
      <c r="UMN230" s="1"/>
      <c r="UMO230" s="1"/>
      <c r="UMP230" s="1"/>
      <c r="UMQ230" s="1"/>
      <c r="UMR230" s="1"/>
      <c r="UMS230" s="1"/>
      <c r="UMT230" s="1"/>
      <c r="UMU230" s="1"/>
      <c r="UMV230" s="1"/>
      <c r="UMW230" s="1"/>
      <c r="UMX230" s="1"/>
      <c r="UMY230" s="1"/>
      <c r="UMZ230" s="1"/>
      <c r="UNA230" s="1"/>
      <c r="UNB230" s="1"/>
      <c r="UNC230" s="1"/>
      <c r="UND230" s="1"/>
      <c r="UNE230" s="1"/>
      <c r="UNF230" s="1"/>
      <c r="UNG230" s="1"/>
      <c r="UNH230" s="1"/>
      <c r="UNI230" s="1"/>
      <c r="UNJ230" s="1"/>
      <c r="UNK230" s="1"/>
      <c r="UNL230" s="1"/>
      <c r="UNM230" s="1"/>
      <c r="UNN230" s="1"/>
      <c r="UNO230" s="1"/>
      <c r="UNP230" s="1"/>
      <c r="UNQ230" s="1"/>
      <c r="UNR230" s="1"/>
      <c r="UNS230" s="1"/>
      <c r="UNT230" s="1"/>
      <c r="UNU230" s="1"/>
      <c r="UNV230" s="1"/>
      <c r="UNW230" s="1"/>
      <c r="UNX230" s="1"/>
      <c r="UNY230" s="1"/>
      <c r="UNZ230" s="1"/>
      <c r="UOA230" s="1"/>
      <c r="UOB230" s="1"/>
      <c r="UOC230" s="1"/>
      <c r="UOD230" s="1"/>
      <c r="UOE230" s="1"/>
      <c r="UOF230" s="1"/>
      <c r="UOG230" s="1"/>
      <c r="UOH230" s="1"/>
      <c r="UOI230" s="1"/>
      <c r="UOJ230" s="1"/>
      <c r="UOK230" s="1"/>
      <c r="UOL230" s="1"/>
      <c r="UOM230" s="1"/>
      <c r="UON230" s="1"/>
      <c r="UOO230" s="1"/>
      <c r="UOP230" s="1"/>
      <c r="UOQ230" s="1"/>
      <c r="UOR230" s="1"/>
      <c r="UOS230" s="1"/>
      <c r="UOT230" s="1"/>
      <c r="UOU230" s="1"/>
      <c r="UOV230" s="1"/>
      <c r="UOW230" s="1"/>
      <c r="UOX230" s="1"/>
      <c r="UOY230" s="1"/>
      <c r="UOZ230" s="1"/>
      <c r="UPA230" s="1"/>
      <c r="UPB230" s="1"/>
      <c r="UPC230" s="1"/>
      <c r="UPD230" s="1"/>
      <c r="UPE230" s="1"/>
      <c r="UPF230" s="1"/>
      <c r="UPG230" s="1"/>
      <c r="UPH230" s="1"/>
      <c r="UPI230" s="1"/>
      <c r="UPJ230" s="1"/>
      <c r="UPK230" s="1"/>
      <c r="UPL230" s="1"/>
      <c r="UPM230" s="1"/>
      <c r="UPN230" s="1"/>
      <c r="UPO230" s="1"/>
      <c r="UPP230" s="1"/>
      <c r="UPQ230" s="1"/>
      <c r="UPR230" s="1"/>
      <c r="UPS230" s="1"/>
      <c r="UPT230" s="1"/>
      <c r="UPU230" s="1"/>
      <c r="UPV230" s="1"/>
      <c r="UPW230" s="1"/>
      <c r="UPX230" s="1"/>
      <c r="UPY230" s="1"/>
      <c r="UPZ230" s="1"/>
      <c r="UQA230" s="1"/>
      <c r="UQB230" s="1"/>
      <c r="UQC230" s="1"/>
      <c r="UQD230" s="1"/>
      <c r="UQE230" s="1"/>
      <c r="UQF230" s="1"/>
      <c r="UQG230" s="1"/>
      <c r="UQH230" s="1"/>
      <c r="UQI230" s="1"/>
      <c r="UQJ230" s="1"/>
      <c r="UQK230" s="1"/>
      <c r="UQL230" s="1"/>
      <c r="UQM230" s="1"/>
      <c r="UQN230" s="1"/>
      <c r="UQO230" s="1"/>
      <c r="UQP230" s="1"/>
      <c r="UQQ230" s="1"/>
      <c r="UQR230" s="1"/>
      <c r="UQS230" s="1"/>
      <c r="UQT230" s="1"/>
      <c r="UQU230" s="1"/>
      <c r="UQV230" s="1"/>
      <c r="UQW230" s="1"/>
      <c r="UQX230" s="1"/>
      <c r="UQY230" s="1"/>
      <c r="UQZ230" s="1"/>
      <c r="URA230" s="1"/>
      <c r="URB230" s="1"/>
      <c r="URC230" s="1"/>
      <c r="URD230" s="1"/>
      <c r="URE230" s="1"/>
      <c r="URF230" s="1"/>
      <c r="URG230" s="1"/>
      <c r="URH230" s="1"/>
      <c r="URI230" s="1"/>
      <c r="URJ230" s="1"/>
      <c r="URK230" s="1"/>
      <c r="URL230" s="1"/>
      <c r="URM230" s="1"/>
      <c r="URN230" s="1"/>
      <c r="URO230" s="1"/>
      <c r="URP230" s="1"/>
      <c r="URQ230" s="1"/>
      <c r="URR230" s="1"/>
      <c r="URS230" s="1"/>
      <c r="URT230" s="1"/>
      <c r="URU230" s="1"/>
      <c r="URV230" s="1"/>
      <c r="URW230" s="1"/>
      <c r="URX230" s="1"/>
      <c r="URY230" s="1"/>
      <c r="URZ230" s="1"/>
      <c r="USA230" s="1"/>
      <c r="USB230" s="1"/>
      <c r="USC230" s="1"/>
      <c r="USD230" s="1"/>
      <c r="USE230" s="1"/>
      <c r="USF230" s="1"/>
      <c r="USG230" s="1"/>
      <c r="USH230" s="1"/>
      <c r="USI230" s="1"/>
      <c r="USJ230" s="1"/>
      <c r="USK230" s="1"/>
      <c r="USL230" s="1"/>
      <c r="USM230" s="1"/>
      <c r="USN230" s="1"/>
      <c r="USO230" s="1"/>
      <c r="USP230" s="1"/>
      <c r="USQ230" s="1"/>
      <c r="USR230" s="1"/>
      <c r="USS230" s="1"/>
      <c r="UST230" s="1"/>
      <c r="USU230" s="1"/>
      <c r="USV230" s="1"/>
      <c r="USW230" s="1"/>
      <c r="USX230" s="1"/>
      <c r="USY230" s="1"/>
      <c r="USZ230" s="1"/>
      <c r="UTA230" s="1"/>
      <c r="UTB230" s="1"/>
      <c r="UTC230" s="1"/>
      <c r="UTD230" s="1"/>
      <c r="UTE230" s="1"/>
      <c r="UTF230" s="1"/>
      <c r="UTG230" s="1"/>
      <c r="UTH230" s="1"/>
      <c r="UTI230" s="1"/>
      <c r="UTJ230" s="1"/>
      <c r="UTK230" s="1"/>
      <c r="UTL230" s="1"/>
      <c r="UTM230" s="1"/>
      <c r="UTN230" s="1"/>
      <c r="UTO230" s="1"/>
      <c r="UTP230" s="1"/>
      <c r="UTQ230" s="1"/>
      <c r="UTR230" s="1"/>
      <c r="UTS230" s="1"/>
      <c r="UTT230" s="1"/>
      <c r="UTU230" s="1"/>
      <c r="UTV230" s="1"/>
      <c r="UTW230" s="1"/>
      <c r="UTX230" s="1"/>
      <c r="UTY230" s="1"/>
      <c r="UTZ230" s="1"/>
      <c r="UUA230" s="1"/>
      <c r="UUB230" s="1"/>
      <c r="UUC230" s="1"/>
      <c r="UUD230" s="1"/>
      <c r="UUE230" s="1"/>
      <c r="UUF230" s="1"/>
      <c r="UUG230" s="1"/>
      <c r="UUH230" s="1"/>
      <c r="UUI230" s="1"/>
      <c r="UUJ230" s="1"/>
      <c r="UUK230" s="1"/>
      <c r="UUL230" s="1"/>
      <c r="UUM230" s="1"/>
      <c r="UUN230" s="1"/>
      <c r="UUO230" s="1"/>
      <c r="UUP230" s="1"/>
      <c r="UUQ230" s="1"/>
      <c r="UUR230" s="1"/>
      <c r="UUS230" s="1"/>
      <c r="UUT230" s="1"/>
      <c r="UUU230" s="1"/>
      <c r="UUV230" s="1"/>
      <c r="UUW230" s="1"/>
      <c r="UUX230" s="1"/>
      <c r="UUY230" s="1"/>
      <c r="UUZ230" s="1"/>
      <c r="UVA230" s="1"/>
      <c r="UVB230" s="1"/>
      <c r="UVC230" s="1"/>
      <c r="UVD230" s="1"/>
      <c r="UVE230" s="1"/>
      <c r="UVF230" s="1"/>
      <c r="UVG230" s="1"/>
      <c r="UVH230" s="1"/>
      <c r="UVI230" s="1"/>
      <c r="UVJ230" s="1"/>
      <c r="UVK230" s="1"/>
      <c r="UVL230" s="1"/>
      <c r="UVM230" s="1"/>
      <c r="UVN230" s="1"/>
      <c r="UVO230" s="1"/>
      <c r="UVP230" s="1"/>
      <c r="UVQ230" s="1"/>
      <c r="UVR230" s="1"/>
      <c r="UVS230" s="1"/>
      <c r="UVT230" s="1"/>
      <c r="UVU230" s="1"/>
      <c r="UVV230" s="1"/>
      <c r="UVW230" s="1"/>
      <c r="UVX230" s="1"/>
      <c r="UVY230" s="1"/>
      <c r="UVZ230" s="1"/>
      <c r="UWA230" s="1"/>
      <c r="UWB230" s="1"/>
      <c r="UWC230" s="1"/>
      <c r="UWD230" s="1"/>
      <c r="UWE230" s="1"/>
      <c r="UWF230" s="1"/>
      <c r="UWG230" s="1"/>
      <c r="UWH230" s="1"/>
      <c r="UWI230" s="1"/>
      <c r="UWJ230" s="1"/>
      <c r="UWK230" s="1"/>
      <c r="UWL230" s="1"/>
      <c r="UWM230" s="1"/>
      <c r="UWN230" s="1"/>
      <c r="UWO230" s="1"/>
      <c r="UWP230" s="1"/>
      <c r="UWQ230" s="1"/>
      <c r="UWR230" s="1"/>
      <c r="UWS230" s="1"/>
      <c r="UWT230" s="1"/>
      <c r="UWU230" s="1"/>
      <c r="UWV230" s="1"/>
      <c r="UWW230" s="1"/>
      <c r="UWX230" s="1"/>
      <c r="UWY230" s="1"/>
      <c r="UWZ230" s="1"/>
      <c r="UXA230" s="1"/>
      <c r="UXB230" s="1"/>
      <c r="UXC230" s="1"/>
      <c r="UXD230" s="1"/>
      <c r="UXE230" s="1"/>
      <c r="UXF230" s="1"/>
      <c r="UXG230" s="1"/>
      <c r="UXH230" s="1"/>
      <c r="UXI230" s="1"/>
      <c r="UXJ230" s="1"/>
      <c r="UXK230" s="1"/>
      <c r="UXL230" s="1"/>
      <c r="UXM230" s="1"/>
      <c r="UXN230" s="1"/>
      <c r="UXO230" s="1"/>
      <c r="UXP230" s="1"/>
      <c r="UXQ230" s="1"/>
      <c r="UXR230" s="1"/>
      <c r="UXS230" s="1"/>
      <c r="UXT230" s="1"/>
      <c r="UXU230" s="1"/>
      <c r="UXV230" s="1"/>
      <c r="UXW230" s="1"/>
      <c r="UXX230" s="1"/>
      <c r="UXY230" s="1"/>
      <c r="UXZ230" s="1"/>
      <c r="UYA230" s="1"/>
      <c r="UYB230" s="1"/>
      <c r="UYC230" s="1"/>
      <c r="UYD230" s="1"/>
      <c r="UYE230" s="1"/>
      <c r="UYF230" s="1"/>
      <c r="UYG230" s="1"/>
      <c r="UYH230" s="1"/>
      <c r="UYI230" s="1"/>
      <c r="UYJ230" s="1"/>
      <c r="UYK230" s="1"/>
      <c r="UYL230" s="1"/>
      <c r="UYM230" s="1"/>
      <c r="UYN230" s="1"/>
      <c r="UYO230" s="1"/>
      <c r="UYP230" s="1"/>
      <c r="UYQ230" s="1"/>
      <c r="UYR230" s="1"/>
      <c r="UYS230" s="1"/>
      <c r="UYT230" s="1"/>
      <c r="UYU230" s="1"/>
      <c r="UYV230" s="1"/>
      <c r="UYW230" s="1"/>
      <c r="UYX230" s="1"/>
      <c r="UYY230" s="1"/>
      <c r="UYZ230" s="1"/>
      <c r="UZA230" s="1"/>
      <c r="UZB230" s="1"/>
      <c r="UZC230" s="1"/>
      <c r="UZD230" s="1"/>
      <c r="UZE230" s="1"/>
      <c r="UZF230" s="1"/>
      <c r="UZG230" s="1"/>
      <c r="UZH230" s="1"/>
      <c r="UZI230" s="1"/>
      <c r="UZJ230" s="1"/>
      <c r="UZK230" s="1"/>
      <c r="UZL230" s="1"/>
      <c r="UZM230" s="1"/>
      <c r="UZN230" s="1"/>
      <c r="UZO230" s="1"/>
      <c r="UZP230" s="1"/>
      <c r="UZQ230" s="1"/>
      <c r="UZR230" s="1"/>
      <c r="UZS230" s="1"/>
      <c r="UZT230" s="1"/>
      <c r="UZU230" s="1"/>
      <c r="UZV230" s="1"/>
      <c r="UZW230" s="1"/>
      <c r="UZX230" s="1"/>
      <c r="UZY230" s="1"/>
      <c r="UZZ230" s="1"/>
      <c r="VAA230" s="1"/>
      <c r="VAB230" s="1"/>
      <c r="VAC230" s="1"/>
      <c r="VAD230" s="1"/>
      <c r="VAE230" s="1"/>
      <c r="VAF230" s="1"/>
      <c r="VAG230" s="1"/>
      <c r="VAH230" s="1"/>
      <c r="VAI230" s="1"/>
      <c r="VAJ230" s="1"/>
      <c r="VAK230" s="1"/>
      <c r="VAL230" s="1"/>
      <c r="VAM230" s="1"/>
      <c r="VAN230" s="1"/>
      <c r="VAO230" s="1"/>
      <c r="VAP230" s="1"/>
      <c r="VAQ230" s="1"/>
      <c r="VAR230" s="1"/>
      <c r="VAS230" s="1"/>
      <c r="VAT230" s="1"/>
      <c r="VAU230" s="1"/>
      <c r="VAV230" s="1"/>
      <c r="VAW230" s="1"/>
      <c r="VAX230" s="1"/>
      <c r="VAY230" s="1"/>
      <c r="VAZ230" s="1"/>
      <c r="VBA230" s="1"/>
      <c r="VBB230" s="1"/>
      <c r="VBC230" s="1"/>
      <c r="VBD230" s="1"/>
      <c r="VBE230" s="1"/>
      <c r="VBF230" s="1"/>
      <c r="VBG230" s="1"/>
      <c r="VBH230" s="1"/>
      <c r="VBI230" s="1"/>
      <c r="VBJ230" s="1"/>
      <c r="VBK230" s="1"/>
      <c r="VBL230" s="1"/>
      <c r="VBM230" s="1"/>
      <c r="VBN230" s="1"/>
      <c r="VBO230" s="1"/>
      <c r="VBP230" s="1"/>
      <c r="VBQ230" s="1"/>
      <c r="VBR230" s="1"/>
      <c r="VBS230" s="1"/>
      <c r="VBT230" s="1"/>
      <c r="VBU230" s="1"/>
      <c r="VBV230" s="1"/>
      <c r="VBW230" s="1"/>
      <c r="VBX230" s="1"/>
      <c r="VBY230" s="1"/>
      <c r="VBZ230" s="1"/>
      <c r="VCA230" s="1"/>
      <c r="VCB230" s="1"/>
      <c r="VCC230" s="1"/>
      <c r="VCD230" s="1"/>
      <c r="VCE230" s="1"/>
      <c r="VCF230" s="1"/>
      <c r="VCG230" s="1"/>
      <c r="VCH230" s="1"/>
      <c r="VCI230" s="1"/>
      <c r="VCJ230" s="1"/>
      <c r="VCK230" s="1"/>
      <c r="VCL230" s="1"/>
      <c r="VCM230" s="1"/>
      <c r="VCN230" s="1"/>
      <c r="VCO230" s="1"/>
      <c r="VCP230" s="1"/>
      <c r="VCQ230" s="1"/>
      <c r="VCR230" s="1"/>
      <c r="VCS230" s="1"/>
    </row>
    <row r="231" spans="1:14969" s="2" customFormat="1" ht="15.75" thickBot="1" x14ac:dyDescent="0.3">
      <c r="A231" s="1"/>
      <c r="B231" s="273"/>
      <c r="C231" s="274" t="s">
        <v>1</v>
      </c>
      <c r="D231" s="275"/>
      <c r="E231" s="276" t="s">
        <v>0</v>
      </c>
      <c r="F231" s="277">
        <f t="shared" ref="F231:AJ231" si="106">SUM(F230:F230)</f>
        <v>27300</v>
      </c>
      <c r="G231" s="277">
        <f t="shared" si="106"/>
        <v>26900</v>
      </c>
      <c r="H231" s="277">
        <f t="shared" si="106"/>
        <v>28000</v>
      </c>
      <c r="I231" s="277">
        <f t="shared" si="106"/>
        <v>23300</v>
      </c>
      <c r="J231" s="277">
        <f t="shared" si="106"/>
        <v>23500</v>
      </c>
      <c r="K231" s="277">
        <f t="shared" si="106"/>
        <v>24100</v>
      </c>
      <c r="L231" s="277">
        <f t="shared" si="106"/>
        <v>26300</v>
      </c>
      <c r="M231" s="277">
        <f t="shared" si="106"/>
        <v>28300</v>
      </c>
      <c r="N231" s="277">
        <f t="shared" si="106"/>
        <v>27200</v>
      </c>
      <c r="O231" s="277">
        <f t="shared" si="106"/>
        <v>25500</v>
      </c>
      <c r="P231" s="277">
        <f t="shared" si="106"/>
        <v>25100</v>
      </c>
      <c r="Q231" s="277">
        <f t="shared" si="106"/>
        <v>27100</v>
      </c>
      <c r="R231" s="277">
        <f t="shared" si="106"/>
        <v>25300</v>
      </c>
      <c r="S231" s="277">
        <f t="shared" si="106"/>
        <v>25600</v>
      </c>
      <c r="T231" s="277">
        <f t="shared" si="106"/>
        <v>24500</v>
      </c>
      <c r="U231" s="277">
        <f t="shared" si="106"/>
        <v>24600</v>
      </c>
      <c r="V231" s="277">
        <f t="shared" si="106"/>
        <v>26600</v>
      </c>
      <c r="W231" s="277">
        <f t="shared" si="106"/>
        <v>27000</v>
      </c>
      <c r="X231" s="277">
        <f t="shared" si="106"/>
        <v>27000</v>
      </c>
      <c r="Y231" s="277">
        <f t="shared" si="106"/>
        <v>28000</v>
      </c>
      <c r="Z231" s="277">
        <f t="shared" si="106"/>
        <v>29200</v>
      </c>
      <c r="AA231" s="277">
        <f t="shared" si="106"/>
        <v>28300</v>
      </c>
      <c r="AB231" s="277">
        <f t="shared" si="106"/>
        <v>28200</v>
      </c>
      <c r="AC231" s="277">
        <f t="shared" si="106"/>
        <v>27400</v>
      </c>
      <c r="AD231" s="277">
        <f t="shared" si="106"/>
        <v>26300</v>
      </c>
      <c r="AE231" s="277">
        <f t="shared" si="106"/>
        <v>26300</v>
      </c>
      <c r="AF231" s="277">
        <f t="shared" si="106"/>
        <v>28300</v>
      </c>
      <c r="AG231" s="277">
        <f t="shared" si="106"/>
        <v>27600</v>
      </c>
      <c r="AH231" s="277">
        <f t="shared" si="106"/>
        <v>29500</v>
      </c>
      <c r="AI231" s="277">
        <f t="shared" si="106"/>
        <v>27600</v>
      </c>
      <c r="AJ231" s="277">
        <f t="shared" si="106"/>
        <v>26300</v>
      </c>
      <c r="AK231" s="7"/>
      <c r="AL231" s="6">
        <f>SUM(F231:AJ231)</f>
        <v>826200</v>
      </c>
      <c r="AM231" s="1"/>
      <c r="AN231" s="1"/>
      <c r="AP231" s="3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/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/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/>
      <c r="ZP231" s="1"/>
      <c r="ZQ231" s="1"/>
      <c r="ZR231" s="1"/>
      <c r="ZS231" s="1"/>
      <c r="ZT231" s="1"/>
      <c r="ZU231" s="1"/>
      <c r="ZV231" s="1"/>
      <c r="ZW231" s="1"/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  <c r="AAT231" s="1"/>
      <c r="AAU231" s="1"/>
      <c r="AAV231" s="1"/>
      <c r="AAW231" s="1"/>
      <c r="AAX231" s="1"/>
      <c r="AAY231" s="1"/>
      <c r="AAZ231" s="1"/>
      <c r="ABA231" s="1"/>
      <c r="ABB231" s="1"/>
      <c r="ABC231" s="1"/>
      <c r="ABD231" s="1"/>
      <c r="ABE231" s="1"/>
      <c r="ABF231" s="1"/>
      <c r="ABG231" s="1"/>
      <c r="ABH231" s="1"/>
      <c r="ABI231" s="1"/>
      <c r="ABJ231" s="1"/>
      <c r="ABK231" s="1"/>
      <c r="ABL231" s="1"/>
      <c r="ABM231" s="1"/>
      <c r="ABN231" s="1"/>
      <c r="ABO231" s="1"/>
      <c r="ABP231" s="1"/>
      <c r="ABQ231" s="1"/>
      <c r="ABR231" s="1"/>
      <c r="ABS231" s="1"/>
      <c r="ABT231" s="1"/>
      <c r="ABU231" s="1"/>
      <c r="ABV231" s="1"/>
      <c r="ABW231" s="1"/>
      <c r="ABX231" s="1"/>
      <c r="ABY231" s="1"/>
      <c r="ABZ231" s="1"/>
      <c r="ACA231" s="1"/>
      <c r="ACB231" s="1"/>
      <c r="ACC231" s="1"/>
      <c r="ACD231" s="1"/>
      <c r="ACE231" s="1"/>
      <c r="ACF231" s="1"/>
      <c r="ACG231" s="1"/>
      <c r="ACH231" s="1"/>
      <c r="ACI231" s="1"/>
      <c r="ACJ231" s="1"/>
      <c r="ACK231" s="1"/>
      <c r="ACL231" s="1"/>
      <c r="ACM231" s="1"/>
      <c r="ACN231" s="1"/>
      <c r="ACO231" s="1"/>
      <c r="ACP231" s="1"/>
      <c r="ACQ231" s="1"/>
      <c r="ACR231" s="1"/>
      <c r="ACS231" s="1"/>
      <c r="ACT231" s="1"/>
      <c r="ACU231" s="1"/>
      <c r="ACV231" s="1"/>
      <c r="ACW231" s="1"/>
      <c r="ACX231" s="1"/>
      <c r="ACY231" s="1"/>
      <c r="ACZ231" s="1"/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s="1"/>
      <c r="ADL231" s="1"/>
      <c r="ADM231" s="1"/>
      <c r="ADN231" s="1"/>
      <c r="ADO231" s="1"/>
      <c r="ADP231" s="1"/>
      <c r="ADQ231" s="1"/>
      <c r="ADR231" s="1"/>
      <c r="ADS231" s="1"/>
      <c r="ADT231" s="1"/>
      <c r="ADU231" s="1"/>
      <c r="ADV231" s="1"/>
      <c r="ADW231" s="1"/>
      <c r="ADX231" s="1"/>
      <c r="ADY231" s="1"/>
      <c r="ADZ231" s="1"/>
      <c r="AEA231" s="1"/>
      <c r="AEB231" s="1"/>
      <c r="AEC231" s="1"/>
      <c r="AED231" s="1"/>
      <c r="AEE231" s="1"/>
      <c r="AEF231" s="1"/>
      <c r="AEG231" s="1"/>
      <c r="AEH231" s="1"/>
      <c r="AEI231" s="1"/>
      <c r="AEJ231" s="1"/>
      <c r="AEK231" s="1"/>
      <c r="AEL231" s="1"/>
      <c r="AEM231" s="1"/>
      <c r="AEN231" s="1"/>
      <c r="AEO231" s="1"/>
      <c r="AEP231" s="1"/>
      <c r="AEQ231" s="1"/>
      <c r="AER231" s="1"/>
      <c r="AES231" s="1"/>
      <c r="AET231" s="1"/>
      <c r="AEU231" s="1"/>
      <c r="AEV231" s="1"/>
      <c r="AEW231" s="1"/>
      <c r="AEX231" s="1"/>
      <c r="AEY231" s="1"/>
      <c r="AEZ231" s="1"/>
      <c r="AFA231" s="1"/>
      <c r="AFB231" s="1"/>
      <c r="AFC231" s="1"/>
      <c r="AFD231" s="1"/>
      <c r="AFE231" s="1"/>
      <c r="AFF231" s="1"/>
      <c r="AFG231" s="1"/>
      <c r="AFH231" s="1"/>
      <c r="AFI231" s="1"/>
      <c r="AFJ231" s="1"/>
      <c r="AFK231" s="1"/>
      <c r="AFL231" s="1"/>
      <c r="AFM231" s="1"/>
      <c r="AFN231" s="1"/>
      <c r="AFO231" s="1"/>
      <c r="AFP231" s="1"/>
      <c r="AFQ231" s="1"/>
      <c r="AFR231" s="1"/>
      <c r="AFS231" s="1"/>
      <c r="AFT231" s="1"/>
      <c r="AFU231" s="1"/>
      <c r="AFV231" s="1"/>
      <c r="AFW231" s="1"/>
      <c r="AFX231" s="1"/>
      <c r="AFY231" s="1"/>
      <c r="AFZ231" s="1"/>
      <c r="AGA231" s="1"/>
      <c r="AGB231" s="1"/>
      <c r="AGC231" s="1"/>
      <c r="AGD231" s="1"/>
      <c r="AGE231" s="1"/>
      <c r="AGF231" s="1"/>
      <c r="AGG231" s="1"/>
      <c r="AGH231" s="1"/>
      <c r="AGI231" s="1"/>
      <c r="AGJ231" s="1"/>
      <c r="AGK231" s="1"/>
      <c r="AGL231" s="1"/>
      <c r="AGM231" s="1"/>
      <c r="AGN231" s="1"/>
      <c r="AGO231" s="1"/>
      <c r="AGP231" s="1"/>
      <c r="AGQ231" s="1"/>
      <c r="AGR231" s="1"/>
      <c r="AGS231" s="1"/>
      <c r="AGT231" s="1"/>
      <c r="AGU231" s="1"/>
      <c r="AGV231" s="1"/>
      <c r="AGW231" s="1"/>
      <c r="AGX231" s="1"/>
      <c r="AGY231" s="1"/>
      <c r="AGZ231" s="1"/>
      <c r="AHA231" s="1"/>
      <c r="AHB231" s="1"/>
      <c r="AHC231" s="1"/>
      <c r="AHD231" s="1"/>
      <c r="AHE231" s="1"/>
      <c r="AHF231" s="1"/>
      <c r="AHG231" s="1"/>
      <c r="AHH231" s="1"/>
      <c r="AHI231" s="1"/>
      <c r="AHJ231" s="1"/>
      <c r="AHK231" s="1"/>
      <c r="AHL231" s="1"/>
      <c r="AHM231" s="1"/>
      <c r="AHN231" s="1"/>
      <c r="AHO231" s="1"/>
      <c r="AHP231" s="1"/>
      <c r="AHQ231" s="1"/>
      <c r="AHR231" s="1"/>
      <c r="AHS231" s="1"/>
      <c r="AHT231" s="1"/>
      <c r="AHU231" s="1"/>
      <c r="AHV231" s="1"/>
      <c r="AHW231" s="1"/>
      <c r="AHX231" s="1"/>
      <c r="AHY231" s="1"/>
      <c r="AHZ231" s="1"/>
      <c r="AIA231" s="1"/>
      <c r="AIB231" s="1"/>
      <c r="AIC231" s="1"/>
      <c r="AID231" s="1"/>
      <c r="AIE231" s="1"/>
      <c r="AIF231" s="1"/>
      <c r="AIG231" s="1"/>
      <c r="AIH231" s="1"/>
      <c r="AII231" s="1"/>
      <c r="AIJ231" s="1"/>
      <c r="AIK231" s="1"/>
      <c r="AIL231" s="1"/>
      <c r="AIM231" s="1"/>
      <c r="AIN231" s="1"/>
      <c r="AIO231" s="1"/>
      <c r="AIP231" s="1"/>
      <c r="AIQ231" s="1"/>
      <c r="AIR231" s="1"/>
      <c r="AIS231" s="1"/>
      <c r="AIT231" s="1"/>
      <c r="AIU231" s="1"/>
      <c r="AIV231" s="1"/>
      <c r="AIW231" s="1"/>
      <c r="AIX231" s="1"/>
      <c r="AIY231" s="1"/>
      <c r="AIZ231" s="1"/>
      <c r="AJA231" s="1"/>
      <c r="AJB231" s="1"/>
      <c r="AJC231" s="1"/>
      <c r="AJD231" s="1"/>
      <c r="AJE231" s="1"/>
      <c r="AJF231" s="1"/>
      <c r="AJG231" s="1"/>
      <c r="AJH231" s="1"/>
      <c r="AJI231" s="1"/>
      <c r="AJJ231" s="1"/>
      <c r="AJK231" s="1"/>
      <c r="AJL231" s="1"/>
      <c r="AJM231" s="1"/>
      <c r="AJN231" s="1"/>
      <c r="AJO231" s="1"/>
      <c r="AJP231" s="1"/>
      <c r="AJQ231" s="1"/>
      <c r="AJR231" s="1"/>
      <c r="AJS231" s="1"/>
      <c r="AJT231" s="1"/>
      <c r="AJU231" s="1"/>
      <c r="AJV231" s="1"/>
      <c r="AJW231" s="1"/>
      <c r="AJX231" s="1"/>
      <c r="AJY231" s="1"/>
      <c r="AJZ231" s="1"/>
      <c r="AKA231" s="1"/>
      <c r="AKB231" s="1"/>
      <c r="AKC231" s="1"/>
      <c r="AKD231" s="1"/>
      <c r="AKE231" s="1"/>
      <c r="AKF231" s="1"/>
      <c r="AKG231" s="1"/>
      <c r="AKH231" s="1"/>
      <c r="AKI231" s="1"/>
      <c r="AKJ231" s="1"/>
      <c r="AKK231" s="1"/>
      <c r="AKL231" s="1"/>
      <c r="AKM231" s="1"/>
      <c r="AKN231" s="1"/>
      <c r="AKO231" s="1"/>
      <c r="AKP231" s="1"/>
      <c r="AKQ231" s="1"/>
      <c r="AKR231" s="1"/>
      <c r="AKS231" s="1"/>
      <c r="AKT231" s="1"/>
      <c r="AKU231" s="1"/>
      <c r="AKV231" s="1"/>
      <c r="AKW231" s="1"/>
      <c r="AKX231" s="1"/>
      <c r="AKY231" s="1"/>
      <c r="AKZ231" s="1"/>
      <c r="ALA231" s="1"/>
      <c r="ALB231" s="1"/>
      <c r="ALC231" s="1"/>
      <c r="ALD231" s="1"/>
      <c r="ALE231" s="1"/>
      <c r="ALF231" s="1"/>
      <c r="ALG231" s="1"/>
      <c r="ALH231" s="1"/>
      <c r="ALI231" s="1"/>
      <c r="ALJ231" s="1"/>
      <c r="ALK231" s="1"/>
      <c r="ALL231" s="1"/>
      <c r="ALM231" s="1"/>
      <c r="ALN231" s="1"/>
      <c r="ALO231" s="1"/>
      <c r="ALP231" s="1"/>
      <c r="ALQ231" s="1"/>
      <c r="ALR231" s="1"/>
      <c r="ALS231" s="1"/>
      <c r="ALT231" s="1"/>
      <c r="ALU231" s="1"/>
      <c r="ALV231" s="1"/>
      <c r="ALW231" s="1"/>
      <c r="ALX231" s="1"/>
      <c r="ALY231" s="1"/>
      <c r="ALZ231" s="1"/>
      <c r="AMA231" s="1"/>
      <c r="AMB231" s="1"/>
      <c r="AMC231" s="1"/>
      <c r="AMD231" s="1"/>
      <c r="AME231" s="1"/>
      <c r="AMF231" s="1"/>
      <c r="AMG231" s="1"/>
      <c r="AMH231" s="1"/>
      <c r="AMI231" s="1"/>
      <c r="AMJ231" s="1"/>
      <c r="AMK231" s="1"/>
      <c r="AML231" s="1"/>
      <c r="AMM231" s="1"/>
      <c r="AMN231" s="1"/>
      <c r="AMO231" s="1"/>
      <c r="AMP231" s="1"/>
      <c r="AMQ231" s="1"/>
      <c r="AMR231" s="1"/>
      <c r="AMS231" s="1"/>
      <c r="AMT231" s="1"/>
      <c r="AMU231" s="1"/>
      <c r="AMV231" s="1"/>
      <c r="AMW231" s="1"/>
      <c r="AMX231" s="1"/>
      <c r="AMY231" s="1"/>
      <c r="AMZ231" s="1"/>
      <c r="ANA231" s="1"/>
      <c r="ANB231" s="1"/>
      <c r="ANC231" s="1"/>
      <c r="AND231" s="1"/>
      <c r="ANE231" s="1"/>
      <c r="ANF231" s="1"/>
      <c r="ANG231" s="1"/>
      <c r="ANH231" s="1"/>
      <c r="ANI231" s="1"/>
      <c r="ANJ231" s="1"/>
      <c r="ANK231" s="1"/>
      <c r="ANL231" s="1"/>
      <c r="ANM231" s="1"/>
      <c r="ANN231" s="1"/>
      <c r="ANO231" s="1"/>
      <c r="ANP231" s="1"/>
      <c r="ANQ231" s="1"/>
      <c r="ANR231" s="1"/>
      <c r="ANS231" s="1"/>
      <c r="ANT231" s="1"/>
      <c r="ANU231" s="1"/>
      <c r="ANV231" s="1"/>
      <c r="ANW231" s="1"/>
      <c r="ANX231" s="1"/>
      <c r="ANY231" s="1"/>
      <c r="ANZ231" s="1"/>
      <c r="AOA231" s="1"/>
      <c r="AOB231" s="1"/>
      <c r="AOC231" s="1"/>
      <c r="AOD231" s="1"/>
      <c r="AOE231" s="1"/>
      <c r="AOF231" s="1"/>
      <c r="AOG231" s="1"/>
      <c r="AOH231" s="1"/>
      <c r="AOI231" s="1"/>
      <c r="AOJ231" s="1"/>
      <c r="AOK231" s="1"/>
      <c r="AOL231" s="1"/>
      <c r="AOM231" s="1"/>
      <c r="AON231" s="1"/>
      <c r="AOO231" s="1"/>
      <c r="AOP231" s="1"/>
      <c r="AOQ231" s="1"/>
      <c r="AOR231" s="1"/>
      <c r="AOS231" s="1"/>
      <c r="AOT231" s="1"/>
      <c r="AOU231" s="1"/>
      <c r="AOV231" s="1"/>
      <c r="AOW231" s="1"/>
      <c r="AOX231" s="1"/>
      <c r="AOY231" s="1"/>
      <c r="AOZ231" s="1"/>
      <c r="APA231" s="1"/>
      <c r="APB231" s="1"/>
      <c r="APC231" s="1"/>
      <c r="APD231" s="1"/>
      <c r="APE231" s="1"/>
      <c r="APF231" s="1"/>
      <c r="APG231" s="1"/>
      <c r="APH231" s="1"/>
      <c r="API231" s="1"/>
      <c r="APJ231" s="1"/>
      <c r="APK231" s="1"/>
      <c r="APL231" s="1"/>
      <c r="APM231" s="1"/>
      <c r="APN231" s="1"/>
      <c r="APO231" s="1"/>
      <c r="APP231" s="1"/>
      <c r="APQ231" s="1"/>
      <c r="APR231" s="1"/>
      <c r="APS231" s="1"/>
      <c r="APT231" s="1"/>
      <c r="APU231" s="1"/>
      <c r="APV231" s="1"/>
      <c r="APW231" s="1"/>
      <c r="APX231" s="1"/>
      <c r="APY231" s="1"/>
      <c r="APZ231" s="1"/>
      <c r="AQA231" s="1"/>
      <c r="AQB231" s="1"/>
      <c r="AQC231" s="1"/>
      <c r="AQD231" s="1"/>
      <c r="AQE231" s="1"/>
      <c r="AQF231" s="1"/>
      <c r="AQG231" s="1"/>
      <c r="AQH231" s="1"/>
      <c r="AQI231" s="1"/>
      <c r="AQJ231" s="1"/>
      <c r="AQK231" s="1"/>
      <c r="AQL231" s="1"/>
      <c r="AQM231" s="1"/>
      <c r="AQN231" s="1"/>
      <c r="AQO231" s="1"/>
      <c r="AQP231" s="1"/>
      <c r="AQQ231" s="1"/>
      <c r="AQR231" s="1"/>
      <c r="AQS231" s="1"/>
      <c r="AQT231" s="1"/>
      <c r="AQU231" s="1"/>
      <c r="AQV231" s="1"/>
      <c r="AQW231" s="1"/>
      <c r="AQX231" s="1"/>
      <c r="AQY231" s="1"/>
      <c r="AQZ231" s="1"/>
      <c r="ARA231" s="1"/>
      <c r="ARB231" s="1"/>
      <c r="ARC231" s="1"/>
      <c r="ARD231" s="1"/>
      <c r="ARE231" s="1"/>
      <c r="ARF231" s="1"/>
      <c r="ARG231" s="1"/>
      <c r="ARH231" s="1"/>
      <c r="ARI231" s="1"/>
      <c r="ARJ231" s="1"/>
      <c r="ARK231" s="1"/>
      <c r="ARL231" s="1"/>
      <c r="ARM231" s="1"/>
      <c r="ARN231" s="1"/>
      <c r="ARO231" s="1"/>
      <c r="ARP231" s="1"/>
      <c r="ARQ231" s="1"/>
      <c r="ARR231" s="1"/>
      <c r="ARS231" s="1"/>
      <c r="ART231" s="1"/>
      <c r="ARU231" s="1"/>
      <c r="ARV231" s="1"/>
      <c r="ARW231" s="1"/>
      <c r="ARX231" s="1"/>
      <c r="ARY231" s="1"/>
      <c r="ARZ231" s="1"/>
      <c r="ASA231" s="1"/>
      <c r="ASB231" s="1"/>
      <c r="ASC231" s="1"/>
      <c r="ASD231" s="1"/>
      <c r="ASE231" s="1"/>
      <c r="ASF231" s="1"/>
      <c r="ASG231" s="1"/>
      <c r="ASH231" s="1"/>
      <c r="ASI231" s="1"/>
      <c r="ASJ231" s="1"/>
      <c r="ASK231" s="1"/>
      <c r="ASL231" s="1"/>
      <c r="ASM231" s="1"/>
      <c r="ASN231" s="1"/>
      <c r="ASO231" s="1"/>
      <c r="ASP231" s="1"/>
      <c r="ASQ231" s="1"/>
      <c r="ASR231" s="1"/>
      <c r="ASS231" s="1"/>
      <c r="AST231" s="1"/>
      <c r="ASU231" s="1"/>
      <c r="ASV231" s="1"/>
      <c r="ASW231" s="1"/>
      <c r="ASX231" s="1"/>
      <c r="ASY231" s="1"/>
      <c r="ASZ231" s="1"/>
      <c r="ATA231" s="1"/>
      <c r="ATB231" s="1"/>
      <c r="ATC231" s="1"/>
      <c r="ATD231" s="1"/>
      <c r="ATE231" s="1"/>
      <c r="ATF231" s="1"/>
      <c r="ATG231" s="1"/>
      <c r="ATH231" s="1"/>
      <c r="ATI231" s="1"/>
      <c r="ATJ231" s="1"/>
      <c r="ATK231" s="1"/>
      <c r="ATL231" s="1"/>
      <c r="ATM231" s="1"/>
      <c r="ATN231" s="1"/>
      <c r="ATO231" s="1"/>
      <c r="ATP231" s="1"/>
      <c r="ATQ231" s="1"/>
      <c r="ATR231" s="1"/>
      <c r="ATS231" s="1"/>
      <c r="ATT231" s="1"/>
      <c r="ATU231" s="1"/>
      <c r="ATV231" s="1"/>
      <c r="ATW231" s="1"/>
      <c r="ATX231" s="1"/>
      <c r="ATY231" s="1"/>
      <c r="ATZ231" s="1"/>
      <c r="AUA231" s="1"/>
      <c r="AUB231" s="1"/>
      <c r="AUC231" s="1"/>
      <c r="AUD231" s="1"/>
      <c r="AUE231" s="1"/>
      <c r="AUF231" s="1"/>
      <c r="AUG231" s="1"/>
      <c r="AUH231" s="1"/>
      <c r="AUI231" s="1"/>
      <c r="AUJ231" s="1"/>
      <c r="AUK231" s="1"/>
      <c r="AUL231" s="1"/>
      <c r="AUM231" s="1"/>
      <c r="AUN231" s="1"/>
      <c r="AUO231" s="1"/>
      <c r="AUP231" s="1"/>
      <c r="AUQ231" s="1"/>
      <c r="AUR231" s="1"/>
      <c r="AUS231" s="1"/>
      <c r="AUT231" s="1"/>
      <c r="AUU231" s="1"/>
      <c r="AUV231" s="1"/>
      <c r="AUW231" s="1"/>
      <c r="AUX231" s="1"/>
      <c r="AUY231" s="1"/>
      <c r="AUZ231" s="1"/>
      <c r="AVA231" s="1"/>
      <c r="AVB231" s="1"/>
      <c r="AVC231" s="1"/>
      <c r="AVD231" s="1"/>
      <c r="AVE231" s="1"/>
      <c r="AVF231" s="1"/>
      <c r="AVG231" s="1"/>
      <c r="AVH231" s="1"/>
      <c r="AVI231" s="1"/>
      <c r="AVJ231" s="1"/>
      <c r="AVK231" s="1"/>
      <c r="AVL231" s="1"/>
      <c r="AVM231" s="1"/>
      <c r="AVN231" s="1"/>
      <c r="AVO231" s="1"/>
      <c r="AVP231" s="1"/>
      <c r="AVQ231" s="1"/>
      <c r="AVR231" s="1"/>
      <c r="AVS231" s="1"/>
      <c r="AVT231" s="1"/>
      <c r="AVU231" s="1"/>
      <c r="AVV231" s="1"/>
      <c r="AVW231" s="1"/>
      <c r="AVX231" s="1"/>
      <c r="AVY231" s="1"/>
      <c r="AVZ231" s="1"/>
      <c r="AWA231" s="1"/>
      <c r="AWB231" s="1"/>
      <c r="AWC231" s="1"/>
      <c r="AWD231" s="1"/>
      <c r="AWE231" s="1"/>
      <c r="AWF231" s="1"/>
      <c r="AWG231" s="1"/>
      <c r="AWH231" s="1"/>
      <c r="AWI231" s="1"/>
      <c r="AWJ231" s="1"/>
      <c r="AWK231" s="1"/>
      <c r="AWL231" s="1"/>
      <c r="AWM231" s="1"/>
      <c r="AWN231" s="1"/>
      <c r="AWO231" s="1"/>
      <c r="AWP231" s="1"/>
      <c r="AWQ231" s="1"/>
      <c r="AWR231" s="1"/>
      <c r="AWS231" s="1"/>
      <c r="AWT231" s="1"/>
      <c r="AWU231" s="1"/>
      <c r="AWV231" s="1"/>
      <c r="AWW231" s="1"/>
      <c r="AWX231" s="1"/>
      <c r="AWY231" s="1"/>
      <c r="AWZ231" s="1"/>
      <c r="AXA231" s="1"/>
      <c r="AXB231" s="1"/>
      <c r="AXC231" s="1"/>
      <c r="AXD231" s="1"/>
      <c r="AXE231" s="1"/>
      <c r="AXF231" s="1"/>
      <c r="AXG231" s="1"/>
      <c r="AXH231" s="1"/>
      <c r="AXI231" s="1"/>
      <c r="AXJ231" s="1"/>
      <c r="AXK231" s="1"/>
      <c r="AXL231" s="1"/>
      <c r="AXM231" s="1"/>
      <c r="AXN231" s="1"/>
      <c r="AXO231" s="1"/>
      <c r="AXP231" s="1"/>
      <c r="AXQ231" s="1"/>
      <c r="AXR231" s="1"/>
      <c r="AXS231" s="1"/>
      <c r="AXT231" s="1"/>
      <c r="AXU231" s="1"/>
      <c r="AXV231" s="1"/>
      <c r="AXW231" s="1"/>
      <c r="AXX231" s="1"/>
      <c r="AXY231" s="1"/>
      <c r="AXZ231" s="1"/>
      <c r="AYA231" s="1"/>
      <c r="AYB231" s="1"/>
      <c r="AYC231" s="1"/>
      <c r="AYD231" s="1"/>
      <c r="AYE231" s="1"/>
      <c r="AYF231" s="1"/>
      <c r="AYG231" s="1"/>
      <c r="AYH231" s="1"/>
      <c r="AYI231" s="1"/>
      <c r="AYJ231" s="1"/>
      <c r="AYK231" s="1"/>
      <c r="AYL231" s="1"/>
      <c r="AYM231" s="1"/>
      <c r="AYN231" s="1"/>
      <c r="AYO231" s="1"/>
      <c r="AYP231" s="1"/>
      <c r="AYQ231" s="1"/>
      <c r="AYR231" s="1"/>
      <c r="AYS231" s="1"/>
      <c r="AYT231" s="1"/>
      <c r="AYU231" s="1"/>
      <c r="AYV231" s="1"/>
      <c r="AYW231" s="1"/>
      <c r="AYX231" s="1"/>
      <c r="AYY231" s="1"/>
      <c r="AYZ231" s="1"/>
      <c r="AZA231" s="1"/>
      <c r="AZB231" s="1"/>
      <c r="AZC231" s="1"/>
      <c r="AZD231" s="1"/>
      <c r="AZE231" s="1"/>
      <c r="AZF231" s="1"/>
      <c r="AZG231" s="1"/>
      <c r="AZH231" s="1"/>
      <c r="AZI231" s="1"/>
      <c r="AZJ231" s="1"/>
      <c r="AZK231" s="1"/>
      <c r="AZL231" s="1"/>
      <c r="AZM231" s="1"/>
      <c r="AZN231" s="1"/>
      <c r="AZO231" s="1"/>
      <c r="AZP231" s="1"/>
      <c r="AZQ231" s="1"/>
      <c r="AZR231" s="1"/>
      <c r="AZS231" s="1"/>
      <c r="AZT231" s="1"/>
      <c r="AZU231" s="1"/>
      <c r="AZV231" s="1"/>
      <c r="AZW231" s="1"/>
      <c r="AZX231" s="1"/>
      <c r="AZY231" s="1"/>
      <c r="AZZ231" s="1"/>
      <c r="BAA231" s="1"/>
      <c r="BAB231" s="1"/>
      <c r="BAC231" s="1"/>
      <c r="BAD231" s="1"/>
      <c r="BAE231" s="1"/>
      <c r="BAF231" s="1"/>
      <c r="BAG231" s="1"/>
      <c r="BAH231" s="1"/>
      <c r="BAI231" s="1"/>
      <c r="BAJ231" s="1"/>
      <c r="BAK231" s="1"/>
      <c r="BAL231" s="1"/>
      <c r="BAM231" s="1"/>
      <c r="BAN231" s="1"/>
      <c r="BAO231" s="1"/>
      <c r="BAP231" s="1"/>
      <c r="BAQ231" s="1"/>
      <c r="BAR231" s="1"/>
      <c r="BAS231" s="1"/>
      <c r="BAT231" s="1"/>
      <c r="BAU231" s="1"/>
      <c r="BAV231" s="1"/>
      <c r="BAW231" s="1"/>
      <c r="BAX231" s="1"/>
      <c r="BAY231" s="1"/>
      <c r="BAZ231" s="1"/>
      <c r="BBA231" s="1"/>
      <c r="BBB231" s="1"/>
      <c r="BBC231" s="1"/>
      <c r="BBD231" s="1"/>
      <c r="BBE231" s="1"/>
      <c r="BBF231" s="1"/>
      <c r="BBG231" s="1"/>
      <c r="BBH231" s="1"/>
      <c r="BBI231" s="1"/>
      <c r="BBJ231" s="1"/>
      <c r="BBK231" s="1"/>
      <c r="BBL231" s="1"/>
      <c r="BBM231" s="1"/>
      <c r="BBN231" s="1"/>
      <c r="BBO231" s="1"/>
      <c r="BBP231" s="1"/>
      <c r="BBQ231" s="1"/>
      <c r="BBR231" s="1"/>
      <c r="BBS231" s="1"/>
      <c r="BBT231" s="1"/>
      <c r="BBU231" s="1"/>
      <c r="BBV231" s="1"/>
      <c r="BBW231" s="1"/>
      <c r="BBX231" s="1"/>
      <c r="BBY231" s="1"/>
      <c r="BBZ231" s="1"/>
      <c r="BCA231" s="1"/>
      <c r="BCB231" s="1"/>
      <c r="BCC231" s="1"/>
      <c r="BCD231" s="1"/>
      <c r="BCE231" s="1"/>
      <c r="BCF231" s="1"/>
      <c r="BCG231" s="1"/>
      <c r="BCH231" s="1"/>
      <c r="BCI231" s="1"/>
      <c r="BCJ231" s="1"/>
      <c r="BCK231" s="1"/>
      <c r="BCL231" s="1"/>
      <c r="BCM231" s="1"/>
      <c r="BCN231" s="1"/>
      <c r="BCO231" s="1"/>
      <c r="BCP231" s="1"/>
      <c r="BCQ231" s="1"/>
      <c r="BCR231" s="1"/>
      <c r="BCS231" s="1"/>
      <c r="BCT231" s="1"/>
      <c r="BCU231" s="1"/>
      <c r="BCV231" s="1"/>
      <c r="BCW231" s="1"/>
      <c r="BCX231" s="1"/>
      <c r="BCY231" s="1"/>
      <c r="BCZ231" s="1"/>
      <c r="BDA231" s="1"/>
      <c r="BDB231" s="1"/>
      <c r="BDC231" s="1"/>
      <c r="BDD231" s="1"/>
      <c r="BDE231" s="1"/>
      <c r="BDF231" s="1"/>
      <c r="BDG231" s="1"/>
      <c r="BDH231" s="1"/>
      <c r="BDI231" s="1"/>
      <c r="BDJ231" s="1"/>
      <c r="BDK231" s="1"/>
      <c r="BDL231" s="1"/>
      <c r="BDM231" s="1"/>
      <c r="BDN231" s="1"/>
      <c r="BDO231" s="1"/>
      <c r="BDP231" s="1"/>
      <c r="BDQ231" s="1"/>
      <c r="BDR231" s="1"/>
      <c r="BDS231" s="1"/>
      <c r="BDT231" s="1"/>
      <c r="BDU231" s="1"/>
      <c r="BDV231" s="1"/>
      <c r="BDW231" s="1"/>
      <c r="BDX231" s="1"/>
      <c r="BDY231" s="1"/>
      <c r="BDZ231" s="1"/>
      <c r="BEA231" s="1"/>
      <c r="BEB231" s="1"/>
      <c r="BEC231" s="1"/>
      <c r="BED231" s="1"/>
      <c r="BEE231" s="1"/>
      <c r="BEF231" s="1"/>
      <c r="BEG231" s="1"/>
      <c r="BEH231" s="1"/>
      <c r="BEI231" s="1"/>
      <c r="BEJ231" s="1"/>
      <c r="BEK231" s="1"/>
      <c r="BEL231" s="1"/>
      <c r="BEM231" s="1"/>
      <c r="BEN231" s="1"/>
      <c r="BEO231" s="1"/>
      <c r="BEP231" s="1"/>
      <c r="BEQ231" s="1"/>
      <c r="BER231" s="1"/>
      <c r="BES231" s="1"/>
      <c r="BET231" s="1"/>
      <c r="BEU231" s="1"/>
      <c r="BEV231" s="1"/>
      <c r="BEW231" s="1"/>
      <c r="BEX231" s="1"/>
      <c r="BEY231" s="1"/>
      <c r="BEZ231" s="1"/>
      <c r="BFA231" s="1"/>
      <c r="BFB231" s="1"/>
      <c r="BFC231" s="1"/>
      <c r="BFD231" s="1"/>
      <c r="BFE231" s="1"/>
      <c r="BFF231" s="1"/>
      <c r="BFG231" s="1"/>
      <c r="BFH231" s="1"/>
      <c r="BFI231" s="1"/>
      <c r="BFJ231" s="1"/>
      <c r="BFK231" s="1"/>
      <c r="BFL231" s="1"/>
      <c r="BFM231" s="1"/>
      <c r="BFN231" s="1"/>
      <c r="BFO231" s="1"/>
      <c r="BFP231" s="1"/>
      <c r="BFQ231" s="1"/>
      <c r="BFR231" s="1"/>
      <c r="BFS231" s="1"/>
      <c r="BFT231" s="1"/>
      <c r="BFU231" s="1"/>
      <c r="BFV231" s="1"/>
      <c r="BFW231" s="1"/>
      <c r="BFX231" s="1"/>
      <c r="BFY231" s="1"/>
      <c r="BFZ231" s="1"/>
      <c r="BGA231" s="1"/>
      <c r="BGB231" s="1"/>
      <c r="BGC231" s="1"/>
      <c r="BGD231" s="1"/>
      <c r="BGE231" s="1"/>
      <c r="BGF231" s="1"/>
      <c r="BGG231" s="1"/>
      <c r="BGH231" s="1"/>
      <c r="BGI231" s="1"/>
      <c r="BGJ231" s="1"/>
      <c r="BGK231" s="1"/>
      <c r="BGL231" s="1"/>
      <c r="BGM231" s="1"/>
      <c r="BGN231" s="1"/>
      <c r="BGO231" s="1"/>
      <c r="BGP231" s="1"/>
      <c r="BGQ231" s="1"/>
      <c r="BGR231" s="1"/>
      <c r="BGS231" s="1"/>
      <c r="BGT231" s="1"/>
      <c r="BGU231" s="1"/>
      <c r="BGV231" s="1"/>
      <c r="BGW231" s="1"/>
      <c r="BGX231" s="1"/>
      <c r="BGY231" s="1"/>
      <c r="BGZ231" s="1"/>
      <c r="BHA231" s="1"/>
      <c r="BHB231" s="1"/>
      <c r="BHC231" s="1"/>
      <c r="BHD231" s="1"/>
      <c r="BHE231" s="1"/>
      <c r="BHF231" s="1"/>
      <c r="BHG231" s="1"/>
      <c r="BHH231" s="1"/>
      <c r="BHI231" s="1"/>
      <c r="BHJ231" s="1"/>
      <c r="BHK231" s="1"/>
      <c r="BHL231" s="1"/>
      <c r="BHM231" s="1"/>
      <c r="BHN231" s="1"/>
      <c r="BHO231" s="1"/>
      <c r="BHP231" s="1"/>
      <c r="BHQ231" s="1"/>
      <c r="BHR231" s="1"/>
      <c r="BHS231" s="1"/>
      <c r="BHT231" s="1"/>
      <c r="BHU231" s="1"/>
      <c r="BHV231" s="1"/>
      <c r="BHW231" s="1"/>
      <c r="BHX231" s="1"/>
      <c r="BHY231" s="1"/>
      <c r="BHZ231" s="1"/>
      <c r="BIA231" s="1"/>
      <c r="BIB231" s="1"/>
      <c r="BIC231" s="1"/>
      <c r="BID231" s="1"/>
      <c r="BIE231" s="1"/>
      <c r="BIF231" s="1"/>
      <c r="BIG231" s="1"/>
      <c r="BIH231" s="1"/>
      <c r="BII231" s="1"/>
      <c r="BIJ231" s="1"/>
      <c r="BIK231" s="1"/>
      <c r="BIL231" s="1"/>
      <c r="BIM231" s="1"/>
      <c r="BIN231" s="1"/>
      <c r="BIO231" s="1"/>
      <c r="BIP231" s="1"/>
      <c r="BIQ231" s="1"/>
      <c r="BIR231" s="1"/>
      <c r="BIS231" s="1"/>
      <c r="BIT231" s="1"/>
      <c r="BIU231" s="1"/>
      <c r="BIV231" s="1"/>
      <c r="BIW231" s="1"/>
      <c r="BIX231" s="1"/>
      <c r="BIY231" s="1"/>
      <c r="BIZ231" s="1"/>
      <c r="BJA231" s="1"/>
      <c r="BJB231" s="1"/>
      <c r="BJC231" s="1"/>
      <c r="BJD231" s="1"/>
      <c r="BJE231" s="1"/>
      <c r="BJF231" s="1"/>
      <c r="BJG231" s="1"/>
      <c r="BJH231" s="1"/>
      <c r="BJI231" s="1"/>
      <c r="BJJ231" s="1"/>
      <c r="BJK231" s="1"/>
      <c r="BJL231" s="1"/>
      <c r="BJM231" s="1"/>
      <c r="BJN231" s="1"/>
      <c r="BJO231" s="1"/>
      <c r="BJP231" s="1"/>
      <c r="BJQ231" s="1"/>
      <c r="BJR231" s="1"/>
      <c r="BJS231" s="1"/>
      <c r="BJT231" s="1"/>
      <c r="BJU231" s="1"/>
      <c r="BJV231" s="1"/>
      <c r="BJW231" s="1"/>
      <c r="BJX231" s="1"/>
      <c r="BJY231" s="1"/>
      <c r="BJZ231" s="1"/>
      <c r="BKA231" s="1"/>
      <c r="BKB231" s="1"/>
      <c r="BKC231" s="1"/>
      <c r="BKD231" s="1"/>
      <c r="BKE231" s="1"/>
      <c r="BKF231" s="1"/>
      <c r="BKG231" s="1"/>
      <c r="BKH231" s="1"/>
      <c r="BKI231" s="1"/>
      <c r="BKJ231" s="1"/>
      <c r="BKK231" s="1"/>
      <c r="BKL231" s="1"/>
      <c r="BKM231" s="1"/>
      <c r="BKN231" s="1"/>
      <c r="BKO231" s="1"/>
      <c r="BKP231" s="1"/>
      <c r="BKQ231" s="1"/>
      <c r="BKR231" s="1"/>
      <c r="BKS231" s="1"/>
      <c r="BKT231" s="1"/>
      <c r="BKU231" s="1"/>
      <c r="BKV231" s="1"/>
      <c r="BKW231" s="1"/>
      <c r="BKX231" s="1"/>
      <c r="BKY231" s="1"/>
      <c r="BKZ231" s="1"/>
      <c r="BLA231" s="1"/>
      <c r="BLB231" s="1"/>
      <c r="BLC231" s="1"/>
      <c r="BLD231" s="1"/>
      <c r="BLE231" s="1"/>
      <c r="BLF231" s="1"/>
      <c r="BLG231" s="1"/>
      <c r="BLH231" s="1"/>
      <c r="BLI231" s="1"/>
      <c r="BLJ231" s="1"/>
      <c r="BLK231" s="1"/>
      <c r="BLL231" s="1"/>
      <c r="BLM231" s="1"/>
      <c r="BLN231" s="1"/>
      <c r="BLO231" s="1"/>
      <c r="BLP231" s="1"/>
      <c r="BLQ231" s="1"/>
      <c r="BLR231" s="1"/>
      <c r="BLS231" s="1"/>
      <c r="BLT231" s="1"/>
      <c r="BLU231" s="1"/>
      <c r="BLV231" s="1"/>
      <c r="BLW231" s="1"/>
      <c r="BLX231" s="1"/>
      <c r="BLY231" s="1"/>
      <c r="BLZ231" s="1"/>
      <c r="BMA231" s="1"/>
      <c r="BMB231" s="1"/>
      <c r="BMC231" s="1"/>
      <c r="BMD231" s="1"/>
      <c r="BME231" s="1"/>
      <c r="BMF231" s="1"/>
      <c r="BMG231" s="1"/>
      <c r="BMH231" s="1"/>
      <c r="BMI231" s="1"/>
      <c r="BMJ231" s="1"/>
      <c r="BMK231" s="1"/>
      <c r="BML231" s="1"/>
      <c r="BMM231" s="1"/>
      <c r="BMN231" s="1"/>
      <c r="BMO231" s="1"/>
      <c r="BMP231" s="1"/>
      <c r="BMQ231" s="1"/>
      <c r="BMR231" s="1"/>
      <c r="BMS231" s="1"/>
      <c r="BMT231" s="1"/>
      <c r="BMU231" s="1"/>
      <c r="BMV231" s="1"/>
      <c r="BMW231" s="1"/>
      <c r="BMX231" s="1"/>
      <c r="BMY231" s="1"/>
      <c r="BMZ231" s="1"/>
      <c r="BNA231" s="1"/>
      <c r="BNB231" s="1"/>
      <c r="BNC231" s="1"/>
      <c r="BND231" s="1"/>
      <c r="BNE231" s="1"/>
      <c r="BNF231" s="1"/>
      <c r="BNG231" s="1"/>
      <c r="BNH231" s="1"/>
      <c r="BNI231" s="1"/>
      <c r="BNJ231" s="1"/>
      <c r="BNK231" s="1"/>
      <c r="BNL231" s="1"/>
      <c r="BNM231" s="1"/>
      <c r="BNN231" s="1"/>
      <c r="BNO231" s="1"/>
      <c r="BNP231" s="1"/>
      <c r="BNQ231" s="1"/>
      <c r="BNR231" s="1"/>
      <c r="BNS231" s="1"/>
      <c r="BNT231" s="1"/>
      <c r="BNU231" s="1"/>
      <c r="BNV231" s="1"/>
      <c r="BNW231" s="1"/>
      <c r="BNX231" s="1"/>
      <c r="BNY231" s="1"/>
      <c r="BNZ231" s="1"/>
      <c r="BOA231" s="1"/>
      <c r="BOB231" s="1"/>
      <c r="BOC231" s="1"/>
      <c r="BOD231" s="1"/>
      <c r="BOE231" s="1"/>
      <c r="BOF231" s="1"/>
      <c r="BOG231" s="1"/>
      <c r="BOH231" s="1"/>
      <c r="BOI231" s="1"/>
      <c r="BOJ231" s="1"/>
      <c r="BOK231" s="1"/>
      <c r="BOL231" s="1"/>
      <c r="BOM231" s="1"/>
      <c r="BON231" s="1"/>
      <c r="BOO231" s="1"/>
      <c r="BOP231" s="1"/>
      <c r="BOQ231" s="1"/>
      <c r="BOR231" s="1"/>
      <c r="BOS231" s="1"/>
      <c r="BOT231" s="1"/>
      <c r="BOU231" s="1"/>
      <c r="BOV231" s="1"/>
      <c r="BOW231" s="1"/>
      <c r="BOX231" s="1"/>
      <c r="BOY231" s="1"/>
      <c r="BOZ231" s="1"/>
      <c r="BPA231" s="1"/>
      <c r="BPB231" s="1"/>
      <c r="BPC231" s="1"/>
      <c r="BPD231" s="1"/>
      <c r="BPE231" s="1"/>
      <c r="BPF231" s="1"/>
      <c r="BPG231" s="1"/>
      <c r="BPH231" s="1"/>
      <c r="BPI231" s="1"/>
      <c r="BPJ231" s="1"/>
      <c r="BPK231" s="1"/>
      <c r="BPL231" s="1"/>
      <c r="BPM231" s="1"/>
      <c r="BPN231" s="1"/>
      <c r="BPO231" s="1"/>
      <c r="BPP231" s="1"/>
      <c r="BPQ231" s="1"/>
      <c r="BPR231" s="1"/>
      <c r="BPS231" s="1"/>
      <c r="BPT231" s="1"/>
      <c r="BPU231" s="1"/>
      <c r="BPV231" s="1"/>
      <c r="BPW231" s="1"/>
      <c r="BPX231" s="1"/>
      <c r="BPY231" s="1"/>
      <c r="BPZ231" s="1"/>
      <c r="BQA231" s="1"/>
      <c r="BQB231" s="1"/>
      <c r="BQC231" s="1"/>
      <c r="BQD231" s="1"/>
      <c r="BQE231" s="1"/>
      <c r="BQF231" s="1"/>
      <c r="BQG231" s="1"/>
      <c r="BQH231" s="1"/>
      <c r="BQI231" s="1"/>
      <c r="BQJ231" s="1"/>
      <c r="BQK231" s="1"/>
      <c r="BQL231" s="1"/>
      <c r="BQM231" s="1"/>
      <c r="BQN231" s="1"/>
      <c r="BQO231" s="1"/>
      <c r="BQP231" s="1"/>
      <c r="BQQ231" s="1"/>
      <c r="BQR231" s="1"/>
      <c r="BQS231" s="1"/>
      <c r="BQT231" s="1"/>
      <c r="BQU231" s="1"/>
      <c r="BQV231" s="1"/>
      <c r="BQW231" s="1"/>
      <c r="BQX231" s="1"/>
      <c r="BQY231" s="1"/>
      <c r="BQZ231" s="1"/>
      <c r="BRA231" s="1"/>
      <c r="BRB231" s="1"/>
      <c r="BRC231" s="1"/>
      <c r="BRD231" s="1"/>
      <c r="BRE231" s="1"/>
      <c r="BRF231" s="1"/>
      <c r="BRG231" s="1"/>
      <c r="BRH231" s="1"/>
      <c r="BRI231" s="1"/>
      <c r="BRJ231" s="1"/>
      <c r="BRK231" s="1"/>
      <c r="BRL231" s="1"/>
      <c r="BRM231" s="1"/>
      <c r="BRN231" s="1"/>
      <c r="BRO231" s="1"/>
      <c r="BRP231" s="1"/>
      <c r="BRQ231" s="1"/>
      <c r="BRR231" s="1"/>
      <c r="BRS231" s="1"/>
      <c r="BRT231" s="1"/>
      <c r="BRU231" s="1"/>
      <c r="BRV231" s="1"/>
      <c r="BRW231" s="1"/>
      <c r="BRX231" s="1"/>
      <c r="BRY231" s="1"/>
      <c r="BRZ231" s="1"/>
      <c r="BSA231" s="1"/>
      <c r="BSB231" s="1"/>
      <c r="BSC231" s="1"/>
      <c r="BSD231" s="1"/>
      <c r="BSE231" s="1"/>
      <c r="BSF231" s="1"/>
      <c r="BSG231" s="1"/>
      <c r="BSH231" s="1"/>
      <c r="BSI231" s="1"/>
      <c r="BSJ231" s="1"/>
      <c r="BSK231" s="1"/>
      <c r="BSL231" s="1"/>
      <c r="BSM231" s="1"/>
      <c r="BSN231" s="1"/>
      <c r="BSO231" s="1"/>
      <c r="BSP231" s="1"/>
      <c r="BSQ231" s="1"/>
      <c r="BSR231" s="1"/>
      <c r="BSS231" s="1"/>
      <c r="BST231" s="1"/>
      <c r="BSU231" s="1"/>
      <c r="BSV231" s="1"/>
      <c r="BSW231" s="1"/>
      <c r="BSX231" s="1"/>
      <c r="BSY231" s="1"/>
      <c r="BSZ231" s="1"/>
      <c r="BTA231" s="1"/>
      <c r="BTB231" s="1"/>
      <c r="BTC231" s="1"/>
      <c r="BTD231" s="1"/>
      <c r="BTE231" s="1"/>
      <c r="BTF231" s="1"/>
      <c r="BTG231" s="1"/>
      <c r="BTH231" s="1"/>
      <c r="BTI231" s="1"/>
      <c r="BTJ231" s="1"/>
      <c r="BTK231" s="1"/>
      <c r="BTL231" s="1"/>
      <c r="BTM231" s="1"/>
      <c r="BTN231" s="1"/>
      <c r="BTO231" s="1"/>
      <c r="BTP231" s="1"/>
      <c r="BTQ231" s="1"/>
      <c r="BTR231" s="1"/>
      <c r="BTS231" s="1"/>
      <c r="BTT231" s="1"/>
      <c r="BTU231" s="1"/>
      <c r="BTV231" s="1"/>
      <c r="BTW231" s="1"/>
      <c r="BTX231" s="1"/>
      <c r="BTY231" s="1"/>
      <c r="BTZ231" s="1"/>
      <c r="BUA231" s="1"/>
      <c r="BUB231" s="1"/>
      <c r="BUC231" s="1"/>
      <c r="BUD231" s="1"/>
      <c r="BUE231" s="1"/>
      <c r="BUF231" s="1"/>
      <c r="BUG231" s="1"/>
      <c r="BUH231" s="1"/>
      <c r="BUI231" s="1"/>
      <c r="BUJ231" s="1"/>
      <c r="BUK231" s="1"/>
      <c r="BUL231" s="1"/>
      <c r="BUM231" s="1"/>
      <c r="BUN231" s="1"/>
      <c r="BUO231" s="1"/>
      <c r="BUP231" s="1"/>
      <c r="BUQ231" s="1"/>
      <c r="BUR231" s="1"/>
      <c r="BUS231" s="1"/>
      <c r="BUT231" s="1"/>
      <c r="BUU231" s="1"/>
      <c r="BUV231" s="1"/>
      <c r="BUW231" s="1"/>
      <c r="BUX231" s="1"/>
      <c r="BUY231" s="1"/>
      <c r="BUZ231" s="1"/>
      <c r="BVA231" s="1"/>
      <c r="BVB231" s="1"/>
      <c r="BVC231" s="1"/>
      <c r="BVD231" s="1"/>
      <c r="BVE231" s="1"/>
      <c r="BVF231" s="1"/>
      <c r="BVG231" s="1"/>
      <c r="BVH231" s="1"/>
      <c r="BVI231" s="1"/>
      <c r="BVJ231" s="1"/>
      <c r="BVK231" s="1"/>
      <c r="BVL231" s="1"/>
      <c r="BVM231" s="1"/>
      <c r="BVN231" s="1"/>
      <c r="BVO231" s="1"/>
      <c r="BVP231" s="1"/>
      <c r="BVQ231" s="1"/>
      <c r="BVR231" s="1"/>
      <c r="BVS231" s="1"/>
      <c r="BVT231" s="1"/>
      <c r="BVU231" s="1"/>
      <c r="BVV231" s="1"/>
      <c r="BVW231" s="1"/>
      <c r="BVX231" s="1"/>
      <c r="BVY231" s="1"/>
      <c r="BVZ231" s="1"/>
      <c r="BWA231" s="1"/>
      <c r="BWB231" s="1"/>
      <c r="BWC231" s="1"/>
      <c r="BWD231" s="1"/>
      <c r="BWE231" s="1"/>
      <c r="BWF231" s="1"/>
      <c r="BWG231" s="1"/>
      <c r="BWH231" s="1"/>
      <c r="BWI231" s="1"/>
      <c r="BWJ231" s="1"/>
      <c r="BWK231" s="1"/>
      <c r="BWL231" s="1"/>
      <c r="BWM231" s="1"/>
      <c r="BWN231" s="1"/>
      <c r="BWO231" s="1"/>
      <c r="BWP231" s="1"/>
      <c r="BWQ231" s="1"/>
      <c r="BWR231" s="1"/>
      <c r="BWS231" s="1"/>
      <c r="BWT231" s="1"/>
      <c r="BWU231" s="1"/>
      <c r="BWV231" s="1"/>
      <c r="BWW231" s="1"/>
      <c r="BWX231" s="1"/>
      <c r="BWY231" s="1"/>
      <c r="BWZ231" s="1"/>
      <c r="BXA231" s="1"/>
      <c r="BXB231" s="1"/>
      <c r="BXC231" s="1"/>
      <c r="BXD231" s="1"/>
      <c r="BXE231" s="1"/>
      <c r="BXF231" s="1"/>
      <c r="BXG231" s="1"/>
      <c r="BXH231" s="1"/>
      <c r="BXI231" s="1"/>
      <c r="BXJ231" s="1"/>
      <c r="BXK231" s="1"/>
      <c r="BXL231" s="1"/>
      <c r="BXM231" s="1"/>
      <c r="BXN231" s="1"/>
      <c r="BXO231" s="1"/>
      <c r="BXP231" s="1"/>
      <c r="BXQ231" s="1"/>
      <c r="BXR231" s="1"/>
      <c r="BXS231" s="1"/>
      <c r="BXT231" s="1"/>
      <c r="BXU231" s="1"/>
      <c r="BXV231" s="1"/>
      <c r="BXW231" s="1"/>
      <c r="BXX231" s="1"/>
      <c r="BXY231" s="1"/>
      <c r="BXZ231" s="1"/>
      <c r="BYA231" s="1"/>
      <c r="BYB231" s="1"/>
      <c r="BYC231" s="1"/>
      <c r="BYD231" s="1"/>
      <c r="BYE231" s="1"/>
      <c r="BYF231" s="1"/>
      <c r="BYG231" s="1"/>
      <c r="BYH231" s="1"/>
      <c r="BYI231" s="1"/>
      <c r="BYJ231" s="1"/>
      <c r="BYK231" s="1"/>
      <c r="BYL231" s="1"/>
      <c r="BYM231" s="1"/>
      <c r="BYN231" s="1"/>
      <c r="BYO231" s="1"/>
      <c r="BYP231" s="1"/>
      <c r="BYQ231" s="1"/>
      <c r="BYR231" s="1"/>
      <c r="BYS231" s="1"/>
      <c r="BYT231" s="1"/>
      <c r="BYU231" s="1"/>
      <c r="BYV231" s="1"/>
      <c r="BYW231" s="1"/>
      <c r="BYX231" s="1"/>
      <c r="BYY231" s="1"/>
      <c r="BYZ231" s="1"/>
      <c r="BZA231" s="1"/>
      <c r="BZB231" s="1"/>
      <c r="BZC231" s="1"/>
      <c r="BZD231" s="1"/>
      <c r="BZE231" s="1"/>
      <c r="BZF231" s="1"/>
      <c r="BZG231" s="1"/>
      <c r="BZH231" s="1"/>
      <c r="BZI231" s="1"/>
      <c r="BZJ231" s="1"/>
      <c r="BZK231" s="1"/>
      <c r="BZL231" s="1"/>
      <c r="BZM231" s="1"/>
      <c r="BZN231" s="1"/>
      <c r="BZO231" s="1"/>
      <c r="BZP231" s="1"/>
      <c r="BZQ231" s="1"/>
      <c r="BZR231" s="1"/>
      <c r="BZS231" s="1"/>
      <c r="BZT231" s="1"/>
      <c r="BZU231" s="1"/>
      <c r="BZV231" s="1"/>
      <c r="BZW231" s="1"/>
      <c r="BZX231" s="1"/>
      <c r="BZY231" s="1"/>
      <c r="BZZ231" s="1"/>
      <c r="CAA231" s="1"/>
      <c r="CAB231" s="1"/>
      <c r="CAC231" s="1"/>
      <c r="CAD231" s="1"/>
      <c r="CAE231" s="1"/>
      <c r="CAF231" s="1"/>
      <c r="CAG231" s="1"/>
      <c r="CAH231" s="1"/>
      <c r="CAI231" s="1"/>
      <c r="CAJ231" s="1"/>
      <c r="CAK231" s="1"/>
      <c r="CAL231" s="1"/>
      <c r="CAM231" s="1"/>
      <c r="CAN231" s="1"/>
      <c r="CAO231" s="1"/>
      <c r="CAP231" s="1"/>
      <c r="CAQ231" s="1"/>
      <c r="CAR231" s="1"/>
      <c r="CAS231" s="1"/>
      <c r="CAT231" s="1"/>
      <c r="CAU231" s="1"/>
      <c r="CAV231" s="1"/>
      <c r="CAW231" s="1"/>
      <c r="CAX231" s="1"/>
      <c r="CAY231" s="1"/>
      <c r="CAZ231" s="1"/>
      <c r="CBA231" s="1"/>
      <c r="CBB231" s="1"/>
      <c r="CBC231" s="1"/>
      <c r="CBD231" s="1"/>
      <c r="CBE231" s="1"/>
      <c r="CBF231" s="1"/>
      <c r="CBG231" s="1"/>
      <c r="CBH231" s="1"/>
      <c r="CBI231" s="1"/>
      <c r="CBJ231" s="1"/>
      <c r="CBK231" s="1"/>
      <c r="CBL231" s="1"/>
      <c r="CBM231" s="1"/>
      <c r="CBN231" s="1"/>
      <c r="CBO231" s="1"/>
      <c r="CBP231" s="1"/>
      <c r="CBQ231" s="1"/>
      <c r="CBR231" s="1"/>
      <c r="CBS231" s="1"/>
      <c r="CBT231" s="1"/>
      <c r="CBU231" s="1"/>
      <c r="CBV231" s="1"/>
      <c r="CBW231" s="1"/>
      <c r="CBX231" s="1"/>
      <c r="CBY231" s="1"/>
      <c r="CBZ231" s="1"/>
      <c r="CCA231" s="1"/>
      <c r="CCB231" s="1"/>
      <c r="CCC231" s="1"/>
      <c r="CCD231" s="1"/>
      <c r="CCE231" s="1"/>
      <c r="CCF231" s="1"/>
      <c r="CCG231" s="1"/>
      <c r="CCH231" s="1"/>
      <c r="CCI231" s="1"/>
      <c r="CCJ231" s="1"/>
      <c r="CCK231" s="1"/>
      <c r="CCL231" s="1"/>
      <c r="CCM231" s="1"/>
      <c r="CCN231" s="1"/>
      <c r="CCO231" s="1"/>
      <c r="CCP231" s="1"/>
      <c r="CCQ231" s="1"/>
      <c r="CCR231" s="1"/>
      <c r="CCS231" s="1"/>
      <c r="CCT231" s="1"/>
      <c r="CCU231" s="1"/>
      <c r="CCV231" s="1"/>
      <c r="CCW231" s="1"/>
      <c r="CCX231" s="1"/>
      <c r="CCY231" s="1"/>
      <c r="CCZ231" s="1"/>
      <c r="CDA231" s="1"/>
      <c r="CDB231" s="1"/>
      <c r="CDC231" s="1"/>
      <c r="CDD231" s="1"/>
      <c r="CDE231" s="1"/>
      <c r="CDF231" s="1"/>
      <c r="CDG231" s="1"/>
      <c r="CDH231" s="1"/>
      <c r="CDI231" s="1"/>
      <c r="CDJ231" s="1"/>
      <c r="CDK231" s="1"/>
      <c r="CDL231" s="1"/>
      <c r="CDM231" s="1"/>
      <c r="CDN231" s="1"/>
      <c r="CDO231" s="1"/>
      <c r="CDP231" s="1"/>
      <c r="CDQ231" s="1"/>
      <c r="CDR231" s="1"/>
      <c r="CDS231" s="1"/>
      <c r="CDT231" s="1"/>
      <c r="CDU231" s="1"/>
      <c r="CDV231" s="1"/>
      <c r="CDW231" s="1"/>
      <c r="CDX231" s="1"/>
      <c r="CDY231" s="1"/>
      <c r="CDZ231" s="1"/>
      <c r="CEA231" s="1"/>
      <c r="CEB231" s="1"/>
      <c r="CEC231" s="1"/>
      <c r="CED231" s="1"/>
      <c r="CEE231" s="1"/>
      <c r="CEF231" s="1"/>
      <c r="CEG231" s="1"/>
      <c r="CEH231" s="1"/>
      <c r="CEI231" s="1"/>
      <c r="CEJ231" s="1"/>
      <c r="CEK231" s="1"/>
      <c r="CEL231" s="1"/>
      <c r="CEM231" s="1"/>
      <c r="CEN231" s="1"/>
      <c r="CEO231" s="1"/>
      <c r="CEP231" s="1"/>
      <c r="CEQ231" s="1"/>
      <c r="CER231" s="1"/>
      <c r="CES231" s="1"/>
      <c r="CET231" s="1"/>
      <c r="CEU231" s="1"/>
      <c r="CEV231" s="1"/>
      <c r="CEW231" s="1"/>
      <c r="CEX231" s="1"/>
      <c r="CEY231" s="1"/>
      <c r="CEZ231" s="1"/>
      <c r="CFA231" s="1"/>
      <c r="CFB231" s="1"/>
      <c r="CFC231" s="1"/>
      <c r="CFD231" s="1"/>
      <c r="CFE231" s="1"/>
      <c r="CFF231" s="1"/>
      <c r="CFG231" s="1"/>
      <c r="CFH231" s="1"/>
      <c r="CFI231" s="1"/>
      <c r="CFJ231" s="1"/>
      <c r="CFK231" s="1"/>
      <c r="CFL231" s="1"/>
      <c r="CFM231" s="1"/>
      <c r="CFN231" s="1"/>
      <c r="CFO231" s="1"/>
      <c r="CFP231" s="1"/>
      <c r="CFQ231" s="1"/>
      <c r="CFR231" s="1"/>
      <c r="CFS231" s="1"/>
      <c r="CFT231" s="1"/>
      <c r="CFU231" s="1"/>
      <c r="CFV231" s="1"/>
      <c r="CFW231" s="1"/>
      <c r="CFX231" s="1"/>
      <c r="CFY231" s="1"/>
      <c r="CFZ231" s="1"/>
      <c r="CGA231" s="1"/>
      <c r="CGB231" s="1"/>
      <c r="CGC231" s="1"/>
      <c r="CGD231" s="1"/>
      <c r="CGE231" s="1"/>
      <c r="CGF231" s="1"/>
      <c r="CGG231" s="1"/>
      <c r="CGH231" s="1"/>
      <c r="CGI231" s="1"/>
      <c r="CGJ231" s="1"/>
      <c r="CGK231" s="1"/>
      <c r="CGL231" s="1"/>
      <c r="CGM231" s="1"/>
      <c r="CGN231" s="1"/>
      <c r="CGO231" s="1"/>
      <c r="CGP231" s="1"/>
      <c r="CGQ231" s="1"/>
      <c r="CGR231" s="1"/>
      <c r="CGS231" s="1"/>
      <c r="CGT231" s="1"/>
      <c r="CGU231" s="1"/>
      <c r="CGV231" s="1"/>
      <c r="CGW231" s="1"/>
      <c r="CGX231" s="1"/>
      <c r="CGY231" s="1"/>
      <c r="CGZ231" s="1"/>
      <c r="CHA231" s="1"/>
      <c r="CHB231" s="1"/>
      <c r="CHC231" s="1"/>
      <c r="CHD231" s="1"/>
      <c r="CHE231" s="1"/>
      <c r="CHF231" s="1"/>
      <c r="CHG231" s="1"/>
      <c r="CHH231" s="1"/>
      <c r="CHI231" s="1"/>
      <c r="CHJ231" s="1"/>
      <c r="CHK231" s="1"/>
      <c r="CHL231" s="1"/>
      <c r="CHM231" s="1"/>
      <c r="CHN231" s="1"/>
      <c r="CHO231" s="1"/>
      <c r="CHP231" s="1"/>
      <c r="CHQ231" s="1"/>
      <c r="CHR231" s="1"/>
      <c r="CHS231" s="1"/>
      <c r="CHT231" s="1"/>
      <c r="CHU231" s="1"/>
      <c r="CHV231" s="1"/>
      <c r="CHW231" s="1"/>
      <c r="CHX231" s="1"/>
      <c r="CHY231" s="1"/>
      <c r="CHZ231" s="1"/>
      <c r="CIA231" s="1"/>
      <c r="CIB231" s="1"/>
      <c r="CIC231" s="1"/>
      <c r="CID231" s="1"/>
      <c r="CIE231" s="1"/>
      <c r="CIF231" s="1"/>
      <c r="CIG231" s="1"/>
      <c r="CIH231" s="1"/>
      <c r="CII231" s="1"/>
      <c r="CIJ231" s="1"/>
      <c r="CIK231" s="1"/>
      <c r="CIL231" s="1"/>
      <c r="CIM231" s="1"/>
      <c r="CIN231" s="1"/>
      <c r="CIO231" s="1"/>
      <c r="CIP231" s="1"/>
      <c r="CIQ231" s="1"/>
      <c r="CIR231" s="1"/>
      <c r="CIS231" s="1"/>
      <c r="CIT231" s="1"/>
      <c r="CIU231" s="1"/>
      <c r="CIV231" s="1"/>
      <c r="CIW231" s="1"/>
      <c r="CIX231" s="1"/>
      <c r="CIY231" s="1"/>
      <c r="CIZ231" s="1"/>
      <c r="CJA231" s="1"/>
      <c r="CJB231" s="1"/>
      <c r="CJC231" s="1"/>
      <c r="CJD231" s="1"/>
      <c r="CJE231" s="1"/>
      <c r="CJF231" s="1"/>
      <c r="CJG231" s="1"/>
      <c r="CJH231" s="1"/>
      <c r="CJI231" s="1"/>
      <c r="CJJ231" s="1"/>
      <c r="CJK231" s="1"/>
      <c r="CJL231" s="1"/>
      <c r="CJM231" s="1"/>
      <c r="CJN231" s="1"/>
      <c r="CJO231" s="1"/>
      <c r="CJP231" s="1"/>
      <c r="CJQ231" s="1"/>
      <c r="CJR231" s="1"/>
      <c r="CJS231" s="1"/>
      <c r="CJT231" s="1"/>
      <c r="CJU231" s="1"/>
      <c r="CJV231" s="1"/>
      <c r="CJW231" s="1"/>
      <c r="CJX231" s="1"/>
      <c r="CJY231" s="1"/>
      <c r="CJZ231" s="1"/>
      <c r="CKA231" s="1"/>
      <c r="CKB231" s="1"/>
      <c r="CKC231" s="1"/>
      <c r="CKD231" s="1"/>
      <c r="CKE231" s="1"/>
      <c r="CKF231" s="1"/>
      <c r="CKG231" s="1"/>
      <c r="CKH231" s="1"/>
      <c r="CKI231" s="1"/>
      <c r="CKJ231" s="1"/>
      <c r="CKK231" s="1"/>
      <c r="CKL231" s="1"/>
      <c r="CKM231" s="1"/>
      <c r="CKN231" s="1"/>
      <c r="CKO231" s="1"/>
      <c r="CKP231" s="1"/>
      <c r="CKQ231" s="1"/>
      <c r="CKR231" s="1"/>
      <c r="CKS231" s="1"/>
      <c r="CKT231" s="1"/>
      <c r="CKU231" s="1"/>
      <c r="CKV231" s="1"/>
      <c r="CKW231" s="1"/>
      <c r="CKX231" s="1"/>
      <c r="CKY231" s="1"/>
      <c r="CKZ231" s="1"/>
      <c r="CLA231" s="1"/>
      <c r="CLB231" s="1"/>
      <c r="CLC231" s="1"/>
      <c r="CLD231" s="1"/>
      <c r="CLE231" s="1"/>
      <c r="CLF231" s="1"/>
      <c r="CLG231" s="1"/>
      <c r="CLH231" s="1"/>
      <c r="CLI231" s="1"/>
      <c r="CLJ231" s="1"/>
      <c r="CLK231" s="1"/>
      <c r="CLL231" s="1"/>
      <c r="CLM231" s="1"/>
      <c r="CLN231" s="1"/>
      <c r="CLO231" s="1"/>
      <c r="CLP231" s="1"/>
      <c r="CLQ231" s="1"/>
      <c r="CLR231" s="1"/>
      <c r="CLS231" s="1"/>
      <c r="CLT231" s="1"/>
      <c r="CLU231" s="1"/>
      <c r="CLV231" s="1"/>
      <c r="CLW231" s="1"/>
      <c r="CLX231" s="1"/>
      <c r="CLY231" s="1"/>
      <c r="CLZ231" s="1"/>
      <c r="CMA231" s="1"/>
      <c r="CMB231" s="1"/>
      <c r="CMC231" s="1"/>
      <c r="CMD231" s="1"/>
      <c r="CME231" s="1"/>
      <c r="CMF231" s="1"/>
      <c r="CMG231" s="1"/>
      <c r="CMH231" s="1"/>
      <c r="CMI231" s="1"/>
      <c r="CMJ231" s="1"/>
      <c r="CMK231" s="1"/>
      <c r="CML231" s="1"/>
      <c r="CMM231" s="1"/>
      <c r="CMN231" s="1"/>
      <c r="CMO231" s="1"/>
      <c r="CMP231" s="1"/>
      <c r="CMQ231" s="1"/>
      <c r="CMR231" s="1"/>
      <c r="CMS231" s="1"/>
      <c r="CMT231" s="1"/>
      <c r="CMU231" s="1"/>
      <c r="CMV231" s="1"/>
      <c r="CMW231" s="1"/>
      <c r="CMX231" s="1"/>
      <c r="CMY231" s="1"/>
      <c r="CMZ231" s="1"/>
      <c r="CNA231" s="1"/>
      <c r="CNB231" s="1"/>
      <c r="CNC231" s="1"/>
      <c r="CND231" s="1"/>
      <c r="CNE231" s="1"/>
      <c r="CNF231" s="1"/>
      <c r="CNG231" s="1"/>
      <c r="CNH231" s="1"/>
      <c r="CNI231" s="1"/>
      <c r="CNJ231" s="1"/>
      <c r="CNK231" s="1"/>
      <c r="CNL231" s="1"/>
      <c r="CNM231" s="1"/>
      <c r="CNN231" s="1"/>
      <c r="CNO231" s="1"/>
      <c r="CNP231" s="1"/>
      <c r="CNQ231" s="1"/>
      <c r="CNR231" s="1"/>
      <c r="CNS231" s="1"/>
      <c r="CNT231" s="1"/>
      <c r="CNU231" s="1"/>
      <c r="CNV231" s="1"/>
      <c r="CNW231" s="1"/>
      <c r="CNX231" s="1"/>
      <c r="CNY231" s="1"/>
      <c r="CNZ231" s="1"/>
      <c r="COA231" s="1"/>
      <c r="COB231" s="1"/>
      <c r="COC231" s="1"/>
      <c r="COD231" s="1"/>
      <c r="COE231" s="1"/>
      <c r="COF231" s="1"/>
      <c r="COG231" s="1"/>
      <c r="COH231" s="1"/>
      <c r="COI231" s="1"/>
      <c r="COJ231" s="1"/>
      <c r="COK231" s="1"/>
      <c r="COL231" s="1"/>
      <c r="COM231" s="1"/>
      <c r="CON231" s="1"/>
      <c r="COO231" s="1"/>
      <c r="COP231" s="1"/>
      <c r="COQ231" s="1"/>
      <c r="COR231" s="1"/>
      <c r="COS231" s="1"/>
      <c r="COT231" s="1"/>
      <c r="COU231" s="1"/>
      <c r="COV231" s="1"/>
      <c r="COW231" s="1"/>
      <c r="COX231" s="1"/>
      <c r="COY231" s="1"/>
      <c r="COZ231" s="1"/>
      <c r="CPA231" s="1"/>
      <c r="CPB231" s="1"/>
      <c r="CPC231" s="1"/>
      <c r="CPD231" s="1"/>
      <c r="CPE231" s="1"/>
      <c r="CPF231" s="1"/>
      <c r="CPG231" s="1"/>
      <c r="CPH231" s="1"/>
      <c r="CPI231" s="1"/>
      <c r="CPJ231" s="1"/>
      <c r="CPK231" s="1"/>
      <c r="CPL231" s="1"/>
      <c r="CPM231" s="1"/>
      <c r="CPN231" s="1"/>
      <c r="CPO231" s="1"/>
      <c r="CPP231" s="1"/>
      <c r="CPQ231" s="1"/>
      <c r="CPR231" s="1"/>
      <c r="CPS231" s="1"/>
      <c r="CPT231" s="1"/>
      <c r="CPU231" s="1"/>
      <c r="CPV231" s="1"/>
      <c r="CPW231" s="1"/>
      <c r="CPX231" s="1"/>
      <c r="CPY231" s="1"/>
      <c r="CPZ231" s="1"/>
      <c r="CQA231" s="1"/>
      <c r="CQB231" s="1"/>
      <c r="CQC231" s="1"/>
      <c r="CQD231" s="1"/>
      <c r="CQE231" s="1"/>
      <c r="CQF231" s="1"/>
      <c r="CQG231" s="1"/>
      <c r="CQH231" s="1"/>
      <c r="CQI231" s="1"/>
      <c r="CQJ231" s="1"/>
      <c r="CQK231" s="1"/>
      <c r="CQL231" s="1"/>
      <c r="CQM231" s="1"/>
      <c r="CQN231" s="1"/>
      <c r="CQO231" s="1"/>
      <c r="CQP231" s="1"/>
      <c r="CQQ231" s="1"/>
      <c r="CQR231" s="1"/>
      <c r="CQS231" s="1"/>
      <c r="CQT231" s="1"/>
      <c r="CQU231" s="1"/>
      <c r="CQV231" s="1"/>
      <c r="CQW231" s="1"/>
      <c r="CQX231" s="1"/>
      <c r="CQY231" s="1"/>
      <c r="CQZ231" s="1"/>
      <c r="CRA231" s="1"/>
      <c r="CRB231" s="1"/>
      <c r="CRC231" s="1"/>
      <c r="CRD231" s="1"/>
      <c r="CRE231" s="1"/>
      <c r="CRF231" s="1"/>
      <c r="CRG231" s="1"/>
      <c r="CRH231" s="1"/>
      <c r="CRI231" s="1"/>
      <c r="CRJ231" s="1"/>
      <c r="CRK231" s="1"/>
      <c r="CRL231" s="1"/>
      <c r="CRM231" s="1"/>
      <c r="CRN231" s="1"/>
      <c r="CRO231" s="1"/>
      <c r="CRP231" s="1"/>
      <c r="CRQ231" s="1"/>
      <c r="CRR231" s="1"/>
      <c r="CRS231" s="1"/>
      <c r="CRT231" s="1"/>
      <c r="CRU231" s="1"/>
      <c r="CRV231" s="1"/>
      <c r="CRW231" s="1"/>
      <c r="CRX231" s="1"/>
      <c r="CRY231" s="1"/>
      <c r="CRZ231" s="1"/>
      <c r="CSA231" s="1"/>
      <c r="CSB231" s="1"/>
      <c r="CSC231" s="1"/>
      <c r="CSD231" s="1"/>
      <c r="CSE231" s="1"/>
      <c r="CSF231" s="1"/>
      <c r="CSG231" s="1"/>
      <c r="CSH231" s="1"/>
      <c r="CSI231" s="1"/>
      <c r="CSJ231" s="1"/>
      <c r="CSK231" s="1"/>
      <c r="CSL231" s="1"/>
      <c r="CSM231" s="1"/>
      <c r="CSN231" s="1"/>
      <c r="CSO231" s="1"/>
      <c r="CSP231" s="1"/>
      <c r="CSQ231" s="1"/>
      <c r="CSR231" s="1"/>
      <c r="CSS231" s="1"/>
      <c r="CST231" s="1"/>
      <c r="CSU231" s="1"/>
      <c r="CSV231" s="1"/>
      <c r="CSW231" s="1"/>
      <c r="CSX231" s="1"/>
      <c r="CSY231" s="1"/>
      <c r="CSZ231" s="1"/>
      <c r="CTA231" s="1"/>
      <c r="CTB231" s="1"/>
      <c r="CTC231" s="1"/>
      <c r="CTD231" s="1"/>
      <c r="CTE231" s="1"/>
      <c r="CTF231" s="1"/>
      <c r="CTG231" s="1"/>
      <c r="CTH231" s="1"/>
      <c r="CTI231" s="1"/>
      <c r="CTJ231" s="1"/>
      <c r="CTK231" s="1"/>
      <c r="CTL231" s="1"/>
      <c r="CTM231" s="1"/>
      <c r="CTN231" s="1"/>
      <c r="CTO231" s="1"/>
      <c r="CTP231" s="1"/>
      <c r="CTQ231" s="1"/>
      <c r="CTR231" s="1"/>
      <c r="CTS231" s="1"/>
      <c r="CTT231" s="1"/>
      <c r="CTU231" s="1"/>
      <c r="CTV231" s="1"/>
      <c r="CTW231" s="1"/>
      <c r="CTX231" s="1"/>
      <c r="CTY231" s="1"/>
      <c r="CTZ231" s="1"/>
      <c r="CUA231" s="1"/>
      <c r="CUB231" s="1"/>
      <c r="CUC231" s="1"/>
      <c r="CUD231" s="1"/>
      <c r="CUE231" s="1"/>
      <c r="CUF231" s="1"/>
      <c r="CUG231" s="1"/>
      <c r="CUH231" s="1"/>
      <c r="CUI231" s="1"/>
      <c r="CUJ231" s="1"/>
      <c r="CUK231" s="1"/>
      <c r="CUL231" s="1"/>
      <c r="CUM231" s="1"/>
      <c r="CUN231" s="1"/>
      <c r="CUO231" s="1"/>
      <c r="CUP231" s="1"/>
      <c r="CUQ231" s="1"/>
      <c r="CUR231" s="1"/>
      <c r="CUS231" s="1"/>
      <c r="CUT231" s="1"/>
      <c r="CUU231" s="1"/>
      <c r="CUV231" s="1"/>
      <c r="CUW231" s="1"/>
      <c r="CUX231" s="1"/>
      <c r="CUY231" s="1"/>
      <c r="CUZ231" s="1"/>
      <c r="CVA231" s="1"/>
      <c r="CVB231" s="1"/>
      <c r="CVC231" s="1"/>
      <c r="CVD231" s="1"/>
      <c r="CVE231" s="1"/>
      <c r="CVF231" s="1"/>
      <c r="CVG231" s="1"/>
      <c r="CVH231" s="1"/>
      <c r="CVI231" s="1"/>
      <c r="CVJ231" s="1"/>
      <c r="CVK231" s="1"/>
      <c r="CVL231" s="1"/>
      <c r="CVM231" s="1"/>
      <c r="CVN231" s="1"/>
      <c r="CVO231" s="1"/>
      <c r="CVP231" s="1"/>
      <c r="CVQ231" s="1"/>
      <c r="CVR231" s="1"/>
      <c r="CVS231" s="1"/>
      <c r="CVT231" s="1"/>
      <c r="CVU231" s="1"/>
      <c r="CVV231" s="1"/>
      <c r="CVW231" s="1"/>
      <c r="CVX231" s="1"/>
      <c r="CVY231" s="1"/>
      <c r="CVZ231" s="1"/>
      <c r="CWA231" s="1"/>
      <c r="CWB231" s="1"/>
      <c r="CWC231" s="1"/>
      <c r="CWD231" s="1"/>
      <c r="CWE231" s="1"/>
      <c r="CWF231" s="1"/>
      <c r="CWG231" s="1"/>
      <c r="CWH231" s="1"/>
      <c r="CWI231" s="1"/>
      <c r="CWJ231" s="1"/>
      <c r="CWK231" s="1"/>
      <c r="CWL231" s="1"/>
      <c r="CWM231" s="1"/>
      <c r="CWN231" s="1"/>
      <c r="CWO231" s="1"/>
      <c r="CWP231" s="1"/>
      <c r="CWQ231" s="1"/>
      <c r="CWR231" s="1"/>
      <c r="CWS231" s="1"/>
      <c r="CWT231" s="1"/>
      <c r="CWU231" s="1"/>
      <c r="CWV231" s="1"/>
      <c r="CWW231" s="1"/>
      <c r="CWX231" s="1"/>
      <c r="CWY231" s="1"/>
      <c r="CWZ231" s="1"/>
      <c r="CXA231" s="1"/>
      <c r="CXB231" s="1"/>
      <c r="CXC231" s="1"/>
      <c r="CXD231" s="1"/>
      <c r="CXE231" s="1"/>
      <c r="CXF231" s="1"/>
      <c r="CXG231" s="1"/>
      <c r="CXH231" s="1"/>
      <c r="CXI231" s="1"/>
      <c r="CXJ231" s="1"/>
      <c r="CXK231" s="1"/>
      <c r="CXL231" s="1"/>
      <c r="CXM231" s="1"/>
      <c r="CXN231" s="1"/>
      <c r="CXO231" s="1"/>
      <c r="CXP231" s="1"/>
      <c r="CXQ231" s="1"/>
      <c r="CXR231" s="1"/>
      <c r="CXS231" s="1"/>
      <c r="CXT231" s="1"/>
      <c r="CXU231" s="1"/>
      <c r="CXV231" s="1"/>
      <c r="CXW231" s="1"/>
      <c r="CXX231" s="1"/>
      <c r="CXY231" s="1"/>
      <c r="CXZ231" s="1"/>
      <c r="CYA231" s="1"/>
      <c r="CYB231" s="1"/>
      <c r="CYC231" s="1"/>
      <c r="CYD231" s="1"/>
      <c r="CYE231" s="1"/>
      <c r="CYF231" s="1"/>
      <c r="CYG231" s="1"/>
      <c r="CYH231" s="1"/>
      <c r="CYI231" s="1"/>
      <c r="CYJ231" s="1"/>
      <c r="CYK231" s="1"/>
      <c r="CYL231" s="1"/>
      <c r="CYM231" s="1"/>
      <c r="CYN231" s="1"/>
      <c r="CYO231" s="1"/>
      <c r="CYP231" s="1"/>
      <c r="CYQ231" s="1"/>
      <c r="CYR231" s="1"/>
      <c r="CYS231" s="1"/>
      <c r="CYT231" s="1"/>
      <c r="CYU231" s="1"/>
      <c r="CYV231" s="1"/>
      <c r="CYW231" s="1"/>
      <c r="CYX231" s="1"/>
      <c r="CYY231" s="1"/>
      <c r="CYZ231" s="1"/>
      <c r="CZA231" s="1"/>
      <c r="CZB231" s="1"/>
      <c r="CZC231" s="1"/>
      <c r="CZD231" s="1"/>
      <c r="CZE231" s="1"/>
      <c r="CZF231" s="1"/>
      <c r="CZG231" s="1"/>
      <c r="CZH231" s="1"/>
      <c r="CZI231" s="1"/>
      <c r="CZJ231" s="1"/>
      <c r="CZK231" s="1"/>
      <c r="CZL231" s="1"/>
      <c r="CZM231" s="1"/>
      <c r="CZN231" s="1"/>
      <c r="CZO231" s="1"/>
      <c r="CZP231" s="1"/>
      <c r="CZQ231" s="1"/>
      <c r="CZR231" s="1"/>
      <c r="CZS231" s="1"/>
      <c r="CZT231" s="1"/>
      <c r="CZU231" s="1"/>
      <c r="CZV231" s="1"/>
      <c r="CZW231" s="1"/>
      <c r="CZX231" s="1"/>
      <c r="CZY231" s="1"/>
      <c r="CZZ231" s="1"/>
      <c r="DAA231" s="1"/>
      <c r="DAB231" s="1"/>
      <c r="DAC231" s="1"/>
      <c r="DAD231" s="1"/>
      <c r="DAE231" s="1"/>
      <c r="DAF231" s="1"/>
      <c r="DAG231" s="1"/>
      <c r="DAH231" s="1"/>
      <c r="DAI231" s="1"/>
      <c r="DAJ231" s="1"/>
      <c r="DAK231" s="1"/>
      <c r="DAL231" s="1"/>
      <c r="DAM231" s="1"/>
      <c r="DAN231" s="1"/>
      <c r="DAO231" s="1"/>
      <c r="DAP231" s="1"/>
      <c r="DAQ231" s="1"/>
      <c r="DAR231" s="1"/>
      <c r="DAS231" s="1"/>
      <c r="DAT231" s="1"/>
      <c r="DAU231" s="1"/>
      <c r="DAV231" s="1"/>
      <c r="DAW231" s="1"/>
      <c r="DAX231" s="1"/>
      <c r="DAY231" s="1"/>
      <c r="DAZ231" s="1"/>
      <c r="DBA231" s="1"/>
      <c r="DBB231" s="1"/>
      <c r="DBC231" s="1"/>
      <c r="DBD231" s="1"/>
      <c r="DBE231" s="1"/>
      <c r="DBF231" s="1"/>
      <c r="DBG231" s="1"/>
      <c r="DBH231" s="1"/>
      <c r="DBI231" s="1"/>
      <c r="DBJ231" s="1"/>
      <c r="DBK231" s="1"/>
      <c r="DBL231" s="1"/>
      <c r="DBM231" s="1"/>
      <c r="DBN231" s="1"/>
      <c r="DBO231" s="1"/>
      <c r="DBP231" s="1"/>
      <c r="DBQ231" s="1"/>
      <c r="DBR231" s="1"/>
      <c r="DBS231" s="1"/>
      <c r="DBT231" s="1"/>
      <c r="DBU231" s="1"/>
      <c r="DBV231" s="1"/>
      <c r="DBW231" s="1"/>
      <c r="DBX231" s="1"/>
      <c r="DBY231" s="1"/>
      <c r="DBZ231" s="1"/>
      <c r="DCA231" s="1"/>
      <c r="DCB231" s="1"/>
      <c r="DCC231" s="1"/>
      <c r="DCD231" s="1"/>
      <c r="DCE231" s="1"/>
      <c r="DCF231" s="1"/>
      <c r="DCG231" s="1"/>
      <c r="DCH231" s="1"/>
      <c r="DCI231" s="1"/>
      <c r="DCJ231" s="1"/>
      <c r="DCK231" s="1"/>
      <c r="DCL231" s="1"/>
      <c r="DCM231" s="1"/>
      <c r="DCN231" s="1"/>
      <c r="DCO231" s="1"/>
      <c r="DCP231" s="1"/>
      <c r="DCQ231" s="1"/>
      <c r="DCR231" s="1"/>
      <c r="DCS231" s="1"/>
      <c r="DCT231" s="1"/>
      <c r="DCU231" s="1"/>
      <c r="DCV231" s="1"/>
      <c r="DCW231" s="1"/>
      <c r="DCX231" s="1"/>
      <c r="DCY231" s="1"/>
      <c r="DCZ231" s="1"/>
      <c r="DDA231" s="1"/>
      <c r="DDB231" s="1"/>
      <c r="DDC231" s="1"/>
      <c r="DDD231" s="1"/>
      <c r="DDE231" s="1"/>
      <c r="DDF231" s="1"/>
      <c r="DDG231" s="1"/>
      <c r="DDH231" s="1"/>
      <c r="DDI231" s="1"/>
      <c r="DDJ231" s="1"/>
      <c r="DDK231" s="1"/>
      <c r="DDL231" s="1"/>
      <c r="DDM231" s="1"/>
      <c r="DDN231" s="1"/>
      <c r="DDO231" s="1"/>
      <c r="DDP231" s="1"/>
      <c r="DDQ231" s="1"/>
      <c r="DDR231" s="1"/>
      <c r="DDS231" s="1"/>
      <c r="DDT231" s="1"/>
      <c r="DDU231" s="1"/>
      <c r="DDV231" s="1"/>
      <c r="DDW231" s="1"/>
      <c r="DDX231" s="1"/>
      <c r="DDY231" s="1"/>
      <c r="DDZ231" s="1"/>
      <c r="DEA231" s="1"/>
      <c r="DEB231" s="1"/>
      <c r="DEC231" s="1"/>
      <c r="DED231" s="1"/>
      <c r="DEE231" s="1"/>
      <c r="DEF231" s="1"/>
      <c r="DEG231" s="1"/>
      <c r="DEH231" s="1"/>
      <c r="DEI231" s="1"/>
      <c r="DEJ231" s="1"/>
      <c r="DEK231" s="1"/>
      <c r="DEL231" s="1"/>
      <c r="DEM231" s="1"/>
      <c r="DEN231" s="1"/>
      <c r="DEO231" s="1"/>
      <c r="DEP231" s="1"/>
      <c r="DEQ231" s="1"/>
      <c r="DER231" s="1"/>
      <c r="DES231" s="1"/>
      <c r="DET231" s="1"/>
      <c r="DEU231" s="1"/>
      <c r="DEV231" s="1"/>
      <c r="DEW231" s="1"/>
      <c r="DEX231" s="1"/>
      <c r="DEY231" s="1"/>
      <c r="DEZ231" s="1"/>
      <c r="DFA231" s="1"/>
      <c r="DFB231" s="1"/>
      <c r="DFC231" s="1"/>
      <c r="DFD231" s="1"/>
      <c r="DFE231" s="1"/>
      <c r="DFF231" s="1"/>
      <c r="DFG231" s="1"/>
      <c r="DFH231" s="1"/>
      <c r="DFI231" s="1"/>
      <c r="DFJ231" s="1"/>
      <c r="DFK231" s="1"/>
      <c r="DFL231" s="1"/>
      <c r="DFM231" s="1"/>
      <c r="DFN231" s="1"/>
      <c r="DFO231" s="1"/>
      <c r="DFP231" s="1"/>
      <c r="DFQ231" s="1"/>
      <c r="DFR231" s="1"/>
      <c r="DFS231" s="1"/>
      <c r="DFT231" s="1"/>
      <c r="DFU231" s="1"/>
      <c r="DFV231" s="1"/>
      <c r="DFW231" s="1"/>
      <c r="DFX231" s="1"/>
      <c r="DFY231" s="1"/>
      <c r="DFZ231" s="1"/>
      <c r="DGA231" s="1"/>
      <c r="DGB231" s="1"/>
      <c r="DGC231" s="1"/>
      <c r="DGD231" s="1"/>
      <c r="DGE231" s="1"/>
      <c r="DGF231" s="1"/>
      <c r="DGG231" s="1"/>
      <c r="DGH231" s="1"/>
      <c r="DGI231" s="1"/>
      <c r="DGJ231" s="1"/>
      <c r="DGK231" s="1"/>
      <c r="DGL231" s="1"/>
      <c r="DGM231" s="1"/>
      <c r="DGN231" s="1"/>
      <c r="DGO231" s="1"/>
      <c r="DGP231" s="1"/>
      <c r="DGQ231" s="1"/>
      <c r="DGR231" s="1"/>
      <c r="DGS231" s="1"/>
      <c r="DGT231" s="1"/>
      <c r="DGU231" s="1"/>
      <c r="DGV231" s="1"/>
      <c r="DGW231" s="1"/>
      <c r="DGX231" s="1"/>
      <c r="DGY231" s="1"/>
      <c r="DGZ231" s="1"/>
      <c r="DHA231" s="1"/>
      <c r="DHB231" s="1"/>
      <c r="DHC231" s="1"/>
      <c r="DHD231" s="1"/>
      <c r="DHE231" s="1"/>
      <c r="DHF231" s="1"/>
      <c r="DHG231" s="1"/>
      <c r="DHH231" s="1"/>
      <c r="DHI231" s="1"/>
      <c r="DHJ231" s="1"/>
      <c r="DHK231" s="1"/>
      <c r="DHL231" s="1"/>
      <c r="DHM231" s="1"/>
      <c r="DHN231" s="1"/>
      <c r="DHO231" s="1"/>
      <c r="DHP231" s="1"/>
      <c r="DHQ231" s="1"/>
      <c r="DHR231" s="1"/>
      <c r="DHS231" s="1"/>
      <c r="DHT231" s="1"/>
      <c r="DHU231" s="1"/>
      <c r="DHV231" s="1"/>
      <c r="DHW231" s="1"/>
      <c r="DHX231" s="1"/>
      <c r="DHY231" s="1"/>
      <c r="DHZ231" s="1"/>
      <c r="DIA231" s="1"/>
      <c r="DIB231" s="1"/>
      <c r="DIC231" s="1"/>
      <c r="DID231" s="1"/>
      <c r="DIE231" s="1"/>
      <c r="DIF231" s="1"/>
      <c r="DIG231" s="1"/>
      <c r="DIH231" s="1"/>
      <c r="DII231" s="1"/>
      <c r="DIJ231" s="1"/>
      <c r="DIK231" s="1"/>
      <c r="DIL231" s="1"/>
      <c r="DIM231" s="1"/>
      <c r="DIN231" s="1"/>
      <c r="DIO231" s="1"/>
      <c r="DIP231" s="1"/>
      <c r="DIQ231" s="1"/>
      <c r="DIR231" s="1"/>
      <c r="DIS231" s="1"/>
      <c r="DIT231" s="1"/>
      <c r="DIU231" s="1"/>
      <c r="DIV231" s="1"/>
      <c r="DIW231" s="1"/>
      <c r="DIX231" s="1"/>
      <c r="DIY231" s="1"/>
      <c r="DIZ231" s="1"/>
      <c r="DJA231" s="1"/>
      <c r="DJB231" s="1"/>
      <c r="DJC231" s="1"/>
      <c r="DJD231" s="1"/>
      <c r="DJE231" s="1"/>
      <c r="DJF231" s="1"/>
      <c r="DJG231" s="1"/>
      <c r="DJH231" s="1"/>
      <c r="DJI231" s="1"/>
      <c r="DJJ231" s="1"/>
      <c r="DJK231" s="1"/>
      <c r="DJL231" s="1"/>
      <c r="DJM231" s="1"/>
      <c r="DJN231" s="1"/>
      <c r="DJO231" s="1"/>
      <c r="DJP231" s="1"/>
      <c r="DJQ231" s="1"/>
      <c r="DJR231" s="1"/>
      <c r="DJS231" s="1"/>
      <c r="DJT231" s="1"/>
      <c r="DJU231" s="1"/>
      <c r="DJV231" s="1"/>
      <c r="DJW231" s="1"/>
      <c r="DJX231" s="1"/>
      <c r="DJY231" s="1"/>
      <c r="DJZ231" s="1"/>
      <c r="DKA231" s="1"/>
      <c r="DKB231" s="1"/>
      <c r="DKC231" s="1"/>
      <c r="DKD231" s="1"/>
      <c r="DKE231" s="1"/>
      <c r="DKF231" s="1"/>
      <c r="DKG231" s="1"/>
      <c r="DKH231" s="1"/>
      <c r="DKI231" s="1"/>
      <c r="DKJ231" s="1"/>
      <c r="DKK231" s="1"/>
      <c r="DKL231" s="1"/>
      <c r="DKM231" s="1"/>
      <c r="DKN231" s="1"/>
      <c r="DKO231" s="1"/>
      <c r="DKP231" s="1"/>
      <c r="DKQ231" s="1"/>
      <c r="DKR231" s="1"/>
      <c r="DKS231" s="1"/>
      <c r="DKT231" s="1"/>
      <c r="DKU231" s="1"/>
      <c r="DKV231" s="1"/>
      <c r="DKW231" s="1"/>
      <c r="DKX231" s="1"/>
      <c r="DKY231" s="1"/>
      <c r="DKZ231" s="1"/>
      <c r="DLA231" s="1"/>
      <c r="DLB231" s="1"/>
      <c r="DLC231" s="1"/>
      <c r="DLD231" s="1"/>
      <c r="DLE231" s="1"/>
      <c r="DLF231" s="1"/>
      <c r="DLG231" s="1"/>
      <c r="DLH231" s="1"/>
      <c r="DLI231" s="1"/>
      <c r="DLJ231" s="1"/>
      <c r="DLK231" s="1"/>
      <c r="DLL231" s="1"/>
      <c r="DLM231" s="1"/>
      <c r="DLN231" s="1"/>
      <c r="DLO231" s="1"/>
      <c r="DLP231" s="1"/>
      <c r="DLQ231" s="1"/>
      <c r="DLR231" s="1"/>
      <c r="DLS231" s="1"/>
      <c r="DLT231" s="1"/>
      <c r="DLU231" s="1"/>
      <c r="DLV231" s="1"/>
      <c r="DLW231" s="1"/>
      <c r="DLX231" s="1"/>
      <c r="DLY231" s="1"/>
      <c r="DLZ231" s="1"/>
      <c r="DMA231" s="1"/>
      <c r="DMB231" s="1"/>
      <c r="DMC231" s="1"/>
      <c r="DMD231" s="1"/>
      <c r="DME231" s="1"/>
      <c r="DMF231" s="1"/>
      <c r="DMG231" s="1"/>
      <c r="DMH231" s="1"/>
      <c r="DMI231" s="1"/>
      <c r="DMJ231" s="1"/>
      <c r="DMK231" s="1"/>
      <c r="DML231" s="1"/>
      <c r="DMM231" s="1"/>
      <c r="DMN231" s="1"/>
      <c r="DMO231" s="1"/>
      <c r="DMP231" s="1"/>
      <c r="DMQ231" s="1"/>
      <c r="DMR231" s="1"/>
      <c r="DMS231" s="1"/>
      <c r="DMT231" s="1"/>
      <c r="DMU231" s="1"/>
      <c r="DMV231" s="1"/>
      <c r="DMW231" s="1"/>
      <c r="DMX231" s="1"/>
      <c r="DMY231" s="1"/>
      <c r="DMZ231" s="1"/>
      <c r="DNA231" s="1"/>
      <c r="DNB231" s="1"/>
      <c r="DNC231" s="1"/>
      <c r="DND231" s="1"/>
      <c r="DNE231" s="1"/>
      <c r="DNF231" s="1"/>
      <c r="DNG231" s="1"/>
      <c r="DNH231" s="1"/>
      <c r="DNI231" s="1"/>
      <c r="DNJ231" s="1"/>
      <c r="DNK231" s="1"/>
      <c r="DNL231" s="1"/>
      <c r="DNM231" s="1"/>
      <c r="DNN231" s="1"/>
      <c r="DNO231" s="1"/>
      <c r="DNP231" s="1"/>
      <c r="DNQ231" s="1"/>
      <c r="DNR231" s="1"/>
      <c r="DNS231" s="1"/>
      <c r="DNT231" s="1"/>
      <c r="DNU231" s="1"/>
      <c r="DNV231" s="1"/>
      <c r="DNW231" s="1"/>
      <c r="DNX231" s="1"/>
      <c r="DNY231" s="1"/>
      <c r="DNZ231" s="1"/>
      <c r="DOA231" s="1"/>
      <c r="DOB231" s="1"/>
      <c r="DOC231" s="1"/>
      <c r="DOD231" s="1"/>
      <c r="DOE231" s="1"/>
      <c r="DOF231" s="1"/>
      <c r="DOG231" s="1"/>
      <c r="DOH231" s="1"/>
      <c r="DOI231" s="1"/>
      <c r="DOJ231" s="1"/>
      <c r="DOK231" s="1"/>
      <c r="DOL231" s="1"/>
      <c r="DOM231" s="1"/>
      <c r="DON231" s="1"/>
      <c r="DOO231" s="1"/>
      <c r="DOP231" s="1"/>
      <c r="DOQ231" s="1"/>
      <c r="DOR231" s="1"/>
      <c r="DOS231" s="1"/>
      <c r="DOT231" s="1"/>
      <c r="DOU231" s="1"/>
      <c r="DOV231" s="1"/>
      <c r="DOW231" s="1"/>
      <c r="DOX231" s="1"/>
      <c r="DOY231" s="1"/>
      <c r="DOZ231" s="1"/>
      <c r="DPA231" s="1"/>
      <c r="DPB231" s="1"/>
      <c r="DPC231" s="1"/>
      <c r="DPD231" s="1"/>
      <c r="DPE231" s="1"/>
      <c r="DPF231" s="1"/>
      <c r="DPG231" s="1"/>
      <c r="DPH231" s="1"/>
      <c r="DPI231" s="1"/>
      <c r="DPJ231" s="1"/>
      <c r="DPK231" s="1"/>
      <c r="DPL231" s="1"/>
      <c r="DPM231" s="1"/>
      <c r="DPN231" s="1"/>
      <c r="DPO231" s="1"/>
      <c r="DPP231" s="1"/>
      <c r="DPQ231" s="1"/>
      <c r="DPR231" s="1"/>
      <c r="DPS231" s="1"/>
      <c r="DPT231" s="1"/>
      <c r="DPU231" s="1"/>
      <c r="DPV231" s="1"/>
      <c r="DPW231" s="1"/>
      <c r="DPX231" s="1"/>
      <c r="DPY231" s="1"/>
      <c r="DPZ231" s="1"/>
      <c r="DQA231" s="1"/>
      <c r="DQB231" s="1"/>
      <c r="DQC231" s="1"/>
      <c r="DQD231" s="1"/>
      <c r="DQE231" s="1"/>
      <c r="DQF231" s="1"/>
      <c r="DQG231" s="1"/>
      <c r="DQH231" s="1"/>
      <c r="DQI231" s="1"/>
      <c r="DQJ231" s="1"/>
      <c r="DQK231" s="1"/>
      <c r="DQL231" s="1"/>
      <c r="DQM231" s="1"/>
      <c r="DQN231" s="1"/>
      <c r="DQO231" s="1"/>
      <c r="DQP231" s="1"/>
      <c r="DQQ231" s="1"/>
      <c r="DQR231" s="1"/>
      <c r="DQS231" s="1"/>
      <c r="DQT231" s="1"/>
      <c r="DQU231" s="1"/>
      <c r="DQV231" s="1"/>
      <c r="DQW231" s="1"/>
      <c r="DQX231" s="1"/>
      <c r="DQY231" s="1"/>
      <c r="DQZ231" s="1"/>
      <c r="DRA231" s="1"/>
      <c r="DRB231" s="1"/>
      <c r="DRC231" s="1"/>
      <c r="DRD231" s="1"/>
      <c r="DRE231" s="1"/>
      <c r="DRF231" s="1"/>
      <c r="DRG231" s="1"/>
      <c r="DRH231" s="1"/>
      <c r="DRI231" s="1"/>
      <c r="DRJ231" s="1"/>
      <c r="DRK231" s="1"/>
      <c r="DRL231" s="1"/>
      <c r="DRM231" s="1"/>
      <c r="DRN231" s="1"/>
      <c r="DRO231" s="1"/>
      <c r="DRP231" s="1"/>
      <c r="DRQ231" s="1"/>
      <c r="DRR231" s="1"/>
      <c r="DRS231" s="1"/>
      <c r="DRT231" s="1"/>
      <c r="DRU231" s="1"/>
      <c r="DRV231" s="1"/>
      <c r="DRW231" s="1"/>
      <c r="DRX231" s="1"/>
      <c r="DRY231" s="1"/>
      <c r="DRZ231" s="1"/>
      <c r="DSA231" s="1"/>
      <c r="DSB231" s="1"/>
      <c r="DSC231" s="1"/>
      <c r="DSD231" s="1"/>
      <c r="DSE231" s="1"/>
      <c r="DSF231" s="1"/>
      <c r="DSG231" s="1"/>
      <c r="DSH231" s="1"/>
      <c r="DSI231" s="1"/>
      <c r="DSJ231" s="1"/>
      <c r="DSK231" s="1"/>
      <c r="DSL231" s="1"/>
      <c r="DSM231" s="1"/>
      <c r="DSN231" s="1"/>
      <c r="DSO231" s="1"/>
      <c r="DSP231" s="1"/>
      <c r="DSQ231" s="1"/>
      <c r="DSR231" s="1"/>
      <c r="DSS231" s="1"/>
      <c r="DST231" s="1"/>
      <c r="DSU231" s="1"/>
      <c r="DSV231" s="1"/>
      <c r="DSW231" s="1"/>
      <c r="DSX231" s="1"/>
      <c r="DSY231" s="1"/>
      <c r="DSZ231" s="1"/>
      <c r="DTA231" s="1"/>
      <c r="DTB231" s="1"/>
      <c r="DTC231" s="1"/>
      <c r="DTD231" s="1"/>
      <c r="DTE231" s="1"/>
      <c r="DTF231" s="1"/>
      <c r="DTG231" s="1"/>
      <c r="DTH231" s="1"/>
      <c r="DTI231" s="1"/>
      <c r="DTJ231" s="1"/>
      <c r="DTK231" s="1"/>
      <c r="DTL231" s="1"/>
      <c r="DTM231" s="1"/>
      <c r="DTN231" s="1"/>
      <c r="DTO231" s="1"/>
      <c r="DTP231" s="1"/>
      <c r="DTQ231" s="1"/>
      <c r="DTR231" s="1"/>
      <c r="DTS231" s="1"/>
      <c r="DTT231" s="1"/>
      <c r="DTU231" s="1"/>
      <c r="DTV231" s="1"/>
      <c r="DTW231" s="1"/>
      <c r="DTX231" s="1"/>
      <c r="DTY231" s="1"/>
      <c r="DTZ231" s="1"/>
      <c r="DUA231" s="1"/>
      <c r="DUB231" s="1"/>
      <c r="DUC231" s="1"/>
      <c r="DUD231" s="1"/>
      <c r="DUE231" s="1"/>
      <c r="DUF231" s="1"/>
      <c r="DUG231" s="1"/>
      <c r="DUH231" s="1"/>
      <c r="DUI231" s="1"/>
      <c r="DUJ231" s="1"/>
      <c r="DUK231" s="1"/>
      <c r="DUL231" s="1"/>
      <c r="DUM231" s="1"/>
      <c r="DUN231" s="1"/>
      <c r="DUO231" s="1"/>
      <c r="DUP231" s="1"/>
      <c r="DUQ231" s="1"/>
      <c r="DUR231" s="1"/>
      <c r="DUS231" s="1"/>
      <c r="DUT231" s="1"/>
      <c r="DUU231" s="1"/>
      <c r="DUV231" s="1"/>
      <c r="DUW231" s="1"/>
      <c r="DUX231" s="1"/>
      <c r="DUY231" s="1"/>
      <c r="DUZ231" s="1"/>
      <c r="DVA231" s="1"/>
      <c r="DVB231" s="1"/>
      <c r="DVC231" s="1"/>
      <c r="DVD231" s="1"/>
      <c r="DVE231" s="1"/>
      <c r="DVF231" s="1"/>
      <c r="DVG231" s="1"/>
      <c r="DVH231" s="1"/>
      <c r="DVI231" s="1"/>
      <c r="DVJ231" s="1"/>
      <c r="DVK231" s="1"/>
      <c r="DVL231" s="1"/>
      <c r="DVM231" s="1"/>
      <c r="DVN231" s="1"/>
      <c r="DVO231" s="1"/>
      <c r="DVP231" s="1"/>
      <c r="DVQ231" s="1"/>
      <c r="DVR231" s="1"/>
      <c r="DVS231" s="1"/>
      <c r="DVT231" s="1"/>
      <c r="DVU231" s="1"/>
      <c r="DVV231" s="1"/>
      <c r="DVW231" s="1"/>
      <c r="DVX231" s="1"/>
      <c r="DVY231" s="1"/>
      <c r="DVZ231" s="1"/>
      <c r="DWA231" s="1"/>
      <c r="DWB231" s="1"/>
      <c r="DWC231" s="1"/>
      <c r="DWD231" s="1"/>
      <c r="DWE231" s="1"/>
      <c r="DWF231" s="1"/>
      <c r="DWG231" s="1"/>
      <c r="DWH231" s="1"/>
      <c r="DWI231" s="1"/>
      <c r="DWJ231" s="1"/>
      <c r="DWK231" s="1"/>
      <c r="DWL231" s="1"/>
      <c r="DWM231" s="1"/>
      <c r="DWN231" s="1"/>
      <c r="DWO231" s="1"/>
      <c r="DWP231" s="1"/>
      <c r="DWQ231" s="1"/>
      <c r="DWR231" s="1"/>
      <c r="DWS231" s="1"/>
      <c r="DWT231" s="1"/>
      <c r="DWU231" s="1"/>
      <c r="DWV231" s="1"/>
      <c r="DWW231" s="1"/>
      <c r="DWX231" s="1"/>
      <c r="DWY231" s="1"/>
      <c r="DWZ231" s="1"/>
      <c r="DXA231" s="1"/>
      <c r="DXB231" s="1"/>
      <c r="DXC231" s="1"/>
      <c r="DXD231" s="1"/>
      <c r="DXE231" s="1"/>
      <c r="DXF231" s="1"/>
      <c r="DXG231" s="1"/>
      <c r="DXH231" s="1"/>
      <c r="DXI231" s="1"/>
      <c r="DXJ231" s="1"/>
      <c r="DXK231" s="1"/>
      <c r="DXL231" s="1"/>
      <c r="DXM231" s="1"/>
      <c r="DXN231" s="1"/>
      <c r="DXO231" s="1"/>
      <c r="DXP231" s="1"/>
      <c r="DXQ231" s="1"/>
      <c r="DXR231" s="1"/>
      <c r="DXS231" s="1"/>
      <c r="DXT231" s="1"/>
      <c r="DXU231" s="1"/>
      <c r="DXV231" s="1"/>
      <c r="DXW231" s="1"/>
      <c r="DXX231" s="1"/>
      <c r="DXY231" s="1"/>
      <c r="DXZ231" s="1"/>
      <c r="DYA231" s="1"/>
      <c r="DYB231" s="1"/>
      <c r="DYC231" s="1"/>
      <c r="DYD231" s="1"/>
      <c r="DYE231" s="1"/>
      <c r="DYF231" s="1"/>
      <c r="DYG231" s="1"/>
      <c r="DYH231" s="1"/>
      <c r="DYI231" s="1"/>
      <c r="DYJ231" s="1"/>
      <c r="DYK231" s="1"/>
      <c r="DYL231" s="1"/>
      <c r="DYM231" s="1"/>
      <c r="DYN231" s="1"/>
      <c r="DYO231" s="1"/>
      <c r="DYP231" s="1"/>
      <c r="DYQ231" s="1"/>
      <c r="DYR231" s="1"/>
      <c r="DYS231" s="1"/>
      <c r="DYT231" s="1"/>
      <c r="DYU231" s="1"/>
      <c r="DYV231" s="1"/>
      <c r="DYW231" s="1"/>
      <c r="DYX231" s="1"/>
      <c r="DYY231" s="1"/>
      <c r="DYZ231" s="1"/>
      <c r="DZA231" s="1"/>
      <c r="DZB231" s="1"/>
      <c r="DZC231" s="1"/>
      <c r="DZD231" s="1"/>
      <c r="DZE231" s="1"/>
      <c r="DZF231" s="1"/>
      <c r="DZG231" s="1"/>
      <c r="DZH231" s="1"/>
      <c r="DZI231" s="1"/>
      <c r="DZJ231" s="1"/>
      <c r="DZK231" s="1"/>
      <c r="DZL231" s="1"/>
      <c r="DZM231" s="1"/>
      <c r="DZN231" s="1"/>
      <c r="DZO231" s="1"/>
      <c r="DZP231" s="1"/>
      <c r="DZQ231" s="1"/>
      <c r="DZR231" s="1"/>
      <c r="DZS231" s="1"/>
      <c r="DZT231" s="1"/>
      <c r="DZU231" s="1"/>
      <c r="DZV231" s="1"/>
      <c r="DZW231" s="1"/>
      <c r="DZX231" s="1"/>
      <c r="DZY231" s="1"/>
      <c r="DZZ231" s="1"/>
      <c r="EAA231" s="1"/>
      <c r="EAB231" s="1"/>
      <c r="EAC231" s="1"/>
      <c r="EAD231" s="1"/>
      <c r="EAE231" s="1"/>
      <c r="EAF231" s="1"/>
      <c r="EAG231" s="1"/>
      <c r="EAH231" s="1"/>
      <c r="EAI231" s="1"/>
      <c r="EAJ231" s="1"/>
      <c r="EAK231" s="1"/>
      <c r="EAL231" s="1"/>
      <c r="EAM231" s="1"/>
      <c r="EAN231" s="1"/>
      <c r="EAO231" s="1"/>
      <c r="EAP231" s="1"/>
      <c r="EAQ231" s="1"/>
      <c r="EAR231" s="1"/>
      <c r="EAS231" s="1"/>
      <c r="EAT231" s="1"/>
      <c r="EAU231" s="1"/>
      <c r="EAV231" s="1"/>
      <c r="EAW231" s="1"/>
      <c r="EAX231" s="1"/>
      <c r="EAY231" s="1"/>
      <c r="EAZ231" s="1"/>
      <c r="EBA231" s="1"/>
      <c r="EBB231" s="1"/>
      <c r="EBC231" s="1"/>
      <c r="EBD231" s="1"/>
      <c r="EBE231" s="1"/>
      <c r="EBF231" s="1"/>
      <c r="EBG231" s="1"/>
      <c r="EBH231" s="1"/>
      <c r="EBI231" s="1"/>
      <c r="EBJ231" s="1"/>
      <c r="EBK231" s="1"/>
      <c r="EBL231" s="1"/>
      <c r="EBM231" s="1"/>
      <c r="EBN231" s="1"/>
      <c r="EBO231" s="1"/>
      <c r="EBP231" s="1"/>
      <c r="EBQ231" s="1"/>
      <c r="EBR231" s="1"/>
      <c r="EBS231" s="1"/>
      <c r="EBT231" s="1"/>
      <c r="EBU231" s="1"/>
      <c r="EBV231" s="1"/>
      <c r="EBW231" s="1"/>
      <c r="EBX231" s="1"/>
      <c r="EBY231" s="1"/>
      <c r="EBZ231" s="1"/>
      <c r="ECA231" s="1"/>
      <c r="ECB231" s="1"/>
      <c r="ECC231" s="1"/>
      <c r="ECD231" s="1"/>
      <c r="ECE231" s="1"/>
      <c r="ECF231" s="1"/>
      <c r="ECG231" s="1"/>
      <c r="ECH231" s="1"/>
      <c r="ECI231" s="1"/>
      <c r="ECJ231" s="1"/>
      <c r="ECK231" s="1"/>
      <c r="ECL231" s="1"/>
      <c r="ECM231" s="1"/>
      <c r="ECN231" s="1"/>
      <c r="ECO231" s="1"/>
      <c r="ECP231" s="1"/>
      <c r="ECQ231" s="1"/>
      <c r="ECR231" s="1"/>
      <c r="ECS231" s="1"/>
      <c r="ECT231" s="1"/>
      <c r="ECU231" s="1"/>
      <c r="ECV231" s="1"/>
      <c r="ECW231" s="1"/>
      <c r="ECX231" s="1"/>
      <c r="ECY231" s="1"/>
      <c r="ECZ231" s="1"/>
      <c r="EDA231" s="1"/>
      <c r="EDB231" s="1"/>
      <c r="EDC231" s="1"/>
      <c r="EDD231" s="1"/>
      <c r="EDE231" s="1"/>
      <c r="EDF231" s="1"/>
      <c r="EDG231" s="1"/>
      <c r="EDH231" s="1"/>
      <c r="EDI231" s="1"/>
      <c r="EDJ231" s="1"/>
      <c r="EDK231" s="1"/>
      <c r="EDL231" s="1"/>
      <c r="EDM231" s="1"/>
      <c r="EDN231" s="1"/>
      <c r="EDO231" s="1"/>
      <c r="EDP231" s="1"/>
      <c r="EDQ231" s="1"/>
      <c r="EDR231" s="1"/>
      <c r="EDS231" s="1"/>
      <c r="EDT231" s="1"/>
      <c r="EDU231" s="1"/>
      <c r="EDV231" s="1"/>
      <c r="EDW231" s="1"/>
      <c r="EDX231" s="1"/>
      <c r="EDY231" s="1"/>
      <c r="EDZ231" s="1"/>
      <c r="EEA231" s="1"/>
      <c r="EEB231" s="1"/>
      <c r="EEC231" s="1"/>
      <c r="EED231" s="1"/>
      <c r="EEE231" s="1"/>
      <c r="EEF231" s="1"/>
      <c r="EEG231" s="1"/>
      <c r="EEH231" s="1"/>
      <c r="EEI231" s="1"/>
      <c r="EEJ231" s="1"/>
      <c r="EEK231" s="1"/>
      <c r="EEL231" s="1"/>
      <c r="EEM231" s="1"/>
      <c r="EEN231" s="1"/>
      <c r="EEO231" s="1"/>
      <c r="EEP231" s="1"/>
      <c r="EEQ231" s="1"/>
      <c r="EER231" s="1"/>
      <c r="EES231" s="1"/>
      <c r="EET231" s="1"/>
      <c r="EEU231" s="1"/>
      <c r="EEV231" s="1"/>
      <c r="EEW231" s="1"/>
      <c r="EEX231" s="1"/>
      <c r="EEY231" s="1"/>
      <c r="EEZ231" s="1"/>
      <c r="EFA231" s="1"/>
      <c r="EFB231" s="1"/>
      <c r="EFC231" s="1"/>
      <c r="EFD231" s="1"/>
      <c r="EFE231" s="1"/>
      <c r="EFF231" s="1"/>
      <c r="EFG231" s="1"/>
      <c r="EFH231" s="1"/>
      <c r="EFI231" s="1"/>
      <c r="EFJ231" s="1"/>
      <c r="EFK231" s="1"/>
      <c r="EFL231" s="1"/>
      <c r="EFM231" s="1"/>
      <c r="EFN231" s="1"/>
      <c r="EFO231" s="1"/>
      <c r="EFP231" s="1"/>
      <c r="EFQ231" s="1"/>
      <c r="EFR231" s="1"/>
      <c r="EFS231" s="1"/>
      <c r="EFT231" s="1"/>
      <c r="EFU231" s="1"/>
      <c r="EFV231" s="1"/>
      <c r="EFW231" s="1"/>
      <c r="EFX231" s="1"/>
      <c r="EFY231" s="1"/>
      <c r="EFZ231" s="1"/>
      <c r="EGA231" s="1"/>
      <c r="EGB231" s="1"/>
      <c r="EGC231" s="1"/>
      <c r="EGD231" s="1"/>
      <c r="EGE231" s="1"/>
      <c r="EGF231" s="1"/>
      <c r="EGG231" s="1"/>
      <c r="EGH231" s="1"/>
      <c r="EGI231" s="1"/>
      <c r="EGJ231" s="1"/>
      <c r="EGK231" s="1"/>
      <c r="EGL231" s="1"/>
      <c r="EGM231" s="1"/>
      <c r="EGN231" s="1"/>
      <c r="EGO231" s="1"/>
      <c r="EGP231" s="1"/>
      <c r="EGQ231" s="1"/>
      <c r="EGR231" s="1"/>
      <c r="EGS231" s="1"/>
      <c r="EGT231" s="1"/>
      <c r="EGU231" s="1"/>
      <c r="EGV231" s="1"/>
      <c r="EGW231" s="1"/>
      <c r="EGX231" s="1"/>
      <c r="EGY231" s="1"/>
      <c r="EGZ231" s="1"/>
      <c r="EHA231" s="1"/>
      <c r="EHB231" s="1"/>
      <c r="EHC231" s="1"/>
      <c r="EHD231" s="1"/>
      <c r="EHE231" s="1"/>
      <c r="EHF231" s="1"/>
      <c r="EHG231" s="1"/>
      <c r="EHH231" s="1"/>
      <c r="EHI231" s="1"/>
      <c r="EHJ231" s="1"/>
      <c r="EHK231" s="1"/>
      <c r="EHL231" s="1"/>
      <c r="EHM231" s="1"/>
      <c r="EHN231" s="1"/>
      <c r="EHO231" s="1"/>
      <c r="EHP231" s="1"/>
      <c r="EHQ231" s="1"/>
      <c r="EHR231" s="1"/>
      <c r="EHS231" s="1"/>
      <c r="EHT231" s="1"/>
      <c r="EHU231" s="1"/>
      <c r="EHV231" s="1"/>
      <c r="EHW231" s="1"/>
      <c r="EHX231" s="1"/>
      <c r="EHY231" s="1"/>
      <c r="EHZ231" s="1"/>
      <c r="EIA231" s="1"/>
      <c r="EIB231" s="1"/>
      <c r="EIC231" s="1"/>
      <c r="EID231" s="1"/>
      <c r="EIE231" s="1"/>
      <c r="EIF231" s="1"/>
      <c r="EIG231" s="1"/>
      <c r="EIH231" s="1"/>
      <c r="EII231" s="1"/>
      <c r="EIJ231" s="1"/>
      <c r="EIK231" s="1"/>
      <c r="EIL231" s="1"/>
      <c r="EIM231" s="1"/>
      <c r="EIN231" s="1"/>
      <c r="EIO231" s="1"/>
      <c r="EIP231" s="1"/>
      <c r="EIQ231" s="1"/>
      <c r="EIR231" s="1"/>
      <c r="EIS231" s="1"/>
      <c r="EIT231" s="1"/>
      <c r="EIU231" s="1"/>
      <c r="EIV231" s="1"/>
      <c r="EIW231" s="1"/>
      <c r="EIX231" s="1"/>
      <c r="EIY231" s="1"/>
      <c r="EIZ231" s="1"/>
      <c r="EJA231" s="1"/>
      <c r="EJB231" s="1"/>
      <c r="EJC231" s="1"/>
      <c r="EJD231" s="1"/>
      <c r="EJE231" s="1"/>
      <c r="EJF231" s="1"/>
      <c r="EJG231" s="1"/>
      <c r="EJH231" s="1"/>
      <c r="EJI231" s="1"/>
      <c r="EJJ231" s="1"/>
      <c r="EJK231" s="1"/>
      <c r="EJL231" s="1"/>
      <c r="EJM231" s="1"/>
      <c r="EJN231" s="1"/>
      <c r="EJO231" s="1"/>
      <c r="EJP231" s="1"/>
      <c r="EJQ231" s="1"/>
      <c r="EJR231" s="1"/>
      <c r="EJS231" s="1"/>
      <c r="EJT231" s="1"/>
      <c r="EJU231" s="1"/>
      <c r="EJV231" s="1"/>
      <c r="EJW231" s="1"/>
      <c r="EJX231" s="1"/>
      <c r="EJY231" s="1"/>
      <c r="EJZ231" s="1"/>
      <c r="EKA231" s="1"/>
      <c r="EKB231" s="1"/>
      <c r="EKC231" s="1"/>
      <c r="EKD231" s="1"/>
      <c r="EKE231" s="1"/>
      <c r="EKF231" s="1"/>
      <c r="EKG231" s="1"/>
      <c r="EKH231" s="1"/>
      <c r="EKI231" s="1"/>
      <c r="EKJ231" s="1"/>
      <c r="EKK231" s="1"/>
      <c r="EKL231" s="1"/>
      <c r="EKM231" s="1"/>
      <c r="EKN231" s="1"/>
      <c r="EKO231" s="1"/>
      <c r="EKP231" s="1"/>
      <c r="EKQ231" s="1"/>
      <c r="EKR231" s="1"/>
      <c r="EKS231" s="1"/>
      <c r="EKT231" s="1"/>
      <c r="EKU231" s="1"/>
      <c r="EKV231" s="1"/>
      <c r="EKW231" s="1"/>
      <c r="EKX231" s="1"/>
      <c r="EKY231" s="1"/>
      <c r="EKZ231" s="1"/>
      <c r="ELA231" s="1"/>
      <c r="ELB231" s="1"/>
      <c r="ELC231" s="1"/>
      <c r="ELD231" s="1"/>
      <c r="ELE231" s="1"/>
      <c r="ELF231" s="1"/>
      <c r="ELG231" s="1"/>
      <c r="ELH231" s="1"/>
      <c r="ELI231" s="1"/>
      <c r="ELJ231" s="1"/>
      <c r="ELK231" s="1"/>
      <c r="ELL231" s="1"/>
      <c r="ELM231" s="1"/>
      <c r="ELN231" s="1"/>
      <c r="ELO231" s="1"/>
      <c r="ELP231" s="1"/>
      <c r="ELQ231" s="1"/>
      <c r="ELR231" s="1"/>
      <c r="ELS231" s="1"/>
      <c r="ELT231" s="1"/>
      <c r="ELU231" s="1"/>
      <c r="ELV231" s="1"/>
      <c r="ELW231" s="1"/>
      <c r="ELX231" s="1"/>
      <c r="ELY231" s="1"/>
      <c r="ELZ231" s="1"/>
      <c r="EMA231" s="1"/>
      <c r="EMB231" s="1"/>
      <c r="EMC231" s="1"/>
      <c r="EMD231" s="1"/>
      <c r="EME231" s="1"/>
      <c r="EMF231" s="1"/>
      <c r="EMG231" s="1"/>
      <c r="EMH231" s="1"/>
      <c r="EMI231" s="1"/>
      <c r="EMJ231" s="1"/>
      <c r="EMK231" s="1"/>
      <c r="EML231" s="1"/>
      <c r="EMM231" s="1"/>
      <c r="EMN231" s="1"/>
      <c r="EMO231" s="1"/>
      <c r="EMP231" s="1"/>
      <c r="EMQ231" s="1"/>
      <c r="EMR231" s="1"/>
      <c r="EMS231" s="1"/>
      <c r="EMT231" s="1"/>
      <c r="EMU231" s="1"/>
      <c r="EMV231" s="1"/>
      <c r="EMW231" s="1"/>
      <c r="EMX231" s="1"/>
      <c r="EMY231" s="1"/>
      <c r="EMZ231" s="1"/>
      <c r="ENA231" s="1"/>
      <c r="ENB231" s="1"/>
      <c r="ENC231" s="1"/>
      <c r="END231" s="1"/>
      <c r="ENE231" s="1"/>
      <c r="ENF231" s="1"/>
      <c r="ENG231" s="1"/>
      <c r="ENH231" s="1"/>
      <c r="ENI231" s="1"/>
      <c r="ENJ231" s="1"/>
      <c r="ENK231" s="1"/>
      <c r="ENL231" s="1"/>
      <c r="ENM231" s="1"/>
      <c r="ENN231" s="1"/>
      <c r="ENO231" s="1"/>
      <c r="ENP231" s="1"/>
      <c r="ENQ231" s="1"/>
      <c r="ENR231" s="1"/>
      <c r="ENS231" s="1"/>
      <c r="ENT231" s="1"/>
      <c r="ENU231" s="1"/>
      <c r="ENV231" s="1"/>
      <c r="ENW231" s="1"/>
      <c r="ENX231" s="1"/>
      <c r="ENY231" s="1"/>
      <c r="ENZ231" s="1"/>
      <c r="EOA231" s="1"/>
      <c r="EOB231" s="1"/>
      <c r="EOC231" s="1"/>
      <c r="EOD231" s="1"/>
      <c r="EOE231" s="1"/>
      <c r="EOF231" s="1"/>
      <c r="EOG231" s="1"/>
      <c r="EOH231" s="1"/>
      <c r="EOI231" s="1"/>
      <c r="EOJ231" s="1"/>
      <c r="EOK231" s="1"/>
      <c r="EOL231" s="1"/>
      <c r="EOM231" s="1"/>
      <c r="EON231" s="1"/>
      <c r="EOO231" s="1"/>
      <c r="EOP231" s="1"/>
      <c r="EOQ231" s="1"/>
      <c r="EOR231" s="1"/>
      <c r="EOS231" s="1"/>
      <c r="EOT231" s="1"/>
      <c r="EOU231" s="1"/>
      <c r="EOV231" s="1"/>
      <c r="EOW231" s="1"/>
      <c r="EOX231" s="1"/>
      <c r="EOY231" s="1"/>
      <c r="EOZ231" s="1"/>
      <c r="EPA231" s="1"/>
      <c r="EPB231" s="1"/>
      <c r="EPC231" s="1"/>
      <c r="EPD231" s="1"/>
      <c r="EPE231" s="1"/>
      <c r="EPF231" s="1"/>
      <c r="EPG231" s="1"/>
      <c r="EPH231" s="1"/>
      <c r="EPI231" s="1"/>
      <c r="EPJ231" s="1"/>
      <c r="EPK231" s="1"/>
      <c r="EPL231" s="1"/>
      <c r="EPM231" s="1"/>
      <c r="EPN231" s="1"/>
      <c r="EPO231" s="1"/>
      <c r="EPP231" s="1"/>
      <c r="EPQ231" s="1"/>
      <c r="EPR231" s="1"/>
      <c r="EPS231" s="1"/>
      <c r="EPT231" s="1"/>
      <c r="EPU231" s="1"/>
      <c r="EPV231" s="1"/>
      <c r="EPW231" s="1"/>
      <c r="EPX231" s="1"/>
      <c r="EPY231" s="1"/>
      <c r="EPZ231" s="1"/>
      <c r="EQA231" s="1"/>
      <c r="EQB231" s="1"/>
      <c r="EQC231" s="1"/>
      <c r="EQD231" s="1"/>
      <c r="EQE231" s="1"/>
      <c r="EQF231" s="1"/>
      <c r="EQG231" s="1"/>
      <c r="EQH231" s="1"/>
      <c r="EQI231" s="1"/>
      <c r="EQJ231" s="1"/>
      <c r="EQK231" s="1"/>
      <c r="EQL231" s="1"/>
      <c r="EQM231" s="1"/>
      <c r="EQN231" s="1"/>
      <c r="EQO231" s="1"/>
      <c r="EQP231" s="1"/>
      <c r="EQQ231" s="1"/>
      <c r="EQR231" s="1"/>
      <c r="EQS231" s="1"/>
      <c r="EQT231" s="1"/>
      <c r="EQU231" s="1"/>
      <c r="EQV231" s="1"/>
      <c r="EQW231" s="1"/>
      <c r="EQX231" s="1"/>
      <c r="EQY231" s="1"/>
      <c r="EQZ231" s="1"/>
      <c r="ERA231" s="1"/>
      <c r="ERB231" s="1"/>
      <c r="ERC231" s="1"/>
      <c r="ERD231" s="1"/>
      <c r="ERE231" s="1"/>
      <c r="ERF231" s="1"/>
      <c r="ERG231" s="1"/>
      <c r="ERH231" s="1"/>
      <c r="ERI231" s="1"/>
      <c r="ERJ231" s="1"/>
      <c r="ERK231" s="1"/>
      <c r="ERL231" s="1"/>
      <c r="ERM231" s="1"/>
      <c r="ERN231" s="1"/>
      <c r="ERO231" s="1"/>
      <c r="ERP231" s="1"/>
      <c r="ERQ231" s="1"/>
      <c r="ERR231" s="1"/>
      <c r="ERS231" s="1"/>
      <c r="ERT231" s="1"/>
      <c r="ERU231" s="1"/>
      <c r="ERV231" s="1"/>
      <c r="ERW231" s="1"/>
      <c r="ERX231" s="1"/>
      <c r="ERY231" s="1"/>
      <c r="ERZ231" s="1"/>
      <c r="ESA231" s="1"/>
      <c r="ESB231" s="1"/>
      <c r="ESC231" s="1"/>
      <c r="ESD231" s="1"/>
      <c r="ESE231" s="1"/>
      <c r="ESF231" s="1"/>
      <c r="ESG231" s="1"/>
      <c r="ESH231" s="1"/>
      <c r="ESI231" s="1"/>
      <c r="ESJ231" s="1"/>
      <c r="ESK231" s="1"/>
      <c r="ESL231" s="1"/>
      <c r="ESM231" s="1"/>
      <c r="ESN231" s="1"/>
      <c r="ESO231" s="1"/>
      <c r="ESP231" s="1"/>
      <c r="ESQ231" s="1"/>
      <c r="ESR231" s="1"/>
      <c r="ESS231" s="1"/>
      <c r="EST231" s="1"/>
      <c r="ESU231" s="1"/>
      <c r="ESV231" s="1"/>
      <c r="ESW231" s="1"/>
      <c r="ESX231" s="1"/>
      <c r="ESY231" s="1"/>
      <c r="ESZ231" s="1"/>
      <c r="ETA231" s="1"/>
      <c r="ETB231" s="1"/>
      <c r="ETC231" s="1"/>
      <c r="ETD231" s="1"/>
      <c r="ETE231" s="1"/>
      <c r="ETF231" s="1"/>
      <c r="ETG231" s="1"/>
      <c r="ETH231" s="1"/>
      <c r="ETI231" s="1"/>
      <c r="ETJ231" s="1"/>
      <c r="ETK231" s="1"/>
      <c r="ETL231" s="1"/>
      <c r="ETM231" s="1"/>
      <c r="ETN231" s="1"/>
      <c r="ETO231" s="1"/>
      <c r="ETP231" s="1"/>
      <c r="ETQ231" s="1"/>
      <c r="ETR231" s="1"/>
      <c r="ETS231" s="1"/>
      <c r="ETT231" s="1"/>
      <c r="ETU231" s="1"/>
      <c r="ETV231" s="1"/>
      <c r="ETW231" s="1"/>
      <c r="ETX231" s="1"/>
      <c r="ETY231" s="1"/>
      <c r="ETZ231" s="1"/>
      <c r="EUA231" s="1"/>
      <c r="EUB231" s="1"/>
      <c r="EUC231" s="1"/>
      <c r="EUD231" s="1"/>
      <c r="EUE231" s="1"/>
      <c r="EUF231" s="1"/>
      <c r="EUG231" s="1"/>
      <c r="EUH231" s="1"/>
      <c r="EUI231" s="1"/>
      <c r="EUJ231" s="1"/>
      <c r="EUK231" s="1"/>
      <c r="EUL231" s="1"/>
      <c r="EUM231" s="1"/>
      <c r="EUN231" s="1"/>
      <c r="EUO231" s="1"/>
      <c r="EUP231" s="1"/>
      <c r="EUQ231" s="1"/>
      <c r="EUR231" s="1"/>
      <c r="EUS231" s="1"/>
      <c r="EUT231" s="1"/>
      <c r="EUU231" s="1"/>
      <c r="EUV231" s="1"/>
      <c r="EUW231" s="1"/>
      <c r="EUX231" s="1"/>
      <c r="EUY231" s="1"/>
      <c r="EUZ231" s="1"/>
      <c r="EVA231" s="1"/>
      <c r="EVB231" s="1"/>
      <c r="EVC231" s="1"/>
      <c r="EVD231" s="1"/>
      <c r="EVE231" s="1"/>
      <c r="EVF231" s="1"/>
      <c r="EVG231" s="1"/>
      <c r="EVH231" s="1"/>
      <c r="EVI231" s="1"/>
      <c r="EVJ231" s="1"/>
      <c r="EVK231" s="1"/>
      <c r="EVL231" s="1"/>
      <c r="EVM231" s="1"/>
      <c r="EVN231" s="1"/>
      <c r="EVO231" s="1"/>
      <c r="EVP231" s="1"/>
      <c r="EVQ231" s="1"/>
      <c r="EVR231" s="1"/>
      <c r="EVS231" s="1"/>
      <c r="EVT231" s="1"/>
      <c r="EVU231" s="1"/>
      <c r="EVV231" s="1"/>
      <c r="EVW231" s="1"/>
      <c r="EVX231" s="1"/>
      <c r="EVY231" s="1"/>
      <c r="EVZ231" s="1"/>
      <c r="EWA231" s="1"/>
      <c r="EWB231" s="1"/>
      <c r="EWC231" s="1"/>
      <c r="EWD231" s="1"/>
      <c r="EWE231" s="1"/>
      <c r="EWF231" s="1"/>
      <c r="EWG231" s="1"/>
      <c r="EWH231" s="1"/>
      <c r="EWI231" s="1"/>
      <c r="EWJ231" s="1"/>
      <c r="EWK231" s="1"/>
      <c r="EWL231" s="1"/>
      <c r="EWM231" s="1"/>
      <c r="EWN231" s="1"/>
      <c r="EWO231" s="1"/>
      <c r="EWP231" s="1"/>
      <c r="EWQ231" s="1"/>
      <c r="EWR231" s="1"/>
      <c r="EWS231" s="1"/>
      <c r="EWT231" s="1"/>
      <c r="EWU231" s="1"/>
      <c r="EWV231" s="1"/>
      <c r="EWW231" s="1"/>
      <c r="EWX231" s="1"/>
      <c r="EWY231" s="1"/>
      <c r="EWZ231" s="1"/>
      <c r="EXA231" s="1"/>
      <c r="EXB231" s="1"/>
      <c r="EXC231" s="1"/>
      <c r="EXD231" s="1"/>
      <c r="EXE231" s="1"/>
      <c r="EXF231" s="1"/>
      <c r="EXG231" s="1"/>
      <c r="EXH231" s="1"/>
      <c r="EXI231" s="1"/>
      <c r="EXJ231" s="1"/>
      <c r="EXK231" s="1"/>
      <c r="EXL231" s="1"/>
      <c r="EXM231" s="1"/>
      <c r="EXN231" s="1"/>
      <c r="EXO231" s="1"/>
      <c r="EXP231" s="1"/>
      <c r="EXQ231" s="1"/>
      <c r="EXR231" s="1"/>
      <c r="EXS231" s="1"/>
      <c r="EXT231" s="1"/>
      <c r="EXU231" s="1"/>
      <c r="EXV231" s="1"/>
      <c r="EXW231" s="1"/>
      <c r="EXX231" s="1"/>
      <c r="EXY231" s="1"/>
      <c r="EXZ231" s="1"/>
      <c r="EYA231" s="1"/>
      <c r="EYB231" s="1"/>
      <c r="EYC231" s="1"/>
      <c r="EYD231" s="1"/>
      <c r="EYE231" s="1"/>
      <c r="EYF231" s="1"/>
      <c r="EYG231" s="1"/>
      <c r="EYH231" s="1"/>
      <c r="EYI231" s="1"/>
      <c r="EYJ231" s="1"/>
      <c r="EYK231" s="1"/>
      <c r="EYL231" s="1"/>
      <c r="EYM231" s="1"/>
      <c r="EYN231" s="1"/>
      <c r="EYO231" s="1"/>
      <c r="EYP231" s="1"/>
      <c r="EYQ231" s="1"/>
      <c r="EYR231" s="1"/>
      <c r="EYS231" s="1"/>
      <c r="EYT231" s="1"/>
      <c r="EYU231" s="1"/>
      <c r="EYV231" s="1"/>
      <c r="EYW231" s="1"/>
      <c r="EYX231" s="1"/>
      <c r="EYY231" s="1"/>
      <c r="EYZ231" s="1"/>
      <c r="EZA231" s="1"/>
      <c r="EZB231" s="1"/>
      <c r="EZC231" s="1"/>
      <c r="EZD231" s="1"/>
      <c r="EZE231" s="1"/>
      <c r="EZF231" s="1"/>
      <c r="EZG231" s="1"/>
      <c r="EZH231" s="1"/>
      <c r="EZI231" s="1"/>
      <c r="EZJ231" s="1"/>
      <c r="EZK231" s="1"/>
      <c r="EZL231" s="1"/>
      <c r="EZM231" s="1"/>
      <c r="EZN231" s="1"/>
      <c r="EZO231" s="1"/>
      <c r="EZP231" s="1"/>
      <c r="EZQ231" s="1"/>
      <c r="EZR231" s="1"/>
      <c r="EZS231" s="1"/>
      <c r="EZT231" s="1"/>
      <c r="EZU231" s="1"/>
      <c r="EZV231" s="1"/>
      <c r="EZW231" s="1"/>
      <c r="EZX231" s="1"/>
      <c r="EZY231" s="1"/>
      <c r="EZZ231" s="1"/>
      <c r="FAA231" s="1"/>
      <c r="FAB231" s="1"/>
      <c r="FAC231" s="1"/>
      <c r="FAD231" s="1"/>
      <c r="FAE231" s="1"/>
      <c r="FAF231" s="1"/>
      <c r="FAG231" s="1"/>
      <c r="FAH231" s="1"/>
      <c r="FAI231" s="1"/>
      <c r="FAJ231" s="1"/>
      <c r="FAK231" s="1"/>
      <c r="FAL231" s="1"/>
      <c r="FAM231" s="1"/>
      <c r="FAN231" s="1"/>
      <c r="FAO231" s="1"/>
      <c r="FAP231" s="1"/>
      <c r="FAQ231" s="1"/>
      <c r="FAR231" s="1"/>
      <c r="FAS231" s="1"/>
      <c r="FAT231" s="1"/>
      <c r="FAU231" s="1"/>
      <c r="FAV231" s="1"/>
      <c r="FAW231" s="1"/>
      <c r="FAX231" s="1"/>
      <c r="FAY231" s="1"/>
      <c r="FAZ231" s="1"/>
      <c r="FBA231" s="1"/>
      <c r="FBB231" s="1"/>
      <c r="FBC231" s="1"/>
      <c r="FBD231" s="1"/>
      <c r="FBE231" s="1"/>
      <c r="FBF231" s="1"/>
      <c r="FBG231" s="1"/>
      <c r="FBH231" s="1"/>
      <c r="FBI231" s="1"/>
      <c r="FBJ231" s="1"/>
      <c r="FBK231" s="1"/>
      <c r="FBL231" s="1"/>
      <c r="FBM231" s="1"/>
      <c r="FBN231" s="1"/>
      <c r="FBO231" s="1"/>
      <c r="FBP231" s="1"/>
      <c r="FBQ231" s="1"/>
      <c r="FBR231" s="1"/>
      <c r="FBS231" s="1"/>
      <c r="FBT231" s="1"/>
      <c r="FBU231" s="1"/>
      <c r="FBV231" s="1"/>
      <c r="FBW231" s="1"/>
      <c r="FBX231" s="1"/>
      <c r="FBY231" s="1"/>
      <c r="FBZ231" s="1"/>
      <c r="FCA231" s="1"/>
      <c r="FCB231" s="1"/>
      <c r="FCC231" s="1"/>
      <c r="FCD231" s="1"/>
      <c r="FCE231" s="1"/>
      <c r="FCF231" s="1"/>
      <c r="FCG231" s="1"/>
      <c r="FCH231" s="1"/>
      <c r="FCI231" s="1"/>
      <c r="FCJ231" s="1"/>
      <c r="FCK231" s="1"/>
      <c r="FCL231" s="1"/>
      <c r="FCM231" s="1"/>
      <c r="FCN231" s="1"/>
      <c r="FCO231" s="1"/>
      <c r="FCP231" s="1"/>
      <c r="FCQ231" s="1"/>
      <c r="FCR231" s="1"/>
      <c r="FCS231" s="1"/>
      <c r="FCT231" s="1"/>
      <c r="FCU231" s="1"/>
      <c r="FCV231" s="1"/>
      <c r="FCW231" s="1"/>
      <c r="FCX231" s="1"/>
      <c r="FCY231" s="1"/>
      <c r="FCZ231" s="1"/>
      <c r="FDA231" s="1"/>
      <c r="FDB231" s="1"/>
      <c r="FDC231" s="1"/>
      <c r="FDD231" s="1"/>
      <c r="FDE231" s="1"/>
      <c r="FDF231" s="1"/>
      <c r="FDG231" s="1"/>
      <c r="FDH231" s="1"/>
      <c r="FDI231" s="1"/>
      <c r="FDJ231" s="1"/>
      <c r="FDK231" s="1"/>
      <c r="FDL231" s="1"/>
      <c r="FDM231" s="1"/>
      <c r="FDN231" s="1"/>
      <c r="FDO231" s="1"/>
      <c r="FDP231" s="1"/>
      <c r="FDQ231" s="1"/>
      <c r="FDR231" s="1"/>
      <c r="FDS231" s="1"/>
      <c r="FDT231" s="1"/>
      <c r="FDU231" s="1"/>
      <c r="FDV231" s="1"/>
      <c r="FDW231" s="1"/>
      <c r="FDX231" s="1"/>
      <c r="FDY231" s="1"/>
      <c r="FDZ231" s="1"/>
      <c r="FEA231" s="1"/>
      <c r="FEB231" s="1"/>
      <c r="FEC231" s="1"/>
      <c r="FED231" s="1"/>
      <c r="FEE231" s="1"/>
      <c r="FEF231" s="1"/>
      <c r="FEG231" s="1"/>
      <c r="FEH231" s="1"/>
      <c r="FEI231" s="1"/>
      <c r="FEJ231" s="1"/>
      <c r="FEK231" s="1"/>
      <c r="FEL231" s="1"/>
      <c r="FEM231" s="1"/>
      <c r="FEN231" s="1"/>
      <c r="FEO231" s="1"/>
      <c r="FEP231" s="1"/>
      <c r="FEQ231" s="1"/>
      <c r="FER231" s="1"/>
      <c r="FES231" s="1"/>
      <c r="FET231" s="1"/>
      <c r="FEU231" s="1"/>
      <c r="FEV231" s="1"/>
      <c r="FEW231" s="1"/>
      <c r="FEX231" s="1"/>
      <c r="FEY231" s="1"/>
      <c r="FEZ231" s="1"/>
      <c r="FFA231" s="1"/>
      <c r="FFB231" s="1"/>
      <c r="FFC231" s="1"/>
      <c r="FFD231" s="1"/>
      <c r="FFE231" s="1"/>
      <c r="FFF231" s="1"/>
      <c r="FFG231" s="1"/>
      <c r="FFH231" s="1"/>
      <c r="FFI231" s="1"/>
      <c r="FFJ231" s="1"/>
      <c r="FFK231" s="1"/>
      <c r="FFL231" s="1"/>
      <c r="FFM231" s="1"/>
      <c r="FFN231" s="1"/>
      <c r="FFO231" s="1"/>
      <c r="FFP231" s="1"/>
      <c r="FFQ231" s="1"/>
      <c r="FFR231" s="1"/>
      <c r="FFS231" s="1"/>
      <c r="FFT231" s="1"/>
      <c r="FFU231" s="1"/>
      <c r="FFV231" s="1"/>
      <c r="FFW231" s="1"/>
      <c r="FFX231" s="1"/>
      <c r="FFY231" s="1"/>
      <c r="FFZ231" s="1"/>
      <c r="FGA231" s="1"/>
      <c r="FGB231" s="1"/>
      <c r="FGC231" s="1"/>
      <c r="FGD231" s="1"/>
      <c r="FGE231" s="1"/>
      <c r="FGF231" s="1"/>
      <c r="FGG231" s="1"/>
      <c r="FGH231" s="1"/>
      <c r="FGI231" s="1"/>
      <c r="FGJ231" s="1"/>
      <c r="FGK231" s="1"/>
      <c r="FGL231" s="1"/>
      <c r="FGM231" s="1"/>
      <c r="FGN231" s="1"/>
      <c r="FGO231" s="1"/>
      <c r="FGP231" s="1"/>
      <c r="FGQ231" s="1"/>
      <c r="FGR231" s="1"/>
      <c r="FGS231" s="1"/>
      <c r="FGT231" s="1"/>
      <c r="FGU231" s="1"/>
      <c r="FGV231" s="1"/>
      <c r="FGW231" s="1"/>
      <c r="FGX231" s="1"/>
      <c r="FGY231" s="1"/>
      <c r="FGZ231" s="1"/>
      <c r="FHA231" s="1"/>
      <c r="FHB231" s="1"/>
      <c r="FHC231" s="1"/>
      <c r="FHD231" s="1"/>
      <c r="FHE231" s="1"/>
      <c r="FHF231" s="1"/>
      <c r="FHG231" s="1"/>
      <c r="FHH231" s="1"/>
      <c r="FHI231" s="1"/>
      <c r="FHJ231" s="1"/>
      <c r="FHK231" s="1"/>
      <c r="FHL231" s="1"/>
      <c r="FHM231" s="1"/>
      <c r="FHN231" s="1"/>
      <c r="FHO231" s="1"/>
      <c r="FHP231" s="1"/>
      <c r="FHQ231" s="1"/>
      <c r="FHR231" s="1"/>
      <c r="FHS231" s="1"/>
      <c r="FHT231" s="1"/>
      <c r="FHU231" s="1"/>
      <c r="FHV231" s="1"/>
      <c r="FHW231" s="1"/>
      <c r="FHX231" s="1"/>
      <c r="FHY231" s="1"/>
      <c r="FHZ231" s="1"/>
      <c r="FIA231" s="1"/>
      <c r="FIB231" s="1"/>
      <c r="FIC231" s="1"/>
      <c r="FID231" s="1"/>
      <c r="FIE231" s="1"/>
      <c r="FIF231" s="1"/>
      <c r="FIG231" s="1"/>
      <c r="FIH231" s="1"/>
      <c r="FII231" s="1"/>
      <c r="FIJ231" s="1"/>
      <c r="FIK231" s="1"/>
      <c r="FIL231" s="1"/>
      <c r="FIM231" s="1"/>
      <c r="FIN231" s="1"/>
      <c r="FIO231" s="1"/>
      <c r="FIP231" s="1"/>
      <c r="FIQ231" s="1"/>
      <c r="FIR231" s="1"/>
      <c r="FIS231" s="1"/>
      <c r="FIT231" s="1"/>
      <c r="FIU231" s="1"/>
      <c r="FIV231" s="1"/>
      <c r="FIW231" s="1"/>
      <c r="FIX231" s="1"/>
      <c r="FIY231" s="1"/>
      <c r="FIZ231" s="1"/>
      <c r="FJA231" s="1"/>
      <c r="FJB231" s="1"/>
      <c r="FJC231" s="1"/>
      <c r="FJD231" s="1"/>
      <c r="FJE231" s="1"/>
      <c r="FJF231" s="1"/>
      <c r="FJG231" s="1"/>
      <c r="FJH231" s="1"/>
      <c r="FJI231" s="1"/>
      <c r="FJJ231" s="1"/>
      <c r="FJK231" s="1"/>
      <c r="FJL231" s="1"/>
      <c r="FJM231" s="1"/>
      <c r="FJN231" s="1"/>
      <c r="FJO231" s="1"/>
      <c r="FJP231" s="1"/>
      <c r="FJQ231" s="1"/>
      <c r="FJR231" s="1"/>
      <c r="FJS231" s="1"/>
      <c r="FJT231" s="1"/>
      <c r="FJU231" s="1"/>
      <c r="FJV231" s="1"/>
      <c r="FJW231" s="1"/>
      <c r="FJX231" s="1"/>
      <c r="FJY231" s="1"/>
      <c r="FJZ231" s="1"/>
      <c r="FKA231" s="1"/>
      <c r="FKB231" s="1"/>
      <c r="FKC231" s="1"/>
      <c r="FKD231" s="1"/>
      <c r="FKE231" s="1"/>
      <c r="FKF231" s="1"/>
      <c r="FKG231" s="1"/>
      <c r="FKH231" s="1"/>
      <c r="FKI231" s="1"/>
      <c r="FKJ231" s="1"/>
      <c r="FKK231" s="1"/>
      <c r="FKL231" s="1"/>
      <c r="FKM231" s="1"/>
      <c r="FKN231" s="1"/>
      <c r="FKO231" s="1"/>
      <c r="FKP231" s="1"/>
      <c r="FKQ231" s="1"/>
      <c r="FKR231" s="1"/>
      <c r="FKS231" s="1"/>
      <c r="FKT231" s="1"/>
      <c r="FKU231" s="1"/>
      <c r="FKV231" s="1"/>
      <c r="FKW231" s="1"/>
      <c r="FKX231" s="1"/>
      <c r="FKY231" s="1"/>
      <c r="FKZ231" s="1"/>
      <c r="FLA231" s="1"/>
      <c r="FLB231" s="1"/>
      <c r="FLC231" s="1"/>
      <c r="FLD231" s="1"/>
      <c r="FLE231" s="1"/>
      <c r="FLF231" s="1"/>
      <c r="FLG231" s="1"/>
      <c r="FLH231" s="1"/>
      <c r="FLI231" s="1"/>
      <c r="FLJ231" s="1"/>
      <c r="FLK231" s="1"/>
      <c r="FLL231" s="1"/>
      <c r="FLM231" s="1"/>
      <c r="FLN231" s="1"/>
      <c r="FLO231" s="1"/>
      <c r="FLP231" s="1"/>
      <c r="FLQ231" s="1"/>
      <c r="FLR231" s="1"/>
      <c r="FLS231" s="1"/>
      <c r="FLT231" s="1"/>
      <c r="FLU231" s="1"/>
      <c r="FLV231" s="1"/>
      <c r="FLW231" s="1"/>
      <c r="FLX231" s="1"/>
      <c r="FLY231" s="1"/>
      <c r="FLZ231" s="1"/>
      <c r="FMA231" s="1"/>
      <c r="FMB231" s="1"/>
      <c r="FMC231" s="1"/>
      <c r="FMD231" s="1"/>
      <c r="FME231" s="1"/>
      <c r="FMF231" s="1"/>
      <c r="FMG231" s="1"/>
      <c r="FMH231" s="1"/>
      <c r="FMI231" s="1"/>
      <c r="FMJ231" s="1"/>
      <c r="FMK231" s="1"/>
      <c r="FML231" s="1"/>
      <c r="FMM231" s="1"/>
      <c r="FMN231" s="1"/>
      <c r="FMO231" s="1"/>
      <c r="FMP231" s="1"/>
      <c r="FMQ231" s="1"/>
      <c r="FMR231" s="1"/>
      <c r="FMS231" s="1"/>
      <c r="FMT231" s="1"/>
      <c r="FMU231" s="1"/>
      <c r="FMV231" s="1"/>
      <c r="FMW231" s="1"/>
      <c r="FMX231" s="1"/>
      <c r="FMY231" s="1"/>
      <c r="FMZ231" s="1"/>
      <c r="FNA231" s="1"/>
      <c r="FNB231" s="1"/>
      <c r="FNC231" s="1"/>
      <c r="FND231" s="1"/>
      <c r="FNE231" s="1"/>
      <c r="FNF231" s="1"/>
      <c r="FNG231" s="1"/>
      <c r="FNH231" s="1"/>
      <c r="FNI231" s="1"/>
      <c r="FNJ231" s="1"/>
      <c r="FNK231" s="1"/>
      <c r="FNL231" s="1"/>
      <c r="FNM231" s="1"/>
      <c r="FNN231" s="1"/>
      <c r="FNO231" s="1"/>
      <c r="FNP231" s="1"/>
      <c r="FNQ231" s="1"/>
      <c r="FNR231" s="1"/>
      <c r="FNS231" s="1"/>
      <c r="FNT231" s="1"/>
      <c r="FNU231" s="1"/>
      <c r="FNV231" s="1"/>
      <c r="FNW231" s="1"/>
      <c r="FNX231" s="1"/>
      <c r="FNY231" s="1"/>
      <c r="FNZ231" s="1"/>
      <c r="FOA231" s="1"/>
      <c r="FOB231" s="1"/>
      <c r="FOC231" s="1"/>
      <c r="FOD231" s="1"/>
      <c r="FOE231" s="1"/>
      <c r="FOF231" s="1"/>
      <c r="FOG231" s="1"/>
      <c r="FOH231" s="1"/>
      <c r="FOI231" s="1"/>
      <c r="FOJ231" s="1"/>
      <c r="FOK231" s="1"/>
      <c r="FOL231" s="1"/>
      <c r="FOM231" s="1"/>
      <c r="FON231" s="1"/>
      <c r="FOO231" s="1"/>
      <c r="FOP231" s="1"/>
      <c r="FOQ231" s="1"/>
      <c r="FOR231" s="1"/>
      <c r="FOS231" s="1"/>
      <c r="FOT231" s="1"/>
      <c r="FOU231" s="1"/>
      <c r="FOV231" s="1"/>
      <c r="FOW231" s="1"/>
      <c r="FOX231" s="1"/>
      <c r="FOY231" s="1"/>
      <c r="FOZ231" s="1"/>
      <c r="FPA231" s="1"/>
      <c r="FPB231" s="1"/>
      <c r="FPC231" s="1"/>
      <c r="FPD231" s="1"/>
      <c r="FPE231" s="1"/>
      <c r="FPF231" s="1"/>
      <c r="FPG231" s="1"/>
      <c r="FPH231" s="1"/>
      <c r="FPI231" s="1"/>
      <c r="FPJ231" s="1"/>
      <c r="FPK231" s="1"/>
      <c r="FPL231" s="1"/>
      <c r="FPM231" s="1"/>
      <c r="FPN231" s="1"/>
      <c r="FPO231" s="1"/>
      <c r="FPP231" s="1"/>
      <c r="FPQ231" s="1"/>
      <c r="FPR231" s="1"/>
      <c r="FPS231" s="1"/>
      <c r="FPT231" s="1"/>
      <c r="FPU231" s="1"/>
      <c r="FPV231" s="1"/>
      <c r="FPW231" s="1"/>
      <c r="FPX231" s="1"/>
      <c r="FPY231" s="1"/>
      <c r="FPZ231" s="1"/>
      <c r="FQA231" s="1"/>
      <c r="FQB231" s="1"/>
      <c r="FQC231" s="1"/>
      <c r="FQD231" s="1"/>
      <c r="FQE231" s="1"/>
      <c r="FQF231" s="1"/>
      <c r="FQG231" s="1"/>
      <c r="FQH231" s="1"/>
      <c r="FQI231" s="1"/>
      <c r="FQJ231" s="1"/>
      <c r="FQK231" s="1"/>
      <c r="FQL231" s="1"/>
      <c r="FQM231" s="1"/>
      <c r="FQN231" s="1"/>
      <c r="FQO231" s="1"/>
      <c r="FQP231" s="1"/>
      <c r="FQQ231" s="1"/>
      <c r="FQR231" s="1"/>
      <c r="FQS231" s="1"/>
      <c r="FQT231" s="1"/>
      <c r="FQU231" s="1"/>
      <c r="FQV231" s="1"/>
      <c r="FQW231" s="1"/>
      <c r="FQX231" s="1"/>
      <c r="FQY231" s="1"/>
      <c r="FQZ231" s="1"/>
      <c r="FRA231" s="1"/>
      <c r="FRB231" s="1"/>
      <c r="FRC231" s="1"/>
      <c r="FRD231" s="1"/>
      <c r="FRE231" s="1"/>
      <c r="FRF231" s="1"/>
      <c r="FRG231" s="1"/>
      <c r="FRH231" s="1"/>
      <c r="FRI231" s="1"/>
      <c r="FRJ231" s="1"/>
      <c r="FRK231" s="1"/>
      <c r="FRL231" s="1"/>
      <c r="FRM231" s="1"/>
      <c r="FRN231" s="1"/>
      <c r="FRO231" s="1"/>
      <c r="FRP231" s="1"/>
      <c r="FRQ231" s="1"/>
      <c r="FRR231" s="1"/>
      <c r="FRS231" s="1"/>
      <c r="FRT231" s="1"/>
      <c r="FRU231" s="1"/>
      <c r="FRV231" s="1"/>
      <c r="FRW231" s="1"/>
      <c r="FRX231" s="1"/>
      <c r="FRY231" s="1"/>
      <c r="FRZ231" s="1"/>
      <c r="FSA231" s="1"/>
      <c r="FSB231" s="1"/>
      <c r="FSC231" s="1"/>
      <c r="FSD231" s="1"/>
      <c r="FSE231" s="1"/>
      <c r="FSF231" s="1"/>
      <c r="FSG231" s="1"/>
      <c r="FSH231" s="1"/>
      <c r="FSI231" s="1"/>
      <c r="FSJ231" s="1"/>
      <c r="FSK231" s="1"/>
      <c r="FSL231" s="1"/>
      <c r="FSM231" s="1"/>
      <c r="FSN231" s="1"/>
      <c r="FSO231" s="1"/>
      <c r="FSP231" s="1"/>
      <c r="FSQ231" s="1"/>
      <c r="FSR231" s="1"/>
      <c r="FSS231" s="1"/>
      <c r="FST231" s="1"/>
      <c r="FSU231" s="1"/>
      <c r="FSV231" s="1"/>
      <c r="FSW231" s="1"/>
      <c r="FSX231" s="1"/>
      <c r="FSY231" s="1"/>
      <c r="FSZ231" s="1"/>
      <c r="FTA231" s="1"/>
      <c r="FTB231" s="1"/>
      <c r="FTC231" s="1"/>
      <c r="FTD231" s="1"/>
      <c r="FTE231" s="1"/>
      <c r="FTF231" s="1"/>
      <c r="FTG231" s="1"/>
      <c r="FTH231" s="1"/>
      <c r="FTI231" s="1"/>
      <c r="FTJ231" s="1"/>
      <c r="FTK231" s="1"/>
      <c r="FTL231" s="1"/>
      <c r="FTM231" s="1"/>
      <c r="FTN231" s="1"/>
      <c r="FTO231" s="1"/>
      <c r="FTP231" s="1"/>
      <c r="FTQ231" s="1"/>
      <c r="FTR231" s="1"/>
      <c r="FTS231" s="1"/>
      <c r="FTT231" s="1"/>
      <c r="FTU231" s="1"/>
      <c r="FTV231" s="1"/>
      <c r="FTW231" s="1"/>
      <c r="FTX231" s="1"/>
      <c r="FTY231" s="1"/>
      <c r="FTZ231" s="1"/>
      <c r="FUA231" s="1"/>
      <c r="FUB231" s="1"/>
      <c r="FUC231" s="1"/>
      <c r="FUD231" s="1"/>
      <c r="FUE231" s="1"/>
      <c r="FUF231" s="1"/>
      <c r="FUG231" s="1"/>
      <c r="FUH231" s="1"/>
      <c r="FUI231" s="1"/>
      <c r="FUJ231" s="1"/>
      <c r="FUK231" s="1"/>
      <c r="FUL231" s="1"/>
      <c r="FUM231" s="1"/>
      <c r="FUN231" s="1"/>
      <c r="FUO231" s="1"/>
      <c r="FUP231" s="1"/>
      <c r="FUQ231" s="1"/>
      <c r="FUR231" s="1"/>
      <c r="FUS231" s="1"/>
      <c r="FUT231" s="1"/>
      <c r="FUU231" s="1"/>
      <c r="FUV231" s="1"/>
      <c r="FUW231" s="1"/>
      <c r="FUX231" s="1"/>
      <c r="FUY231" s="1"/>
      <c r="FUZ231" s="1"/>
      <c r="FVA231" s="1"/>
      <c r="FVB231" s="1"/>
      <c r="FVC231" s="1"/>
      <c r="FVD231" s="1"/>
      <c r="FVE231" s="1"/>
      <c r="FVF231" s="1"/>
      <c r="FVG231" s="1"/>
      <c r="FVH231" s="1"/>
      <c r="FVI231" s="1"/>
      <c r="FVJ231" s="1"/>
      <c r="FVK231" s="1"/>
      <c r="FVL231" s="1"/>
      <c r="FVM231" s="1"/>
      <c r="FVN231" s="1"/>
      <c r="FVO231" s="1"/>
      <c r="FVP231" s="1"/>
      <c r="FVQ231" s="1"/>
      <c r="FVR231" s="1"/>
      <c r="FVS231" s="1"/>
      <c r="FVT231" s="1"/>
      <c r="FVU231" s="1"/>
      <c r="FVV231" s="1"/>
      <c r="FVW231" s="1"/>
      <c r="FVX231" s="1"/>
      <c r="FVY231" s="1"/>
      <c r="FVZ231" s="1"/>
      <c r="FWA231" s="1"/>
      <c r="FWB231" s="1"/>
      <c r="FWC231" s="1"/>
      <c r="FWD231" s="1"/>
      <c r="FWE231" s="1"/>
      <c r="FWF231" s="1"/>
      <c r="FWG231" s="1"/>
      <c r="FWH231" s="1"/>
      <c r="FWI231" s="1"/>
      <c r="FWJ231" s="1"/>
      <c r="FWK231" s="1"/>
      <c r="FWL231" s="1"/>
      <c r="FWM231" s="1"/>
      <c r="FWN231" s="1"/>
      <c r="FWO231" s="1"/>
      <c r="FWP231" s="1"/>
      <c r="FWQ231" s="1"/>
      <c r="FWR231" s="1"/>
      <c r="FWS231" s="1"/>
      <c r="FWT231" s="1"/>
      <c r="FWU231" s="1"/>
      <c r="FWV231" s="1"/>
      <c r="FWW231" s="1"/>
      <c r="FWX231" s="1"/>
      <c r="FWY231" s="1"/>
      <c r="FWZ231" s="1"/>
      <c r="FXA231" s="1"/>
      <c r="FXB231" s="1"/>
      <c r="FXC231" s="1"/>
      <c r="FXD231" s="1"/>
      <c r="FXE231" s="1"/>
      <c r="FXF231" s="1"/>
      <c r="FXG231" s="1"/>
      <c r="FXH231" s="1"/>
      <c r="FXI231" s="1"/>
      <c r="FXJ231" s="1"/>
      <c r="FXK231" s="1"/>
      <c r="FXL231" s="1"/>
      <c r="FXM231" s="1"/>
      <c r="FXN231" s="1"/>
      <c r="FXO231" s="1"/>
      <c r="FXP231" s="1"/>
      <c r="FXQ231" s="1"/>
      <c r="FXR231" s="1"/>
      <c r="FXS231" s="1"/>
      <c r="FXT231" s="1"/>
      <c r="FXU231" s="1"/>
      <c r="FXV231" s="1"/>
      <c r="FXW231" s="1"/>
      <c r="FXX231" s="1"/>
      <c r="FXY231" s="1"/>
      <c r="FXZ231" s="1"/>
      <c r="FYA231" s="1"/>
      <c r="FYB231" s="1"/>
      <c r="FYC231" s="1"/>
      <c r="FYD231" s="1"/>
      <c r="FYE231" s="1"/>
      <c r="FYF231" s="1"/>
      <c r="FYG231" s="1"/>
      <c r="FYH231" s="1"/>
      <c r="FYI231" s="1"/>
      <c r="FYJ231" s="1"/>
      <c r="FYK231" s="1"/>
      <c r="FYL231" s="1"/>
      <c r="FYM231" s="1"/>
      <c r="FYN231" s="1"/>
      <c r="FYO231" s="1"/>
      <c r="FYP231" s="1"/>
      <c r="FYQ231" s="1"/>
      <c r="FYR231" s="1"/>
      <c r="FYS231" s="1"/>
      <c r="FYT231" s="1"/>
      <c r="FYU231" s="1"/>
      <c r="FYV231" s="1"/>
      <c r="FYW231" s="1"/>
      <c r="FYX231" s="1"/>
      <c r="FYY231" s="1"/>
      <c r="FYZ231" s="1"/>
      <c r="FZA231" s="1"/>
      <c r="FZB231" s="1"/>
      <c r="FZC231" s="1"/>
      <c r="FZD231" s="1"/>
      <c r="FZE231" s="1"/>
      <c r="FZF231" s="1"/>
      <c r="FZG231" s="1"/>
      <c r="FZH231" s="1"/>
      <c r="FZI231" s="1"/>
      <c r="FZJ231" s="1"/>
      <c r="FZK231" s="1"/>
      <c r="FZL231" s="1"/>
      <c r="FZM231" s="1"/>
      <c r="FZN231" s="1"/>
      <c r="FZO231" s="1"/>
      <c r="FZP231" s="1"/>
      <c r="FZQ231" s="1"/>
      <c r="FZR231" s="1"/>
      <c r="FZS231" s="1"/>
      <c r="FZT231" s="1"/>
      <c r="FZU231" s="1"/>
      <c r="FZV231" s="1"/>
      <c r="FZW231" s="1"/>
      <c r="FZX231" s="1"/>
      <c r="FZY231" s="1"/>
      <c r="FZZ231" s="1"/>
      <c r="GAA231" s="1"/>
      <c r="GAB231" s="1"/>
      <c r="GAC231" s="1"/>
      <c r="GAD231" s="1"/>
      <c r="GAE231" s="1"/>
      <c r="GAF231" s="1"/>
      <c r="GAG231" s="1"/>
      <c r="GAH231" s="1"/>
      <c r="GAI231" s="1"/>
      <c r="GAJ231" s="1"/>
      <c r="GAK231" s="1"/>
      <c r="GAL231" s="1"/>
      <c r="GAM231" s="1"/>
      <c r="GAN231" s="1"/>
      <c r="GAO231" s="1"/>
      <c r="GAP231" s="1"/>
      <c r="GAQ231" s="1"/>
      <c r="GAR231" s="1"/>
      <c r="GAS231" s="1"/>
      <c r="GAT231" s="1"/>
      <c r="GAU231" s="1"/>
      <c r="GAV231" s="1"/>
      <c r="GAW231" s="1"/>
      <c r="GAX231" s="1"/>
      <c r="GAY231" s="1"/>
      <c r="GAZ231" s="1"/>
      <c r="GBA231" s="1"/>
      <c r="GBB231" s="1"/>
      <c r="GBC231" s="1"/>
      <c r="GBD231" s="1"/>
      <c r="GBE231" s="1"/>
      <c r="GBF231" s="1"/>
      <c r="GBG231" s="1"/>
      <c r="GBH231" s="1"/>
      <c r="GBI231" s="1"/>
      <c r="GBJ231" s="1"/>
      <c r="GBK231" s="1"/>
      <c r="GBL231" s="1"/>
      <c r="GBM231" s="1"/>
      <c r="GBN231" s="1"/>
      <c r="GBO231" s="1"/>
      <c r="GBP231" s="1"/>
      <c r="GBQ231" s="1"/>
      <c r="GBR231" s="1"/>
      <c r="GBS231" s="1"/>
      <c r="GBT231" s="1"/>
      <c r="GBU231" s="1"/>
      <c r="GBV231" s="1"/>
      <c r="GBW231" s="1"/>
      <c r="GBX231" s="1"/>
      <c r="GBY231" s="1"/>
      <c r="GBZ231" s="1"/>
      <c r="GCA231" s="1"/>
      <c r="GCB231" s="1"/>
      <c r="GCC231" s="1"/>
      <c r="GCD231" s="1"/>
      <c r="GCE231" s="1"/>
      <c r="GCF231" s="1"/>
      <c r="GCG231" s="1"/>
      <c r="GCH231" s="1"/>
      <c r="GCI231" s="1"/>
      <c r="GCJ231" s="1"/>
      <c r="GCK231" s="1"/>
      <c r="GCL231" s="1"/>
      <c r="GCM231" s="1"/>
      <c r="GCN231" s="1"/>
      <c r="GCO231" s="1"/>
      <c r="GCP231" s="1"/>
      <c r="GCQ231" s="1"/>
      <c r="GCR231" s="1"/>
      <c r="GCS231" s="1"/>
      <c r="GCT231" s="1"/>
      <c r="GCU231" s="1"/>
      <c r="GCV231" s="1"/>
      <c r="GCW231" s="1"/>
      <c r="GCX231" s="1"/>
      <c r="GCY231" s="1"/>
      <c r="GCZ231" s="1"/>
      <c r="GDA231" s="1"/>
      <c r="GDB231" s="1"/>
      <c r="GDC231" s="1"/>
      <c r="GDD231" s="1"/>
      <c r="GDE231" s="1"/>
      <c r="GDF231" s="1"/>
      <c r="GDG231" s="1"/>
      <c r="GDH231" s="1"/>
      <c r="GDI231" s="1"/>
      <c r="GDJ231" s="1"/>
      <c r="GDK231" s="1"/>
      <c r="GDL231" s="1"/>
      <c r="GDM231" s="1"/>
      <c r="GDN231" s="1"/>
      <c r="GDO231" s="1"/>
      <c r="GDP231" s="1"/>
      <c r="GDQ231" s="1"/>
      <c r="GDR231" s="1"/>
      <c r="GDS231" s="1"/>
      <c r="GDT231" s="1"/>
      <c r="GDU231" s="1"/>
      <c r="GDV231" s="1"/>
      <c r="GDW231" s="1"/>
      <c r="GDX231" s="1"/>
      <c r="GDY231" s="1"/>
      <c r="GDZ231" s="1"/>
      <c r="GEA231" s="1"/>
      <c r="GEB231" s="1"/>
      <c r="GEC231" s="1"/>
      <c r="GED231" s="1"/>
      <c r="GEE231" s="1"/>
      <c r="GEF231" s="1"/>
      <c r="GEG231" s="1"/>
      <c r="GEH231" s="1"/>
      <c r="GEI231" s="1"/>
      <c r="GEJ231" s="1"/>
      <c r="GEK231" s="1"/>
      <c r="GEL231" s="1"/>
      <c r="GEM231" s="1"/>
      <c r="GEN231" s="1"/>
      <c r="GEO231" s="1"/>
      <c r="GEP231" s="1"/>
      <c r="GEQ231" s="1"/>
      <c r="GER231" s="1"/>
      <c r="GES231" s="1"/>
      <c r="GET231" s="1"/>
      <c r="GEU231" s="1"/>
      <c r="GEV231" s="1"/>
      <c r="GEW231" s="1"/>
      <c r="GEX231" s="1"/>
      <c r="GEY231" s="1"/>
      <c r="GEZ231" s="1"/>
      <c r="GFA231" s="1"/>
      <c r="GFB231" s="1"/>
      <c r="GFC231" s="1"/>
      <c r="GFD231" s="1"/>
      <c r="GFE231" s="1"/>
      <c r="GFF231" s="1"/>
      <c r="GFG231" s="1"/>
      <c r="GFH231" s="1"/>
      <c r="GFI231" s="1"/>
      <c r="GFJ231" s="1"/>
      <c r="GFK231" s="1"/>
      <c r="GFL231" s="1"/>
      <c r="GFM231" s="1"/>
      <c r="GFN231" s="1"/>
      <c r="GFO231" s="1"/>
      <c r="GFP231" s="1"/>
      <c r="GFQ231" s="1"/>
      <c r="GFR231" s="1"/>
      <c r="GFS231" s="1"/>
      <c r="GFT231" s="1"/>
      <c r="GFU231" s="1"/>
      <c r="GFV231" s="1"/>
      <c r="GFW231" s="1"/>
      <c r="GFX231" s="1"/>
      <c r="GFY231" s="1"/>
      <c r="GFZ231" s="1"/>
      <c r="GGA231" s="1"/>
      <c r="GGB231" s="1"/>
      <c r="GGC231" s="1"/>
      <c r="GGD231" s="1"/>
      <c r="GGE231" s="1"/>
      <c r="GGF231" s="1"/>
      <c r="GGG231" s="1"/>
      <c r="GGH231" s="1"/>
      <c r="GGI231" s="1"/>
      <c r="GGJ231" s="1"/>
      <c r="GGK231" s="1"/>
      <c r="GGL231" s="1"/>
      <c r="GGM231" s="1"/>
      <c r="GGN231" s="1"/>
      <c r="GGO231" s="1"/>
      <c r="GGP231" s="1"/>
      <c r="GGQ231" s="1"/>
      <c r="GGR231" s="1"/>
      <c r="GGS231" s="1"/>
      <c r="GGT231" s="1"/>
      <c r="GGU231" s="1"/>
      <c r="GGV231" s="1"/>
      <c r="GGW231" s="1"/>
      <c r="GGX231" s="1"/>
      <c r="GGY231" s="1"/>
      <c r="GGZ231" s="1"/>
      <c r="GHA231" s="1"/>
      <c r="GHB231" s="1"/>
      <c r="GHC231" s="1"/>
      <c r="GHD231" s="1"/>
      <c r="GHE231" s="1"/>
      <c r="GHF231" s="1"/>
      <c r="GHG231" s="1"/>
      <c r="GHH231" s="1"/>
      <c r="GHI231" s="1"/>
      <c r="GHJ231" s="1"/>
      <c r="GHK231" s="1"/>
      <c r="GHL231" s="1"/>
      <c r="GHM231" s="1"/>
      <c r="GHN231" s="1"/>
      <c r="GHO231" s="1"/>
      <c r="GHP231" s="1"/>
      <c r="GHQ231" s="1"/>
      <c r="GHR231" s="1"/>
      <c r="GHS231" s="1"/>
      <c r="GHT231" s="1"/>
      <c r="GHU231" s="1"/>
      <c r="GHV231" s="1"/>
      <c r="GHW231" s="1"/>
      <c r="GHX231" s="1"/>
      <c r="GHY231" s="1"/>
      <c r="GHZ231" s="1"/>
      <c r="GIA231" s="1"/>
      <c r="GIB231" s="1"/>
      <c r="GIC231" s="1"/>
      <c r="GID231" s="1"/>
      <c r="GIE231" s="1"/>
      <c r="GIF231" s="1"/>
      <c r="GIG231" s="1"/>
      <c r="GIH231" s="1"/>
      <c r="GII231" s="1"/>
      <c r="GIJ231" s="1"/>
      <c r="GIK231" s="1"/>
      <c r="GIL231" s="1"/>
      <c r="GIM231" s="1"/>
      <c r="GIN231" s="1"/>
      <c r="GIO231" s="1"/>
      <c r="GIP231" s="1"/>
      <c r="GIQ231" s="1"/>
      <c r="GIR231" s="1"/>
      <c r="GIS231" s="1"/>
      <c r="GIT231" s="1"/>
      <c r="GIU231" s="1"/>
      <c r="GIV231" s="1"/>
      <c r="GIW231" s="1"/>
      <c r="GIX231" s="1"/>
      <c r="GIY231" s="1"/>
      <c r="GIZ231" s="1"/>
      <c r="GJA231" s="1"/>
      <c r="GJB231" s="1"/>
      <c r="GJC231" s="1"/>
      <c r="GJD231" s="1"/>
      <c r="GJE231" s="1"/>
      <c r="GJF231" s="1"/>
      <c r="GJG231" s="1"/>
      <c r="GJH231" s="1"/>
      <c r="GJI231" s="1"/>
      <c r="GJJ231" s="1"/>
      <c r="GJK231" s="1"/>
      <c r="GJL231" s="1"/>
      <c r="GJM231" s="1"/>
      <c r="GJN231" s="1"/>
      <c r="GJO231" s="1"/>
      <c r="GJP231" s="1"/>
      <c r="GJQ231" s="1"/>
      <c r="GJR231" s="1"/>
      <c r="GJS231" s="1"/>
      <c r="GJT231" s="1"/>
      <c r="GJU231" s="1"/>
      <c r="GJV231" s="1"/>
      <c r="GJW231" s="1"/>
      <c r="GJX231" s="1"/>
      <c r="GJY231" s="1"/>
      <c r="GJZ231" s="1"/>
      <c r="GKA231" s="1"/>
      <c r="GKB231" s="1"/>
      <c r="GKC231" s="1"/>
      <c r="GKD231" s="1"/>
      <c r="GKE231" s="1"/>
      <c r="GKF231" s="1"/>
      <c r="GKG231" s="1"/>
      <c r="GKH231" s="1"/>
      <c r="GKI231" s="1"/>
      <c r="GKJ231" s="1"/>
      <c r="GKK231" s="1"/>
      <c r="GKL231" s="1"/>
      <c r="GKM231" s="1"/>
      <c r="GKN231" s="1"/>
      <c r="GKO231" s="1"/>
      <c r="GKP231" s="1"/>
      <c r="GKQ231" s="1"/>
      <c r="GKR231" s="1"/>
      <c r="GKS231" s="1"/>
      <c r="GKT231" s="1"/>
      <c r="GKU231" s="1"/>
      <c r="GKV231" s="1"/>
      <c r="GKW231" s="1"/>
      <c r="GKX231" s="1"/>
      <c r="GKY231" s="1"/>
      <c r="GKZ231" s="1"/>
      <c r="GLA231" s="1"/>
      <c r="GLB231" s="1"/>
      <c r="GLC231" s="1"/>
      <c r="GLD231" s="1"/>
      <c r="GLE231" s="1"/>
      <c r="GLF231" s="1"/>
      <c r="GLG231" s="1"/>
      <c r="GLH231" s="1"/>
      <c r="GLI231" s="1"/>
      <c r="GLJ231" s="1"/>
      <c r="GLK231" s="1"/>
      <c r="GLL231" s="1"/>
      <c r="GLM231" s="1"/>
      <c r="GLN231" s="1"/>
      <c r="GLO231" s="1"/>
      <c r="GLP231" s="1"/>
      <c r="GLQ231" s="1"/>
      <c r="GLR231" s="1"/>
      <c r="GLS231" s="1"/>
      <c r="GLT231" s="1"/>
      <c r="GLU231" s="1"/>
      <c r="GLV231" s="1"/>
      <c r="GLW231" s="1"/>
      <c r="GLX231" s="1"/>
      <c r="GLY231" s="1"/>
      <c r="GLZ231" s="1"/>
      <c r="GMA231" s="1"/>
      <c r="GMB231" s="1"/>
      <c r="GMC231" s="1"/>
      <c r="GMD231" s="1"/>
      <c r="GME231" s="1"/>
      <c r="GMF231" s="1"/>
      <c r="GMG231" s="1"/>
      <c r="GMH231" s="1"/>
      <c r="GMI231" s="1"/>
      <c r="GMJ231" s="1"/>
      <c r="GMK231" s="1"/>
      <c r="GML231" s="1"/>
      <c r="GMM231" s="1"/>
      <c r="GMN231" s="1"/>
      <c r="GMO231" s="1"/>
      <c r="GMP231" s="1"/>
      <c r="GMQ231" s="1"/>
      <c r="GMR231" s="1"/>
      <c r="GMS231" s="1"/>
      <c r="GMT231" s="1"/>
      <c r="GMU231" s="1"/>
      <c r="GMV231" s="1"/>
      <c r="GMW231" s="1"/>
      <c r="GMX231" s="1"/>
      <c r="GMY231" s="1"/>
      <c r="GMZ231" s="1"/>
      <c r="GNA231" s="1"/>
      <c r="GNB231" s="1"/>
      <c r="GNC231" s="1"/>
      <c r="GND231" s="1"/>
      <c r="GNE231" s="1"/>
      <c r="GNF231" s="1"/>
      <c r="GNG231" s="1"/>
      <c r="GNH231" s="1"/>
      <c r="GNI231" s="1"/>
      <c r="GNJ231" s="1"/>
      <c r="GNK231" s="1"/>
      <c r="GNL231" s="1"/>
      <c r="GNM231" s="1"/>
      <c r="GNN231" s="1"/>
      <c r="GNO231" s="1"/>
      <c r="GNP231" s="1"/>
      <c r="GNQ231" s="1"/>
      <c r="GNR231" s="1"/>
      <c r="GNS231" s="1"/>
      <c r="GNT231" s="1"/>
      <c r="GNU231" s="1"/>
      <c r="GNV231" s="1"/>
      <c r="GNW231" s="1"/>
      <c r="GNX231" s="1"/>
      <c r="GNY231" s="1"/>
      <c r="GNZ231" s="1"/>
      <c r="GOA231" s="1"/>
      <c r="GOB231" s="1"/>
      <c r="GOC231" s="1"/>
      <c r="GOD231" s="1"/>
      <c r="GOE231" s="1"/>
      <c r="GOF231" s="1"/>
      <c r="GOG231" s="1"/>
      <c r="GOH231" s="1"/>
      <c r="GOI231" s="1"/>
      <c r="GOJ231" s="1"/>
      <c r="GOK231" s="1"/>
      <c r="GOL231" s="1"/>
      <c r="GOM231" s="1"/>
      <c r="GON231" s="1"/>
      <c r="GOO231" s="1"/>
      <c r="GOP231" s="1"/>
      <c r="GOQ231" s="1"/>
      <c r="GOR231" s="1"/>
      <c r="GOS231" s="1"/>
      <c r="GOT231" s="1"/>
      <c r="GOU231" s="1"/>
      <c r="GOV231" s="1"/>
      <c r="GOW231" s="1"/>
      <c r="GOX231" s="1"/>
      <c r="GOY231" s="1"/>
      <c r="GOZ231" s="1"/>
      <c r="GPA231" s="1"/>
      <c r="GPB231" s="1"/>
      <c r="GPC231" s="1"/>
      <c r="GPD231" s="1"/>
      <c r="GPE231" s="1"/>
      <c r="GPF231" s="1"/>
      <c r="GPG231" s="1"/>
      <c r="GPH231" s="1"/>
      <c r="GPI231" s="1"/>
      <c r="GPJ231" s="1"/>
      <c r="GPK231" s="1"/>
      <c r="GPL231" s="1"/>
      <c r="GPM231" s="1"/>
      <c r="GPN231" s="1"/>
      <c r="GPO231" s="1"/>
      <c r="GPP231" s="1"/>
      <c r="GPQ231" s="1"/>
      <c r="GPR231" s="1"/>
      <c r="GPS231" s="1"/>
      <c r="GPT231" s="1"/>
      <c r="GPU231" s="1"/>
      <c r="GPV231" s="1"/>
      <c r="GPW231" s="1"/>
      <c r="GPX231" s="1"/>
      <c r="GPY231" s="1"/>
      <c r="GPZ231" s="1"/>
      <c r="GQA231" s="1"/>
      <c r="GQB231" s="1"/>
      <c r="GQC231" s="1"/>
      <c r="GQD231" s="1"/>
      <c r="GQE231" s="1"/>
      <c r="GQF231" s="1"/>
      <c r="GQG231" s="1"/>
      <c r="GQH231" s="1"/>
      <c r="GQI231" s="1"/>
      <c r="GQJ231" s="1"/>
      <c r="GQK231" s="1"/>
      <c r="GQL231" s="1"/>
      <c r="GQM231" s="1"/>
      <c r="GQN231" s="1"/>
      <c r="GQO231" s="1"/>
      <c r="GQP231" s="1"/>
      <c r="GQQ231" s="1"/>
      <c r="GQR231" s="1"/>
      <c r="GQS231" s="1"/>
      <c r="GQT231" s="1"/>
      <c r="GQU231" s="1"/>
      <c r="GQV231" s="1"/>
      <c r="GQW231" s="1"/>
      <c r="GQX231" s="1"/>
      <c r="GQY231" s="1"/>
      <c r="GQZ231" s="1"/>
      <c r="GRA231" s="1"/>
      <c r="GRB231" s="1"/>
      <c r="GRC231" s="1"/>
      <c r="GRD231" s="1"/>
      <c r="GRE231" s="1"/>
      <c r="GRF231" s="1"/>
      <c r="GRG231" s="1"/>
      <c r="GRH231" s="1"/>
      <c r="GRI231" s="1"/>
      <c r="GRJ231" s="1"/>
      <c r="GRK231" s="1"/>
      <c r="GRL231" s="1"/>
      <c r="GRM231" s="1"/>
      <c r="GRN231" s="1"/>
      <c r="GRO231" s="1"/>
      <c r="GRP231" s="1"/>
      <c r="GRQ231" s="1"/>
      <c r="GRR231" s="1"/>
      <c r="GRS231" s="1"/>
      <c r="GRT231" s="1"/>
      <c r="GRU231" s="1"/>
      <c r="GRV231" s="1"/>
      <c r="GRW231" s="1"/>
      <c r="GRX231" s="1"/>
      <c r="GRY231" s="1"/>
      <c r="GRZ231" s="1"/>
      <c r="GSA231" s="1"/>
      <c r="GSB231" s="1"/>
      <c r="GSC231" s="1"/>
      <c r="GSD231" s="1"/>
      <c r="GSE231" s="1"/>
      <c r="GSF231" s="1"/>
      <c r="GSG231" s="1"/>
      <c r="GSH231" s="1"/>
      <c r="GSI231" s="1"/>
      <c r="GSJ231" s="1"/>
      <c r="GSK231" s="1"/>
      <c r="GSL231" s="1"/>
      <c r="GSM231" s="1"/>
      <c r="GSN231" s="1"/>
      <c r="GSO231" s="1"/>
      <c r="GSP231" s="1"/>
      <c r="GSQ231" s="1"/>
      <c r="GSR231" s="1"/>
      <c r="GSS231" s="1"/>
      <c r="GST231" s="1"/>
      <c r="GSU231" s="1"/>
      <c r="GSV231" s="1"/>
      <c r="GSW231" s="1"/>
      <c r="GSX231" s="1"/>
      <c r="GSY231" s="1"/>
      <c r="GSZ231" s="1"/>
      <c r="GTA231" s="1"/>
      <c r="GTB231" s="1"/>
      <c r="GTC231" s="1"/>
      <c r="GTD231" s="1"/>
      <c r="GTE231" s="1"/>
      <c r="GTF231" s="1"/>
      <c r="GTG231" s="1"/>
      <c r="GTH231" s="1"/>
      <c r="GTI231" s="1"/>
      <c r="GTJ231" s="1"/>
      <c r="GTK231" s="1"/>
      <c r="GTL231" s="1"/>
      <c r="GTM231" s="1"/>
      <c r="GTN231" s="1"/>
      <c r="GTO231" s="1"/>
      <c r="GTP231" s="1"/>
      <c r="GTQ231" s="1"/>
      <c r="GTR231" s="1"/>
      <c r="GTS231" s="1"/>
      <c r="GTT231" s="1"/>
      <c r="GTU231" s="1"/>
      <c r="GTV231" s="1"/>
      <c r="GTW231" s="1"/>
      <c r="GTX231" s="1"/>
      <c r="GTY231" s="1"/>
      <c r="GTZ231" s="1"/>
      <c r="GUA231" s="1"/>
      <c r="GUB231" s="1"/>
      <c r="GUC231" s="1"/>
      <c r="GUD231" s="1"/>
      <c r="GUE231" s="1"/>
      <c r="GUF231" s="1"/>
      <c r="GUG231" s="1"/>
      <c r="GUH231" s="1"/>
      <c r="GUI231" s="1"/>
      <c r="GUJ231" s="1"/>
      <c r="GUK231" s="1"/>
      <c r="GUL231" s="1"/>
      <c r="GUM231" s="1"/>
      <c r="GUN231" s="1"/>
      <c r="GUO231" s="1"/>
      <c r="GUP231" s="1"/>
      <c r="GUQ231" s="1"/>
      <c r="GUR231" s="1"/>
      <c r="GUS231" s="1"/>
      <c r="GUT231" s="1"/>
      <c r="GUU231" s="1"/>
      <c r="GUV231" s="1"/>
      <c r="GUW231" s="1"/>
      <c r="GUX231" s="1"/>
      <c r="GUY231" s="1"/>
      <c r="GUZ231" s="1"/>
      <c r="GVA231" s="1"/>
      <c r="GVB231" s="1"/>
      <c r="GVC231" s="1"/>
      <c r="GVD231" s="1"/>
      <c r="GVE231" s="1"/>
      <c r="GVF231" s="1"/>
      <c r="GVG231" s="1"/>
      <c r="GVH231" s="1"/>
      <c r="GVI231" s="1"/>
      <c r="GVJ231" s="1"/>
      <c r="GVK231" s="1"/>
      <c r="GVL231" s="1"/>
      <c r="GVM231" s="1"/>
      <c r="GVN231" s="1"/>
      <c r="GVO231" s="1"/>
      <c r="GVP231" s="1"/>
      <c r="GVQ231" s="1"/>
      <c r="GVR231" s="1"/>
      <c r="GVS231" s="1"/>
      <c r="GVT231" s="1"/>
      <c r="GVU231" s="1"/>
      <c r="GVV231" s="1"/>
      <c r="GVW231" s="1"/>
      <c r="GVX231" s="1"/>
      <c r="GVY231" s="1"/>
      <c r="GVZ231" s="1"/>
      <c r="GWA231" s="1"/>
      <c r="GWB231" s="1"/>
      <c r="GWC231" s="1"/>
      <c r="GWD231" s="1"/>
      <c r="GWE231" s="1"/>
      <c r="GWF231" s="1"/>
      <c r="GWG231" s="1"/>
      <c r="GWH231" s="1"/>
      <c r="GWI231" s="1"/>
      <c r="GWJ231" s="1"/>
      <c r="GWK231" s="1"/>
      <c r="GWL231" s="1"/>
      <c r="GWM231" s="1"/>
      <c r="GWN231" s="1"/>
      <c r="GWO231" s="1"/>
      <c r="GWP231" s="1"/>
      <c r="GWQ231" s="1"/>
      <c r="GWR231" s="1"/>
      <c r="GWS231" s="1"/>
      <c r="GWT231" s="1"/>
      <c r="GWU231" s="1"/>
      <c r="GWV231" s="1"/>
      <c r="GWW231" s="1"/>
      <c r="GWX231" s="1"/>
      <c r="GWY231" s="1"/>
      <c r="GWZ231" s="1"/>
      <c r="GXA231" s="1"/>
      <c r="GXB231" s="1"/>
      <c r="GXC231" s="1"/>
      <c r="GXD231" s="1"/>
      <c r="GXE231" s="1"/>
      <c r="GXF231" s="1"/>
      <c r="GXG231" s="1"/>
      <c r="GXH231" s="1"/>
      <c r="GXI231" s="1"/>
      <c r="GXJ231" s="1"/>
      <c r="GXK231" s="1"/>
      <c r="GXL231" s="1"/>
      <c r="GXM231" s="1"/>
      <c r="GXN231" s="1"/>
      <c r="GXO231" s="1"/>
      <c r="GXP231" s="1"/>
      <c r="GXQ231" s="1"/>
      <c r="GXR231" s="1"/>
      <c r="GXS231" s="1"/>
      <c r="GXT231" s="1"/>
      <c r="GXU231" s="1"/>
      <c r="GXV231" s="1"/>
      <c r="GXW231" s="1"/>
      <c r="GXX231" s="1"/>
      <c r="GXY231" s="1"/>
      <c r="GXZ231" s="1"/>
      <c r="GYA231" s="1"/>
      <c r="GYB231" s="1"/>
      <c r="GYC231" s="1"/>
      <c r="GYD231" s="1"/>
      <c r="GYE231" s="1"/>
      <c r="GYF231" s="1"/>
      <c r="GYG231" s="1"/>
      <c r="GYH231" s="1"/>
      <c r="GYI231" s="1"/>
      <c r="GYJ231" s="1"/>
      <c r="GYK231" s="1"/>
      <c r="GYL231" s="1"/>
      <c r="GYM231" s="1"/>
      <c r="GYN231" s="1"/>
      <c r="GYO231" s="1"/>
      <c r="GYP231" s="1"/>
      <c r="GYQ231" s="1"/>
      <c r="GYR231" s="1"/>
      <c r="GYS231" s="1"/>
      <c r="GYT231" s="1"/>
      <c r="GYU231" s="1"/>
      <c r="GYV231" s="1"/>
      <c r="GYW231" s="1"/>
      <c r="GYX231" s="1"/>
      <c r="GYY231" s="1"/>
      <c r="GYZ231" s="1"/>
      <c r="GZA231" s="1"/>
      <c r="GZB231" s="1"/>
      <c r="GZC231" s="1"/>
      <c r="GZD231" s="1"/>
      <c r="GZE231" s="1"/>
      <c r="GZF231" s="1"/>
      <c r="GZG231" s="1"/>
      <c r="GZH231" s="1"/>
      <c r="GZI231" s="1"/>
      <c r="GZJ231" s="1"/>
      <c r="GZK231" s="1"/>
      <c r="GZL231" s="1"/>
      <c r="GZM231" s="1"/>
      <c r="GZN231" s="1"/>
      <c r="GZO231" s="1"/>
      <c r="GZP231" s="1"/>
      <c r="GZQ231" s="1"/>
      <c r="GZR231" s="1"/>
      <c r="GZS231" s="1"/>
      <c r="GZT231" s="1"/>
      <c r="GZU231" s="1"/>
      <c r="GZV231" s="1"/>
      <c r="GZW231" s="1"/>
      <c r="GZX231" s="1"/>
      <c r="GZY231" s="1"/>
      <c r="GZZ231" s="1"/>
      <c r="HAA231" s="1"/>
      <c r="HAB231" s="1"/>
      <c r="HAC231" s="1"/>
      <c r="HAD231" s="1"/>
      <c r="HAE231" s="1"/>
      <c r="HAF231" s="1"/>
      <c r="HAG231" s="1"/>
      <c r="HAH231" s="1"/>
      <c r="HAI231" s="1"/>
      <c r="HAJ231" s="1"/>
      <c r="HAK231" s="1"/>
      <c r="HAL231" s="1"/>
      <c r="HAM231" s="1"/>
      <c r="HAN231" s="1"/>
      <c r="HAO231" s="1"/>
      <c r="HAP231" s="1"/>
      <c r="HAQ231" s="1"/>
      <c r="HAR231" s="1"/>
      <c r="HAS231" s="1"/>
      <c r="HAT231" s="1"/>
      <c r="HAU231" s="1"/>
      <c r="HAV231" s="1"/>
      <c r="HAW231" s="1"/>
      <c r="HAX231" s="1"/>
      <c r="HAY231" s="1"/>
      <c r="HAZ231" s="1"/>
      <c r="HBA231" s="1"/>
      <c r="HBB231" s="1"/>
      <c r="HBC231" s="1"/>
      <c r="HBD231" s="1"/>
      <c r="HBE231" s="1"/>
      <c r="HBF231" s="1"/>
      <c r="HBG231" s="1"/>
      <c r="HBH231" s="1"/>
      <c r="HBI231" s="1"/>
      <c r="HBJ231" s="1"/>
      <c r="HBK231" s="1"/>
      <c r="HBL231" s="1"/>
      <c r="HBM231" s="1"/>
      <c r="HBN231" s="1"/>
      <c r="HBO231" s="1"/>
      <c r="HBP231" s="1"/>
      <c r="HBQ231" s="1"/>
      <c r="HBR231" s="1"/>
      <c r="HBS231" s="1"/>
      <c r="HBT231" s="1"/>
      <c r="HBU231" s="1"/>
      <c r="HBV231" s="1"/>
      <c r="HBW231" s="1"/>
      <c r="HBX231" s="1"/>
      <c r="HBY231" s="1"/>
      <c r="HBZ231" s="1"/>
      <c r="HCA231" s="1"/>
      <c r="HCB231" s="1"/>
      <c r="HCC231" s="1"/>
      <c r="HCD231" s="1"/>
      <c r="HCE231" s="1"/>
      <c r="HCF231" s="1"/>
      <c r="HCG231" s="1"/>
      <c r="HCH231" s="1"/>
      <c r="HCI231" s="1"/>
      <c r="HCJ231" s="1"/>
      <c r="HCK231" s="1"/>
      <c r="HCL231" s="1"/>
      <c r="HCM231" s="1"/>
      <c r="HCN231" s="1"/>
      <c r="HCO231" s="1"/>
      <c r="HCP231" s="1"/>
      <c r="HCQ231" s="1"/>
      <c r="HCR231" s="1"/>
      <c r="HCS231" s="1"/>
      <c r="HCT231" s="1"/>
      <c r="HCU231" s="1"/>
      <c r="HCV231" s="1"/>
      <c r="HCW231" s="1"/>
      <c r="HCX231" s="1"/>
      <c r="HCY231" s="1"/>
      <c r="HCZ231" s="1"/>
      <c r="HDA231" s="1"/>
      <c r="HDB231" s="1"/>
      <c r="HDC231" s="1"/>
      <c r="HDD231" s="1"/>
      <c r="HDE231" s="1"/>
      <c r="HDF231" s="1"/>
      <c r="HDG231" s="1"/>
      <c r="HDH231" s="1"/>
      <c r="HDI231" s="1"/>
      <c r="HDJ231" s="1"/>
      <c r="HDK231" s="1"/>
      <c r="HDL231" s="1"/>
      <c r="HDM231" s="1"/>
      <c r="HDN231" s="1"/>
      <c r="HDO231" s="1"/>
      <c r="HDP231" s="1"/>
      <c r="HDQ231" s="1"/>
      <c r="HDR231" s="1"/>
      <c r="HDS231" s="1"/>
      <c r="HDT231" s="1"/>
      <c r="HDU231" s="1"/>
      <c r="HDV231" s="1"/>
      <c r="HDW231" s="1"/>
      <c r="HDX231" s="1"/>
      <c r="HDY231" s="1"/>
      <c r="HDZ231" s="1"/>
      <c r="HEA231" s="1"/>
      <c r="HEB231" s="1"/>
      <c r="HEC231" s="1"/>
      <c r="HED231" s="1"/>
      <c r="HEE231" s="1"/>
      <c r="HEF231" s="1"/>
      <c r="HEG231" s="1"/>
      <c r="HEH231" s="1"/>
      <c r="HEI231" s="1"/>
      <c r="HEJ231" s="1"/>
      <c r="HEK231" s="1"/>
      <c r="HEL231" s="1"/>
      <c r="HEM231" s="1"/>
      <c r="HEN231" s="1"/>
      <c r="HEO231" s="1"/>
      <c r="HEP231" s="1"/>
      <c r="HEQ231" s="1"/>
      <c r="HER231" s="1"/>
      <c r="HES231" s="1"/>
      <c r="HET231" s="1"/>
      <c r="HEU231" s="1"/>
      <c r="HEV231" s="1"/>
      <c r="HEW231" s="1"/>
      <c r="HEX231" s="1"/>
      <c r="HEY231" s="1"/>
      <c r="HEZ231" s="1"/>
      <c r="HFA231" s="1"/>
      <c r="HFB231" s="1"/>
      <c r="HFC231" s="1"/>
      <c r="HFD231" s="1"/>
      <c r="HFE231" s="1"/>
      <c r="HFF231" s="1"/>
      <c r="HFG231" s="1"/>
      <c r="HFH231" s="1"/>
      <c r="HFI231" s="1"/>
      <c r="HFJ231" s="1"/>
      <c r="HFK231" s="1"/>
      <c r="HFL231" s="1"/>
      <c r="HFM231" s="1"/>
      <c r="HFN231" s="1"/>
      <c r="HFO231" s="1"/>
      <c r="HFP231" s="1"/>
      <c r="HFQ231" s="1"/>
      <c r="HFR231" s="1"/>
      <c r="HFS231" s="1"/>
      <c r="HFT231" s="1"/>
      <c r="HFU231" s="1"/>
      <c r="HFV231" s="1"/>
      <c r="HFW231" s="1"/>
      <c r="HFX231" s="1"/>
      <c r="HFY231" s="1"/>
      <c r="HFZ231" s="1"/>
      <c r="HGA231" s="1"/>
      <c r="HGB231" s="1"/>
      <c r="HGC231" s="1"/>
      <c r="HGD231" s="1"/>
      <c r="HGE231" s="1"/>
      <c r="HGF231" s="1"/>
      <c r="HGG231" s="1"/>
      <c r="HGH231" s="1"/>
      <c r="HGI231" s="1"/>
      <c r="HGJ231" s="1"/>
      <c r="HGK231" s="1"/>
      <c r="HGL231" s="1"/>
      <c r="HGM231" s="1"/>
      <c r="HGN231" s="1"/>
      <c r="HGO231" s="1"/>
      <c r="HGP231" s="1"/>
      <c r="HGQ231" s="1"/>
      <c r="HGR231" s="1"/>
      <c r="HGS231" s="1"/>
      <c r="HGT231" s="1"/>
      <c r="HGU231" s="1"/>
      <c r="HGV231" s="1"/>
      <c r="HGW231" s="1"/>
      <c r="HGX231" s="1"/>
      <c r="HGY231" s="1"/>
      <c r="HGZ231" s="1"/>
      <c r="HHA231" s="1"/>
      <c r="HHB231" s="1"/>
      <c r="HHC231" s="1"/>
      <c r="HHD231" s="1"/>
      <c r="HHE231" s="1"/>
      <c r="HHF231" s="1"/>
      <c r="HHG231" s="1"/>
      <c r="HHH231" s="1"/>
      <c r="HHI231" s="1"/>
      <c r="HHJ231" s="1"/>
      <c r="HHK231" s="1"/>
      <c r="HHL231" s="1"/>
      <c r="HHM231" s="1"/>
      <c r="HHN231" s="1"/>
      <c r="HHO231" s="1"/>
      <c r="HHP231" s="1"/>
      <c r="HHQ231" s="1"/>
      <c r="HHR231" s="1"/>
      <c r="HHS231" s="1"/>
      <c r="HHT231" s="1"/>
      <c r="HHU231" s="1"/>
      <c r="HHV231" s="1"/>
      <c r="HHW231" s="1"/>
      <c r="HHX231" s="1"/>
      <c r="HHY231" s="1"/>
      <c r="HHZ231" s="1"/>
      <c r="HIA231" s="1"/>
      <c r="HIB231" s="1"/>
      <c r="HIC231" s="1"/>
      <c r="HID231" s="1"/>
      <c r="HIE231" s="1"/>
      <c r="HIF231" s="1"/>
      <c r="HIG231" s="1"/>
      <c r="HIH231" s="1"/>
      <c r="HII231" s="1"/>
      <c r="HIJ231" s="1"/>
      <c r="HIK231" s="1"/>
      <c r="HIL231" s="1"/>
      <c r="HIM231" s="1"/>
      <c r="HIN231" s="1"/>
      <c r="HIO231" s="1"/>
      <c r="HIP231" s="1"/>
      <c r="HIQ231" s="1"/>
      <c r="HIR231" s="1"/>
      <c r="HIS231" s="1"/>
      <c r="HIT231" s="1"/>
      <c r="HIU231" s="1"/>
      <c r="HIV231" s="1"/>
      <c r="HIW231" s="1"/>
      <c r="HIX231" s="1"/>
      <c r="HIY231" s="1"/>
      <c r="HIZ231" s="1"/>
      <c r="HJA231" s="1"/>
      <c r="HJB231" s="1"/>
      <c r="HJC231" s="1"/>
      <c r="HJD231" s="1"/>
      <c r="HJE231" s="1"/>
      <c r="HJF231" s="1"/>
      <c r="HJG231" s="1"/>
      <c r="HJH231" s="1"/>
      <c r="HJI231" s="1"/>
      <c r="HJJ231" s="1"/>
      <c r="HJK231" s="1"/>
      <c r="HJL231" s="1"/>
      <c r="HJM231" s="1"/>
      <c r="HJN231" s="1"/>
      <c r="HJO231" s="1"/>
      <c r="HJP231" s="1"/>
      <c r="HJQ231" s="1"/>
      <c r="HJR231" s="1"/>
      <c r="HJS231" s="1"/>
      <c r="HJT231" s="1"/>
      <c r="HJU231" s="1"/>
      <c r="HJV231" s="1"/>
      <c r="HJW231" s="1"/>
      <c r="HJX231" s="1"/>
      <c r="HJY231" s="1"/>
      <c r="HJZ231" s="1"/>
      <c r="HKA231" s="1"/>
      <c r="HKB231" s="1"/>
      <c r="HKC231" s="1"/>
      <c r="HKD231" s="1"/>
      <c r="HKE231" s="1"/>
      <c r="HKF231" s="1"/>
      <c r="HKG231" s="1"/>
      <c r="HKH231" s="1"/>
      <c r="HKI231" s="1"/>
      <c r="HKJ231" s="1"/>
      <c r="HKK231" s="1"/>
      <c r="HKL231" s="1"/>
      <c r="HKM231" s="1"/>
      <c r="HKN231" s="1"/>
      <c r="HKO231" s="1"/>
      <c r="HKP231" s="1"/>
      <c r="HKQ231" s="1"/>
      <c r="HKR231" s="1"/>
      <c r="HKS231" s="1"/>
      <c r="HKT231" s="1"/>
      <c r="HKU231" s="1"/>
      <c r="HKV231" s="1"/>
      <c r="HKW231" s="1"/>
      <c r="HKX231" s="1"/>
      <c r="HKY231" s="1"/>
      <c r="HKZ231" s="1"/>
      <c r="HLA231" s="1"/>
      <c r="HLB231" s="1"/>
      <c r="HLC231" s="1"/>
      <c r="HLD231" s="1"/>
      <c r="HLE231" s="1"/>
      <c r="HLF231" s="1"/>
      <c r="HLG231" s="1"/>
      <c r="HLH231" s="1"/>
      <c r="HLI231" s="1"/>
      <c r="HLJ231" s="1"/>
      <c r="HLK231" s="1"/>
      <c r="HLL231" s="1"/>
      <c r="HLM231" s="1"/>
      <c r="HLN231" s="1"/>
      <c r="HLO231" s="1"/>
      <c r="HLP231" s="1"/>
      <c r="HLQ231" s="1"/>
      <c r="HLR231" s="1"/>
      <c r="HLS231" s="1"/>
      <c r="HLT231" s="1"/>
      <c r="HLU231" s="1"/>
      <c r="HLV231" s="1"/>
      <c r="HLW231" s="1"/>
      <c r="HLX231" s="1"/>
      <c r="HLY231" s="1"/>
      <c r="HLZ231" s="1"/>
      <c r="HMA231" s="1"/>
      <c r="HMB231" s="1"/>
      <c r="HMC231" s="1"/>
      <c r="HMD231" s="1"/>
      <c r="HME231" s="1"/>
      <c r="HMF231" s="1"/>
      <c r="HMG231" s="1"/>
      <c r="HMH231" s="1"/>
      <c r="HMI231" s="1"/>
      <c r="HMJ231" s="1"/>
      <c r="HMK231" s="1"/>
      <c r="HML231" s="1"/>
      <c r="HMM231" s="1"/>
      <c r="HMN231" s="1"/>
      <c r="HMO231" s="1"/>
      <c r="HMP231" s="1"/>
      <c r="HMQ231" s="1"/>
      <c r="HMR231" s="1"/>
      <c r="HMS231" s="1"/>
      <c r="HMT231" s="1"/>
      <c r="HMU231" s="1"/>
      <c r="HMV231" s="1"/>
      <c r="HMW231" s="1"/>
      <c r="HMX231" s="1"/>
      <c r="HMY231" s="1"/>
      <c r="HMZ231" s="1"/>
      <c r="HNA231" s="1"/>
      <c r="HNB231" s="1"/>
      <c r="HNC231" s="1"/>
      <c r="HND231" s="1"/>
      <c r="HNE231" s="1"/>
      <c r="HNF231" s="1"/>
      <c r="HNG231" s="1"/>
      <c r="HNH231" s="1"/>
      <c r="HNI231" s="1"/>
      <c r="HNJ231" s="1"/>
      <c r="HNK231" s="1"/>
      <c r="HNL231" s="1"/>
      <c r="HNM231" s="1"/>
      <c r="HNN231" s="1"/>
      <c r="HNO231" s="1"/>
      <c r="HNP231" s="1"/>
      <c r="HNQ231" s="1"/>
      <c r="HNR231" s="1"/>
      <c r="HNS231" s="1"/>
      <c r="HNT231" s="1"/>
      <c r="HNU231" s="1"/>
      <c r="HNV231" s="1"/>
      <c r="HNW231" s="1"/>
      <c r="HNX231" s="1"/>
      <c r="HNY231" s="1"/>
      <c r="HNZ231" s="1"/>
      <c r="HOA231" s="1"/>
      <c r="HOB231" s="1"/>
      <c r="HOC231" s="1"/>
      <c r="HOD231" s="1"/>
      <c r="HOE231" s="1"/>
      <c r="HOF231" s="1"/>
      <c r="HOG231" s="1"/>
      <c r="HOH231" s="1"/>
      <c r="HOI231" s="1"/>
      <c r="HOJ231" s="1"/>
      <c r="HOK231" s="1"/>
      <c r="HOL231" s="1"/>
      <c r="HOM231" s="1"/>
      <c r="HON231" s="1"/>
      <c r="HOO231" s="1"/>
      <c r="HOP231" s="1"/>
      <c r="HOQ231" s="1"/>
      <c r="HOR231" s="1"/>
      <c r="HOS231" s="1"/>
      <c r="HOT231" s="1"/>
      <c r="HOU231" s="1"/>
      <c r="HOV231" s="1"/>
      <c r="HOW231" s="1"/>
      <c r="HOX231" s="1"/>
      <c r="HOY231" s="1"/>
      <c r="HOZ231" s="1"/>
      <c r="HPA231" s="1"/>
      <c r="HPB231" s="1"/>
      <c r="HPC231" s="1"/>
      <c r="HPD231" s="1"/>
      <c r="HPE231" s="1"/>
      <c r="HPF231" s="1"/>
      <c r="HPG231" s="1"/>
      <c r="HPH231" s="1"/>
      <c r="HPI231" s="1"/>
      <c r="HPJ231" s="1"/>
      <c r="HPK231" s="1"/>
      <c r="HPL231" s="1"/>
      <c r="HPM231" s="1"/>
      <c r="HPN231" s="1"/>
      <c r="HPO231" s="1"/>
      <c r="HPP231" s="1"/>
      <c r="HPQ231" s="1"/>
      <c r="HPR231" s="1"/>
      <c r="HPS231" s="1"/>
      <c r="HPT231" s="1"/>
      <c r="HPU231" s="1"/>
      <c r="HPV231" s="1"/>
      <c r="HPW231" s="1"/>
      <c r="HPX231" s="1"/>
      <c r="HPY231" s="1"/>
      <c r="HPZ231" s="1"/>
      <c r="HQA231" s="1"/>
      <c r="HQB231" s="1"/>
      <c r="HQC231" s="1"/>
      <c r="HQD231" s="1"/>
      <c r="HQE231" s="1"/>
      <c r="HQF231" s="1"/>
      <c r="HQG231" s="1"/>
      <c r="HQH231" s="1"/>
      <c r="HQI231" s="1"/>
      <c r="HQJ231" s="1"/>
      <c r="HQK231" s="1"/>
      <c r="HQL231" s="1"/>
      <c r="HQM231" s="1"/>
      <c r="HQN231" s="1"/>
      <c r="HQO231" s="1"/>
      <c r="HQP231" s="1"/>
      <c r="HQQ231" s="1"/>
      <c r="HQR231" s="1"/>
      <c r="HQS231" s="1"/>
      <c r="HQT231" s="1"/>
      <c r="HQU231" s="1"/>
      <c r="HQV231" s="1"/>
      <c r="HQW231" s="1"/>
      <c r="HQX231" s="1"/>
      <c r="HQY231" s="1"/>
      <c r="HQZ231" s="1"/>
      <c r="HRA231" s="1"/>
      <c r="HRB231" s="1"/>
      <c r="HRC231" s="1"/>
      <c r="HRD231" s="1"/>
      <c r="HRE231" s="1"/>
      <c r="HRF231" s="1"/>
      <c r="HRG231" s="1"/>
      <c r="HRH231" s="1"/>
      <c r="HRI231" s="1"/>
      <c r="HRJ231" s="1"/>
      <c r="HRK231" s="1"/>
      <c r="HRL231" s="1"/>
      <c r="HRM231" s="1"/>
      <c r="HRN231" s="1"/>
      <c r="HRO231" s="1"/>
      <c r="HRP231" s="1"/>
      <c r="HRQ231" s="1"/>
      <c r="HRR231" s="1"/>
      <c r="HRS231" s="1"/>
      <c r="HRT231" s="1"/>
      <c r="HRU231" s="1"/>
      <c r="HRV231" s="1"/>
      <c r="HRW231" s="1"/>
      <c r="HRX231" s="1"/>
      <c r="HRY231" s="1"/>
      <c r="HRZ231" s="1"/>
      <c r="HSA231" s="1"/>
      <c r="HSB231" s="1"/>
      <c r="HSC231" s="1"/>
      <c r="HSD231" s="1"/>
      <c r="HSE231" s="1"/>
      <c r="HSF231" s="1"/>
      <c r="HSG231" s="1"/>
      <c r="HSH231" s="1"/>
      <c r="HSI231" s="1"/>
      <c r="HSJ231" s="1"/>
      <c r="HSK231" s="1"/>
      <c r="HSL231" s="1"/>
      <c r="HSM231" s="1"/>
      <c r="HSN231" s="1"/>
      <c r="HSO231" s="1"/>
      <c r="HSP231" s="1"/>
      <c r="HSQ231" s="1"/>
      <c r="HSR231" s="1"/>
      <c r="HSS231" s="1"/>
      <c r="HST231" s="1"/>
      <c r="HSU231" s="1"/>
      <c r="HSV231" s="1"/>
      <c r="HSW231" s="1"/>
      <c r="HSX231" s="1"/>
      <c r="HSY231" s="1"/>
      <c r="HSZ231" s="1"/>
      <c r="HTA231" s="1"/>
      <c r="HTB231" s="1"/>
      <c r="HTC231" s="1"/>
      <c r="HTD231" s="1"/>
      <c r="HTE231" s="1"/>
      <c r="HTF231" s="1"/>
      <c r="HTG231" s="1"/>
      <c r="HTH231" s="1"/>
      <c r="HTI231" s="1"/>
      <c r="HTJ231" s="1"/>
      <c r="HTK231" s="1"/>
      <c r="HTL231" s="1"/>
      <c r="HTM231" s="1"/>
      <c r="HTN231" s="1"/>
      <c r="HTO231" s="1"/>
      <c r="HTP231" s="1"/>
      <c r="HTQ231" s="1"/>
      <c r="HTR231" s="1"/>
      <c r="HTS231" s="1"/>
      <c r="HTT231" s="1"/>
      <c r="HTU231" s="1"/>
      <c r="HTV231" s="1"/>
      <c r="HTW231" s="1"/>
      <c r="HTX231" s="1"/>
      <c r="HTY231" s="1"/>
      <c r="HTZ231" s="1"/>
      <c r="HUA231" s="1"/>
      <c r="HUB231" s="1"/>
      <c r="HUC231" s="1"/>
      <c r="HUD231" s="1"/>
      <c r="HUE231" s="1"/>
      <c r="HUF231" s="1"/>
      <c r="HUG231" s="1"/>
      <c r="HUH231" s="1"/>
      <c r="HUI231" s="1"/>
      <c r="HUJ231" s="1"/>
      <c r="HUK231" s="1"/>
      <c r="HUL231" s="1"/>
      <c r="HUM231" s="1"/>
      <c r="HUN231" s="1"/>
      <c r="HUO231" s="1"/>
      <c r="HUP231" s="1"/>
      <c r="HUQ231" s="1"/>
      <c r="HUR231" s="1"/>
      <c r="HUS231" s="1"/>
      <c r="HUT231" s="1"/>
      <c r="HUU231" s="1"/>
      <c r="HUV231" s="1"/>
      <c r="HUW231" s="1"/>
      <c r="HUX231" s="1"/>
      <c r="HUY231" s="1"/>
      <c r="HUZ231" s="1"/>
      <c r="HVA231" s="1"/>
      <c r="HVB231" s="1"/>
      <c r="HVC231" s="1"/>
      <c r="HVD231" s="1"/>
      <c r="HVE231" s="1"/>
      <c r="HVF231" s="1"/>
      <c r="HVG231" s="1"/>
      <c r="HVH231" s="1"/>
      <c r="HVI231" s="1"/>
      <c r="HVJ231" s="1"/>
      <c r="HVK231" s="1"/>
      <c r="HVL231" s="1"/>
      <c r="HVM231" s="1"/>
      <c r="HVN231" s="1"/>
      <c r="HVO231" s="1"/>
      <c r="HVP231" s="1"/>
      <c r="HVQ231" s="1"/>
      <c r="HVR231" s="1"/>
      <c r="HVS231" s="1"/>
      <c r="HVT231" s="1"/>
      <c r="HVU231" s="1"/>
      <c r="HVV231" s="1"/>
      <c r="HVW231" s="1"/>
      <c r="HVX231" s="1"/>
      <c r="HVY231" s="1"/>
      <c r="HVZ231" s="1"/>
      <c r="HWA231" s="1"/>
      <c r="HWB231" s="1"/>
      <c r="HWC231" s="1"/>
      <c r="HWD231" s="1"/>
      <c r="HWE231" s="1"/>
      <c r="HWF231" s="1"/>
      <c r="HWG231" s="1"/>
      <c r="HWH231" s="1"/>
      <c r="HWI231" s="1"/>
      <c r="HWJ231" s="1"/>
      <c r="HWK231" s="1"/>
      <c r="HWL231" s="1"/>
      <c r="HWM231" s="1"/>
      <c r="HWN231" s="1"/>
      <c r="HWO231" s="1"/>
      <c r="HWP231" s="1"/>
      <c r="HWQ231" s="1"/>
      <c r="HWR231" s="1"/>
      <c r="HWS231" s="1"/>
      <c r="HWT231" s="1"/>
      <c r="HWU231" s="1"/>
      <c r="HWV231" s="1"/>
      <c r="HWW231" s="1"/>
      <c r="HWX231" s="1"/>
      <c r="HWY231" s="1"/>
      <c r="HWZ231" s="1"/>
      <c r="HXA231" s="1"/>
      <c r="HXB231" s="1"/>
      <c r="HXC231" s="1"/>
      <c r="HXD231" s="1"/>
      <c r="HXE231" s="1"/>
      <c r="HXF231" s="1"/>
      <c r="HXG231" s="1"/>
      <c r="HXH231" s="1"/>
      <c r="HXI231" s="1"/>
      <c r="HXJ231" s="1"/>
      <c r="HXK231" s="1"/>
      <c r="HXL231" s="1"/>
      <c r="HXM231" s="1"/>
      <c r="HXN231" s="1"/>
      <c r="HXO231" s="1"/>
      <c r="HXP231" s="1"/>
      <c r="HXQ231" s="1"/>
      <c r="HXR231" s="1"/>
      <c r="HXS231" s="1"/>
      <c r="HXT231" s="1"/>
      <c r="HXU231" s="1"/>
      <c r="HXV231" s="1"/>
      <c r="HXW231" s="1"/>
      <c r="HXX231" s="1"/>
      <c r="HXY231" s="1"/>
      <c r="HXZ231" s="1"/>
      <c r="HYA231" s="1"/>
      <c r="HYB231" s="1"/>
      <c r="HYC231" s="1"/>
      <c r="HYD231" s="1"/>
      <c r="HYE231" s="1"/>
      <c r="HYF231" s="1"/>
      <c r="HYG231" s="1"/>
      <c r="HYH231" s="1"/>
      <c r="HYI231" s="1"/>
      <c r="HYJ231" s="1"/>
      <c r="HYK231" s="1"/>
      <c r="HYL231" s="1"/>
      <c r="HYM231" s="1"/>
      <c r="HYN231" s="1"/>
      <c r="HYO231" s="1"/>
      <c r="HYP231" s="1"/>
      <c r="HYQ231" s="1"/>
      <c r="HYR231" s="1"/>
      <c r="HYS231" s="1"/>
      <c r="HYT231" s="1"/>
      <c r="HYU231" s="1"/>
      <c r="HYV231" s="1"/>
      <c r="HYW231" s="1"/>
      <c r="HYX231" s="1"/>
      <c r="HYY231" s="1"/>
      <c r="HYZ231" s="1"/>
      <c r="HZA231" s="1"/>
      <c r="HZB231" s="1"/>
      <c r="HZC231" s="1"/>
      <c r="HZD231" s="1"/>
      <c r="HZE231" s="1"/>
      <c r="HZF231" s="1"/>
      <c r="HZG231" s="1"/>
      <c r="HZH231" s="1"/>
      <c r="HZI231" s="1"/>
      <c r="HZJ231" s="1"/>
      <c r="HZK231" s="1"/>
      <c r="HZL231" s="1"/>
      <c r="HZM231" s="1"/>
      <c r="HZN231" s="1"/>
      <c r="HZO231" s="1"/>
      <c r="HZP231" s="1"/>
      <c r="HZQ231" s="1"/>
      <c r="HZR231" s="1"/>
      <c r="HZS231" s="1"/>
      <c r="HZT231" s="1"/>
      <c r="HZU231" s="1"/>
      <c r="HZV231" s="1"/>
      <c r="HZW231" s="1"/>
      <c r="HZX231" s="1"/>
      <c r="HZY231" s="1"/>
      <c r="HZZ231" s="1"/>
      <c r="IAA231" s="1"/>
      <c r="IAB231" s="1"/>
      <c r="IAC231" s="1"/>
      <c r="IAD231" s="1"/>
      <c r="IAE231" s="1"/>
      <c r="IAF231" s="1"/>
      <c r="IAG231" s="1"/>
      <c r="IAH231" s="1"/>
      <c r="IAI231" s="1"/>
      <c r="IAJ231" s="1"/>
      <c r="IAK231" s="1"/>
      <c r="IAL231" s="1"/>
      <c r="IAM231" s="1"/>
      <c r="IAN231" s="1"/>
      <c r="IAO231" s="1"/>
      <c r="IAP231" s="1"/>
      <c r="IAQ231" s="1"/>
      <c r="IAR231" s="1"/>
      <c r="IAS231" s="1"/>
      <c r="IAT231" s="1"/>
      <c r="IAU231" s="1"/>
      <c r="IAV231" s="1"/>
      <c r="IAW231" s="1"/>
      <c r="IAX231" s="1"/>
      <c r="IAY231" s="1"/>
      <c r="IAZ231" s="1"/>
      <c r="IBA231" s="1"/>
      <c r="IBB231" s="1"/>
      <c r="IBC231" s="1"/>
      <c r="IBD231" s="1"/>
      <c r="IBE231" s="1"/>
      <c r="IBF231" s="1"/>
      <c r="IBG231" s="1"/>
      <c r="IBH231" s="1"/>
      <c r="IBI231" s="1"/>
      <c r="IBJ231" s="1"/>
      <c r="IBK231" s="1"/>
      <c r="IBL231" s="1"/>
      <c r="IBM231" s="1"/>
      <c r="IBN231" s="1"/>
      <c r="IBO231" s="1"/>
      <c r="IBP231" s="1"/>
      <c r="IBQ231" s="1"/>
      <c r="IBR231" s="1"/>
      <c r="IBS231" s="1"/>
      <c r="IBT231" s="1"/>
      <c r="IBU231" s="1"/>
      <c r="IBV231" s="1"/>
      <c r="IBW231" s="1"/>
      <c r="IBX231" s="1"/>
      <c r="IBY231" s="1"/>
      <c r="IBZ231" s="1"/>
      <c r="ICA231" s="1"/>
      <c r="ICB231" s="1"/>
      <c r="ICC231" s="1"/>
      <c r="ICD231" s="1"/>
      <c r="ICE231" s="1"/>
      <c r="ICF231" s="1"/>
      <c r="ICG231" s="1"/>
      <c r="ICH231" s="1"/>
      <c r="ICI231" s="1"/>
      <c r="ICJ231" s="1"/>
      <c r="ICK231" s="1"/>
      <c r="ICL231" s="1"/>
      <c r="ICM231" s="1"/>
      <c r="ICN231" s="1"/>
      <c r="ICO231" s="1"/>
      <c r="ICP231" s="1"/>
      <c r="ICQ231" s="1"/>
      <c r="ICR231" s="1"/>
      <c r="ICS231" s="1"/>
      <c r="ICT231" s="1"/>
      <c r="ICU231" s="1"/>
      <c r="ICV231" s="1"/>
      <c r="ICW231" s="1"/>
      <c r="ICX231" s="1"/>
      <c r="ICY231" s="1"/>
      <c r="ICZ231" s="1"/>
      <c r="IDA231" s="1"/>
      <c r="IDB231" s="1"/>
      <c r="IDC231" s="1"/>
      <c r="IDD231" s="1"/>
      <c r="IDE231" s="1"/>
      <c r="IDF231" s="1"/>
      <c r="IDG231" s="1"/>
      <c r="IDH231" s="1"/>
      <c r="IDI231" s="1"/>
      <c r="IDJ231" s="1"/>
      <c r="IDK231" s="1"/>
      <c r="IDL231" s="1"/>
      <c r="IDM231" s="1"/>
      <c r="IDN231" s="1"/>
      <c r="IDO231" s="1"/>
      <c r="IDP231" s="1"/>
      <c r="IDQ231" s="1"/>
      <c r="IDR231" s="1"/>
      <c r="IDS231" s="1"/>
      <c r="IDT231" s="1"/>
      <c r="IDU231" s="1"/>
      <c r="IDV231" s="1"/>
      <c r="IDW231" s="1"/>
      <c r="IDX231" s="1"/>
      <c r="IDY231" s="1"/>
      <c r="IDZ231" s="1"/>
      <c r="IEA231" s="1"/>
      <c r="IEB231" s="1"/>
      <c r="IEC231" s="1"/>
      <c r="IED231" s="1"/>
      <c r="IEE231" s="1"/>
      <c r="IEF231" s="1"/>
      <c r="IEG231" s="1"/>
      <c r="IEH231" s="1"/>
      <c r="IEI231" s="1"/>
      <c r="IEJ231" s="1"/>
      <c r="IEK231" s="1"/>
      <c r="IEL231" s="1"/>
      <c r="IEM231" s="1"/>
      <c r="IEN231" s="1"/>
      <c r="IEO231" s="1"/>
      <c r="IEP231" s="1"/>
      <c r="IEQ231" s="1"/>
      <c r="IER231" s="1"/>
      <c r="IES231" s="1"/>
      <c r="IET231" s="1"/>
      <c r="IEU231" s="1"/>
      <c r="IEV231" s="1"/>
      <c r="IEW231" s="1"/>
      <c r="IEX231" s="1"/>
      <c r="IEY231" s="1"/>
      <c r="IEZ231" s="1"/>
      <c r="IFA231" s="1"/>
      <c r="IFB231" s="1"/>
      <c r="IFC231" s="1"/>
      <c r="IFD231" s="1"/>
      <c r="IFE231" s="1"/>
      <c r="IFF231" s="1"/>
      <c r="IFG231" s="1"/>
      <c r="IFH231" s="1"/>
      <c r="IFI231" s="1"/>
      <c r="IFJ231" s="1"/>
      <c r="IFK231" s="1"/>
      <c r="IFL231" s="1"/>
      <c r="IFM231" s="1"/>
      <c r="IFN231" s="1"/>
      <c r="IFO231" s="1"/>
      <c r="IFP231" s="1"/>
      <c r="IFQ231" s="1"/>
      <c r="IFR231" s="1"/>
      <c r="IFS231" s="1"/>
      <c r="IFT231" s="1"/>
      <c r="IFU231" s="1"/>
      <c r="IFV231" s="1"/>
      <c r="IFW231" s="1"/>
      <c r="IFX231" s="1"/>
      <c r="IFY231" s="1"/>
      <c r="IFZ231" s="1"/>
      <c r="IGA231" s="1"/>
      <c r="IGB231" s="1"/>
      <c r="IGC231" s="1"/>
      <c r="IGD231" s="1"/>
      <c r="IGE231" s="1"/>
      <c r="IGF231" s="1"/>
      <c r="IGG231" s="1"/>
      <c r="IGH231" s="1"/>
      <c r="IGI231" s="1"/>
      <c r="IGJ231" s="1"/>
      <c r="IGK231" s="1"/>
      <c r="IGL231" s="1"/>
      <c r="IGM231" s="1"/>
      <c r="IGN231" s="1"/>
      <c r="IGO231" s="1"/>
      <c r="IGP231" s="1"/>
      <c r="IGQ231" s="1"/>
      <c r="IGR231" s="1"/>
      <c r="IGS231" s="1"/>
      <c r="IGT231" s="1"/>
      <c r="IGU231" s="1"/>
      <c r="IGV231" s="1"/>
      <c r="IGW231" s="1"/>
      <c r="IGX231" s="1"/>
      <c r="IGY231" s="1"/>
      <c r="IGZ231" s="1"/>
      <c r="IHA231" s="1"/>
      <c r="IHB231" s="1"/>
      <c r="IHC231" s="1"/>
      <c r="IHD231" s="1"/>
      <c r="IHE231" s="1"/>
      <c r="IHF231" s="1"/>
      <c r="IHG231" s="1"/>
      <c r="IHH231" s="1"/>
      <c r="IHI231" s="1"/>
      <c r="IHJ231" s="1"/>
      <c r="IHK231" s="1"/>
      <c r="IHL231" s="1"/>
      <c r="IHM231" s="1"/>
      <c r="IHN231" s="1"/>
      <c r="IHO231" s="1"/>
      <c r="IHP231" s="1"/>
      <c r="IHQ231" s="1"/>
      <c r="IHR231" s="1"/>
      <c r="IHS231" s="1"/>
      <c r="IHT231" s="1"/>
      <c r="IHU231" s="1"/>
      <c r="IHV231" s="1"/>
      <c r="IHW231" s="1"/>
      <c r="IHX231" s="1"/>
      <c r="IHY231" s="1"/>
      <c r="IHZ231" s="1"/>
      <c r="IIA231" s="1"/>
      <c r="IIB231" s="1"/>
      <c r="IIC231" s="1"/>
      <c r="IID231" s="1"/>
      <c r="IIE231" s="1"/>
      <c r="IIF231" s="1"/>
      <c r="IIG231" s="1"/>
      <c r="IIH231" s="1"/>
      <c r="III231" s="1"/>
      <c r="IIJ231" s="1"/>
      <c r="IIK231" s="1"/>
      <c r="IIL231" s="1"/>
      <c r="IIM231" s="1"/>
      <c r="IIN231" s="1"/>
      <c r="IIO231" s="1"/>
      <c r="IIP231" s="1"/>
      <c r="IIQ231" s="1"/>
      <c r="IIR231" s="1"/>
      <c r="IIS231" s="1"/>
      <c r="IIT231" s="1"/>
      <c r="IIU231" s="1"/>
      <c r="IIV231" s="1"/>
      <c r="IIW231" s="1"/>
      <c r="IIX231" s="1"/>
      <c r="IIY231" s="1"/>
      <c r="IIZ231" s="1"/>
      <c r="IJA231" s="1"/>
      <c r="IJB231" s="1"/>
      <c r="IJC231" s="1"/>
      <c r="IJD231" s="1"/>
      <c r="IJE231" s="1"/>
      <c r="IJF231" s="1"/>
      <c r="IJG231" s="1"/>
      <c r="IJH231" s="1"/>
      <c r="IJI231" s="1"/>
      <c r="IJJ231" s="1"/>
      <c r="IJK231" s="1"/>
      <c r="IJL231" s="1"/>
      <c r="IJM231" s="1"/>
      <c r="IJN231" s="1"/>
      <c r="IJO231" s="1"/>
      <c r="IJP231" s="1"/>
      <c r="IJQ231" s="1"/>
      <c r="IJR231" s="1"/>
      <c r="IJS231" s="1"/>
      <c r="IJT231" s="1"/>
      <c r="IJU231" s="1"/>
      <c r="IJV231" s="1"/>
      <c r="IJW231" s="1"/>
      <c r="IJX231" s="1"/>
      <c r="IJY231" s="1"/>
      <c r="IJZ231" s="1"/>
      <c r="IKA231" s="1"/>
      <c r="IKB231" s="1"/>
      <c r="IKC231" s="1"/>
      <c r="IKD231" s="1"/>
      <c r="IKE231" s="1"/>
      <c r="IKF231" s="1"/>
      <c r="IKG231" s="1"/>
      <c r="IKH231" s="1"/>
      <c r="IKI231" s="1"/>
      <c r="IKJ231" s="1"/>
      <c r="IKK231" s="1"/>
      <c r="IKL231" s="1"/>
      <c r="IKM231" s="1"/>
      <c r="IKN231" s="1"/>
      <c r="IKO231" s="1"/>
      <c r="IKP231" s="1"/>
      <c r="IKQ231" s="1"/>
      <c r="IKR231" s="1"/>
      <c r="IKS231" s="1"/>
      <c r="IKT231" s="1"/>
      <c r="IKU231" s="1"/>
      <c r="IKV231" s="1"/>
      <c r="IKW231" s="1"/>
      <c r="IKX231" s="1"/>
      <c r="IKY231" s="1"/>
      <c r="IKZ231" s="1"/>
      <c r="ILA231" s="1"/>
      <c r="ILB231" s="1"/>
      <c r="ILC231" s="1"/>
      <c r="ILD231" s="1"/>
      <c r="ILE231" s="1"/>
      <c r="ILF231" s="1"/>
      <c r="ILG231" s="1"/>
      <c r="ILH231" s="1"/>
      <c r="ILI231" s="1"/>
      <c r="ILJ231" s="1"/>
      <c r="ILK231" s="1"/>
      <c r="ILL231" s="1"/>
      <c r="ILM231" s="1"/>
      <c r="ILN231" s="1"/>
      <c r="ILO231" s="1"/>
      <c r="ILP231" s="1"/>
      <c r="ILQ231" s="1"/>
      <c r="ILR231" s="1"/>
      <c r="ILS231" s="1"/>
      <c r="ILT231" s="1"/>
      <c r="ILU231" s="1"/>
      <c r="ILV231" s="1"/>
      <c r="ILW231" s="1"/>
      <c r="ILX231" s="1"/>
      <c r="ILY231" s="1"/>
      <c r="ILZ231" s="1"/>
      <c r="IMA231" s="1"/>
      <c r="IMB231" s="1"/>
      <c r="IMC231" s="1"/>
      <c r="IMD231" s="1"/>
      <c r="IME231" s="1"/>
      <c r="IMF231" s="1"/>
      <c r="IMG231" s="1"/>
      <c r="IMH231" s="1"/>
      <c r="IMI231" s="1"/>
      <c r="IMJ231" s="1"/>
      <c r="IMK231" s="1"/>
      <c r="IML231" s="1"/>
      <c r="IMM231" s="1"/>
      <c r="IMN231" s="1"/>
      <c r="IMO231" s="1"/>
      <c r="IMP231" s="1"/>
      <c r="IMQ231" s="1"/>
      <c r="IMR231" s="1"/>
      <c r="IMS231" s="1"/>
      <c r="IMT231" s="1"/>
      <c r="IMU231" s="1"/>
      <c r="IMV231" s="1"/>
      <c r="IMW231" s="1"/>
      <c r="IMX231" s="1"/>
      <c r="IMY231" s="1"/>
      <c r="IMZ231" s="1"/>
      <c r="INA231" s="1"/>
      <c r="INB231" s="1"/>
      <c r="INC231" s="1"/>
      <c r="IND231" s="1"/>
      <c r="INE231" s="1"/>
      <c r="INF231" s="1"/>
      <c r="ING231" s="1"/>
      <c r="INH231" s="1"/>
      <c r="INI231" s="1"/>
      <c r="INJ231" s="1"/>
      <c r="INK231" s="1"/>
      <c r="INL231" s="1"/>
      <c r="INM231" s="1"/>
      <c r="INN231" s="1"/>
      <c r="INO231" s="1"/>
      <c r="INP231" s="1"/>
      <c r="INQ231" s="1"/>
      <c r="INR231" s="1"/>
      <c r="INS231" s="1"/>
      <c r="INT231" s="1"/>
      <c r="INU231" s="1"/>
      <c r="INV231" s="1"/>
      <c r="INW231" s="1"/>
      <c r="INX231" s="1"/>
      <c r="INY231" s="1"/>
      <c r="INZ231" s="1"/>
      <c r="IOA231" s="1"/>
      <c r="IOB231" s="1"/>
      <c r="IOC231" s="1"/>
      <c r="IOD231" s="1"/>
      <c r="IOE231" s="1"/>
      <c r="IOF231" s="1"/>
      <c r="IOG231" s="1"/>
      <c r="IOH231" s="1"/>
      <c r="IOI231" s="1"/>
      <c r="IOJ231" s="1"/>
      <c r="IOK231" s="1"/>
      <c r="IOL231" s="1"/>
      <c r="IOM231" s="1"/>
      <c r="ION231" s="1"/>
      <c r="IOO231" s="1"/>
      <c r="IOP231" s="1"/>
      <c r="IOQ231" s="1"/>
      <c r="IOR231" s="1"/>
      <c r="IOS231" s="1"/>
      <c r="IOT231" s="1"/>
      <c r="IOU231" s="1"/>
      <c r="IOV231" s="1"/>
      <c r="IOW231" s="1"/>
      <c r="IOX231" s="1"/>
      <c r="IOY231" s="1"/>
      <c r="IOZ231" s="1"/>
      <c r="IPA231" s="1"/>
      <c r="IPB231" s="1"/>
      <c r="IPC231" s="1"/>
      <c r="IPD231" s="1"/>
      <c r="IPE231" s="1"/>
      <c r="IPF231" s="1"/>
      <c r="IPG231" s="1"/>
      <c r="IPH231" s="1"/>
      <c r="IPI231" s="1"/>
      <c r="IPJ231" s="1"/>
      <c r="IPK231" s="1"/>
      <c r="IPL231" s="1"/>
      <c r="IPM231" s="1"/>
      <c r="IPN231" s="1"/>
      <c r="IPO231" s="1"/>
      <c r="IPP231" s="1"/>
      <c r="IPQ231" s="1"/>
      <c r="IPR231" s="1"/>
      <c r="IPS231" s="1"/>
      <c r="IPT231" s="1"/>
      <c r="IPU231" s="1"/>
      <c r="IPV231" s="1"/>
      <c r="IPW231" s="1"/>
      <c r="IPX231" s="1"/>
      <c r="IPY231" s="1"/>
      <c r="IPZ231" s="1"/>
      <c r="IQA231" s="1"/>
      <c r="IQB231" s="1"/>
      <c r="IQC231" s="1"/>
      <c r="IQD231" s="1"/>
      <c r="IQE231" s="1"/>
      <c r="IQF231" s="1"/>
      <c r="IQG231" s="1"/>
      <c r="IQH231" s="1"/>
      <c r="IQI231" s="1"/>
      <c r="IQJ231" s="1"/>
      <c r="IQK231" s="1"/>
      <c r="IQL231" s="1"/>
      <c r="IQM231" s="1"/>
      <c r="IQN231" s="1"/>
      <c r="IQO231" s="1"/>
      <c r="IQP231" s="1"/>
      <c r="IQQ231" s="1"/>
      <c r="IQR231" s="1"/>
      <c r="IQS231" s="1"/>
      <c r="IQT231" s="1"/>
      <c r="IQU231" s="1"/>
      <c r="IQV231" s="1"/>
      <c r="IQW231" s="1"/>
      <c r="IQX231" s="1"/>
      <c r="IQY231" s="1"/>
      <c r="IQZ231" s="1"/>
      <c r="IRA231" s="1"/>
      <c r="IRB231" s="1"/>
      <c r="IRC231" s="1"/>
      <c r="IRD231" s="1"/>
      <c r="IRE231" s="1"/>
      <c r="IRF231" s="1"/>
      <c r="IRG231" s="1"/>
      <c r="IRH231" s="1"/>
      <c r="IRI231" s="1"/>
      <c r="IRJ231" s="1"/>
      <c r="IRK231" s="1"/>
      <c r="IRL231" s="1"/>
      <c r="IRM231" s="1"/>
      <c r="IRN231" s="1"/>
      <c r="IRO231" s="1"/>
      <c r="IRP231" s="1"/>
      <c r="IRQ231" s="1"/>
      <c r="IRR231" s="1"/>
      <c r="IRS231" s="1"/>
      <c r="IRT231" s="1"/>
      <c r="IRU231" s="1"/>
      <c r="IRV231" s="1"/>
      <c r="IRW231" s="1"/>
      <c r="IRX231" s="1"/>
      <c r="IRY231" s="1"/>
      <c r="IRZ231" s="1"/>
      <c r="ISA231" s="1"/>
      <c r="ISB231" s="1"/>
      <c r="ISC231" s="1"/>
      <c r="ISD231" s="1"/>
      <c r="ISE231" s="1"/>
      <c r="ISF231" s="1"/>
      <c r="ISG231" s="1"/>
      <c r="ISH231" s="1"/>
      <c r="ISI231" s="1"/>
      <c r="ISJ231" s="1"/>
      <c r="ISK231" s="1"/>
      <c r="ISL231" s="1"/>
      <c r="ISM231" s="1"/>
      <c r="ISN231" s="1"/>
      <c r="ISO231" s="1"/>
      <c r="ISP231" s="1"/>
      <c r="ISQ231" s="1"/>
      <c r="ISR231" s="1"/>
      <c r="ISS231" s="1"/>
      <c r="IST231" s="1"/>
      <c r="ISU231" s="1"/>
      <c r="ISV231" s="1"/>
      <c r="ISW231" s="1"/>
      <c r="ISX231" s="1"/>
      <c r="ISY231" s="1"/>
      <c r="ISZ231" s="1"/>
      <c r="ITA231" s="1"/>
      <c r="ITB231" s="1"/>
      <c r="ITC231" s="1"/>
      <c r="ITD231" s="1"/>
      <c r="ITE231" s="1"/>
      <c r="ITF231" s="1"/>
      <c r="ITG231" s="1"/>
      <c r="ITH231" s="1"/>
      <c r="ITI231" s="1"/>
      <c r="ITJ231" s="1"/>
      <c r="ITK231" s="1"/>
      <c r="ITL231" s="1"/>
      <c r="ITM231" s="1"/>
      <c r="ITN231" s="1"/>
      <c r="ITO231" s="1"/>
      <c r="ITP231" s="1"/>
      <c r="ITQ231" s="1"/>
      <c r="ITR231" s="1"/>
      <c r="ITS231" s="1"/>
      <c r="ITT231" s="1"/>
      <c r="ITU231" s="1"/>
      <c r="ITV231" s="1"/>
      <c r="ITW231" s="1"/>
      <c r="ITX231" s="1"/>
      <c r="ITY231" s="1"/>
      <c r="ITZ231" s="1"/>
      <c r="IUA231" s="1"/>
      <c r="IUB231" s="1"/>
      <c r="IUC231" s="1"/>
      <c r="IUD231" s="1"/>
      <c r="IUE231" s="1"/>
      <c r="IUF231" s="1"/>
      <c r="IUG231" s="1"/>
      <c r="IUH231" s="1"/>
      <c r="IUI231" s="1"/>
      <c r="IUJ231" s="1"/>
      <c r="IUK231" s="1"/>
      <c r="IUL231" s="1"/>
      <c r="IUM231" s="1"/>
      <c r="IUN231" s="1"/>
      <c r="IUO231" s="1"/>
      <c r="IUP231" s="1"/>
      <c r="IUQ231" s="1"/>
      <c r="IUR231" s="1"/>
      <c r="IUS231" s="1"/>
      <c r="IUT231" s="1"/>
      <c r="IUU231" s="1"/>
      <c r="IUV231" s="1"/>
      <c r="IUW231" s="1"/>
      <c r="IUX231" s="1"/>
      <c r="IUY231" s="1"/>
      <c r="IUZ231" s="1"/>
      <c r="IVA231" s="1"/>
      <c r="IVB231" s="1"/>
      <c r="IVC231" s="1"/>
      <c r="IVD231" s="1"/>
      <c r="IVE231" s="1"/>
      <c r="IVF231" s="1"/>
      <c r="IVG231" s="1"/>
      <c r="IVH231" s="1"/>
      <c r="IVI231" s="1"/>
      <c r="IVJ231" s="1"/>
      <c r="IVK231" s="1"/>
      <c r="IVL231" s="1"/>
      <c r="IVM231" s="1"/>
      <c r="IVN231" s="1"/>
      <c r="IVO231" s="1"/>
      <c r="IVP231" s="1"/>
      <c r="IVQ231" s="1"/>
      <c r="IVR231" s="1"/>
      <c r="IVS231" s="1"/>
      <c r="IVT231" s="1"/>
      <c r="IVU231" s="1"/>
      <c r="IVV231" s="1"/>
      <c r="IVW231" s="1"/>
      <c r="IVX231" s="1"/>
      <c r="IVY231" s="1"/>
      <c r="IVZ231" s="1"/>
      <c r="IWA231" s="1"/>
      <c r="IWB231" s="1"/>
      <c r="IWC231" s="1"/>
      <c r="IWD231" s="1"/>
      <c r="IWE231" s="1"/>
      <c r="IWF231" s="1"/>
      <c r="IWG231" s="1"/>
      <c r="IWH231" s="1"/>
      <c r="IWI231" s="1"/>
      <c r="IWJ231" s="1"/>
      <c r="IWK231" s="1"/>
      <c r="IWL231" s="1"/>
      <c r="IWM231" s="1"/>
      <c r="IWN231" s="1"/>
      <c r="IWO231" s="1"/>
      <c r="IWP231" s="1"/>
      <c r="IWQ231" s="1"/>
      <c r="IWR231" s="1"/>
      <c r="IWS231" s="1"/>
      <c r="IWT231" s="1"/>
      <c r="IWU231" s="1"/>
      <c r="IWV231" s="1"/>
      <c r="IWW231" s="1"/>
      <c r="IWX231" s="1"/>
      <c r="IWY231" s="1"/>
      <c r="IWZ231" s="1"/>
      <c r="IXA231" s="1"/>
      <c r="IXB231" s="1"/>
      <c r="IXC231" s="1"/>
      <c r="IXD231" s="1"/>
      <c r="IXE231" s="1"/>
      <c r="IXF231" s="1"/>
      <c r="IXG231" s="1"/>
      <c r="IXH231" s="1"/>
      <c r="IXI231" s="1"/>
      <c r="IXJ231" s="1"/>
      <c r="IXK231" s="1"/>
      <c r="IXL231" s="1"/>
      <c r="IXM231" s="1"/>
      <c r="IXN231" s="1"/>
      <c r="IXO231" s="1"/>
      <c r="IXP231" s="1"/>
      <c r="IXQ231" s="1"/>
      <c r="IXR231" s="1"/>
      <c r="IXS231" s="1"/>
      <c r="IXT231" s="1"/>
      <c r="IXU231" s="1"/>
      <c r="IXV231" s="1"/>
      <c r="IXW231" s="1"/>
      <c r="IXX231" s="1"/>
      <c r="IXY231" s="1"/>
      <c r="IXZ231" s="1"/>
      <c r="IYA231" s="1"/>
      <c r="IYB231" s="1"/>
      <c r="IYC231" s="1"/>
      <c r="IYD231" s="1"/>
      <c r="IYE231" s="1"/>
      <c r="IYF231" s="1"/>
      <c r="IYG231" s="1"/>
      <c r="IYH231" s="1"/>
      <c r="IYI231" s="1"/>
      <c r="IYJ231" s="1"/>
      <c r="IYK231" s="1"/>
      <c r="IYL231" s="1"/>
      <c r="IYM231" s="1"/>
      <c r="IYN231" s="1"/>
      <c r="IYO231" s="1"/>
      <c r="IYP231" s="1"/>
      <c r="IYQ231" s="1"/>
      <c r="IYR231" s="1"/>
      <c r="IYS231" s="1"/>
      <c r="IYT231" s="1"/>
      <c r="IYU231" s="1"/>
      <c r="IYV231" s="1"/>
      <c r="IYW231" s="1"/>
      <c r="IYX231" s="1"/>
      <c r="IYY231" s="1"/>
      <c r="IYZ231" s="1"/>
      <c r="IZA231" s="1"/>
      <c r="IZB231" s="1"/>
      <c r="IZC231" s="1"/>
      <c r="IZD231" s="1"/>
      <c r="IZE231" s="1"/>
      <c r="IZF231" s="1"/>
      <c r="IZG231" s="1"/>
      <c r="IZH231" s="1"/>
      <c r="IZI231" s="1"/>
      <c r="IZJ231" s="1"/>
      <c r="IZK231" s="1"/>
      <c r="IZL231" s="1"/>
      <c r="IZM231" s="1"/>
      <c r="IZN231" s="1"/>
      <c r="IZO231" s="1"/>
      <c r="IZP231" s="1"/>
      <c r="IZQ231" s="1"/>
      <c r="IZR231" s="1"/>
      <c r="IZS231" s="1"/>
      <c r="IZT231" s="1"/>
      <c r="IZU231" s="1"/>
      <c r="IZV231" s="1"/>
      <c r="IZW231" s="1"/>
      <c r="IZX231" s="1"/>
      <c r="IZY231" s="1"/>
      <c r="IZZ231" s="1"/>
      <c r="JAA231" s="1"/>
      <c r="JAB231" s="1"/>
      <c r="JAC231" s="1"/>
      <c r="JAD231" s="1"/>
      <c r="JAE231" s="1"/>
      <c r="JAF231" s="1"/>
      <c r="JAG231" s="1"/>
      <c r="JAH231" s="1"/>
      <c r="JAI231" s="1"/>
      <c r="JAJ231" s="1"/>
      <c r="JAK231" s="1"/>
      <c r="JAL231" s="1"/>
      <c r="JAM231" s="1"/>
      <c r="JAN231" s="1"/>
      <c r="JAO231" s="1"/>
      <c r="JAP231" s="1"/>
      <c r="JAQ231" s="1"/>
      <c r="JAR231" s="1"/>
      <c r="JAS231" s="1"/>
      <c r="JAT231" s="1"/>
      <c r="JAU231" s="1"/>
      <c r="JAV231" s="1"/>
      <c r="JAW231" s="1"/>
      <c r="JAX231" s="1"/>
      <c r="JAY231" s="1"/>
      <c r="JAZ231" s="1"/>
      <c r="JBA231" s="1"/>
      <c r="JBB231" s="1"/>
      <c r="JBC231" s="1"/>
      <c r="JBD231" s="1"/>
      <c r="JBE231" s="1"/>
      <c r="JBF231" s="1"/>
      <c r="JBG231" s="1"/>
      <c r="JBH231" s="1"/>
      <c r="JBI231" s="1"/>
      <c r="JBJ231" s="1"/>
      <c r="JBK231" s="1"/>
      <c r="JBL231" s="1"/>
      <c r="JBM231" s="1"/>
      <c r="JBN231" s="1"/>
      <c r="JBO231" s="1"/>
      <c r="JBP231" s="1"/>
      <c r="JBQ231" s="1"/>
      <c r="JBR231" s="1"/>
      <c r="JBS231" s="1"/>
      <c r="JBT231" s="1"/>
      <c r="JBU231" s="1"/>
      <c r="JBV231" s="1"/>
      <c r="JBW231" s="1"/>
      <c r="JBX231" s="1"/>
      <c r="JBY231" s="1"/>
      <c r="JBZ231" s="1"/>
      <c r="JCA231" s="1"/>
      <c r="JCB231" s="1"/>
      <c r="JCC231" s="1"/>
      <c r="JCD231" s="1"/>
      <c r="JCE231" s="1"/>
      <c r="JCF231" s="1"/>
      <c r="JCG231" s="1"/>
      <c r="JCH231" s="1"/>
      <c r="JCI231" s="1"/>
      <c r="JCJ231" s="1"/>
      <c r="JCK231" s="1"/>
      <c r="JCL231" s="1"/>
      <c r="JCM231" s="1"/>
      <c r="JCN231" s="1"/>
      <c r="JCO231" s="1"/>
      <c r="JCP231" s="1"/>
      <c r="JCQ231" s="1"/>
      <c r="JCR231" s="1"/>
      <c r="JCS231" s="1"/>
      <c r="JCT231" s="1"/>
      <c r="JCU231" s="1"/>
      <c r="JCV231" s="1"/>
      <c r="JCW231" s="1"/>
      <c r="JCX231" s="1"/>
      <c r="JCY231" s="1"/>
      <c r="JCZ231" s="1"/>
      <c r="JDA231" s="1"/>
      <c r="JDB231" s="1"/>
      <c r="JDC231" s="1"/>
      <c r="JDD231" s="1"/>
      <c r="JDE231" s="1"/>
      <c r="JDF231" s="1"/>
      <c r="JDG231" s="1"/>
      <c r="JDH231" s="1"/>
      <c r="JDI231" s="1"/>
      <c r="JDJ231" s="1"/>
      <c r="JDK231" s="1"/>
      <c r="JDL231" s="1"/>
      <c r="JDM231" s="1"/>
      <c r="JDN231" s="1"/>
      <c r="JDO231" s="1"/>
      <c r="JDP231" s="1"/>
      <c r="JDQ231" s="1"/>
      <c r="JDR231" s="1"/>
      <c r="JDS231" s="1"/>
      <c r="JDT231" s="1"/>
      <c r="JDU231" s="1"/>
      <c r="JDV231" s="1"/>
      <c r="JDW231" s="1"/>
      <c r="JDX231" s="1"/>
      <c r="JDY231" s="1"/>
      <c r="JDZ231" s="1"/>
      <c r="JEA231" s="1"/>
      <c r="JEB231" s="1"/>
      <c r="JEC231" s="1"/>
      <c r="JED231" s="1"/>
      <c r="JEE231" s="1"/>
      <c r="JEF231" s="1"/>
      <c r="JEG231" s="1"/>
      <c r="JEH231" s="1"/>
      <c r="JEI231" s="1"/>
      <c r="JEJ231" s="1"/>
      <c r="JEK231" s="1"/>
      <c r="JEL231" s="1"/>
      <c r="JEM231" s="1"/>
      <c r="JEN231" s="1"/>
      <c r="JEO231" s="1"/>
      <c r="JEP231" s="1"/>
      <c r="JEQ231" s="1"/>
      <c r="JER231" s="1"/>
      <c r="JES231" s="1"/>
      <c r="JET231" s="1"/>
      <c r="JEU231" s="1"/>
      <c r="JEV231" s="1"/>
      <c r="JEW231" s="1"/>
      <c r="JEX231" s="1"/>
      <c r="JEY231" s="1"/>
      <c r="JEZ231" s="1"/>
      <c r="JFA231" s="1"/>
      <c r="JFB231" s="1"/>
      <c r="JFC231" s="1"/>
      <c r="JFD231" s="1"/>
      <c r="JFE231" s="1"/>
      <c r="JFF231" s="1"/>
      <c r="JFG231" s="1"/>
      <c r="JFH231" s="1"/>
      <c r="JFI231" s="1"/>
      <c r="JFJ231" s="1"/>
      <c r="JFK231" s="1"/>
      <c r="JFL231" s="1"/>
      <c r="JFM231" s="1"/>
      <c r="JFN231" s="1"/>
      <c r="JFO231" s="1"/>
      <c r="JFP231" s="1"/>
      <c r="JFQ231" s="1"/>
      <c r="JFR231" s="1"/>
      <c r="JFS231" s="1"/>
      <c r="JFT231" s="1"/>
      <c r="JFU231" s="1"/>
      <c r="JFV231" s="1"/>
      <c r="JFW231" s="1"/>
      <c r="JFX231" s="1"/>
      <c r="JFY231" s="1"/>
      <c r="JFZ231" s="1"/>
      <c r="JGA231" s="1"/>
      <c r="JGB231" s="1"/>
      <c r="JGC231" s="1"/>
      <c r="JGD231" s="1"/>
      <c r="JGE231" s="1"/>
      <c r="JGF231" s="1"/>
      <c r="JGG231" s="1"/>
      <c r="JGH231" s="1"/>
      <c r="JGI231" s="1"/>
      <c r="JGJ231" s="1"/>
      <c r="JGK231" s="1"/>
      <c r="JGL231" s="1"/>
      <c r="JGM231" s="1"/>
      <c r="JGN231" s="1"/>
      <c r="JGO231" s="1"/>
      <c r="JGP231" s="1"/>
      <c r="JGQ231" s="1"/>
      <c r="JGR231" s="1"/>
      <c r="JGS231" s="1"/>
      <c r="JGT231" s="1"/>
      <c r="JGU231" s="1"/>
      <c r="JGV231" s="1"/>
      <c r="JGW231" s="1"/>
      <c r="JGX231" s="1"/>
      <c r="JGY231" s="1"/>
      <c r="JGZ231" s="1"/>
      <c r="JHA231" s="1"/>
      <c r="JHB231" s="1"/>
      <c r="JHC231" s="1"/>
      <c r="JHD231" s="1"/>
      <c r="JHE231" s="1"/>
      <c r="JHF231" s="1"/>
      <c r="JHG231" s="1"/>
      <c r="JHH231" s="1"/>
      <c r="JHI231" s="1"/>
      <c r="JHJ231" s="1"/>
      <c r="JHK231" s="1"/>
      <c r="JHL231" s="1"/>
      <c r="JHM231" s="1"/>
      <c r="JHN231" s="1"/>
      <c r="JHO231" s="1"/>
      <c r="JHP231" s="1"/>
      <c r="JHQ231" s="1"/>
      <c r="JHR231" s="1"/>
      <c r="JHS231" s="1"/>
      <c r="JHT231" s="1"/>
      <c r="JHU231" s="1"/>
      <c r="JHV231" s="1"/>
      <c r="JHW231" s="1"/>
      <c r="JHX231" s="1"/>
      <c r="JHY231" s="1"/>
      <c r="JHZ231" s="1"/>
      <c r="JIA231" s="1"/>
      <c r="JIB231" s="1"/>
      <c r="JIC231" s="1"/>
      <c r="JID231" s="1"/>
      <c r="JIE231" s="1"/>
      <c r="JIF231" s="1"/>
      <c r="JIG231" s="1"/>
      <c r="JIH231" s="1"/>
      <c r="JII231" s="1"/>
      <c r="JIJ231" s="1"/>
      <c r="JIK231" s="1"/>
      <c r="JIL231" s="1"/>
      <c r="JIM231" s="1"/>
      <c r="JIN231" s="1"/>
      <c r="JIO231" s="1"/>
      <c r="JIP231" s="1"/>
      <c r="JIQ231" s="1"/>
      <c r="JIR231" s="1"/>
      <c r="JIS231" s="1"/>
      <c r="JIT231" s="1"/>
      <c r="JIU231" s="1"/>
      <c r="JIV231" s="1"/>
      <c r="JIW231" s="1"/>
      <c r="JIX231" s="1"/>
      <c r="JIY231" s="1"/>
      <c r="JIZ231" s="1"/>
      <c r="JJA231" s="1"/>
      <c r="JJB231" s="1"/>
      <c r="JJC231" s="1"/>
      <c r="JJD231" s="1"/>
      <c r="JJE231" s="1"/>
      <c r="JJF231" s="1"/>
      <c r="JJG231" s="1"/>
      <c r="JJH231" s="1"/>
      <c r="JJI231" s="1"/>
      <c r="JJJ231" s="1"/>
      <c r="JJK231" s="1"/>
      <c r="JJL231" s="1"/>
      <c r="JJM231" s="1"/>
      <c r="JJN231" s="1"/>
      <c r="JJO231" s="1"/>
      <c r="JJP231" s="1"/>
      <c r="JJQ231" s="1"/>
      <c r="JJR231" s="1"/>
      <c r="JJS231" s="1"/>
      <c r="JJT231" s="1"/>
      <c r="JJU231" s="1"/>
      <c r="JJV231" s="1"/>
      <c r="JJW231" s="1"/>
      <c r="JJX231" s="1"/>
      <c r="JJY231" s="1"/>
      <c r="JJZ231" s="1"/>
      <c r="JKA231" s="1"/>
      <c r="JKB231" s="1"/>
      <c r="JKC231" s="1"/>
      <c r="JKD231" s="1"/>
      <c r="JKE231" s="1"/>
      <c r="JKF231" s="1"/>
      <c r="JKG231" s="1"/>
      <c r="JKH231" s="1"/>
      <c r="JKI231" s="1"/>
      <c r="JKJ231" s="1"/>
      <c r="JKK231" s="1"/>
      <c r="JKL231" s="1"/>
      <c r="JKM231" s="1"/>
      <c r="JKN231" s="1"/>
      <c r="JKO231" s="1"/>
      <c r="JKP231" s="1"/>
      <c r="JKQ231" s="1"/>
      <c r="JKR231" s="1"/>
      <c r="JKS231" s="1"/>
      <c r="JKT231" s="1"/>
      <c r="JKU231" s="1"/>
      <c r="JKV231" s="1"/>
      <c r="JKW231" s="1"/>
      <c r="JKX231" s="1"/>
      <c r="JKY231" s="1"/>
      <c r="JKZ231" s="1"/>
      <c r="JLA231" s="1"/>
      <c r="JLB231" s="1"/>
      <c r="JLC231" s="1"/>
      <c r="JLD231" s="1"/>
      <c r="JLE231" s="1"/>
      <c r="JLF231" s="1"/>
      <c r="JLG231" s="1"/>
      <c r="JLH231" s="1"/>
      <c r="JLI231" s="1"/>
      <c r="JLJ231" s="1"/>
      <c r="JLK231" s="1"/>
      <c r="JLL231" s="1"/>
      <c r="JLM231" s="1"/>
      <c r="JLN231" s="1"/>
      <c r="JLO231" s="1"/>
      <c r="JLP231" s="1"/>
      <c r="JLQ231" s="1"/>
      <c r="JLR231" s="1"/>
      <c r="JLS231" s="1"/>
      <c r="JLT231" s="1"/>
      <c r="JLU231" s="1"/>
      <c r="JLV231" s="1"/>
      <c r="JLW231" s="1"/>
      <c r="JLX231" s="1"/>
      <c r="JLY231" s="1"/>
      <c r="JLZ231" s="1"/>
      <c r="JMA231" s="1"/>
      <c r="JMB231" s="1"/>
      <c r="JMC231" s="1"/>
      <c r="JMD231" s="1"/>
      <c r="JME231" s="1"/>
      <c r="JMF231" s="1"/>
      <c r="JMG231" s="1"/>
      <c r="JMH231" s="1"/>
      <c r="JMI231" s="1"/>
      <c r="JMJ231" s="1"/>
      <c r="JMK231" s="1"/>
      <c r="JML231" s="1"/>
      <c r="JMM231" s="1"/>
      <c r="JMN231" s="1"/>
      <c r="JMO231" s="1"/>
      <c r="JMP231" s="1"/>
      <c r="JMQ231" s="1"/>
      <c r="JMR231" s="1"/>
      <c r="JMS231" s="1"/>
      <c r="JMT231" s="1"/>
      <c r="JMU231" s="1"/>
      <c r="JMV231" s="1"/>
      <c r="JMW231" s="1"/>
      <c r="JMX231" s="1"/>
      <c r="JMY231" s="1"/>
      <c r="JMZ231" s="1"/>
      <c r="JNA231" s="1"/>
      <c r="JNB231" s="1"/>
      <c r="JNC231" s="1"/>
      <c r="JND231" s="1"/>
      <c r="JNE231" s="1"/>
      <c r="JNF231" s="1"/>
      <c r="JNG231" s="1"/>
      <c r="JNH231" s="1"/>
      <c r="JNI231" s="1"/>
      <c r="JNJ231" s="1"/>
      <c r="JNK231" s="1"/>
      <c r="JNL231" s="1"/>
      <c r="JNM231" s="1"/>
      <c r="JNN231" s="1"/>
      <c r="JNO231" s="1"/>
      <c r="JNP231" s="1"/>
      <c r="JNQ231" s="1"/>
      <c r="JNR231" s="1"/>
      <c r="JNS231" s="1"/>
      <c r="JNT231" s="1"/>
      <c r="JNU231" s="1"/>
      <c r="JNV231" s="1"/>
      <c r="JNW231" s="1"/>
      <c r="JNX231" s="1"/>
      <c r="JNY231" s="1"/>
      <c r="JNZ231" s="1"/>
      <c r="JOA231" s="1"/>
      <c r="JOB231" s="1"/>
      <c r="JOC231" s="1"/>
      <c r="JOD231" s="1"/>
      <c r="JOE231" s="1"/>
      <c r="JOF231" s="1"/>
      <c r="JOG231" s="1"/>
      <c r="JOH231" s="1"/>
      <c r="JOI231" s="1"/>
      <c r="JOJ231" s="1"/>
      <c r="JOK231" s="1"/>
      <c r="JOL231" s="1"/>
      <c r="JOM231" s="1"/>
      <c r="JON231" s="1"/>
      <c r="JOO231" s="1"/>
      <c r="JOP231" s="1"/>
      <c r="JOQ231" s="1"/>
      <c r="JOR231" s="1"/>
      <c r="JOS231" s="1"/>
      <c r="JOT231" s="1"/>
      <c r="JOU231" s="1"/>
      <c r="JOV231" s="1"/>
      <c r="JOW231" s="1"/>
      <c r="JOX231" s="1"/>
      <c r="JOY231" s="1"/>
      <c r="JOZ231" s="1"/>
      <c r="JPA231" s="1"/>
      <c r="JPB231" s="1"/>
      <c r="JPC231" s="1"/>
      <c r="JPD231" s="1"/>
      <c r="JPE231" s="1"/>
      <c r="JPF231" s="1"/>
      <c r="JPG231" s="1"/>
      <c r="JPH231" s="1"/>
      <c r="JPI231" s="1"/>
      <c r="JPJ231" s="1"/>
      <c r="JPK231" s="1"/>
      <c r="JPL231" s="1"/>
      <c r="JPM231" s="1"/>
      <c r="JPN231" s="1"/>
      <c r="JPO231" s="1"/>
      <c r="JPP231" s="1"/>
      <c r="JPQ231" s="1"/>
      <c r="JPR231" s="1"/>
      <c r="JPS231" s="1"/>
      <c r="JPT231" s="1"/>
      <c r="JPU231" s="1"/>
      <c r="JPV231" s="1"/>
      <c r="JPW231" s="1"/>
      <c r="JPX231" s="1"/>
      <c r="JPY231" s="1"/>
      <c r="JPZ231" s="1"/>
      <c r="JQA231" s="1"/>
      <c r="JQB231" s="1"/>
      <c r="JQC231" s="1"/>
      <c r="JQD231" s="1"/>
      <c r="JQE231" s="1"/>
      <c r="JQF231" s="1"/>
      <c r="JQG231" s="1"/>
      <c r="JQH231" s="1"/>
      <c r="JQI231" s="1"/>
      <c r="JQJ231" s="1"/>
      <c r="JQK231" s="1"/>
      <c r="JQL231" s="1"/>
      <c r="JQM231" s="1"/>
      <c r="JQN231" s="1"/>
      <c r="JQO231" s="1"/>
      <c r="JQP231" s="1"/>
      <c r="JQQ231" s="1"/>
      <c r="JQR231" s="1"/>
      <c r="JQS231" s="1"/>
      <c r="JQT231" s="1"/>
      <c r="JQU231" s="1"/>
      <c r="JQV231" s="1"/>
      <c r="JQW231" s="1"/>
      <c r="JQX231" s="1"/>
      <c r="JQY231" s="1"/>
      <c r="JQZ231" s="1"/>
      <c r="JRA231" s="1"/>
      <c r="JRB231" s="1"/>
      <c r="JRC231" s="1"/>
      <c r="JRD231" s="1"/>
      <c r="JRE231" s="1"/>
      <c r="JRF231" s="1"/>
      <c r="JRG231" s="1"/>
      <c r="JRH231" s="1"/>
      <c r="JRI231" s="1"/>
      <c r="JRJ231" s="1"/>
      <c r="JRK231" s="1"/>
      <c r="JRL231" s="1"/>
      <c r="JRM231" s="1"/>
      <c r="JRN231" s="1"/>
      <c r="JRO231" s="1"/>
      <c r="JRP231" s="1"/>
      <c r="JRQ231" s="1"/>
      <c r="JRR231" s="1"/>
      <c r="JRS231" s="1"/>
      <c r="JRT231" s="1"/>
      <c r="JRU231" s="1"/>
      <c r="JRV231" s="1"/>
      <c r="JRW231" s="1"/>
      <c r="JRX231" s="1"/>
      <c r="JRY231" s="1"/>
      <c r="JRZ231" s="1"/>
      <c r="JSA231" s="1"/>
      <c r="JSB231" s="1"/>
      <c r="JSC231" s="1"/>
      <c r="JSD231" s="1"/>
      <c r="JSE231" s="1"/>
      <c r="JSF231" s="1"/>
      <c r="JSG231" s="1"/>
      <c r="JSH231" s="1"/>
      <c r="JSI231" s="1"/>
      <c r="JSJ231" s="1"/>
      <c r="JSK231" s="1"/>
      <c r="JSL231" s="1"/>
      <c r="JSM231" s="1"/>
      <c r="JSN231" s="1"/>
      <c r="JSO231" s="1"/>
      <c r="JSP231" s="1"/>
      <c r="JSQ231" s="1"/>
      <c r="JSR231" s="1"/>
      <c r="JSS231" s="1"/>
      <c r="JST231" s="1"/>
      <c r="JSU231" s="1"/>
      <c r="JSV231" s="1"/>
      <c r="JSW231" s="1"/>
      <c r="JSX231" s="1"/>
      <c r="JSY231" s="1"/>
      <c r="JSZ231" s="1"/>
      <c r="JTA231" s="1"/>
      <c r="JTB231" s="1"/>
      <c r="JTC231" s="1"/>
      <c r="JTD231" s="1"/>
      <c r="JTE231" s="1"/>
      <c r="JTF231" s="1"/>
      <c r="JTG231" s="1"/>
      <c r="JTH231" s="1"/>
      <c r="JTI231" s="1"/>
      <c r="JTJ231" s="1"/>
      <c r="JTK231" s="1"/>
      <c r="JTL231" s="1"/>
      <c r="JTM231" s="1"/>
      <c r="JTN231" s="1"/>
      <c r="JTO231" s="1"/>
      <c r="JTP231" s="1"/>
      <c r="JTQ231" s="1"/>
      <c r="JTR231" s="1"/>
      <c r="JTS231" s="1"/>
      <c r="JTT231" s="1"/>
      <c r="JTU231" s="1"/>
      <c r="JTV231" s="1"/>
      <c r="JTW231" s="1"/>
      <c r="JTX231" s="1"/>
      <c r="JTY231" s="1"/>
      <c r="JTZ231" s="1"/>
      <c r="JUA231" s="1"/>
      <c r="JUB231" s="1"/>
      <c r="JUC231" s="1"/>
      <c r="JUD231" s="1"/>
      <c r="JUE231" s="1"/>
      <c r="JUF231" s="1"/>
      <c r="JUG231" s="1"/>
      <c r="JUH231" s="1"/>
      <c r="JUI231" s="1"/>
      <c r="JUJ231" s="1"/>
      <c r="JUK231" s="1"/>
      <c r="JUL231" s="1"/>
      <c r="JUM231" s="1"/>
      <c r="JUN231" s="1"/>
      <c r="JUO231" s="1"/>
      <c r="JUP231" s="1"/>
      <c r="JUQ231" s="1"/>
      <c r="JUR231" s="1"/>
      <c r="JUS231" s="1"/>
      <c r="JUT231" s="1"/>
      <c r="JUU231" s="1"/>
      <c r="JUV231" s="1"/>
      <c r="JUW231" s="1"/>
      <c r="JUX231" s="1"/>
      <c r="JUY231" s="1"/>
      <c r="JUZ231" s="1"/>
      <c r="JVA231" s="1"/>
      <c r="JVB231" s="1"/>
      <c r="JVC231" s="1"/>
      <c r="JVD231" s="1"/>
      <c r="JVE231" s="1"/>
      <c r="JVF231" s="1"/>
      <c r="JVG231" s="1"/>
      <c r="JVH231" s="1"/>
      <c r="JVI231" s="1"/>
      <c r="JVJ231" s="1"/>
      <c r="JVK231" s="1"/>
      <c r="JVL231" s="1"/>
      <c r="JVM231" s="1"/>
      <c r="JVN231" s="1"/>
      <c r="JVO231" s="1"/>
      <c r="JVP231" s="1"/>
      <c r="JVQ231" s="1"/>
      <c r="JVR231" s="1"/>
      <c r="JVS231" s="1"/>
      <c r="JVT231" s="1"/>
      <c r="JVU231" s="1"/>
      <c r="JVV231" s="1"/>
      <c r="JVW231" s="1"/>
      <c r="JVX231" s="1"/>
      <c r="JVY231" s="1"/>
      <c r="JVZ231" s="1"/>
      <c r="JWA231" s="1"/>
      <c r="JWB231" s="1"/>
      <c r="JWC231" s="1"/>
      <c r="JWD231" s="1"/>
      <c r="JWE231" s="1"/>
      <c r="JWF231" s="1"/>
      <c r="JWG231" s="1"/>
      <c r="JWH231" s="1"/>
      <c r="JWI231" s="1"/>
      <c r="JWJ231" s="1"/>
      <c r="JWK231" s="1"/>
      <c r="JWL231" s="1"/>
      <c r="JWM231" s="1"/>
      <c r="JWN231" s="1"/>
      <c r="JWO231" s="1"/>
      <c r="JWP231" s="1"/>
      <c r="JWQ231" s="1"/>
      <c r="JWR231" s="1"/>
      <c r="JWS231" s="1"/>
      <c r="JWT231" s="1"/>
      <c r="JWU231" s="1"/>
      <c r="JWV231" s="1"/>
      <c r="JWW231" s="1"/>
      <c r="JWX231" s="1"/>
      <c r="JWY231" s="1"/>
      <c r="JWZ231" s="1"/>
      <c r="JXA231" s="1"/>
      <c r="JXB231" s="1"/>
      <c r="JXC231" s="1"/>
      <c r="JXD231" s="1"/>
      <c r="JXE231" s="1"/>
      <c r="JXF231" s="1"/>
      <c r="JXG231" s="1"/>
      <c r="JXH231" s="1"/>
      <c r="JXI231" s="1"/>
      <c r="JXJ231" s="1"/>
      <c r="JXK231" s="1"/>
      <c r="JXL231" s="1"/>
      <c r="JXM231" s="1"/>
      <c r="JXN231" s="1"/>
      <c r="JXO231" s="1"/>
      <c r="JXP231" s="1"/>
      <c r="JXQ231" s="1"/>
      <c r="JXR231" s="1"/>
      <c r="JXS231" s="1"/>
      <c r="JXT231" s="1"/>
      <c r="JXU231" s="1"/>
      <c r="JXV231" s="1"/>
      <c r="JXW231" s="1"/>
      <c r="JXX231" s="1"/>
      <c r="JXY231" s="1"/>
      <c r="JXZ231" s="1"/>
      <c r="JYA231" s="1"/>
      <c r="JYB231" s="1"/>
      <c r="JYC231" s="1"/>
      <c r="JYD231" s="1"/>
      <c r="JYE231" s="1"/>
      <c r="JYF231" s="1"/>
      <c r="JYG231" s="1"/>
      <c r="JYH231" s="1"/>
      <c r="JYI231" s="1"/>
      <c r="JYJ231" s="1"/>
      <c r="JYK231" s="1"/>
      <c r="JYL231" s="1"/>
      <c r="JYM231" s="1"/>
      <c r="JYN231" s="1"/>
      <c r="JYO231" s="1"/>
      <c r="JYP231" s="1"/>
      <c r="JYQ231" s="1"/>
      <c r="JYR231" s="1"/>
      <c r="JYS231" s="1"/>
      <c r="JYT231" s="1"/>
      <c r="JYU231" s="1"/>
      <c r="JYV231" s="1"/>
      <c r="JYW231" s="1"/>
      <c r="JYX231" s="1"/>
      <c r="JYY231" s="1"/>
      <c r="JYZ231" s="1"/>
      <c r="JZA231" s="1"/>
      <c r="JZB231" s="1"/>
      <c r="JZC231" s="1"/>
      <c r="JZD231" s="1"/>
      <c r="JZE231" s="1"/>
      <c r="JZF231" s="1"/>
      <c r="JZG231" s="1"/>
      <c r="JZH231" s="1"/>
      <c r="JZI231" s="1"/>
      <c r="JZJ231" s="1"/>
      <c r="JZK231" s="1"/>
      <c r="JZL231" s="1"/>
      <c r="JZM231" s="1"/>
      <c r="JZN231" s="1"/>
      <c r="JZO231" s="1"/>
      <c r="JZP231" s="1"/>
      <c r="JZQ231" s="1"/>
      <c r="JZR231" s="1"/>
      <c r="JZS231" s="1"/>
      <c r="JZT231" s="1"/>
      <c r="JZU231" s="1"/>
      <c r="JZV231" s="1"/>
      <c r="JZW231" s="1"/>
      <c r="JZX231" s="1"/>
      <c r="JZY231" s="1"/>
      <c r="JZZ231" s="1"/>
      <c r="KAA231" s="1"/>
      <c r="KAB231" s="1"/>
      <c r="KAC231" s="1"/>
      <c r="KAD231" s="1"/>
      <c r="KAE231" s="1"/>
      <c r="KAF231" s="1"/>
      <c r="KAG231" s="1"/>
      <c r="KAH231" s="1"/>
      <c r="KAI231" s="1"/>
      <c r="KAJ231" s="1"/>
      <c r="KAK231" s="1"/>
      <c r="KAL231" s="1"/>
      <c r="KAM231" s="1"/>
      <c r="KAN231" s="1"/>
      <c r="KAO231" s="1"/>
      <c r="KAP231" s="1"/>
      <c r="KAQ231" s="1"/>
      <c r="KAR231" s="1"/>
      <c r="KAS231" s="1"/>
      <c r="KAT231" s="1"/>
      <c r="KAU231" s="1"/>
      <c r="KAV231" s="1"/>
      <c r="KAW231" s="1"/>
      <c r="KAX231" s="1"/>
      <c r="KAY231" s="1"/>
      <c r="KAZ231" s="1"/>
      <c r="KBA231" s="1"/>
      <c r="KBB231" s="1"/>
      <c r="KBC231" s="1"/>
      <c r="KBD231" s="1"/>
      <c r="KBE231" s="1"/>
      <c r="KBF231" s="1"/>
      <c r="KBG231" s="1"/>
      <c r="KBH231" s="1"/>
      <c r="KBI231" s="1"/>
      <c r="KBJ231" s="1"/>
      <c r="KBK231" s="1"/>
      <c r="KBL231" s="1"/>
      <c r="KBM231" s="1"/>
      <c r="KBN231" s="1"/>
      <c r="KBO231" s="1"/>
      <c r="KBP231" s="1"/>
      <c r="KBQ231" s="1"/>
      <c r="KBR231" s="1"/>
      <c r="KBS231" s="1"/>
      <c r="KBT231" s="1"/>
      <c r="KBU231" s="1"/>
      <c r="KBV231" s="1"/>
      <c r="KBW231" s="1"/>
      <c r="KBX231" s="1"/>
      <c r="KBY231" s="1"/>
      <c r="KBZ231" s="1"/>
      <c r="KCA231" s="1"/>
      <c r="KCB231" s="1"/>
      <c r="KCC231" s="1"/>
      <c r="KCD231" s="1"/>
      <c r="KCE231" s="1"/>
      <c r="KCF231" s="1"/>
      <c r="KCG231" s="1"/>
      <c r="KCH231" s="1"/>
      <c r="KCI231" s="1"/>
      <c r="KCJ231" s="1"/>
      <c r="KCK231" s="1"/>
      <c r="KCL231" s="1"/>
      <c r="KCM231" s="1"/>
      <c r="KCN231" s="1"/>
      <c r="KCO231" s="1"/>
      <c r="KCP231" s="1"/>
      <c r="KCQ231" s="1"/>
      <c r="KCR231" s="1"/>
      <c r="KCS231" s="1"/>
      <c r="KCT231" s="1"/>
      <c r="KCU231" s="1"/>
      <c r="KCV231" s="1"/>
      <c r="KCW231" s="1"/>
      <c r="KCX231" s="1"/>
      <c r="KCY231" s="1"/>
      <c r="KCZ231" s="1"/>
      <c r="KDA231" s="1"/>
      <c r="KDB231" s="1"/>
      <c r="KDC231" s="1"/>
      <c r="KDD231" s="1"/>
      <c r="KDE231" s="1"/>
      <c r="KDF231" s="1"/>
      <c r="KDG231" s="1"/>
      <c r="KDH231" s="1"/>
      <c r="KDI231" s="1"/>
      <c r="KDJ231" s="1"/>
      <c r="KDK231" s="1"/>
      <c r="KDL231" s="1"/>
      <c r="KDM231" s="1"/>
      <c r="KDN231" s="1"/>
      <c r="KDO231" s="1"/>
      <c r="KDP231" s="1"/>
      <c r="KDQ231" s="1"/>
      <c r="KDR231" s="1"/>
      <c r="KDS231" s="1"/>
      <c r="KDT231" s="1"/>
      <c r="KDU231" s="1"/>
      <c r="KDV231" s="1"/>
      <c r="KDW231" s="1"/>
      <c r="KDX231" s="1"/>
      <c r="KDY231" s="1"/>
      <c r="KDZ231" s="1"/>
      <c r="KEA231" s="1"/>
      <c r="KEB231" s="1"/>
      <c r="KEC231" s="1"/>
      <c r="KED231" s="1"/>
      <c r="KEE231" s="1"/>
      <c r="KEF231" s="1"/>
      <c r="KEG231" s="1"/>
      <c r="KEH231" s="1"/>
      <c r="KEI231" s="1"/>
      <c r="KEJ231" s="1"/>
      <c r="KEK231" s="1"/>
      <c r="KEL231" s="1"/>
      <c r="KEM231" s="1"/>
      <c r="KEN231" s="1"/>
      <c r="KEO231" s="1"/>
      <c r="KEP231" s="1"/>
      <c r="KEQ231" s="1"/>
      <c r="KER231" s="1"/>
      <c r="KES231" s="1"/>
      <c r="KET231" s="1"/>
      <c r="KEU231" s="1"/>
      <c r="KEV231" s="1"/>
      <c r="KEW231" s="1"/>
      <c r="KEX231" s="1"/>
      <c r="KEY231" s="1"/>
      <c r="KEZ231" s="1"/>
      <c r="KFA231" s="1"/>
      <c r="KFB231" s="1"/>
      <c r="KFC231" s="1"/>
      <c r="KFD231" s="1"/>
      <c r="KFE231" s="1"/>
      <c r="KFF231" s="1"/>
      <c r="KFG231" s="1"/>
      <c r="KFH231" s="1"/>
      <c r="KFI231" s="1"/>
      <c r="KFJ231" s="1"/>
      <c r="KFK231" s="1"/>
      <c r="KFL231" s="1"/>
      <c r="KFM231" s="1"/>
      <c r="KFN231" s="1"/>
      <c r="KFO231" s="1"/>
      <c r="KFP231" s="1"/>
      <c r="KFQ231" s="1"/>
      <c r="KFR231" s="1"/>
      <c r="KFS231" s="1"/>
      <c r="KFT231" s="1"/>
      <c r="KFU231" s="1"/>
      <c r="KFV231" s="1"/>
      <c r="KFW231" s="1"/>
      <c r="KFX231" s="1"/>
      <c r="KFY231" s="1"/>
      <c r="KFZ231" s="1"/>
      <c r="KGA231" s="1"/>
      <c r="KGB231" s="1"/>
      <c r="KGC231" s="1"/>
      <c r="KGD231" s="1"/>
      <c r="KGE231" s="1"/>
      <c r="KGF231" s="1"/>
      <c r="KGG231" s="1"/>
      <c r="KGH231" s="1"/>
      <c r="KGI231" s="1"/>
      <c r="KGJ231" s="1"/>
      <c r="KGK231" s="1"/>
      <c r="KGL231" s="1"/>
      <c r="KGM231" s="1"/>
      <c r="KGN231" s="1"/>
      <c r="KGO231" s="1"/>
      <c r="KGP231" s="1"/>
      <c r="KGQ231" s="1"/>
      <c r="KGR231" s="1"/>
      <c r="KGS231" s="1"/>
      <c r="KGT231" s="1"/>
      <c r="KGU231" s="1"/>
      <c r="KGV231" s="1"/>
      <c r="KGW231" s="1"/>
      <c r="KGX231" s="1"/>
      <c r="KGY231" s="1"/>
      <c r="KGZ231" s="1"/>
      <c r="KHA231" s="1"/>
      <c r="KHB231" s="1"/>
      <c r="KHC231" s="1"/>
      <c r="KHD231" s="1"/>
      <c r="KHE231" s="1"/>
      <c r="KHF231" s="1"/>
      <c r="KHG231" s="1"/>
      <c r="KHH231" s="1"/>
      <c r="KHI231" s="1"/>
      <c r="KHJ231" s="1"/>
      <c r="KHK231" s="1"/>
      <c r="KHL231" s="1"/>
      <c r="KHM231" s="1"/>
      <c r="KHN231" s="1"/>
      <c r="KHO231" s="1"/>
      <c r="KHP231" s="1"/>
      <c r="KHQ231" s="1"/>
      <c r="KHR231" s="1"/>
      <c r="KHS231" s="1"/>
      <c r="KHT231" s="1"/>
      <c r="KHU231" s="1"/>
      <c r="KHV231" s="1"/>
      <c r="KHW231" s="1"/>
      <c r="KHX231" s="1"/>
      <c r="KHY231" s="1"/>
      <c r="KHZ231" s="1"/>
      <c r="KIA231" s="1"/>
      <c r="KIB231" s="1"/>
      <c r="KIC231" s="1"/>
      <c r="KID231" s="1"/>
      <c r="KIE231" s="1"/>
      <c r="KIF231" s="1"/>
      <c r="KIG231" s="1"/>
      <c r="KIH231" s="1"/>
      <c r="KII231" s="1"/>
      <c r="KIJ231" s="1"/>
      <c r="KIK231" s="1"/>
      <c r="KIL231" s="1"/>
      <c r="KIM231" s="1"/>
      <c r="KIN231" s="1"/>
      <c r="KIO231" s="1"/>
      <c r="KIP231" s="1"/>
      <c r="KIQ231" s="1"/>
      <c r="KIR231" s="1"/>
      <c r="KIS231" s="1"/>
      <c r="KIT231" s="1"/>
      <c r="KIU231" s="1"/>
      <c r="KIV231" s="1"/>
      <c r="KIW231" s="1"/>
      <c r="KIX231" s="1"/>
      <c r="KIY231" s="1"/>
      <c r="KIZ231" s="1"/>
      <c r="KJA231" s="1"/>
      <c r="KJB231" s="1"/>
      <c r="KJC231" s="1"/>
      <c r="KJD231" s="1"/>
      <c r="KJE231" s="1"/>
      <c r="KJF231" s="1"/>
      <c r="KJG231" s="1"/>
      <c r="KJH231" s="1"/>
      <c r="KJI231" s="1"/>
      <c r="KJJ231" s="1"/>
      <c r="KJK231" s="1"/>
      <c r="KJL231" s="1"/>
      <c r="KJM231" s="1"/>
      <c r="KJN231" s="1"/>
      <c r="KJO231" s="1"/>
      <c r="KJP231" s="1"/>
      <c r="KJQ231" s="1"/>
      <c r="KJR231" s="1"/>
      <c r="KJS231" s="1"/>
      <c r="KJT231" s="1"/>
      <c r="KJU231" s="1"/>
      <c r="KJV231" s="1"/>
      <c r="KJW231" s="1"/>
      <c r="KJX231" s="1"/>
      <c r="KJY231" s="1"/>
      <c r="KJZ231" s="1"/>
      <c r="KKA231" s="1"/>
      <c r="KKB231" s="1"/>
      <c r="KKC231" s="1"/>
      <c r="KKD231" s="1"/>
      <c r="KKE231" s="1"/>
      <c r="KKF231" s="1"/>
      <c r="KKG231" s="1"/>
      <c r="KKH231" s="1"/>
      <c r="KKI231" s="1"/>
      <c r="KKJ231" s="1"/>
      <c r="KKK231" s="1"/>
      <c r="KKL231" s="1"/>
      <c r="KKM231" s="1"/>
      <c r="KKN231" s="1"/>
      <c r="KKO231" s="1"/>
      <c r="KKP231" s="1"/>
      <c r="KKQ231" s="1"/>
      <c r="KKR231" s="1"/>
      <c r="KKS231" s="1"/>
      <c r="KKT231" s="1"/>
      <c r="KKU231" s="1"/>
      <c r="KKV231" s="1"/>
      <c r="KKW231" s="1"/>
      <c r="KKX231" s="1"/>
      <c r="KKY231" s="1"/>
      <c r="KKZ231" s="1"/>
      <c r="KLA231" s="1"/>
      <c r="KLB231" s="1"/>
      <c r="KLC231" s="1"/>
      <c r="KLD231" s="1"/>
      <c r="KLE231" s="1"/>
      <c r="KLF231" s="1"/>
      <c r="KLG231" s="1"/>
      <c r="KLH231" s="1"/>
      <c r="KLI231" s="1"/>
      <c r="KLJ231" s="1"/>
      <c r="KLK231" s="1"/>
      <c r="KLL231" s="1"/>
      <c r="KLM231" s="1"/>
      <c r="KLN231" s="1"/>
      <c r="KLO231" s="1"/>
      <c r="KLP231" s="1"/>
      <c r="KLQ231" s="1"/>
      <c r="KLR231" s="1"/>
      <c r="KLS231" s="1"/>
      <c r="KLT231" s="1"/>
      <c r="KLU231" s="1"/>
      <c r="KLV231" s="1"/>
      <c r="KLW231" s="1"/>
      <c r="KLX231" s="1"/>
      <c r="KLY231" s="1"/>
      <c r="KLZ231" s="1"/>
      <c r="KMA231" s="1"/>
      <c r="KMB231" s="1"/>
      <c r="KMC231" s="1"/>
      <c r="KMD231" s="1"/>
      <c r="KME231" s="1"/>
      <c r="KMF231" s="1"/>
      <c r="KMG231" s="1"/>
      <c r="KMH231" s="1"/>
      <c r="KMI231" s="1"/>
      <c r="KMJ231" s="1"/>
      <c r="KMK231" s="1"/>
      <c r="KML231" s="1"/>
      <c r="KMM231" s="1"/>
      <c r="KMN231" s="1"/>
      <c r="KMO231" s="1"/>
      <c r="KMP231" s="1"/>
      <c r="KMQ231" s="1"/>
      <c r="KMR231" s="1"/>
      <c r="KMS231" s="1"/>
      <c r="KMT231" s="1"/>
      <c r="KMU231" s="1"/>
      <c r="KMV231" s="1"/>
      <c r="KMW231" s="1"/>
      <c r="KMX231" s="1"/>
      <c r="KMY231" s="1"/>
      <c r="KMZ231" s="1"/>
      <c r="KNA231" s="1"/>
      <c r="KNB231" s="1"/>
      <c r="KNC231" s="1"/>
      <c r="KND231" s="1"/>
      <c r="KNE231" s="1"/>
      <c r="KNF231" s="1"/>
      <c r="KNG231" s="1"/>
      <c r="KNH231" s="1"/>
      <c r="KNI231" s="1"/>
      <c r="KNJ231" s="1"/>
      <c r="KNK231" s="1"/>
      <c r="KNL231" s="1"/>
      <c r="KNM231" s="1"/>
      <c r="KNN231" s="1"/>
      <c r="KNO231" s="1"/>
      <c r="KNP231" s="1"/>
      <c r="KNQ231" s="1"/>
      <c r="KNR231" s="1"/>
      <c r="KNS231" s="1"/>
      <c r="KNT231" s="1"/>
      <c r="KNU231" s="1"/>
      <c r="KNV231" s="1"/>
      <c r="KNW231" s="1"/>
      <c r="KNX231" s="1"/>
      <c r="KNY231" s="1"/>
      <c r="KNZ231" s="1"/>
      <c r="KOA231" s="1"/>
      <c r="KOB231" s="1"/>
      <c r="KOC231" s="1"/>
      <c r="KOD231" s="1"/>
      <c r="KOE231" s="1"/>
      <c r="KOF231" s="1"/>
      <c r="KOG231" s="1"/>
      <c r="KOH231" s="1"/>
      <c r="KOI231" s="1"/>
      <c r="KOJ231" s="1"/>
      <c r="KOK231" s="1"/>
      <c r="KOL231" s="1"/>
      <c r="KOM231" s="1"/>
      <c r="KON231" s="1"/>
      <c r="KOO231" s="1"/>
      <c r="KOP231" s="1"/>
      <c r="KOQ231" s="1"/>
      <c r="KOR231" s="1"/>
      <c r="KOS231" s="1"/>
      <c r="KOT231" s="1"/>
      <c r="KOU231" s="1"/>
      <c r="KOV231" s="1"/>
      <c r="KOW231" s="1"/>
      <c r="KOX231" s="1"/>
      <c r="KOY231" s="1"/>
      <c r="KOZ231" s="1"/>
      <c r="KPA231" s="1"/>
      <c r="KPB231" s="1"/>
      <c r="KPC231" s="1"/>
      <c r="KPD231" s="1"/>
      <c r="KPE231" s="1"/>
      <c r="KPF231" s="1"/>
      <c r="KPG231" s="1"/>
      <c r="KPH231" s="1"/>
      <c r="KPI231" s="1"/>
      <c r="KPJ231" s="1"/>
      <c r="KPK231" s="1"/>
      <c r="KPL231" s="1"/>
      <c r="KPM231" s="1"/>
      <c r="KPN231" s="1"/>
      <c r="KPO231" s="1"/>
      <c r="KPP231" s="1"/>
      <c r="KPQ231" s="1"/>
      <c r="KPR231" s="1"/>
      <c r="KPS231" s="1"/>
      <c r="KPT231" s="1"/>
      <c r="KPU231" s="1"/>
      <c r="KPV231" s="1"/>
      <c r="KPW231" s="1"/>
      <c r="KPX231" s="1"/>
      <c r="KPY231" s="1"/>
      <c r="KPZ231" s="1"/>
      <c r="KQA231" s="1"/>
      <c r="KQB231" s="1"/>
      <c r="KQC231" s="1"/>
      <c r="KQD231" s="1"/>
      <c r="KQE231" s="1"/>
      <c r="KQF231" s="1"/>
      <c r="KQG231" s="1"/>
      <c r="KQH231" s="1"/>
      <c r="KQI231" s="1"/>
      <c r="KQJ231" s="1"/>
      <c r="KQK231" s="1"/>
      <c r="KQL231" s="1"/>
      <c r="KQM231" s="1"/>
      <c r="KQN231" s="1"/>
      <c r="KQO231" s="1"/>
      <c r="KQP231" s="1"/>
      <c r="KQQ231" s="1"/>
      <c r="KQR231" s="1"/>
      <c r="KQS231" s="1"/>
      <c r="KQT231" s="1"/>
      <c r="KQU231" s="1"/>
      <c r="KQV231" s="1"/>
      <c r="KQW231" s="1"/>
      <c r="KQX231" s="1"/>
      <c r="KQY231" s="1"/>
      <c r="KQZ231" s="1"/>
      <c r="KRA231" s="1"/>
      <c r="KRB231" s="1"/>
      <c r="KRC231" s="1"/>
      <c r="KRD231" s="1"/>
      <c r="KRE231" s="1"/>
      <c r="KRF231" s="1"/>
      <c r="KRG231" s="1"/>
      <c r="KRH231" s="1"/>
      <c r="KRI231" s="1"/>
      <c r="KRJ231" s="1"/>
      <c r="KRK231" s="1"/>
      <c r="KRL231" s="1"/>
      <c r="KRM231" s="1"/>
      <c r="KRN231" s="1"/>
      <c r="KRO231" s="1"/>
      <c r="KRP231" s="1"/>
      <c r="KRQ231" s="1"/>
      <c r="KRR231" s="1"/>
      <c r="KRS231" s="1"/>
      <c r="KRT231" s="1"/>
      <c r="KRU231" s="1"/>
      <c r="KRV231" s="1"/>
      <c r="KRW231" s="1"/>
      <c r="KRX231" s="1"/>
      <c r="KRY231" s="1"/>
      <c r="KRZ231" s="1"/>
      <c r="KSA231" s="1"/>
      <c r="KSB231" s="1"/>
      <c r="KSC231" s="1"/>
      <c r="KSD231" s="1"/>
      <c r="KSE231" s="1"/>
      <c r="KSF231" s="1"/>
      <c r="KSG231" s="1"/>
      <c r="KSH231" s="1"/>
      <c r="KSI231" s="1"/>
      <c r="KSJ231" s="1"/>
      <c r="KSK231" s="1"/>
      <c r="KSL231" s="1"/>
      <c r="KSM231" s="1"/>
      <c r="KSN231" s="1"/>
      <c r="KSO231" s="1"/>
      <c r="KSP231" s="1"/>
      <c r="KSQ231" s="1"/>
      <c r="KSR231" s="1"/>
      <c r="KSS231" s="1"/>
      <c r="KST231" s="1"/>
      <c r="KSU231" s="1"/>
      <c r="KSV231" s="1"/>
      <c r="KSW231" s="1"/>
      <c r="KSX231" s="1"/>
      <c r="KSY231" s="1"/>
      <c r="KSZ231" s="1"/>
      <c r="KTA231" s="1"/>
      <c r="KTB231" s="1"/>
      <c r="KTC231" s="1"/>
      <c r="KTD231" s="1"/>
      <c r="KTE231" s="1"/>
      <c r="KTF231" s="1"/>
      <c r="KTG231" s="1"/>
      <c r="KTH231" s="1"/>
      <c r="KTI231" s="1"/>
      <c r="KTJ231" s="1"/>
      <c r="KTK231" s="1"/>
      <c r="KTL231" s="1"/>
      <c r="KTM231" s="1"/>
      <c r="KTN231" s="1"/>
      <c r="KTO231" s="1"/>
      <c r="KTP231" s="1"/>
      <c r="KTQ231" s="1"/>
      <c r="KTR231" s="1"/>
      <c r="KTS231" s="1"/>
      <c r="KTT231" s="1"/>
      <c r="KTU231" s="1"/>
      <c r="KTV231" s="1"/>
      <c r="KTW231" s="1"/>
      <c r="KTX231" s="1"/>
      <c r="KTY231" s="1"/>
      <c r="KTZ231" s="1"/>
      <c r="KUA231" s="1"/>
      <c r="KUB231" s="1"/>
      <c r="KUC231" s="1"/>
      <c r="KUD231" s="1"/>
      <c r="KUE231" s="1"/>
      <c r="KUF231" s="1"/>
      <c r="KUG231" s="1"/>
      <c r="KUH231" s="1"/>
      <c r="KUI231" s="1"/>
      <c r="KUJ231" s="1"/>
      <c r="KUK231" s="1"/>
      <c r="KUL231" s="1"/>
      <c r="KUM231" s="1"/>
      <c r="KUN231" s="1"/>
      <c r="KUO231" s="1"/>
      <c r="KUP231" s="1"/>
      <c r="KUQ231" s="1"/>
      <c r="KUR231" s="1"/>
      <c r="KUS231" s="1"/>
      <c r="KUT231" s="1"/>
      <c r="KUU231" s="1"/>
      <c r="KUV231" s="1"/>
      <c r="KUW231" s="1"/>
      <c r="KUX231" s="1"/>
      <c r="KUY231" s="1"/>
      <c r="KUZ231" s="1"/>
      <c r="KVA231" s="1"/>
      <c r="KVB231" s="1"/>
      <c r="KVC231" s="1"/>
      <c r="KVD231" s="1"/>
      <c r="KVE231" s="1"/>
      <c r="KVF231" s="1"/>
      <c r="KVG231" s="1"/>
      <c r="KVH231" s="1"/>
      <c r="KVI231" s="1"/>
      <c r="KVJ231" s="1"/>
      <c r="KVK231" s="1"/>
      <c r="KVL231" s="1"/>
      <c r="KVM231" s="1"/>
      <c r="KVN231" s="1"/>
      <c r="KVO231" s="1"/>
      <c r="KVP231" s="1"/>
      <c r="KVQ231" s="1"/>
      <c r="KVR231" s="1"/>
      <c r="KVS231" s="1"/>
      <c r="KVT231" s="1"/>
      <c r="KVU231" s="1"/>
      <c r="KVV231" s="1"/>
      <c r="KVW231" s="1"/>
      <c r="KVX231" s="1"/>
      <c r="KVY231" s="1"/>
      <c r="KVZ231" s="1"/>
      <c r="KWA231" s="1"/>
      <c r="KWB231" s="1"/>
      <c r="KWC231" s="1"/>
      <c r="KWD231" s="1"/>
      <c r="KWE231" s="1"/>
      <c r="KWF231" s="1"/>
      <c r="KWG231" s="1"/>
      <c r="KWH231" s="1"/>
      <c r="KWI231" s="1"/>
      <c r="KWJ231" s="1"/>
      <c r="KWK231" s="1"/>
      <c r="KWL231" s="1"/>
      <c r="KWM231" s="1"/>
      <c r="KWN231" s="1"/>
      <c r="KWO231" s="1"/>
      <c r="KWP231" s="1"/>
      <c r="KWQ231" s="1"/>
      <c r="KWR231" s="1"/>
      <c r="KWS231" s="1"/>
      <c r="KWT231" s="1"/>
      <c r="KWU231" s="1"/>
      <c r="KWV231" s="1"/>
      <c r="KWW231" s="1"/>
      <c r="KWX231" s="1"/>
      <c r="KWY231" s="1"/>
      <c r="KWZ231" s="1"/>
      <c r="KXA231" s="1"/>
      <c r="KXB231" s="1"/>
      <c r="KXC231" s="1"/>
      <c r="KXD231" s="1"/>
      <c r="KXE231" s="1"/>
      <c r="KXF231" s="1"/>
      <c r="KXG231" s="1"/>
      <c r="KXH231" s="1"/>
      <c r="KXI231" s="1"/>
      <c r="KXJ231" s="1"/>
      <c r="KXK231" s="1"/>
      <c r="KXL231" s="1"/>
      <c r="KXM231" s="1"/>
      <c r="KXN231" s="1"/>
      <c r="KXO231" s="1"/>
      <c r="KXP231" s="1"/>
      <c r="KXQ231" s="1"/>
      <c r="KXR231" s="1"/>
      <c r="KXS231" s="1"/>
      <c r="KXT231" s="1"/>
      <c r="KXU231" s="1"/>
      <c r="KXV231" s="1"/>
      <c r="KXW231" s="1"/>
      <c r="KXX231" s="1"/>
      <c r="KXY231" s="1"/>
      <c r="KXZ231" s="1"/>
      <c r="KYA231" s="1"/>
      <c r="KYB231" s="1"/>
      <c r="KYC231" s="1"/>
      <c r="KYD231" s="1"/>
      <c r="KYE231" s="1"/>
      <c r="KYF231" s="1"/>
      <c r="KYG231" s="1"/>
      <c r="KYH231" s="1"/>
      <c r="KYI231" s="1"/>
      <c r="KYJ231" s="1"/>
      <c r="KYK231" s="1"/>
      <c r="KYL231" s="1"/>
      <c r="KYM231" s="1"/>
      <c r="KYN231" s="1"/>
      <c r="KYO231" s="1"/>
      <c r="KYP231" s="1"/>
      <c r="KYQ231" s="1"/>
      <c r="KYR231" s="1"/>
      <c r="KYS231" s="1"/>
      <c r="KYT231" s="1"/>
      <c r="KYU231" s="1"/>
      <c r="KYV231" s="1"/>
      <c r="KYW231" s="1"/>
      <c r="KYX231" s="1"/>
      <c r="KYY231" s="1"/>
      <c r="KYZ231" s="1"/>
      <c r="KZA231" s="1"/>
      <c r="KZB231" s="1"/>
      <c r="KZC231" s="1"/>
      <c r="KZD231" s="1"/>
      <c r="KZE231" s="1"/>
      <c r="KZF231" s="1"/>
      <c r="KZG231" s="1"/>
      <c r="KZH231" s="1"/>
      <c r="KZI231" s="1"/>
      <c r="KZJ231" s="1"/>
      <c r="KZK231" s="1"/>
      <c r="KZL231" s="1"/>
      <c r="KZM231" s="1"/>
      <c r="KZN231" s="1"/>
      <c r="KZO231" s="1"/>
      <c r="KZP231" s="1"/>
      <c r="KZQ231" s="1"/>
      <c r="KZR231" s="1"/>
      <c r="KZS231" s="1"/>
      <c r="KZT231" s="1"/>
      <c r="KZU231" s="1"/>
      <c r="KZV231" s="1"/>
      <c r="KZW231" s="1"/>
      <c r="KZX231" s="1"/>
      <c r="KZY231" s="1"/>
      <c r="KZZ231" s="1"/>
      <c r="LAA231" s="1"/>
      <c r="LAB231" s="1"/>
      <c r="LAC231" s="1"/>
      <c r="LAD231" s="1"/>
      <c r="LAE231" s="1"/>
      <c r="LAF231" s="1"/>
      <c r="LAG231" s="1"/>
      <c r="LAH231" s="1"/>
      <c r="LAI231" s="1"/>
      <c r="LAJ231" s="1"/>
      <c r="LAK231" s="1"/>
      <c r="LAL231" s="1"/>
      <c r="LAM231" s="1"/>
      <c r="LAN231" s="1"/>
      <c r="LAO231" s="1"/>
      <c r="LAP231" s="1"/>
      <c r="LAQ231" s="1"/>
      <c r="LAR231" s="1"/>
      <c r="LAS231" s="1"/>
      <c r="LAT231" s="1"/>
      <c r="LAU231" s="1"/>
      <c r="LAV231" s="1"/>
      <c r="LAW231" s="1"/>
      <c r="LAX231" s="1"/>
      <c r="LAY231" s="1"/>
      <c r="LAZ231" s="1"/>
      <c r="LBA231" s="1"/>
      <c r="LBB231" s="1"/>
      <c r="LBC231" s="1"/>
      <c r="LBD231" s="1"/>
      <c r="LBE231" s="1"/>
      <c r="LBF231" s="1"/>
      <c r="LBG231" s="1"/>
      <c r="LBH231" s="1"/>
      <c r="LBI231" s="1"/>
      <c r="LBJ231" s="1"/>
      <c r="LBK231" s="1"/>
      <c r="LBL231" s="1"/>
      <c r="LBM231" s="1"/>
      <c r="LBN231" s="1"/>
      <c r="LBO231" s="1"/>
      <c r="LBP231" s="1"/>
      <c r="LBQ231" s="1"/>
      <c r="LBR231" s="1"/>
      <c r="LBS231" s="1"/>
      <c r="LBT231" s="1"/>
      <c r="LBU231" s="1"/>
      <c r="LBV231" s="1"/>
      <c r="LBW231" s="1"/>
      <c r="LBX231" s="1"/>
      <c r="LBY231" s="1"/>
      <c r="LBZ231" s="1"/>
      <c r="LCA231" s="1"/>
      <c r="LCB231" s="1"/>
      <c r="LCC231" s="1"/>
      <c r="LCD231" s="1"/>
      <c r="LCE231" s="1"/>
      <c r="LCF231" s="1"/>
      <c r="LCG231" s="1"/>
      <c r="LCH231" s="1"/>
      <c r="LCI231" s="1"/>
      <c r="LCJ231" s="1"/>
      <c r="LCK231" s="1"/>
      <c r="LCL231" s="1"/>
      <c r="LCM231" s="1"/>
      <c r="LCN231" s="1"/>
      <c r="LCO231" s="1"/>
      <c r="LCP231" s="1"/>
      <c r="LCQ231" s="1"/>
      <c r="LCR231" s="1"/>
      <c r="LCS231" s="1"/>
      <c r="LCT231" s="1"/>
      <c r="LCU231" s="1"/>
      <c r="LCV231" s="1"/>
      <c r="LCW231" s="1"/>
      <c r="LCX231" s="1"/>
      <c r="LCY231" s="1"/>
      <c r="LCZ231" s="1"/>
      <c r="LDA231" s="1"/>
      <c r="LDB231" s="1"/>
      <c r="LDC231" s="1"/>
      <c r="LDD231" s="1"/>
      <c r="LDE231" s="1"/>
      <c r="LDF231" s="1"/>
      <c r="LDG231" s="1"/>
      <c r="LDH231" s="1"/>
      <c r="LDI231" s="1"/>
      <c r="LDJ231" s="1"/>
      <c r="LDK231" s="1"/>
      <c r="LDL231" s="1"/>
      <c r="LDM231" s="1"/>
      <c r="LDN231" s="1"/>
      <c r="LDO231" s="1"/>
      <c r="LDP231" s="1"/>
      <c r="LDQ231" s="1"/>
      <c r="LDR231" s="1"/>
      <c r="LDS231" s="1"/>
      <c r="LDT231" s="1"/>
      <c r="LDU231" s="1"/>
      <c r="LDV231" s="1"/>
      <c r="LDW231" s="1"/>
      <c r="LDX231" s="1"/>
      <c r="LDY231" s="1"/>
      <c r="LDZ231" s="1"/>
      <c r="LEA231" s="1"/>
      <c r="LEB231" s="1"/>
      <c r="LEC231" s="1"/>
      <c r="LED231" s="1"/>
      <c r="LEE231" s="1"/>
      <c r="LEF231" s="1"/>
      <c r="LEG231" s="1"/>
      <c r="LEH231" s="1"/>
      <c r="LEI231" s="1"/>
      <c r="LEJ231" s="1"/>
      <c r="LEK231" s="1"/>
      <c r="LEL231" s="1"/>
      <c r="LEM231" s="1"/>
      <c r="LEN231" s="1"/>
      <c r="LEO231" s="1"/>
      <c r="LEP231" s="1"/>
      <c r="LEQ231" s="1"/>
      <c r="LER231" s="1"/>
      <c r="LES231" s="1"/>
      <c r="LET231" s="1"/>
      <c r="LEU231" s="1"/>
      <c r="LEV231" s="1"/>
      <c r="LEW231" s="1"/>
      <c r="LEX231" s="1"/>
      <c r="LEY231" s="1"/>
      <c r="LEZ231" s="1"/>
      <c r="LFA231" s="1"/>
      <c r="LFB231" s="1"/>
      <c r="LFC231" s="1"/>
      <c r="LFD231" s="1"/>
      <c r="LFE231" s="1"/>
      <c r="LFF231" s="1"/>
      <c r="LFG231" s="1"/>
      <c r="LFH231" s="1"/>
      <c r="LFI231" s="1"/>
      <c r="LFJ231" s="1"/>
      <c r="LFK231" s="1"/>
      <c r="LFL231" s="1"/>
      <c r="LFM231" s="1"/>
      <c r="LFN231" s="1"/>
      <c r="LFO231" s="1"/>
      <c r="LFP231" s="1"/>
      <c r="LFQ231" s="1"/>
      <c r="LFR231" s="1"/>
      <c r="LFS231" s="1"/>
      <c r="LFT231" s="1"/>
      <c r="LFU231" s="1"/>
      <c r="LFV231" s="1"/>
      <c r="LFW231" s="1"/>
      <c r="LFX231" s="1"/>
      <c r="LFY231" s="1"/>
      <c r="LFZ231" s="1"/>
      <c r="LGA231" s="1"/>
      <c r="LGB231" s="1"/>
      <c r="LGC231" s="1"/>
      <c r="LGD231" s="1"/>
      <c r="LGE231" s="1"/>
      <c r="LGF231" s="1"/>
      <c r="LGG231" s="1"/>
      <c r="LGH231" s="1"/>
      <c r="LGI231" s="1"/>
      <c r="LGJ231" s="1"/>
      <c r="LGK231" s="1"/>
      <c r="LGL231" s="1"/>
      <c r="LGM231" s="1"/>
      <c r="LGN231" s="1"/>
      <c r="LGO231" s="1"/>
      <c r="LGP231" s="1"/>
      <c r="LGQ231" s="1"/>
      <c r="LGR231" s="1"/>
      <c r="LGS231" s="1"/>
      <c r="LGT231" s="1"/>
      <c r="LGU231" s="1"/>
      <c r="LGV231" s="1"/>
      <c r="LGW231" s="1"/>
      <c r="LGX231" s="1"/>
      <c r="LGY231" s="1"/>
      <c r="LGZ231" s="1"/>
      <c r="LHA231" s="1"/>
      <c r="LHB231" s="1"/>
      <c r="LHC231" s="1"/>
      <c r="LHD231" s="1"/>
      <c r="LHE231" s="1"/>
      <c r="LHF231" s="1"/>
      <c r="LHG231" s="1"/>
      <c r="LHH231" s="1"/>
      <c r="LHI231" s="1"/>
      <c r="LHJ231" s="1"/>
      <c r="LHK231" s="1"/>
      <c r="LHL231" s="1"/>
      <c r="LHM231" s="1"/>
      <c r="LHN231" s="1"/>
      <c r="LHO231" s="1"/>
      <c r="LHP231" s="1"/>
      <c r="LHQ231" s="1"/>
      <c r="LHR231" s="1"/>
      <c r="LHS231" s="1"/>
      <c r="LHT231" s="1"/>
      <c r="LHU231" s="1"/>
      <c r="LHV231" s="1"/>
      <c r="LHW231" s="1"/>
      <c r="LHX231" s="1"/>
      <c r="LHY231" s="1"/>
      <c r="LHZ231" s="1"/>
      <c r="LIA231" s="1"/>
      <c r="LIB231" s="1"/>
      <c r="LIC231" s="1"/>
      <c r="LID231" s="1"/>
      <c r="LIE231" s="1"/>
      <c r="LIF231" s="1"/>
      <c r="LIG231" s="1"/>
      <c r="LIH231" s="1"/>
      <c r="LII231" s="1"/>
      <c r="LIJ231" s="1"/>
      <c r="LIK231" s="1"/>
      <c r="LIL231" s="1"/>
      <c r="LIM231" s="1"/>
      <c r="LIN231" s="1"/>
      <c r="LIO231" s="1"/>
      <c r="LIP231" s="1"/>
      <c r="LIQ231" s="1"/>
      <c r="LIR231" s="1"/>
      <c r="LIS231" s="1"/>
      <c r="LIT231" s="1"/>
      <c r="LIU231" s="1"/>
      <c r="LIV231" s="1"/>
      <c r="LIW231" s="1"/>
      <c r="LIX231" s="1"/>
      <c r="LIY231" s="1"/>
      <c r="LIZ231" s="1"/>
      <c r="LJA231" s="1"/>
      <c r="LJB231" s="1"/>
      <c r="LJC231" s="1"/>
      <c r="LJD231" s="1"/>
      <c r="LJE231" s="1"/>
      <c r="LJF231" s="1"/>
      <c r="LJG231" s="1"/>
      <c r="LJH231" s="1"/>
      <c r="LJI231" s="1"/>
      <c r="LJJ231" s="1"/>
      <c r="LJK231" s="1"/>
      <c r="LJL231" s="1"/>
      <c r="LJM231" s="1"/>
      <c r="LJN231" s="1"/>
      <c r="LJO231" s="1"/>
      <c r="LJP231" s="1"/>
      <c r="LJQ231" s="1"/>
      <c r="LJR231" s="1"/>
      <c r="LJS231" s="1"/>
      <c r="LJT231" s="1"/>
      <c r="LJU231" s="1"/>
      <c r="LJV231" s="1"/>
      <c r="LJW231" s="1"/>
      <c r="LJX231" s="1"/>
      <c r="LJY231" s="1"/>
      <c r="LJZ231" s="1"/>
      <c r="LKA231" s="1"/>
      <c r="LKB231" s="1"/>
      <c r="LKC231" s="1"/>
      <c r="LKD231" s="1"/>
      <c r="LKE231" s="1"/>
      <c r="LKF231" s="1"/>
      <c r="LKG231" s="1"/>
      <c r="LKH231" s="1"/>
      <c r="LKI231" s="1"/>
      <c r="LKJ231" s="1"/>
      <c r="LKK231" s="1"/>
      <c r="LKL231" s="1"/>
      <c r="LKM231" s="1"/>
      <c r="LKN231" s="1"/>
      <c r="LKO231" s="1"/>
      <c r="LKP231" s="1"/>
      <c r="LKQ231" s="1"/>
      <c r="LKR231" s="1"/>
      <c r="LKS231" s="1"/>
      <c r="LKT231" s="1"/>
      <c r="LKU231" s="1"/>
      <c r="LKV231" s="1"/>
      <c r="LKW231" s="1"/>
      <c r="LKX231" s="1"/>
      <c r="LKY231" s="1"/>
      <c r="LKZ231" s="1"/>
      <c r="LLA231" s="1"/>
      <c r="LLB231" s="1"/>
      <c r="LLC231" s="1"/>
      <c r="LLD231" s="1"/>
      <c r="LLE231" s="1"/>
      <c r="LLF231" s="1"/>
      <c r="LLG231" s="1"/>
      <c r="LLH231" s="1"/>
      <c r="LLI231" s="1"/>
      <c r="LLJ231" s="1"/>
      <c r="LLK231" s="1"/>
      <c r="LLL231" s="1"/>
      <c r="LLM231" s="1"/>
      <c r="LLN231" s="1"/>
      <c r="LLO231" s="1"/>
      <c r="LLP231" s="1"/>
      <c r="LLQ231" s="1"/>
      <c r="LLR231" s="1"/>
      <c r="LLS231" s="1"/>
      <c r="LLT231" s="1"/>
      <c r="LLU231" s="1"/>
      <c r="LLV231" s="1"/>
      <c r="LLW231" s="1"/>
      <c r="LLX231" s="1"/>
      <c r="LLY231" s="1"/>
      <c r="LLZ231" s="1"/>
      <c r="LMA231" s="1"/>
      <c r="LMB231" s="1"/>
      <c r="LMC231" s="1"/>
      <c r="LMD231" s="1"/>
      <c r="LME231" s="1"/>
      <c r="LMF231" s="1"/>
      <c r="LMG231" s="1"/>
      <c r="LMH231" s="1"/>
      <c r="LMI231" s="1"/>
      <c r="LMJ231" s="1"/>
      <c r="LMK231" s="1"/>
      <c r="LML231" s="1"/>
      <c r="LMM231" s="1"/>
      <c r="LMN231" s="1"/>
      <c r="LMO231" s="1"/>
      <c r="LMP231" s="1"/>
      <c r="LMQ231" s="1"/>
      <c r="LMR231" s="1"/>
      <c r="LMS231" s="1"/>
      <c r="LMT231" s="1"/>
      <c r="LMU231" s="1"/>
      <c r="LMV231" s="1"/>
      <c r="LMW231" s="1"/>
      <c r="LMX231" s="1"/>
      <c r="LMY231" s="1"/>
      <c r="LMZ231" s="1"/>
      <c r="LNA231" s="1"/>
      <c r="LNB231" s="1"/>
      <c r="LNC231" s="1"/>
      <c r="LND231" s="1"/>
      <c r="LNE231" s="1"/>
      <c r="LNF231" s="1"/>
      <c r="LNG231" s="1"/>
      <c r="LNH231" s="1"/>
      <c r="LNI231" s="1"/>
      <c r="LNJ231" s="1"/>
      <c r="LNK231" s="1"/>
      <c r="LNL231" s="1"/>
      <c r="LNM231" s="1"/>
      <c r="LNN231" s="1"/>
      <c r="LNO231" s="1"/>
      <c r="LNP231" s="1"/>
      <c r="LNQ231" s="1"/>
      <c r="LNR231" s="1"/>
      <c r="LNS231" s="1"/>
      <c r="LNT231" s="1"/>
      <c r="LNU231" s="1"/>
      <c r="LNV231" s="1"/>
      <c r="LNW231" s="1"/>
      <c r="LNX231" s="1"/>
      <c r="LNY231" s="1"/>
      <c r="LNZ231" s="1"/>
      <c r="LOA231" s="1"/>
      <c r="LOB231" s="1"/>
      <c r="LOC231" s="1"/>
      <c r="LOD231" s="1"/>
      <c r="LOE231" s="1"/>
      <c r="LOF231" s="1"/>
      <c r="LOG231" s="1"/>
      <c r="LOH231" s="1"/>
      <c r="LOI231" s="1"/>
      <c r="LOJ231" s="1"/>
      <c r="LOK231" s="1"/>
      <c r="LOL231" s="1"/>
      <c r="LOM231" s="1"/>
      <c r="LON231" s="1"/>
      <c r="LOO231" s="1"/>
      <c r="LOP231" s="1"/>
      <c r="LOQ231" s="1"/>
      <c r="LOR231" s="1"/>
      <c r="LOS231" s="1"/>
      <c r="LOT231" s="1"/>
      <c r="LOU231" s="1"/>
      <c r="LOV231" s="1"/>
      <c r="LOW231" s="1"/>
      <c r="LOX231" s="1"/>
      <c r="LOY231" s="1"/>
      <c r="LOZ231" s="1"/>
      <c r="LPA231" s="1"/>
      <c r="LPB231" s="1"/>
      <c r="LPC231" s="1"/>
      <c r="LPD231" s="1"/>
      <c r="LPE231" s="1"/>
      <c r="LPF231" s="1"/>
      <c r="LPG231" s="1"/>
      <c r="LPH231" s="1"/>
      <c r="LPI231" s="1"/>
      <c r="LPJ231" s="1"/>
      <c r="LPK231" s="1"/>
      <c r="LPL231" s="1"/>
      <c r="LPM231" s="1"/>
      <c r="LPN231" s="1"/>
      <c r="LPO231" s="1"/>
      <c r="LPP231" s="1"/>
      <c r="LPQ231" s="1"/>
      <c r="LPR231" s="1"/>
      <c r="LPS231" s="1"/>
      <c r="LPT231" s="1"/>
      <c r="LPU231" s="1"/>
      <c r="LPV231" s="1"/>
      <c r="LPW231" s="1"/>
      <c r="LPX231" s="1"/>
      <c r="LPY231" s="1"/>
      <c r="LPZ231" s="1"/>
      <c r="LQA231" s="1"/>
      <c r="LQB231" s="1"/>
      <c r="LQC231" s="1"/>
      <c r="LQD231" s="1"/>
      <c r="LQE231" s="1"/>
      <c r="LQF231" s="1"/>
      <c r="LQG231" s="1"/>
      <c r="LQH231" s="1"/>
      <c r="LQI231" s="1"/>
      <c r="LQJ231" s="1"/>
      <c r="LQK231" s="1"/>
      <c r="LQL231" s="1"/>
      <c r="LQM231" s="1"/>
      <c r="LQN231" s="1"/>
      <c r="LQO231" s="1"/>
      <c r="LQP231" s="1"/>
      <c r="LQQ231" s="1"/>
      <c r="LQR231" s="1"/>
      <c r="LQS231" s="1"/>
      <c r="LQT231" s="1"/>
      <c r="LQU231" s="1"/>
      <c r="LQV231" s="1"/>
      <c r="LQW231" s="1"/>
      <c r="LQX231" s="1"/>
      <c r="LQY231" s="1"/>
      <c r="LQZ231" s="1"/>
      <c r="LRA231" s="1"/>
      <c r="LRB231" s="1"/>
      <c r="LRC231" s="1"/>
      <c r="LRD231" s="1"/>
      <c r="LRE231" s="1"/>
      <c r="LRF231" s="1"/>
      <c r="LRG231" s="1"/>
      <c r="LRH231" s="1"/>
      <c r="LRI231" s="1"/>
      <c r="LRJ231" s="1"/>
      <c r="LRK231" s="1"/>
      <c r="LRL231" s="1"/>
      <c r="LRM231" s="1"/>
      <c r="LRN231" s="1"/>
      <c r="LRO231" s="1"/>
      <c r="LRP231" s="1"/>
      <c r="LRQ231" s="1"/>
      <c r="LRR231" s="1"/>
      <c r="LRS231" s="1"/>
      <c r="LRT231" s="1"/>
      <c r="LRU231" s="1"/>
      <c r="LRV231" s="1"/>
      <c r="LRW231" s="1"/>
      <c r="LRX231" s="1"/>
      <c r="LRY231" s="1"/>
      <c r="LRZ231" s="1"/>
      <c r="LSA231" s="1"/>
      <c r="LSB231" s="1"/>
      <c r="LSC231" s="1"/>
      <c r="LSD231" s="1"/>
      <c r="LSE231" s="1"/>
      <c r="LSF231" s="1"/>
      <c r="LSG231" s="1"/>
      <c r="LSH231" s="1"/>
      <c r="LSI231" s="1"/>
      <c r="LSJ231" s="1"/>
      <c r="LSK231" s="1"/>
      <c r="LSL231" s="1"/>
      <c r="LSM231" s="1"/>
      <c r="LSN231" s="1"/>
      <c r="LSO231" s="1"/>
      <c r="LSP231" s="1"/>
      <c r="LSQ231" s="1"/>
      <c r="LSR231" s="1"/>
      <c r="LSS231" s="1"/>
      <c r="LST231" s="1"/>
      <c r="LSU231" s="1"/>
      <c r="LSV231" s="1"/>
      <c r="LSW231" s="1"/>
      <c r="LSX231" s="1"/>
      <c r="LSY231" s="1"/>
      <c r="LSZ231" s="1"/>
      <c r="LTA231" s="1"/>
      <c r="LTB231" s="1"/>
      <c r="LTC231" s="1"/>
      <c r="LTD231" s="1"/>
      <c r="LTE231" s="1"/>
      <c r="LTF231" s="1"/>
      <c r="LTG231" s="1"/>
      <c r="LTH231" s="1"/>
      <c r="LTI231" s="1"/>
      <c r="LTJ231" s="1"/>
      <c r="LTK231" s="1"/>
      <c r="LTL231" s="1"/>
      <c r="LTM231" s="1"/>
      <c r="LTN231" s="1"/>
      <c r="LTO231" s="1"/>
      <c r="LTP231" s="1"/>
      <c r="LTQ231" s="1"/>
      <c r="LTR231" s="1"/>
      <c r="LTS231" s="1"/>
      <c r="LTT231" s="1"/>
      <c r="LTU231" s="1"/>
      <c r="LTV231" s="1"/>
      <c r="LTW231" s="1"/>
      <c r="LTX231" s="1"/>
      <c r="LTY231" s="1"/>
      <c r="LTZ231" s="1"/>
      <c r="LUA231" s="1"/>
      <c r="LUB231" s="1"/>
      <c r="LUC231" s="1"/>
      <c r="LUD231" s="1"/>
      <c r="LUE231" s="1"/>
      <c r="LUF231" s="1"/>
      <c r="LUG231" s="1"/>
      <c r="LUH231" s="1"/>
      <c r="LUI231" s="1"/>
      <c r="LUJ231" s="1"/>
      <c r="LUK231" s="1"/>
      <c r="LUL231" s="1"/>
      <c r="LUM231" s="1"/>
      <c r="LUN231" s="1"/>
      <c r="LUO231" s="1"/>
      <c r="LUP231" s="1"/>
      <c r="LUQ231" s="1"/>
      <c r="LUR231" s="1"/>
      <c r="LUS231" s="1"/>
      <c r="LUT231" s="1"/>
      <c r="LUU231" s="1"/>
      <c r="LUV231" s="1"/>
      <c r="LUW231" s="1"/>
      <c r="LUX231" s="1"/>
      <c r="LUY231" s="1"/>
      <c r="LUZ231" s="1"/>
      <c r="LVA231" s="1"/>
      <c r="LVB231" s="1"/>
      <c r="LVC231" s="1"/>
      <c r="LVD231" s="1"/>
      <c r="LVE231" s="1"/>
      <c r="LVF231" s="1"/>
      <c r="LVG231" s="1"/>
      <c r="LVH231" s="1"/>
      <c r="LVI231" s="1"/>
      <c r="LVJ231" s="1"/>
      <c r="LVK231" s="1"/>
      <c r="LVL231" s="1"/>
      <c r="LVM231" s="1"/>
      <c r="LVN231" s="1"/>
      <c r="LVO231" s="1"/>
      <c r="LVP231" s="1"/>
      <c r="LVQ231" s="1"/>
      <c r="LVR231" s="1"/>
      <c r="LVS231" s="1"/>
      <c r="LVT231" s="1"/>
      <c r="LVU231" s="1"/>
      <c r="LVV231" s="1"/>
      <c r="LVW231" s="1"/>
      <c r="LVX231" s="1"/>
      <c r="LVY231" s="1"/>
      <c r="LVZ231" s="1"/>
      <c r="LWA231" s="1"/>
      <c r="LWB231" s="1"/>
      <c r="LWC231" s="1"/>
      <c r="LWD231" s="1"/>
      <c r="LWE231" s="1"/>
      <c r="LWF231" s="1"/>
      <c r="LWG231" s="1"/>
      <c r="LWH231" s="1"/>
      <c r="LWI231" s="1"/>
      <c r="LWJ231" s="1"/>
      <c r="LWK231" s="1"/>
      <c r="LWL231" s="1"/>
      <c r="LWM231" s="1"/>
      <c r="LWN231" s="1"/>
      <c r="LWO231" s="1"/>
      <c r="LWP231" s="1"/>
      <c r="LWQ231" s="1"/>
      <c r="LWR231" s="1"/>
      <c r="LWS231" s="1"/>
      <c r="LWT231" s="1"/>
      <c r="LWU231" s="1"/>
      <c r="LWV231" s="1"/>
      <c r="LWW231" s="1"/>
      <c r="LWX231" s="1"/>
      <c r="LWY231" s="1"/>
      <c r="LWZ231" s="1"/>
      <c r="LXA231" s="1"/>
      <c r="LXB231" s="1"/>
      <c r="LXC231" s="1"/>
      <c r="LXD231" s="1"/>
      <c r="LXE231" s="1"/>
      <c r="LXF231" s="1"/>
      <c r="LXG231" s="1"/>
      <c r="LXH231" s="1"/>
      <c r="LXI231" s="1"/>
      <c r="LXJ231" s="1"/>
      <c r="LXK231" s="1"/>
      <c r="LXL231" s="1"/>
      <c r="LXM231" s="1"/>
      <c r="LXN231" s="1"/>
      <c r="LXO231" s="1"/>
      <c r="LXP231" s="1"/>
      <c r="LXQ231" s="1"/>
      <c r="LXR231" s="1"/>
      <c r="LXS231" s="1"/>
      <c r="LXT231" s="1"/>
      <c r="LXU231" s="1"/>
      <c r="LXV231" s="1"/>
      <c r="LXW231" s="1"/>
      <c r="LXX231" s="1"/>
      <c r="LXY231" s="1"/>
      <c r="LXZ231" s="1"/>
      <c r="LYA231" s="1"/>
      <c r="LYB231" s="1"/>
      <c r="LYC231" s="1"/>
      <c r="LYD231" s="1"/>
      <c r="LYE231" s="1"/>
      <c r="LYF231" s="1"/>
      <c r="LYG231" s="1"/>
      <c r="LYH231" s="1"/>
      <c r="LYI231" s="1"/>
      <c r="LYJ231" s="1"/>
      <c r="LYK231" s="1"/>
      <c r="LYL231" s="1"/>
      <c r="LYM231" s="1"/>
      <c r="LYN231" s="1"/>
      <c r="LYO231" s="1"/>
      <c r="LYP231" s="1"/>
      <c r="LYQ231" s="1"/>
      <c r="LYR231" s="1"/>
      <c r="LYS231" s="1"/>
      <c r="LYT231" s="1"/>
      <c r="LYU231" s="1"/>
      <c r="LYV231" s="1"/>
      <c r="LYW231" s="1"/>
      <c r="LYX231" s="1"/>
      <c r="LYY231" s="1"/>
      <c r="LYZ231" s="1"/>
      <c r="LZA231" s="1"/>
      <c r="LZB231" s="1"/>
      <c r="LZC231" s="1"/>
      <c r="LZD231" s="1"/>
      <c r="LZE231" s="1"/>
      <c r="LZF231" s="1"/>
      <c r="LZG231" s="1"/>
      <c r="LZH231" s="1"/>
      <c r="LZI231" s="1"/>
      <c r="LZJ231" s="1"/>
      <c r="LZK231" s="1"/>
      <c r="LZL231" s="1"/>
      <c r="LZM231" s="1"/>
      <c r="LZN231" s="1"/>
      <c r="LZO231" s="1"/>
      <c r="LZP231" s="1"/>
      <c r="LZQ231" s="1"/>
      <c r="LZR231" s="1"/>
      <c r="LZS231" s="1"/>
      <c r="LZT231" s="1"/>
      <c r="LZU231" s="1"/>
      <c r="LZV231" s="1"/>
      <c r="LZW231" s="1"/>
      <c r="LZX231" s="1"/>
      <c r="LZY231" s="1"/>
      <c r="LZZ231" s="1"/>
      <c r="MAA231" s="1"/>
      <c r="MAB231" s="1"/>
      <c r="MAC231" s="1"/>
      <c r="MAD231" s="1"/>
      <c r="MAE231" s="1"/>
      <c r="MAF231" s="1"/>
      <c r="MAG231" s="1"/>
      <c r="MAH231" s="1"/>
      <c r="MAI231" s="1"/>
      <c r="MAJ231" s="1"/>
      <c r="MAK231" s="1"/>
      <c r="MAL231" s="1"/>
      <c r="MAM231" s="1"/>
      <c r="MAN231" s="1"/>
      <c r="MAO231" s="1"/>
      <c r="MAP231" s="1"/>
      <c r="MAQ231" s="1"/>
      <c r="MAR231" s="1"/>
      <c r="MAS231" s="1"/>
      <c r="MAT231" s="1"/>
      <c r="MAU231" s="1"/>
      <c r="MAV231" s="1"/>
      <c r="MAW231" s="1"/>
      <c r="MAX231" s="1"/>
      <c r="MAY231" s="1"/>
      <c r="MAZ231" s="1"/>
      <c r="MBA231" s="1"/>
      <c r="MBB231" s="1"/>
      <c r="MBC231" s="1"/>
      <c r="MBD231" s="1"/>
      <c r="MBE231" s="1"/>
      <c r="MBF231" s="1"/>
      <c r="MBG231" s="1"/>
      <c r="MBH231" s="1"/>
      <c r="MBI231" s="1"/>
      <c r="MBJ231" s="1"/>
      <c r="MBK231" s="1"/>
      <c r="MBL231" s="1"/>
      <c r="MBM231" s="1"/>
      <c r="MBN231" s="1"/>
      <c r="MBO231" s="1"/>
      <c r="MBP231" s="1"/>
      <c r="MBQ231" s="1"/>
      <c r="MBR231" s="1"/>
      <c r="MBS231" s="1"/>
      <c r="MBT231" s="1"/>
      <c r="MBU231" s="1"/>
      <c r="MBV231" s="1"/>
      <c r="MBW231" s="1"/>
      <c r="MBX231" s="1"/>
      <c r="MBY231" s="1"/>
      <c r="MBZ231" s="1"/>
      <c r="MCA231" s="1"/>
      <c r="MCB231" s="1"/>
      <c r="MCC231" s="1"/>
      <c r="MCD231" s="1"/>
      <c r="MCE231" s="1"/>
      <c r="MCF231" s="1"/>
      <c r="MCG231" s="1"/>
      <c r="MCH231" s="1"/>
      <c r="MCI231" s="1"/>
      <c r="MCJ231" s="1"/>
      <c r="MCK231" s="1"/>
      <c r="MCL231" s="1"/>
      <c r="MCM231" s="1"/>
      <c r="MCN231" s="1"/>
      <c r="MCO231" s="1"/>
      <c r="MCP231" s="1"/>
      <c r="MCQ231" s="1"/>
      <c r="MCR231" s="1"/>
      <c r="MCS231" s="1"/>
      <c r="MCT231" s="1"/>
      <c r="MCU231" s="1"/>
      <c r="MCV231" s="1"/>
      <c r="MCW231" s="1"/>
      <c r="MCX231" s="1"/>
      <c r="MCY231" s="1"/>
      <c r="MCZ231" s="1"/>
      <c r="MDA231" s="1"/>
      <c r="MDB231" s="1"/>
      <c r="MDC231" s="1"/>
      <c r="MDD231" s="1"/>
      <c r="MDE231" s="1"/>
      <c r="MDF231" s="1"/>
      <c r="MDG231" s="1"/>
      <c r="MDH231" s="1"/>
      <c r="MDI231" s="1"/>
      <c r="MDJ231" s="1"/>
      <c r="MDK231" s="1"/>
      <c r="MDL231" s="1"/>
      <c r="MDM231" s="1"/>
      <c r="MDN231" s="1"/>
      <c r="MDO231" s="1"/>
      <c r="MDP231" s="1"/>
      <c r="MDQ231" s="1"/>
      <c r="MDR231" s="1"/>
      <c r="MDS231" s="1"/>
      <c r="MDT231" s="1"/>
      <c r="MDU231" s="1"/>
      <c r="MDV231" s="1"/>
      <c r="MDW231" s="1"/>
      <c r="MDX231" s="1"/>
      <c r="MDY231" s="1"/>
      <c r="MDZ231" s="1"/>
      <c r="MEA231" s="1"/>
      <c r="MEB231" s="1"/>
      <c r="MEC231" s="1"/>
      <c r="MED231" s="1"/>
      <c r="MEE231" s="1"/>
      <c r="MEF231" s="1"/>
      <c r="MEG231" s="1"/>
      <c r="MEH231" s="1"/>
      <c r="MEI231" s="1"/>
      <c r="MEJ231" s="1"/>
      <c r="MEK231" s="1"/>
      <c r="MEL231" s="1"/>
      <c r="MEM231" s="1"/>
      <c r="MEN231" s="1"/>
      <c r="MEO231" s="1"/>
      <c r="MEP231" s="1"/>
      <c r="MEQ231" s="1"/>
      <c r="MER231" s="1"/>
      <c r="MES231" s="1"/>
      <c r="MET231" s="1"/>
      <c r="MEU231" s="1"/>
      <c r="MEV231" s="1"/>
      <c r="MEW231" s="1"/>
      <c r="MEX231" s="1"/>
      <c r="MEY231" s="1"/>
      <c r="MEZ231" s="1"/>
      <c r="MFA231" s="1"/>
      <c r="MFB231" s="1"/>
      <c r="MFC231" s="1"/>
      <c r="MFD231" s="1"/>
      <c r="MFE231" s="1"/>
      <c r="MFF231" s="1"/>
      <c r="MFG231" s="1"/>
      <c r="MFH231" s="1"/>
      <c r="MFI231" s="1"/>
      <c r="MFJ231" s="1"/>
      <c r="MFK231" s="1"/>
      <c r="MFL231" s="1"/>
      <c r="MFM231" s="1"/>
      <c r="MFN231" s="1"/>
      <c r="MFO231" s="1"/>
      <c r="MFP231" s="1"/>
      <c r="MFQ231" s="1"/>
      <c r="MFR231" s="1"/>
      <c r="MFS231" s="1"/>
      <c r="MFT231" s="1"/>
      <c r="MFU231" s="1"/>
      <c r="MFV231" s="1"/>
      <c r="MFW231" s="1"/>
      <c r="MFX231" s="1"/>
      <c r="MFY231" s="1"/>
      <c r="MFZ231" s="1"/>
      <c r="MGA231" s="1"/>
      <c r="MGB231" s="1"/>
      <c r="MGC231" s="1"/>
      <c r="MGD231" s="1"/>
      <c r="MGE231" s="1"/>
      <c r="MGF231" s="1"/>
      <c r="MGG231" s="1"/>
      <c r="MGH231" s="1"/>
      <c r="MGI231" s="1"/>
      <c r="MGJ231" s="1"/>
      <c r="MGK231" s="1"/>
      <c r="MGL231" s="1"/>
      <c r="MGM231" s="1"/>
      <c r="MGN231" s="1"/>
      <c r="MGO231" s="1"/>
      <c r="MGP231" s="1"/>
      <c r="MGQ231" s="1"/>
      <c r="MGR231" s="1"/>
      <c r="MGS231" s="1"/>
      <c r="MGT231" s="1"/>
      <c r="MGU231" s="1"/>
      <c r="MGV231" s="1"/>
      <c r="MGW231" s="1"/>
      <c r="MGX231" s="1"/>
      <c r="MGY231" s="1"/>
      <c r="MGZ231" s="1"/>
      <c r="MHA231" s="1"/>
      <c r="MHB231" s="1"/>
      <c r="MHC231" s="1"/>
      <c r="MHD231" s="1"/>
      <c r="MHE231" s="1"/>
      <c r="MHF231" s="1"/>
      <c r="MHG231" s="1"/>
      <c r="MHH231" s="1"/>
      <c r="MHI231" s="1"/>
      <c r="MHJ231" s="1"/>
      <c r="MHK231" s="1"/>
      <c r="MHL231" s="1"/>
      <c r="MHM231" s="1"/>
      <c r="MHN231" s="1"/>
      <c r="MHO231" s="1"/>
      <c r="MHP231" s="1"/>
      <c r="MHQ231" s="1"/>
      <c r="MHR231" s="1"/>
      <c r="MHS231" s="1"/>
      <c r="MHT231" s="1"/>
      <c r="MHU231" s="1"/>
      <c r="MHV231" s="1"/>
      <c r="MHW231" s="1"/>
      <c r="MHX231" s="1"/>
      <c r="MHY231" s="1"/>
      <c r="MHZ231" s="1"/>
      <c r="MIA231" s="1"/>
      <c r="MIB231" s="1"/>
      <c r="MIC231" s="1"/>
      <c r="MID231" s="1"/>
      <c r="MIE231" s="1"/>
      <c r="MIF231" s="1"/>
      <c r="MIG231" s="1"/>
      <c r="MIH231" s="1"/>
      <c r="MII231" s="1"/>
      <c r="MIJ231" s="1"/>
      <c r="MIK231" s="1"/>
      <c r="MIL231" s="1"/>
      <c r="MIM231" s="1"/>
      <c r="MIN231" s="1"/>
      <c r="MIO231" s="1"/>
      <c r="MIP231" s="1"/>
      <c r="MIQ231" s="1"/>
      <c r="MIR231" s="1"/>
      <c r="MIS231" s="1"/>
      <c r="MIT231" s="1"/>
      <c r="MIU231" s="1"/>
      <c r="MIV231" s="1"/>
      <c r="MIW231" s="1"/>
      <c r="MIX231" s="1"/>
      <c r="MIY231" s="1"/>
      <c r="MIZ231" s="1"/>
      <c r="MJA231" s="1"/>
      <c r="MJB231" s="1"/>
      <c r="MJC231" s="1"/>
      <c r="MJD231" s="1"/>
      <c r="MJE231" s="1"/>
      <c r="MJF231" s="1"/>
      <c r="MJG231" s="1"/>
      <c r="MJH231" s="1"/>
      <c r="MJI231" s="1"/>
      <c r="MJJ231" s="1"/>
      <c r="MJK231" s="1"/>
      <c r="MJL231" s="1"/>
      <c r="MJM231" s="1"/>
      <c r="MJN231" s="1"/>
      <c r="MJO231" s="1"/>
      <c r="MJP231" s="1"/>
      <c r="MJQ231" s="1"/>
      <c r="MJR231" s="1"/>
      <c r="MJS231" s="1"/>
      <c r="MJT231" s="1"/>
      <c r="MJU231" s="1"/>
      <c r="MJV231" s="1"/>
      <c r="MJW231" s="1"/>
      <c r="MJX231" s="1"/>
      <c r="MJY231" s="1"/>
      <c r="MJZ231" s="1"/>
      <c r="MKA231" s="1"/>
      <c r="MKB231" s="1"/>
      <c r="MKC231" s="1"/>
      <c r="MKD231" s="1"/>
      <c r="MKE231" s="1"/>
      <c r="MKF231" s="1"/>
      <c r="MKG231" s="1"/>
      <c r="MKH231" s="1"/>
      <c r="MKI231" s="1"/>
      <c r="MKJ231" s="1"/>
      <c r="MKK231" s="1"/>
      <c r="MKL231" s="1"/>
      <c r="MKM231" s="1"/>
      <c r="MKN231" s="1"/>
      <c r="MKO231" s="1"/>
      <c r="MKP231" s="1"/>
      <c r="MKQ231" s="1"/>
      <c r="MKR231" s="1"/>
      <c r="MKS231" s="1"/>
      <c r="MKT231" s="1"/>
      <c r="MKU231" s="1"/>
      <c r="MKV231" s="1"/>
      <c r="MKW231" s="1"/>
      <c r="MKX231" s="1"/>
      <c r="MKY231" s="1"/>
      <c r="MKZ231" s="1"/>
      <c r="MLA231" s="1"/>
      <c r="MLB231" s="1"/>
      <c r="MLC231" s="1"/>
      <c r="MLD231" s="1"/>
      <c r="MLE231" s="1"/>
      <c r="MLF231" s="1"/>
      <c r="MLG231" s="1"/>
      <c r="MLH231" s="1"/>
      <c r="MLI231" s="1"/>
      <c r="MLJ231" s="1"/>
      <c r="MLK231" s="1"/>
      <c r="MLL231" s="1"/>
      <c r="MLM231" s="1"/>
      <c r="MLN231" s="1"/>
      <c r="MLO231" s="1"/>
      <c r="MLP231" s="1"/>
      <c r="MLQ231" s="1"/>
      <c r="MLR231" s="1"/>
      <c r="MLS231" s="1"/>
      <c r="MLT231" s="1"/>
      <c r="MLU231" s="1"/>
      <c r="MLV231" s="1"/>
      <c r="MLW231" s="1"/>
      <c r="MLX231" s="1"/>
      <c r="MLY231" s="1"/>
      <c r="MLZ231" s="1"/>
      <c r="MMA231" s="1"/>
      <c r="MMB231" s="1"/>
      <c r="MMC231" s="1"/>
      <c r="MMD231" s="1"/>
      <c r="MME231" s="1"/>
      <c r="MMF231" s="1"/>
      <c r="MMG231" s="1"/>
      <c r="MMH231" s="1"/>
      <c r="MMI231" s="1"/>
      <c r="MMJ231" s="1"/>
      <c r="MMK231" s="1"/>
      <c r="MML231" s="1"/>
      <c r="MMM231" s="1"/>
      <c r="MMN231" s="1"/>
      <c r="MMO231" s="1"/>
      <c r="MMP231" s="1"/>
      <c r="MMQ231" s="1"/>
      <c r="MMR231" s="1"/>
      <c r="MMS231" s="1"/>
      <c r="MMT231" s="1"/>
      <c r="MMU231" s="1"/>
      <c r="MMV231" s="1"/>
      <c r="MMW231" s="1"/>
      <c r="MMX231" s="1"/>
      <c r="MMY231" s="1"/>
      <c r="MMZ231" s="1"/>
      <c r="MNA231" s="1"/>
      <c r="MNB231" s="1"/>
      <c r="MNC231" s="1"/>
      <c r="MND231" s="1"/>
      <c r="MNE231" s="1"/>
      <c r="MNF231" s="1"/>
      <c r="MNG231" s="1"/>
      <c r="MNH231" s="1"/>
      <c r="MNI231" s="1"/>
      <c r="MNJ231" s="1"/>
      <c r="MNK231" s="1"/>
      <c r="MNL231" s="1"/>
      <c r="MNM231" s="1"/>
      <c r="MNN231" s="1"/>
      <c r="MNO231" s="1"/>
      <c r="MNP231" s="1"/>
      <c r="MNQ231" s="1"/>
      <c r="MNR231" s="1"/>
      <c r="MNS231" s="1"/>
      <c r="MNT231" s="1"/>
      <c r="MNU231" s="1"/>
      <c r="MNV231" s="1"/>
      <c r="MNW231" s="1"/>
      <c r="MNX231" s="1"/>
      <c r="MNY231" s="1"/>
      <c r="MNZ231" s="1"/>
      <c r="MOA231" s="1"/>
      <c r="MOB231" s="1"/>
      <c r="MOC231" s="1"/>
      <c r="MOD231" s="1"/>
      <c r="MOE231" s="1"/>
      <c r="MOF231" s="1"/>
      <c r="MOG231" s="1"/>
      <c r="MOH231" s="1"/>
      <c r="MOI231" s="1"/>
      <c r="MOJ231" s="1"/>
      <c r="MOK231" s="1"/>
      <c r="MOL231" s="1"/>
      <c r="MOM231" s="1"/>
      <c r="MON231" s="1"/>
      <c r="MOO231" s="1"/>
      <c r="MOP231" s="1"/>
      <c r="MOQ231" s="1"/>
      <c r="MOR231" s="1"/>
      <c r="MOS231" s="1"/>
      <c r="MOT231" s="1"/>
      <c r="MOU231" s="1"/>
      <c r="MOV231" s="1"/>
      <c r="MOW231" s="1"/>
      <c r="MOX231" s="1"/>
      <c r="MOY231" s="1"/>
      <c r="MOZ231" s="1"/>
      <c r="MPA231" s="1"/>
      <c r="MPB231" s="1"/>
      <c r="MPC231" s="1"/>
      <c r="MPD231" s="1"/>
      <c r="MPE231" s="1"/>
      <c r="MPF231" s="1"/>
      <c r="MPG231" s="1"/>
      <c r="MPH231" s="1"/>
      <c r="MPI231" s="1"/>
      <c r="MPJ231" s="1"/>
      <c r="MPK231" s="1"/>
      <c r="MPL231" s="1"/>
      <c r="MPM231" s="1"/>
      <c r="MPN231" s="1"/>
      <c r="MPO231" s="1"/>
      <c r="MPP231" s="1"/>
      <c r="MPQ231" s="1"/>
      <c r="MPR231" s="1"/>
      <c r="MPS231" s="1"/>
      <c r="MPT231" s="1"/>
      <c r="MPU231" s="1"/>
      <c r="MPV231" s="1"/>
      <c r="MPW231" s="1"/>
      <c r="MPX231" s="1"/>
      <c r="MPY231" s="1"/>
      <c r="MPZ231" s="1"/>
      <c r="MQA231" s="1"/>
      <c r="MQB231" s="1"/>
      <c r="MQC231" s="1"/>
      <c r="MQD231" s="1"/>
      <c r="MQE231" s="1"/>
      <c r="MQF231" s="1"/>
      <c r="MQG231" s="1"/>
      <c r="MQH231" s="1"/>
      <c r="MQI231" s="1"/>
      <c r="MQJ231" s="1"/>
      <c r="MQK231" s="1"/>
      <c r="MQL231" s="1"/>
      <c r="MQM231" s="1"/>
      <c r="MQN231" s="1"/>
      <c r="MQO231" s="1"/>
      <c r="MQP231" s="1"/>
      <c r="MQQ231" s="1"/>
      <c r="MQR231" s="1"/>
      <c r="MQS231" s="1"/>
      <c r="MQT231" s="1"/>
      <c r="MQU231" s="1"/>
      <c r="MQV231" s="1"/>
      <c r="MQW231" s="1"/>
      <c r="MQX231" s="1"/>
      <c r="MQY231" s="1"/>
      <c r="MQZ231" s="1"/>
      <c r="MRA231" s="1"/>
      <c r="MRB231" s="1"/>
      <c r="MRC231" s="1"/>
      <c r="MRD231" s="1"/>
      <c r="MRE231" s="1"/>
      <c r="MRF231" s="1"/>
      <c r="MRG231" s="1"/>
      <c r="MRH231" s="1"/>
      <c r="MRI231" s="1"/>
      <c r="MRJ231" s="1"/>
      <c r="MRK231" s="1"/>
      <c r="MRL231" s="1"/>
      <c r="MRM231" s="1"/>
      <c r="MRN231" s="1"/>
      <c r="MRO231" s="1"/>
      <c r="MRP231" s="1"/>
      <c r="MRQ231" s="1"/>
      <c r="MRR231" s="1"/>
      <c r="MRS231" s="1"/>
      <c r="MRT231" s="1"/>
      <c r="MRU231" s="1"/>
      <c r="MRV231" s="1"/>
      <c r="MRW231" s="1"/>
      <c r="MRX231" s="1"/>
      <c r="MRY231" s="1"/>
      <c r="MRZ231" s="1"/>
      <c r="MSA231" s="1"/>
      <c r="MSB231" s="1"/>
      <c r="MSC231" s="1"/>
      <c r="MSD231" s="1"/>
      <c r="MSE231" s="1"/>
      <c r="MSF231" s="1"/>
      <c r="MSG231" s="1"/>
      <c r="MSH231" s="1"/>
      <c r="MSI231" s="1"/>
      <c r="MSJ231" s="1"/>
      <c r="MSK231" s="1"/>
      <c r="MSL231" s="1"/>
      <c r="MSM231" s="1"/>
      <c r="MSN231" s="1"/>
      <c r="MSO231" s="1"/>
      <c r="MSP231" s="1"/>
      <c r="MSQ231" s="1"/>
      <c r="MSR231" s="1"/>
      <c r="MSS231" s="1"/>
      <c r="MST231" s="1"/>
      <c r="MSU231" s="1"/>
      <c r="MSV231" s="1"/>
      <c r="MSW231" s="1"/>
      <c r="MSX231" s="1"/>
      <c r="MSY231" s="1"/>
      <c r="MSZ231" s="1"/>
      <c r="MTA231" s="1"/>
      <c r="MTB231" s="1"/>
      <c r="MTC231" s="1"/>
      <c r="MTD231" s="1"/>
      <c r="MTE231" s="1"/>
      <c r="MTF231" s="1"/>
      <c r="MTG231" s="1"/>
      <c r="MTH231" s="1"/>
      <c r="MTI231" s="1"/>
      <c r="MTJ231" s="1"/>
      <c r="MTK231" s="1"/>
      <c r="MTL231" s="1"/>
      <c r="MTM231" s="1"/>
      <c r="MTN231" s="1"/>
      <c r="MTO231" s="1"/>
      <c r="MTP231" s="1"/>
      <c r="MTQ231" s="1"/>
      <c r="MTR231" s="1"/>
      <c r="MTS231" s="1"/>
      <c r="MTT231" s="1"/>
      <c r="MTU231" s="1"/>
      <c r="MTV231" s="1"/>
      <c r="MTW231" s="1"/>
      <c r="MTX231" s="1"/>
      <c r="MTY231" s="1"/>
      <c r="MTZ231" s="1"/>
      <c r="MUA231" s="1"/>
      <c r="MUB231" s="1"/>
      <c r="MUC231" s="1"/>
      <c r="MUD231" s="1"/>
      <c r="MUE231" s="1"/>
      <c r="MUF231" s="1"/>
      <c r="MUG231" s="1"/>
      <c r="MUH231" s="1"/>
      <c r="MUI231" s="1"/>
      <c r="MUJ231" s="1"/>
      <c r="MUK231" s="1"/>
      <c r="MUL231" s="1"/>
      <c r="MUM231" s="1"/>
      <c r="MUN231" s="1"/>
      <c r="MUO231" s="1"/>
      <c r="MUP231" s="1"/>
      <c r="MUQ231" s="1"/>
      <c r="MUR231" s="1"/>
      <c r="MUS231" s="1"/>
      <c r="MUT231" s="1"/>
      <c r="MUU231" s="1"/>
      <c r="MUV231" s="1"/>
      <c r="MUW231" s="1"/>
      <c r="MUX231" s="1"/>
      <c r="MUY231" s="1"/>
      <c r="MUZ231" s="1"/>
      <c r="MVA231" s="1"/>
      <c r="MVB231" s="1"/>
      <c r="MVC231" s="1"/>
      <c r="MVD231" s="1"/>
      <c r="MVE231" s="1"/>
      <c r="MVF231" s="1"/>
      <c r="MVG231" s="1"/>
      <c r="MVH231" s="1"/>
      <c r="MVI231" s="1"/>
      <c r="MVJ231" s="1"/>
      <c r="MVK231" s="1"/>
      <c r="MVL231" s="1"/>
      <c r="MVM231" s="1"/>
      <c r="MVN231" s="1"/>
      <c r="MVO231" s="1"/>
      <c r="MVP231" s="1"/>
      <c r="MVQ231" s="1"/>
      <c r="MVR231" s="1"/>
      <c r="MVS231" s="1"/>
      <c r="MVT231" s="1"/>
      <c r="MVU231" s="1"/>
      <c r="MVV231" s="1"/>
      <c r="MVW231" s="1"/>
      <c r="MVX231" s="1"/>
      <c r="MVY231" s="1"/>
      <c r="MVZ231" s="1"/>
      <c r="MWA231" s="1"/>
      <c r="MWB231" s="1"/>
      <c r="MWC231" s="1"/>
      <c r="MWD231" s="1"/>
      <c r="MWE231" s="1"/>
      <c r="MWF231" s="1"/>
      <c r="MWG231" s="1"/>
      <c r="MWH231" s="1"/>
      <c r="MWI231" s="1"/>
      <c r="MWJ231" s="1"/>
      <c r="MWK231" s="1"/>
      <c r="MWL231" s="1"/>
      <c r="MWM231" s="1"/>
      <c r="MWN231" s="1"/>
      <c r="MWO231" s="1"/>
      <c r="MWP231" s="1"/>
      <c r="MWQ231" s="1"/>
      <c r="MWR231" s="1"/>
      <c r="MWS231" s="1"/>
      <c r="MWT231" s="1"/>
      <c r="MWU231" s="1"/>
      <c r="MWV231" s="1"/>
      <c r="MWW231" s="1"/>
      <c r="MWX231" s="1"/>
      <c r="MWY231" s="1"/>
      <c r="MWZ231" s="1"/>
      <c r="MXA231" s="1"/>
      <c r="MXB231" s="1"/>
      <c r="MXC231" s="1"/>
      <c r="MXD231" s="1"/>
      <c r="MXE231" s="1"/>
      <c r="MXF231" s="1"/>
      <c r="MXG231" s="1"/>
      <c r="MXH231" s="1"/>
      <c r="MXI231" s="1"/>
      <c r="MXJ231" s="1"/>
      <c r="MXK231" s="1"/>
      <c r="MXL231" s="1"/>
      <c r="MXM231" s="1"/>
      <c r="MXN231" s="1"/>
      <c r="MXO231" s="1"/>
      <c r="MXP231" s="1"/>
      <c r="MXQ231" s="1"/>
      <c r="MXR231" s="1"/>
      <c r="MXS231" s="1"/>
      <c r="MXT231" s="1"/>
      <c r="MXU231" s="1"/>
      <c r="MXV231" s="1"/>
      <c r="MXW231" s="1"/>
      <c r="MXX231" s="1"/>
      <c r="MXY231" s="1"/>
      <c r="MXZ231" s="1"/>
      <c r="MYA231" s="1"/>
      <c r="MYB231" s="1"/>
      <c r="MYC231" s="1"/>
      <c r="MYD231" s="1"/>
      <c r="MYE231" s="1"/>
      <c r="MYF231" s="1"/>
      <c r="MYG231" s="1"/>
      <c r="MYH231" s="1"/>
      <c r="MYI231" s="1"/>
      <c r="MYJ231" s="1"/>
      <c r="MYK231" s="1"/>
      <c r="MYL231" s="1"/>
      <c r="MYM231" s="1"/>
      <c r="MYN231" s="1"/>
      <c r="MYO231" s="1"/>
      <c r="MYP231" s="1"/>
      <c r="MYQ231" s="1"/>
      <c r="MYR231" s="1"/>
      <c r="MYS231" s="1"/>
      <c r="MYT231" s="1"/>
      <c r="MYU231" s="1"/>
      <c r="MYV231" s="1"/>
      <c r="MYW231" s="1"/>
      <c r="MYX231" s="1"/>
      <c r="MYY231" s="1"/>
      <c r="MYZ231" s="1"/>
      <c r="MZA231" s="1"/>
      <c r="MZB231" s="1"/>
      <c r="MZC231" s="1"/>
      <c r="MZD231" s="1"/>
      <c r="MZE231" s="1"/>
      <c r="MZF231" s="1"/>
      <c r="MZG231" s="1"/>
      <c r="MZH231" s="1"/>
      <c r="MZI231" s="1"/>
      <c r="MZJ231" s="1"/>
      <c r="MZK231" s="1"/>
      <c r="MZL231" s="1"/>
      <c r="MZM231" s="1"/>
      <c r="MZN231" s="1"/>
      <c r="MZO231" s="1"/>
      <c r="MZP231" s="1"/>
      <c r="MZQ231" s="1"/>
      <c r="MZR231" s="1"/>
      <c r="MZS231" s="1"/>
      <c r="MZT231" s="1"/>
      <c r="MZU231" s="1"/>
      <c r="MZV231" s="1"/>
      <c r="MZW231" s="1"/>
      <c r="MZX231" s="1"/>
      <c r="MZY231" s="1"/>
      <c r="MZZ231" s="1"/>
      <c r="NAA231" s="1"/>
      <c r="NAB231" s="1"/>
      <c r="NAC231" s="1"/>
      <c r="NAD231" s="1"/>
      <c r="NAE231" s="1"/>
      <c r="NAF231" s="1"/>
      <c r="NAG231" s="1"/>
      <c r="NAH231" s="1"/>
      <c r="NAI231" s="1"/>
      <c r="NAJ231" s="1"/>
      <c r="NAK231" s="1"/>
      <c r="NAL231" s="1"/>
      <c r="NAM231" s="1"/>
      <c r="NAN231" s="1"/>
      <c r="NAO231" s="1"/>
      <c r="NAP231" s="1"/>
      <c r="NAQ231" s="1"/>
      <c r="NAR231" s="1"/>
      <c r="NAS231" s="1"/>
      <c r="NAT231" s="1"/>
      <c r="NAU231" s="1"/>
      <c r="NAV231" s="1"/>
      <c r="NAW231" s="1"/>
      <c r="NAX231" s="1"/>
      <c r="NAY231" s="1"/>
      <c r="NAZ231" s="1"/>
      <c r="NBA231" s="1"/>
      <c r="NBB231" s="1"/>
      <c r="NBC231" s="1"/>
      <c r="NBD231" s="1"/>
      <c r="NBE231" s="1"/>
      <c r="NBF231" s="1"/>
      <c r="NBG231" s="1"/>
      <c r="NBH231" s="1"/>
      <c r="NBI231" s="1"/>
      <c r="NBJ231" s="1"/>
      <c r="NBK231" s="1"/>
      <c r="NBL231" s="1"/>
      <c r="NBM231" s="1"/>
      <c r="NBN231" s="1"/>
      <c r="NBO231" s="1"/>
      <c r="NBP231" s="1"/>
      <c r="NBQ231" s="1"/>
      <c r="NBR231" s="1"/>
      <c r="NBS231" s="1"/>
      <c r="NBT231" s="1"/>
      <c r="NBU231" s="1"/>
      <c r="NBV231" s="1"/>
      <c r="NBW231" s="1"/>
      <c r="NBX231" s="1"/>
      <c r="NBY231" s="1"/>
      <c r="NBZ231" s="1"/>
      <c r="NCA231" s="1"/>
      <c r="NCB231" s="1"/>
      <c r="NCC231" s="1"/>
      <c r="NCD231" s="1"/>
      <c r="NCE231" s="1"/>
      <c r="NCF231" s="1"/>
      <c r="NCG231" s="1"/>
      <c r="NCH231" s="1"/>
      <c r="NCI231" s="1"/>
      <c r="NCJ231" s="1"/>
      <c r="NCK231" s="1"/>
      <c r="NCL231" s="1"/>
      <c r="NCM231" s="1"/>
      <c r="NCN231" s="1"/>
      <c r="NCO231" s="1"/>
      <c r="NCP231" s="1"/>
      <c r="NCQ231" s="1"/>
      <c r="NCR231" s="1"/>
      <c r="NCS231" s="1"/>
      <c r="NCT231" s="1"/>
      <c r="NCU231" s="1"/>
      <c r="NCV231" s="1"/>
      <c r="NCW231" s="1"/>
      <c r="NCX231" s="1"/>
      <c r="NCY231" s="1"/>
      <c r="NCZ231" s="1"/>
      <c r="NDA231" s="1"/>
      <c r="NDB231" s="1"/>
      <c r="NDC231" s="1"/>
      <c r="NDD231" s="1"/>
      <c r="NDE231" s="1"/>
      <c r="NDF231" s="1"/>
      <c r="NDG231" s="1"/>
      <c r="NDH231" s="1"/>
      <c r="NDI231" s="1"/>
      <c r="NDJ231" s="1"/>
      <c r="NDK231" s="1"/>
      <c r="NDL231" s="1"/>
      <c r="NDM231" s="1"/>
      <c r="NDN231" s="1"/>
      <c r="NDO231" s="1"/>
      <c r="NDP231" s="1"/>
      <c r="NDQ231" s="1"/>
      <c r="NDR231" s="1"/>
      <c r="NDS231" s="1"/>
      <c r="NDT231" s="1"/>
      <c r="NDU231" s="1"/>
      <c r="NDV231" s="1"/>
      <c r="NDW231" s="1"/>
      <c r="NDX231" s="1"/>
      <c r="NDY231" s="1"/>
      <c r="NDZ231" s="1"/>
      <c r="NEA231" s="1"/>
      <c r="NEB231" s="1"/>
      <c r="NEC231" s="1"/>
      <c r="NED231" s="1"/>
      <c r="NEE231" s="1"/>
      <c r="NEF231" s="1"/>
      <c r="NEG231" s="1"/>
      <c r="NEH231" s="1"/>
      <c r="NEI231" s="1"/>
      <c r="NEJ231" s="1"/>
      <c r="NEK231" s="1"/>
      <c r="NEL231" s="1"/>
      <c r="NEM231" s="1"/>
      <c r="NEN231" s="1"/>
      <c r="NEO231" s="1"/>
      <c r="NEP231" s="1"/>
      <c r="NEQ231" s="1"/>
      <c r="NER231" s="1"/>
      <c r="NES231" s="1"/>
      <c r="NET231" s="1"/>
      <c r="NEU231" s="1"/>
      <c r="NEV231" s="1"/>
      <c r="NEW231" s="1"/>
      <c r="NEX231" s="1"/>
      <c r="NEY231" s="1"/>
      <c r="NEZ231" s="1"/>
      <c r="NFA231" s="1"/>
      <c r="NFB231" s="1"/>
      <c r="NFC231" s="1"/>
      <c r="NFD231" s="1"/>
      <c r="NFE231" s="1"/>
      <c r="NFF231" s="1"/>
      <c r="NFG231" s="1"/>
      <c r="NFH231" s="1"/>
      <c r="NFI231" s="1"/>
      <c r="NFJ231" s="1"/>
      <c r="NFK231" s="1"/>
      <c r="NFL231" s="1"/>
      <c r="NFM231" s="1"/>
      <c r="NFN231" s="1"/>
      <c r="NFO231" s="1"/>
      <c r="NFP231" s="1"/>
      <c r="NFQ231" s="1"/>
      <c r="NFR231" s="1"/>
      <c r="NFS231" s="1"/>
      <c r="NFT231" s="1"/>
      <c r="NFU231" s="1"/>
      <c r="NFV231" s="1"/>
      <c r="NFW231" s="1"/>
      <c r="NFX231" s="1"/>
      <c r="NFY231" s="1"/>
      <c r="NFZ231" s="1"/>
      <c r="NGA231" s="1"/>
      <c r="NGB231" s="1"/>
      <c r="NGC231" s="1"/>
      <c r="NGD231" s="1"/>
      <c r="NGE231" s="1"/>
      <c r="NGF231" s="1"/>
      <c r="NGG231" s="1"/>
      <c r="NGH231" s="1"/>
      <c r="NGI231" s="1"/>
      <c r="NGJ231" s="1"/>
      <c r="NGK231" s="1"/>
      <c r="NGL231" s="1"/>
      <c r="NGM231" s="1"/>
      <c r="NGN231" s="1"/>
      <c r="NGO231" s="1"/>
      <c r="NGP231" s="1"/>
      <c r="NGQ231" s="1"/>
      <c r="NGR231" s="1"/>
      <c r="NGS231" s="1"/>
      <c r="NGT231" s="1"/>
      <c r="NGU231" s="1"/>
      <c r="NGV231" s="1"/>
      <c r="NGW231" s="1"/>
      <c r="NGX231" s="1"/>
      <c r="NGY231" s="1"/>
      <c r="NGZ231" s="1"/>
      <c r="NHA231" s="1"/>
      <c r="NHB231" s="1"/>
      <c r="NHC231" s="1"/>
      <c r="NHD231" s="1"/>
      <c r="NHE231" s="1"/>
      <c r="NHF231" s="1"/>
      <c r="NHG231" s="1"/>
      <c r="NHH231" s="1"/>
      <c r="NHI231" s="1"/>
      <c r="NHJ231" s="1"/>
      <c r="NHK231" s="1"/>
      <c r="NHL231" s="1"/>
      <c r="NHM231" s="1"/>
      <c r="NHN231" s="1"/>
      <c r="NHO231" s="1"/>
      <c r="NHP231" s="1"/>
      <c r="NHQ231" s="1"/>
      <c r="NHR231" s="1"/>
      <c r="NHS231" s="1"/>
      <c r="NHT231" s="1"/>
      <c r="NHU231" s="1"/>
      <c r="NHV231" s="1"/>
      <c r="NHW231" s="1"/>
      <c r="NHX231" s="1"/>
      <c r="NHY231" s="1"/>
      <c r="NHZ231" s="1"/>
      <c r="NIA231" s="1"/>
      <c r="NIB231" s="1"/>
      <c r="NIC231" s="1"/>
      <c r="NID231" s="1"/>
      <c r="NIE231" s="1"/>
      <c r="NIF231" s="1"/>
      <c r="NIG231" s="1"/>
      <c r="NIH231" s="1"/>
      <c r="NII231" s="1"/>
      <c r="NIJ231" s="1"/>
      <c r="NIK231" s="1"/>
      <c r="NIL231" s="1"/>
      <c r="NIM231" s="1"/>
      <c r="NIN231" s="1"/>
      <c r="NIO231" s="1"/>
      <c r="NIP231" s="1"/>
      <c r="NIQ231" s="1"/>
      <c r="NIR231" s="1"/>
      <c r="NIS231" s="1"/>
      <c r="NIT231" s="1"/>
      <c r="NIU231" s="1"/>
      <c r="NIV231" s="1"/>
      <c r="NIW231" s="1"/>
      <c r="NIX231" s="1"/>
      <c r="NIY231" s="1"/>
      <c r="NIZ231" s="1"/>
      <c r="NJA231" s="1"/>
      <c r="NJB231" s="1"/>
      <c r="NJC231" s="1"/>
      <c r="NJD231" s="1"/>
      <c r="NJE231" s="1"/>
      <c r="NJF231" s="1"/>
      <c r="NJG231" s="1"/>
      <c r="NJH231" s="1"/>
      <c r="NJI231" s="1"/>
      <c r="NJJ231" s="1"/>
      <c r="NJK231" s="1"/>
      <c r="NJL231" s="1"/>
      <c r="NJM231" s="1"/>
      <c r="NJN231" s="1"/>
      <c r="NJO231" s="1"/>
      <c r="NJP231" s="1"/>
      <c r="NJQ231" s="1"/>
      <c r="NJR231" s="1"/>
      <c r="NJS231" s="1"/>
      <c r="NJT231" s="1"/>
      <c r="NJU231" s="1"/>
      <c r="NJV231" s="1"/>
      <c r="NJW231" s="1"/>
      <c r="NJX231" s="1"/>
      <c r="NJY231" s="1"/>
      <c r="NJZ231" s="1"/>
      <c r="NKA231" s="1"/>
      <c r="NKB231" s="1"/>
      <c r="NKC231" s="1"/>
      <c r="NKD231" s="1"/>
      <c r="NKE231" s="1"/>
      <c r="NKF231" s="1"/>
      <c r="NKG231" s="1"/>
      <c r="NKH231" s="1"/>
      <c r="NKI231" s="1"/>
      <c r="NKJ231" s="1"/>
      <c r="NKK231" s="1"/>
      <c r="NKL231" s="1"/>
      <c r="NKM231" s="1"/>
      <c r="NKN231" s="1"/>
      <c r="NKO231" s="1"/>
      <c r="NKP231" s="1"/>
      <c r="NKQ231" s="1"/>
      <c r="NKR231" s="1"/>
      <c r="NKS231" s="1"/>
      <c r="NKT231" s="1"/>
      <c r="NKU231" s="1"/>
      <c r="NKV231" s="1"/>
      <c r="NKW231" s="1"/>
      <c r="NKX231" s="1"/>
      <c r="NKY231" s="1"/>
      <c r="NKZ231" s="1"/>
      <c r="NLA231" s="1"/>
      <c r="NLB231" s="1"/>
      <c r="NLC231" s="1"/>
      <c r="NLD231" s="1"/>
      <c r="NLE231" s="1"/>
      <c r="NLF231" s="1"/>
      <c r="NLG231" s="1"/>
      <c r="NLH231" s="1"/>
      <c r="NLI231" s="1"/>
      <c r="NLJ231" s="1"/>
      <c r="NLK231" s="1"/>
      <c r="NLL231" s="1"/>
      <c r="NLM231" s="1"/>
      <c r="NLN231" s="1"/>
      <c r="NLO231" s="1"/>
      <c r="NLP231" s="1"/>
      <c r="NLQ231" s="1"/>
      <c r="NLR231" s="1"/>
      <c r="NLS231" s="1"/>
      <c r="NLT231" s="1"/>
      <c r="NLU231" s="1"/>
      <c r="NLV231" s="1"/>
      <c r="NLW231" s="1"/>
      <c r="NLX231" s="1"/>
      <c r="NLY231" s="1"/>
      <c r="NLZ231" s="1"/>
      <c r="NMA231" s="1"/>
      <c r="NMB231" s="1"/>
      <c r="NMC231" s="1"/>
      <c r="NMD231" s="1"/>
      <c r="NME231" s="1"/>
      <c r="NMF231" s="1"/>
      <c r="NMG231" s="1"/>
      <c r="NMH231" s="1"/>
      <c r="NMI231" s="1"/>
      <c r="NMJ231" s="1"/>
      <c r="NMK231" s="1"/>
      <c r="NML231" s="1"/>
      <c r="NMM231" s="1"/>
      <c r="NMN231" s="1"/>
      <c r="NMO231" s="1"/>
      <c r="NMP231" s="1"/>
      <c r="NMQ231" s="1"/>
      <c r="NMR231" s="1"/>
      <c r="NMS231" s="1"/>
      <c r="NMT231" s="1"/>
      <c r="NMU231" s="1"/>
      <c r="NMV231" s="1"/>
      <c r="NMW231" s="1"/>
      <c r="NMX231" s="1"/>
      <c r="NMY231" s="1"/>
      <c r="NMZ231" s="1"/>
      <c r="NNA231" s="1"/>
      <c r="NNB231" s="1"/>
      <c r="NNC231" s="1"/>
      <c r="NND231" s="1"/>
      <c r="NNE231" s="1"/>
      <c r="NNF231" s="1"/>
      <c r="NNG231" s="1"/>
      <c r="NNH231" s="1"/>
      <c r="NNI231" s="1"/>
      <c r="NNJ231" s="1"/>
      <c r="NNK231" s="1"/>
      <c r="NNL231" s="1"/>
      <c r="NNM231" s="1"/>
      <c r="NNN231" s="1"/>
      <c r="NNO231" s="1"/>
      <c r="NNP231" s="1"/>
      <c r="NNQ231" s="1"/>
      <c r="NNR231" s="1"/>
      <c r="NNS231" s="1"/>
      <c r="NNT231" s="1"/>
      <c r="NNU231" s="1"/>
      <c r="NNV231" s="1"/>
      <c r="NNW231" s="1"/>
      <c r="NNX231" s="1"/>
      <c r="NNY231" s="1"/>
      <c r="NNZ231" s="1"/>
      <c r="NOA231" s="1"/>
      <c r="NOB231" s="1"/>
      <c r="NOC231" s="1"/>
      <c r="NOD231" s="1"/>
      <c r="NOE231" s="1"/>
      <c r="NOF231" s="1"/>
      <c r="NOG231" s="1"/>
      <c r="NOH231" s="1"/>
      <c r="NOI231" s="1"/>
      <c r="NOJ231" s="1"/>
      <c r="NOK231" s="1"/>
      <c r="NOL231" s="1"/>
      <c r="NOM231" s="1"/>
      <c r="NON231" s="1"/>
      <c r="NOO231" s="1"/>
      <c r="NOP231" s="1"/>
      <c r="NOQ231" s="1"/>
      <c r="NOR231" s="1"/>
      <c r="NOS231" s="1"/>
      <c r="NOT231" s="1"/>
      <c r="NOU231" s="1"/>
      <c r="NOV231" s="1"/>
      <c r="NOW231" s="1"/>
      <c r="NOX231" s="1"/>
      <c r="NOY231" s="1"/>
      <c r="NOZ231" s="1"/>
      <c r="NPA231" s="1"/>
      <c r="NPB231" s="1"/>
      <c r="NPC231" s="1"/>
      <c r="NPD231" s="1"/>
      <c r="NPE231" s="1"/>
      <c r="NPF231" s="1"/>
      <c r="NPG231" s="1"/>
      <c r="NPH231" s="1"/>
      <c r="NPI231" s="1"/>
      <c r="NPJ231" s="1"/>
      <c r="NPK231" s="1"/>
      <c r="NPL231" s="1"/>
      <c r="NPM231" s="1"/>
      <c r="NPN231" s="1"/>
      <c r="NPO231" s="1"/>
      <c r="NPP231" s="1"/>
      <c r="NPQ231" s="1"/>
      <c r="NPR231" s="1"/>
      <c r="NPS231" s="1"/>
      <c r="NPT231" s="1"/>
      <c r="NPU231" s="1"/>
      <c r="NPV231" s="1"/>
      <c r="NPW231" s="1"/>
      <c r="NPX231" s="1"/>
      <c r="NPY231" s="1"/>
      <c r="NPZ231" s="1"/>
      <c r="NQA231" s="1"/>
      <c r="NQB231" s="1"/>
      <c r="NQC231" s="1"/>
      <c r="NQD231" s="1"/>
      <c r="NQE231" s="1"/>
      <c r="NQF231" s="1"/>
      <c r="NQG231" s="1"/>
      <c r="NQH231" s="1"/>
      <c r="NQI231" s="1"/>
      <c r="NQJ231" s="1"/>
      <c r="NQK231" s="1"/>
      <c r="NQL231" s="1"/>
      <c r="NQM231" s="1"/>
      <c r="NQN231" s="1"/>
      <c r="NQO231" s="1"/>
      <c r="NQP231" s="1"/>
      <c r="NQQ231" s="1"/>
      <c r="NQR231" s="1"/>
      <c r="NQS231" s="1"/>
      <c r="NQT231" s="1"/>
      <c r="NQU231" s="1"/>
      <c r="NQV231" s="1"/>
      <c r="NQW231" s="1"/>
      <c r="NQX231" s="1"/>
      <c r="NQY231" s="1"/>
      <c r="NQZ231" s="1"/>
      <c r="NRA231" s="1"/>
      <c r="NRB231" s="1"/>
      <c r="NRC231" s="1"/>
      <c r="NRD231" s="1"/>
      <c r="NRE231" s="1"/>
      <c r="NRF231" s="1"/>
      <c r="NRG231" s="1"/>
      <c r="NRH231" s="1"/>
      <c r="NRI231" s="1"/>
      <c r="NRJ231" s="1"/>
      <c r="NRK231" s="1"/>
      <c r="NRL231" s="1"/>
      <c r="NRM231" s="1"/>
      <c r="NRN231" s="1"/>
      <c r="NRO231" s="1"/>
      <c r="NRP231" s="1"/>
      <c r="NRQ231" s="1"/>
      <c r="NRR231" s="1"/>
      <c r="NRS231" s="1"/>
      <c r="NRT231" s="1"/>
      <c r="NRU231" s="1"/>
      <c r="NRV231" s="1"/>
      <c r="NRW231" s="1"/>
      <c r="NRX231" s="1"/>
      <c r="NRY231" s="1"/>
      <c r="NRZ231" s="1"/>
      <c r="NSA231" s="1"/>
      <c r="NSB231" s="1"/>
      <c r="NSC231" s="1"/>
      <c r="NSD231" s="1"/>
      <c r="NSE231" s="1"/>
      <c r="NSF231" s="1"/>
      <c r="NSG231" s="1"/>
      <c r="NSH231" s="1"/>
      <c r="NSI231" s="1"/>
      <c r="NSJ231" s="1"/>
      <c r="NSK231" s="1"/>
      <c r="NSL231" s="1"/>
      <c r="NSM231" s="1"/>
      <c r="NSN231" s="1"/>
      <c r="NSO231" s="1"/>
      <c r="NSP231" s="1"/>
      <c r="NSQ231" s="1"/>
      <c r="NSR231" s="1"/>
      <c r="NSS231" s="1"/>
      <c r="NST231" s="1"/>
      <c r="NSU231" s="1"/>
      <c r="NSV231" s="1"/>
      <c r="NSW231" s="1"/>
      <c r="NSX231" s="1"/>
      <c r="NSY231" s="1"/>
      <c r="NSZ231" s="1"/>
      <c r="NTA231" s="1"/>
      <c r="NTB231" s="1"/>
      <c r="NTC231" s="1"/>
      <c r="NTD231" s="1"/>
      <c r="NTE231" s="1"/>
      <c r="NTF231" s="1"/>
      <c r="NTG231" s="1"/>
      <c r="NTH231" s="1"/>
      <c r="NTI231" s="1"/>
      <c r="NTJ231" s="1"/>
      <c r="NTK231" s="1"/>
      <c r="NTL231" s="1"/>
      <c r="NTM231" s="1"/>
      <c r="NTN231" s="1"/>
      <c r="NTO231" s="1"/>
      <c r="NTP231" s="1"/>
      <c r="NTQ231" s="1"/>
      <c r="NTR231" s="1"/>
      <c r="NTS231" s="1"/>
      <c r="NTT231" s="1"/>
      <c r="NTU231" s="1"/>
      <c r="NTV231" s="1"/>
      <c r="NTW231" s="1"/>
      <c r="NTX231" s="1"/>
      <c r="NTY231" s="1"/>
      <c r="NTZ231" s="1"/>
      <c r="NUA231" s="1"/>
      <c r="NUB231" s="1"/>
      <c r="NUC231" s="1"/>
      <c r="NUD231" s="1"/>
      <c r="NUE231" s="1"/>
      <c r="NUF231" s="1"/>
      <c r="NUG231" s="1"/>
      <c r="NUH231" s="1"/>
      <c r="NUI231" s="1"/>
      <c r="NUJ231" s="1"/>
      <c r="NUK231" s="1"/>
      <c r="NUL231" s="1"/>
      <c r="NUM231" s="1"/>
      <c r="NUN231" s="1"/>
      <c r="NUO231" s="1"/>
      <c r="NUP231" s="1"/>
      <c r="NUQ231" s="1"/>
      <c r="NUR231" s="1"/>
      <c r="NUS231" s="1"/>
      <c r="NUT231" s="1"/>
      <c r="NUU231" s="1"/>
      <c r="NUV231" s="1"/>
      <c r="NUW231" s="1"/>
      <c r="NUX231" s="1"/>
      <c r="NUY231" s="1"/>
      <c r="NUZ231" s="1"/>
      <c r="NVA231" s="1"/>
      <c r="NVB231" s="1"/>
      <c r="NVC231" s="1"/>
      <c r="NVD231" s="1"/>
      <c r="NVE231" s="1"/>
      <c r="NVF231" s="1"/>
      <c r="NVG231" s="1"/>
      <c r="NVH231" s="1"/>
      <c r="NVI231" s="1"/>
      <c r="NVJ231" s="1"/>
      <c r="NVK231" s="1"/>
      <c r="NVL231" s="1"/>
      <c r="NVM231" s="1"/>
      <c r="NVN231" s="1"/>
      <c r="NVO231" s="1"/>
      <c r="NVP231" s="1"/>
      <c r="NVQ231" s="1"/>
      <c r="NVR231" s="1"/>
      <c r="NVS231" s="1"/>
      <c r="NVT231" s="1"/>
      <c r="NVU231" s="1"/>
      <c r="NVV231" s="1"/>
      <c r="NVW231" s="1"/>
      <c r="NVX231" s="1"/>
      <c r="NVY231" s="1"/>
      <c r="NVZ231" s="1"/>
      <c r="NWA231" s="1"/>
      <c r="NWB231" s="1"/>
      <c r="NWC231" s="1"/>
      <c r="NWD231" s="1"/>
      <c r="NWE231" s="1"/>
      <c r="NWF231" s="1"/>
      <c r="NWG231" s="1"/>
      <c r="NWH231" s="1"/>
      <c r="NWI231" s="1"/>
      <c r="NWJ231" s="1"/>
      <c r="NWK231" s="1"/>
      <c r="NWL231" s="1"/>
      <c r="NWM231" s="1"/>
      <c r="NWN231" s="1"/>
      <c r="NWO231" s="1"/>
      <c r="NWP231" s="1"/>
      <c r="NWQ231" s="1"/>
      <c r="NWR231" s="1"/>
      <c r="NWS231" s="1"/>
      <c r="NWT231" s="1"/>
      <c r="NWU231" s="1"/>
      <c r="NWV231" s="1"/>
      <c r="NWW231" s="1"/>
      <c r="NWX231" s="1"/>
      <c r="NWY231" s="1"/>
      <c r="NWZ231" s="1"/>
      <c r="NXA231" s="1"/>
      <c r="NXB231" s="1"/>
      <c r="NXC231" s="1"/>
      <c r="NXD231" s="1"/>
      <c r="NXE231" s="1"/>
      <c r="NXF231" s="1"/>
      <c r="NXG231" s="1"/>
      <c r="NXH231" s="1"/>
      <c r="NXI231" s="1"/>
      <c r="NXJ231" s="1"/>
      <c r="NXK231" s="1"/>
      <c r="NXL231" s="1"/>
      <c r="NXM231" s="1"/>
      <c r="NXN231" s="1"/>
      <c r="NXO231" s="1"/>
      <c r="NXP231" s="1"/>
      <c r="NXQ231" s="1"/>
      <c r="NXR231" s="1"/>
      <c r="NXS231" s="1"/>
      <c r="NXT231" s="1"/>
      <c r="NXU231" s="1"/>
      <c r="NXV231" s="1"/>
      <c r="NXW231" s="1"/>
      <c r="NXX231" s="1"/>
      <c r="NXY231" s="1"/>
      <c r="NXZ231" s="1"/>
      <c r="NYA231" s="1"/>
      <c r="NYB231" s="1"/>
      <c r="NYC231" s="1"/>
      <c r="NYD231" s="1"/>
      <c r="NYE231" s="1"/>
      <c r="NYF231" s="1"/>
      <c r="NYG231" s="1"/>
      <c r="NYH231" s="1"/>
      <c r="NYI231" s="1"/>
      <c r="NYJ231" s="1"/>
      <c r="NYK231" s="1"/>
      <c r="NYL231" s="1"/>
      <c r="NYM231" s="1"/>
      <c r="NYN231" s="1"/>
      <c r="NYO231" s="1"/>
      <c r="NYP231" s="1"/>
      <c r="NYQ231" s="1"/>
      <c r="NYR231" s="1"/>
      <c r="NYS231" s="1"/>
      <c r="NYT231" s="1"/>
      <c r="NYU231" s="1"/>
      <c r="NYV231" s="1"/>
      <c r="NYW231" s="1"/>
      <c r="NYX231" s="1"/>
      <c r="NYY231" s="1"/>
      <c r="NYZ231" s="1"/>
      <c r="NZA231" s="1"/>
      <c r="NZB231" s="1"/>
      <c r="NZC231" s="1"/>
      <c r="NZD231" s="1"/>
      <c r="NZE231" s="1"/>
      <c r="NZF231" s="1"/>
      <c r="NZG231" s="1"/>
      <c r="NZH231" s="1"/>
      <c r="NZI231" s="1"/>
      <c r="NZJ231" s="1"/>
      <c r="NZK231" s="1"/>
      <c r="NZL231" s="1"/>
      <c r="NZM231" s="1"/>
      <c r="NZN231" s="1"/>
      <c r="NZO231" s="1"/>
      <c r="NZP231" s="1"/>
      <c r="NZQ231" s="1"/>
      <c r="NZR231" s="1"/>
      <c r="NZS231" s="1"/>
      <c r="NZT231" s="1"/>
      <c r="NZU231" s="1"/>
      <c r="NZV231" s="1"/>
      <c r="NZW231" s="1"/>
      <c r="NZX231" s="1"/>
      <c r="NZY231" s="1"/>
      <c r="NZZ231" s="1"/>
      <c r="OAA231" s="1"/>
      <c r="OAB231" s="1"/>
      <c r="OAC231" s="1"/>
      <c r="OAD231" s="1"/>
      <c r="OAE231" s="1"/>
      <c r="OAF231" s="1"/>
      <c r="OAG231" s="1"/>
      <c r="OAH231" s="1"/>
      <c r="OAI231" s="1"/>
      <c r="OAJ231" s="1"/>
      <c r="OAK231" s="1"/>
      <c r="OAL231" s="1"/>
      <c r="OAM231" s="1"/>
      <c r="OAN231" s="1"/>
      <c r="OAO231" s="1"/>
      <c r="OAP231" s="1"/>
      <c r="OAQ231" s="1"/>
      <c r="OAR231" s="1"/>
      <c r="OAS231" s="1"/>
      <c r="OAT231" s="1"/>
      <c r="OAU231" s="1"/>
      <c r="OAV231" s="1"/>
      <c r="OAW231" s="1"/>
      <c r="OAX231" s="1"/>
      <c r="OAY231" s="1"/>
      <c r="OAZ231" s="1"/>
      <c r="OBA231" s="1"/>
      <c r="OBB231" s="1"/>
      <c r="OBC231" s="1"/>
      <c r="OBD231" s="1"/>
      <c r="OBE231" s="1"/>
      <c r="OBF231" s="1"/>
      <c r="OBG231" s="1"/>
      <c r="OBH231" s="1"/>
      <c r="OBI231" s="1"/>
      <c r="OBJ231" s="1"/>
      <c r="OBK231" s="1"/>
      <c r="OBL231" s="1"/>
      <c r="OBM231" s="1"/>
      <c r="OBN231" s="1"/>
      <c r="OBO231" s="1"/>
      <c r="OBP231" s="1"/>
      <c r="OBQ231" s="1"/>
      <c r="OBR231" s="1"/>
      <c r="OBS231" s="1"/>
      <c r="OBT231" s="1"/>
      <c r="OBU231" s="1"/>
      <c r="OBV231" s="1"/>
      <c r="OBW231" s="1"/>
      <c r="OBX231" s="1"/>
      <c r="OBY231" s="1"/>
      <c r="OBZ231" s="1"/>
      <c r="OCA231" s="1"/>
      <c r="OCB231" s="1"/>
      <c r="OCC231" s="1"/>
      <c r="OCD231" s="1"/>
      <c r="OCE231" s="1"/>
      <c r="OCF231" s="1"/>
      <c r="OCG231" s="1"/>
      <c r="OCH231" s="1"/>
      <c r="OCI231" s="1"/>
      <c r="OCJ231" s="1"/>
      <c r="OCK231" s="1"/>
      <c r="OCL231" s="1"/>
      <c r="OCM231" s="1"/>
      <c r="OCN231" s="1"/>
      <c r="OCO231" s="1"/>
      <c r="OCP231" s="1"/>
      <c r="OCQ231" s="1"/>
      <c r="OCR231" s="1"/>
      <c r="OCS231" s="1"/>
      <c r="OCT231" s="1"/>
      <c r="OCU231" s="1"/>
      <c r="OCV231" s="1"/>
      <c r="OCW231" s="1"/>
      <c r="OCX231" s="1"/>
      <c r="OCY231" s="1"/>
      <c r="OCZ231" s="1"/>
      <c r="ODA231" s="1"/>
      <c r="ODB231" s="1"/>
      <c r="ODC231" s="1"/>
      <c r="ODD231" s="1"/>
      <c r="ODE231" s="1"/>
      <c r="ODF231" s="1"/>
      <c r="ODG231" s="1"/>
      <c r="ODH231" s="1"/>
      <c r="ODI231" s="1"/>
      <c r="ODJ231" s="1"/>
      <c r="ODK231" s="1"/>
      <c r="ODL231" s="1"/>
      <c r="ODM231" s="1"/>
      <c r="ODN231" s="1"/>
      <c r="ODO231" s="1"/>
      <c r="ODP231" s="1"/>
      <c r="ODQ231" s="1"/>
      <c r="ODR231" s="1"/>
      <c r="ODS231" s="1"/>
      <c r="ODT231" s="1"/>
      <c r="ODU231" s="1"/>
      <c r="ODV231" s="1"/>
      <c r="ODW231" s="1"/>
      <c r="ODX231" s="1"/>
      <c r="ODY231" s="1"/>
      <c r="ODZ231" s="1"/>
      <c r="OEA231" s="1"/>
      <c r="OEB231" s="1"/>
      <c r="OEC231" s="1"/>
      <c r="OED231" s="1"/>
      <c r="OEE231" s="1"/>
      <c r="OEF231" s="1"/>
      <c r="OEG231" s="1"/>
      <c r="OEH231" s="1"/>
      <c r="OEI231" s="1"/>
      <c r="OEJ231" s="1"/>
      <c r="OEK231" s="1"/>
      <c r="OEL231" s="1"/>
      <c r="OEM231" s="1"/>
      <c r="OEN231" s="1"/>
      <c r="OEO231" s="1"/>
      <c r="OEP231" s="1"/>
      <c r="OEQ231" s="1"/>
      <c r="OER231" s="1"/>
      <c r="OES231" s="1"/>
      <c r="OET231" s="1"/>
      <c r="OEU231" s="1"/>
      <c r="OEV231" s="1"/>
      <c r="OEW231" s="1"/>
      <c r="OEX231" s="1"/>
      <c r="OEY231" s="1"/>
      <c r="OEZ231" s="1"/>
      <c r="OFA231" s="1"/>
      <c r="OFB231" s="1"/>
      <c r="OFC231" s="1"/>
      <c r="OFD231" s="1"/>
      <c r="OFE231" s="1"/>
      <c r="OFF231" s="1"/>
      <c r="OFG231" s="1"/>
      <c r="OFH231" s="1"/>
      <c r="OFI231" s="1"/>
      <c r="OFJ231" s="1"/>
      <c r="OFK231" s="1"/>
      <c r="OFL231" s="1"/>
      <c r="OFM231" s="1"/>
      <c r="OFN231" s="1"/>
      <c r="OFO231" s="1"/>
      <c r="OFP231" s="1"/>
      <c r="OFQ231" s="1"/>
      <c r="OFR231" s="1"/>
      <c r="OFS231" s="1"/>
      <c r="OFT231" s="1"/>
      <c r="OFU231" s="1"/>
      <c r="OFV231" s="1"/>
      <c r="OFW231" s="1"/>
      <c r="OFX231" s="1"/>
      <c r="OFY231" s="1"/>
      <c r="OFZ231" s="1"/>
      <c r="OGA231" s="1"/>
      <c r="OGB231" s="1"/>
      <c r="OGC231" s="1"/>
      <c r="OGD231" s="1"/>
      <c r="OGE231" s="1"/>
      <c r="OGF231" s="1"/>
      <c r="OGG231" s="1"/>
      <c r="OGH231" s="1"/>
      <c r="OGI231" s="1"/>
      <c r="OGJ231" s="1"/>
      <c r="OGK231" s="1"/>
      <c r="OGL231" s="1"/>
      <c r="OGM231" s="1"/>
      <c r="OGN231" s="1"/>
      <c r="OGO231" s="1"/>
      <c r="OGP231" s="1"/>
      <c r="OGQ231" s="1"/>
      <c r="OGR231" s="1"/>
      <c r="OGS231" s="1"/>
      <c r="OGT231" s="1"/>
      <c r="OGU231" s="1"/>
      <c r="OGV231" s="1"/>
      <c r="OGW231" s="1"/>
      <c r="OGX231" s="1"/>
      <c r="OGY231" s="1"/>
      <c r="OGZ231" s="1"/>
      <c r="OHA231" s="1"/>
      <c r="OHB231" s="1"/>
      <c r="OHC231" s="1"/>
      <c r="OHD231" s="1"/>
      <c r="OHE231" s="1"/>
      <c r="OHF231" s="1"/>
      <c r="OHG231" s="1"/>
      <c r="OHH231" s="1"/>
      <c r="OHI231" s="1"/>
      <c r="OHJ231" s="1"/>
      <c r="OHK231" s="1"/>
      <c r="OHL231" s="1"/>
      <c r="OHM231" s="1"/>
      <c r="OHN231" s="1"/>
      <c r="OHO231" s="1"/>
      <c r="OHP231" s="1"/>
      <c r="OHQ231" s="1"/>
      <c r="OHR231" s="1"/>
      <c r="OHS231" s="1"/>
      <c r="OHT231" s="1"/>
      <c r="OHU231" s="1"/>
      <c r="OHV231" s="1"/>
      <c r="OHW231" s="1"/>
      <c r="OHX231" s="1"/>
      <c r="OHY231" s="1"/>
      <c r="OHZ231" s="1"/>
      <c r="OIA231" s="1"/>
      <c r="OIB231" s="1"/>
      <c r="OIC231" s="1"/>
      <c r="OID231" s="1"/>
      <c r="OIE231" s="1"/>
      <c r="OIF231" s="1"/>
      <c r="OIG231" s="1"/>
      <c r="OIH231" s="1"/>
      <c r="OII231" s="1"/>
      <c r="OIJ231" s="1"/>
      <c r="OIK231" s="1"/>
      <c r="OIL231" s="1"/>
      <c r="OIM231" s="1"/>
      <c r="OIN231" s="1"/>
      <c r="OIO231" s="1"/>
      <c r="OIP231" s="1"/>
      <c r="OIQ231" s="1"/>
      <c r="OIR231" s="1"/>
      <c r="OIS231" s="1"/>
      <c r="OIT231" s="1"/>
      <c r="OIU231" s="1"/>
      <c r="OIV231" s="1"/>
      <c r="OIW231" s="1"/>
      <c r="OIX231" s="1"/>
      <c r="OIY231" s="1"/>
      <c r="OIZ231" s="1"/>
      <c r="OJA231" s="1"/>
      <c r="OJB231" s="1"/>
      <c r="OJC231" s="1"/>
      <c r="OJD231" s="1"/>
      <c r="OJE231" s="1"/>
      <c r="OJF231" s="1"/>
      <c r="OJG231" s="1"/>
      <c r="OJH231" s="1"/>
      <c r="OJI231" s="1"/>
      <c r="OJJ231" s="1"/>
      <c r="OJK231" s="1"/>
      <c r="OJL231" s="1"/>
      <c r="OJM231" s="1"/>
      <c r="OJN231" s="1"/>
      <c r="OJO231" s="1"/>
      <c r="OJP231" s="1"/>
      <c r="OJQ231" s="1"/>
      <c r="OJR231" s="1"/>
      <c r="OJS231" s="1"/>
      <c r="OJT231" s="1"/>
      <c r="OJU231" s="1"/>
      <c r="OJV231" s="1"/>
      <c r="OJW231" s="1"/>
      <c r="OJX231" s="1"/>
      <c r="OJY231" s="1"/>
      <c r="OJZ231" s="1"/>
      <c r="OKA231" s="1"/>
      <c r="OKB231" s="1"/>
      <c r="OKC231" s="1"/>
      <c r="OKD231" s="1"/>
      <c r="OKE231" s="1"/>
      <c r="OKF231" s="1"/>
      <c r="OKG231" s="1"/>
      <c r="OKH231" s="1"/>
      <c r="OKI231" s="1"/>
      <c r="OKJ231" s="1"/>
      <c r="OKK231" s="1"/>
      <c r="OKL231" s="1"/>
      <c r="OKM231" s="1"/>
      <c r="OKN231" s="1"/>
      <c r="OKO231" s="1"/>
      <c r="OKP231" s="1"/>
      <c r="OKQ231" s="1"/>
      <c r="OKR231" s="1"/>
      <c r="OKS231" s="1"/>
      <c r="OKT231" s="1"/>
      <c r="OKU231" s="1"/>
      <c r="OKV231" s="1"/>
      <c r="OKW231" s="1"/>
      <c r="OKX231" s="1"/>
      <c r="OKY231" s="1"/>
      <c r="OKZ231" s="1"/>
      <c r="OLA231" s="1"/>
      <c r="OLB231" s="1"/>
      <c r="OLC231" s="1"/>
      <c r="OLD231" s="1"/>
      <c r="OLE231" s="1"/>
      <c r="OLF231" s="1"/>
      <c r="OLG231" s="1"/>
      <c r="OLH231" s="1"/>
      <c r="OLI231" s="1"/>
      <c r="OLJ231" s="1"/>
      <c r="OLK231" s="1"/>
      <c r="OLL231" s="1"/>
      <c r="OLM231" s="1"/>
      <c r="OLN231" s="1"/>
      <c r="OLO231" s="1"/>
      <c r="OLP231" s="1"/>
      <c r="OLQ231" s="1"/>
      <c r="OLR231" s="1"/>
      <c r="OLS231" s="1"/>
      <c r="OLT231" s="1"/>
      <c r="OLU231" s="1"/>
      <c r="OLV231" s="1"/>
      <c r="OLW231" s="1"/>
      <c r="OLX231" s="1"/>
      <c r="OLY231" s="1"/>
      <c r="OLZ231" s="1"/>
      <c r="OMA231" s="1"/>
      <c r="OMB231" s="1"/>
      <c r="OMC231" s="1"/>
      <c r="OMD231" s="1"/>
      <c r="OME231" s="1"/>
      <c r="OMF231" s="1"/>
      <c r="OMG231" s="1"/>
      <c r="OMH231" s="1"/>
      <c r="OMI231" s="1"/>
      <c r="OMJ231" s="1"/>
      <c r="OMK231" s="1"/>
      <c r="OML231" s="1"/>
      <c r="OMM231" s="1"/>
      <c r="OMN231" s="1"/>
      <c r="OMO231" s="1"/>
      <c r="OMP231" s="1"/>
      <c r="OMQ231" s="1"/>
      <c r="OMR231" s="1"/>
      <c r="OMS231" s="1"/>
      <c r="OMT231" s="1"/>
      <c r="OMU231" s="1"/>
      <c r="OMV231" s="1"/>
      <c r="OMW231" s="1"/>
      <c r="OMX231" s="1"/>
      <c r="OMY231" s="1"/>
      <c r="OMZ231" s="1"/>
      <c r="ONA231" s="1"/>
      <c r="ONB231" s="1"/>
      <c r="ONC231" s="1"/>
      <c r="OND231" s="1"/>
      <c r="ONE231" s="1"/>
      <c r="ONF231" s="1"/>
      <c r="ONG231" s="1"/>
      <c r="ONH231" s="1"/>
      <c r="ONI231" s="1"/>
      <c r="ONJ231" s="1"/>
      <c r="ONK231" s="1"/>
      <c r="ONL231" s="1"/>
      <c r="ONM231" s="1"/>
      <c r="ONN231" s="1"/>
      <c r="ONO231" s="1"/>
      <c r="ONP231" s="1"/>
      <c r="ONQ231" s="1"/>
      <c r="ONR231" s="1"/>
      <c r="ONS231" s="1"/>
      <c r="ONT231" s="1"/>
      <c r="ONU231" s="1"/>
      <c r="ONV231" s="1"/>
      <c r="ONW231" s="1"/>
      <c r="ONX231" s="1"/>
      <c r="ONY231" s="1"/>
      <c r="ONZ231" s="1"/>
      <c r="OOA231" s="1"/>
      <c r="OOB231" s="1"/>
      <c r="OOC231" s="1"/>
      <c r="OOD231" s="1"/>
      <c r="OOE231" s="1"/>
      <c r="OOF231" s="1"/>
      <c r="OOG231" s="1"/>
      <c r="OOH231" s="1"/>
      <c r="OOI231" s="1"/>
      <c r="OOJ231" s="1"/>
      <c r="OOK231" s="1"/>
      <c r="OOL231" s="1"/>
      <c r="OOM231" s="1"/>
      <c r="OON231" s="1"/>
      <c r="OOO231" s="1"/>
      <c r="OOP231" s="1"/>
      <c r="OOQ231" s="1"/>
      <c r="OOR231" s="1"/>
      <c r="OOS231" s="1"/>
      <c r="OOT231" s="1"/>
      <c r="OOU231" s="1"/>
      <c r="OOV231" s="1"/>
      <c r="OOW231" s="1"/>
      <c r="OOX231" s="1"/>
      <c r="OOY231" s="1"/>
      <c r="OOZ231" s="1"/>
      <c r="OPA231" s="1"/>
      <c r="OPB231" s="1"/>
      <c r="OPC231" s="1"/>
      <c r="OPD231" s="1"/>
      <c r="OPE231" s="1"/>
      <c r="OPF231" s="1"/>
      <c r="OPG231" s="1"/>
      <c r="OPH231" s="1"/>
      <c r="OPI231" s="1"/>
      <c r="OPJ231" s="1"/>
      <c r="OPK231" s="1"/>
      <c r="OPL231" s="1"/>
      <c r="OPM231" s="1"/>
      <c r="OPN231" s="1"/>
      <c r="OPO231" s="1"/>
      <c r="OPP231" s="1"/>
      <c r="OPQ231" s="1"/>
      <c r="OPR231" s="1"/>
      <c r="OPS231" s="1"/>
      <c r="OPT231" s="1"/>
      <c r="OPU231" s="1"/>
      <c r="OPV231" s="1"/>
      <c r="OPW231" s="1"/>
      <c r="OPX231" s="1"/>
      <c r="OPY231" s="1"/>
      <c r="OPZ231" s="1"/>
      <c r="OQA231" s="1"/>
      <c r="OQB231" s="1"/>
      <c r="OQC231" s="1"/>
      <c r="OQD231" s="1"/>
      <c r="OQE231" s="1"/>
      <c r="OQF231" s="1"/>
      <c r="OQG231" s="1"/>
      <c r="OQH231" s="1"/>
      <c r="OQI231" s="1"/>
      <c r="OQJ231" s="1"/>
      <c r="OQK231" s="1"/>
      <c r="OQL231" s="1"/>
      <c r="OQM231" s="1"/>
      <c r="OQN231" s="1"/>
      <c r="OQO231" s="1"/>
      <c r="OQP231" s="1"/>
      <c r="OQQ231" s="1"/>
      <c r="OQR231" s="1"/>
      <c r="OQS231" s="1"/>
      <c r="OQT231" s="1"/>
      <c r="OQU231" s="1"/>
      <c r="OQV231" s="1"/>
      <c r="OQW231" s="1"/>
      <c r="OQX231" s="1"/>
      <c r="OQY231" s="1"/>
      <c r="OQZ231" s="1"/>
      <c r="ORA231" s="1"/>
      <c r="ORB231" s="1"/>
      <c r="ORC231" s="1"/>
      <c r="ORD231" s="1"/>
      <c r="ORE231" s="1"/>
      <c r="ORF231" s="1"/>
      <c r="ORG231" s="1"/>
      <c r="ORH231" s="1"/>
      <c r="ORI231" s="1"/>
      <c r="ORJ231" s="1"/>
      <c r="ORK231" s="1"/>
      <c r="ORL231" s="1"/>
      <c r="ORM231" s="1"/>
      <c r="ORN231" s="1"/>
      <c r="ORO231" s="1"/>
      <c r="ORP231" s="1"/>
      <c r="ORQ231" s="1"/>
      <c r="ORR231" s="1"/>
      <c r="ORS231" s="1"/>
      <c r="ORT231" s="1"/>
      <c r="ORU231" s="1"/>
      <c r="ORV231" s="1"/>
      <c r="ORW231" s="1"/>
      <c r="ORX231" s="1"/>
      <c r="ORY231" s="1"/>
      <c r="ORZ231" s="1"/>
      <c r="OSA231" s="1"/>
      <c r="OSB231" s="1"/>
      <c r="OSC231" s="1"/>
      <c r="OSD231" s="1"/>
      <c r="OSE231" s="1"/>
      <c r="OSF231" s="1"/>
      <c r="OSG231" s="1"/>
      <c r="OSH231" s="1"/>
      <c r="OSI231" s="1"/>
      <c r="OSJ231" s="1"/>
      <c r="OSK231" s="1"/>
      <c r="OSL231" s="1"/>
      <c r="OSM231" s="1"/>
      <c r="OSN231" s="1"/>
      <c r="OSO231" s="1"/>
      <c r="OSP231" s="1"/>
      <c r="OSQ231" s="1"/>
      <c r="OSR231" s="1"/>
      <c r="OSS231" s="1"/>
      <c r="OST231" s="1"/>
      <c r="OSU231" s="1"/>
      <c r="OSV231" s="1"/>
      <c r="OSW231" s="1"/>
      <c r="OSX231" s="1"/>
      <c r="OSY231" s="1"/>
      <c r="OSZ231" s="1"/>
      <c r="OTA231" s="1"/>
      <c r="OTB231" s="1"/>
      <c r="OTC231" s="1"/>
      <c r="OTD231" s="1"/>
      <c r="OTE231" s="1"/>
      <c r="OTF231" s="1"/>
      <c r="OTG231" s="1"/>
      <c r="OTH231" s="1"/>
      <c r="OTI231" s="1"/>
      <c r="OTJ231" s="1"/>
      <c r="OTK231" s="1"/>
      <c r="OTL231" s="1"/>
      <c r="OTM231" s="1"/>
      <c r="OTN231" s="1"/>
      <c r="OTO231" s="1"/>
      <c r="OTP231" s="1"/>
      <c r="OTQ231" s="1"/>
      <c r="OTR231" s="1"/>
      <c r="OTS231" s="1"/>
      <c r="OTT231" s="1"/>
      <c r="OTU231" s="1"/>
      <c r="OTV231" s="1"/>
      <c r="OTW231" s="1"/>
      <c r="OTX231" s="1"/>
      <c r="OTY231" s="1"/>
      <c r="OTZ231" s="1"/>
      <c r="OUA231" s="1"/>
      <c r="OUB231" s="1"/>
      <c r="OUC231" s="1"/>
      <c r="OUD231" s="1"/>
      <c r="OUE231" s="1"/>
      <c r="OUF231" s="1"/>
      <c r="OUG231" s="1"/>
      <c r="OUH231" s="1"/>
      <c r="OUI231" s="1"/>
      <c r="OUJ231" s="1"/>
      <c r="OUK231" s="1"/>
      <c r="OUL231" s="1"/>
      <c r="OUM231" s="1"/>
      <c r="OUN231" s="1"/>
      <c r="OUO231" s="1"/>
      <c r="OUP231" s="1"/>
      <c r="OUQ231" s="1"/>
      <c r="OUR231" s="1"/>
      <c r="OUS231" s="1"/>
      <c r="OUT231" s="1"/>
      <c r="OUU231" s="1"/>
      <c r="OUV231" s="1"/>
      <c r="OUW231" s="1"/>
      <c r="OUX231" s="1"/>
      <c r="OUY231" s="1"/>
      <c r="OUZ231" s="1"/>
      <c r="OVA231" s="1"/>
      <c r="OVB231" s="1"/>
      <c r="OVC231" s="1"/>
      <c r="OVD231" s="1"/>
      <c r="OVE231" s="1"/>
      <c r="OVF231" s="1"/>
      <c r="OVG231" s="1"/>
      <c r="OVH231" s="1"/>
      <c r="OVI231" s="1"/>
      <c r="OVJ231" s="1"/>
      <c r="OVK231" s="1"/>
      <c r="OVL231" s="1"/>
      <c r="OVM231" s="1"/>
      <c r="OVN231" s="1"/>
      <c r="OVO231" s="1"/>
      <c r="OVP231" s="1"/>
      <c r="OVQ231" s="1"/>
      <c r="OVR231" s="1"/>
      <c r="OVS231" s="1"/>
      <c r="OVT231" s="1"/>
      <c r="OVU231" s="1"/>
      <c r="OVV231" s="1"/>
      <c r="OVW231" s="1"/>
      <c r="OVX231" s="1"/>
      <c r="OVY231" s="1"/>
      <c r="OVZ231" s="1"/>
      <c r="OWA231" s="1"/>
      <c r="OWB231" s="1"/>
      <c r="OWC231" s="1"/>
      <c r="OWD231" s="1"/>
      <c r="OWE231" s="1"/>
      <c r="OWF231" s="1"/>
      <c r="OWG231" s="1"/>
      <c r="OWH231" s="1"/>
      <c r="OWI231" s="1"/>
      <c r="OWJ231" s="1"/>
      <c r="OWK231" s="1"/>
      <c r="OWL231" s="1"/>
      <c r="OWM231" s="1"/>
      <c r="OWN231" s="1"/>
      <c r="OWO231" s="1"/>
      <c r="OWP231" s="1"/>
      <c r="OWQ231" s="1"/>
      <c r="OWR231" s="1"/>
      <c r="OWS231" s="1"/>
      <c r="OWT231" s="1"/>
      <c r="OWU231" s="1"/>
      <c r="OWV231" s="1"/>
      <c r="OWW231" s="1"/>
      <c r="OWX231" s="1"/>
      <c r="OWY231" s="1"/>
      <c r="OWZ231" s="1"/>
      <c r="OXA231" s="1"/>
      <c r="OXB231" s="1"/>
      <c r="OXC231" s="1"/>
      <c r="OXD231" s="1"/>
      <c r="OXE231" s="1"/>
      <c r="OXF231" s="1"/>
      <c r="OXG231" s="1"/>
      <c r="OXH231" s="1"/>
      <c r="OXI231" s="1"/>
      <c r="OXJ231" s="1"/>
      <c r="OXK231" s="1"/>
      <c r="OXL231" s="1"/>
      <c r="OXM231" s="1"/>
      <c r="OXN231" s="1"/>
      <c r="OXO231" s="1"/>
      <c r="OXP231" s="1"/>
      <c r="OXQ231" s="1"/>
      <c r="OXR231" s="1"/>
      <c r="OXS231" s="1"/>
      <c r="OXT231" s="1"/>
      <c r="OXU231" s="1"/>
      <c r="OXV231" s="1"/>
      <c r="OXW231" s="1"/>
      <c r="OXX231" s="1"/>
      <c r="OXY231" s="1"/>
      <c r="OXZ231" s="1"/>
      <c r="OYA231" s="1"/>
      <c r="OYB231" s="1"/>
      <c r="OYC231" s="1"/>
      <c r="OYD231" s="1"/>
      <c r="OYE231" s="1"/>
      <c r="OYF231" s="1"/>
      <c r="OYG231" s="1"/>
      <c r="OYH231" s="1"/>
      <c r="OYI231" s="1"/>
      <c r="OYJ231" s="1"/>
      <c r="OYK231" s="1"/>
      <c r="OYL231" s="1"/>
      <c r="OYM231" s="1"/>
      <c r="OYN231" s="1"/>
      <c r="OYO231" s="1"/>
      <c r="OYP231" s="1"/>
      <c r="OYQ231" s="1"/>
      <c r="OYR231" s="1"/>
      <c r="OYS231" s="1"/>
      <c r="OYT231" s="1"/>
      <c r="OYU231" s="1"/>
      <c r="OYV231" s="1"/>
      <c r="OYW231" s="1"/>
      <c r="OYX231" s="1"/>
      <c r="OYY231" s="1"/>
      <c r="OYZ231" s="1"/>
      <c r="OZA231" s="1"/>
      <c r="OZB231" s="1"/>
      <c r="OZC231" s="1"/>
      <c r="OZD231" s="1"/>
      <c r="OZE231" s="1"/>
      <c r="OZF231" s="1"/>
      <c r="OZG231" s="1"/>
      <c r="OZH231" s="1"/>
      <c r="OZI231" s="1"/>
      <c r="OZJ231" s="1"/>
      <c r="OZK231" s="1"/>
      <c r="OZL231" s="1"/>
      <c r="OZM231" s="1"/>
      <c r="OZN231" s="1"/>
      <c r="OZO231" s="1"/>
      <c r="OZP231" s="1"/>
      <c r="OZQ231" s="1"/>
      <c r="OZR231" s="1"/>
      <c r="OZS231" s="1"/>
      <c r="OZT231" s="1"/>
      <c r="OZU231" s="1"/>
      <c r="OZV231" s="1"/>
      <c r="OZW231" s="1"/>
      <c r="OZX231" s="1"/>
      <c r="OZY231" s="1"/>
      <c r="OZZ231" s="1"/>
      <c r="PAA231" s="1"/>
      <c r="PAB231" s="1"/>
      <c r="PAC231" s="1"/>
      <c r="PAD231" s="1"/>
      <c r="PAE231" s="1"/>
      <c r="PAF231" s="1"/>
      <c r="PAG231" s="1"/>
      <c r="PAH231" s="1"/>
      <c r="PAI231" s="1"/>
      <c r="PAJ231" s="1"/>
      <c r="PAK231" s="1"/>
      <c r="PAL231" s="1"/>
      <c r="PAM231" s="1"/>
      <c r="PAN231" s="1"/>
      <c r="PAO231" s="1"/>
      <c r="PAP231" s="1"/>
      <c r="PAQ231" s="1"/>
      <c r="PAR231" s="1"/>
      <c r="PAS231" s="1"/>
      <c r="PAT231" s="1"/>
      <c r="PAU231" s="1"/>
      <c r="PAV231" s="1"/>
      <c r="PAW231" s="1"/>
      <c r="PAX231" s="1"/>
      <c r="PAY231" s="1"/>
      <c r="PAZ231" s="1"/>
      <c r="PBA231" s="1"/>
      <c r="PBB231" s="1"/>
      <c r="PBC231" s="1"/>
      <c r="PBD231" s="1"/>
      <c r="PBE231" s="1"/>
      <c r="PBF231" s="1"/>
      <c r="PBG231" s="1"/>
      <c r="PBH231" s="1"/>
      <c r="PBI231" s="1"/>
      <c r="PBJ231" s="1"/>
      <c r="PBK231" s="1"/>
      <c r="PBL231" s="1"/>
      <c r="PBM231" s="1"/>
      <c r="PBN231" s="1"/>
      <c r="PBO231" s="1"/>
      <c r="PBP231" s="1"/>
      <c r="PBQ231" s="1"/>
      <c r="PBR231" s="1"/>
      <c r="PBS231" s="1"/>
      <c r="PBT231" s="1"/>
      <c r="PBU231" s="1"/>
      <c r="PBV231" s="1"/>
      <c r="PBW231" s="1"/>
      <c r="PBX231" s="1"/>
      <c r="PBY231" s="1"/>
      <c r="PBZ231" s="1"/>
      <c r="PCA231" s="1"/>
      <c r="PCB231" s="1"/>
      <c r="PCC231" s="1"/>
      <c r="PCD231" s="1"/>
      <c r="PCE231" s="1"/>
      <c r="PCF231" s="1"/>
      <c r="PCG231" s="1"/>
      <c r="PCH231" s="1"/>
      <c r="PCI231" s="1"/>
      <c r="PCJ231" s="1"/>
      <c r="PCK231" s="1"/>
      <c r="PCL231" s="1"/>
      <c r="PCM231" s="1"/>
      <c r="PCN231" s="1"/>
      <c r="PCO231" s="1"/>
      <c r="PCP231" s="1"/>
      <c r="PCQ231" s="1"/>
      <c r="PCR231" s="1"/>
      <c r="PCS231" s="1"/>
      <c r="PCT231" s="1"/>
      <c r="PCU231" s="1"/>
      <c r="PCV231" s="1"/>
      <c r="PCW231" s="1"/>
      <c r="PCX231" s="1"/>
      <c r="PCY231" s="1"/>
      <c r="PCZ231" s="1"/>
      <c r="PDA231" s="1"/>
      <c r="PDB231" s="1"/>
      <c r="PDC231" s="1"/>
      <c r="PDD231" s="1"/>
      <c r="PDE231" s="1"/>
      <c r="PDF231" s="1"/>
      <c r="PDG231" s="1"/>
      <c r="PDH231" s="1"/>
      <c r="PDI231" s="1"/>
      <c r="PDJ231" s="1"/>
      <c r="PDK231" s="1"/>
      <c r="PDL231" s="1"/>
      <c r="PDM231" s="1"/>
      <c r="PDN231" s="1"/>
      <c r="PDO231" s="1"/>
      <c r="PDP231" s="1"/>
      <c r="PDQ231" s="1"/>
      <c r="PDR231" s="1"/>
      <c r="PDS231" s="1"/>
      <c r="PDT231" s="1"/>
      <c r="PDU231" s="1"/>
      <c r="PDV231" s="1"/>
      <c r="PDW231" s="1"/>
      <c r="PDX231" s="1"/>
      <c r="PDY231" s="1"/>
      <c r="PDZ231" s="1"/>
      <c r="PEA231" s="1"/>
      <c r="PEB231" s="1"/>
      <c r="PEC231" s="1"/>
      <c r="PED231" s="1"/>
      <c r="PEE231" s="1"/>
      <c r="PEF231" s="1"/>
      <c r="PEG231" s="1"/>
      <c r="PEH231" s="1"/>
      <c r="PEI231" s="1"/>
      <c r="PEJ231" s="1"/>
      <c r="PEK231" s="1"/>
      <c r="PEL231" s="1"/>
      <c r="PEM231" s="1"/>
      <c r="PEN231" s="1"/>
      <c r="PEO231" s="1"/>
      <c r="PEP231" s="1"/>
      <c r="PEQ231" s="1"/>
      <c r="PER231" s="1"/>
      <c r="PES231" s="1"/>
      <c r="PET231" s="1"/>
      <c r="PEU231" s="1"/>
      <c r="PEV231" s="1"/>
      <c r="PEW231" s="1"/>
      <c r="PEX231" s="1"/>
      <c r="PEY231" s="1"/>
      <c r="PEZ231" s="1"/>
      <c r="PFA231" s="1"/>
      <c r="PFB231" s="1"/>
      <c r="PFC231" s="1"/>
      <c r="PFD231" s="1"/>
      <c r="PFE231" s="1"/>
      <c r="PFF231" s="1"/>
      <c r="PFG231" s="1"/>
      <c r="PFH231" s="1"/>
      <c r="PFI231" s="1"/>
      <c r="PFJ231" s="1"/>
      <c r="PFK231" s="1"/>
      <c r="PFL231" s="1"/>
      <c r="PFM231" s="1"/>
      <c r="PFN231" s="1"/>
      <c r="PFO231" s="1"/>
      <c r="PFP231" s="1"/>
      <c r="PFQ231" s="1"/>
      <c r="PFR231" s="1"/>
      <c r="PFS231" s="1"/>
      <c r="PFT231" s="1"/>
      <c r="PFU231" s="1"/>
      <c r="PFV231" s="1"/>
      <c r="PFW231" s="1"/>
      <c r="PFX231" s="1"/>
      <c r="PFY231" s="1"/>
      <c r="PFZ231" s="1"/>
      <c r="PGA231" s="1"/>
      <c r="PGB231" s="1"/>
      <c r="PGC231" s="1"/>
      <c r="PGD231" s="1"/>
      <c r="PGE231" s="1"/>
      <c r="PGF231" s="1"/>
      <c r="PGG231" s="1"/>
      <c r="PGH231" s="1"/>
      <c r="PGI231" s="1"/>
      <c r="PGJ231" s="1"/>
      <c r="PGK231" s="1"/>
      <c r="PGL231" s="1"/>
      <c r="PGM231" s="1"/>
      <c r="PGN231" s="1"/>
      <c r="PGO231" s="1"/>
      <c r="PGP231" s="1"/>
      <c r="PGQ231" s="1"/>
      <c r="PGR231" s="1"/>
      <c r="PGS231" s="1"/>
      <c r="PGT231" s="1"/>
      <c r="PGU231" s="1"/>
      <c r="PGV231" s="1"/>
      <c r="PGW231" s="1"/>
      <c r="PGX231" s="1"/>
      <c r="PGY231" s="1"/>
      <c r="PGZ231" s="1"/>
      <c r="PHA231" s="1"/>
      <c r="PHB231" s="1"/>
      <c r="PHC231" s="1"/>
      <c r="PHD231" s="1"/>
      <c r="PHE231" s="1"/>
      <c r="PHF231" s="1"/>
      <c r="PHG231" s="1"/>
      <c r="PHH231" s="1"/>
      <c r="PHI231" s="1"/>
      <c r="PHJ231" s="1"/>
      <c r="PHK231" s="1"/>
      <c r="PHL231" s="1"/>
      <c r="PHM231" s="1"/>
      <c r="PHN231" s="1"/>
      <c r="PHO231" s="1"/>
      <c r="PHP231" s="1"/>
      <c r="PHQ231" s="1"/>
      <c r="PHR231" s="1"/>
      <c r="PHS231" s="1"/>
      <c r="PHT231" s="1"/>
      <c r="PHU231" s="1"/>
      <c r="PHV231" s="1"/>
      <c r="PHW231" s="1"/>
      <c r="PHX231" s="1"/>
      <c r="PHY231" s="1"/>
      <c r="PHZ231" s="1"/>
      <c r="PIA231" s="1"/>
      <c r="PIB231" s="1"/>
      <c r="PIC231" s="1"/>
      <c r="PID231" s="1"/>
      <c r="PIE231" s="1"/>
      <c r="PIF231" s="1"/>
      <c r="PIG231" s="1"/>
      <c r="PIH231" s="1"/>
      <c r="PII231" s="1"/>
      <c r="PIJ231" s="1"/>
      <c r="PIK231" s="1"/>
      <c r="PIL231" s="1"/>
      <c r="PIM231" s="1"/>
      <c r="PIN231" s="1"/>
      <c r="PIO231" s="1"/>
      <c r="PIP231" s="1"/>
      <c r="PIQ231" s="1"/>
      <c r="PIR231" s="1"/>
      <c r="PIS231" s="1"/>
      <c r="PIT231" s="1"/>
      <c r="PIU231" s="1"/>
      <c r="PIV231" s="1"/>
      <c r="PIW231" s="1"/>
      <c r="PIX231" s="1"/>
      <c r="PIY231" s="1"/>
      <c r="PIZ231" s="1"/>
      <c r="PJA231" s="1"/>
      <c r="PJB231" s="1"/>
      <c r="PJC231" s="1"/>
      <c r="PJD231" s="1"/>
      <c r="PJE231" s="1"/>
      <c r="PJF231" s="1"/>
      <c r="PJG231" s="1"/>
      <c r="PJH231" s="1"/>
      <c r="PJI231" s="1"/>
      <c r="PJJ231" s="1"/>
      <c r="PJK231" s="1"/>
      <c r="PJL231" s="1"/>
      <c r="PJM231" s="1"/>
      <c r="PJN231" s="1"/>
      <c r="PJO231" s="1"/>
      <c r="PJP231" s="1"/>
      <c r="PJQ231" s="1"/>
      <c r="PJR231" s="1"/>
      <c r="PJS231" s="1"/>
      <c r="PJT231" s="1"/>
      <c r="PJU231" s="1"/>
      <c r="PJV231" s="1"/>
      <c r="PJW231" s="1"/>
      <c r="PJX231" s="1"/>
      <c r="PJY231" s="1"/>
      <c r="PJZ231" s="1"/>
      <c r="PKA231" s="1"/>
      <c r="PKB231" s="1"/>
      <c r="PKC231" s="1"/>
      <c r="PKD231" s="1"/>
      <c r="PKE231" s="1"/>
      <c r="PKF231" s="1"/>
      <c r="PKG231" s="1"/>
      <c r="PKH231" s="1"/>
      <c r="PKI231" s="1"/>
      <c r="PKJ231" s="1"/>
      <c r="PKK231" s="1"/>
      <c r="PKL231" s="1"/>
      <c r="PKM231" s="1"/>
      <c r="PKN231" s="1"/>
      <c r="PKO231" s="1"/>
      <c r="PKP231" s="1"/>
      <c r="PKQ231" s="1"/>
      <c r="PKR231" s="1"/>
      <c r="PKS231" s="1"/>
      <c r="PKT231" s="1"/>
      <c r="PKU231" s="1"/>
      <c r="PKV231" s="1"/>
      <c r="PKW231" s="1"/>
      <c r="PKX231" s="1"/>
      <c r="PKY231" s="1"/>
      <c r="PKZ231" s="1"/>
      <c r="PLA231" s="1"/>
      <c r="PLB231" s="1"/>
      <c r="PLC231" s="1"/>
      <c r="PLD231" s="1"/>
      <c r="PLE231" s="1"/>
      <c r="PLF231" s="1"/>
      <c r="PLG231" s="1"/>
      <c r="PLH231" s="1"/>
      <c r="PLI231" s="1"/>
      <c r="PLJ231" s="1"/>
      <c r="PLK231" s="1"/>
      <c r="PLL231" s="1"/>
      <c r="PLM231" s="1"/>
      <c r="PLN231" s="1"/>
      <c r="PLO231" s="1"/>
      <c r="PLP231" s="1"/>
      <c r="PLQ231" s="1"/>
      <c r="PLR231" s="1"/>
      <c r="PLS231" s="1"/>
      <c r="PLT231" s="1"/>
      <c r="PLU231" s="1"/>
      <c r="PLV231" s="1"/>
      <c r="PLW231" s="1"/>
      <c r="PLX231" s="1"/>
      <c r="PLY231" s="1"/>
      <c r="PLZ231" s="1"/>
      <c r="PMA231" s="1"/>
      <c r="PMB231" s="1"/>
      <c r="PMC231" s="1"/>
      <c r="PMD231" s="1"/>
      <c r="PME231" s="1"/>
      <c r="PMF231" s="1"/>
      <c r="PMG231" s="1"/>
      <c r="PMH231" s="1"/>
      <c r="PMI231" s="1"/>
      <c r="PMJ231" s="1"/>
      <c r="PMK231" s="1"/>
      <c r="PML231" s="1"/>
      <c r="PMM231" s="1"/>
      <c r="PMN231" s="1"/>
      <c r="PMO231" s="1"/>
      <c r="PMP231" s="1"/>
      <c r="PMQ231" s="1"/>
      <c r="PMR231" s="1"/>
      <c r="PMS231" s="1"/>
      <c r="PMT231" s="1"/>
      <c r="PMU231" s="1"/>
      <c r="PMV231" s="1"/>
      <c r="PMW231" s="1"/>
      <c r="PMX231" s="1"/>
      <c r="PMY231" s="1"/>
      <c r="PMZ231" s="1"/>
      <c r="PNA231" s="1"/>
      <c r="PNB231" s="1"/>
      <c r="PNC231" s="1"/>
      <c r="PND231" s="1"/>
      <c r="PNE231" s="1"/>
      <c r="PNF231" s="1"/>
      <c r="PNG231" s="1"/>
      <c r="PNH231" s="1"/>
      <c r="PNI231" s="1"/>
      <c r="PNJ231" s="1"/>
      <c r="PNK231" s="1"/>
      <c r="PNL231" s="1"/>
      <c r="PNM231" s="1"/>
      <c r="PNN231" s="1"/>
      <c r="PNO231" s="1"/>
      <c r="PNP231" s="1"/>
      <c r="PNQ231" s="1"/>
      <c r="PNR231" s="1"/>
      <c r="PNS231" s="1"/>
      <c r="PNT231" s="1"/>
      <c r="PNU231" s="1"/>
      <c r="PNV231" s="1"/>
      <c r="PNW231" s="1"/>
      <c r="PNX231" s="1"/>
      <c r="PNY231" s="1"/>
      <c r="PNZ231" s="1"/>
      <c r="POA231" s="1"/>
      <c r="POB231" s="1"/>
      <c r="POC231" s="1"/>
      <c r="POD231" s="1"/>
      <c r="POE231" s="1"/>
      <c r="POF231" s="1"/>
      <c r="POG231" s="1"/>
      <c r="POH231" s="1"/>
      <c r="POI231" s="1"/>
      <c r="POJ231" s="1"/>
      <c r="POK231" s="1"/>
      <c r="POL231" s="1"/>
      <c r="POM231" s="1"/>
      <c r="PON231" s="1"/>
      <c r="POO231" s="1"/>
      <c r="POP231" s="1"/>
      <c r="POQ231" s="1"/>
      <c r="POR231" s="1"/>
      <c r="POS231" s="1"/>
      <c r="POT231" s="1"/>
      <c r="POU231" s="1"/>
      <c r="POV231" s="1"/>
      <c r="POW231" s="1"/>
      <c r="POX231" s="1"/>
      <c r="POY231" s="1"/>
      <c r="POZ231" s="1"/>
      <c r="PPA231" s="1"/>
      <c r="PPB231" s="1"/>
      <c r="PPC231" s="1"/>
      <c r="PPD231" s="1"/>
      <c r="PPE231" s="1"/>
      <c r="PPF231" s="1"/>
      <c r="PPG231" s="1"/>
      <c r="PPH231" s="1"/>
      <c r="PPI231" s="1"/>
      <c r="PPJ231" s="1"/>
      <c r="PPK231" s="1"/>
      <c r="PPL231" s="1"/>
      <c r="PPM231" s="1"/>
      <c r="PPN231" s="1"/>
      <c r="PPO231" s="1"/>
      <c r="PPP231" s="1"/>
      <c r="PPQ231" s="1"/>
      <c r="PPR231" s="1"/>
      <c r="PPS231" s="1"/>
      <c r="PPT231" s="1"/>
      <c r="PPU231" s="1"/>
      <c r="PPV231" s="1"/>
      <c r="PPW231" s="1"/>
      <c r="PPX231" s="1"/>
      <c r="PPY231" s="1"/>
      <c r="PPZ231" s="1"/>
      <c r="PQA231" s="1"/>
      <c r="PQB231" s="1"/>
      <c r="PQC231" s="1"/>
      <c r="PQD231" s="1"/>
      <c r="PQE231" s="1"/>
      <c r="PQF231" s="1"/>
      <c r="PQG231" s="1"/>
      <c r="PQH231" s="1"/>
      <c r="PQI231" s="1"/>
      <c r="PQJ231" s="1"/>
      <c r="PQK231" s="1"/>
      <c r="PQL231" s="1"/>
      <c r="PQM231" s="1"/>
      <c r="PQN231" s="1"/>
      <c r="PQO231" s="1"/>
      <c r="PQP231" s="1"/>
      <c r="PQQ231" s="1"/>
      <c r="PQR231" s="1"/>
      <c r="PQS231" s="1"/>
      <c r="PQT231" s="1"/>
      <c r="PQU231" s="1"/>
      <c r="PQV231" s="1"/>
      <c r="PQW231" s="1"/>
      <c r="PQX231" s="1"/>
      <c r="PQY231" s="1"/>
      <c r="PQZ231" s="1"/>
      <c r="PRA231" s="1"/>
      <c r="PRB231" s="1"/>
      <c r="PRC231" s="1"/>
      <c r="PRD231" s="1"/>
      <c r="PRE231" s="1"/>
      <c r="PRF231" s="1"/>
      <c r="PRG231" s="1"/>
      <c r="PRH231" s="1"/>
      <c r="PRI231" s="1"/>
      <c r="PRJ231" s="1"/>
      <c r="PRK231" s="1"/>
      <c r="PRL231" s="1"/>
      <c r="PRM231" s="1"/>
      <c r="PRN231" s="1"/>
      <c r="PRO231" s="1"/>
      <c r="PRP231" s="1"/>
      <c r="PRQ231" s="1"/>
      <c r="PRR231" s="1"/>
      <c r="PRS231" s="1"/>
      <c r="PRT231" s="1"/>
      <c r="PRU231" s="1"/>
      <c r="PRV231" s="1"/>
      <c r="PRW231" s="1"/>
      <c r="PRX231" s="1"/>
      <c r="PRY231" s="1"/>
      <c r="PRZ231" s="1"/>
      <c r="PSA231" s="1"/>
      <c r="PSB231" s="1"/>
      <c r="PSC231" s="1"/>
      <c r="PSD231" s="1"/>
      <c r="PSE231" s="1"/>
      <c r="PSF231" s="1"/>
      <c r="PSG231" s="1"/>
      <c r="PSH231" s="1"/>
      <c r="PSI231" s="1"/>
      <c r="PSJ231" s="1"/>
      <c r="PSK231" s="1"/>
      <c r="PSL231" s="1"/>
      <c r="PSM231" s="1"/>
      <c r="PSN231" s="1"/>
      <c r="PSO231" s="1"/>
      <c r="PSP231" s="1"/>
      <c r="PSQ231" s="1"/>
      <c r="PSR231" s="1"/>
      <c r="PSS231" s="1"/>
      <c r="PST231" s="1"/>
      <c r="PSU231" s="1"/>
      <c r="PSV231" s="1"/>
      <c r="PSW231" s="1"/>
      <c r="PSX231" s="1"/>
      <c r="PSY231" s="1"/>
      <c r="PSZ231" s="1"/>
      <c r="PTA231" s="1"/>
      <c r="PTB231" s="1"/>
      <c r="PTC231" s="1"/>
      <c r="PTD231" s="1"/>
      <c r="PTE231" s="1"/>
      <c r="PTF231" s="1"/>
      <c r="PTG231" s="1"/>
      <c r="PTH231" s="1"/>
      <c r="PTI231" s="1"/>
      <c r="PTJ231" s="1"/>
      <c r="PTK231" s="1"/>
      <c r="PTL231" s="1"/>
      <c r="PTM231" s="1"/>
      <c r="PTN231" s="1"/>
      <c r="PTO231" s="1"/>
      <c r="PTP231" s="1"/>
      <c r="PTQ231" s="1"/>
      <c r="PTR231" s="1"/>
      <c r="PTS231" s="1"/>
      <c r="PTT231" s="1"/>
      <c r="PTU231" s="1"/>
      <c r="PTV231" s="1"/>
      <c r="PTW231" s="1"/>
      <c r="PTX231" s="1"/>
      <c r="PTY231" s="1"/>
      <c r="PTZ231" s="1"/>
      <c r="PUA231" s="1"/>
      <c r="PUB231" s="1"/>
      <c r="PUC231" s="1"/>
      <c r="PUD231" s="1"/>
      <c r="PUE231" s="1"/>
      <c r="PUF231" s="1"/>
      <c r="PUG231" s="1"/>
      <c r="PUH231" s="1"/>
      <c r="PUI231" s="1"/>
      <c r="PUJ231" s="1"/>
      <c r="PUK231" s="1"/>
      <c r="PUL231" s="1"/>
      <c r="PUM231" s="1"/>
      <c r="PUN231" s="1"/>
      <c r="PUO231" s="1"/>
      <c r="PUP231" s="1"/>
      <c r="PUQ231" s="1"/>
      <c r="PUR231" s="1"/>
      <c r="PUS231" s="1"/>
      <c r="PUT231" s="1"/>
      <c r="PUU231" s="1"/>
      <c r="PUV231" s="1"/>
      <c r="PUW231" s="1"/>
      <c r="PUX231" s="1"/>
      <c r="PUY231" s="1"/>
      <c r="PUZ231" s="1"/>
      <c r="PVA231" s="1"/>
      <c r="PVB231" s="1"/>
      <c r="PVC231" s="1"/>
      <c r="PVD231" s="1"/>
      <c r="PVE231" s="1"/>
      <c r="PVF231" s="1"/>
      <c r="PVG231" s="1"/>
      <c r="PVH231" s="1"/>
      <c r="PVI231" s="1"/>
      <c r="PVJ231" s="1"/>
      <c r="PVK231" s="1"/>
      <c r="PVL231" s="1"/>
      <c r="PVM231" s="1"/>
      <c r="PVN231" s="1"/>
      <c r="PVO231" s="1"/>
      <c r="PVP231" s="1"/>
      <c r="PVQ231" s="1"/>
      <c r="PVR231" s="1"/>
      <c r="PVS231" s="1"/>
      <c r="PVT231" s="1"/>
      <c r="PVU231" s="1"/>
      <c r="PVV231" s="1"/>
      <c r="PVW231" s="1"/>
      <c r="PVX231" s="1"/>
      <c r="PVY231" s="1"/>
      <c r="PVZ231" s="1"/>
      <c r="PWA231" s="1"/>
      <c r="PWB231" s="1"/>
      <c r="PWC231" s="1"/>
      <c r="PWD231" s="1"/>
      <c r="PWE231" s="1"/>
      <c r="PWF231" s="1"/>
      <c r="PWG231" s="1"/>
      <c r="PWH231" s="1"/>
      <c r="PWI231" s="1"/>
      <c r="PWJ231" s="1"/>
      <c r="PWK231" s="1"/>
      <c r="PWL231" s="1"/>
      <c r="PWM231" s="1"/>
      <c r="PWN231" s="1"/>
      <c r="PWO231" s="1"/>
      <c r="PWP231" s="1"/>
      <c r="PWQ231" s="1"/>
      <c r="PWR231" s="1"/>
      <c r="PWS231" s="1"/>
      <c r="PWT231" s="1"/>
      <c r="PWU231" s="1"/>
      <c r="PWV231" s="1"/>
      <c r="PWW231" s="1"/>
      <c r="PWX231" s="1"/>
      <c r="PWY231" s="1"/>
      <c r="PWZ231" s="1"/>
      <c r="PXA231" s="1"/>
      <c r="PXB231" s="1"/>
      <c r="PXC231" s="1"/>
      <c r="PXD231" s="1"/>
      <c r="PXE231" s="1"/>
      <c r="PXF231" s="1"/>
      <c r="PXG231" s="1"/>
      <c r="PXH231" s="1"/>
      <c r="PXI231" s="1"/>
      <c r="PXJ231" s="1"/>
      <c r="PXK231" s="1"/>
      <c r="PXL231" s="1"/>
      <c r="PXM231" s="1"/>
      <c r="PXN231" s="1"/>
      <c r="PXO231" s="1"/>
      <c r="PXP231" s="1"/>
      <c r="PXQ231" s="1"/>
      <c r="PXR231" s="1"/>
      <c r="PXS231" s="1"/>
      <c r="PXT231" s="1"/>
      <c r="PXU231" s="1"/>
      <c r="PXV231" s="1"/>
      <c r="PXW231" s="1"/>
      <c r="PXX231" s="1"/>
      <c r="PXY231" s="1"/>
      <c r="PXZ231" s="1"/>
      <c r="PYA231" s="1"/>
      <c r="PYB231" s="1"/>
      <c r="PYC231" s="1"/>
      <c r="PYD231" s="1"/>
      <c r="PYE231" s="1"/>
      <c r="PYF231" s="1"/>
      <c r="PYG231" s="1"/>
      <c r="PYH231" s="1"/>
      <c r="PYI231" s="1"/>
      <c r="PYJ231" s="1"/>
      <c r="PYK231" s="1"/>
      <c r="PYL231" s="1"/>
      <c r="PYM231" s="1"/>
      <c r="PYN231" s="1"/>
      <c r="PYO231" s="1"/>
      <c r="PYP231" s="1"/>
      <c r="PYQ231" s="1"/>
      <c r="PYR231" s="1"/>
      <c r="PYS231" s="1"/>
      <c r="PYT231" s="1"/>
      <c r="PYU231" s="1"/>
      <c r="PYV231" s="1"/>
      <c r="PYW231" s="1"/>
      <c r="PYX231" s="1"/>
      <c r="PYY231" s="1"/>
      <c r="PYZ231" s="1"/>
      <c r="PZA231" s="1"/>
      <c r="PZB231" s="1"/>
      <c r="PZC231" s="1"/>
      <c r="PZD231" s="1"/>
      <c r="PZE231" s="1"/>
      <c r="PZF231" s="1"/>
      <c r="PZG231" s="1"/>
      <c r="PZH231" s="1"/>
      <c r="PZI231" s="1"/>
      <c r="PZJ231" s="1"/>
      <c r="PZK231" s="1"/>
      <c r="PZL231" s="1"/>
      <c r="PZM231" s="1"/>
      <c r="PZN231" s="1"/>
      <c r="PZO231" s="1"/>
      <c r="PZP231" s="1"/>
      <c r="PZQ231" s="1"/>
      <c r="PZR231" s="1"/>
      <c r="PZS231" s="1"/>
      <c r="PZT231" s="1"/>
      <c r="PZU231" s="1"/>
      <c r="PZV231" s="1"/>
      <c r="PZW231" s="1"/>
      <c r="PZX231" s="1"/>
      <c r="PZY231" s="1"/>
      <c r="PZZ231" s="1"/>
      <c r="QAA231" s="1"/>
      <c r="QAB231" s="1"/>
      <c r="QAC231" s="1"/>
      <c r="QAD231" s="1"/>
      <c r="QAE231" s="1"/>
      <c r="QAF231" s="1"/>
      <c r="QAG231" s="1"/>
      <c r="QAH231" s="1"/>
      <c r="QAI231" s="1"/>
      <c r="QAJ231" s="1"/>
      <c r="QAK231" s="1"/>
      <c r="QAL231" s="1"/>
      <c r="QAM231" s="1"/>
      <c r="QAN231" s="1"/>
      <c r="QAO231" s="1"/>
      <c r="QAP231" s="1"/>
      <c r="QAQ231" s="1"/>
      <c r="QAR231" s="1"/>
      <c r="QAS231" s="1"/>
      <c r="QAT231" s="1"/>
      <c r="QAU231" s="1"/>
      <c r="QAV231" s="1"/>
      <c r="QAW231" s="1"/>
      <c r="QAX231" s="1"/>
      <c r="QAY231" s="1"/>
      <c r="QAZ231" s="1"/>
      <c r="QBA231" s="1"/>
      <c r="QBB231" s="1"/>
      <c r="QBC231" s="1"/>
      <c r="QBD231" s="1"/>
      <c r="QBE231" s="1"/>
      <c r="QBF231" s="1"/>
      <c r="QBG231" s="1"/>
      <c r="QBH231" s="1"/>
      <c r="QBI231" s="1"/>
      <c r="QBJ231" s="1"/>
      <c r="QBK231" s="1"/>
      <c r="QBL231" s="1"/>
      <c r="QBM231" s="1"/>
      <c r="QBN231" s="1"/>
      <c r="QBO231" s="1"/>
      <c r="QBP231" s="1"/>
      <c r="QBQ231" s="1"/>
      <c r="QBR231" s="1"/>
      <c r="QBS231" s="1"/>
      <c r="QBT231" s="1"/>
      <c r="QBU231" s="1"/>
      <c r="QBV231" s="1"/>
      <c r="QBW231" s="1"/>
      <c r="QBX231" s="1"/>
      <c r="QBY231" s="1"/>
      <c r="QBZ231" s="1"/>
      <c r="QCA231" s="1"/>
      <c r="QCB231" s="1"/>
      <c r="QCC231" s="1"/>
      <c r="QCD231" s="1"/>
      <c r="QCE231" s="1"/>
      <c r="QCF231" s="1"/>
      <c r="QCG231" s="1"/>
      <c r="QCH231" s="1"/>
      <c r="QCI231" s="1"/>
      <c r="QCJ231" s="1"/>
      <c r="QCK231" s="1"/>
      <c r="QCL231" s="1"/>
      <c r="QCM231" s="1"/>
      <c r="QCN231" s="1"/>
      <c r="QCO231" s="1"/>
      <c r="QCP231" s="1"/>
      <c r="QCQ231" s="1"/>
      <c r="QCR231" s="1"/>
      <c r="QCS231" s="1"/>
      <c r="QCT231" s="1"/>
      <c r="QCU231" s="1"/>
      <c r="QCV231" s="1"/>
      <c r="QCW231" s="1"/>
      <c r="QCX231" s="1"/>
      <c r="QCY231" s="1"/>
      <c r="QCZ231" s="1"/>
      <c r="QDA231" s="1"/>
      <c r="QDB231" s="1"/>
      <c r="QDC231" s="1"/>
      <c r="QDD231" s="1"/>
      <c r="QDE231" s="1"/>
      <c r="QDF231" s="1"/>
      <c r="QDG231" s="1"/>
      <c r="QDH231" s="1"/>
      <c r="QDI231" s="1"/>
      <c r="QDJ231" s="1"/>
      <c r="QDK231" s="1"/>
      <c r="QDL231" s="1"/>
      <c r="QDM231" s="1"/>
      <c r="QDN231" s="1"/>
      <c r="QDO231" s="1"/>
      <c r="QDP231" s="1"/>
      <c r="QDQ231" s="1"/>
      <c r="QDR231" s="1"/>
      <c r="QDS231" s="1"/>
      <c r="QDT231" s="1"/>
      <c r="QDU231" s="1"/>
      <c r="QDV231" s="1"/>
      <c r="QDW231" s="1"/>
      <c r="QDX231" s="1"/>
      <c r="QDY231" s="1"/>
      <c r="QDZ231" s="1"/>
      <c r="QEA231" s="1"/>
      <c r="QEB231" s="1"/>
      <c r="QEC231" s="1"/>
      <c r="QED231" s="1"/>
      <c r="QEE231" s="1"/>
      <c r="QEF231" s="1"/>
      <c r="QEG231" s="1"/>
      <c r="QEH231" s="1"/>
      <c r="QEI231" s="1"/>
      <c r="QEJ231" s="1"/>
      <c r="QEK231" s="1"/>
      <c r="QEL231" s="1"/>
      <c r="QEM231" s="1"/>
      <c r="QEN231" s="1"/>
      <c r="QEO231" s="1"/>
      <c r="QEP231" s="1"/>
      <c r="QEQ231" s="1"/>
      <c r="QER231" s="1"/>
      <c r="QES231" s="1"/>
      <c r="QET231" s="1"/>
      <c r="QEU231" s="1"/>
      <c r="QEV231" s="1"/>
      <c r="QEW231" s="1"/>
      <c r="QEX231" s="1"/>
      <c r="QEY231" s="1"/>
      <c r="QEZ231" s="1"/>
      <c r="QFA231" s="1"/>
      <c r="QFB231" s="1"/>
      <c r="QFC231" s="1"/>
      <c r="QFD231" s="1"/>
      <c r="QFE231" s="1"/>
      <c r="QFF231" s="1"/>
      <c r="QFG231" s="1"/>
      <c r="QFH231" s="1"/>
      <c r="QFI231" s="1"/>
      <c r="QFJ231" s="1"/>
      <c r="QFK231" s="1"/>
      <c r="QFL231" s="1"/>
      <c r="QFM231" s="1"/>
      <c r="QFN231" s="1"/>
      <c r="QFO231" s="1"/>
      <c r="QFP231" s="1"/>
      <c r="QFQ231" s="1"/>
      <c r="QFR231" s="1"/>
      <c r="QFS231" s="1"/>
      <c r="QFT231" s="1"/>
      <c r="QFU231" s="1"/>
      <c r="QFV231" s="1"/>
      <c r="QFW231" s="1"/>
      <c r="QFX231" s="1"/>
      <c r="QFY231" s="1"/>
      <c r="QFZ231" s="1"/>
      <c r="QGA231" s="1"/>
      <c r="QGB231" s="1"/>
      <c r="QGC231" s="1"/>
      <c r="QGD231" s="1"/>
      <c r="QGE231" s="1"/>
      <c r="QGF231" s="1"/>
      <c r="QGG231" s="1"/>
      <c r="QGH231" s="1"/>
      <c r="QGI231" s="1"/>
      <c r="QGJ231" s="1"/>
      <c r="QGK231" s="1"/>
      <c r="QGL231" s="1"/>
      <c r="QGM231" s="1"/>
      <c r="QGN231" s="1"/>
      <c r="QGO231" s="1"/>
      <c r="QGP231" s="1"/>
      <c r="QGQ231" s="1"/>
      <c r="QGR231" s="1"/>
      <c r="QGS231" s="1"/>
      <c r="QGT231" s="1"/>
      <c r="QGU231" s="1"/>
      <c r="QGV231" s="1"/>
      <c r="QGW231" s="1"/>
      <c r="QGX231" s="1"/>
      <c r="QGY231" s="1"/>
      <c r="QGZ231" s="1"/>
      <c r="QHA231" s="1"/>
      <c r="QHB231" s="1"/>
      <c r="QHC231" s="1"/>
      <c r="QHD231" s="1"/>
      <c r="QHE231" s="1"/>
      <c r="QHF231" s="1"/>
      <c r="QHG231" s="1"/>
      <c r="QHH231" s="1"/>
      <c r="QHI231" s="1"/>
      <c r="QHJ231" s="1"/>
      <c r="QHK231" s="1"/>
      <c r="QHL231" s="1"/>
      <c r="QHM231" s="1"/>
      <c r="QHN231" s="1"/>
      <c r="QHO231" s="1"/>
      <c r="QHP231" s="1"/>
      <c r="QHQ231" s="1"/>
      <c r="QHR231" s="1"/>
      <c r="QHS231" s="1"/>
      <c r="QHT231" s="1"/>
      <c r="QHU231" s="1"/>
      <c r="QHV231" s="1"/>
      <c r="QHW231" s="1"/>
      <c r="QHX231" s="1"/>
      <c r="QHY231" s="1"/>
      <c r="QHZ231" s="1"/>
      <c r="QIA231" s="1"/>
      <c r="QIB231" s="1"/>
      <c r="QIC231" s="1"/>
      <c r="QID231" s="1"/>
      <c r="QIE231" s="1"/>
      <c r="QIF231" s="1"/>
      <c r="QIG231" s="1"/>
      <c r="QIH231" s="1"/>
      <c r="QII231" s="1"/>
      <c r="QIJ231" s="1"/>
      <c r="QIK231" s="1"/>
      <c r="QIL231" s="1"/>
      <c r="QIM231" s="1"/>
      <c r="QIN231" s="1"/>
      <c r="QIO231" s="1"/>
      <c r="QIP231" s="1"/>
      <c r="QIQ231" s="1"/>
      <c r="QIR231" s="1"/>
      <c r="QIS231" s="1"/>
      <c r="QIT231" s="1"/>
      <c r="QIU231" s="1"/>
      <c r="QIV231" s="1"/>
      <c r="QIW231" s="1"/>
      <c r="QIX231" s="1"/>
      <c r="QIY231" s="1"/>
      <c r="QIZ231" s="1"/>
      <c r="QJA231" s="1"/>
      <c r="QJB231" s="1"/>
      <c r="QJC231" s="1"/>
      <c r="QJD231" s="1"/>
      <c r="QJE231" s="1"/>
      <c r="QJF231" s="1"/>
      <c r="QJG231" s="1"/>
      <c r="QJH231" s="1"/>
      <c r="QJI231" s="1"/>
      <c r="QJJ231" s="1"/>
      <c r="QJK231" s="1"/>
      <c r="QJL231" s="1"/>
      <c r="QJM231" s="1"/>
      <c r="QJN231" s="1"/>
      <c r="QJO231" s="1"/>
      <c r="QJP231" s="1"/>
      <c r="QJQ231" s="1"/>
      <c r="QJR231" s="1"/>
      <c r="QJS231" s="1"/>
      <c r="QJT231" s="1"/>
      <c r="QJU231" s="1"/>
      <c r="QJV231" s="1"/>
      <c r="QJW231" s="1"/>
      <c r="QJX231" s="1"/>
      <c r="QJY231" s="1"/>
      <c r="QJZ231" s="1"/>
      <c r="QKA231" s="1"/>
      <c r="QKB231" s="1"/>
      <c r="QKC231" s="1"/>
      <c r="QKD231" s="1"/>
      <c r="QKE231" s="1"/>
      <c r="QKF231" s="1"/>
      <c r="QKG231" s="1"/>
      <c r="QKH231" s="1"/>
      <c r="QKI231" s="1"/>
      <c r="QKJ231" s="1"/>
      <c r="QKK231" s="1"/>
      <c r="QKL231" s="1"/>
      <c r="QKM231" s="1"/>
      <c r="QKN231" s="1"/>
      <c r="QKO231" s="1"/>
      <c r="QKP231" s="1"/>
      <c r="QKQ231" s="1"/>
      <c r="QKR231" s="1"/>
      <c r="QKS231" s="1"/>
      <c r="QKT231" s="1"/>
      <c r="QKU231" s="1"/>
      <c r="QKV231" s="1"/>
      <c r="QKW231" s="1"/>
      <c r="QKX231" s="1"/>
      <c r="QKY231" s="1"/>
      <c r="QKZ231" s="1"/>
      <c r="QLA231" s="1"/>
      <c r="QLB231" s="1"/>
      <c r="QLC231" s="1"/>
      <c r="QLD231" s="1"/>
      <c r="QLE231" s="1"/>
      <c r="QLF231" s="1"/>
      <c r="QLG231" s="1"/>
      <c r="QLH231" s="1"/>
      <c r="QLI231" s="1"/>
      <c r="QLJ231" s="1"/>
      <c r="QLK231" s="1"/>
      <c r="QLL231" s="1"/>
      <c r="QLM231" s="1"/>
      <c r="QLN231" s="1"/>
      <c r="QLO231" s="1"/>
      <c r="QLP231" s="1"/>
      <c r="QLQ231" s="1"/>
      <c r="QLR231" s="1"/>
      <c r="QLS231" s="1"/>
      <c r="QLT231" s="1"/>
      <c r="QLU231" s="1"/>
      <c r="QLV231" s="1"/>
      <c r="QLW231" s="1"/>
      <c r="QLX231" s="1"/>
      <c r="QLY231" s="1"/>
      <c r="QLZ231" s="1"/>
      <c r="QMA231" s="1"/>
      <c r="QMB231" s="1"/>
      <c r="QMC231" s="1"/>
      <c r="QMD231" s="1"/>
      <c r="QME231" s="1"/>
      <c r="QMF231" s="1"/>
      <c r="QMG231" s="1"/>
      <c r="QMH231" s="1"/>
      <c r="QMI231" s="1"/>
      <c r="QMJ231" s="1"/>
      <c r="QMK231" s="1"/>
      <c r="QML231" s="1"/>
      <c r="QMM231" s="1"/>
      <c r="QMN231" s="1"/>
      <c r="QMO231" s="1"/>
      <c r="QMP231" s="1"/>
      <c r="QMQ231" s="1"/>
      <c r="QMR231" s="1"/>
      <c r="QMS231" s="1"/>
      <c r="QMT231" s="1"/>
      <c r="QMU231" s="1"/>
      <c r="QMV231" s="1"/>
      <c r="QMW231" s="1"/>
      <c r="QMX231" s="1"/>
      <c r="QMY231" s="1"/>
      <c r="QMZ231" s="1"/>
      <c r="QNA231" s="1"/>
      <c r="QNB231" s="1"/>
      <c r="QNC231" s="1"/>
      <c r="QND231" s="1"/>
      <c r="QNE231" s="1"/>
      <c r="QNF231" s="1"/>
      <c r="QNG231" s="1"/>
      <c r="QNH231" s="1"/>
      <c r="QNI231" s="1"/>
      <c r="QNJ231" s="1"/>
      <c r="QNK231" s="1"/>
      <c r="QNL231" s="1"/>
      <c r="QNM231" s="1"/>
      <c r="QNN231" s="1"/>
      <c r="QNO231" s="1"/>
      <c r="QNP231" s="1"/>
      <c r="QNQ231" s="1"/>
      <c r="QNR231" s="1"/>
      <c r="QNS231" s="1"/>
      <c r="QNT231" s="1"/>
      <c r="QNU231" s="1"/>
      <c r="QNV231" s="1"/>
      <c r="QNW231" s="1"/>
      <c r="QNX231" s="1"/>
      <c r="QNY231" s="1"/>
      <c r="QNZ231" s="1"/>
      <c r="QOA231" s="1"/>
      <c r="QOB231" s="1"/>
      <c r="QOC231" s="1"/>
      <c r="QOD231" s="1"/>
      <c r="QOE231" s="1"/>
      <c r="QOF231" s="1"/>
      <c r="QOG231" s="1"/>
      <c r="QOH231" s="1"/>
      <c r="QOI231" s="1"/>
      <c r="QOJ231" s="1"/>
      <c r="QOK231" s="1"/>
      <c r="QOL231" s="1"/>
      <c r="QOM231" s="1"/>
      <c r="QON231" s="1"/>
      <c r="QOO231" s="1"/>
      <c r="QOP231" s="1"/>
      <c r="QOQ231" s="1"/>
      <c r="QOR231" s="1"/>
      <c r="QOS231" s="1"/>
      <c r="QOT231" s="1"/>
      <c r="QOU231" s="1"/>
      <c r="QOV231" s="1"/>
      <c r="QOW231" s="1"/>
      <c r="QOX231" s="1"/>
      <c r="QOY231" s="1"/>
      <c r="QOZ231" s="1"/>
      <c r="QPA231" s="1"/>
      <c r="QPB231" s="1"/>
      <c r="QPC231" s="1"/>
      <c r="QPD231" s="1"/>
      <c r="QPE231" s="1"/>
      <c r="QPF231" s="1"/>
      <c r="QPG231" s="1"/>
      <c r="QPH231" s="1"/>
      <c r="QPI231" s="1"/>
      <c r="QPJ231" s="1"/>
      <c r="QPK231" s="1"/>
      <c r="QPL231" s="1"/>
      <c r="QPM231" s="1"/>
      <c r="QPN231" s="1"/>
      <c r="QPO231" s="1"/>
      <c r="QPP231" s="1"/>
      <c r="QPQ231" s="1"/>
      <c r="QPR231" s="1"/>
      <c r="QPS231" s="1"/>
      <c r="QPT231" s="1"/>
      <c r="QPU231" s="1"/>
      <c r="QPV231" s="1"/>
      <c r="QPW231" s="1"/>
      <c r="QPX231" s="1"/>
      <c r="QPY231" s="1"/>
      <c r="QPZ231" s="1"/>
      <c r="QQA231" s="1"/>
      <c r="QQB231" s="1"/>
      <c r="QQC231" s="1"/>
      <c r="QQD231" s="1"/>
      <c r="QQE231" s="1"/>
      <c r="QQF231" s="1"/>
      <c r="QQG231" s="1"/>
      <c r="QQH231" s="1"/>
      <c r="QQI231" s="1"/>
      <c r="QQJ231" s="1"/>
      <c r="QQK231" s="1"/>
      <c r="QQL231" s="1"/>
      <c r="QQM231" s="1"/>
      <c r="QQN231" s="1"/>
      <c r="QQO231" s="1"/>
      <c r="QQP231" s="1"/>
      <c r="QQQ231" s="1"/>
      <c r="QQR231" s="1"/>
      <c r="QQS231" s="1"/>
      <c r="QQT231" s="1"/>
      <c r="QQU231" s="1"/>
      <c r="QQV231" s="1"/>
      <c r="QQW231" s="1"/>
      <c r="QQX231" s="1"/>
      <c r="QQY231" s="1"/>
      <c r="QQZ231" s="1"/>
      <c r="QRA231" s="1"/>
      <c r="QRB231" s="1"/>
      <c r="QRC231" s="1"/>
      <c r="QRD231" s="1"/>
      <c r="QRE231" s="1"/>
      <c r="QRF231" s="1"/>
      <c r="QRG231" s="1"/>
      <c r="QRH231" s="1"/>
      <c r="QRI231" s="1"/>
      <c r="QRJ231" s="1"/>
      <c r="QRK231" s="1"/>
      <c r="QRL231" s="1"/>
      <c r="QRM231" s="1"/>
      <c r="QRN231" s="1"/>
      <c r="QRO231" s="1"/>
      <c r="QRP231" s="1"/>
      <c r="QRQ231" s="1"/>
      <c r="QRR231" s="1"/>
      <c r="QRS231" s="1"/>
      <c r="QRT231" s="1"/>
      <c r="QRU231" s="1"/>
      <c r="QRV231" s="1"/>
      <c r="QRW231" s="1"/>
      <c r="QRX231" s="1"/>
      <c r="QRY231" s="1"/>
      <c r="QRZ231" s="1"/>
      <c r="QSA231" s="1"/>
      <c r="QSB231" s="1"/>
      <c r="QSC231" s="1"/>
      <c r="QSD231" s="1"/>
      <c r="QSE231" s="1"/>
      <c r="QSF231" s="1"/>
      <c r="QSG231" s="1"/>
      <c r="QSH231" s="1"/>
      <c r="QSI231" s="1"/>
      <c r="QSJ231" s="1"/>
      <c r="QSK231" s="1"/>
      <c r="QSL231" s="1"/>
      <c r="QSM231" s="1"/>
      <c r="QSN231" s="1"/>
      <c r="QSO231" s="1"/>
      <c r="QSP231" s="1"/>
      <c r="QSQ231" s="1"/>
      <c r="QSR231" s="1"/>
      <c r="QSS231" s="1"/>
      <c r="QST231" s="1"/>
      <c r="QSU231" s="1"/>
      <c r="QSV231" s="1"/>
      <c r="QSW231" s="1"/>
      <c r="QSX231" s="1"/>
      <c r="QSY231" s="1"/>
      <c r="QSZ231" s="1"/>
      <c r="QTA231" s="1"/>
      <c r="QTB231" s="1"/>
      <c r="QTC231" s="1"/>
      <c r="QTD231" s="1"/>
      <c r="QTE231" s="1"/>
      <c r="QTF231" s="1"/>
      <c r="QTG231" s="1"/>
      <c r="QTH231" s="1"/>
      <c r="QTI231" s="1"/>
      <c r="QTJ231" s="1"/>
      <c r="QTK231" s="1"/>
      <c r="QTL231" s="1"/>
      <c r="QTM231" s="1"/>
      <c r="QTN231" s="1"/>
      <c r="QTO231" s="1"/>
      <c r="QTP231" s="1"/>
      <c r="QTQ231" s="1"/>
      <c r="QTR231" s="1"/>
      <c r="QTS231" s="1"/>
      <c r="QTT231" s="1"/>
      <c r="QTU231" s="1"/>
      <c r="QTV231" s="1"/>
      <c r="QTW231" s="1"/>
      <c r="QTX231" s="1"/>
      <c r="QTY231" s="1"/>
      <c r="QTZ231" s="1"/>
      <c r="QUA231" s="1"/>
      <c r="QUB231" s="1"/>
      <c r="QUC231" s="1"/>
      <c r="QUD231" s="1"/>
      <c r="QUE231" s="1"/>
      <c r="QUF231" s="1"/>
      <c r="QUG231" s="1"/>
      <c r="QUH231" s="1"/>
      <c r="QUI231" s="1"/>
      <c r="QUJ231" s="1"/>
      <c r="QUK231" s="1"/>
      <c r="QUL231" s="1"/>
      <c r="QUM231" s="1"/>
      <c r="QUN231" s="1"/>
      <c r="QUO231" s="1"/>
      <c r="QUP231" s="1"/>
      <c r="QUQ231" s="1"/>
      <c r="QUR231" s="1"/>
      <c r="QUS231" s="1"/>
      <c r="QUT231" s="1"/>
      <c r="QUU231" s="1"/>
      <c r="QUV231" s="1"/>
      <c r="QUW231" s="1"/>
      <c r="QUX231" s="1"/>
      <c r="QUY231" s="1"/>
      <c r="QUZ231" s="1"/>
      <c r="QVA231" s="1"/>
      <c r="QVB231" s="1"/>
      <c r="QVC231" s="1"/>
      <c r="QVD231" s="1"/>
      <c r="QVE231" s="1"/>
      <c r="QVF231" s="1"/>
      <c r="QVG231" s="1"/>
      <c r="QVH231" s="1"/>
      <c r="QVI231" s="1"/>
      <c r="QVJ231" s="1"/>
      <c r="QVK231" s="1"/>
      <c r="QVL231" s="1"/>
      <c r="QVM231" s="1"/>
      <c r="QVN231" s="1"/>
      <c r="QVO231" s="1"/>
      <c r="QVP231" s="1"/>
      <c r="QVQ231" s="1"/>
      <c r="QVR231" s="1"/>
      <c r="QVS231" s="1"/>
      <c r="QVT231" s="1"/>
      <c r="QVU231" s="1"/>
      <c r="QVV231" s="1"/>
      <c r="QVW231" s="1"/>
      <c r="QVX231" s="1"/>
      <c r="QVY231" s="1"/>
      <c r="QVZ231" s="1"/>
      <c r="QWA231" s="1"/>
      <c r="QWB231" s="1"/>
      <c r="QWC231" s="1"/>
      <c r="QWD231" s="1"/>
      <c r="QWE231" s="1"/>
      <c r="QWF231" s="1"/>
      <c r="QWG231" s="1"/>
      <c r="QWH231" s="1"/>
      <c r="QWI231" s="1"/>
      <c r="QWJ231" s="1"/>
      <c r="QWK231" s="1"/>
      <c r="QWL231" s="1"/>
      <c r="QWM231" s="1"/>
      <c r="QWN231" s="1"/>
      <c r="QWO231" s="1"/>
      <c r="QWP231" s="1"/>
      <c r="QWQ231" s="1"/>
      <c r="QWR231" s="1"/>
      <c r="QWS231" s="1"/>
      <c r="QWT231" s="1"/>
      <c r="QWU231" s="1"/>
      <c r="QWV231" s="1"/>
      <c r="QWW231" s="1"/>
      <c r="QWX231" s="1"/>
      <c r="QWY231" s="1"/>
      <c r="QWZ231" s="1"/>
      <c r="QXA231" s="1"/>
      <c r="QXB231" s="1"/>
      <c r="QXC231" s="1"/>
      <c r="QXD231" s="1"/>
      <c r="QXE231" s="1"/>
      <c r="QXF231" s="1"/>
      <c r="QXG231" s="1"/>
      <c r="QXH231" s="1"/>
      <c r="QXI231" s="1"/>
      <c r="QXJ231" s="1"/>
      <c r="QXK231" s="1"/>
      <c r="QXL231" s="1"/>
      <c r="QXM231" s="1"/>
      <c r="QXN231" s="1"/>
      <c r="QXO231" s="1"/>
      <c r="QXP231" s="1"/>
      <c r="QXQ231" s="1"/>
      <c r="QXR231" s="1"/>
      <c r="QXS231" s="1"/>
      <c r="QXT231" s="1"/>
      <c r="QXU231" s="1"/>
      <c r="QXV231" s="1"/>
      <c r="QXW231" s="1"/>
      <c r="QXX231" s="1"/>
      <c r="QXY231" s="1"/>
      <c r="QXZ231" s="1"/>
      <c r="QYA231" s="1"/>
      <c r="QYB231" s="1"/>
      <c r="QYC231" s="1"/>
      <c r="QYD231" s="1"/>
      <c r="QYE231" s="1"/>
      <c r="QYF231" s="1"/>
      <c r="QYG231" s="1"/>
      <c r="QYH231" s="1"/>
      <c r="QYI231" s="1"/>
      <c r="QYJ231" s="1"/>
      <c r="QYK231" s="1"/>
      <c r="QYL231" s="1"/>
      <c r="QYM231" s="1"/>
      <c r="QYN231" s="1"/>
      <c r="QYO231" s="1"/>
      <c r="QYP231" s="1"/>
      <c r="QYQ231" s="1"/>
      <c r="QYR231" s="1"/>
      <c r="QYS231" s="1"/>
      <c r="QYT231" s="1"/>
      <c r="QYU231" s="1"/>
      <c r="QYV231" s="1"/>
      <c r="QYW231" s="1"/>
      <c r="QYX231" s="1"/>
      <c r="QYY231" s="1"/>
      <c r="QYZ231" s="1"/>
      <c r="QZA231" s="1"/>
      <c r="QZB231" s="1"/>
      <c r="QZC231" s="1"/>
      <c r="QZD231" s="1"/>
      <c r="QZE231" s="1"/>
      <c r="QZF231" s="1"/>
      <c r="QZG231" s="1"/>
      <c r="QZH231" s="1"/>
      <c r="QZI231" s="1"/>
      <c r="QZJ231" s="1"/>
      <c r="QZK231" s="1"/>
      <c r="QZL231" s="1"/>
      <c r="QZM231" s="1"/>
      <c r="QZN231" s="1"/>
      <c r="QZO231" s="1"/>
      <c r="QZP231" s="1"/>
      <c r="QZQ231" s="1"/>
      <c r="QZR231" s="1"/>
      <c r="QZS231" s="1"/>
      <c r="QZT231" s="1"/>
      <c r="QZU231" s="1"/>
      <c r="QZV231" s="1"/>
      <c r="QZW231" s="1"/>
      <c r="QZX231" s="1"/>
      <c r="QZY231" s="1"/>
      <c r="QZZ231" s="1"/>
      <c r="RAA231" s="1"/>
      <c r="RAB231" s="1"/>
      <c r="RAC231" s="1"/>
      <c r="RAD231" s="1"/>
      <c r="RAE231" s="1"/>
      <c r="RAF231" s="1"/>
      <c r="RAG231" s="1"/>
      <c r="RAH231" s="1"/>
      <c r="RAI231" s="1"/>
      <c r="RAJ231" s="1"/>
      <c r="RAK231" s="1"/>
      <c r="RAL231" s="1"/>
      <c r="RAM231" s="1"/>
      <c r="RAN231" s="1"/>
      <c r="RAO231" s="1"/>
      <c r="RAP231" s="1"/>
      <c r="RAQ231" s="1"/>
      <c r="RAR231" s="1"/>
      <c r="RAS231" s="1"/>
      <c r="RAT231" s="1"/>
      <c r="RAU231" s="1"/>
      <c r="RAV231" s="1"/>
      <c r="RAW231" s="1"/>
      <c r="RAX231" s="1"/>
      <c r="RAY231" s="1"/>
      <c r="RAZ231" s="1"/>
      <c r="RBA231" s="1"/>
      <c r="RBB231" s="1"/>
      <c r="RBC231" s="1"/>
      <c r="RBD231" s="1"/>
      <c r="RBE231" s="1"/>
      <c r="RBF231" s="1"/>
      <c r="RBG231" s="1"/>
      <c r="RBH231" s="1"/>
      <c r="RBI231" s="1"/>
      <c r="RBJ231" s="1"/>
      <c r="RBK231" s="1"/>
      <c r="RBL231" s="1"/>
      <c r="RBM231" s="1"/>
      <c r="RBN231" s="1"/>
      <c r="RBO231" s="1"/>
      <c r="RBP231" s="1"/>
      <c r="RBQ231" s="1"/>
      <c r="RBR231" s="1"/>
      <c r="RBS231" s="1"/>
      <c r="RBT231" s="1"/>
      <c r="RBU231" s="1"/>
      <c r="RBV231" s="1"/>
      <c r="RBW231" s="1"/>
      <c r="RBX231" s="1"/>
      <c r="RBY231" s="1"/>
      <c r="RBZ231" s="1"/>
      <c r="RCA231" s="1"/>
      <c r="RCB231" s="1"/>
      <c r="RCC231" s="1"/>
      <c r="RCD231" s="1"/>
      <c r="RCE231" s="1"/>
      <c r="RCF231" s="1"/>
      <c r="RCG231" s="1"/>
      <c r="RCH231" s="1"/>
      <c r="RCI231" s="1"/>
      <c r="RCJ231" s="1"/>
      <c r="RCK231" s="1"/>
      <c r="RCL231" s="1"/>
      <c r="RCM231" s="1"/>
      <c r="RCN231" s="1"/>
      <c r="RCO231" s="1"/>
      <c r="RCP231" s="1"/>
      <c r="RCQ231" s="1"/>
      <c r="RCR231" s="1"/>
      <c r="RCS231" s="1"/>
      <c r="RCT231" s="1"/>
      <c r="RCU231" s="1"/>
      <c r="RCV231" s="1"/>
      <c r="RCW231" s="1"/>
      <c r="RCX231" s="1"/>
      <c r="RCY231" s="1"/>
      <c r="RCZ231" s="1"/>
      <c r="RDA231" s="1"/>
      <c r="RDB231" s="1"/>
      <c r="RDC231" s="1"/>
      <c r="RDD231" s="1"/>
      <c r="RDE231" s="1"/>
      <c r="RDF231" s="1"/>
      <c r="RDG231" s="1"/>
      <c r="RDH231" s="1"/>
      <c r="RDI231" s="1"/>
      <c r="RDJ231" s="1"/>
      <c r="RDK231" s="1"/>
      <c r="RDL231" s="1"/>
      <c r="RDM231" s="1"/>
      <c r="RDN231" s="1"/>
      <c r="RDO231" s="1"/>
      <c r="RDP231" s="1"/>
      <c r="RDQ231" s="1"/>
      <c r="RDR231" s="1"/>
      <c r="RDS231" s="1"/>
      <c r="RDT231" s="1"/>
      <c r="RDU231" s="1"/>
      <c r="RDV231" s="1"/>
      <c r="RDW231" s="1"/>
      <c r="RDX231" s="1"/>
      <c r="RDY231" s="1"/>
      <c r="RDZ231" s="1"/>
      <c r="REA231" s="1"/>
      <c r="REB231" s="1"/>
      <c r="REC231" s="1"/>
      <c r="RED231" s="1"/>
      <c r="REE231" s="1"/>
      <c r="REF231" s="1"/>
      <c r="REG231" s="1"/>
      <c r="REH231" s="1"/>
      <c r="REI231" s="1"/>
      <c r="REJ231" s="1"/>
      <c r="REK231" s="1"/>
      <c r="REL231" s="1"/>
      <c r="REM231" s="1"/>
      <c r="REN231" s="1"/>
      <c r="REO231" s="1"/>
      <c r="REP231" s="1"/>
      <c r="REQ231" s="1"/>
      <c r="RER231" s="1"/>
      <c r="RES231" s="1"/>
      <c r="RET231" s="1"/>
      <c r="REU231" s="1"/>
      <c r="REV231" s="1"/>
      <c r="REW231" s="1"/>
      <c r="REX231" s="1"/>
      <c r="REY231" s="1"/>
      <c r="REZ231" s="1"/>
      <c r="RFA231" s="1"/>
      <c r="RFB231" s="1"/>
      <c r="RFC231" s="1"/>
      <c r="RFD231" s="1"/>
      <c r="RFE231" s="1"/>
      <c r="RFF231" s="1"/>
      <c r="RFG231" s="1"/>
      <c r="RFH231" s="1"/>
      <c r="RFI231" s="1"/>
      <c r="RFJ231" s="1"/>
      <c r="RFK231" s="1"/>
      <c r="RFL231" s="1"/>
      <c r="RFM231" s="1"/>
      <c r="RFN231" s="1"/>
      <c r="RFO231" s="1"/>
      <c r="RFP231" s="1"/>
      <c r="RFQ231" s="1"/>
      <c r="RFR231" s="1"/>
      <c r="RFS231" s="1"/>
      <c r="RFT231" s="1"/>
      <c r="RFU231" s="1"/>
      <c r="RFV231" s="1"/>
      <c r="RFW231" s="1"/>
      <c r="RFX231" s="1"/>
      <c r="RFY231" s="1"/>
      <c r="RFZ231" s="1"/>
      <c r="RGA231" s="1"/>
      <c r="RGB231" s="1"/>
      <c r="RGC231" s="1"/>
      <c r="RGD231" s="1"/>
      <c r="RGE231" s="1"/>
      <c r="RGF231" s="1"/>
      <c r="RGG231" s="1"/>
      <c r="RGH231" s="1"/>
      <c r="RGI231" s="1"/>
      <c r="RGJ231" s="1"/>
      <c r="RGK231" s="1"/>
      <c r="RGL231" s="1"/>
      <c r="RGM231" s="1"/>
      <c r="RGN231" s="1"/>
      <c r="RGO231" s="1"/>
      <c r="RGP231" s="1"/>
      <c r="RGQ231" s="1"/>
      <c r="RGR231" s="1"/>
      <c r="RGS231" s="1"/>
      <c r="RGT231" s="1"/>
      <c r="RGU231" s="1"/>
      <c r="RGV231" s="1"/>
      <c r="RGW231" s="1"/>
      <c r="RGX231" s="1"/>
      <c r="RGY231" s="1"/>
      <c r="RGZ231" s="1"/>
      <c r="RHA231" s="1"/>
      <c r="RHB231" s="1"/>
      <c r="RHC231" s="1"/>
      <c r="RHD231" s="1"/>
      <c r="RHE231" s="1"/>
      <c r="RHF231" s="1"/>
      <c r="RHG231" s="1"/>
      <c r="RHH231" s="1"/>
      <c r="RHI231" s="1"/>
      <c r="RHJ231" s="1"/>
      <c r="RHK231" s="1"/>
      <c r="RHL231" s="1"/>
      <c r="RHM231" s="1"/>
      <c r="RHN231" s="1"/>
      <c r="RHO231" s="1"/>
      <c r="RHP231" s="1"/>
      <c r="RHQ231" s="1"/>
      <c r="RHR231" s="1"/>
      <c r="RHS231" s="1"/>
      <c r="RHT231" s="1"/>
      <c r="RHU231" s="1"/>
      <c r="RHV231" s="1"/>
      <c r="RHW231" s="1"/>
      <c r="RHX231" s="1"/>
      <c r="RHY231" s="1"/>
      <c r="RHZ231" s="1"/>
      <c r="RIA231" s="1"/>
      <c r="RIB231" s="1"/>
      <c r="RIC231" s="1"/>
      <c r="RID231" s="1"/>
      <c r="RIE231" s="1"/>
      <c r="RIF231" s="1"/>
      <c r="RIG231" s="1"/>
      <c r="RIH231" s="1"/>
      <c r="RII231" s="1"/>
      <c r="RIJ231" s="1"/>
      <c r="RIK231" s="1"/>
      <c r="RIL231" s="1"/>
      <c r="RIM231" s="1"/>
      <c r="RIN231" s="1"/>
      <c r="RIO231" s="1"/>
      <c r="RIP231" s="1"/>
      <c r="RIQ231" s="1"/>
      <c r="RIR231" s="1"/>
      <c r="RIS231" s="1"/>
      <c r="RIT231" s="1"/>
      <c r="RIU231" s="1"/>
      <c r="RIV231" s="1"/>
      <c r="RIW231" s="1"/>
      <c r="RIX231" s="1"/>
      <c r="RIY231" s="1"/>
      <c r="RIZ231" s="1"/>
      <c r="RJA231" s="1"/>
      <c r="RJB231" s="1"/>
      <c r="RJC231" s="1"/>
      <c r="RJD231" s="1"/>
      <c r="RJE231" s="1"/>
      <c r="RJF231" s="1"/>
      <c r="RJG231" s="1"/>
      <c r="RJH231" s="1"/>
      <c r="RJI231" s="1"/>
      <c r="RJJ231" s="1"/>
      <c r="RJK231" s="1"/>
      <c r="RJL231" s="1"/>
      <c r="RJM231" s="1"/>
      <c r="RJN231" s="1"/>
      <c r="RJO231" s="1"/>
      <c r="RJP231" s="1"/>
      <c r="RJQ231" s="1"/>
      <c r="RJR231" s="1"/>
      <c r="RJS231" s="1"/>
      <c r="RJT231" s="1"/>
      <c r="RJU231" s="1"/>
      <c r="RJV231" s="1"/>
      <c r="RJW231" s="1"/>
      <c r="RJX231" s="1"/>
      <c r="RJY231" s="1"/>
      <c r="RJZ231" s="1"/>
      <c r="RKA231" s="1"/>
      <c r="RKB231" s="1"/>
      <c r="RKC231" s="1"/>
      <c r="RKD231" s="1"/>
      <c r="RKE231" s="1"/>
      <c r="RKF231" s="1"/>
      <c r="RKG231" s="1"/>
      <c r="RKH231" s="1"/>
      <c r="RKI231" s="1"/>
      <c r="RKJ231" s="1"/>
      <c r="RKK231" s="1"/>
      <c r="RKL231" s="1"/>
      <c r="RKM231" s="1"/>
      <c r="RKN231" s="1"/>
      <c r="RKO231" s="1"/>
      <c r="RKP231" s="1"/>
      <c r="RKQ231" s="1"/>
      <c r="RKR231" s="1"/>
      <c r="RKS231" s="1"/>
      <c r="RKT231" s="1"/>
      <c r="RKU231" s="1"/>
      <c r="RKV231" s="1"/>
      <c r="RKW231" s="1"/>
      <c r="RKX231" s="1"/>
      <c r="RKY231" s="1"/>
      <c r="RKZ231" s="1"/>
      <c r="RLA231" s="1"/>
      <c r="RLB231" s="1"/>
      <c r="RLC231" s="1"/>
      <c r="RLD231" s="1"/>
      <c r="RLE231" s="1"/>
      <c r="RLF231" s="1"/>
      <c r="RLG231" s="1"/>
      <c r="RLH231" s="1"/>
      <c r="RLI231" s="1"/>
      <c r="RLJ231" s="1"/>
      <c r="RLK231" s="1"/>
      <c r="RLL231" s="1"/>
      <c r="RLM231" s="1"/>
      <c r="RLN231" s="1"/>
      <c r="RLO231" s="1"/>
      <c r="RLP231" s="1"/>
      <c r="RLQ231" s="1"/>
      <c r="RLR231" s="1"/>
      <c r="RLS231" s="1"/>
      <c r="RLT231" s="1"/>
      <c r="RLU231" s="1"/>
      <c r="RLV231" s="1"/>
      <c r="RLW231" s="1"/>
      <c r="RLX231" s="1"/>
      <c r="RLY231" s="1"/>
      <c r="RLZ231" s="1"/>
      <c r="RMA231" s="1"/>
      <c r="RMB231" s="1"/>
      <c r="RMC231" s="1"/>
      <c r="RMD231" s="1"/>
      <c r="RME231" s="1"/>
      <c r="RMF231" s="1"/>
      <c r="RMG231" s="1"/>
      <c r="RMH231" s="1"/>
      <c r="RMI231" s="1"/>
      <c r="RMJ231" s="1"/>
      <c r="RMK231" s="1"/>
      <c r="RML231" s="1"/>
      <c r="RMM231" s="1"/>
      <c r="RMN231" s="1"/>
      <c r="RMO231" s="1"/>
      <c r="RMP231" s="1"/>
      <c r="RMQ231" s="1"/>
      <c r="RMR231" s="1"/>
      <c r="RMS231" s="1"/>
      <c r="RMT231" s="1"/>
      <c r="RMU231" s="1"/>
      <c r="RMV231" s="1"/>
      <c r="RMW231" s="1"/>
      <c r="RMX231" s="1"/>
      <c r="RMY231" s="1"/>
      <c r="RMZ231" s="1"/>
      <c r="RNA231" s="1"/>
      <c r="RNB231" s="1"/>
      <c r="RNC231" s="1"/>
      <c r="RND231" s="1"/>
      <c r="RNE231" s="1"/>
      <c r="RNF231" s="1"/>
      <c r="RNG231" s="1"/>
      <c r="RNH231" s="1"/>
      <c r="RNI231" s="1"/>
      <c r="RNJ231" s="1"/>
      <c r="RNK231" s="1"/>
      <c r="RNL231" s="1"/>
      <c r="RNM231" s="1"/>
      <c r="RNN231" s="1"/>
      <c r="RNO231" s="1"/>
      <c r="RNP231" s="1"/>
      <c r="RNQ231" s="1"/>
      <c r="RNR231" s="1"/>
      <c r="RNS231" s="1"/>
      <c r="RNT231" s="1"/>
      <c r="RNU231" s="1"/>
      <c r="RNV231" s="1"/>
      <c r="RNW231" s="1"/>
      <c r="RNX231" s="1"/>
      <c r="RNY231" s="1"/>
      <c r="RNZ231" s="1"/>
      <c r="ROA231" s="1"/>
      <c r="ROB231" s="1"/>
      <c r="ROC231" s="1"/>
      <c r="ROD231" s="1"/>
      <c r="ROE231" s="1"/>
      <c r="ROF231" s="1"/>
      <c r="ROG231" s="1"/>
      <c r="ROH231" s="1"/>
      <c r="ROI231" s="1"/>
      <c r="ROJ231" s="1"/>
      <c r="ROK231" s="1"/>
      <c r="ROL231" s="1"/>
      <c r="ROM231" s="1"/>
      <c r="RON231" s="1"/>
      <c r="ROO231" s="1"/>
      <c r="ROP231" s="1"/>
      <c r="ROQ231" s="1"/>
      <c r="ROR231" s="1"/>
      <c r="ROS231" s="1"/>
      <c r="ROT231" s="1"/>
      <c r="ROU231" s="1"/>
      <c r="ROV231" s="1"/>
      <c r="ROW231" s="1"/>
      <c r="ROX231" s="1"/>
      <c r="ROY231" s="1"/>
      <c r="ROZ231" s="1"/>
      <c r="RPA231" s="1"/>
      <c r="RPB231" s="1"/>
      <c r="RPC231" s="1"/>
      <c r="RPD231" s="1"/>
      <c r="RPE231" s="1"/>
      <c r="RPF231" s="1"/>
      <c r="RPG231" s="1"/>
      <c r="RPH231" s="1"/>
      <c r="RPI231" s="1"/>
      <c r="RPJ231" s="1"/>
      <c r="RPK231" s="1"/>
      <c r="RPL231" s="1"/>
      <c r="RPM231" s="1"/>
      <c r="RPN231" s="1"/>
      <c r="RPO231" s="1"/>
      <c r="RPP231" s="1"/>
      <c r="RPQ231" s="1"/>
      <c r="RPR231" s="1"/>
      <c r="RPS231" s="1"/>
      <c r="RPT231" s="1"/>
      <c r="RPU231" s="1"/>
      <c r="RPV231" s="1"/>
      <c r="RPW231" s="1"/>
      <c r="RPX231" s="1"/>
      <c r="RPY231" s="1"/>
      <c r="RPZ231" s="1"/>
      <c r="RQA231" s="1"/>
      <c r="RQB231" s="1"/>
      <c r="RQC231" s="1"/>
      <c r="RQD231" s="1"/>
      <c r="RQE231" s="1"/>
      <c r="RQF231" s="1"/>
      <c r="RQG231" s="1"/>
      <c r="RQH231" s="1"/>
      <c r="RQI231" s="1"/>
      <c r="RQJ231" s="1"/>
      <c r="RQK231" s="1"/>
      <c r="RQL231" s="1"/>
      <c r="RQM231" s="1"/>
      <c r="RQN231" s="1"/>
      <c r="RQO231" s="1"/>
      <c r="RQP231" s="1"/>
      <c r="RQQ231" s="1"/>
      <c r="RQR231" s="1"/>
      <c r="RQS231" s="1"/>
      <c r="RQT231" s="1"/>
      <c r="RQU231" s="1"/>
      <c r="RQV231" s="1"/>
      <c r="RQW231" s="1"/>
      <c r="RQX231" s="1"/>
      <c r="RQY231" s="1"/>
      <c r="RQZ231" s="1"/>
      <c r="RRA231" s="1"/>
      <c r="RRB231" s="1"/>
      <c r="RRC231" s="1"/>
      <c r="RRD231" s="1"/>
      <c r="RRE231" s="1"/>
      <c r="RRF231" s="1"/>
      <c r="RRG231" s="1"/>
      <c r="RRH231" s="1"/>
      <c r="RRI231" s="1"/>
      <c r="RRJ231" s="1"/>
      <c r="RRK231" s="1"/>
      <c r="RRL231" s="1"/>
      <c r="RRM231" s="1"/>
      <c r="RRN231" s="1"/>
      <c r="RRO231" s="1"/>
      <c r="RRP231" s="1"/>
      <c r="RRQ231" s="1"/>
      <c r="RRR231" s="1"/>
      <c r="RRS231" s="1"/>
      <c r="RRT231" s="1"/>
      <c r="RRU231" s="1"/>
      <c r="RRV231" s="1"/>
      <c r="RRW231" s="1"/>
      <c r="RRX231" s="1"/>
      <c r="RRY231" s="1"/>
      <c r="RRZ231" s="1"/>
      <c r="RSA231" s="1"/>
      <c r="RSB231" s="1"/>
      <c r="RSC231" s="1"/>
      <c r="RSD231" s="1"/>
      <c r="RSE231" s="1"/>
      <c r="RSF231" s="1"/>
      <c r="RSG231" s="1"/>
      <c r="RSH231" s="1"/>
      <c r="RSI231" s="1"/>
      <c r="RSJ231" s="1"/>
      <c r="RSK231" s="1"/>
      <c r="RSL231" s="1"/>
      <c r="RSM231" s="1"/>
      <c r="RSN231" s="1"/>
      <c r="RSO231" s="1"/>
      <c r="RSP231" s="1"/>
      <c r="RSQ231" s="1"/>
      <c r="RSR231" s="1"/>
      <c r="RSS231" s="1"/>
      <c r="RST231" s="1"/>
      <c r="RSU231" s="1"/>
      <c r="RSV231" s="1"/>
      <c r="RSW231" s="1"/>
      <c r="RSX231" s="1"/>
      <c r="RSY231" s="1"/>
      <c r="RSZ231" s="1"/>
      <c r="RTA231" s="1"/>
      <c r="RTB231" s="1"/>
      <c r="RTC231" s="1"/>
      <c r="RTD231" s="1"/>
      <c r="RTE231" s="1"/>
      <c r="RTF231" s="1"/>
      <c r="RTG231" s="1"/>
      <c r="RTH231" s="1"/>
      <c r="RTI231" s="1"/>
      <c r="RTJ231" s="1"/>
      <c r="RTK231" s="1"/>
      <c r="RTL231" s="1"/>
      <c r="RTM231" s="1"/>
      <c r="RTN231" s="1"/>
      <c r="RTO231" s="1"/>
      <c r="RTP231" s="1"/>
      <c r="RTQ231" s="1"/>
      <c r="RTR231" s="1"/>
      <c r="RTS231" s="1"/>
      <c r="RTT231" s="1"/>
      <c r="RTU231" s="1"/>
      <c r="RTV231" s="1"/>
      <c r="RTW231" s="1"/>
      <c r="RTX231" s="1"/>
      <c r="RTY231" s="1"/>
      <c r="RTZ231" s="1"/>
      <c r="RUA231" s="1"/>
      <c r="RUB231" s="1"/>
      <c r="RUC231" s="1"/>
      <c r="RUD231" s="1"/>
      <c r="RUE231" s="1"/>
      <c r="RUF231" s="1"/>
      <c r="RUG231" s="1"/>
      <c r="RUH231" s="1"/>
      <c r="RUI231" s="1"/>
      <c r="RUJ231" s="1"/>
      <c r="RUK231" s="1"/>
      <c r="RUL231" s="1"/>
      <c r="RUM231" s="1"/>
      <c r="RUN231" s="1"/>
      <c r="RUO231" s="1"/>
      <c r="RUP231" s="1"/>
      <c r="RUQ231" s="1"/>
      <c r="RUR231" s="1"/>
      <c r="RUS231" s="1"/>
      <c r="RUT231" s="1"/>
      <c r="RUU231" s="1"/>
      <c r="RUV231" s="1"/>
      <c r="RUW231" s="1"/>
      <c r="RUX231" s="1"/>
      <c r="RUY231" s="1"/>
      <c r="RUZ231" s="1"/>
      <c r="RVA231" s="1"/>
      <c r="RVB231" s="1"/>
      <c r="RVC231" s="1"/>
      <c r="RVD231" s="1"/>
      <c r="RVE231" s="1"/>
      <c r="RVF231" s="1"/>
      <c r="RVG231" s="1"/>
      <c r="RVH231" s="1"/>
      <c r="RVI231" s="1"/>
      <c r="RVJ231" s="1"/>
      <c r="RVK231" s="1"/>
      <c r="RVL231" s="1"/>
      <c r="RVM231" s="1"/>
      <c r="RVN231" s="1"/>
      <c r="RVO231" s="1"/>
      <c r="RVP231" s="1"/>
      <c r="RVQ231" s="1"/>
      <c r="RVR231" s="1"/>
      <c r="RVS231" s="1"/>
      <c r="RVT231" s="1"/>
      <c r="RVU231" s="1"/>
      <c r="RVV231" s="1"/>
      <c r="RVW231" s="1"/>
      <c r="RVX231" s="1"/>
      <c r="RVY231" s="1"/>
      <c r="RVZ231" s="1"/>
      <c r="RWA231" s="1"/>
      <c r="RWB231" s="1"/>
      <c r="RWC231" s="1"/>
      <c r="RWD231" s="1"/>
      <c r="RWE231" s="1"/>
      <c r="RWF231" s="1"/>
      <c r="RWG231" s="1"/>
      <c r="RWH231" s="1"/>
      <c r="RWI231" s="1"/>
      <c r="RWJ231" s="1"/>
      <c r="RWK231" s="1"/>
      <c r="RWL231" s="1"/>
      <c r="RWM231" s="1"/>
      <c r="RWN231" s="1"/>
      <c r="RWO231" s="1"/>
      <c r="RWP231" s="1"/>
      <c r="RWQ231" s="1"/>
      <c r="RWR231" s="1"/>
      <c r="RWS231" s="1"/>
      <c r="RWT231" s="1"/>
      <c r="RWU231" s="1"/>
      <c r="RWV231" s="1"/>
      <c r="RWW231" s="1"/>
      <c r="RWX231" s="1"/>
      <c r="RWY231" s="1"/>
      <c r="RWZ231" s="1"/>
      <c r="RXA231" s="1"/>
      <c r="RXB231" s="1"/>
      <c r="RXC231" s="1"/>
      <c r="RXD231" s="1"/>
      <c r="RXE231" s="1"/>
      <c r="RXF231" s="1"/>
      <c r="RXG231" s="1"/>
      <c r="RXH231" s="1"/>
      <c r="RXI231" s="1"/>
      <c r="RXJ231" s="1"/>
      <c r="RXK231" s="1"/>
      <c r="RXL231" s="1"/>
      <c r="RXM231" s="1"/>
      <c r="RXN231" s="1"/>
      <c r="RXO231" s="1"/>
      <c r="RXP231" s="1"/>
      <c r="RXQ231" s="1"/>
      <c r="RXR231" s="1"/>
      <c r="RXS231" s="1"/>
      <c r="RXT231" s="1"/>
      <c r="RXU231" s="1"/>
      <c r="RXV231" s="1"/>
      <c r="RXW231" s="1"/>
      <c r="RXX231" s="1"/>
      <c r="RXY231" s="1"/>
      <c r="RXZ231" s="1"/>
      <c r="RYA231" s="1"/>
      <c r="RYB231" s="1"/>
      <c r="RYC231" s="1"/>
      <c r="RYD231" s="1"/>
      <c r="RYE231" s="1"/>
      <c r="RYF231" s="1"/>
      <c r="RYG231" s="1"/>
      <c r="RYH231" s="1"/>
      <c r="RYI231" s="1"/>
      <c r="RYJ231" s="1"/>
      <c r="RYK231" s="1"/>
      <c r="RYL231" s="1"/>
      <c r="RYM231" s="1"/>
      <c r="RYN231" s="1"/>
      <c r="RYO231" s="1"/>
      <c r="RYP231" s="1"/>
      <c r="RYQ231" s="1"/>
      <c r="RYR231" s="1"/>
      <c r="RYS231" s="1"/>
      <c r="RYT231" s="1"/>
      <c r="RYU231" s="1"/>
      <c r="RYV231" s="1"/>
      <c r="RYW231" s="1"/>
      <c r="RYX231" s="1"/>
      <c r="RYY231" s="1"/>
      <c r="RYZ231" s="1"/>
      <c r="RZA231" s="1"/>
      <c r="RZB231" s="1"/>
      <c r="RZC231" s="1"/>
      <c r="RZD231" s="1"/>
      <c r="RZE231" s="1"/>
      <c r="RZF231" s="1"/>
      <c r="RZG231" s="1"/>
      <c r="RZH231" s="1"/>
      <c r="RZI231" s="1"/>
      <c r="RZJ231" s="1"/>
      <c r="RZK231" s="1"/>
      <c r="RZL231" s="1"/>
      <c r="RZM231" s="1"/>
      <c r="RZN231" s="1"/>
      <c r="RZO231" s="1"/>
      <c r="RZP231" s="1"/>
      <c r="RZQ231" s="1"/>
      <c r="RZR231" s="1"/>
      <c r="RZS231" s="1"/>
      <c r="RZT231" s="1"/>
      <c r="RZU231" s="1"/>
      <c r="RZV231" s="1"/>
      <c r="RZW231" s="1"/>
      <c r="RZX231" s="1"/>
      <c r="RZY231" s="1"/>
      <c r="RZZ231" s="1"/>
      <c r="SAA231" s="1"/>
      <c r="SAB231" s="1"/>
      <c r="SAC231" s="1"/>
      <c r="SAD231" s="1"/>
      <c r="SAE231" s="1"/>
      <c r="SAF231" s="1"/>
      <c r="SAG231" s="1"/>
      <c r="SAH231" s="1"/>
      <c r="SAI231" s="1"/>
      <c r="SAJ231" s="1"/>
      <c r="SAK231" s="1"/>
      <c r="SAL231" s="1"/>
      <c r="SAM231" s="1"/>
      <c r="SAN231" s="1"/>
      <c r="SAO231" s="1"/>
      <c r="SAP231" s="1"/>
      <c r="SAQ231" s="1"/>
      <c r="SAR231" s="1"/>
      <c r="SAS231" s="1"/>
      <c r="SAT231" s="1"/>
      <c r="SAU231" s="1"/>
      <c r="SAV231" s="1"/>
      <c r="SAW231" s="1"/>
      <c r="SAX231" s="1"/>
      <c r="SAY231" s="1"/>
      <c r="SAZ231" s="1"/>
      <c r="SBA231" s="1"/>
      <c r="SBB231" s="1"/>
      <c r="SBC231" s="1"/>
      <c r="SBD231" s="1"/>
      <c r="SBE231" s="1"/>
      <c r="SBF231" s="1"/>
      <c r="SBG231" s="1"/>
      <c r="SBH231" s="1"/>
      <c r="SBI231" s="1"/>
      <c r="SBJ231" s="1"/>
      <c r="SBK231" s="1"/>
      <c r="SBL231" s="1"/>
      <c r="SBM231" s="1"/>
      <c r="SBN231" s="1"/>
      <c r="SBO231" s="1"/>
      <c r="SBP231" s="1"/>
      <c r="SBQ231" s="1"/>
      <c r="SBR231" s="1"/>
      <c r="SBS231" s="1"/>
      <c r="SBT231" s="1"/>
      <c r="SBU231" s="1"/>
      <c r="SBV231" s="1"/>
      <c r="SBW231" s="1"/>
      <c r="SBX231" s="1"/>
      <c r="SBY231" s="1"/>
      <c r="SBZ231" s="1"/>
      <c r="SCA231" s="1"/>
      <c r="SCB231" s="1"/>
      <c r="SCC231" s="1"/>
      <c r="SCD231" s="1"/>
      <c r="SCE231" s="1"/>
      <c r="SCF231" s="1"/>
      <c r="SCG231" s="1"/>
      <c r="SCH231" s="1"/>
      <c r="SCI231" s="1"/>
      <c r="SCJ231" s="1"/>
      <c r="SCK231" s="1"/>
      <c r="SCL231" s="1"/>
      <c r="SCM231" s="1"/>
      <c r="SCN231" s="1"/>
      <c r="SCO231" s="1"/>
      <c r="SCP231" s="1"/>
      <c r="SCQ231" s="1"/>
      <c r="SCR231" s="1"/>
      <c r="SCS231" s="1"/>
      <c r="SCT231" s="1"/>
      <c r="SCU231" s="1"/>
      <c r="SCV231" s="1"/>
      <c r="SCW231" s="1"/>
      <c r="SCX231" s="1"/>
      <c r="SCY231" s="1"/>
      <c r="SCZ231" s="1"/>
      <c r="SDA231" s="1"/>
      <c r="SDB231" s="1"/>
      <c r="SDC231" s="1"/>
      <c r="SDD231" s="1"/>
      <c r="SDE231" s="1"/>
      <c r="SDF231" s="1"/>
      <c r="SDG231" s="1"/>
      <c r="SDH231" s="1"/>
      <c r="SDI231" s="1"/>
      <c r="SDJ231" s="1"/>
      <c r="SDK231" s="1"/>
      <c r="SDL231" s="1"/>
      <c r="SDM231" s="1"/>
      <c r="SDN231" s="1"/>
      <c r="SDO231" s="1"/>
      <c r="SDP231" s="1"/>
      <c r="SDQ231" s="1"/>
      <c r="SDR231" s="1"/>
      <c r="SDS231" s="1"/>
      <c r="SDT231" s="1"/>
      <c r="SDU231" s="1"/>
      <c r="SDV231" s="1"/>
      <c r="SDW231" s="1"/>
      <c r="SDX231" s="1"/>
      <c r="SDY231" s="1"/>
      <c r="SDZ231" s="1"/>
      <c r="SEA231" s="1"/>
      <c r="SEB231" s="1"/>
      <c r="SEC231" s="1"/>
      <c r="SED231" s="1"/>
      <c r="SEE231" s="1"/>
      <c r="SEF231" s="1"/>
      <c r="SEG231" s="1"/>
      <c r="SEH231" s="1"/>
      <c r="SEI231" s="1"/>
      <c r="SEJ231" s="1"/>
      <c r="SEK231" s="1"/>
      <c r="SEL231" s="1"/>
      <c r="SEM231" s="1"/>
      <c r="SEN231" s="1"/>
      <c r="SEO231" s="1"/>
      <c r="SEP231" s="1"/>
      <c r="SEQ231" s="1"/>
      <c r="SER231" s="1"/>
      <c r="SES231" s="1"/>
      <c r="SET231" s="1"/>
      <c r="SEU231" s="1"/>
      <c r="SEV231" s="1"/>
      <c r="SEW231" s="1"/>
      <c r="SEX231" s="1"/>
      <c r="SEY231" s="1"/>
      <c r="SEZ231" s="1"/>
      <c r="SFA231" s="1"/>
      <c r="SFB231" s="1"/>
      <c r="SFC231" s="1"/>
      <c r="SFD231" s="1"/>
      <c r="SFE231" s="1"/>
      <c r="SFF231" s="1"/>
      <c r="SFG231" s="1"/>
      <c r="SFH231" s="1"/>
      <c r="SFI231" s="1"/>
      <c r="SFJ231" s="1"/>
      <c r="SFK231" s="1"/>
      <c r="SFL231" s="1"/>
      <c r="SFM231" s="1"/>
      <c r="SFN231" s="1"/>
      <c r="SFO231" s="1"/>
      <c r="SFP231" s="1"/>
      <c r="SFQ231" s="1"/>
      <c r="SFR231" s="1"/>
      <c r="SFS231" s="1"/>
      <c r="SFT231" s="1"/>
      <c r="SFU231" s="1"/>
      <c r="SFV231" s="1"/>
      <c r="SFW231" s="1"/>
      <c r="SFX231" s="1"/>
      <c r="SFY231" s="1"/>
      <c r="SFZ231" s="1"/>
      <c r="SGA231" s="1"/>
      <c r="SGB231" s="1"/>
      <c r="SGC231" s="1"/>
      <c r="SGD231" s="1"/>
      <c r="SGE231" s="1"/>
      <c r="SGF231" s="1"/>
      <c r="SGG231" s="1"/>
      <c r="SGH231" s="1"/>
      <c r="SGI231" s="1"/>
      <c r="SGJ231" s="1"/>
      <c r="SGK231" s="1"/>
      <c r="SGL231" s="1"/>
      <c r="SGM231" s="1"/>
      <c r="SGN231" s="1"/>
      <c r="SGO231" s="1"/>
      <c r="SGP231" s="1"/>
      <c r="SGQ231" s="1"/>
      <c r="SGR231" s="1"/>
      <c r="SGS231" s="1"/>
      <c r="SGT231" s="1"/>
      <c r="SGU231" s="1"/>
      <c r="SGV231" s="1"/>
      <c r="SGW231" s="1"/>
      <c r="SGX231" s="1"/>
      <c r="SGY231" s="1"/>
      <c r="SGZ231" s="1"/>
      <c r="SHA231" s="1"/>
      <c r="SHB231" s="1"/>
      <c r="SHC231" s="1"/>
      <c r="SHD231" s="1"/>
      <c r="SHE231" s="1"/>
      <c r="SHF231" s="1"/>
      <c r="SHG231" s="1"/>
      <c r="SHH231" s="1"/>
      <c r="SHI231" s="1"/>
      <c r="SHJ231" s="1"/>
      <c r="SHK231" s="1"/>
      <c r="SHL231" s="1"/>
      <c r="SHM231" s="1"/>
      <c r="SHN231" s="1"/>
      <c r="SHO231" s="1"/>
      <c r="SHP231" s="1"/>
      <c r="SHQ231" s="1"/>
      <c r="SHR231" s="1"/>
      <c r="SHS231" s="1"/>
      <c r="SHT231" s="1"/>
      <c r="SHU231" s="1"/>
      <c r="SHV231" s="1"/>
      <c r="SHW231" s="1"/>
      <c r="SHX231" s="1"/>
      <c r="SHY231" s="1"/>
      <c r="SHZ231" s="1"/>
      <c r="SIA231" s="1"/>
      <c r="SIB231" s="1"/>
      <c r="SIC231" s="1"/>
      <c r="SID231" s="1"/>
      <c r="SIE231" s="1"/>
      <c r="SIF231" s="1"/>
      <c r="SIG231" s="1"/>
      <c r="SIH231" s="1"/>
      <c r="SII231" s="1"/>
      <c r="SIJ231" s="1"/>
      <c r="SIK231" s="1"/>
      <c r="SIL231" s="1"/>
      <c r="SIM231" s="1"/>
      <c r="SIN231" s="1"/>
      <c r="SIO231" s="1"/>
      <c r="SIP231" s="1"/>
      <c r="SIQ231" s="1"/>
      <c r="SIR231" s="1"/>
      <c r="SIS231" s="1"/>
      <c r="SIT231" s="1"/>
      <c r="SIU231" s="1"/>
      <c r="SIV231" s="1"/>
      <c r="SIW231" s="1"/>
      <c r="SIX231" s="1"/>
      <c r="SIY231" s="1"/>
      <c r="SIZ231" s="1"/>
      <c r="SJA231" s="1"/>
      <c r="SJB231" s="1"/>
      <c r="SJC231" s="1"/>
      <c r="SJD231" s="1"/>
      <c r="SJE231" s="1"/>
      <c r="SJF231" s="1"/>
      <c r="SJG231" s="1"/>
      <c r="SJH231" s="1"/>
      <c r="SJI231" s="1"/>
      <c r="SJJ231" s="1"/>
      <c r="SJK231" s="1"/>
      <c r="SJL231" s="1"/>
      <c r="SJM231" s="1"/>
      <c r="SJN231" s="1"/>
      <c r="SJO231" s="1"/>
      <c r="SJP231" s="1"/>
      <c r="SJQ231" s="1"/>
      <c r="SJR231" s="1"/>
      <c r="SJS231" s="1"/>
      <c r="SJT231" s="1"/>
      <c r="SJU231" s="1"/>
      <c r="SJV231" s="1"/>
      <c r="SJW231" s="1"/>
      <c r="SJX231" s="1"/>
      <c r="SJY231" s="1"/>
      <c r="SJZ231" s="1"/>
      <c r="SKA231" s="1"/>
      <c r="SKB231" s="1"/>
      <c r="SKC231" s="1"/>
      <c r="SKD231" s="1"/>
      <c r="SKE231" s="1"/>
      <c r="SKF231" s="1"/>
      <c r="SKG231" s="1"/>
      <c r="SKH231" s="1"/>
      <c r="SKI231" s="1"/>
      <c r="SKJ231" s="1"/>
      <c r="SKK231" s="1"/>
      <c r="SKL231" s="1"/>
      <c r="SKM231" s="1"/>
      <c r="SKN231" s="1"/>
      <c r="SKO231" s="1"/>
      <c r="SKP231" s="1"/>
      <c r="SKQ231" s="1"/>
      <c r="SKR231" s="1"/>
      <c r="SKS231" s="1"/>
      <c r="SKT231" s="1"/>
      <c r="SKU231" s="1"/>
      <c r="SKV231" s="1"/>
      <c r="SKW231" s="1"/>
      <c r="SKX231" s="1"/>
      <c r="SKY231" s="1"/>
      <c r="SKZ231" s="1"/>
      <c r="SLA231" s="1"/>
      <c r="SLB231" s="1"/>
      <c r="SLC231" s="1"/>
      <c r="SLD231" s="1"/>
      <c r="SLE231" s="1"/>
      <c r="SLF231" s="1"/>
      <c r="SLG231" s="1"/>
      <c r="SLH231" s="1"/>
      <c r="SLI231" s="1"/>
      <c r="SLJ231" s="1"/>
      <c r="SLK231" s="1"/>
      <c r="SLL231" s="1"/>
      <c r="SLM231" s="1"/>
      <c r="SLN231" s="1"/>
      <c r="SLO231" s="1"/>
      <c r="SLP231" s="1"/>
      <c r="SLQ231" s="1"/>
      <c r="SLR231" s="1"/>
      <c r="SLS231" s="1"/>
      <c r="SLT231" s="1"/>
      <c r="SLU231" s="1"/>
      <c r="SLV231" s="1"/>
      <c r="SLW231" s="1"/>
      <c r="SLX231" s="1"/>
      <c r="SLY231" s="1"/>
      <c r="SLZ231" s="1"/>
      <c r="SMA231" s="1"/>
      <c r="SMB231" s="1"/>
      <c r="SMC231" s="1"/>
      <c r="SMD231" s="1"/>
      <c r="SME231" s="1"/>
      <c r="SMF231" s="1"/>
      <c r="SMG231" s="1"/>
      <c r="SMH231" s="1"/>
      <c r="SMI231" s="1"/>
      <c r="SMJ231" s="1"/>
      <c r="SMK231" s="1"/>
      <c r="SML231" s="1"/>
      <c r="SMM231" s="1"/>
      <c r="SMN231" s="1"/>
      <c r="SMO231" s="1"/>
      <c r="SMP231" s="1"/>
      <c r="SMQ231" s="1"/>
      <c r="SMR231" s="1"/>
      <c r="SMS231" s="1"/>
      <c r="SMT231" s="1"/>
      <c r="SMU231" s="1"/>
      <c r="SMV231" s="1"/>
      <c r="SMW231" s="1"/>
      <c r="SMX231" s="1"/>
      <c r="SMY231" s="1"/>
      <c r="SMZ231" s="1"/>
      <c r="SNA231" s="1"/>
      <c r="SNB231" s="1"/>
      <c r="SNC231" s="1"/>
      <c r="SND231" s="1"/>
      <c r="SNE231" s="1"/>
      <c r="SNF231" s="1"/>
      <c r="SNG231" s="1"/>
      <c r="SNH231" s="1"/>
      <c r="SNI231" s="1"/>
      <c r="SNJ231" s="1"/>
      <c r="SNK231" s="1"/>
      <c r="SNL231" s="1"/>
      <c r="SNM231" s="1"/>
      <c r="SNN231" s="1"/>
      <c r="SNO231" s="1"/>
      <c r="SNP231" s="1"/>
      <c r="SNQ231" s="1"/>
      <c r="SNR231" s="1"/>
      <c r="SNS231" s="1"/>
      <c r="SNT231" s="1"/>
      <c r="SNU231" s="1"/>
      <c r="SNV231" s="1"/>
      <c r="SNW231" s="1"/>
      <c r="SNX231" s="1"/>
      <c r="SNY231" s="1"/>
      <c r="SNZ231" s="1"/>
      <c r="SOA231" s="1"/>
      <c r="SOB231" s="1"/>
      <c r="SOC231" s="1"/>
      <c r="SOD231" s="1"/>
      <c r="SOE231" s="1"/>
      <c r="SOF231" s="1"/>
      <c r="SOG231" s="1"/>
      <c r="SOH231" s="1"/>
      <c r="SOI231" s="1"/>
      <c r="SOJ231" s="1"/>
      <c r="SOK231" s="1"/>
      <c r="SOL231" s="1"/>
      <c r="SOM231" s="1"/>
      <c r="SON231" s="1"/>
      <c r="SOO231" s="1"/>
      <c r="SOP231" s="1"/>
      <c r="SOQ231" s="1"/>
      <c r="SOR231" s="1"/>
      <c r="SOS231" s="1"/>
      <c r="SOT231" s="1"/>
      <c r="SOU231" s="1"/>
      <c r="SOV231" s="1"/>
      <c r="SOW231" s="1"/>
      <c r="SOX231" s="1"/>
      <c r="SOY231" s="1"/>
      <c r="SOZ231" s="1"/>
      <c r="SPA231" s="1"/>
      <c r="SPB231" s="1"/>
      <c r="SPC231" s="1"/>
      <c r="SPD231" s="1"/>
      <c r="SPE231" s="1"/>
      <c r="SPF231" s="1"/>
      <c r="SPG231" s="1"/>
      <c r="SPH231" s="1"/>
      <c r="SPI231" s="1"/>
      <c r="SPJ231" s="1"/>
      <c r="SPK231" s="1"/>
      <c r="SPL231" s="1"/>
      <c r="SPM231" s="1"/>
      <c r="SPN231" s="1"/>
      <c r="SPO231" s="1"/>
      <c r="SPP231" s="1"/>
      <c r="SPQ231" s="1"/>
      <c r="SPR231" s="1"/>
      <c r="SPS231" s="1"/>
      <c r="SPT231" s="1"/>
      <c r="SPU231" s="1"/>
      <c r="SPV231" s="1"/>
      <c r="SPW231" s="1"/>
      <c r="SPX231" s="1"/>
      <c r="SPY231" s="1"/>
      <c r="SPZ231" s="1"/>
      <c r="SQA231" s="1"/>
      <c r="SQB231" s="1"/>
      <c r="SQC231" s="1"/>
      <c r="SQD231" s="1"/>
      <c r="SQE231" s="1"/>
      <c r="SQF231" s="1"/>
      <c r="SQG231" s="1"/>
      <c r="SQH231" s="1"/>
      <c r="SQI231" s="1"/>
      <c r="SQJ231" s="1"/>
      <c r="SQK231" s="1"/>
      <c r="SQL231" s="1"/>
      <c r="SQM231" s="1"/>
      <c r="SQN231" s="1"/>
      <c r="SQO231" s="1"/>
      <c r="SQP231" s="1"/>
      <c r="SQQ231" s="1"/>
      <c r="SQR231" s="1"/>
      <c r="SQS231" s="1"/>
      <c r="SQT231" s="1"/>
      <c r="SQU231" s="1"/>
      <c r="SQV231" s="1"/>
      <c r="SQW231" s="1"/>
      <c r="SQX231" s="1"/>
      <c r="SQY231" s="1"/>
      <c r="SQZ231" s="1"/>
      <c r="SRA231" s="1"/>
      <c r="SRB231" s="1"/>
      <c r="SRC231" s="1"/>
      <c r="SRD231" s="1"/>
      <c r="SRE231" s="1"/>
      <c r="SRF231" s="1"/>
      <c r="SRG231" s="1"/>
      <c r="SRH231" s="1"/>
      <c r="SRI231" s="1"/>
      <c r="SRJ231" s="1"/>
      <c r="SRK231" s="1"/>
      <c r="SRL231" s="1"/>
      <c r="SRM231" s="1"/>
      <c r="SRN231" s="1"/>
      <c r="SRO231" s="1"/>
      <c r="SRP231" s="1"/>
      <c r="SRQ231" s="1"/>
      <c r="SRR231" s="1"/>
      <c r="SRS231" s="1"/>
      <c r="SRT231" s="1"/>
      <c r="SRU231" s="1"/>
      <c r="SRV231" s="1"/>
      <c r="SRW231" s="1"/>
      <c r="SRX231" s="1"/>
      <c r="SRY231" s="1"/>
      <c r="SRZ231" s="1"/>
      <c r="SSA231" s="1"/>
      <c r="SSB231" s="1"/>
      <c r="SSC231" s="1"/>
      <c r="SSD231" s="1"/>
      <c r="SSE231" s="1"/>
      <c r="SSF231" s="1"/>
      <c r="SSG231" s="1"/>
      <c r="SSH231" s="1"/>
      <c r="SSI231" s="1"/>
      <c r="SSJ231" s="1"/>
      <c r="SSK231" s="1"/>
      <c r="SSL231" s="1"/>
      <c r="SSM231" s="1"/>
      <c r="SSN231" s="1"/>
      <c r="SSO231" s="1"/>
      <c r="SSP231" s="1"/>
      <c r="SSQ231" s="1"/>
      <c r="SSR231" s="1"/>
      <c r="SSS231" s="1"/>
      <c r="SST231" s="1"/>
      <c r="SSU231" s="1"/>
      <c r="SSV231" s="1"/>
      <c r="SSW231" s="1"/>
      <c r="SSX231" s="1"/>
      <c r="SSY231" s="1"/>
      <c r="SSZ231" s="1"/>
      <c r="STA231" s="1"/>
      <c r="STB231" s="1"/>
      <c r="STC231" s="1"/>
      <c r="STD231" s="1"/>
      <c r="STE231" s="1"/>
      <c r="STF231" s="1"/>
      <c r="STG231" s="1"/>
      <c r="STH231" s="1"/>
      <c r="STI231" s="1"/>
      <c r="STJ231" s="1"/>
      <c r="STK231" s="1"/>
      <c r="STL231" s="1"/>
      <c r="STM231" s="1"/>
      <c r="STN231" s="1"/>
      <c r="STO231" s="1"/>
      <c r="STP231" s="1"/>
      <c r="STQ231" s="1"/>
      <c r="STR231" s="1"/>
      <c r="STS231" s="1"/>
      <c r="STT231" s="1"/>
      <c r="STU231" s="1"/>
      <c r="STV231" s="1"/>
      <c r="STW231" s="1"/>
      <c r="STX231" s="1"/>
      <c r="STY231" s="1"/>
      <c r="STZ231" s="1"/>
      <c r="SUA231" s="1"/>
      <c r="SUB231" s="1"/>
      <c r="SUC231" s="1"/>
      <c r="SUD231" s="1"/>
      <c r="SUE231" s="1"/>
      <c r="SUF231" s="1"/>
      <c r="SUG231" s="1"/>
      <c r="SUH231" s="1"/>
      <c r="SUI231" s="1"/>
      <c r="SUJ231" s="1"/>
      <c r="SUK231" s="1"/>
      <c r="SUL231" s="1"/>
      <c r="SUM231" s="1"/>
      <c r="SUN231" s="1"/>
      <c r="SUO231" s="1"/>
      <c r="SUP231" s="1"/>
      <c r="SUQ231" s="1"/>
      <c r="SUR231" s="1"/>
      <c r="SUS231" s="1"/>
      <c r="SUT231" s="1"/>
      <c r="SUU231" s="1"/>
      <c r="SUV231" s="1"/>
      <c r="SUW231" s="1"/>
      <c r="SUX231" s="1"/>
      <c r="SUY231" s="1"/>
      <c r="SUZ231" s="1"/>
      <c r="SVA231" s="1"/>
      <c r="SVB231" s="1"/>
      <c r="SVC231" s="1"/>
      <c r="SVD231" s="1"/>
      <c r="SVE231" s="1"/>
      <c r="SVF231" s="1"/>
      <c r="SVG231" s="1"/>
      <c r="SVH231" s="1"/>
      <c r="SVI231" s="1"/>
      <c r="SVJ231" s="1"/>
      <c r="SVK231" s="1"/>
      <c r="SVL231" s="1"/>
      <c r="SVM231" s="1"/>
      <c r="SVN231" s="1"/>
      <c r="SVO231" s="1"/>
      <c r="SVP231" s="1"/>
      <c r="SVQ231" s="1"/>
      <c r="SVR231" s="1"/>
      <c r="SVS231" s="1"/>
      <c r="SVT231" s="1"/>
      <c r="SVU231" s="1"/>
      <c r="SVV231" s="1"/>
      <c r="SVW231" s="1"/>
      <c r="SVX231" s="1"/>
      <c r="SVY231" s="1"/>
      <c r="SVZ231" s="1"/>
      <c r="SWA231" s="1"/>
      <c r="SWB231" s="1"/>
      <c r="SWC231" s="1"/>
      <c r="SWD231" s="1"/>
      <c r="SWE231" s="1"/>
      <c r="SWF231" s="1"/>
      <c r="SWG231" s="1"/>
      <c r="SWH231" s="1"/>
      <c r="SWI231" s="1"/>
      <c r="SWJ231" s="1"/>
      <c r="SWK231" s="1"/>
      <c r="SWL231" s="1"/>
      <c r="SWM231" s="1"/>
      <c r="SWN231" s="1"/>
      <c r="SWO231" s="1"/>
      <c r="SWP231" s="1"/>
      <c r="SWQ231" s="1"/>
      <c r="SWR231" s="1"/>
      <c r="SWS231" s="1"/>
      <c r="SWT231" s="1"/>
      <c r="SWU231" s="1"/>
      <c r="SWV231" s="1"/>
      <c r="SWW231" s="1"/>
      <c r="SWX231" s="1"/>
      <c r="SWY231" s="1"/>
      <c r="SWZ231" s="1"/>
      <c r="SXA231" s="1"/>
      <c r="SXB231" s="1"/>
      <c r="SXC231" s="1"/>
      <c r="SXD231" s="1"/>
      <c r="SXE231" s="1"/>
      <c r="SXF231" s="1"/>
      <c r="SXG231" s="1"/>
      <c r="SXH231" s="1"/>
      <c r="SXI231" s="1"/>
      <c r="SXJ231" s="1"/>
      <c r="SXK231" s="1"/>
      <c r="SXL231" s="1"/>
      <c r="SXM231" s="1"/>
      <c r="SXN231" s="1"/>
      <c r="SXO231" s="1"/>
      <c r="SXP231" s="1"/>
      <c r="SXQ231" s="1"/>
      <c r="SXR231" s="1"/>
      <c r="SXS231" s="1"/>
      <c r="SXT231" s="1"/>
      <c r="SXU231" s="1"/>
      <c r="SXV231" s="1"/>
      <c r="SXW231" s="1"/>
      <c r="SXX231" s="1"/>
      <c r="SXY231" s="1"/>
      <c r="SXZ231" s="1"/>
      <c r="SYA231" s="1"/>
      <c r="SYB231" s="1"/>
      <c r="SYC231" s="1"/>
      <c r="SYD231" s="1"/>
      <c r="SYE231" s="1"/>
      <c r="SYF231" s="1"/>
      <c r="SYG231" s="1"/>
      <c r="SYH231" s="1"/>
      <c r="SYI231" s="1"/>
      <c r="SYJ231" s="1"/>
      <c r="SYK231" s="1"/>
      <c r="SYL231" s="1"/>
      <c r="SYM231" s="1"/>
      <c r="SYN231" s="1"/>
      <c r="SYO231" s="1"/>
      <c r="SYP231" s="1"/>
      <c r="SYQ231" s="1"/>
      <c r="SYR231" s="1"/>
      <c r="SYS231" s="1"/>
      <c r="SYT231" s="1"/>
      <c r="SYU231" s="1"/>
      <c r="SYV231" s="1"/>
      <c r="SYW231" s="1"/>
      <c r="SYX231" s="1"/>
      <c r="SYY231" s="1"/>
      <c r="SYZ231" s="1"/>
      <c r="SZA231" s="1"/>
      <c r="SZB231" s="1"/>
      <c r="SZC231" s="1"/>
      <c r="SZD231" s="1"/>
      <c r="SZE231" s="1"/>
      <c r="SZF231" s="1"/>
      <c r="SZG231" s="1"/>
      <c r="SZH231" s="1"/>
      <c r="SZI231" s="1"/>
      <c r="SZJ231" s="1"/>
      <c r="SZK231" s="1"/>
      <c r="SZL231" s="1"/>
      <c r="SZM231" s="1"/>
      <c r="SZN231" s="1"/>
      <c r="SZO231" s="1"/>
      <c r="SZP231" s="1"/>
      <c r="SZQ231" s="1"/>
      <c r="SZR231" s="1"/>
      <c r="SZS231" s="1"/>
      <c r="SZT231" s="1"/>
      <c r="SZU231" s="1"/>
      <c r="SZV231" s="1"/>
      <c r="SZW231" s="1"/>
      <c r="SZX231" s="1"/>
      <c r="SZY231" s="1"/>
      <c r="SZZ231" s="1"/>
      <c r="TAA231" s="1"/>
      <c r="TAB231" s="1"/>
      <c r="TAC231" s="1"/>
      <c r="TAD231" s="1"/>
      <c r="TAE231" s="1"/>
      <c r="TAF231" s="1"/>
      <c r="TAG231" s="1"/>
      <c r="TAH231" s="1"/>
      <c r="TAI231" s="1"/>
      <c r="TAJ231" s="1"/>
      <c r="TAK231" s="1"/>
      <c r="TAL231" s="1"/>
      <c r="TAM231" s="1"/>
      <c r="TAN231" s="1"/>
      <c r="TAO231" s="1"/>
      <c r="TAP231" s="1"/>
      <c r="TAQ231" s="1"/>
      <c r="TAR231" s="1"/>
      <c r="TAS231" s="1"/>
      <c r="TAT231" s="1"/>
      <c r="TAU231" s="1"/>
      <c r="TAV231" s="1"/>
      <c r="TAW231" s="1"/>
      <c r="TAX231" s="1"/>
      <c r="TAY231" s="1"/>
      <c r="TAZ231" s="1"/>
      <c r="TBA231" s="1"/>
      <c r="TBB231" s="1"/>
      <c r="TBC231" s="1"/>
      <c r="TBD231" s="1"/>
      <c r="TBE231" s="1"/>
      <c r="TBF231" s="1"/>
      <c r="TBG231" s="1"/>
      <c r="TBH231" s="1"/>
      <c r="TBI231" s="1"/>
      <c r="TBJ231" s="1"/>
      <c r="TBK231" s="1"/>
      <c r="TBL231" s="1"/>
      <c r="TBM231" s="1"/>
      <c r="TBN231" s="1"/>
      <c r="TBO231" s="1"/>
      <c r="TBP231" s="1"/>
      <c r="TBQ231" s="1"/>
      <c r="TBR231" s="1"/>
      <c r="TBS231" s="1"/>
      <c r="TBT231" s="1"/>
      <c r="TBU231" s="1"/>
      <c r="TBV231" s="1"/>
      <c r="TBW231" s="1"/>
      <c r="TBX231" s="1"/>
      <c r="TBY231" s="1"/>
      <c r="TBZ231" s="1"/>
      <c r="TCA231" s="1"/>
      <c r="TCB231" s="1"/>
      <c r="TCC231" s="1"/>
      <c r="TCD231" s="1"/>
      <c r="TCE231" s="1"/>
      <c r="TCF231" s="1"/>
      <c r="TCG231" s="1"/>
      <c r="TCH231" s="1"/>
      <c r="TCI231" s="1"/>
      <c r="TCJ231" s="1"/>
      <c r="TCK231" s="1"/>
      <c r="TCL231" s="1"/>
      <c r="TCM231" s="1"/>
      <c r="TCN231" s="1"/>
      <c r="TCO231" s="1"/>
      <c r="TCP231" s="1"/>
      <c r="TCQ231" s="1"/>
      <c r="TCR231" s="1"/>
      <c r="TCS231" s="1"/>
      <c r="TCT231" s="1"/>
      <c r="TCU231" s="1"/>
      <c r="TCV231" s="1"/>
      <c r="TCW231" s="1"/>
      <c r="TCX231" s="1"/>
      <c r="TCY231" s="1"/>
      <c r="TCZ231" s="1"/>
      <c r="TDA231" s="1"/>
      <c r="TDB231" s="1"/>
      <c r="TDC231" s="1"/>
      <c r="TDD231" s="1"/>
      <c r="TDE231" s="1"/>
      <c r="TDF231" s="1"/>
      <c r="TDG231" s="1"/>
      <c r="TDH231" s="1"/>
      <c r="TDI231" s="1"/>
      <c r="TDJ231" s="1"/>
      <c r="TDK231" s="1"/>
      <c r="TDL231" s="1"/>
      <c r="TDM231" s="1"/>
      <c r="TDN231" s="1"/>
      <c r="TDO231" s="1"/>
      <c r="TDP231" s="1"/>
      <c r="TDQ231" s="1"/>
      <c r="TDR231" s="1"/>
      <c r="TDS231" s="1"/>
      <c r="TDT231" s="1"/>
      <c r="TDU231" s="1"/>
      <c r="TDV231" s="1"/>
      <c r="TDW231" s="1"/>
      <c r="TDX231" s="1"/>
      <c r="TDY231" s="1"/>
      <c r="TDZ231" s="1"/>
      <c r="TEA231" s="1"/>
      <c r="TEB231" s="1"/>
      <c r="TEC231" s="1"/>
      <c r="TED231" s="1"/>
      <c r="TEE231" s="1"/>
      <c r="TEF231" s="1"/>
      <c r="TEG231" s="1"/>
      <c r="TEH231" s="1"/>
      <c r="TEI231" s="1"/>
      <c r="TEJ231" s="1"/>
      <c r="TEK231" s="1"/>
      <c r="TEL231" s="1"/>
      <c r="TEM231" s="1"/>
      <c r="TEN231" s="1"/>
      <c r="TEO231" s="1"/>
      <c r="TEP231" s="1"/>
      <c r="TEQ231" s="1"/>
      <c r="TER231" s="1"/>
      <c r="TES231" s="1"/>
      <c r="TET231" s="1"/>
      <c r="TEU231" s="1"/>
      <c r="TEV231" s="1"/>
      <c r="TEW231" s="1"/>
      <c r="TEX231" s="1"/>
      <c r="TEY231" s="1"/>
      <c r="TEZ231" s="1"/>
      <c r="TFA231" s="1"/>
      <c r="TFB231" s="1"/>
      <c r="TFC231" s="1"/>
      <c r="TFD231" s="1"/>
      <c r="TFE231" s="1"/>
      <c r="TFF231" s="1"/>
      <c r="TFG231" s="1"/>
      <c r="TFH231" s="1"/>
      <c r="TFI231" s="1"/>
      <c r="TFJ231" s="1"/>
      <c r="TFK231" s="1"/>
      <c r="TFL231" s="1"/>
      <c r="TFM231" s="1"/>
      <c r="TFN231" s="1"/>
      <c r="TFO231" s="1"/>
      <c r="TFP231" s="1"/>
      <c r="TFQ231" s="1"/>
      <c r="TFR231" s="1"/>
      <c r="TFS231" s="1"/>
      <c r="TFT231" s="1"/>
      <c r="TFU231" s="1"/>
      <c r="TFV231" s="1"/>
      <c r="TFW231" s="1"/>
      <c r="TFX231" s="1"/>
      <c r="TFY231" s="1"/>
      <c r="TFZ231" s="1"/>
      <c r="TGA231" s="1"/>
      <c r="TGB231" s="1"/>
      <c r="TGC231" s="1"/>
      <c r="TGD231" s="1"/>
      <c r="TGE231" s="1"/>
      <c r="TGF231" s="1"/>
      <c r="TGG231" s="1"/>
      <c r="TGH231" s="1"/>
      <c r="TGI231" s="1"/>
      <c r="TGJ231" s="1"/>
      <c r="TGK231" s="1"/>
      <c r="TGL231" s="1"/>
      <c r="TGM231" s="1"/>
      <c r="TGN231" s="1"/>
      <c r="TGO231" s="1"/>
      <c r="TGP231" s="1"/>
      <c r="TGQ231" s="1"/>
      <c r="TGR231" s="1"/>
      <c r="TGS231" s="1"/>
      <c r="TGT231" s="1"/>
      <c r="TGU231" s="1"/>
      <c r="TGV231" s="1"/>
      <c r="TGW231" s="1"/>
      <c r="TGX231" s="1"/>
      <c r="TGY231" s="1"/>
      <c r="TGZ231" s="1"/>
      <c r="THA231" s="1"/>
      <c r="THB231" s="1"/>
      <c r="THC231" s="1"/>
      <c r="THD231" s="1"/>
      <c r="THE231" s="1"/>
      <c r="THF231" s="1"/>
      <c r="THG231" s="1"/>
      <c r="THH231" s="1"/>
      <c r="THI231" s="1"/>
      <c r="THJ231" s="1"/>
      <c r="THK231" s="1"/>
      <c r="THL231" s="1"/>
      <c r="THM231" s="1"/>
      <c r="THN231" s="1"/>
      <c r="THO231" s="1"/>
      <c r="THP231" s="1"/>
      <c r="THQ231" s="1"/>
      <c r="THR231" s="1"/>
      <c r="THS231" s="1"/>
      <c r="THT231" s="1"/>
      <c r="THU231" s="1"/>
      <c r="THV231" s="1"/>
      <c r="THW231" s="1"/>
      <c r="THX231" s="1"/>
      <c r="THY231" s="1"/>
      <c r="THZ231" s="1"/>
      <c r="TIA231" s="1"/>
      <c r="TIB231" s="1"/>
      <c r="TIC231" s="1"/>
      <c r="TID231" s="1"/>
      <c r="TIE231" s="1"/>
      <c r="TIF231" s="1"/>
      <c r="TIG231" s="1"/>
      <c r="TIH231" s="1"/>
      <c r="TII231" s="1"/>
      <c r="TIJ231" s="1"/>
      <c r="TIK231" s="1"/>
      <c r="TIL231" s="1"/>
      <c r="TIM231" s="1"/>
      <c r="TIN231" s="1"/>
      <c r="TIO231" s="1"/>
      <c r="TIP231" s="1"/>
      <c r="TIQ231" s="1"/>
      <c r="TIR231" s="1"/>
      <c r="TIS231" s="1"/>
      <c r="TIT231" s="1"/>
      <c r="TIU231" s="1"/>
      <c r="TIV231" s="1"/>
      <c r="TIW231" s="1"/>
      <c r="TIX231" s="1"/>
      <c r="TIY231" s="1"/>
      <c r="TIZ231" s="1"/>
      <c r="TJA231" s="1"/>
      <c r="TJB231" s="1"/>
      <c r="TJC231" s="1"/>
      <c r="TJD231" s="1"/>
      <c r="TJE231" s="1"/>
      <c r="TJF231" s="1"/>
      <c r="TJG231" s="1"/>
      <c r="TJH231" s="1"/>
      <c r="TJI231" s="1"/>
      <c r="TJJ231" s="1"/>
      <c r="TJK231" s="1"/>
      <c r="TJL231" s="1"/>
      <c r="TJM231" s="1"/>
      <c r="TJN231" s="1"/>
      <c r="TJO231" s="1"/>
      <c r="TJP231" s="1"/>
      <c r="TJQ231" s="1"/>
      <c r="TJR231" s="1"/>
      <c r="TJS231" s="1"/>
      <c r="TJT231" s="1"/>
      <c r="TJU231" s="1"/>
      <c r="TJV231" s="1"/>
      <c r="TJW231" s="1"/>
      <c r="TJX231" s="1"/>
      <c r="TJY231" s="1"/>
      <c r="TJZ231" s="1"/>
      <c r="TKA231" s="1"/>
      <c r="TKB231" s="1"/>
      <c r="TKC231" s="1"/>
      <c r="TKD231" s="1"/>
      <c r="TKE231" s="1"/>
      <c r="TKF231" s="1"/>
      <c r="TKG231" s="1"/>
      <c r="TKH231" s="1"/>
      <c r="TKI231" s="1"/>
      <c r="TKJ231" s="1"/>
      <c r="TKK231" s="1"/>
      <c r="TKL231" s="1"/>
      <c r="TKM231" s="1"/>
      <c r="TKN231" s="1"/>
      <c r="TKO231" s="1"/>
      <c r="TKP231" s="1"/>
      <c r="TKQ231" s="1"/>
      <c r="TKR231" s="1"/>
      <c r="TKS231" s="1"/>
      <c r="TKT231" s="1"/>
      <c r="TKU231" s="1"/>
      <c r="TKV231" s="1"/>
      <c r="TKW231" s="1"/>
      <c r="TKX231" s="1"/>
      <c r="TKY231" s="1"/>
      <c r="TKZ231" s="1"/>
      <c r="TLA231" s="1"/>
      <c r="TLB231" s="1"/>
      <c r="TLC231" s="1"/>
      <c r="TLD231" s="1"/>
      <c r="TLE231" s="1"/>
      <c r="TLF231" s="1"/>
      <c r="TLG231" s="1"/>
      <c r="TLH231" s="1"/>
      <c r="TLI231" s="1"/>
      <c r="TLJ231" s="1"/>
      <c r="TLK231" s="1"/>
      <c r="TLL231" s="1"/>
      <c r="TLM231" s="1"/>
      <c r="TLN231" s="1"/>
      <c r="TLO231" s="1"/>
      <c r="TLP231" s="1"/>
      <c r="TLQ231" s="1"/>
      <c r="TLR231" s="1"/>
      <c r="TLS231" s="1"/>
      <c r="TLT231" s="1"/>
      <c r="TLU231" s="1"/>
      <c r="TLV231" s="1"/>
      <c r="TLW231" s="1"/>
      <c r="TLX231" s="1"/>
      <c r="TLY231" s="1"/>
      <c r="TLZ231" s="1"/>
      <c r="TMA231" s="1"/>
      <c r="TMB231" s="1"/>
      <c r="TMC231" s="1"/>
      <c r="TMD231" s="1"/>
      <c r="TME231" s="1"/>
      <c r="TMF231" s="1"/>
      <c r="TMG231" s="1"/>
      <c r="TMH231" s="1"/>
      <c r="TMI231" s="1"/>
      <c r="TMJ231" s="1"/>
      <c r="TMK231" s="1"/>
      <c r="TML231" s="1"/>
      <c r="TMM231" s="1"/>
      <c r="TMN231" s="1"/>
      <c r="TMO231" s="1"/>
      <c r="TMP231" s="1"/>
      <c r="TMQ231" s="1"/>
      <c r="TMR231" s="1"/>
      <c r="TMS231" s="1"/>
      <c r="TMT231" s="1"/>
      <c r="TMU231" s="1"/>
      <c r="TMV231" s="1"/>
      <c r="TMW231" s="1"/>
      <c r="TMX231" s="1"/>
      <c r="TMY231" s="1"/>
      <c r="TMZ231" s="1"/>
      <c r="TNA231" s="1"/>
      <c r="TNB231" s="1"/>
      <c r="TNC231" s="1"/>
      <c r="TND231" s="1"/>
      <c r="TNE231" s="1"/>
      <c r="TNF231" s="1"/>
      <c r="TNG231" s="1"/>
      <c r="TNH231" s="1"/>
      <c r="TNI231" s="1"/>
      <c r="TNJ231" s="1"/>
      <c r="TNK231" s="1"/>
      <c r="TNL231" s="1"/>
      <c r="TNM231" s="1"/>
      <c r="TNN231" s="1"/>
      <c r="TNO231" s="1"/>
      <c r="TNP231" s="1"/>
      <c r="TNQ231" s="1"/>
      <c r="TNR231" s="1"/>
      <c r="TNS231" s="1"/>
      <c r="TNT231" s="1"/>
      <c r="TNU231" s="1"/>
      <c r="TNV231" s="1"/>
      <c r="TNW231" s="1"/>
      <c r="TNX231" s="1"/>
      <c r="TNY231" s="1"/>
      <c r="TNZ231" s="1"/>
      <c r="TOA231" s="1"/>
      <c r="TOB231" s="1"/>
      <c r="TOC231" s="1"/>
      <c r="TOD231" s="1"/>
      <c r="TOE231" s="1"/>
      <c r="TOF231" s="1"/>
      <c r="TOG231" s="1"/>
      <c r="TOH231" s="1"/>
      <c r="TOI231" s="1"/>
      <c r="TOJ231" s="1"/>
      <c r="TOK231" s="1"/>
      <c r="TOL231" s="1"/>
      <c r="TOM231" s="1"/>
      <c r="TON231" s="1"/>
      <c r="TOO231" s="1"/>
      <c r="TOP231" s="1"/>
      <c r="TOQ231" s="1"/>
      <c r="TOR231" s="1"/>
      <c r="TOS231" s="1"/>
      <c r="TOT231" s="1"/>
      <c r="TOU231" s="1"/>
      <c r="TOV231" s="1"/>
      <c r="TOW231" s="1"/>
      <c r="TOX231" s="1"/>
      <c r="TOY231" s="1"/>
      <c r="TOZ231" s="1"/>
      <c r="TPA231" s="1"/>
      <c r="TPB231" s="1"/>
      <c r="TPC231" s="1"/>
      <c r="TPD231" s="1"/>
      <c r="TPE231" s="1"/>
      <c r="TPF231" s="1"/>
      <c r="TPG231" s="1"/>
      <c r="TPH231" s="1"/>
      <c r="TPI231" s="1"/>
      <c r="TPJ231" s="1"/>
      <c r="TPK231" s="1"/>
      <c r="TPL231" s="1"/>
      <c r="TPM231" s="1"/>
      <c r="TPN231" s="1"/>
      <c r="TPO231" s="1"/>
      <c r="TPP231" s="1"/>
      <c r="TPQ231" s="1"/>
      <c r="TPR231" s="1"/>
      <c r="TPS231" s="1"/>
      <c r="TPT231" s="1"/>
      <c r="TPU231" s="1"/>
      <c r="TPV231" s="1"/>
      <c r="TPW231" s="1"/>
      <c r="TPX231" s="1"/>
      <c r="TPY231" s="1"/>
      <c r="TPZ231" s="1"/>
      <c r="TQA231" s="1"/>
      <c r="TQB231" s="1"/>
      <c r="TQC231" s="1"/>
      <c r="TQD231" s="1"/>
      <c r="TQE231" s="1"/>
      <c r="TQF231" s="1"/>
      <c r="TQG231" s="1"/>
      <c r="TQH231" s="1"/>
      <c r="TQI231" s="1"/>
      <c r="TQJ231" s="1"/>
      <c r="TQK231" s="1"/>
      <c r="TQL231" s="1"/>
      <c r="TQM231" s="1"/>
      <c r="TQN231" s="1"/>
      <c r="TQO231" s="1"/>
      <c r="TQP231" s="1"/>
      <c r="TQQ231" s="1"/>
      <c r="TQR231" s="1"/>
      <c r="TQS231" s="1"/>
      <c r="TQT231" s="1"/>
      <c r="TQU231" s="1"/>
      <c r="TQV231" s="1"/>
      <c r="TQW231" s="1"/>
      <c r="TQX231" s="1"/>
      <c r="TQY231" s="1"/>
      <c r="TQZ231" s="1"/>
      <c r="TRA231" s="1"/>
      <c r="TRB231" s="1"/>
      <c r="TRC231" s="1"/>
      <c r="TRD231" s="1"/>
      <c r="TRE231" s="1"/>
      <c r="TRF231" s="1"/>
      <c r="TRG231" s="1"/>
      <c r="TRH231" s="1"/>
      <c r="TRI231" s="1"/>
      <c r="TRJ231" s="1"/>
      <c r="TRK231" s="1"/>
      <c r="TRL231" s="1"/>
      <c r="TRM231" s="1"/>
      <c r="TRN231" s="1"/>
      <c r="TRO231" s="1"/>
      <c r="TRP231" s="1"/>
      <c r="TRQ231" s="1"/>
      <c r="TRR231" s="1"/>
      <c r="TRS231" s="1"/>
      <c r="TRT231" s="1"/>
      <c r="TRU231" s="1"/>
      <c r="TRV231" s="1"/>
      <c r="TRW231" s="1"/>
      <c r="TRX231" s="1"/>
      <c r="TRY231" s="1"/>
      <c r="TRZ231" s="1"/>
      <c r="TSA231" s="1"/>
      <c r="TSB231" s="1"/>
      <c r="TSC231" s="1"/>
      <c r="TSD231" s="1"/>
      <c r="TSE231" s="1"/>
      <c r="TSF231" s="1"/>
      <c r="TSG231" s="1"/>
      <c r="TSH231" s="1"/>
      <c r="TSI231" s="1"/>
      <c r="TSJ231" s="1"/>
      <c r="TSK231" s="1"/>
      <c r="TSL231" s="1"/>
      <c r="TSM231" s="1"/>
      <c r="TSN231" s="1"/>
      <c r="TSO231" s="1"/>
      <c r="TSP231" s="1"/>
      <c r="TSQ231" s="1"/>
      <c r="TSR231" s="1"/>
      <c r="TSS231" s="1"/>
      <c r="TST231" s="1"/>
      <c r="TSU231" s="1"/>
      <c r="TSV231" s="1"/>
      <c r="TSW231" s="1"/>
      <c r="TSX231" s="1"/>
      <c r="TSY231" s="1"/>
      <c r="TSZ231" s="1"/>
      <c r="TTA231" s="1"/>
      <c r="TTB231" s="1"/>
      <c r="TTC231" s="1"/>
      <c r="TTD231" s="1"/>
      <c r="TTE231" s="1"/>
      <c r="TTF231" s="1"/>
      <c r="TTG231" s="1"/>
      <c r="TTH231" s="1"/>
      <c r="TTI231" s="1"/>
      <c r="TTJ231" s="1"/>
      <c r="TTK231" s="1"/>
      <c r="TTL231" s="1"/>
      <c r="TTM231" s="1"/>
      <c r="TTN231" s="1"/>
      <c r="TTO231" s="1"/>
      <c r="TTP231" s="1"/>
      <c r="TTQ231" s="1"/>
      <c r="TTR231" s="1"/>
      <c r="TTS231" s="1"/>
      <c r="TTT231" s="1"/>
      <c r="TTU231" s="1"/>
      <c r="TTV231" s="1"/>
      <c r="TTW231" s="1"/>
      <c r="TTX231" s="1"/>
      <c r="TTY231" s="1"/>
      <c r="TTZ231" s="1"/>
      <c r="TUA231" s="1"/>
      <c r="TUB231" s="1"/>
      <c r="TUC231" s="1"/>
      <c r="TUD231" s="1"/>
      <c r="TUE231" s="1"/>
      <c r="TUF231" s="1"/>
      <c r="TUG231" s="1"/>
      <c r="TUH231" s="1"/>
      <c r="TUI231" s="1"/>
      <c r="TUJ231" s="1"/>
      <c r="TUK231" s="1"/>
      <c r="TUL231" s="1"/>
      <c r="TUM231" s="1"/>
      <c r="TUN231" s="1"/>
      <c r="TUO231" s="1"/>
      <c r="TUP231" s="1"/>
      <c r="TUQ231" s="1"/>
      <c r="TUR231" s="1"/>
      <c r="TUS231" s="1"/>
      <c r="TUT231" s="1"/>
      <c r="TUU231" s="1"/>
      <c r="TUV231" s="1"/>
      <c r="TUW231" s="1"/>
      <c r="TUX231" s="1"/>
      <c r="TUY231" s="1"/>
      <c r="TUZ231" s="1"/>
      <c r="TVA231" s="1"/>
      <c r="TVB231" s="1"/>
      <c r="TVC231" s="1"/>
      <c r="TVD231" s="1"/>
      <c r="TVE231" s="1"/>
      <c r="TVF231" s="1"/>
      <c r="TVG231" s="1"/>
      <c r="TVH231" s="1"/>
      <c r="TVI231" s="1"/>
      <c r="TVJ231" s="1"/>
      <c r="TVK231" s="1"/>
      <c r="TVL231" s="1"/>
      <c r="TVM231" s="1"/>
      <c r="TVN231" s="1"/>
      <c r="TVO231" s="1"/>
      <c r="TVP231" s="1"/>
      <c r="TVQ231" s="1"/>
      <c r="TVR231" s="1"/>
      <c r="TVS231" s="1"/>
      <c r="TVT231" s="1"/>
      <c r="TVU231" s="1"/>
      <c r="TVV231" s="1"/>
      <c r="TVW231" s="1"/>
      <c r="TVX231" s="1"/>
      <c r="TVY231" s="1"/>
      <c r="TVZ231" s="1"/>
      <c r="TWA231" s="1"/>
      <c r="TWB231" s="1"/>
      <c r="TWC231" s="1"/>
      <c r="TWD231" s="1"/>
      <c r="TWE231" s="1"/>
      <c r="TWF231" s="1"/>
      <c r="TWG231" s="1"/>
      <c r="TWH231" s="1"/>
      <c r="TWI231" s="1"/>
      <c r="TWJ231" s="1"/>
      <c r="TWK231" s="1"/>
      <c r="TWL231" s="1"/>
      <c r="TWM231" s="1"/>
      <c r="TWN231" s="1"/>
      <c r="TWO231" s="1"/>
      <c r="TWP231" s="1"/>
      <c r="TWQ231" s="1"/>
      <c r="TWR231" s="1"/>
      <c r="TWS231" s="1"/>
      <c r="TWT231" s="1"/>
      <c r="TWU231" s="1"/>
      <c r="TWV231" s="1"/>
      <c r="TWW231" s="1"/>
      <c r="TWX231" s="1"/>
      <c r="TWY231" s="1"/>
      <c r="TWZ231" s="1"/>
      <c r="TXA231" s="1"/>
      <c r="TXB231" s="1"/>
      <c r="TXC231" s="1"/>
      <c r="TXD231" s="1"/>
      <c r="TXE231" s="1"/>
      <c r="TXF231" s="1"/>
      <c r="TXG231" s="1"/>
      <c r="TXH231" s="1"/>
      <c r="TXI231" s="1"/>
      <c r="TXJ231" s="1"/>
      <c r="TXK231" s="1"/>
      <c r="TXL231" s="1"/>
      <c r="TXM231" s="1"/>
      <c r="TXN231" s="1"/>
      <c r="TXO231" s="1"/>
      <c r="TXP231" s="1"/>
      <c r="TXQ231" s="1"/>
      <c r="TXR231" s="1"/>
      <c r="TXS231" s="1"/>
      <c r="TXT231" s="1"/>
      <c r="TXU231" s="1"/>
      <c r="TXV231" s="1"/>
      <c r="TXW231" s="1"/>
      <c r="TXX231" s="1"/>
      <c r="TXY231" s="1"/>
      <c r="TXZ231" s="1"/>
      <c r="TYA231" s="1"/>
      <c r="TYB231" s="1"/>
      <c r="TYC231" s="1"/>
      <c r="TYD231" s="1"/>
      <c r="TYE231" s="1"/>
      <c r="TYF231" s="1"/>
      <c r="TYG231" s="1"/>
      <c r="TYH231" s="1"/>
      <c r="TYI231" s="1"/>
      <c r="TYJ231" s="1"/>
      <c r="TYK231" s="1"/>
      <c r="TYL231" s="1"/>
      <c r="TYM231" s="1"/>
      <c r="TYN231" s="1"/>
      <c r="TYO231" s="1"/>
      <c r="TYP231" s="1"/>
      <c r="TYQ231" s="1"/>
      <c r="TYR231" s="1"/>
      <c r="TYS231" s="1"/>
      <c r="TYT231" s="1"/>
      <c r="TYU231" s="1"/>
      <c r="TYV231" s="1"/>
      <c r="TYW231" s="1"/>
      <c r="TYX231" s="1"/>
      <c r="TYY231" s="1"/>
      <c r="TYZ231" s="1"/>
      <c r="TZA231" s="1"/>
      <c r="TZB231" s="1"/>
      <c r="TZC231" s="1"/>
      <c r="TZD231" s="1"/>
      <c r="TZE231" s="1"/>
      <c r="TZF231" s="1"/>
      <c r="TZG231" s="1"/>
      <c r="TZH231" s="1"/>
      <c r="TZI231" s="1"/>
      <c r="TZJ231" s="1"/>
      <c r="TZK231" s="1"/>
      <c r="TZL231" s="1"/>
      <c r="TZM231" s="1"/>
      <c r="TZN231" s="1"/>
      <c r="TZO231" s="1"/>
      <c r="TZP231" s="1"/>
      <c r="TZQ231" s="1"/>
      <c r="TZR231" s="1"/>
      <c r="TZS231" s="1"/>
      <c r="TZT231" s="1"/>
      <c r="TZU231" s="1"/>
      <c r="TZV231" s="1"/>
      <c r="TZW231" s="1"/>
      <c r="TZX231" s="1"/>
      <c r="TZY231" s="1"/>
      <c r="TZZ231" s="1"/>
      <c r="UAA231" s="1"/>
      <c r="UAB231" s="1"/>
      <c r="UAC231" s="1"/>
      <c r="UAD231" s="1"/>
      <c r="UAE231" s="1"/>
      <c r="UAF231" s="1"/>
      <c r="UAG231" s="1"/>
      <c r="UAH231" s="1"/>
      <c r="UAI231" s="1"/>
      <c r="UAJ231" s="1"/>
      <c r="UAK231" s="1"/>
      <c r="UAL231" s="1"/>
      <c r="UAM231" s="1"/>
      <c r="UAN231" s="1"/>
      <c r="UAO231" s="1"/>
      <c r="UAP231" s="1"/>
      <c r="UAQ231" s="1"/>
      <c r="UAR231" s="1"/>
      <c r="UAS231" s="1"/>
      <c r="UAT231" s="1"/>
      <c r="UAU231" s="1"/>
      <c r="UAV231" s="1"/>
      <c r="UAW231" s="1"/>
      <c r="UAX231" s="1"/>
      <c r="UAY231" s="1"/>
      <c r="UAZ231" s="1"/>
      <c r="UBA231" s="1"/>
      <c r="UBB231" s="1"/>
      <c r="UBC231" s="1"/>
      <c r="UBD231" s="1"/>
      <c r="UBE231" s="1"/>
      <c r="UBF231" s="1"/>
      <c r="UBG231" s="1"/>
      <c r="UBH231" s="1"/>
      <c r="UBI231" s="1"/>
      <c r="UBJ231" s="1"/>
      <c r="UBK231" s="1"/>
      <c r="UBL231" s="1"/>
      <c r="UBM231" s="1"/>
      <c r="UBN231" s="1"/>
      <c r="UBO231" s="1"/>
      <c r="UBP231" s="1"/>
      <c r="UBQ231" s="1"/>
      <c r="UBR231" s="1"/>
      <c r="UBS231" s="1"/>
      <c r="UBT231" s="1"/>
      <c r="UBU231" s="1"/>
      <c r="UBV231" s="1"/>
      <c r="UBW231" s="1"/>
      <c r="UBX231" s="1"/>
      <c r="UBY231" s="1"/>
      <c r="UBZ231" s="1"/>
      <c r="UCA231" s="1"/>
      <c r="UCB231" s="1"/>
      <c r="UCC231" s="1"/>
      <c r="UCD231" s="1"/>
      <c r="UCE231" s="1"/>
      <c r="UCF231" s="1"/>
      <c r="UCG231" s="1"/>
      <c r="UCH231" s="1"/>
      <c r="UCI231" s="1"/>
      <c r="UCJ231" s="1"/>
      <c r="UCK231" s="1"/>
      <c r="UCL231" s="1"/>
      <c r="UCM231" s="1"/>
      <c r="UCN231" s="1"/>
      <c r="UCO231" s="1"/>
      <c r="UCP231" s="1"/>
      <c r="UCQ231" s="1"/>
      <c r="UCR231" s="1"/>
      <c r="UCS231" s="1"/>
      <c r="UCT231" s="1"/>
      <c r="UCU231" s="1"/>
      <c r="UCV231" s="1"/>
      <c r="UCW231" s="1"/>
      <c r="UCX231" s="1"/>
      <c r="UCY231" s="1"/>
      <c r="UCZ231" s="1"/>
      <c r="UDA231" s="1"/>
      <c r="UDB231" s="1"/>
      <c r="UDC231" s="1"/>
      <c r="UDD231" s="1"/>
      <c r="UDE231" s="1"/>
      <c r="UDF231" s="1"/>
      <c r="UDG231" s="1"/>
      <c r="UDH231" s="1"/>
      <c r="UDI231" s="1"/>
      <c r="UDJ231" s="1"/>
      <c r="UDK231" s="1"/>
      <c r="UDL231" s="1"/>
      <c r="UDM231" s="1"/>
      <c r="UDN231" s="1"/>
      <c r="UDO231" s="1"/>
      <c r="UDP231" s="1"/>
      <c r="UDQ231" s="1"/>
      <c r="UDR231" s="1"/>
      <c r="UDS231" s="1"/>
      <c r="UDT231" s="1"/>
      <c r="UDU231" s="1"/>
      <c r="UDV231" s="1"/>
      <c r="UDW231" s="1"/>
      <c r="UDX231" s="1"/>
      <c r="UDY231" s="1"/>
      <c r="UDZ231" s="1"/>
      <c r="UEA231" s="1"/>
      <c r="UEB231" s="1"/>
      <c r="UEC231" s="1"/>
      <c r="UED231" s="1"/>
      <c r="UEE231" s="1"/>
      <c r="UEF231" s="1"/>
      <c r="UEG231" s="1"/>
      <c r="UEH231" s="1"/>
      <c r="UEI231" s="1"/>
      <c r="UEJ231" s="1"/>
      <c r="UEK231" s="1"/>
      <c r="UEL231" s="1"/>
      <c r="UEM231" s="1"/>
      <c r="UEN231" s="1"/>
      <c r="UEO231" s="1"/>
      <c r="UEP231" s="1"/>
      <c r="UEQ231" s="1"/>
      <c r="UER231" s="1"/>
      <c r="UES231" s="1"/>
      <c r="UET231" s="1"/>
      <c r="UEU231" s="1"/>
      <c r="UEV231" s="1"/>
      <c r="UEW231" s="1"/>
      <c r="UEX231" s="1"/>
      <c r="UEY231" s="1"/>
      <c r="UEZ231" s="1"/>
      <c r="UFA231" s="1"/>
      <c r="UFB231" s="1"/>
      <c r="UFC231" s="1"/>
      <c r="UFD231" s="1"/>
      <c r="UFE231" s="1"/>
      <c r="UFF231" s="1"/>
      <c r="UFG231" s="1"/>
      <c r="UFH231" s="1"/>
      <c r="UFI231" s="1"/>
      <c r="UFJ231" s="1"/>
      <c r="UFK231" s="1"/>
      <c r="UFL231" s="1"/>
      <c r="UFM231" s="1"/>
      <c r="UFN231" s="1"/>
      <c r="UFO231" s="1"/>
      <c r="UFP231" s="1"/>
      <c r="UFQ231" s="1"/>
      <c r="UFR231" s="1"/>
      <c r="UFS231" s="1"/>
      <c r="UFT231" s="1"/>
      <c r="UFU231" s="1"/>
      <c r="UFV231" s="1"/>
      <c r="UFW231" s="1"/>
      <c r="UFX231" s="1"/>
      <c r="UFY231" s="1"/>
      <c r="UFZ231" s="1"/>
      <c r="UGA231" s="1"/>
      <c r="UGB231" s="1"/>
      <c r="UGC231" s="1"/>
      <c r="UGD231" s="1"/>
      <c r="UGE231" s="1"/>
      <c r="UGF231" s="1"/>
      <c r="UGG231" s="1"/>
      <c r="UGH231" s="1"/>
      <c r="UGI231" s="1"/>
      <c r="UGJ231" s="1"/>
      <c r="UGK231" s="1"/>
      <c r="UGL231" s="1"/>
      <c r="UGM231" s="1"/>
      <c r="UGN231" s="1"/>
      <c r="UGO231" s="1"/>
      <c r="UGP231" s="1"/>
      <c r="UGQ231" s="1"/>
      <c r="UGR231" s="1"/>
      <c r="UGS231" s="1"/>
      <c r="UGT231" s="1"/>
      <c r="UGU231" s="1"/>
      <c r="UGV231" s="1"/>
      <c r="UGW231" s="1"/>
      <c r="UGX231" s="1"/>
      <c r="UGY231" s="1"/>
      <c r="UGZ231" s="1"/>
      <c r="UHA231" s="1"/>
      <c r="UHB231" s="1"/>
      <c r="UHC231" s="1"/>
      <c r="UHD231" s="1"/>
      <c r="UHE231" s="1"/>
      <c r="UHF231" s="1"/>
      <c r="UHG231" s="1"/>
      <c r="UHH231" s="1"/>
      <c r="UHI231" s="1"/>
      <c r="UHJ231" s="1"/>
      <c r="UHK231" s="1"/>
      <c r="UHL231" s="1"/>
      <c r="UHM231" s="1"/>
      <c r="UHN231" s="1"/>
      <c r="UHO231" s="1"/>
      <c r="UHP231" s="1"/>
      <c r="UHQ231" s="1"/>
      <c r="UHR231" s="1"/>
      <c r="UHS231" s="1"/>
      <c r="UHT231" s="1"/>
      <c r="UHU231" s="1"/>
      <c r="UHV231" s="1"/>
      <c r="UHW231" s="1"/>
      <c r="UHX231" s="1"/>
      <c r="UHY231" s="1"/>
      <c r="UHZ231" s="1"/>
      <c r="UIA231" s="1"/>
      <c r="UIB231" s="1"/>
      <c r="UIC231" s="1"/>
      <c r="UID231" s="1"/>
      <c r="UIE231" s="1"/>
      <c r="UIF231" s="1"/>
      <c r="UIG231" s="1"/>
      <c r="UIH231" s="1"/>
      <c r="UII231" s="1"/>
      <c r="UIJ231" s="1"/>
      <c r="UIK231" s="1"/>
      <c r="UIL231" s="1"/>
      <c r="UIM231" s="1"/>
      <c r="UIN231" s="1"/>
      <c r="UIO231" s="1"/>
      <c r="UIP231" s="1"/>
      <c r="UIQ231" s="1"/>
      <c r="UIR231" s="1"/>
      <c r="UIS231" s="1"/>
      <c r="UIT231" s="1"/>
      <c r="UIU231" s="1"/>
      <c r="UIV231" s="1"/>
      <c r="UIW231" s="1"/>
      <c r="UIX231" s="1"/>
      <c r="UIY231" s="1"/>
      <c r="UIZ231" s="1"/>
      <c r="UJA231" s="1"/>
      <c r="UJB231" s="1"/>
      <c r="UJC231" s="1"/>
      <c r="UJD231" s="1"/>
      <c r="UJE231" s="1"/>
      <c r="UJF231" s="1"/>
      <c r="UJG231" s="1"/>
      <c r="UJH231" s="1"/>
      <c r="UJI231" s="1"/>
      <c r="UJJ231" s="1"/>
      <c r="UJK231" s="1"/>
      <c r="UJL231" s="1"/>
      <c r="UJM231" s="1"/>
      <c r="UJN231" s="1"/>
      <c r="UJO231" s="1"/>
      <c r="UJP231" s="1"/>
      <c r="UJQ231" s="1"/>
      <c r="UJR231" s="1"/>
      <c r="UJS231" s="1"/>
      <c r="UJT231" s="1"/>
      <c r="UJU231" s="1"/>
      <c r="UJV231" s="1"/>
      <c r="UJW231" s="1"/>
      <c r="UJX231" s="1"/>
      <c r="UJY231" s="1"/>
      <c r="UJZ231" s="1"/>
      <c r="UKA231" s="1"/>
      <c r="UKB231" s="1"/>
      <c r="UKC231" s="1"/>
      <c r="UKD231" s="1"/>
      <c r="UKE231" s="1"/>
      <c r="UKF231" s="1"/>
      <c r="UKG231" s="1"/>
      <c r="UKH231" s="1"/>
      <c r="UKI231" s="1"/>
      <c r="UKJ231" s="1"/>
      <c r="UKK231" s="1"/>
      <c r="UKL231" s="1"/>
      <c r="UKM231" s="1"/>
      <c r="UKN231" s="1"/>
      <c r="UKO231" s="1"/>
      <c r="UKP231" s="1"/>
      <c r="UKQ231" s="1"/>
      <c r="UKR231" s="1"/>
      <c r="UKS231" s="1"/>
      <c r="UKT231" s="1"/>
      <c r="UKU231" s="1"/>
      <c r="UKV231" s="1"/>
      <c r="UKW231" s="1"/>
      <c r="UKX231" s="1"/>
      <c r="UKY231" s="1"/>
      <c r="UKZ231" s="1"/>
      <c r="ULA231" s="1"/>
      <c r="ULB231" s="1"/>
      <c r="ULC231" s="1"/>
      <c r="ULD231" s="1"/>
      <c r="ULE231" s="1"/>
      <c r="ULF231" s="1"/>
      <c r="ULG231" s="1"/>
      <c r="ULH231" s="1"/>
      <c r="ULI231" s="1"/>
      <c r="ULJ231" s="1"/>
      <c r="ULK231" s="1"/>
      <c r="ULL231" s="1"/>
      <c r="ULM231" s="1"/>
      <c r="ULN231" s="1"/>
      <c r="ULO231" s="1"/>
      <c r="ULP231" s="1"/>
      <c r="ULQ231" s="1"/>
      <c r="ULR231" s="1"/>
      <c r="ULS231" s="1"/>
      <c r="ULT231" s="1"/>
      <c r="ULU231" s="1"/>
      <c r="ULV231" s="1"/>
      <c r="ULW231" s="1"/>
      <c r="ULX231" s="1"/>
      <c r="ULY231" s="1"/>
      <c r="ULZ231" s="1"/>
      <c r="UMA231" s="1"/>
      <c r="UMB231" s="1"/>
      <c r="UMC231" s="1"/>
      <c r="UMD231" s="1"/>
      <c r="UME231" s="1"/>
      <c r="UMF231" s="1"/>
      <c r="UMG231" s="1"/>
      <c r="UMH231" s="1"/>
      <c r="UMI231" s="1"/>
      <c r="UMJ231" s="1"/>
      <c r="UMK231" s="1"/>
      <c r="UML231" s="1"/>
      <c r="UMM231" s="1"/>
      <c r="UMN231" s="1"/>
      <c r="UMO231" s="1"/>
      <c r="UMP231" s="1"/>
      <c r="UMQ231" s="1"/>
      <c r="UMR231" s="1"/>
      <c r="UMS231" s="1"/>
      <c r="UMT231" s="1"/>
      <c r="UMU231" s="1"/>
      <c r="UMV231" s="1"/>
      <c r="UMW231" s="1"/>
      <c r="UMX231" s="1"/>
      <c r="UMY231" s="1"/>
      <c r="UMZ231" s="1"/>
      <c r="UNA231" s="1"/>
      <c r="UNB231" s="1"/>
      <c r="UNC231" s="1"/>
      <c r="UND231" s="1"/>
      <c r="UNE231" s="1"/>
      <c r="UNF231" s="1"/>
      <c r="UNG231" s="1"/>
      <c r="UNH231" s="1"/>
      <c r="UNI231" s="1"/>
      <c r="UNJ231" s="1"/>
      <c r="UNK231" s="1"/>
      <c r="UNL231" s="1"/>
      <c r="UNM231" s="1"/>
      <c r="UNN231" s="1"/>
      <c r="UNO231" s="1"/>
      <c r="UNP231" s="1"/>
      <c r="UNQ231" s="1"/>
      <c r="UNR231" s="1"/>
      <c r="UNS231" s="1"/>
      <c r="UNT231" s="1"/>
      <c r="UNU231" s="1"/>
      <c r="UNV231" s="1"/>
      <c r="UNW231" s="1"/>
      <c r="UNX231" s="1"/>
      <c r="UNY231" s="1"/>
      <c r="UNZ231" s="1"/>
      <c r="UOA231" s="1"/>
      <c r="UOB231" s="1"/>
      <c r="UOC231" s="1"/>
      <c r="UOD231" s="1"/>
      <c r="UOE231" s="1"/>
      <c r="UOF231" s="1"/>
      <c r="UOG231" s="1"/>
      <c r="UOH231" s="1"/>
      <c r="UOI231" s="1"/>
      <c r="UOJ231" s="1"/>
      <c r="UOK231" s="1"/>
      <c r="UOL231" s="1"/>
      <c r="UOM231" s="1"/>
      <c r="UON231" s="1"/>
      <c r="UOO231" s="1"/>
      <c r="UOP231" s="1"/>
      <c r="UOQ231" s="1"/>
      <c r="UOR231" s="1"/>
      <c r="UOS231" s="1"/>
      <c r="UOT231" s="1"/>
      <c r="UOU231" s="1"/>
      <c r="UOV231" s="1"/>
      <c r="UOW231" s="1"/>
      <c r="UOX231" s="1"/>
      <c r="UOY231" s="1"/>
      <c r="UOZ231" s="1"/>
      <c r="UPA231" s="1"/>
      <c r="UPB231" s="1"/>
      <c r="UPC231" s="1"/>
      <c r="UPD231" s="1"/>
      <c r="UPE231" s="1"/>
      <c r="UPF231" s="1"/>
      <c r="UPG231" s="1"/>
      <c r="UPH231" s="1"/>
      <c r="UPI231" s="1"/>
      <c r="UPJ231" s="1"/>
      <c r="UPK231" s="1"/>
      <c r="UPL231" s="1"/>
      <c r="UPM231" s="1"/>
      <c r="UPN231" s="1"/>
      <c r="UPO231" s="1"/>
      <c r="UPP231" s="1"/>
      <c r="UPQ231" s="1"/>
      <c r="UPR231" s="1"/>
      <c r="UPS231" s="1"/>
      <c r="UPT231" s="1"/>
      <c r="UPU231" s="1"/>
      <c r="UPV231" s="1"/>
      <c r="UPW231" s="1"/>
      <c r="UPX231" s="1"/>
      <c r="UPY231" s="1"/>
      <c r="UPZ231" s="1"/>
      <c r="UQA231" s="1"/>
      <c r="UQB231" s="1"/>
      <c r="UQC231" s="1"/>
      <c r="UQD231" s="1"/>
      <c r="UQE231" s="1"/>
      <c r="UQF231" s="1"/>
      <c r="UQG231" s="1"/>
      <c r="UQH231" s="1"/>
      <c r="UQI231" s="1"/>
      <c r="UQJ231" s="1"/>
      <c r="UQK231" s="1"/>
      <c r="UQL231" s="1"/>
      <c r="UQM231" s="1"/>
      <c r="UQN231" s="1"/>
      <c r="UQO231" s="1"/>
      <c r="UQP231" s="1"/>
      <c r="UQQ231" s="1"/>
      <c r="UQR231" s="1"/>
      <c r="UQS231" s="1"/>
      <c r="UQT231" s="1"/>
      <c r="UQU231" s="1"/>
      <c r="UQV231" s="1"/>
      <c r="UQW231" s="1"/>
      <c r="UQX231" s="1"/>
      <c r="UQY231" s="1"/>
      <c r="UQZ231" s="1"/>
      <c r="URA231" s="1"/>
      <c r="URB231" s="1"/>
      <c r="URC231" s="1"/>
      <c r="URD231" s="1"/>
      <c r="URE231" s="1"/>
      <c r="URF231" s="1"/>
      <c r="URG231" s="1"/>
      <c r="URH231" s="1"/>
      <c r="URI231" s="1"/>
      <c r="URJ231" s="1"/>
      <c r="URK231" s="1"/>
      <c r="URL231" s="1"/>
      <c r="URM231" s="1"/>
      <c r="URN231" s="1"/>
      <c r="URO231" s="1"/>
      <c r="URP231" s="1"/>
      <c r="URQ231" s="1"/>
      <c r="URR231" s="1"/>
      <c r="URS231" s="1"/>
      <c r="URT231" s="1"/>
      <c r="URU231" s="1"/>
      <c r="URV231" s="1"/>
      <c r="URW231" s="1"/>
      <c r="URX231" s="1"/>
      <c r="URY231" s="1"/>
      <c r="URZ231" s="1"/>
      <c r="USA231" s="1"/>
      <c r="USB231" s="1"/>
      <c r="USC231" s="1"/>
      <c r="USD231" s="1"/>
      <c r="USE231" s="1"/>
      <c r="USF231" s="1"/>
      <c r="USG231" s="1"/>
      <c r="USH231" s="1"/>
      <c r="USI231" s="1"/>
      <c r="USJ231" s="1"/>
      <c r="USK231" s="1"/>
      <c r="USL231" s="1"/>
      <c r="USM231" s="1"/>
      <c r="USN231" s="1"/>
      <c r="USO231" s="1"/>
      <c r="USP231" s="1"/>
      <c r="USQ231" s="1"/>
      <c r="USR231" s="1"/>
      <c r="USS231" s="1"/>
      <c r="UST231" s="1"/>
      <c r="USU231" s="1"/>
      <c r="USV231" s="1"/>
      <c r="USW231" s="1"/>
      <c r="USX231" s="1"/>
      <c r="USY231" s="1"/>
      <c r="USZ231" s="1"/>
      <c r="UTA231" s="1"/>
      <c r="UTB231" s="1"/>
      <c r="UTC231" s="1"/>
      <c r="UTD231" s="1"/>
      <c r="UTE231" s="1"/>
      <c r="UTF231" s="1"/>
      <c r="UTG231" s="1"/>
      <c r="UTH231" s="1"/>
      <c r="UTI231" s="1"/>
      <c r="UTJ231" s="1"/>
      <c r="UTK231" s="1"/>
      <c r="UTL231" s="1"/>
      <c r="UTM231" s="1"/>
      <c r="UTN231" s="1"/>
      <c r="UTO231" s="1"/>
      <c r="UTP231" s="1"/>
      <c r="UTQ231" s="1"/>
      <c r="UTR231" s="1"/>
      <c r="UTS231" s="1"/>
      <c r="UTT231" s="1"/>
      <c r="UTU231" s="1"/>
      <c r="UTV231" s="1"/>
      <c r="UTW231" s="1"/>
      <c r="UTX231" s="1"/>
      <c r="UTY231" s="1"/>
      <c r="UTZ231" s="1"/>
      <c r="UUA231" s="1"/>
      <c r="UUB231" s="1"/>
      <c r="UUC231" s="1"/>
      <c r="UUD231" s="1"/>
      <c r="UUE231" s="1"/>
      <c r="UUF231" s="1"/>
      <c r="UUG231" s="1"/>
      <c r="UUH231" s="1"/>
      <c r="UUI231" s="1"/>
      <c r="UUJ231" s="1"/>
      <c r="UUK231" s="1"/>
      <c r="UUL231" s="1"/>
      <c r="UUM231" s="1"/>
      <c r="UUN231" s="1"/>
      <c r="UUO231" s="1"/>
      <c r="UUP231" s="1"/>
      <c r="UUQ231" s="1"/>
      <c r="UUR231" s="1"/>
      <c r="UUS231" s="1"/>
      <c r="UUT231" s="1"/>
      <c r="UUU231" s="1"/>
      <c r="UUV231" s="1"/>
      <c r="UUW231" s="1"/>
      <c r="UUX231" s="1"/>
      <c r="UUY231" s="1"/>
      <c r="UUZ231" s="1"/>
      <c r="UVA231" s="1"/>
      <c r="UVB231" s="1"/>
      <c r="UVC231" s="1"/>
      <c r="UVD231" s="1"/>
      <c r="UVE231" s="1"/>
      <c r="UVF231" s="1"/>
      <c r="UVG231" s="1"/>
      <c r="UVH231" s="1"/>
      <c r="UVI231" s="1"/>
      <c r="UVJ231" s="1"/>
      <c r="UVK231" s="1"/>
      <c r="UVL231" s="1"/>
      <c r="UVM231" s="1"/>
      <c r="UVN231" s="1"/>
      <c r="UVO231" s="1"/>
      <c r="UVP231" s="1"/>
      <c r="UVQ231" s="1"/>
      <c r="UVR231" s="1"/>
      <c r="UVS231" s="1"/>
      <c r="UVT231" s="1"/>
      <c r="UVU231" s="1"/>
      <c r="UVV231" s="1"/>
      <c r="UVW231" s="1"/>
      <c r="UVX231" s="1"/>
      <c r="UVY231" s="1"/>
      <c r="UVZ231" s="1"/>
      <c r="UWA231" s="1"/>
      <c r="UWB231" s="1"/>
      <c r="UWC231" s="1"/>
      <c r="UWD231" s="1"/>
      <c r="UWE231" s="1"/>
      <c r="UWF231" s="1"/>
      <c r="UWG231" s="1"/>
      <c r="UWH231" s="1"/>
      <c r="UWI231" s="1"/>
      <c r="UWJ231" s="1"/>
      <c r="UWK231" s="1"/>
      <c r="UWL231" s="1"/>
      <c r="UWM231" s="1"/>
      <c r="UWN231" s="1"/>
      <c r="UWO231" s="1"/>
      <c r="UWP231" s="1"/>
      <c r="UWQ231" s="1"/>
      <c r="UWR231" s="1"/>
      <c r="UWS231" s="1"/>
      <c r="UWT231" s="1"/>
      <c r="UWU231" s="1"/>
      <c r="UWV231" s="1"/>
      <c r="UWW231" s="1"/>
      <c r="UWX231" s="1"/>
      <c r="UWY231" s="1"/>
      <c r="UWZ231" s="1"/>
      <c r="UXA231" s="1"/>
      <c r="UXB231" s="1"/>
      <c r="UXC231" s="1"/>
      <c r="UXD231" s="1"/>
      <c r="UXE231" s="1"/>
      <c r="UXF231" s="1"/>
      <c r="UXG231" s="1"/>
      <c r="UXH231" s="1"/>
      <c r="UXI231" s="1"/>
      <c r="UXJ231" s="1"/>
      <c r="UXK231" s="1"/>
      <c r="UXL231" s="1"/>
      <c r="UXM231" s="1"/>
      <c r="UXN231" s="1"/>
      <c r="UXO231" s="1"/>
      <c r="UXP231" s="1"/>
      <c r="UXQ231" s="1"/>
      <c r="UXR231" s="1"/>
      <c r="UXS231" s="1"/>
      <c r="UXT231" s="1"/>
      <c r="UXU231" s="1"/>
      <c r="UXV231" s="1"/>
      <c r="UXW231" s="1"/>
      <c r="UXX231" s="1"/>
      <c r="UXY231" s="1"/>
      <c r="UXZ231" s="1"/>
      <c r="UYA231" s="1"/>
      <c r="UYB231" s="1"/>
      <c r="UYC231" s="1"/>
      <c r="UYD231" s="1"/>
      <c r="UYE231" s="1"/>
      <c r="UYF231" s="1"/>
      <c r="UYG231" s="1"/>
      <c r="UYH231" s="1"/>
      <c r="UYI231" s="1"/>
      <c r="UYJ231" s="1"/>
      <c r="UYK231" s="1"/>
      <c r="UYL231" s="1"/>
      <c r="UYM231" s="1"/>
      <c r="UYN231" s="1"/>
      <c r="UYO231" s="1"/>
      <c r="UYP231" s="1"/>
      <c r="UYQ231" s="1"/>
      <c r="UYR231" s="1"/>
      <c r="UYS231" s="1"/>
      <c r="UYT231" s="1"/>
      <c r="UYU231" s="1"/>
      <c r="UYV231" s="1"/>
      <c r="UYW231" s="1"/>
      <c r="UYX231" s="1"/>
      <c r="UYY231" s="1"/>
      <c r="UYZ231" s="1"/>
      <c r="UZA231" s="1"/>
      <c r="UZB231" s="1"/>
      <c r="UZC231" s="1"/>
      <c r="UZD231" s="1"/>
      <c r="UZE231" s="1"/>
      <c r="UZF231" s="1"/>
      <c r="UZG231" s="1"/>
      <c r="UZH231" s="1"/>
      <c r="UZI231" s="1"/>
      <c r="UZJ231" s="1"/>
      <c r="UZK231" s="1"/>
      <c r="UZL231" s="1"/>
      <c r="UZM231" s="1"/>
      <c r="UZN231" s="1"/>
      <c r="UZO231" s="1"/>
      <c r="UZP231" s="1"/>
      <c r="UZQ231" s="1"/>
      <c r="UZR231" s="1"/>
      <c r="UZS231" s="1"/>
      <c r="UZT231" s="1"/>
      <c r="UZU231" s="1"/>
      <c r="UZV231" s="1"/>
      <c r="UZW231" s="1"/>
      <c r="UZX231" s="1"/>
      <c r="UZY231" s="1"/>
      <c r="UZZ231" s="1"/>
      <c r="VAA231" s="1"/>
      <c r="VAB231" s="1"/>
      <c r="VAC231" s="1"/>
      <c r="VAD231" s="1"/>
      <c r="VAE231" s="1"/>
      <c r="VAF231" s="1"/>
      <c r="VAG231" s="1"/>
      <c r="VAH231" s="1"/>
      <c r="VAI231" s="1"/>
      <c r="VAJ231" s="1"/>
      <c r="VAK231" s="1"/>
      <c r="VAL231" s="1"/>
      <c r="VAM231" s="1"/>
      <c r="VAN231" s="1"/>
      <c r="VAO231" s="1"/>
      <c r="VAP231" s="1"/>
      <c r="VAQ231" s="1"/>
      <c r="VAR231" s="1"/>
      <c r="VAS231" s="1"/>
      <c r="VAT231" s="1"/>
      <c r="VAU231" s="1"/>
      <c r="VAV231" s="1"/>
      <c r="VAW231" s="1"/>
      <c r="VAX231" s="1"/>
      <c r="VAY231" s="1"/>
      <c r="VAZ231" s="1"/>
      <c r="VBA231" s="1"/>
      <c r="VBB231" s="1"/>
      <c r="VBC231" s="1"/>
      <c r="VBD231" s="1"/>
      <c r="VBE231" s="1"/>
      <c r="VBF231" s="1"/>
      <c r="VBG231" s="1"/>
      <c r="VBH231" s="1"/>
      <c r="VBI231" s="1"/>
      <c r="VBJ231" s="1"/>
      <c r="VBK231" s="1"/>
      <c r="VBL231" s="1"/>
      <c r="VBM231" s="1"/>
      <c r="VBN231" s="1"/>
      <c r="VBO231" s="1"/>
      <c r="VBP231" s="1"/>
      <c r="VBQ231" s="1"/>
      <c r="VBR231" s="1"/>
      <c r="VBS231" s="1"/>
      <c r="VBT231" s="1"/>
      <c r="VBU231" s="1"/>
      <c r="VBV231" s="1"/>
      <c r="VBW231" s="1"/>
      <c r="VBX231" s="1"/>
      <c r="VBY231" s="1"/>
      <c r="VBZ231" s="1"/>
      <c r="VCA231" s="1"/>
      <c r="VCB231" s="1"/>
      <c r="VCC231" s="1"/>
      <c r="VCD231" s="1"/>
      <c r="VCE231" s="1"/>
      <c r="VCF231" s="1"/>
      <c r="VCG231" s="1"/>
      <c r="VCH231" s="1"/>
      <c r="VCI231" s="1"/>
      <c r="VCJ231" s="1"/>
      <c r="VCK231" s="1"/>
      <c r="VCL231" s="1"/>
      <c r="VCM231" s="1"/>
      <c r="VCN231" s="1"/>
      <c r="VCO231" s="1"/>
      <c r="VCP231" s="1"/>
      <c r="VCQ231" s="1"/>
      <c r="VCR231" s="1"/>
      <c r="VCS231" s="1"/>
    </row>
    <row r="238" spans="1:14969" s="2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5"/>
      <c r="AL238" s="1"/>
      <c r="AM238" s="1"/>
      <c r="AN238" s="1"/>
      <c r="AP238" s="3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  <c r="ALN238" s="1"/>
      <c r="ALO238" s="1"/>
      <c r="ALP238" s="1"/>
      <c r="ALQ238" s="1"/>
      <c r="ALR238" s="1"/>
      <c r="ALS238" s="1"/>
      <c r="ALT238" s="1"/>
      <c r="ALU238" s="1"/>
      <c r="ALV238" s="1"/>
      <c r="ALW238" s="1"/>
      <c r="ALX238" s="1"/>
      <c r="ALY238" s="1"/>
      <c r="ALZ238" s="1"/>
      <c r="AMA238" s="1"/>
      <c r="AMB238" s="1"/>
      <c r="AMC238" s="1"/>
      <c r="AMD238" s="1"/>
      <c r="AME238" s="1"/>
      <c r="AMF238" s="1"/>
      <c r="AMG238" s="1"/>
      <c r="AMH238" s="1"/>
      <c r="AMI238" s="1"/>
      <c r="AMJ238" s="1"/>
      <c r="AMK238" s="1"/>
      <c r="AML238" s="1"/>
      <c r="AMM238" s="1"/>
      <c r="AMN238" s="1"/>
      <c r="AMO238" s="1"/>
      <c r="AMP238" s="1"/>
      <c r="AMQ238" s="1"/>
      <c r="AMR238" s="1"/>
      <c r="AMS238" s="1"/>
      <c r="AMT238" s="1"/>
      <c r="AMU238" s="1"/>
      <c r="AMV238" s="1"/>
      <c r="AMW238" s="1"/>
      <c r="AMX238" s="1"/>
      <c r="AMY238" s="1"/>
      <c r="AMZ238" s="1"/>
      <c r="ANA238" s="1"/>
      <c r="ANB238" s="1"/>
      <c r="ANC238" s="1"/>
      <c r="AND238" s="1"/>
      <c r="ANE238" s="1"/>
      <c r="ANF238" s="1"/>
      <c r="ANG238" s="1"/>
      <c r="ANH238" s="1"/>
      <c r="ANI238" s="1"/>
      <c r="ANJ238" s="1"/>
      <c r="ANK238" s="1"/>
      <c r="ANL238" s="1"/>
      <c r="ANM238" s="1"/>
      <c r="ANN238" s="1"/>
      <c r="ANO238" s="1"/>
      <c r="ANP238" s="1"/>
      <c r="ANQ238" s="1"/>
      <c r="ANR238" s="1"/>
      <c r="ANS238" s="1"/>
      <c r="ANT238" s="1"/>
      <c r="ANU238" s="1"/>
      <c r="ANV238" s="1"/>
      <c r="ANW238" s="1"/>
      <c r="ANX238" s="1"/>
      <c r="ANY238" s="1"/>
      <c r="ANZ238" s="1"/>
      <c r="AOA238" s="1"/>
      <c r="AOB238" s="1"/>
      <c r="AOC238" s="1"/>
      <c r="AOD238" s="1"/>
      <c r="AOE238" s="1"/>
      <c r="AOF238" s="1"/>
      <c r="AOG238" s="1"/>
      <c r="AOH238" s="1"/>
      <c r="AOI238" s="1"/>
      <c r="AOJ238" s="1"/>
      <c r="AOK238" s="1"/>
      <c r="AOL238" s="1"/>
      <c r="AOM238" s="1"/>
      <c r="AON238" s="1"/>
      <c r="AOO238" s="1"/>
      <c r="AOP238" s="1"/>
      <c r="AOQ238" s="1"/>
      <c r="AOR238" s="1"/>
      <c r="AOS238" s="1"/>
      <c r="AOT238" s="1"/>
      <c r="AOU238" s="1"/>
      <c r="AOV238" s="1"/>
      <c r="AOW238" s="1"/>
      <c r="AOX238" s="1"/>
      <c r="AOY238" s="1"/>
      <c r="AOZ238" s="1"/>
      <c r="APA238" s="1"/>
      <c r="APB238" s="1"/>
      <c r="APC238" s="1"/>
      <c r="APD238" s="1"/>
      <c r="APE238" s="1"/>
      <c r="APF238" s="1"/>
      <c r="APG238" s="1"/>
      <c r="APH238" s="1"/>
      <c r="API238" s="1"/>
      <c r="APJ238" s="1"/>
      <c r="APK238" s="1"/>
      <c r="APL238" s="1"/>
      <c r="APM238" s="1"/>
      <c r="APN238" s="1"/>
      <c r="APO238" s="1"/>
      <c r="APP238" s="1"/>
      <c r="APQ238" s="1"/>
      <c r="APR238" s="1"/>
      <c r="APS238" s="1"/>
      <c r="APT238" s="1"/>
      <c r="APU238" s="1"/>
      <c r="APV238" s="1"/>
      <c r="APW238" s="1"/>
      <c r="APX238" s="1"/>
      <c r="APY238" s="1"/>
      <c r="APZ238" s="1"/>
      <c r="AQA238" s="1"/>
      <c r="AQB238" s="1"/>
      <c r="AQC238" s="1"/>
      <c r="AQD238" s="1"/>
      <c r="AQE238" s="1"/>
      <c r="AQF238" s="1"/>
      <c r="AQG238" s="1"/>
      <c r="AQH238" s="1"/>
      <c r="AQI238" s="1"/>
      <c r="AQJ238" s="1"/>
      <c r="AQK238" s="1"/>
      <c r="AQL238" s="1"/>
      <c r="AQM238" s="1"/>
      <c r="AQN238" s="1"/>
      <c r="AQO238" s="1"/>
      <c r="AQP238" s="1"/>
      <c r="AQQ238" s="1"/>
      <c r="AQR238" s="1"/>
      <c r="AQS238" s="1"/>
      <c r="AQT238" s="1"/>
      <c r="AQU238" s="1"/>
      <c r="AQV238" s="1"/>
      <c r="AQW238" s="1"/>
      <c r="AQX238" s="1"/>
      <c r="AQY238" s="1"/>
      <c r="AQZ238" s="1"/>
      <c r="ARA238" s="1"/>
      <c r="ARB238" s="1"/>
      <c r="ARC238" s="1"/>
      <c r="ARD238" s="1"/>
      <c r="ARE238" s="1"/>
      <c r="ARF238" s="1"/>
      <c r="ARG238" s="1"/>
      <c r="ARH238" s="1"/>
      <c r="ARI238" s="1"/>
      <c r="ARJ238" s="1"/>
      <c r="ARK238" s="1"/>
      <c r="ARL238" s="1"/>
      <c r="ARM238" s="1"/>
      <c r="ARN238" s="1"/>
      <c r="ARO238" s="1"/>
      <c r="ARP238" s="1"/>
      <c r="ARQ238" s="1"/>
      <c r="ARR238" s="1"/>
      <c r="ARS238" s="1"/>
      <c r="ART238" s="1"/>
      <c r="ARU238" s="1"/>
      <c r="ARV238" s="1"/>
      <c r="ARW238" s="1"/>
      <c r="ARX238" s="1"/>
      <c r="ARY238" s="1"/>
      <c r="ARZ238" s="1"/>
      <c r="ASA238" s="1"/>
      <c r="ASB238" s="1"/>
      <c r="ASC238" s="1"/>
      <c r="ASD238" s="1"/>
      <c r="ASE238" s="1"/>
      <c r="ASF238" s="1"/>
      <c r="ASG238" s="1"/>
      <c r="ASH238" s="1"/>
      <c r="ASI238" s="1"/>
      <c r="ASJ238" s="1"/>
      <c r="ASK238" s="1"/>
      <c r="ASL238" s="1"/>
      <c r="ASM238" s="1"/>
      <c r="ASN238" s="1"/>
      <c r="ASO238" s="1"/>
      <c r="ASP238" s="1"/>
      <c r="ASQ238" s="1"/>
      <c r="ASR238" s="1"/>
      <c r="ASS238" s="1"/>
      <c r="AST238" s="1"/>
      <c r="ASU238" s="1"/>
      <c r="ASV238" s="1"/>
      <c r="ASW238" s="1"/>
      <c r="ASX238" s="1"/>
      <c r="ASY238" s="1"/>
      <c r="ASZ238" s="1"/>
      <c r="ATA238" s="1"/>
      <c r="ATB238" s="1"/>
      <c r="ATC238" s="1"/>
      <c r="ATD238" s="1"/>
      <c r="ATE238" s="1"/>
      <c r="ATF238" s="1"/>
      <c r="ATG238" s="1"/>
      <c r="ATH238" s="1"/>
      <c r="ATI238" s="1"/>
      <c r="ATJ238" s="1"/>
      <c r="ATK238" s="1"/>
      <c r="ATL238" s="1"/>
      <c r="ATM238" s="1"/>
      <c r="ATN238" s="1"/>
      <c r="ATO238" s="1"/>
      <c r="ATP238" s="1"/>
      <c r="ATQ238" s="1"/>
      <c r="ATR238" s="1"/>
      <c r="ATS238" s="1"/>
      <c r="ATT238" s="1"/>
      <c r="ATU238" s="1"/>
      <c r="ATV238" s="1"/>
      <c r="ATW238" s="1"/>
      <c r="ATX238" s="1"/>
      <c r="ATY238" s="1"/>
      <c r="ATZ238" s="1"/>
      <c r="AUA238" s="1"/>
      <c r="AUB238" s="1"/>
      <c r="AUC238" s="1"/>
      <c r="AUD238" s="1"/>
      <c r="AUE238" s="1"/>
      <c r="AUF238" s="1"/>
      <c r="AUG238" s="1"/>
      <c r="AUH238" s="1"/>
      <c r="AUI238" s="1"/>
      <c r="AUJ238" s="1"/>
      <c r="AUK238" s="1"/>
      <c r="AUL238" s="1"/>
      <c r="AUM238" s="1"/>
      <c r="AUN238" s="1"/>
      <c r="AUO238" s="1"/>
      <c r="AUP238" s="1"/>
      <c r="AUQ238" s="1"/>
      <c r="AUR238" s="1"/>
      <c r="AUS238" s="1"/>
      <c r="AUT238" s="1"/>
      <c r="AUU238" s="1"/>
      <c r="AUV238" s="1"/>
      <c r="AUW238" s="1"/>
      <c r="AUX238" s="1"/>
      <c r="AUY238" s="1"/>
      <c r="AUZ238" s="1"/>
      <c r="AVA238" s="1"/>
      <c r="AVB238" s="1"/>
      <c r="AVC238" s="1"/>
      <c r="AVD238" s="1"/>
      <c r="AVE238" s="1"/>
      <c r="AVF238" s="1"/>
      <c r="AVG238" s="1"/>
      <c r="AVH238" s="1"/>
      <c r="AVI238" s="1"/>
      <c r="AVJ238" s="1"/>
      <c r="AVK238" s="1"/>
      <c r="AVL238" s="1"/>
      <c r="AVM238" s="1"/>
      <c r="AVN238" s="1"/>
      <c r="AVO238" s="1"/>
      <c r="AVP238" s="1"/>
      <c r="AVQ238" s="1"/>
      <c r="AVR238" s="1"/>
      <c r="AVS238" s="1"/>
      <c r="AVT238" s="1"/>
      <c r="AVU238" s="1"/>
      <c r="AVV238" s="1"/>
      <c r="AVW238" s="1"/>
      <c r="AVX238" s="1"/>
      <c r="AVY238" s="1"/>
      <c r="AVZ238" s="1"/>
      <c r="AWA238" s="1"/>
      <c r="AWB238" s="1"/>
      <c r="AWC238" s="1"/>
      <c r="AWD238" s="1"/>
      <c r="AWE238" s="1"/>
      <c r="AWF238" s="1"/>
      <c r="AWG238" s="1"/>
      <c r="AWH238" s="1"/>
      <c r="AWI238" s="1"/>
      <c r="AWJ238" s="1"/>
      <c r="AWK238" s="1"/>
      <c r="AWL238" s="1"/>
      <c r="AWM238" s="1"/>
      <c r="AWN238" s="1"/>
      <c r="AWO238" s="1"/>
      <c r="AWP238" s="1"/>
      <c r="AWQ238" s="1"/>
      <c r="AWR238" s="1"/>
      <c r="AWS238" s="1"/>
      <c r="AWT238" s="1"/>
      <c r="AWU238" s="1"/>
      <c r="AWV238" s="1"/>
      <c r="AWW238" s="1"/>
      <c r="AWX238" s="1"/>
      <c r="AWY238" s="1"/>
      <c r="AWZ238" s="1"/>
      <c r="AXA238" s="1"/>
      <c r="AXB238" s="1"/>
      <c r="AXC238" s="1"/>
      <c r="AXD238" s="1"/>
      <c r="AXE238" s="1"/>
      <c r="AXF238" s="1"/>
      <c r="AXG238" s="1"/>
      <c r="AXH238" s="1"/>
      <c r="AXI238" s="1"/>
      <c r="AXJ238" s="1"/>
      <c r="AXK238" s="1"/>
      <c r="AXL238" s="1"/>
      <c r="AXM238" s="1"/>
      <c r="AXN238" s="1"/>
      <c r="AXO238" s="1"/>
      <c r="AXP238" s="1"/>
      <c r="AXQ238" s="1"/>
      <c r="AXR238" s="1"/>
      <c r="AXS238" s="1"/>
      <c r="AXT238" s="1"/>
      <c r="AXU238" s="1"/>
      <c r="AXV238" s="1"/>
      <c r="AXW238" s="1"/>
      <c r="AXX238" s="1"/>
      <c r="AXY238" s="1"/>
      <c r="AXZ238" s="1"/>
      <c r="AYA238" s="1"/>
      <c r="AYB238" s="1"/>
      <c r="AYC238" s="1"/>
      <c r="AYD238" s="1"/>
      <c r="AYE238" s="1"/>
      <c r="AYF238" s="1"/>
      <c r="AYG238" s="1"/>
      <c r="AYH238" s="1"/>
      <c r="AYI238" s="1"/>
      <c r="AYJ238" s="1"/>
      <c r="AYK238" s="1"/>
      <c r="AYL238" s="1"/>
      <c r="AYM238" s="1"/>
      <c r="AYN238" s="1"/>
      <c r="AYO238" s="1"/>
      <c r="AYP238" s="1"/>
      <c r="AYQ238" s="1"/>
      <c r="AYR238" s="1"/>
      <c r="AYS238" s="1"/>
      <c r="AYT238" s="1"/>
      <c r="AYU238" s="1"/>
      <c r="AYV238" s="1"/>
      <c r="AYW238" s="1"/>
      <c r="AYX238" s="1"/>
      <c r="AYY238" s="1"/>
      <c r="AYZ238" s="1"/>
      <c r="AZA238" s="1"/>
      <c r="AZB238" s="1"/>
      <c r="AZC238" s="1"/>
      <c r="AZD238" s="1"/>
      <c r="AZE238" s="1"/>
      <c r="AZF238" s="1"/>
      <c r="AZG238" s="1"/>
      <c r="AZH238" s="1"/>
      <c r="AZI238" s="1"/>
      <c r="AZJ238" s="1"/>
      <c r="AZK238" s="1"/>
      <c r="AZL238" s="1"/>
      <c r="AZM238" s="1"/>
      <c r="AZN238" s="1"/>
      <c r="AZO238" s="1"/>
      <c r="AZP238" s="1"/>
      <c r="AZQ238" s="1"/>
      <c r="AZR238" s="1"/>
      <c r="AZS238" s="1"/>
      <c r="AZT238" s="1"/>
      <c r="AZU238" s="1"/>
      <c r="AZV238" s="1"/>
      <c r="AZW238" s="1"/>
      <c r="AZX238" s="1"/>
      <c r="AZY238" s="1"/>
      <c r="AZZ238" s="1"/>
      <c r="BAA238" s="1"/>
      <c r="BAB238" s="1"/>
      <c r="BAC238" s="1"/>
      <c r="BAD238" s="1"/>
      <c r="BAE238" s="1"/>
      <c r="BAF238" s="1"/>
      <c r="BAG238" s="1"/>
      <c r="BAH238" s="1"/>
      <c r="BAI238" s="1"/>
      <c r="BAJ238" s="1"/>
      <c r="BAK238" s="1"/>
      <c r="BAL238" s="1"/>
      <c r="BAM238" s="1"/>
      <c r="BAN238" s="1"/>
      <c r="BAO238" s="1"/>
      <c r="BAP238" s="1"/>
      <c r="BAQ238" s="1"/>
      <c r="BAR238" s="1"/>
      <c r="BAS238" s="1"/>
      <c r="BAT238" s="1"/>
      <c r="BAU238" s="1"/>
      <c r="BAV238" s="1"/>
      <c r="BAW238" s="1"/>
      <c r="BAX238" s="1"/>
      <c r="BAY238" s="1"/>
      <c r="BAZ238" s="1"/>
      <c r="BBA238" s="1"/>
      <c r="BBB238" s="1"/>
      <c r="BBC238" s="1"/>
      <c r="BBD238" s="1"/>
      <c r="BBE238" s="1"/>
      <c r="BBF238" s="1"/>
      <c r="BBG238" s="1"/>
      <c r="BBH238" s="1"/>
      <c r="BBI238" s="1"/>
      <c r="BBJ238" s="1"/>
      <c r="BBK238" s="1"/>
      <c r="BBL238" s="1"/>
      <c r="BBM238" s="1"/>
      <c r="BBN238" s="1"/>
      <c r="BBO238" s="1"/>
      <c r="BBP238" s="1"/>
      <c r="BBQ238" s="1"/>
      <c r="BBR238" s="1"/>
      <c r="BBS238" s="1"/>
      <c r="BBT238" s="1"/>
      <c r="BBU238" s="1"/>
      <c r="BBV238" s="1"/>
      <c r="BBW238" s="1"/>
      <c r="BBX238" s="1"/>
      <c r="BBY238" s="1"/>
      <c r="BBZ238" s="1"/>
      <c r="BCA238" s="1"/>
      <c r="BCB238" s="1"/>
      <c r="BCC238" s="1"/>
      <c r="BCD238" s="1"/>
      <c r="BCE238" s="1"/>
      <c r="BCF238" s="1"/>
      <c r="BCG238" s="1"/>
      <c r="BCH238" s="1"/>
      <c r="BCI238" s="1"/>
      <c r="BCJ238" s="1"/>
      <c r="BCK238" s="1"/>
      <c r="BCL238" s="1"/>
      <c r="BCM238" s="1"/>
      <c r="BCN238" s="1"/>
      <c r="BCO238" s="1"/>
      <c r="BCP238" s="1"/>
      <c r="BCQ238" s="1"/>
      <c r="BCR238" s="1"/>
      <c r="BCS238" s="1"/>
      <c r="BCT238" s="1"/>
      <c r="BCU238" s="1"/>
      <c r="BCV238" s="1"/>
      <c r="BCW238" s="1"/>
      <c r="BCX238" s="1"/>
      <c r="BCY238" s="1"/>
      <c r="BCZ238" s="1"/>
      <c r="BDA238" s="1"/>
      <c r="BDB238" s="1"/>
      <c r="BDC238" s="1"/>
      <c r="BDD238" s="1"/>
      <c r="BDE238" s="1"/>
      <c r="BDF238" s="1"/>
      <c r="BDG238" s="1"/>
      <c r="BDH238" s="1"/>
      <c r="BDI238" s="1"/>
      <c r="BDJ238" s="1"/>
      <c r="BDK238" s="1"/>
      <c r="BDL238" s="1"/>
      <c r="BDM238" s="1"/>
      <c r="BDN238" s="1"/>
      <c r="BDO238" s="1"/>
      <c r="BDP238" s="1"/>
      <c r="BDQ238" s="1"/>
      <c r="BDR238" s="1"/>
      <c r="BDS238" s="1"/>
      <c r="BDT238" s="1"/>
      <c r="BDU238" s="1"/>
      <c r="BDV238" s="1"/>
      <c r="BDW238" s="1"/>
      <c r="BDX238" s="1"/>
      <c r="BDY238" s="1"/>
      <c r="BDZ238" s="1"/>
      <c r="BEA238" s="1"/>
      <c r="BEB238" s="1"/>
      <c r="BEC238" s="1"/>
      <c r="BED238" s="1"/>
      <c r="BEE238" s="1"/>
      <c r="BEF238" s="1"/>
      <c r="BEG238" s="1"/>
      <c r="BEH238" s="1"/>
      <c r="BEI238" s="1"/>
      <c r="BEJ238" s="1"/>
      <c r="BEK238" s="1"/>
      <c r="BEL238" s="1"/>
      <c r="BEM238" s="1"/>
      <c r="BEN238" s="1"/>
      <c r="BEO238" s="1"/>
      <c r="BEP238" s="1"/>
      <c r="BEQ238" s="1"/>
      <c r="BER238" s="1"/>
      <c r="BES238" s="1"/>
      <c r="BET238" s="1"/>
      <c r="BEU238" s="1"/>
      <c r="BEV238" s="1"/>
      <c r="BEW238" s="1"/>
      <c r="BEX238" s="1"/>
      <c r="BEY238" s="1"/>
      <c r="BEZ238" s="1"/>
      <c r="BFA238" s="1"/>
      <c r="BFB238" s="1"/>
      <c r="BFC238" s="1"/>
      <c r="BFD238" s="1"/>
      <c r="BFE238" s="1"/>
      <c r="BFF238" s="1"/>
      <c r="BFG238" s="1"/>
      <c r="BFH238" s="1"/>
      <c r="BFI238" s="1"/>
      <c r="BFJ238" s="1"/>
      <c r="BFK238" s="1"/>
      <c r="BFL238" s="1"/>
      <c r="BFM238" s="1"/>
      <c r="BFN238" s="1"/>
      <c r="BFO238" s="1"/>
      <c r="BFP238" s="1"/>
      <c r="BFQ238" s="1"/>
      <c r="BFR238" s="1"/>
      <c r="BFS238" s="1"/>
      <c r="BFT238" s="1"/>
      <c r="BFU238" s="1"/>
      <c r="BFV238" s="1"/>
      <c r="BFW238" s="1"/>
      <c r="BFX238" s="1"/>
      <c r="BFY238" s="1"/>
      <c r="BFZ238" s="1"/>
      <c r="BGA238" s="1"/>
      <c r="BGB238" s="1"/>
      <c r="BGC238" s="1"/>
      <c r="BGD238" s="1"/>
      <c r="BGE238" s="1"/>
      <c r="BGF238" s="1"/>
      <c r="BGG238" s="1"/>
      <c r="BGH238" s="1"/>
      <c r="BGI238" s="1"/>
      <c r="BGJ238" s="1"/>
      <c r="BGK238" s="1"/>
      <c r="BGL238" s="1"/>
      <c r="BGM238" s="1"/>
      <c r="BGN238" s="1"/>
      <c r="BGO238" s="1"/>
      <c r="BGP238" s="1"/>
      <c r="BGQ238" s="1"/>
      <c r="BGR238" s="1"/>
      <c r="BGS238" s="1"/>
      <c r="BGT238" s="1"/>
      <c r="BGU238" s="1"/>
      <c r="BGV238" s="1"/>
      <c r="BGW238" s="1"/>
      <c r="BGX238" s="1"/>
      <c r="BGY238" s="1"/>
      <c r="BGZ238" s="1"/>
      <c r="BHA238" s="1"/>
      <c r="BHB238" s="1"/>
      <c r="BHC238" s="1"/>
      <c r="BHD238" s="1"/>
      <c r="BHE238" s="1"/>
      <c r="BHF238" s="1"/>
      <c r="BHG238" s="1"/>
      <c r="BHH238" s="1"/>
      <c r="BHI238" s="1"/>
      <c r="BHJ238" s="1"/>
      <c r="BHK238" s="1"/>
      <c r="BHL238" s="1"/>
      <c r="BHM238" s="1"/>
      <c r="BHN238" s="1"/>
      <c r="BHO238" s="1"/>
      <c r="BHP238" s="1"/>
      <c r="BHQ238" s="1"/>
      <c r="BHR238" s="1"/>
      <c r="BHS238" s="1"/>
      <c r="BHT238" s="1"/>
      <c r="BHU238" s="1"/>
      <c r="BHV238" s="1"/>
      <c r="BHW238" s="1"/>
      <c r="BHX238" s="1"/>
      <c r="BHY238" s="1"/>
      <c r="BHZ238" s="1"/>
      <c r="BIA238" s="1"/>
      <c r="BIB238" s="1"/>
      <c r="BIC238" s="1"/>
      <c r="BID238" s="1"/>
      <c r="BIE238" s="1"/>
      <c r="BIF238" s="1"/>
      <c r="BIG238" s="1"/>
      <c r="BIH238" s="1"/>
      <c r="BII238" s="1"/>
      <c r="BIJ238" s="1"/>
      <c r="BIK238" s="1"/>
      <c r="BIL238" s="1"/>
      <c r="BIM238" s="1"/>
      <c r="BIN238" s="1"/>
      <c r="BIO238" s="1"/>
      <c r="BIP238" s="1"/>
      <c r="BIQ238" s="1"/>
      <c r="BIR238" s="1"/>
      <c r="BIS238" s="1"/>
      <c r="BIT238" s="1"/>
      <c r="BIU238" s="1"/>
      <c r="BIV238" s="1"/>
      <c r="BIW238" s="1"/>
      <c r="BIX238" s="1"/>
      <c r="BIY238" s="1"/>
      <c r="BIZ238" s="1"/>
      <c r="BJA238" s="1"/>
      <c r="BJB238" s="1"/>
      <c r="BJC238" s="1"/>
      <c r="BJD238" s="1"/>
      <c r="BJE238" s="1"/>
      <c r="BJF238" s="1"/>
      <c r="BJG238" s="1"/>
      <c r="BJH238" s="1"/>
      <c r="BJI238" s="1"/>
      <c r="BJJ238" s="1"/>
      <c r="BJK238" s="1"/>
      <c r="BJL238" s="1"/>
      <c r="BJM238" s="1"/>
      <c r="BJN238" s="1"/>
      <c r="BJO238" s="1"/>
      <c r="BJP238" s="1"/>
      <c r="BJQ238" s="1"/>
      <c r="BJR238" s="1"/>
      <c r="BJS238" s="1"/>
      <c r="BJT238" s="1"/>
      <c r="BJU238" s="1"/>
      <c r="BJV238" s="1"/>
      <c r="BJW238" s="1"/>
      <c r="BJX238" s="1"/>
      <c r="BJY238" s="1"/>
      <c r="BJZ238" s="1"/>
      <c r="BKA238" s="1"/>
      <c r="BKB238" s="1"/>
      <c r="BKC238" s="1"/>
      <c r="BKD238" s="1"/>
      <c r="BKE238" s="1"/>
      <c r="BKF238" s="1"/>
      <c r="BKG238" s="1"/>
      <c r="BKH238" s="1"/>
      <c r="BKI238" s="1"/>
      <c r="BKJ238" s="1"/>
      <c r="BKK238" s="1"/>
      <c r="BKL238" s="1"/>
      <c r="BKM238" s="1"/>
      <c r="BKN238" s="1"/>
      <c r="BKO238" s="1"/>
      <c r="BKP238" s="1"/>
      <c r="BKQ238" s="1"/>
      <c r="BKR238" s="1"/>
      <c r="BKS238" s="1"/>
      <c r="BKT238" s="1"/>
      <c r="BKU238" s="1"/>
      <c r="BKV238" s="1"/>
      <c r="BKW238" s="1"/>
      <c r="BKX238" s="1"/>
      <c r="BKY238" s="1"/>
      <c r="BKZ238" s="1"/>
      <c r="BLA238" s="1"/>
      <c r="BLB238" s="1"/>
      <c r="BLC238" s="1"/>
      <c r="BLD238" s="1"/>
      <c r="BLE238" s="1"/>
      <c r="BLF238" s="1"/>
      <c r="BLG238" s="1"/>
      <c r="BLH238" s="1"/>
      <c r="BLI238" s="1"/>
      <c r="BLJ238" s="1"/>
      <c r="BLK238" s="1"/>
      <c r="BLL238" s="1"/>
      <c r="BLM238" s="1"/>
      <c r="BLN238" s="1"/>
      <c r="BLO238" s="1"/>
      <c r="BLP238" s="1"/>
      <c r="BLQ238" s="1"/>
      <c r="BLR238" s="1"/>
      <c r="BLS238" s="1"/>
      <c r="BLT238" s="1"/>
      <c r="BLU238" s="1"/>
      <c r="BLV238" s="1"/>
      <c r="BLW238" s="1"/>
      <c r="BLX238" s="1"/>
      <c r="BLY238" s="1"/>
      <c r="BLZ238" s="1"/>
      <c r="BMA238" s="1"/>
      <c r="BMB238" s="1"/>
      <c r="BMC238" s="1"/>
      <c r="BMD238" s="1"/>
      <c r="BME238" s="1"/>
      <c r="BMF238" s="1"/>
      <c r="BMG238" s="1"/>
      <c r="BMH238" s="1"/>
      <c r="BMI238" s="1"/>
      <c r="BMJ238" s="1"/>
      <c r="BMK238" s="1"/>
      <c r="BML238" s="1"/>
      <c r="BMM238" s="1"/>
      <c r="BMN238" s="1"/>
      <c r="BMO238" s="1"/>
      <c r="BMP238" s="1"/>
      <c r="BMQ238" s="1"/>
      <c r="BMR238" s="1"/>
      <c r="BMS238" s="1"/>
      <c r="BMT238" s="1"/>
      <c r="BMU238" s="1"/>
      <c r="BMV238" s="1"/>
      <c r="BMW238" s="1"/>
      <c r="BMX238" s="1"/>
      <c r="BMY238" s="1"/>
      <c r="BMZ238" s="1"/>
      <c r="BNA238" s="1"/>
      <c r="BNB238" s="1"/>
      <c r="BNC238" s="1"/>
      <c r="BND238" s="1"/>
      <c r="BNE238" s="1"/>
      <c r="BNF238" s="1"/>
      <c r="BNG238" s="1"/>
      <c r="BNH238" s="1"/>
      <c r="BNI238" s="1"/>
      <c r="BNJ238" s="1"/>
      <c r="BNK238" s="1"/>
      <c r="BNL238" s="1"/>
      <c r="BNM238" s="1"/>
      <c r="BNN238" s="1"/>
      <c r="BNO238" s="1"/>
      <c r="BNP238" s="1"/>
      <c r="BNQ238" s="1"/>
      <c r="BNR238" s="1"/>
      <c r="BNS238" s="1"/>
      <c r="BNT238" s="1"/>
      <c r="BNU238" s="1"/>
      <c r="BNV238" s="1"/>
      <c r="BNW238" s="1"/>
      <c r="BNX238" s="1"/>
      <c r="BNY238" s="1"/>
      <c r="BNZ238" s="1"/>
      <c r="BOA238" s="1"/>
      <c r="BOB238" s="1"/>
      <c r="BOC238" s="1"/>
      <c r="BOD238" s="1"/>
      <c r="BOE238" s="1"/>
      <c r="BOF238" s="1"/>
      <c r="BOG238" s="1"/>
      <c r="BOH238" s="1"/>
      <c r="BOI238" s="1"/>
      <c r="BOJ238" s="1"/>
      <c r="BOK238" s="1"/>
      <c r="BOL238" s="1"/>
      <c r="BOM238" s="1"/>
      <c r="BON238" s="1"/>
      <c r="BOO238" s="1"/>
      <c r="BOP238" s="1"/>
      <c r="BOQ238" s="1"/>
      <c r="BOR238" s="1"/>
      <c r="BOS238" s="1"/>
      <c r="BOT238" s="1"/>
      <c r="BOU238" s="1"/>
      <c r="BOV238" s="1"/>
      <c r="BOW238" s="1"/>
      <c r="BOX238" s="1"/>
      <c r="BOY238" s="1"/>
      <c r="BOZ238" s="1"/>
      <c r="BPA238" s="1"/>
      <c r="BPB238" s="1"/>
      <c r="BPC238" s="1"/>
      <c r="BPD238" s="1"/>
      <c r="BPE238" s="1"/>
      <c r="BPF238" s="1"/>
      <c r="BPG238" s="1"/>
      <c r="BPH238" s="1"/>
      <c r="BPI238" s="1"/>
      <c r="BPJ238" s="1"/>
      <c r="BPK238" s="1"/>
      <c r="BPL238" s="1"/>
      <c r="BPM238" s="1"/>
      <c r="BPN238" s="1"/>
      <c r="BPO238" s="1"/>
      <c r="BPP238" s="1"/>
      <c r="BPQ238" s="1"/>
      <c r="BPR238" s="1"/>
      <c r="BPS238" s="1"/>
      <c r="BPT238" s="1"/>
      <c r="BPU238" s="1"/>
      <c r="BPV238" s="1"/>
      <c r="BPW238" s="1"/>
      <c r="BPX238" s="1"/>
      <c r="BPY238" s="1"/>
      <c r="BPZ238" s="1"/>
      <c r="BQA238" s="1"/>
      <c r="BQB238" s="1"/>
      <c r="BQC238" s="1"/>
      <c r="BQD238" s="1"/>
      <c r="BQE238" s="1"/>
      <c r="BQF238" s="1"/>
      <c r="BQG238" s="1"/>
      <c r="BQH238" s="1"/>
      <c r="BQI238" s="1"/>
      <c r="BQJ238" s="1"/>
      <c r="BQK238" s="1"/>
      <c r="BQL238" s="1"/>
      <c r="BQM238" s="1"/>
      <c r="BQN238" s="1"/>
      <c r="BQO238" s="1"/>
      <c r="BQP238" s="1"/>
      <c r="BQQ238" s="1"/>
      <c r="BQR238" s="1"/>
      <c r="BQS238" s="1"/>
      <c r="BQT238" s="1"/>
      <c r="BQU238" s="1"/>
      <c r="BQV238" s="1"/>
      <c r="BQW238" s="1"/>
      <c r="BQX238" s="1"/>
      <c r="BQY238" s="1"/>
      <c r="BQZ238" s="1"/>
      <c r="BRA238" s="1"/>
      <c r="BRB238" s="1"/>
      <c r="BRC238" s="1"/>
      <c r="BRD238" s="1"/>
      <c r="BRE238" s="1"/>
      <c r="BRF238" s="1"/>
      <c r="BRG238" s="1"/>
      <c r="BRH238" s="1"/>
      <c r="BRI238" s="1"/>
      <c r="BRJ238" s="1"/>
      <c r="BRK238" s="1"/>
      <c r="BRL238" s="1"/>
      <c r="BRM238" s="1"/>
      <c r="BRN238" s="1"/>
      <c r="BRO238" s="1"/>
      <c r="BRP238" s="1"/>
      <c r="BRQ238" s="1"/>
      <c r="BRR238" s="1"/>
      <c r="BRS238" s="1"/>
      <c r="BRT238" s="1"/>
      <c r="BRU238" s="1"/>
      <c r="BRV238" s="1"/>
      <c r="BRW238" s="1"/>
      <c r="BRX238" s="1"/>
      <c r="BRY238" s="1"/>
      <c r="BRZ238" s="1"/>
      <c r="BSA238" s="1"/>
      <c r="BSB238" s="1"/>
      <c r="BSC238" s="1"/>
      <c r="BSD238" s="1"/>
      <c r="BSE238" s="1"/>
      <c r="BSF238" s="1"/>
      <c r="BSG238" s="1"/>
      <c r="BSH238" s="1"/>
      <c r="BSI238" s="1"/>
      <c r="BSJ238" s="1"/>
      <c r="BSK238" s="1"/>
      <c r="BSL238" s="1"/>
      <c r="BSM238" s="1"/>
      <c r="BSN238" s="1"/>
      <c r="BSO238" s="1"/>
      <c r="BSP238" s="1"/>
      <c r="BSQ238" s="1"/>
      <c r="BSR238" s="1"/>
      <c r="BSS238" s="1"/>
      <c r="BST238" s="1"/>
      <c r="BSU238" s="1"/>
      <c r="BSV238" s="1"/>
      <c r="BSW238" s="1"/>
      <c r="BSX238" s="1"/>
      <c r="BSY238" s="1"/>
      <c r="BSZ238" s="1"/>
      <c r="BTA238" s="1"/>
      <c r="BTB238" s="1"/>
      <c r="BTC238" s="1"/>
      <c r="BTD238" s="1"/>
      <c r="BTE238" s="1"/>
      <c r="BTF238" s="1"/>
      <c r="BTG238" s="1"/>
      <c r="BTH238" s="1"/>
      <c r="BTI238" s="1"/>
      <c r="BTJ238" s="1"/>
      <c r="BTK238" s="1"/>
      <c r="BTL238" s="1"/>
      <c r="BTM238" s="1"/>
      <c r="BTN238" s="1"/>
      <c r="BTO238" s="1"/>
      <c r="BTP238" s="1"/>
      <c r="BTQ238" s="1"/>
      <c r="BTR238" s="1"/>
      <c r="BTS238" s="1"/>
      <c r="BTT238" s="1"/>
      <c r="BTU238" s="1"/>
      <c r="BTV238" s="1"/>
      <c r="BTW238" s="1"/>
      <c r="BTX238" s="1"/>
      <c r="BTY238" s="1"/>
      <c r="BTZ238" s="1"/>
      <c r="BUA238" s="1"/>
      <c r="BUB238" s="1"/>
      <c r="BUC238" s="1"/>
      <c r="BUD238" s="1"/>
      <c r="BUE238" s="1"/>
      <c r="BUF238" s="1"/>
      <c r="BUG238" s="1"/>
      <c r="BUH238" s="1"/>
      <c r="BUI238" s="1"/>
      <c r="BUJ238" s="1"/>
      <c r="BUK238" s="1"/>
      <c r="BUL238" s="1"/>
      <c r="BUM238" s="1"/>
      <c r="BUN238" s="1"/>
      <c r="BUO238" s="1"/>
      <c r="BUP238" s="1"/>
      <c r="BUQ238" s="1"/>
      <c r="BUR238" s="1"/>
      <c r="BUS238" s="1"/>
      <c r="BUT238" s="1"/>
      <c r="BUU238" s="1"/>
      <c r="BUV238" s="1"/>
      <c r="BUW238" s="1"/>
      <c r="BUX238" s="1"/>
      <c r="BUY238" s="1"/>
      <c r="BUZ238" s="1"/>
      <c r="BVA238" s="1"/>
      <c r="BVB238" s="1"/>
      <c r="BVC238" s="1"/>
      <c r="BVD238" s="1"/>
      <c r="BVE238" s="1"/>
      <c r="BVF238" s="1"/>
      <c r="BVG238" s="1"/>
      <c r="BVH238" s="1"/>
      <c r="BVI238" s="1"/>
      <c r="BVJ238" s="1"/>
      <c r="BVK238" s="1"/>
      <c r="BVL238" s="1"/>
      <c r="BVM238" s="1"/>
      <c r="BVN238" s="1"/>
      <c r="BVO238" s="1"/>
      <c r="BVP238" s="1"/>
      <c r="BVQ238" s="1"/>
      <c r="BVR238" s="1"/>
      <c r="BVS238" s="1"/>
      <c r="BVT238" s="1"/>
      <c r="BVU238" s="1"/>
      <c r="BVV238" s="1"/>
      <c r="BVW238" s="1"/>
      <c r="BVX238" s="1"/>
      <c r="BVY238" s="1"/>
      <c r="BVZ238" s="1"/>
      <c r="BWA238" s="1"/>
      <c r="BWB238" s="1"/>
      <c r="BWC238" s="1"/>
      <c r="BWD238" s="1"/>
      <c r="BWE238" s="1"/>
      <c r="BWF238" s="1"/>
      <c r="BWG238" s="1"/>
      <c r="BWH238" s="1"/>
      <c r="BWI238" s="1"/>
      <c r="BWJ238" s="1"/>
      <c r="BWK238" s="1"/>
      <c r="BWL238" s="1"/>
      <c r="BWM238" s="1"/>
      <c r="BWN238" s="1"/>
      <c r="BWO238" s="1"/>
      <c r="BWP238" s="1"/>
      <c r="BWQ238" s="1"/>
      <c r="BWR238" s="1"/>
      <c r="BWS238" s="1"/>
      <c r="BWT238" s="1"/>
      <c r="BWU238" s="1"/>
      <c r="BWV238" s="1"/>
      <c r="BWW238" s="1"/>
      <c r="BWX238" s="1"/>
      <c r="BWY238" s="1"/>
      <c r="BWZ238" s="1"/>
      <c r="BXA238" s="1"/>
      <c r="BXB238" s="1"/>
      <c r="BXC238" s="1"/>
      <c r="BXD238" s="1"/>
      <c r="BXE238" s="1"/>
      <c r="BXF238" s="1"/>
      <c r="BXG238" s="1"/>
      <c r="BXH238" s="1"/>
      <c r="BXI238" s="1"/>
      <c r="BXJ238" s="1"/>
      <c r="BXK238" s="1"/>
      <c r="BXL238" s="1"/>
      <c r="BXM238" s="1"/>
      <c r="BXN238" s="1"/>
      <c r="BXO238" s="1"/>
      <c r="BXP238" s="1"/>
      <c r="BXQ238" s="1"/>
      <c r="BXR238" s="1"/>
      <c r="BXS238" s="1"/>
      <c r="BXT238" s="1"/>
      <c r="BXU238" s="1"/>
      <c r="BXV238" s="1"/>
      <c r="BXW238" s="1"/>
      <c r="BXX238" s="1"/>
      <c r="BXY238" s="1"/>
      <c r="BXZ238" s="1"/>
      <c r="BYA238" s="1"/>
      <c r="BYB238" s="1"/>
      <c r="BYC238" s="1"/>
      <c r="BYD238" s="1"/>
      <c r="BYE238" s="1"/>
      <c r="BYF238" s="1"/>
      <c r="BYG238" s="1"/>
      <c r="BYH238" s="1"/>
      <c r="BYI238" s="1"/>
      <c r="BYJ238" s="1"/>
      <c r="BYK238" s="1"/>
      <c r="BYL238" s="1"/>
      <c r="BYM238" s="1"/>
      <c r="BYN238" s="1"/>
      <c r="BYO238" s="1"/>
      <c r="BYP238" s="1"/>
      <c r="BYQ238" s="1"/>
      <c r="BYR238" s="1"/>
      <c r="BYS238" s="1"/>
      <c r="BYT238" s="1"/>
      <c r="BYU238" s="1"/>
      <c r="BYV238" s="1"/>
      <c r="BYW238" s="1"/>
      <c r="BYX238" s="1"/>
      <c r="BYY238" s="1"/>
      <c r="BYZ238" s="1"/>
      <c r="BZA238" s="1"/>
      <c r="BZB238" s="1"/>
      <c r="BZC238" s="1"/>
      <c r="BZD238" s="1"/>
      <c r="BZE238" s="1"/>
      <c r="BZF238" s="1"/>
      <c r="BZG238" s="1"/>
      <c r="BZH238" s="1"/>
      <c r="BZI238" s="1"/>
      <c r="BZJ238" s="1"/>
      <c r="BZK238" s="1"/>
      <c r="BZL238" s="1"/>
      <c r="BZM238" s="1"/>
      <c r="BZN238" s="1"/>
      <c r="BZO238" s="1"/>
      <c r="BZP238" s="1"/>
      <c r="BZQ238" s="1"/>
      <c r="BZR238" s="1"/>
      <c r="BZS238" s="1"/>
      <c r="BZT238" s="1"/>
      <c r="BZU238" s="1"/>
      <c r="BZV238" s="1"/>
      <c r="BZW238" s="1"/>
      <c r="BZX238" s="1"/>
      <c r="BZY238" s="1"/>
      <c r="BZZ238" s="1"/>
      <c r="CAA238" s="1"/>
      <c r="CAB238" s="1"/>
      <c r="CAC238" s="1"/>
      <c r="CAD238" s="1"/>
      <c r="CAE238" s="1"/>
      <c r="CAF238" s="1"/>
      <c r="CAG238" s="1"/>
      <c r="CAH238" s="1"/>
      <c r="CAI238" s="1"/>
      <c r="CAJ238" s="1"/>
      <c r="CAK238" s="1"/>
      <c r="CAL238" s="1"/>
      <c r="CAM238" s="1"/>
      <c r="CAN238" s="1"/>
      <c r="CAO238" s="1"/>
      <c r="CAP238" s="1"/>
      <c r="CAQ238" s="1"/>
      <c r="CAR238" s="1"/>
      <c r="CAS238" s="1"/>
      <c r="CAT238" s="1"/>
      <c r="CAU238" s="1"/>
      <c r="CAV238" s="1"/>
      <c r="CAW238" s="1"/>
      <c r="CAX238" s="1"/>
      <c r="CAY238" s="1"/>
      <c r="CAZ238" s="1"/>
      <c r="CBA238" s="1"/>
      <c r="CBB238" s="1"/>
      <c r="CBC238" s="1"/>
      <c r="CBD238" s="1"/>
      <c r="CBE238" s="1"/>
      <c r="CBF238" s="1"/>
      <c r="CBG238" s="1"/>
      <c r="CBH238" s="1"/>
      <c r="CBI238" s="1"/>
      <c r="CBJ238" s="1"/>
      <c r="CBK238" s="1"/>
      <c r="CBL238" s="1"/>
      <c r="CBM238" s="1"/>
      <c r="CBN238" s="1"/>
      <c r="CBO238" s="1"/>
      <c r="CBP238" s="1"/>
      <c r="CBQ238" s="1"/>
      <c r="CBR238" s="1"/>
      <c r="CBS238" s="1"/>
      <c r="CBT238" s="1"/>
      <c r="CBU238" s="1"/>
      <c r="CBV238" s="1"/>
      <c r="CBW238" s="1"/>
      <c r="CBX238" s="1"/>
      <c r="CBY238" s="1"/>
      <c r="CBZ238" s="1"/>
      <c r="CCA238" s="1"/>
      <c r="CCB238" s="1"/>
      <c r="CCC238" s="1"/>
      <c r="CCD238" s="1"/>
      <c r="CCE238" s="1"/>
      <c r="CCF238" s="1"/>
      <c r="CCG238" s="1"/>
      <c r="CCH238" s="1"/>
      <c r="CCI238" s="1"/>
      <c r="CCJ238" s="1"/>
      <c r="CCK238" s="1"/>
      <c r="CCL238" s="1"/>
      <c r="CCM238" s="1"/>
      <c r="CCN238" s="1"/>
      <c r="CCO238" s="1"/>
      <c r="CCP238" s="1"/>
      <c r="CCQ238" s="1"/>
      <c r="CCR238" s="1"/>
      <c r="CCS238" s="1"/>
      <c r="CCT238" s="1"/>
      <c r="CCU238" s="1"/>
      <c r="CCV238" s="1"/>
      <c r="CCW238" s="1"/>
      <c r="CCX238" s="1"/>
      <c r="CCY238" s="1"/>
      <c r="CCZ238" s="1"/>
      <c r="CDA238" s="1"/>
      <c r="CDB238" s="1"/>
      <c r="CDC238" s="1"/>
      <c r="CDD238" s="1"/>
      <c r="CDE238" s="1"/>
      <c r="CDF238" s="1"/>
      <c r="CDG238" s="1"/>
      <c r="CDH238" s="1"/>
      <c r="CDI238" s="1"/>
      <c r="CDJ238" s="1"/>
      <c r="CDK238" s="1"/>
      <c r="CDL238" s="1"/>
      <c r="CDM238" s="1"/>
      <c r="CDN238" s="1"/>
      <c r="CDO238" s="1"/>
      <c r="CDP238" s="1"/>
      <c r="CDQ238" s="1"/>
      <c r="CDR238" s="1"/>
      <c r="CDS238" s="1"/>
      <c r="CDT238" s="1"/>
      <c r="CDU238" s="1"/>
      <c r="CDV238" s="1"/>
      <c r="CDW238" s="1"/>
      <c r="CDX238" s="1"/>
      <c r="CDY238" s="1"/>
      <c r="CDZ238" s="1"/>
      <c r="CEA238" s="1"/>
      <c r="CEB238" s="1"/>
      <c r="CEC238" s="1"/>
      <c r="CED238" s="1"/>
      <c r="CEE238" s="1"/>
      <c r="CEF238" s="1"/>
      <c r="CEG238" s="1"/>
      <c r="CEH238" s="1"/>
      <c r="CEI238" s="1"/>
      <c r="CEJ238" s="1"/>
      <c r="CEK238" s="1"/>
      <c r="CEL238" s="1"/>
      <c r="CEM238" s="1"/>
      <c r="CEN238" s="1"/>
      <c r="CEO238" s="1"/>
      <c r="CEP238" s="1"/>
      <c r="CEQ238" s="1"/>
      <c r="CER238" s="1"/>
      <c r="CES238" s="1"/>
      <c r="CET238" s="1"/>
      <c r="CEU238" s="1"/>
      <c r="CEV238" s="1"/>
      <c r="CEW238" s="1"/>
      <c r="CEX238" s="1"/>
      <c r="CEY238" s="1"/>
      <c r="CEZ238" s="1"/>
      <c r="CFA238" s="1"/>
      <c r="CFB238" s="1"/>
      <c r="CFC238" s="1"/>
      <c r="CFD238" s="1"/>
      <c r="CFE238" s="1"/>
      <c r="CFF238" s="1"/>
      <c r="CFG238" s="1"/>
      <c r="CFH238" s="1"/>
      <c r="CFI238" s="1"/>
      <c r="CFJ238" s="1"/>
      <c r="CFK238" s="1"/>
      <c r="CFL238" s="1"/>
      <c r="CFM238" s="1"/>
      <c r="CFN238" s="1"/>
      <c r="CFO238" s="1"/>
      <c r="CFP238" s="1"/>
      <c r="CFQ238" s="1"/>
      <c r="CFR238" s="1"/>
      <c r="CFS238" s="1"/>
      <c r="CFT238" s="1"/>
      <c r="CFU238" s="1"/>
      <c r="CFV238" s="1"/>
      <c r="CFW238" s="1"/>
      <c r="CFX238" s="1"/>
      <c r="CFY238" s="1"/>
      <c r="CFZ238" s="1"/>
      <c r="CGA238" s="1"/>
      <c r="CGB238" s="1"/>
      <c r="CGC238" s="1"/>
      <c r="CGD238" s="1"/>
      <c r="CGE238" s="1"/>
      <c r="CGF238" s="1"/>
      <c r="CGG238" s="1"/>
      <c r="CGH238" s="1"/>
      <c r="CGI238" s="1"/>
      <c r="CGJ238" s="1"/>
      <c r="CGK238" s="1"/>
      <c r="CGL238" s="1"/>
      <c r="CGM238" s="1"/>
      <c r="CGN238" s="1"/>
      <c r="CGO238" s="1"/>
      <c r="CGP238" s="1"/>
      <c r="CGQ238" s="1"/>
      <c r="CGR238" s="1"/>
      <c r="CGS238" s="1"/>
      <c r="CGT238" s="1"/>
      <c r="CGU238" s="1"/>
      <c r="CGV238" s="1"/>
      <c r="CGW238" s="1"/>
      <c r="CGX238" s="1"/>
      <c r="CGY238" s="1"/>
      <c r="CGZ238" s="1"/>
      <c r="CHA238" s="1"/>
      <c r="CHB238" s="1"/>
      <c r="CHC238" s="1"/>
      <c r="CHD238" s="1"/>
      <c r="CHE238" s="1"/>
      <c r="CHF238" s="1"/>
      <c r="CHG238" s="1"/>
      <c r="CHH238" s="1"/>
      <c r="CHI238" s="1"/>
      <c r="CHJ238" s="1"/>
      <c r="CHK238" s="1"/>
      <c r="CHL238" s="1"/>
      <c r="CHM238" s="1"/>
      <c r="CHN238" s="1"/>
      <c r="CHO238" s="1"/>
      <c r="CHP238" s="1"/>
      <c r="CHQ238" s="1"/>
      <c r="CHR238" s="1"/>
      <c r="CHS238" s="1"/>
      <c r="CHT238" s="1"/>
      <c r="CHU238" s="1"/>
      <c r="CHV238" s="1"/>
      <c r="CHW238" s="1"/>
      <c r="CHX238" s="1"/>
      <c r="CHY238" s="1"/>
      <c r="CHZ238" s="1"/>
      <c r="CIA238" s="1"/>
      <c r="CIB238" s="1"/>
      <c r="CIC238" s="1"/>
      <c r="CID238" s="1"/>
      <c r="CIE238" s="1"/>
      <c r="CIF238" s="1"/>
      <c r="CIG238" s="1"/>
      <c r="CIH238" s="1"/>
      <c r="CII238" s="1"/>
      <c r="CIJ238" s="1"/>
      <c r="CIK238" s="1"/>
      <c r="CIL238" s="1"/>
      <c r="CIM238" s="1"/>
      <c r="CIN238" s="1"/>
      <c r="CIO238" s="1"/>
      <c r="CIP238" s="1"/>
      <c r="CIQ238" s="1"/>
      <c r="CIR238" s="1"/>
      <c r="CIS238" s="1"/>
      <c r="CIT238" s="1"/>
      <c r="CIU238" s="1"/>
      <c r="CIV238" s="1"/>
      <c r="CIW238" s="1"/>
      <c r="CIX238" s="1"/>
      <c r="CIY238" s="1"/>
      <c r="CIZ238" s="1"/>
      <c r="CJA238" s="1"/>
      <c r="CJB238" s="1"/>
      <c r="CJC238" s="1"/>
      <c r="CJD238" s="1"/>
      <c r="CJE238" s="1"/>
      <c r="CJF238" s="1"/>
      <c r="CJG238" s="1"/>
      <c r="CJH238" s="1"/>
      <c r="CJI238" s="1"/>
      <c r="CJJ238" s="1"/>
      <c r="CJK238" s="1"/>
      <c r="CJL238" s="1"/>
      <c r="CJM238" s="1"/>
      <c r="CJN238" s="1"/>
      <c r="CJO238" s="1"/>
      <c r="CJP238" s="1"/>
      <c r="CJQ238" s="1"/>
      <c r="CJR238" s="1"/>
      <c r="CJS238" s="1"/>
      <c r="CJT238" s="1"/>
      <c r="CJU238" s="1"/>
      <c r="CJV238" s="1"/>
      <c r="CJW238" s="1"/>
      <c r="CJX238" s="1"/>
      <c r="CJY238" s="1"/>
      <c r="CJZ238" s="1"/>
      <c r="CKA238" s="1"/>
      <c r="CKB238" s="1"/>
      <c r="CKC238" s="1"/>
      <c r="CKD238" s="1"/>
      <c r="CKE238" s="1"/>
      <c r="CKF238" s="1"/>
      <c r="CKG238" s="1"/>
      <c r="CKH238" s="1"/>
      <c r="CKI238" s="1"/>
      <c r="CKJ238" s="1"/>
      <c r="CKK238" s="1"/>
      <c r="CKL238" s="1"/>
      <c r="CKM238" s="1"/>
      <c r="CKN238" s="1"/>
      <c r="CKO238" s="1"/>
      <c r="CKP238" s="1"/>
      <c r="CKQ238" s="1"/>
      <c r="CKR238" s="1"/>
      <c r="CKS238" s="1"/>
      <c r="CKT238" s="1"/>
      <c r="CKU238" s="1"/>
      <c r="CKV238" s="1"/>
      <c r="CKW238" s="1"/>
      <c r="CKX238" s="1"/>
      <c r="CKY238" s="1"/>
      <c r="CKZ238" s="1"/>
      <c r="CLA238" s="1"/>
      <c r="CLB238" s="1"/>
      <c r="CLC238" s="1"/>
      <c r="CLD238" s="1"/>
      <c r="CLE238" s="1"/>
      <c r="CLF238" s="1"/>
      <c r="CLG238" s="1"/>
      <c r="CLH238" s="1"/>
      <c r="CLI238" s="1"/>
      <c r="CLJ238" s="1"/>
      <c r="CLK238" s="1"/>
      <c r="CLL238" s="1"/>
      <c r="CLM238" s="1"/>
      <c r="CLN238" s="1"/>
      <c r="CLO238" s="1"/>
      <c r="CLP238" s="1"/>
      <c r="CLQ238" s="1"/>
      <c r="CLR238" s="1"/>
      <c r="CLS238" s="1"/>
      <c r="CLT238" s="1"/>
      <c r="CLU238" s="1"/>
      <c r="CLV238" s="1"/>
      <c r="CLW238" s="1"/>
      <c r="CLX238" s="1"/>
      <c r="CLY238" s="1"/>
      <c r="CLZ238" s="1"/>
      <c r="CMA238" s="1"/>
      <c r="CMB238" s="1"/>
      <c r="CMC238" s="1"/>
      <c r="CMD238" s="1"/>
      <c r="CME238" s="1"/>
      <c r="CMF238" s="1"/>
      <c r="CMG238" s="1"/>
      <c r="CMH238" s="1"/>
      <c r="CMI238" s="1"/>
      <c r="CMJ238" s="1"/>
      <c r="CMK238" s="1"/>
      <c r="CML238" s="1"/>
      <c r="CMM238" s="1"/>
      <c r="CMN238" s="1"/>
      <c r="CMO238" s="1"/>
      <c r="CMP238" s="1"/>
      <c r="CMQ238" s="1"/>
      <c r="CMR238" s="1"/>
      <c r="CMS238" s="1"/>
      <c r="CMT238" s="1"/>
      <c r="CMU238" s="1"/>
      <c r="CMV238" s="1"/>
      <c r="CMW238" s="1"/>
      <c r="CMX238" s="1"/>
      <c r="CMY238" s="1"/>
      <c r="CMZ238" s="1"/>
      <c r="CNA238" s="1"/>
      <c r="CNB238" s="1"/>
      <c r="CNC238" s="1"/>
      <c r="CND238" s="1"/>
      <c r="CNE238" s="1"/>
      <c r="CNF238" s="1"/>
      <c r="CNG238" s="1"/>
      <c r="CNH238" s="1"/>
      <c r="CNI238" s="1"/>
      <c r="CNJ238" s="1"/>
      <c r="CNK238" s="1"/>
      <c r="CNL238" s="1"/>
      <c r="CNM238" s="1"/>
      <c r="CNN238" s="1"/>
      <c r="CNO238" s="1"/>
      <c r="CNP238" s="1"/>
      <c r="CNQ238" s="1"/>
      <c r="CNR238" s="1"/>
      <c r="CNS238" s="1"/>
      <c r="CNT238" s="1"/>
      <c r="CNU238" s="1"/>
      <c r="CNV238" s="1"/>
      <c r="CNW238" s="1"/>
      <c r="CNX238" s="1"/>
      <c r="CNY238" s="1"/>
      <c r="CNZ238" s="1"/>
      <c r="COA238" s="1"/>
      <c r="COB238" s="1"/>
      <c r="COC238" s="1"/>
      <c r="COD238" s="1"/>
      <c r="COE238" s="1"/>
      <c r="COF238" s="1"/>
      <c r="COG238" s="1"/>
      <c r="COH238" s="1"/>
      <c r="COI238" s="1"/>
      <c r="COJ238" s="1"/>
      <c r="COK238" s="1"/>
      <c r="COL238" s="1"/>
      <c r="COM238" s="1"/>
      <c r="CON238" s="1"/>
      <c r="COO238" s="1"/>
      <c r="COP238" s="1"/>
      <c r="COQ238" s="1"/>
      <c r="COR238" s="1"/>
      <c r="COS238" s="1"/>
      <c r="COT238" s="1"/>
      <c r="COU238" s="1"/>
      <c r="COV238" s="1"/>
      <c r="COW238" s="1"/>
      <c r="COX238" s="1"/>
      <c r="COY238" s="1"/>
      <c r="COZ238" s="1"/>
      <c r="CPA238" s="1"/>
      <c r="CPB238" s="1"/>
      <c r="CPC238" s="1"/>
      <c r="CPD238" s="1"/>
      <c r="CPE238" s="1"/>
      <c r="CPF238" s="1"/>
      <c r="CPG238" s="1"/>
      <c r="CPH238" s="1"/>
      <c r="CPI238" s="1"/>
      <c r="CPJ238" s="1"/>
      <c r="CPK238" s="1"/>
      <c r="CPL238" s="1"/>
      <c r="CPM238" s="1"/>
      <c r="CPN238" s="1"/>
      <c r="CPO238" s="1"/>
      <c r="CPP238" s="1"/>
      <c r="CPQ238" s="1"/>
      <c r="CPR238" s="1"/>
      <c r="CPS238" s="1"/>
      <c r="CPT238" s="1"/>
      <c r="CPU238" s="1"/>
      <c r="CPV238" s="1"/>
      <c r="CPW238" s="1"/>
      <c r="CPX238" s="1"/>
      <c r="CPY238" s="1"/>
      <c r="CPZ238" s="1"/>
      <c r="CQA238" s="1"/>
      <c r="CQB238" s="1"/>
      <c r="CQC238" s="1"/>
      <c r="CQD238" s="1"/>
      <c r="CQE238" s="1"/>
      <c r="CQF238" s="1"/>
      <c r="CQG238" s="1"/>
      <c r="CQH238" s="1"/>
      <c r="CQI238" s="1"/>
      <c r="CQJ238" s="1"/>
      <c r="CQK238" s="1"/>
      <c r="CQL238" s="1"/>
      <c r="CQM238" s="1"/>
      <c r="CQN238" s="1"/>
      <c r="CQO238" s="1"/>
      <c r="CQP238" s="1"/>
      <c r="CQQ238" s="1"/>
      <c r="CQR238" s="1"/>
      <c r="CQS238" s="1"/>
      <c r="CQT238" s="1"/>
      <c r="CQU238" s="1"/>
      <c r="CQV238" s="1"/>
      <c r="CQW238" s="1"/>
      <c r="CQX238" s="1"/>
      <c r="CQY238" s="1"/>
      <c r="CQZ238" s="1"/>
      <c r="CRA238" s="1"/>
      <c r="CRB238" s="1"/>
      <c r="CRC238" s="1"/>
      <c r="CRD238" s="1"/>
      <c r="CRE238" s="1"/>
      <c r="CRF238" s="1"/>
      <c r="CRG238" s="1"/>
      <c r="CRH238" s="1"/>
      <c r="CRI238" s="1"/>
      <c r="CRJ238" s="1"/>
      <c r="CRK238" s="1"/>
      <c r="CRL238" s="1"/>
      <c r="CRM238" s="1"/>
      <c r="CRN238" s="1"/>
      <c r="CRO238" s="1"/>
      <c r="CRP238" s="1"/>
      <c r="CRQ238" s="1"/>
      <c r="CRR238" s="1"/>
      <c r="CRS238" s="1"/>
      <c r="CRT238" s="1"/>
      <c r="CRU238" s="1"/>
      <c r="CRV238" s="1"/>
      <c r="CRW238" s="1"/>
      <c r="CRX238" s="1"/>
      <c r="CRY238" s="1"/>
      <c r="CRZ238" s="1"/>
      <c r="CSA238" s="1"/>
      <c r="CSB238" s="1"/>
      <c r="CSC238" s="1"/>
      <c r="CSD238" s="1"/>
      <c r="CSE238" s="1"/>
      <c r="CSF238" s="1"/>
      <c r="CSG238" s="1"/>
      <c r="CSH238" s="1"/>
      <c r="CSI238" s="1"/>
      <c r="CSJ238" s="1"/>
      <c r="CSK238" s="1"/>
      <c r="CSL238" s="1"/>
      <c r="CSM238" s="1"/>
      <c r="CSN238" s="1"/>
      <c r="CSO238" s="1"/>
      <c r="CSP238" s="1"/>
      <c r="CSQ238" s="1"/>
      <c r="CSR238" s="1"/>
      <c r="CSS238" s="1"/>
      <c r="CST238" s="1"/>
      <c r="CSU238" s="1"/>
      <c r="CSV238" s="1"/>
      <c r="CSW238" s="1"/>
      <c r="CSX238" s="1"/>
      <c r="CSY238" s="1"/>
      <c r="CSZ238" s="1"/>
      <c r="CTA238" s="1"/>
      <c r="CTB238" s="1"/>
      <c r="CTC238" s="1"/>
      <c r="CTD238" s="1"/>
      <c r="CTE238" s="1"/>
      <c r="CTF238" s="1"/>
      <c r="CTG238" s="1"/>
      <c r="CTH238" s="1"/>
      <c r="CTI238" s="1"/>
      <c r="CTJ238" s="1"/>
      <c r="CTK238" s="1"/>
      <c r="CTL238" s="1"/>
      <c r="CTM238" s="1"/>
      <c r="CTN238" s="1"/>
      <c r="CTO238" s="1"/>
      <c r="CTP238" s="1"/>
      <c r="CTQ238" s="1"/>
      <c r="CTR238" s="1"/>
      <c r="CTS238" s="1"/>
      <c r="CTT238" s="1"/>
      <c r="CTU238" s="1"/>
      <c r="CTV238" s="1"/>
      <c r="CTW238" s="1"/>
      <c r="CTX238" s="1"/>
      <c r="CTY238" s="1"/>
      <c r="CTZ238" s="1"/>
      <c r="CUA238" s="1"/>
      <c r="CUB238" s="1"/>
      <c r="CUC238" s="1"/>
      <c r="CUD238" s="1"/>
      <c r="CUE238" s="1"/>
      <c r="CUF238" s="1"/>
      <c r="CUG238" s="1"/>
      <c r="CUH238" s="1"/>
      <c r="CUI238" s="1"/>
      <c r="CUJ238" s="1"/>
      <c r="CUK238" s="1"/>
      <c r="CUL238" s="1"/>
      <c r="CUM238" s="1"/>
      <c r="CUN238" s="1"/>
      <c r="CUO238" s="1"/>
      <c r="CUP238" s="1"/>
      <c r="CUQ238" s="1"/>
      <c r="CUR238" s="1"/>
      <c r="CUS238" s="1"/>
      <c r="CUT238" s="1"/>
      <c r="CUU238" s="1"/>
      <c r="CUV238" s="1"/>
      <c r="CUW238" s="1"/>
      <c r="CUX238" s="1"/>
      <c r="CUY238" s="1"/>
      <c r="CUZ238" s="1"/>
      <c r="CVA238" s="1"/>
      <c r="CVB238" s="1"/>
      <c r="CVC238" s="1"/>
      <c r="CVD238" s="1"/>
      <c r="CVE238" s="1"/>
      <c r="CVF238" s="1"/>
      <c r="CVG238" s="1"/>
      <c r="CVH238" s="1"/>
      <c r="CVI238" s="1"/>
      <c r="CVJ238" s="1"/>
      <c r="CVK238" s="1"/>
      <c r="CVL238" s="1"/>
      <c r="CVM238" s="1"/>
      <c r="CVN238" s="1"/>
      <c r="CVO238" s="1"/>
      <c r="CVP238" s="1"/>
      <c r="CVQ238" s="1"/>
      <c r="CVR238" s="1"/>
      <c r="CVS238" s="1"/>
      <c r="CVT238" s="1"/>
      <c r="CVU238" s="1"/>
      <c r="CVV238" s="1"/>
      <c r="CVW238" s="1"/>
      <c r="CVX238" s="1"/>
      <c r="CVY238" s="1"/>
      <c r="CVZ238" s="1"/>
      <c r="CWA238" s="1"/>
      <c r="CWB238" s="1"/>
      <c r="CWC238" s="1"/>
      <c r="CWD238" s="1"/>
      <c r="CWE238" s="1"/>
      <c r="CWF238" s="1"/>
      <c r="CWG238" s="1"/>
      <c r="CWH238" s="1"/>
      <c r="CWI238" s="1"/>
      <c r="CWJ238" s="1"/>
      <c r="CWK238" s="1"/>
      <c r="CWL238" s="1"/>
      <c r="CWM238" s="1"/>
      <c r="CWN238" s="1"/>
      <c r="CWO238" s="1"/>
      <c r="CWP238" s="1"/>
      <c r="CWQ238" s="1"/>
      <c r="CWR238" s="1"/>
      <c r="CWS238" s="1"/>
      <c r="CWT238" s="1"/>
      <c r="CWU238" s="1"/>
      <c r="CWV238" s="1"/>
      <c r="CWW238" s="1"/>
      <c r="CWX238" s="1"/>
      <c r="CWY238" s="1"/>
      <c r="CWZ238" s="1"/>
      <c r="CXA238" s="1"/>
      <c r="CXB238" s="1"/>
      <c r="CXC238" s="1"/>
      <c r="CXD238" s="1"/>
      <c r="CXE238" s="1"/>
      <c r="CXF238" s="1"/>
      <c r="CXG238" s="1"/>
      <c r="CXH238" s="1"/>
      <c r="CXI238" s="1"/>
      <c r="CXJ238" s="1"/>
      <c r="CXK238" s="1"/>
      <c r="CXL238" s="1"/>
      <c r="CXM238" s="1"/>
      <c r="CXN238" s="1"/>
      <c r="CXO238" s="1"/>
      <c r="CXP238" s="1"/>
      <c r="CXQ238" s="1"/>
      <c r="CXR238" s="1"/>
      <c r="CXS238" s="1"/>
      <c r="CXT238" s="1"/>
      <c r="CXU238" s="1"/>
      <c r="CXV238" s="1"/>
      <c r="CXW238" s="1"/>
      <c r="CXX238" s="1"/>
      <c r="CXY238" s="1"/>
      <c r="CXZ238" s="1"/>
      <c r="CYA238" s="1"/>
      <c r="CYB238" s="1"/>
      <c r="CYC238" s="1"/>
      <c r="CYD238" s="1"/>
      <c r="CYE238" s="1"/>
      <c r="CYF238" s="1"/>
      <c r="CYG238" s="1"/>
      <c r="CYH238" s="1"/>
      <c r="CYI238" s="1"/>
      <c r="CYJ238" s="1"/>
      <c r="CYK238" s="1"/>
      <c r="CYL238" s="1"/>
      <c r="CYM238" s="1"/>
      <c r="CYN238" s="1"/>
      <c r="CYO238" s="1"/>
      <c r="CYP238" s="1"/>
      <c r="CYQ238" s="1"/>
      <c r="CYR238" s="1"/>
      <c r="CYS238" s="1"/>
      <c r="CYT238" s="1"/>
      <c r="CYU238" s="1"/>
      <c r="CYV238" s="1"/>
      <c r="CYW238" s="1"/>
      <c r="CYX238" s="1"/>
      <c r="CYY238" s="1"/>
      <c r="CYZ238" s="1"/>
      <c r="CZA238" s="1"/>
      <c r="CZB238" s="1"/>
      <c r="CZC238" s="1"/>
      <c r="CZD238" s="1"/>
      <c r="CZE238" s="1"/>
      <c r="CZF238" s="1"/>
      <c r="CZG238" s="1"/>
      <c r="CZH238" s="1"/>
      <c r="CZI238" s="1"/>
      <c r="CZJ238" s="1"/>
      <c r="CZK238" s="1"/>
      <c r="CZL238" s="1"/>
      <c r="CZM238" s="1"/>
      <c r="CZN238" s="1"/>
      <c r="CZO238" s="1"/>
      <c r="CZP238" s="1"/>
      <c r="CZQ238" s="1"/>
      <c r="CZR238" s="1"/>
      <c r="CZS238" s="1"/>
      <c r="CZT238" s="1"/>
      <c r="CZU238" s="1"/>
      <c r="CZV238" s="1"/>
      <c r="CZW238" s="1"/>
      <c r="CZX238" s="1"/>
      <c r="CZY238" s="1"/>
      <c r="CZZ238" s="1"/>
      <c r="DAA238" s="1"/>
      <c r="DAB238" s="1"/>
      <c r="DAC238" s="1"/>
      <c r="DAD238" s="1"/>
      <c r="DAE238" s="1"/>
      <c r="DAF238" s="1"/>
      <c r="DAG238" s="1"/>
      <c r="DAH238" s="1"/>
      <c r="DAI238" s="1"/>
      <c r="DAJ238" s="1"/>
      <c r="DAK238" s="1"/>
      <c r="DAL238" s="1"/>
      <c r="DAM238" s="1"/>
      <c r="DAN238" s="1"/>
      <c r="DAO238" s="1"/>
      <c r="DAP238" s="1"/>
      <c r="DAQ238" s="1"/>
      <c r="DAR238" s="1"/>
      <c r="DAS238" s="1"/>
      <c r="DAT238" s="1"/>
      <c r="DAU238" s="1"/>
      <c r="DAV238" s="1"/>
      <c r="DAW238" s="1"/>
      <c r="DAX238" s="1"/>
      <c r="DAY238" s="1"/>
      <c r="DAZ238" s="1"/>
      <c r="DBA238" s="1"/>
      <c r="DBB238" s="1"/>
      <c r="DBC238" s="1"/>
      <c r="DBD238" s="1"/>
      <c r="DBE238" s="1"/>
      <c r="DBF238" s="1"/>
      <c r="DBG238" s="1"/>
      <c r="DBH238" s="1"/>
      <c r="DBI238" s="1"/>
      <c r="DBJ238" s="1"/>
      <c r="DBK238" s="1"/>
      <c r="DBL238" s="1"/>
      <c r="DBM238" s="1"/>
      <c r="DBN238" s="1"/>
      <c r="DBO238" s="1"/>
      <c r="DBP238" s="1"/>
      <c r="DBQ238" s="1"/>
      <c r="DBR238" s="1"/>
      <c r="DBS238" s="1"/>
      <c r="DBT238" s="1"/>
      <c r="DBU238" s="1"/>
      <c r="DBV238" s="1"/>
      <c r="DBW238" s="1"/>
      <c r="DBX238" s="1"/>
      <c r="DBY238" s="1"/>
      <c r="DBZ238" s="1"/>
      <c r="DCA238" s="1"/>
      <c r="DCB238" s="1"/>
      <c r="DCC238" s="1"/>
      <c r="DCD238" s="1"/>
      <c r="DCE238" s="1"/>
      <c r="DCF238" s="1"/>
      <c r="DCG238" s="1"/>
      <c r="DCH238" s="1"/>
      <c r="DCI238" s="1"/>
      <c r="DCJ238" s="1"/>
      <c r="DCK238" s="1"/>
      <c r="DCL238" s="1"/>
      <c r="DCM238" s="1"/>
      <c r="DCN238" s="1"/>
      <c r="DCO238" s="1"/>
      <c r="DCP238" s="1"/>
      <c r="DCQ238" s="1"/>
      <c r="DCR238" s="1"/>
      <c r="DCS238" s="1"/>
      <c r="DCT238" s="1"/>
      <c r="DCU238" s="1"/>
      <c r="DCV238" s="1"/>
      <c r="DCW238" s="1"/>
      <c r="DCX238" s="1"/>
      <c r="DCY238" s="1"/>
      <c r="DCZ238" s="1"/>
      <c r="DDA238" s="1"/>
      <c r="DDB238" s="1"/>
      <c r="DDC238" s="1"/>
      <c r="DDD238" s="1"/>
      <c r="DDE238" s="1"/>
      <c r="DDF238" s="1"/>
      <c r="DDG238" s="1"/>
      <c r="DDH238" s="1"/>
      <c r="DDI238" s="1"/>
      <c r="DDJ238" s="1"/>
      <c r="DDK238" s="1"/>
      <c r="DDL238" s="1"/>
      <c r="DDM238" s="1"/>
      <c r="DDN238" s="1"/>
      <c r="DDO238" s="1"/>
      <c r="DDP238" s="1"/>
      <c r="DDQ238" s="1"/>
      <c r="DDR238" s="1"/>
      <c r="DDS238" s="1"/>
      <c r="DDT238" s="1"/>
      <c r="DDU238" s="1"/>
      <c r="DDV238" s="1"/>
      <c r="DDW238" s="1"/>
      <c r="DDX238" s="1"/>
      <c r="DDY238" s="1"/>
      <c r="DDZ238" s="1"/>
      <c r="DEA238" s="1"/>
      <c r="DEB238" s="1"/>
      <c r="DEC238" s="1"/>
      <c r="DED238" s="1"/>
      <c r="DEE238" s="1"/>
      <c r="DEF238" s="1"/>
      <c r="DEG238" s="1"/>
      <c r="DEH238" s="1"/>
      <c r="DEI238" s="1"/>
      <c r="DEJ238" s="1"/>
      <c r="DEK238" s="1"/>
      <c r="DEL238" s="1"/>
      <c r="DEM238" s="1"/>
      <c r="DEN238" s="1"/>
      <c r="DEO238" s="1"/>
      <c r="DEP238" s="1"/>
      <c r="DEQ238" s="1"/>
      <c r="DER238" s="1"/>
      <c r="DES238" s="1"/>
      <c r="DET238" s="1"/>
      <c r="DEU238" s="1"/>
      <c r="DEV238" s="1"/>
      <c r="DEW238" s="1"/>
      <c r="DEX238" s="1"/>
      <c r="DEY238" s="1"/>
      <c r="DEZ238" s="1"/>
      <c r="DFA238" s="1"/>
      <c r="DFB238" s="1"/>
      <c r="DFC238" s="1"/>
      <c r="DFD238" s="1"/>
      <c r="DFE238" s="1"/>
      <c r="DFF238" s="1"/>
      <c r="DFG238" s="1"/>
      <c r="DFH238" s="1"/>
      <c r="DFI238" s="1"/>
      <c r="DFJ238" s="1"/>
      <c r="DFK238" s="1"/>
      <c r="DFL238" s="1"/>
      <c r="DFM238" s="1"/>
      <c r="DFN238" s="1"/>
      <c r="DFO238" s="1"/>
      <c r="DFP238" s="1"/>
      <c r="DFQ238" s="1"/>
      <c r="DFR238" s="1"/>
      <c r="DFS238" s="1"/>
      <c r="DFT238" s="1"/>
      <c r="DFU238" s="1"/>
      <c r="DFV238" s="1"/>
      <c r="DFW238" s="1"/>
      <c r="DFX238" s="1"/>
      <c r="DFY238" s="1"/>
      <c r="DFZ238" s="1"/>
      <c r="DGA238" s="1"/>
      <c r="DGB238" s="1"/>
      <c r="DGC238" s="1"/>
      <c r="DGD238" s="1"/>
      <c r="DGE238" s="1"/>
      <c r="DGF238" s="1"/>
      <c r="DGG238" s="1"/>
      <c r="DGH238" s="1"/>
      <c r="DGI238" s="1"/>
      <c r="DGJ238" s="1"/>
      <c r="DGK238" s="1"/>
      <c r="DGL238" s="1"/>
      <c r="DGM238" s="1"/>
      <c r="DGN238" s="1"/>
      <c r="DGO238" s="1"/>
      <c r="DGP238" s="1"/>
      <c r="DGQ238" s="1"/>
      <c r="DGR238" s="1"/>
      <c r="DGS238" s="1"/>
      <c r="DGT238" s="1"/>
      <c r="DGU238" s="1"/>
      <c r="DGV238" s="1"/>
      <c r="DGW238" s="1"/>
      <c r="DGX238" s="1"/>
      <c r="DGY238" s="1"/>
      <c r="DGZ238" s="1"/>
      <c r="DHA238" s="1"/>
      <c r="DHB238" s="1"/>
      <c r="DHC238" s="1"/>
      <c r="DHD238" s="1"/>
      <c r="DHE238" s="1"/>
      <c r="DHF238" s="1"/>
      <c r="DHG238" s="1"/>
      <c r="DHH238" s="1"/>
      <c r="DHI238" s="1"/>
      <c r="DHJ238" s="1"/>
      <c r="DHK238" s="1"/>
      <c r="DHL238" s="1"/>
      <c r="DHM238" s="1"/>
      <c r="DHN238" s="1"/>
      <c r="DHO238" s="1"/>
      <c r="DHP238" s="1"/>
      <c r="DHQ238" s="1"/>
      <c r="DHR238" s="1"/>
      <c r="DHS238" s="1"/>
      <c r="DHT238" s="1"/>
      <c r="DHU238" s="1"/>
      <c r="DHV238" s="1"/>
      <c r="DHW238" s="1"/>
      <c r="DHX238" s="1"/>
      <c r="DHY238" s="1"/>
      <c r="DHZ238" s="1"/>
      <c r="DIA238" s="1"/>
      <c r="DIB238" s="1"/>
      <c r="DIC238" s="1"/>
      <c r="DID238" s="1"/>
      <c r="DIE238" s="1"/>
      <c r="DIF238" s="1"/>
      <c r="DIG238" s="1"/>
      <c r="DIH238" s="1"/>
      <c r="DII238" s="1"/>
      <c r="DIJ238" s="1"/>
      <c r="DIK238" s="1"/>
      <c r="DIL238" s="1"/>
      <c r="DIM238" s="1"/>
      <c r="DIN238" s="1"/>
      <c r="DIO238" s="1"/>
      <c r="DIP238" s="1"/>
      <c r="DIQ238" s="1"/>
      <c r="DIR238" s="1"/>
      <c r="DIS238" s="1"/>
      <c r="DIT238" s="1"/>
      <c r="DIU238" s="1"/>
      <c r="DIV238" s="1"/>
      <c r="DIW238" s="1"/>
      <c r="DIX238" s="1"/>
      <c r="DIY238" s="1"/>
      <c r="DIZ238" s="1"/>
      <c r="DJA238" s="1"/>
      <c r="DJB238" s="1"/>
      <c r="DJC238" s="1"/>
      <c r="DJD238" s="1"/>
      <c r="DJE238" s="1"/>
      <c r="DJF238" s="1"/>
      <c r="DJG238" s="1"/>
      <c r="DJH238" s="1"/>
      <c r="DJI238" s="1"/>
      <c r="DJJ238" s="1"/>
      <c r="DJK238" s="1"/>
      <c r="DJL238" s="1"/>
      <c r="DJM238" s="1"/>
      <c r="DJN238" s="1"/>
      <c r="DJO238" s="1"/>
      <c r="DJP238" s="1"/>
      <c r="DJQ238" s="1"/>
      <c r="DJR238" s="1"/>
      <c r="DJS238" s="1"/>
      <c r="DJT238" s="1"/>
      <c r="DJU238" s="1"/>
      <c r="DJV238" s="1"/>
      <c r="DJW238" s="1"/>
      <c r="DJX238" s="1"/>
      <c r="DJY238" s="1"/>
      <c r="DJZ238" s="1"/>
      <c r="DKA238" s="1"/>
      <c r="DKB238" s="1"/>
      <c r="DKC238" s="1"/>
      <c r="DKD238" s="1"/>
      <c r="DKE238" s="1"/>
      <c r="DKF238" s="1"/>
      <c r="DKG238" s="1"/>
      <c r="DKH238" s="1"/>
      <c r="DKI238" s="1"/>
      <c r="DKJ238" s="1"/>
      <c r="DKK238" s="1"/>
      <c r="DKL238" s="1"/>
      <c r="DKM238" s="1"/>
      <c r="DKN238" s="1"/>
      <c r="DKO238" s="1"/>
      <c r="DKP238" s="1"/>
      <c r="DKQ238" s="1"/>
      <c r="DKR238" s="1"/>
      <c r="DKS238" s="1"/>
      <c r="DKT238" s="1"/>
      <c r="DKU238" s="1"/>
      <c r="DKV238" s="1"/>
      <c r="DKW238" s="1"/>
      <c r="DKX238" s="1"/>
      <c r="DKY238" s="1"/>
      <c r="DKZ238" s="1"/>
      <c r="DLA238" s="1"/>
      <c r="DLB238" s="1"/>
      <c r="DLC238" s="1"/>
      <c r="DLD238" s="1"/>
      <c r="DLE238" s="1"/>
      <c r="DLF238" s="1"/>
      <c r="DLG238" s="1"/>
      <c r="DLH238" s="1"/>
      <c r="DLI238" s="1"/>
      <c r="DLJ238" s="1"/>
      <c r="DLK238" s="1"/>
      <c r="DLL238" s="1"/>
      <c r="DLM238" s="1"/>
      <c r="DLN238" s="1"/>
      <c r="DLO238" s="1"/>
      <c r="DLP238" s="1"/>
      <c r="DLQ238" s="1"/>
      <c r="DLR238" s="1"/>
      <c r="DLS238" s="1"/>
      <c r="DLT238" s="1"/>
      <c r="DLU238" s="1"/>
      <c r="DLV238" s="1"/>
      <c r="DLW238" s="1"/>
      <c r="DLX238" s="1"/>
      <c r="DLY238" s="1"/>
      <c r="DLZ238" s="1"/>
      <c r="DMA238" s="1"/>
      <c r="DMB238" s="1"/>
      <c r="DMC238" s="1"/>
      <c r="DMD238" s="1"/>
      <c r="DME238" s="1"/>
      <c r="DMF238" s="1"/>
      <c r="DMG238" s="1"/>
      <c r="DMH238" s="1"/>
      <c r="DMI238" s="1"/>
      <c r="DMJ238" s="1"/>
      <c r="DMK238" s="1"/>
      <c r="DML238" s="1"/>
      <c r="DMM238" s="1"/>
      <c r="DMN238" s="1"/>
      <c r="DMO238" s="1"/>
      <c r="DMP238" s="1"/>
      <c r="DMQ238" s="1"/>
      <c r="DMR238" s="1"/>
      <c r="DMS238" s="1"/>
      <c r="DMT238" s="1"/>
      <c r="DMU238" s="1"/>
      <c r="DMV238" s="1"/>
      <c r="DMW238" s="1"/>
      <c r="DMX238" s="1"/>
      <c r="DMY238" s="1"/>
      <c r="DMZ238" s="1"/>
      <c r="DNA238" s="1"/>
      <c r="DNB238" s="1"/>
      <c r="DNC238" s="1"/>
      <c r="DND238" s="1"/>
      <c r="DNE238" s="1"/>
      <c r="DNF238" s="1"/>
      <c r="DNG238" s="1"/>
      <c r="DNH238" s="1"/>
      <c r="DNI238" s="1"/>
      <c r="DNJ238" s="1"/>
      <c r="DNK238" s="1"/>
      <c r="DNL238" s="1"/>
      <c r="DNM238" s="1"/>
      <c r="DNN238" s="1"/>
      <c r="DNO238" s="1"/>
      <c r="DNP238" s="1"/>
      <c r="DNQ238" s="1"/>
      <c r="DNR238" s="1"/>
      <c r="DNS238" s="1"/>
      <c r="DNT238" s="1"/>
      <c r="DNU238" s="1"/>
      <c r="DNV238" s="1"/>
      <c r="DNW238" s="1"/>
      <c r="DNX238" s="1"/>
      <c r="DNY238" s="1"/>
      <c r="DNZ238" s="1"/>
      <c r="DOA238" s="1"/>
      <c r="DOB238" s="1"/>
      <c r="DOC238" s="1"/>
      <c r="DOD238" s="1"/>
      <c r="DOE238" s="1"/>
      <c r="DOF238" s="1"/>
      <c r="DOG238" s="1"/>
      <c r="DOH238" s="1"/>
      <c r="DOI238" s="1"/>
      <c r="DOJ238" s="1"/>
      <c r="DOK238" s="1"/>
      <c r="DOL238" s="1"/>
      <c r="DOM238" s="1"/>
      <c r="DON238" s="1"/>
      <c r="DOO238" s="1"/>
      <c r="DOP238" s="1"/>
      <c r="DOQ238" s="1"/>
      <c r="DOR238" s="1"/>
      <c r="DOS238" s="1"/>
      <c r="DOT238" s="1"/>
      <c r="DOU238" s="1"/>
      <c r="DOV238" s="1"/>
      <c r="DOW238" s="1"/>
      <c r="DOX238" s="1"/>
      <c r="DOY238" s="1"/>
      <c r="DOZ238" s="1"/>
      <c r="DPA238" s="1"/>
      <c r="DPB238" s="1"/>
      <c r="DPC238" s="1"/>
      <c r="DPD238" s="1"/>
      <c r="DPE238" s="1"/>
      <c r="DPF238" s="1"/>
      <c r="DPG238" s="1"/>
      <c r="DPH238" s="1"/>
      <c r="DPI238" s="1"/>
      <c r="DPJ238" s="1"/>
      <c r="DPK238" s="1"/>
      <c r="DPL238" s="1"/>
      <c r="DPM238" s="1"/>
      <c r="DPN238" s="1"/>
      <c r="DPO238" s="1"/>
      <c r="DPP238" s="1"/>
      <c r="DPQ238" s="1"/>
      <c r="DPR238" s="1"/>
      <c r="DPS238" s="1"/>
      <c r="DPT238" s="1"/>
      <c r="DPU238" s="1"/>
      <c r="DPV238" s="1"/>
      <c r="DPW238" s="1"/>
      <c r="DPX238" s="1"/>
      <c r="DPY238" s="1"/>
      <c r="DPZ238" s="1"/>
      <c r="DQA238" s="1"/>
      <c r="DQB238" s="1"/>
      <c r="DQC238" s="1"/>
      <c r="DQD238" s="1"/>
      <c r="DQE238" s="1"/>
      <c r="DQF238" s="1"/>
      <c r="DQG238" s="1"/>
      <c r="DQH238" s="1"/>
      <c r="DQI238" s="1"/>
      <c r="DQJ238" s="1"/>
      <c r="DQK238" s="1"/>
      <c r="DQL238" s="1"/>
      <c r="DQM238" s="1"/>
      <c r="DQN238" s="1"/>
      <c r="DQO238" s="1"/>
      <c r="DQP238" s="1"/>
      <c r="DQQ238" s="1"/>
      <c r="DQR238" s="1"/>
      <c r="DQS238" s="1"/>
      <c r="DQT238" s="1"/>
      <c r="DQU238" s="1"/>
      <c r="DQV238" s="1"/>
      <c r="DQW238" s="1"/>
      <c r="DQX238" s="1"/>
      <c r="DQY238" s="1"/>
      <c r="DQZ238" s="1"/>
      <c r="DRA238" s="1"/>
      <c r="DRB238" s="1"/>
      <c r="DRC238" s="1"/>
      <c r="DRD238" s="1"/>
      <c r="DRE238" s="1"/>
      <c r="DRF238" s="1"/>
      <c r="DRG238" s="1"/>
      <c r="DRH238" s="1"/>
      <c r="DRI238" s="1"/>
      <c r="DRJ238" s="1"/>
      <c r="DRK238" s="1"/>
      <c r="DRL238" s="1"/>
      <c r="DRM238" s="1"/>
      <c r="DRN238" s="1"/>
      <c r="DRO238" s="1"/>
      <c r="DRP238" s="1"/>
      <c r="DRQ238" s="1"/>
      <c r="DRR238" s="1"/>
      <c r="DRS238" s="1"/>
      <c r="DRT238" s="1"/>
      <c r="DRU238" s="1"/>
      <c r="DRV238" s="1"/>
      <c r="DRW238" s="1"/>
      <c r="DRX238" s="1"/>
      <c r="DRY238" s="1"/>
      <c r="DRZ238" s="1"/>
      <c r="DSA238" s="1"/>
      <c r="DSB238" s="1"/>
      <c r="DSC238" s="1"/>
      <c r="DSD238" s="1"/>
      <c r="DSE238" s="1"/>
      <c r="DSF238" s="1"/>
      <c r="DSG238" s="1"/>
      <c r="DSH238" s="1"/>
      <c r="DSI238" s="1"/>
      <c r="DSJ238" s="1"/>
      <c r="DSK238" s="1"/>
      <c r="DSL238" s="1"/>
      <c r="DSM238" s="1"/>
      <c r="DSN238" s="1"/>
      <c r="DSO238" s="1"/>
      <c r="DSP238" s="1"/>
      <c r="DSQ238" s="1"/>
      <c r="DSR238" s="1"/>
      <c r="DSS238" s="1"/>
      <c r="DST238" s="1"/>
      <c r="DSU238" s="1"/>
      <c r="DSV238" s="1"/>
      <c r="DSW238" s="1"/>
      <c r="DSX238" s="1"/>
      <c r="DSY238" s="1"/>
      <c r="DSZ238" s="1"/>
      <c r="DTA238" s="1"/>
      <c r="DTB238" s="1"/>
      <c r="DTC238" s="1"/>
      <c r="DTD238" s="1"/>
      <c r="DTE238" s="1"/>
      <c r="DTF238" s="1"/>
      <c r="DTG238" s="1"/>
      <c r="DTH238" s="1"/>
      <c r="DTI238" s="1"/>
      <c r="DTJ238" s="1"/>
      <c r="DTK238" s="1"/>
      <c r="DTL238" s="1"/>
      <c r="DTM238" s="1"/>
      <c r="DTN238" s="1"/>
      <c r="DTO238" s="1"/>
      <c r="DTP238" s="1"/>
      <c r="DTQ238" s="1"/>
      <c r="DTR238" s="1"/>
      <c r="DTS238" s="1"/>
      <c r="DTT238" s="1"/>
      <c r="DTU238" s="1"/>
      <c r="DTV238" s="1"/>
      <c r="DTW238" s="1"/>
      <c r="DTX238" s="1"/>
      <c r="DTY238" s="1"/>
      <c r="DTZ238" s="1"/>
      <c r="DUA238" s="1"/>
      <c r="DUB238" s="1"/>
      <c r="DUC238" s="1"/>
      <c r="DUD238" s="1"/>
      <c r="DUE238" s="1"/>
      <c r="DUF238" s="1"/>
      <c r="DUG238" s="1"/>
      <c r="DUH238" s="1"/>
      <c r="DUI238" s="1"/>
      <c r="DUJ238" s="1"/>
      <c r="DUK238" s="1"/>
      <c r="DUL238" s="1"/>
      <c r="DUM238" s="1"/>
      <c r="DUN238" s="1"/>
      <c r="DUO238" s="1"/>
      <c r="DUP238" s="1"/>
      <c r="DUQ238" s="1"/>
      <c r="DUR238" s="1"/>
      <c r="DUS238" s="1"/>
      <c r="DUT238" s="1"/>
      <c r="DUU238" s="1"/>
      <c r="DUV238" s="1"/>
      <c r="DUW238" s="1"/>
      <c r="DUX238" s="1"/>
      <c r="DUY238" s="1"/>
      <c r="DUZ238" s="1"/>
      <c r="DVA238" s="1"/>
      <c r="DVB238" s="1"/>
      <c r="DVC238" s="1"/>
      <c r="DVD238" s="1"/>
      <c r="DVE238" s="1"/>
      <c r="DVF238" s="1"/>
      <c r="DVG238" s="1"/>
      <c r="DVH238" s="1"/>
      <c r="DVI238" s="1"/>
      <c r="DVJ238" s="1"/>
      <c r="DVK238" s="1"/>
      <c r="DVL238" s="1"/>
      <c r="DVM238" s="1"/>
      <c r="DVN238" s="1"/>
      <c r="DVO238" s="1"/>
      <c r="DVP238" s="1"/>
      <c r="DVQ238" s="1"/>
      <c r="DVR238" s="1"/>
      <c r="DVS238" s="1"/>
      <c r="DVT238" s="1"/>
      <c r="DVU238" s="1"/>
      <c r="DVV238" s="1"/>
      <c r="DVW238" s="1"/>
      <c r="DVX238" s="1"/>
      <c r="DVY238" s="1"/>
      <c r="DVZ238" s="1"/>
      <c r="DWA238" s="1"/>
      <c r="DWB238" s="1"/>
      <c r="DWC238" s="1"/>
      <c r="DWD238" s="1"/>
      <c r="DWE238" s="1"/>
      <c r="DWF238" s="1"/>
      <c r="DWG238" s="1"/>
      <c r="DWH238" s="1"/>
      <c r="DWI238" s="1"/>
      <c r="DWJ238" s="1"/>
      <c r="DWK238" s="1"/>
      <c r="DWL238" s="1"/>
      <c r="DWM238" s="1"/>
      <c r="DWN238" s="1"/>
      <c r="DWO238" s="1"/>
      <c r="DWP238" s="1"/>
      <c r="DWQ238" s="1"/>
      <c r="DWR238" s="1"/>
      <c r="DWS238" s="1"/>
      <c r="DWT238" s="1"/>
      <c r="DWU238" s="1"/>
      <c r="DWV238" s="1"/>
      <c r="DWW238" s="1"/>
      <c r="DWX238" s="1"/>
      <c r="DWY238" s="1"/>
      <c r="DWZ238" s="1"/>
      <c r="DXA238" s="1"/>
      <c r="DXB238" s="1"/>
      <c r="DXC238" s="1"/>
      <c r="DXD238" s="1"/>
      <c r="DXE238" s="1"/>
      <c r="DXF238" s="1"/>
      <c r="DXG238" s="1"/>
      <c r="DXH238" s="1"/>
      <c r="DXI238" s="1"/>
      <c r="DXJ238" s="1"/>
      <c r="DXK238" s="1"/>
      <c r="DXL238" s="1"/>
      <c r="DXM238" s="1"/>
      <c r="DXN238" s="1"/>
      <c r="DXO238" s="1"/>
      <c r="DXP238" s="1"/>
      <c r="DXQ238" s="1"/>
      <c r="DXR238" s="1"/>
      <c r="DXS238" s="1"/>
      <c r="DXT238" s="1"/>
      <c r="DXU238" s="1"/>
      <c r="DXV238" s="1"/>
      <c r="DXW238" s="1"/>
      <c r="DXX238" s="1"/>
      <c r="DXY238" s="1"/>
      <c r="DXZ238" s="1"/>
      <c r="DYA238" s="1"/>
      <c r="DYB238" s="1"/>
      <c r="DYC238" s="1"/>
      <c r="DYD238" s="1"/>
      <c r="DYE238" s="1"/>
      <c r="DYF238" s="1"/>
      <c r="DYG238" s="1"/>
      <c r="DYH238" s="1"/>
      <c r="DYI238" s="1"/>
      <c r="DYJ238" s="1"/>
      <c r="DYK238" s="1"/>
      <c r="DYL238" s="1"/>
      <c r="DYM238" s="1"/>
      <c r="DYN238" s="1"/>
      <c r="DYO238" s="1"/>
      <c r="DYP238" s="1"/>
      <c r="DYQ238" s="1"/>
      <c r="DYR238" s="1"/>
      <c r="DYS238" s="1"/>
      <c r="DYT238" s="1"/>
      <c r="DYU238" s="1"/>
      <c r="DYV238" s="1"/>
      <c r="DYW238" s="1"/>
      <c r="DYX238" s="1"/>
      <c r="DYY238" s="1"/>
      <c r="DYZ238" s="1"/>
      <c r="DZA238" s="1"/>
      <c r="DZB238" s="1"/>
      <c r="DZC238" s="1"/>
      <c r="DZD238" s="1"/>
      <c r="DZE238" s="1"/>
      <c r="DZF238" s="1"/>
      <c r="DZG238" s="1"/>
      <c r="DZH238" s="1"/>
      <c r="DZI238" s="1"/>
      <c r="DZJ238" s="1"/>
      <c r="DZK238" s="1"/>
      <c r="DZL238" s="1"/>
      <c r="DZM238" s="1"/>
      <c r="DZN238" s="1"/>
      <c r="DZO238" s="1"/>
      <c r="DZP238" s="1"/>
      <c r="DZQ238" s="1"/>
      <c r="DZR238" s="1"/>
      <c r="DZS238" s="1"/>
      <c r="DZT238" s="1"/>
      <c r="DZU238" s="1"/>
      <c r="DZV238" s="1"/>
      <c r="DZW238" s="1"/>
      <c r="DZX238" s="1"/>
      <c r="DZY238" s="1"/>
      <c r="DZZ238" s="1"/>
      <c r="EAA238" s="1"/>
      <c r="EAB238" s="1"/>
      <c r="EAC238" s="1"/>
      <c r="EAD238" s="1"/>
      <c r="EAE238" s="1"/>
      <c r="EAF238" s="1"/>
      <c r="EAG238" s="1"/>
      <c r="EAH238" s="1"/>
      <c r="EAI238" s="1"/>
      <c r="EAJ238" s="1"/>
      <c r="EAK238" s="1"/>
      <c r="EAL238" s="1"/>
      <c r="EAM238" s="1"/>
      <c r="EAN238" s="1"/>
      <c r="EAO238" s="1"/>
      <c r="EAP238" s="1"/>
      <c r="EAQ238" s="1"/>
      <c r="EAR238" s="1"/>
      <c r="EAS238" s="1"/>
      <c r="EAT238" s="1"/>
      <c r="EAU238" s="1"/>
      <c r="EAV238" s="1"/>
      <c r="EAW238" s="1"/>
      <c r="EAX238" s="1"/>
      <c r="EAY238" s="1"/>
      <c r="EAZ238" s="1"/>
      <c r="EBA238" s="1"/>
      <c r="EBB238" s="1"/>
      <c r="EBC238" s="1"/>
      <c r="EBD238" s="1"/>
      <c r="EBE238" s="1"/>
      <c r="EBF238" s="1"/>
      <c r="EBG238" s="1"/>
      <c r="EBH238" s="1"/>
      <c r="EBI238" s="1"/>
      <c r="EBJ238" s="1"/>
      <c r="EBK238" s="1"/>
      <c r="EBL238" s="1"/>
      <c r="EBM238" s="1"/>
      <c r="EBN238" s="1"/>
      <c r="EBO238" s="1"/>
      <c r="EBP238" s="1"/>
      <c r="EBQ238" s="1"/>
      <c r="EBR238" s="1"/>
      <c r="EBS238" s="1"/>
      <c r="EBT238" s="1"/>
      <c r="EBU238" s="1"/>
      <c r="EBV238" s="1"/>
      <c r="EBW238" s="1"/>
      <c r="EBX238" s="1"/>
      <c r="EBY238" s="1"/>
      <c r="EBZ238" s="1"/>
      <c r="ECA238" s="1"/>
      <c r="ECB238" s="1"/>
      <c r="ECC238" s="1"/>
      <c r="ECD238" s="1"/>
      <c r="ECE238" s="1"/>
      <c r="ECF238" s="1"/>
      <c r="ECG238" s="1"/>
      <c r="ECH238" s="1"/>
      <c r="ECI238" s="1"/>
      <c r="ECJ238" s="1"/>
      <c r="ECK238" s="1"/>
      <c r="ECL238" s="1"/>
      <c r="ECM238" s="1"/>
      <c r="ECN238" s="1"/>
      <c r="ECO238" s="1"/>
      <c r="ECP238" s="1"/>
      <c r="ECQ238" s="1"/>
      <c r="ECR238" s="1"/>
      <c r="ECS238" s="1"/>
      <c r="ECT238" s="1"/>
      <c r="ECU238" s="1"/>
      <c r="ECV238" s="1"/>
      <c r="ECW238" s="1"/>
      <c r="ECX238" s="1"/>
      <c r="ECY238" s="1"/>
      <c r="ECZ238" s="1"/>
      <c r="EDA238" s="1"/>
      <c r="EDB238" s="1"/>
      <c r="EDC238" s="1"/>
      <c r="EDD238" s="1"/>
      <c r="EDE238" s="1"/>
      <c r="EDF238" s="1"/>
      <c r="EDG238" s="1"/>
      <c r="EDH238" s="1"/>
      <c r="EDI238" s="1"/>
      <c r="EDJ238" s="1"/>
      <c r="EDK238" s="1"/>
      <c r="EDL238" s="1"/>
      <c r="EDM238" s="1"/>
      <c r="EDN238" s="1"/>
      <c r="EDO238" s="1"/>
      <c r="EDP238" s="1"/>
      <c r="EDQ238" s="1"/>
      <c r="EDR238" s="1"/>
      <c r="EDS238" s="1"/>
      <c r="EDT238" s="1"/>
      <c r="EDU238" s="1"/>
      <c r="EDV238" s="1"/>
      <c r="EDW238" s="1"/>
      <c r="EDX238" s="1"/>
      <c r="EDY238" s="1"/>
      <c r="EDZ238" s="1"/>
      <c r="EEA238" s="1"/>
      <c r="EEB238" s="1"/>
      <c r="EEC238" s="1"/>
      <c r="EED238" s="1"/>
      <c r="EEE238" s="1"/>
      <c r="EEF238" s="1"/>
      <c r="EEG238" s="1"/>
      <c r="EEH238" s="1"/>
      <c r="EEI238" s="1"/>
      <c r="EEJ238" s="1"/>
      <c r="EEK238" s="1"/>
      <c r="EEL238" s="1"/>
      <c r="EEM238" s="1"/>
      <c r="EEN238" s="1"/>
      <c r="EEO238" s="1"/>
      <c r="EEP238" s="1"/>
      <c r="EEQ238" s="1"/>
      <c r="EER238" s="1"/>
      <c r="EES238" s="1"/>
      <c r="EET238" s="1"/>
      <c r="EEU238" s="1"/>
      <c r="EEV238" s="1"/>
      <c r="EEW238" s="1"/>
      <c r="EEX238" s="1"/>
      <c r="EEY238" s="1"/>
      <c r="EEZ238" s="1"/>
      <c r="EFA238" s="1"/>
      <c r="EFB238" s="1"/>
      <c r="EFC238" s="1"/>
      <c r="EFD238" s="1"/>
      <c r="EFE238" s="1"/>
      <c r="EFF238" s="1"/>
      <c r="EFG238" s="1"/>
      <c r="EFH238" s="1"/>
      <c r="EFI238" s="1"/>
      <c r="EFJ238" s="1"/>
      <c r="EFK238" s="1"/>
      <c r="EFL238" s="1"/>
      <c r="EFM238" s="1"/>
      <c r="EFN238" s="1"/>
      <c r="EFO238" s="1"/>
      <c r="EFP238" s="1"/>
      <c r="EFQ238" s="1"/>
      <c r="EFR238" s="1"/>
      <c r="EFS238" s="1"/>
      <c r="EFT238" s="1"/>
      <c r="EFU238" s="1"/>
      <c r="EFV238" s="1"/>
      <c r="EFW238" s="1"/>
      <c r="EFX238" s="1"/>
      <c r="EFY238" s="1"/>
      <c r="EFZ238" s="1"/>
      <c r="EGA238" s="1"/>
      <c r="EGB238" s="1"/>
      <c r="EGC238" s="1"/>
      <c r="EGD238" s="1"/>
      <c r="EGE238" s="1"/>
      <c r="EGF238" s="1"/>
      <c r="EGG238" s="1"/>
      <c r="EGH238" s="1"/>
      <c r="EGI238" s="1"/>
      <c r="EGJ238" s="1"/>
      <c r="EGK238" s="1"/>
      <c r="EGL238" s="1"/>
      <c r="EGM238" s="1"/>
      <c r="EGN238" s="1"/>
      <c r="EGO238" s="1"/>
      <c r="EGP238" s="1"/>
      <c r="EGQ238" s="1"/>
      <c r="EGR238" s="1"/>
      <c r="EGS238" s="1"/>
      <c r="EGT238" s="1"/>
      <c r="EGU238" s="1"/>
      <c r="EGV238" s="1"/>
      <c r="EGW238" s="1"/>
      <c r="EGX238" s="1"/>
      <c r="EGY238" s="1"/>
      <c r="EGZ238" s="1"/>
      <c r="EHA238" s="1"/>
      <c r="EHB238" s="1"/>
      <c r="EHC238" s="1"/>
      <c r="EHD238" s="1"/>
      <c r="EHE238" s="1"/>
      <c r="EHF238" s="1"/>
      <c r="EHG238" s="1"/>
      <c r="EHH238" s="1"/>
      <c r="EHI238" s="1"/>
      <c r="EHJ238" s="1"/>
      <c r="EHK238" s="1"/>
      <c r="EHL238" s="1"/>
      <c r="EHM238" s="1"/>
      <c r="EHN238" s="1"/>
      <c r="EHO238" s="1"/>
      <c r="EHP238" s="1"/>
      <c r="EHQ238" s="1"/>
      <c r="EHR238" s="1"/>
      <c r="EHS238" s="1"/>
      <c r="EHT238" s="1"/>
      <c r="EHU238" s="1"/>
      <c r="EHV238" s="1"/>
      <c r="EHW238" s="1"/>
      <c r="EHX238" s="1"/>
      <c r="EHY238" s="1"/>
      <c r="EHZ238" s="1"/>
      <c r="EIA238" s="1"/>
      <c r="EIB238" s="1"/>
      <c r="EIC238" s="1"/>
      <c r="EID238" s="1"/>
      <c r="EIE238" s="1"/>
      <c r="EIF238" s="1"/>
      <c r="EIG238" s="1"/>
      <c r="EIH238" s="1"/>
      <c r="EII238" s="1"/>
      <c r="EIJ238" s="1"/>
      <c r="EIK238" s="1"/>
      <c r="EIL238" s="1"/>
      <c r="EIM238" s="1"/>
      <c r="EIN238" s="1"/>
      <c r="EIO238" s="1"/>
      <c r="EIP238" s="1"/>
      <c r="EIQ238" s="1"/>
      <c r="EIR238" s="1"/>
      <c r="EIS238" s="1"/>
      <c r="EIT238" s="1"/>
      <c r="EIU238" s="1"/>
      <c r="EIV238" s="1"/>
      <c r="EIW238" s="1"/>
      <c r="EIX238" s="1"/>
      <c r="EIY238" s="1"/>
      <c r="EIZ238" s="1"/>
      <c r="EJA238" s="1"/>
      <c r="EJB238" s="1"/>
      <c r="EJC238" s="1"/>
      <c r="EJD238" s="1"/>
      <c r="EJE238" s="1"/>
      <c r="EJF238" s="1"/>
      <c r="EJG238" s="1"/>
      <c r="EJH238" s="1"/>
      <c r="EJI238" s="1"/>
      <c r="EJJ238" s="1"/>
      <c r="EJK238" s="1"/>
      <c r="EJL238" s="1"/>
      <c r="EJM238" s="1"/>
      <c r="EJN238" s="1"/>
      <c r="EJO238" s="1"/>
      <c r="EJP238" s="1"/>
      <c r="EJQ238" s="1"/>
      <c r="EJR238" s="1"/>
      <c r="EJS238" s="1"/>
      <c r="EJT238" s="1"/>
      <c r="EJU238" s="1"/>
      <c r="EJV238" s="1"/>
      <c r="EJW238" s="1"/>
      <c r="EJX238" s="1"/>
      <c r="EJY238" s="1"/>
      <c r="EJZ238" s="1"/>
      <c r="EKA238" s="1"/>
      <c r="EKB238" s="1"/>
      <c r="EKC238" s="1"/>
      <c r="EKD238" s="1"/>
      <c r="EKE238" s="1"/>
      <c r="EKF238" s="1"/>
      <c r="EKG238" s="1"/>
      <c r="EKH238" s="1"/>
      <c r="EKI238" s="1"/>
      <c r="EKJ238" s="1"/>
      <c r="EKK238" s="1"/>
      <c r="EKL238" s="1"/>
      <c r="EKM238" s="1"/>
      <c r="EKN238" s="1"/>
      <c r="EKO238" s="1"/>
      <c r="EKP238" s="1"/>
      <c r="EKQ238" s="1"/>
      <c r="EKR238" s="1"/>
      <c r="EKS238" s="1"/>
      <c r="EKT238" s="1"/>
      <c r="EKU238" s="1"/>
      <c r="EKV238" s="1"/>
      <c r="EKW238" s="1"/>
      <c r="EKX238" s="1"/>
      <c r="EKY238" s="1"/>
      <c r="EKZ238" s="1"/>
      <c r="ELA238" s="1"/>
      <c r="ELB238" s="1"/>
      <c r="ELC238" s="1"/>
      <c r="ELD238" s="1"/>
      <c r="ELE238" s="1"/>
      <c r="ELF238" s="1"/>
      <c r="ELG238" s="1"/>
      <c r="ELH238" s="1"/>
      <c r="ELI238" s="1"/>
      <c r="ELJ238" s="1"/>
      <c r="ELK238" s="1"/>
      <c r="ELL238" s="1"/>
      <c r="ELM238" s="1"/>
      <c r="ELN238" s="1"/>
      <c r="ELO238" s="1"/>
      <c r="ELP238" s="1"/>
      <c r="ELQ238" s="1"/>
      <c r="ELR238" s="1"/>
      <c r="ELS238" s="1"/>
      <c r="ELT238" s="1"/>
      <c r="ELU238" s="1"/>
      <c r="ELV238" s="1"/>
      <c r="ELW238" s="1"/>
      <c r="ELX238" s="1"/>
      <c r="ELY238" s="1"/>
      <c r="ELZ238" s="1"/>
      <c r="EMA238" s="1"/>
      <c r="EMB238" s="1"/>
      <c r="EMC238" s="1"/>
      <c r="EMD238" s="1"/>
      <c r="EME238" s="1"/>
      <c r="EMF238" s="1"/>
      <c r="EMG238" s="1"/>
      <c r="EMH238" s="1"/>
      <c r="EMI238" s="1"/>
      <c r="EMJ238" s="1"/>
      <c r="EMK238" s="1"/>
      <c r="EML238" s="1"/>
      <c r="EMM238" s="1"/>
      <c r="EMN238" s="1"/>
      <c r="EMO238" s="1"/>
      <c r="EMP238" s="1"/>
      <c r="EMQ238" s="1"/>
      <c r="EMR238" s="1"/>
      <c r="EMS238" s="1"/>
      <c r="EMT238" s="1"/>
      <c r="EMU238" s="1"/>
      <c r="EMV238" s="1"/>
      <c r="EMW238" s="1"/>
      <c r="EMX238" s="1"/>
      <c r="EMY238" s="1"/>
      <c r="EMZ238" s="1"/>
      <c r="ENA238" s="1"/>
      <c r="ENB238" s="1"/>
      <c r="ENC238" s="1"/>
      <c r="END238" s="1"/>
      <c r="ENE238" s="1"/>
      <c r="ENF238" s="1"/>
      <c r="ENG238" s="1"/>
      <c r="ENH238" s="1"/>
      <c r="ENI238" s="1"/>
      <c r="ENJ238" s="1"/>
      <c r="ENK238" s="1"/>
      <c r="ENL238" s="1"/>
      <c r="ENM238" s="1"/>
      <c r="ENN238" s="1"/>
      <c r="ENO238" s="1"/>
      <c r="ENP238" s="1"/>
      <c r="ENQ238" s="1"/>
      <c r="ENR238" s="1"/>
      <c r="ENS238" s="1"/>
      <c r="ENT238" s="1"/>
      <c r="ENU238" s="1"/>
      <c r="ENV238" s="1"/>
      <c r="ENW238" s="1"/>
      <c r="ENX238" s="1"/>
      <c r="ENY238" s="1"/>
      <c r="ENZ238" s="1"/>
      <c r="EOA238" s="1"/>
      <c r="EOB238" s="1"/>
      <c r="EOC238" s="1"/>
      <c r="EOD238" s="1"/>
      <c r="EOE238" s="1"/>
      <c r="EOF238" s="1"/>
      <c r="EOG238" s="1"/>
      <c r="EOH238" s="1"/>
      <c r="EOI238" s="1"/>
      <c r="EOJ238" s="1"/>
      <c r="EOK238" s="1"/>
      <c r="EOL238" s="1"/>
      <c r="EOM238" s="1"/>
      <c r="EON238" s="1"/>
      <c r="EOO238" s="1"/>
      <c r="EOP238" s="1"/>
      <c r="EOQ238" s="1"/>
      <c r="EOR238" s="1"/>
      <c r="EOS238" s="1"/>
      <c r="EOT238" s="1"/>
      <c r="EOU238" s="1"/>
      <c r="EOV238" s="1"/>
      <c r="EOW238" s="1"/>
      <c r="EOX238" s="1"/>
      <c r="EOY238" s="1"/>
      <c r="EOZ238" s="1"/>
      <c r="EPA238" s="1"/>
      <c r="EPB238" s="1"/>
      <c r="EPC238" s="1"/>
      <c r="EPD238" s="1"/>
      <c r="EPE238" s="1"/>
      <c r="EPF238" s="1"/>
      <c r="EPG238" s="1"/>
      <c r="EPH238" s="1"/>
      <c r="EPI238" s="1"/>
      <c r="EPJ238" s="1"/>
      <c r="EPK238" s="1"/>
      <c r="EPL238" s="1"/>
      <c r="EPM238" s="1"/>
      <c r="EPN238" s="1"/>
      <c r="EPO238" s="1"/>
      <c r="EPP238" s="1"/>
      <c r="EPQ238" s="1"/>
      <c r="EPR238" s="1"/>
      <c r="EPS238" s="1"/>
      <c r="EPT238" s="1"/>
      <c r="EPU238" s="1"/>
      <c r="EPV238" s="1"/>
      <c r="EPW238" s="1"/>
      <c r="EPX238" s="1"/>
      <c r="EPY238" s="1"/>
      <c r="EPZ238" s="1"/>
      <c r="EQA238" s="1"/>
      <c r="EQB238" s="1"/>
      <c r="EQC238" s="1"/>
      <c r="EQD238" s="1"/>
      <c r="EQE238" s="1"/>
      <c r="EQF238" s="1"/>
      <c r="EQG238" s="1"/>
      <c r="EQH238" s="1"/>
      <c r="EQI238" s="1"/>
      <c r="EQJ238" s="1"/>
      <c r="EQK238" s="1"/>
      <c r="EQL238" s="1"/>
      <c r="EQM238" s="1"/>
      <c r="EQN238" s="1"/>
      <c r="EQO238" s="1"/>
      <c r="EQP238" s="1"/>
      <c r="EQQ238" s="1"/>
      <c r="EQR238" s="1"/>
      <c r="EQS238" s="1"/>
      <c r="EQT238" s="1"/>
      <c r="EQU238" s="1"/>
      <c r="EQV238" s="1"/>
      <c r="EQW238" s="1"/>
      <c r="EQX238" s="1"/>
      <c r="EQY238" s="1"/>
      <c r="EQZ238" s="1"/>
      <c r="ERA238" s="1"/>
      <c r="ERB238" s="1"/>
      <c r="ERC238" s="1"/>
      <c r="ERD238" s="1"/>
      <c r="ERE238" s="1"/>
      <c r="ERF238" s="1"/>
      <c r="ERG238" s="1"/>
      <c r="ERH238" s="1"/>
      <c r="ERI238" s="1"/>
      <c r="ERJ238" s="1"/>
      <c r="ERK238" s="1"/>
      <c r="ERL238" s="1"/>
      <c r="ERM238" s="1"/>
      <c r="ERN238" s="1"/>
      <c r="ERO238" s="1"/>
      <c r="ERP238" s="1"/>
      <c r="ERQ238" s="1"/>
      <c r="ERR238" s="1"/>
      <c r="ERS238" s="1"/>
      <c r="ERT238" s="1"/>
      <c r="ERU238" s="1"/>
      <c r="ERV238" s="1"/>
      <c r="ERW238" s="1"/>
      <c r="ERX238" s="1"/>
      <c r="ERY238" s="1"/>
      <c r="ERZ238" s="1"/>
      <c r="ESA238" s="1"/>
      <c r="ESB238" s="1"/>
      <c r="ESC238" s="1"/>
      <c r="ESD238" s="1"/>
      <c r="ESE238" s="1"/>
      <c r="ESF238" s="1"/>
      <c r="ESG238" s="1"/>
      <c r="ESH238" s="1"/>
      <c r="ESI238" s="1"/>
      <c r="ESJ238" s="1"/>
      <c r="ESK238" s="1"/>
      <c r="ESL238" s="1"/>
      <c r="ESM238" s="1"/>
      <c r="ESN238" s="1"/>
      <c r="ESO238" s="1"/>
      <c r="ESP238" s="1"/>
      <c r="ESQ238" s="1"/>
      <c r="ESR238" s="1"/>
      <c r="ESS238" s="1"/>
      <c r="EST238" s="1"/>
      <c r="ESU238" s="1"/>
      <c r="ESV238" s="1"/>
      <c r="ESW238" s="1"/>
      <c r="ESX238" s="1"/>
      <c r="ESY238" s="1"/>
      <c r="ESZ238" s="1"/>
      <c r="ETA238" s="1"/>
      <c r="ETB238" s="1"/>
      <c r="ETC238" s="1"/>
      <c r="ETD238" s="1"/>
      <c r="ETE238" s="1"/>
      <c r="ETF238" s="1"/>
      <c r="ETG238" s="1"/>
      <c r="ETH238" s="1"/>
      <c r="ETI238" s="1"/>
      <c r="ETJ238" s="1"/>
      <c r="ETK238" s="1"/>
      <c r="ETL238" s="1"/>
      <c r="ETM238" s="1"/>
      <c r="ETN238" s="1"/>
      <c r="ETO238" s="1"/>
      <c r="ETP238" s="1"/>
      <c r="ETQ238" s="1"/>
      <c r="ETR238" s="1"/>
      <c r="ETS238" s="1"/>
      <c r="ETT238" s="1"/>
      <c r="ETU238" s="1"/>
      <c r="ETV238" s="1"/>
      <c r="ETW238" s="1"/>
      <c r="ETX238" s="1"/>
      <c r="ETY238" s="1"/>
      <c r="ETZ238" s="1"/>
      <c r="EUA238" s="1"/>
      <c r="EUB238" s="1"/>
      <c r="EUC238" s="1"/>
      <c r="EUD238" s="1"/>
      <c r="EUE238" s="1"/>
      <c r="EUF238" s="1"/>
      <c r="EUG238" s="1"/>
      <c r="EUH238" s="1"/>
      <c r="EUI238" s="1"/>
      <c r="EUJ238" s="1"/>
      <c r="EUK238" s="1"/>
      <c r="EUL238" s="1"/>
      <c r="EUM238" s="1"/>
      <c r="EUN238" s="1"/>
      <c r="EUO238" s="1"/>
      <c r="EUP238" s="1"/>
      <c r="EUQ238" s="1"/>
      <c r="EUR238" s="1"/>
      <c r="EUS238" s="1"/>
      <c r="EUT238" s="1"/>
      <c r="EUU238" s="1"/>
      <c r="EUV238" s="1"/>
      <c r="EUW238" s="1"/>
      <c r="EUX238" s="1"/>
      <c r="EUY238" s="1"/>
      <c r="EUZ238" s="1"/>
      <c r="EVA238" s="1"/>
      <c r="EVB238" s="1"/>
      <c r="EVC238" s="1"/>
      <c r="EVD238" s="1"/>
      <c r="EVE238" s="1"/>
      <c r="EVF238" s="1"/>
      <c r="EVG238" s="1"/>
      <c r="EVH238" s="1"/>
      <c r="EVI238" s="1"/>
      <c r="EVJ238" s="1"/>
      <c r="EVK238" s="1"/>
      <c r="EVL238" s="1"/>
      <c r="EVM238" s="1"/>
      <c r="EVN238" s="1"/>
      <c r="EVO238" s="1"/>
      <c r="EVP238" s="1"/>
      <c r="EVQ238" s="1"/>
      <c r="EVR238" s="1"/>
      <c r="EVS238" s="1"/>
      <c r="EVT238" s="1"/>
      <c r="EVU238" s="1"/>
      <c r="EVV238" s="1"/>
      <c r="EVW238" s="1"/>
      <c r="EVX238" s="1"/>
      <c r="EVY238" s="1"/>
      <c r="EVZ238" s="1"/>
      <c r="EWA238" s="1"/>
      <c r="EWB238" s="1"/>
      <c r="EWC238" s="1"/>
      <c r="EWD238" s="1"/>
      <c r="EWE238" s="1"/>
      <c r="EWF238" s="1"/>
      <c r="EWG238" s="1"/>
      <c r="EWH238" s="1"/>
      <c r="EWI238" s="1"/>
      <c r="EWJ238" s="1"/>
      <c r="EWK238" s="1"/>
      <c r="EWL238" s="1"/>
      <c r="EWM238" s="1"/>
      <c r="EWN238" s="1"/>
      <c r="EWO238" s="1"/>
      <c r="EWP238" s="1"/>
      <c r="EWQ238" s="1"/>
      <c r="EWR238" s="1"/>
      <c r="EWS238" s="1"/>
      <c r="EWT238" s="1"/>
      <c r="EWU238" s="1"/>
      <c r="EWV238" s="1"/>
      <c r="EWW238" s="1"/>
      <c r="EWX238" s="1"/>
      <c r="EWY238" s="1"/>
      <c r="EWZ238" s="1"/>
      <c r="EXA238" s="1"/>
      <c r="EXB238" s="1"/>
      <c r="EXC238" s="1"/>
      <c r="EXD238" s="1"/>
      <c r="EXE238" s="1"/>
      <c r="EXF238" s="1"/>
      <c r="EXG238" s="1"/>
      <c r="EXH238" s="1"/>
      <c r="EXI238" s="1"/>
      <c r="EXJ238" s="1"/>
      <c r="EXK238" s="1"/>
      <c r="EXL238" s="1"/>
      <c r="EXM238" s="1"/>
      <c r="EXN238" s="1"/>
      <c r="EXO238" s="1"/>
      <c r="EXP238" s="1"/>
      <c r="EXQ238" s="1"/>
      <c r="EXR238" s="1"/>
      <c r="EXS238" s="1"/>
      <c r="EXT238" s="1"/>
      <c r="EXU238" s="1"/>
      <c r="EXV238" s="1"/>
      <c r="EXW238" s="1"/>
      <c r="EXX238" s="1"/>
      <c r="EXY238" s="1"/>
      <c r="EXZ238" s="1"/>
      <c r="EYA238" s="1"/>
      <c r="EYB238" s="1"/>
      <c r="EYC238" s="1"/>
      <c r="EYD238" s="1"/>
      <c r="EYE238" s="1"/>
      <c r="EYF238" s="1"/>
      <c r="EYG238" s="1"/>
      <c r="EYH238" s="1"/>
      <c r="EYI238" s="1"/>
      <c r="EYJ238" s="1"/>
      <c r="EYK238" s="1"/>
      <c r="EYL238" s="1"/>
      <c r="EYM238" s="1"/>
      <c r="EYN238" s="1"/>
      <c r="EYO238" s="1"/>
      <c r="EYP238" s="1"/>
      <c r="EYQ238" s="1"/>
      <c r="EYR238" s="1"/>
      <c r="EYS238" s="1"/>
      <c r="EYT238" s="1"/>
      <c r="EYU238" s="1"/>
      <c r="EYV238" s="1"/>
      <c r="EYW238" s="1"/>
      <c r="EYX238" s="1"/>
      <c r="EYY238" s="1"/>
      <c r="EYZ238" s="1"/>
      <c r="EZA238" s="1"/>
      <c r="EZB238" s="1"/>
      <c r="EZC238" s="1"/>
      <c r="EZD238" s="1"/>
      <c r="EZE238" s="1"/>
      <c r="EZF238" s="1"/>
      <c r="EZG238" s="1"/>
      <c r="EZH238" s="1"/>
      <c r="EZI238" s="1"/>
      <c r="EZJ238" s="1"/>
      <c r="EZK238" s="1"/>
      <c r="EZL238" s="1"/>
      <c r="EZM238" s="1"/>
      <c r="EZN238" s="1"/>
      <c r="EZO238" s="1"/>
      <c r="EZP238" s="1"/>
      <c r="EZQ238" s="1"/>
      <c r="EZR238" s="1"/>
      <c r="EZS238" s="1"/>
      <c r="EZT238" s="1"/>
      <c r="EZU238" s="1"/>
      <c r="EZV238" s="1"/>
      <c r="EZW238" s="1"/>
      <c r="EZX238" s="1"/>
      <c r="EZY238" s="1"/>
      <c r="EZZ238" s="1"/>
      <c r="FAA238" s="1"/>
      <c r="FAB238" s="1"/>
      <c r="FAC238" s="1"/>
      <c r="FAD238" s="1"/>
      <c r="FAE238" s="1"/>
      <c r="FAF238" s="1"/>
      <c r="FAG238" s="1"/>
      <c r="FAH238" s="1"/>
      <c r="FAI238" s="1"/>
      <c r="FAJ238" s="1"/>
      <c r="FAK238" s="1"/>
      <c r="FAL238" s="1"/>
      <c r="FAM238" s="1"/>
      <c r="FAN238" s="1"/>
      <c r="FAO238" s="1"/>
      <c r="FAP238" s="1"/>
      <c r="FAQ238" s="1"/>
      <c r="FAR238" s="1"/>
      <c r="FAS238" s="1"/>
      <c r="FAT238" s="1"/>
      <c r="FAU238" s="1"/>
      <c r="FAV238" s="1"/>
      <c r="FAW238" s="1"/>
      <c r="FAX238" s="1"/>
      <c r="FAY238" s="1"/>
      <c r="FAZ238" s="1"/>
      <c r="FBA238" s="1"/>
      <c r="FBB238" s="1"/>
      <c r="FBC238" s="1"/>
      <c r="FBD238" s="1"/>
      <c r="FBE238" s="1"/>
      <c r="FBF238" s="1"/>
      <c r="FBG238" s="1"/>
      <c r="FBH238" s="1"/>
      <c r="FBI238" s="1"/>
      <c r="FBJ238" s="1"/>
      <c r="FBK238" s="1"/>
      <c r="FBL238" s="1"/>
      <c r="FBM238" s="1"/>
      <c r="FBN238" s="1"/>
      <c r="FBO238" s="1"/>
      <c r="FBP238" s="1"/>
      <c r="FBQ238" s="1"/>
      <c r="FBR238" s="1"/>
      <c r="FBS238" s="1"/>
      <c r="FBT238" s="1"/>
      <c r="FBU238" s="1"/>
      <c r="FBV238" s="1"/>
      <c r="FBW238" s="1"/>
      <c r="FBX238" s="1"/>
      <c r="FBY238" s="1"/>
      <c r="FBZ238" s="1"/>
      <c r="FCA238" s="1"/>
      <c r="FCB238" s="1"/>
      <c r="FCC238" s="1"/>
      <c r="FCD238" s="1"/>
      <c r="FCE238" s="1"/>
      <c r="FCF238" s="1"/>
      <c r="FCG238" s="1"/>
      <c r="FCH238" s="1"/>
      <c r="FCI238" s="1"/>
      <c r="FCJ238" s="1"/>
      <c r="FCK238" s="1"/>
      <c r="FCL238" s="1"/>
      <c r="FCM238" s="1"/>
      <c r="FCN238" s="1"/>
      <c r="FCO238" s="1"/>
      <c r="FCP238" s="1"/>
      <c r="FCQ238" s="1"/>
      <c r="FCR238" s="1"/>
      <c r="FCS238" s="1"/>
      <c r="FCT238" s="1"/>
      <c r="FCU238" s="1"/>
      <c r="FCV238" s="1"/>
      <c r="FCW238" s="1"/>
      <c r="FCX238" s="1"/>
      <c r="FCY238" s="1"/>
      <c r="FCZ238" s="1"/>
      <c r="FDA238" s="1"/>
      <c r="FDB238" s="1"/>
      <c r="FDC238" s="1"/>
      <c r="FDD238" s="1"/>
      <c r="FDE238" s="1"/>
      <c r="FDF238" s="1"/>
      <c r="FDG238" s="1"/>
      <c r="FDH238" s="1"/>
      <c r="FDI238" s="1"/>
      <c r="FDJ238" s="1"/>
      <c r="FDK238" s="1"/>
      <c r="FDL238" s="1"/>
      <c r="FDM238" s="1"/>
      <c r="FDN238" s="1"/>
      <c r="FDO238" s="1"/>
      <c r="FDP238" s="1"/>
      <c r="FDQ238" s="1"/>
      <c r="FDR238" s="1"/>
      <c r="FDS238" s="1"/>
      <c r="FDT238" s="1"/>
      <c r="FDU238" s="1"/>
      <c r="FDV238" s="1"/>
      <c r="FDW238" s="1"/>
      <c r="FDX238" s="1"/>
      <c r="FDY238" s="1"/>
      <c r="FDZ238" s="1"/>
      <c r="FEA238" s="1"/>
      <c r="FEB238" s="1"/>
      <c r="FEC238" s="1"/>
      <c r="FED238" s="1"/>
      <c r="FEE238" s="1"/>
      <c r="FEF238" s="1"/>
      <c r="FEG238" s="1"/>
      <c r="FEH238" s="1"/>
      <c r="FEI238" s="1"/>
      <c r="FEJ238" s="1"/>
      <c r="FEK238" s="1"/>
      <c r="FEL238" s="1"/>
      <c r="FEM238" s="1"/>
      <c r="FEN238" s="1"/>
      <c r="FEO238" s="1"/>
      <c r="FEP238" s="1"/>
      <c r="FEQ238" s="1"/>
      <c r="FER238" s="1"/>
      <c r="FES238" s="1"/>
      <c r="FET238" s="1"/>
      <c r="FEU238" s="1"/>
      <c r="FEV238" s="1"/>
      <c r="FEW238" s="1"/>
      <c r="FEX238" s="1"/>
      <c r="FEY238" s="1"/>
      <c r="FEZ238" s="1"/>
      <c r="FFA238" s="1"/>
      <c r="FFB238" s="1"/>
      <c r="FFC238" s="1"/>
      <c r="FFD238" s="1"/>
      <c r="FFE238" s="1"/>
      <c r="FFF238" s="1"/>
      <c r="FFG238" s="1"/>
      <c r="FFH238" s="1"/>
      <c r="FFI238" s="1"/>
      <c r="FFJ238" s="1"/>
      <c r="FFK238" s="1"/>
      <c r="FFL238" s="1"/>
      <c r="FFM238" s="1"/>
      <c r="FFN238" s="1"/>
      <c r="FFO238" s="1"/>
      <c r="FFP238" s="1"/>
      <c r="FFQ238" s="1"/>
      <c r="FFR238" s="1"/>
      <c r="FFS238" s="1"/>
      <c r="FFT238" s="1"/>
      <c r="FFU238" s="1"/>
      <c r="FFV238" s="1"/>
      <c r="FFW238" s="1"/>
      <c r="FFX238" s="1"/>
      <c r="FFY238" s="1"/>
      <c r="FFZ238" s="1"/>
      <c r="FGA238" s="1"/>
      <c r="FGB238" s="1"/>
      <c r="FGC238" s="1"/>
      <c r="FGD238" s="1"/>
      <c r="FGE238" s="1"/>
      <c r="FGF238" s="1"/>
      <c r="FGG238" s="1"/>
      <c r="FGH238" s="1"/>
      <c r="FGI238" s="1"/>
      <c r="FGJ238" s="1"/>
      <c r="FGK238" s="1"/>
      <c r="FGL238" s="1"/>
      <c r="FGM238" s="1"/>
      <c r="FGN238" s="1"/>
      <c r="FGO238" s="1"/>
      <c r="FGP238" s="1"/>
      <c r="FGQ238" s="1"/>
      <c r="FGR238" s="1"/>
      <c r="FGS238" s="1"/>
      <c r="FGT238" s="1"/>
      <c r="FGU238" s="1"/>
      <c r="FGV238" s="1"/>
      <c r="FGW238" s="1"/>
      <c r="FGX238" s="1"/>
      <c r="FGY238" s="1"/>
      <c r="FGZ238" s="1"/>
      <c r="FHA238" s="1"/>
      <c r="FHB238" s="1"/>
      <c r="FHC238" s="1"/>
      <c r="FHD238" s="1"/>
      <c r="FHE238" s="1"/>
      <c r="FHF238" s="1"/>
      <c r="FHG238" s="1"/>
      <c r="FHH238" s="1"/>
      <c r="FHI238" s="1"/>
      <c r="FHJ238" s="1"/>
      <c r="FHK238" s="1"/>
      <c r="FHL238" s="1"/>
      <c r="FHM238" s="1"/>
      <c r="FHN238" s="1"/>
      <c r="FHO238" s="1"/>
      <c r="FHP238" s="1"/>
      <c r="FHQ238" s="1"/>
      <c r="FHR238" s="1"/>
      <c r="FHS238" s="1"/>
      <c r="FHT238" s="1"/>
      <c r="FHU238" s="1"/>
      <c r="FHV238" s="1"/>
      <c r="FHW238" s="1"/>
      <c r="FHX238" s="1"/>
      <c r="FHY238" s="1"/>
      <c r="FHZ238" s="1"/>
      <c r="FIA238" s="1"/>
      <c r="FIB238" s="1"/>
      <c r="FIC238" s="1"/>
      <c r="FID238" s="1"/>
      <c r="FIE238" s="1"/>
      <c r="FIF238" s="1"/>
      <c r="FIG238" s="1"/>
      <c r="FIH238" s="1"/>
      <c r="FII238" s="1"/>
      <c r="FIJ238" s="1"/>
      <c r="FIK238" s="1"/>
      <c r="FIL238" s="1"/>
      <c r="FIM238" s="1"/>
      <c r="FIN238" s="1"/>
      <c r="FIO238" s="1"/>
      <c r="FIP238" s="1"/>
      <c r="FIQ238" s="1"/>
      <c r="FIR238" s="1"/>
      <c r="FIS238" s="1"/>
      <c r="FIT238" s="1"/>
      <c r="FIU238" s="1"/>
      <c r="FIV238" s="1"/>
      <c r="FIW238" s="1"/>
      <c r="FIX238" s="1"/>
      <c r="FIY238" s="1"/>
      <c r="FIZ238" s="1"/>
      <c r="FJA238" s="1"/>
      <c r="FJB238" s="1"/>
      <c r="FJC238" s="1"/>
      <c r="FJD238" s="1"/>
      <c r="FJE238" s="1"/>
      <c r="FJF238" s="1"/>
      <c r="FJG238" s="1"/>
      <c r="FJH238" s="1"/>
      <c r="FJI238" s="1"/>
      <c r="FJJ238" s="1"/>
      <c r="FJK238" s="1"/>
      <c r="FJL238" s="1"/>
      <c r="FJM238" s="1"/>
      <c r="FJN238" s="1"/>
      <c r="FJO238" s="1"/>
      <c r="FJP238" s="1"/>
      <c r="FJQ238" s="1"/>
      <c r="FJR238" s="1"/>
      <c r="FJS238" s="1"/>
      <c r="FJT238" s="1"/>
      <c r="FJU238" s="1"/>
      <c r="FJV238" s="1"/>
      <c r="FJW238" s="1"/>
      <c r="FJX238" s="1"/>
      <c r="FJY238" s="1"/>
      <c r="FJZ238" s="1"/>
      <c r="FKA238" s="1"/>
      <c r="FKB238" s="1"/>
      <c r="FKC238" s="1"/>
      <c r="FKD238" s="1"/>
      <c r="FKE238" s="1"/>
      <c r="FKF238" s="1"/>
      <c r="FKG238" s="1"/>
      <c r="FKH238" s="1"/>
      <c r="FKI238" s="1"/>
      <c r="FKJ238" s="1"/>
      <c r="FKK238" s="1"/>
      <c r="FKL238" s="1"/>
      <c r="FKM238" s="1"/>
      <c r="FKN238" s="1"/>
      <c r="FKO238" s="1"/>
      <c r="FKP238" s="1"/>
      <c r="FKQ238" s="1"/>
      <c r="FKR238" s="1"/>
      <c r="FKS238" s="1"/>
      <c r="FKT238" s="1"/>
      <c r="FKU238" s="1"/>
      <c r="FKV238" s="1"/>
      <c r="FKW238" s="1"/>
      <c r="FKX238" s="1"/>
      <c r="FKY238" s="1"/>
      <c r="FKZ238" s="1"/>
      <c r="FLA238" s="1"/>
      <c r="FLB238" s="1"/>
      <c r="FLC238" s="1"/>
      <c r="FLD238" s="1"/>
      <c r="FLE238" s="1"/>
      <c r="FLF238" s="1"/>
      <c r="FLG238" s="1"/>
      <c r="FLH238" s="1"/>
      <c r="FLI238" s="1"/>
      <c r="FLJ238" s="1"/>
      <c r="FLK238" s="1"/>
      <c r="FLL238" s="1"/>
      <c r="FLM238" s="1"/>
      <c r="FLN238" s="1"/>
      <c r="FLO238" s="1"/>
      <c r="FLP238" s="1"/>
      <c r="FLQ238" s="1"/>
      <c r="FLR238" s="1"/>
      <c r="FLS238" s="1"/>
      <c r="FLT238" s="1"/>
      <c r="FLU238" s="1"/>
      <c r="FLV238" s="1"/>
      <c r="FLW238" s="1"/>
      <c r="FLX238" s="1"/>
      <c r="FLY238" s="1"/>
      <c r="FLZ238" s="1"/>
      <c r="FMA238" s="1"/>
      <c r="FMB238" s="1"/>
      <c r="FMC238" s="1"/>
      <c r="FMD238" s="1"/>
      <c r="FME238" s="1"/>
      <c r="FMF238" s="1"/>
      <c r="FMG238" s="1"/>
      <c r="FMH238" s="1"/>
      <c r="FMI238" s="1"/>
      <c r="FMJ238" s="1"/>
      <c r="FMK238" s="1"/>
      <c r="FML238" s="1"/>
      <c r="FMM238" s="1"/>
      <c r="FMN238" s="1"/>
      <c r="FMO238" s="1"/>
      <c r="FMP238" s="1"/>
      <c r="FMQ238" s="1"/>
      <c r="FMR238" s="1"/>
      <c r="FMS238" s="1"/>
      <c r="FMT238" s="1"/>
      <c r="FMU238" s="1"/>
      <c r="FMV238" s="1"/>
      <c r="FMW238" s="1"/>
      <c r="FMX238" s="1"/>
      <c r="FMY238" s="1"/>
      <c r="FMZ238" s="1"/>
      <c r="FNA238" s="1"/>
      <c r="FNB238" s="1"/>
      <c r="FNC238" s="1"/>
      <c r="FND238" s="1"/>
      <c r="FNE238" s="1"/>
      <c r="FNF238" s="1"/>
      <c r="FNG238" s="1"/>
      <c r="FNH238" s="1"/>
      <c r="FNI238" s="1"/>
      <c r="FNJ238" s="1"/>
      <c r="FNK238" s="1"/>
      <c r="FNL238" s="1"/>
      <c r="FNM238" s="1"/>
      <c r="FNN238" s="1"/>
      <c r="FNO238" s="1"/>
      <c r="FNP238" s="1"/>
      <c r="FNQ238" s="1"/>
      <c r="FNR238" s="1"/>
      <c r="FNS238" s="1"/>
      <c r="FNT238" s="1"/>
      <c r="FNU238" s="1"/>
      <c r="FNV238" s="1"/>
      <c r="FNW238" s="1"/>
      <c r="FNX238" s="1"/>
      <c r="FNY238" s="1"/>
      <c r="FNZ238" s="1"/>
      <c r="FOA238" s="1"/>
      <c r="FOB238" s="1"/>
      <c r="FOC238" s="1"/>
      <c r="FOD238" s="1"/>
      <c r="FOE238" s="1"/>
      <c r="FOF238" s="1"/>
      <c r="FOG238" s="1"/>
      <c r="FOH238" s="1"/>
      <c r="FOI238" s="1"/>
      <c r="FOJ238" s="1"/>
      <c r="FOK238" s="1"/>
      <c r="FOL238" s="1"/>
      <c r="FOM238" s="1"/>
      <c r="FON238" s="1"/>
      <c r="FOO238" s="1"/>
      <c r="FOP238" s="1"/>
      <c r="FOQ238" s="1"/>
      <c r="FOR238" s="1"/>
      <c r="FOS238" s="1"/>
      <c r="FOT238" s="1"/>
      <c r="FOU238" s="1"/>
      <c r="FOV238" s="1"/>
      <c r="FOW238" s="1"/>
      <c r="FOX238" s="1"/>
      <c r="FOY238" s="1"/>
      <c r="FOZ238" s="1"/>
      <c r="FPA238" s="1"/>
      <c r="FPB238" s="1"/>
      <c r="FPC238" s="1"/>
      <c r="FPD238" s="1"/>
      <c r="FPE238" s="1"/>
      <c r="FPF238" s="1"/>
      <c r="FPG238" s="1"/>
      <c r="FPH238" s="1"/>
      <c r="FPI238" s="1"/>
      <c r="FPJ238" s="1"/>
      <c r="FPK238" s="1"/>
      <c r="FPL238" s="1"/>
      <c r="FPM238" s="1"/>
      <c r="FPN238" s="1"/>
      <c r="FPO238" s="1"/>
      <c r="FPP238" s="1"/>
      <c r="FPQ238" s="1"/>
      <c r="FPR238" s="1"/>
      <c r="FPS238" s="1"/>
      <c r="FPT238" s="1"/>
      <c r="FPU238" s="1"/>
      <c r="FPV238" s="1"/>
      <c r="FPW238" s="1"/>
      <c r="FPX238" s="1"/>
      <c r="FPY238" s="1"/>
      <c r="FPZ238" s="1"/>
      <c r="FQA238" s="1"/>
      <c r="FQB238" s="1"/>
      <c r="FQC238" s="1"/>
      <c r="FQD238" s="1"/>
      <c r="FQE238" s="1"/>
      <c r="FQF238" s="1"/>
      <c r="FQG238" s="1"/>
      <c r="FQH238" s="1"/>
      <c r="FQI238" s="1"/>
      <c r="FQJ238" s="1"/>
      <c r="FQK238" s="1"/>
      <c r="FQL238" s="1"/>
      <c r="FQM238" s="1"/>
      <c r="FQN238" s="1"/>
      <c r="FQO238" s="1"/>
      <c r="FQP238" s="1"/>
      <c r="FQQ238" s="1"/>
      <c r="FQR238" s="1"/>
      <c r="FQS238" s="1"/>
      <c r="FQT238" s="1"/>
      <c r="FQU238" s="1"/>
      <c r="FQV238" s="1"/>
      <c r="FQW238" s="1"/>
      <c r="FQX238" s="1"/>
      <c r="FQY238" s="1"/>
      <c r="FQZ238" s="1"/>
      <c r="FRA238" s="1"/>
      <c r="FRB238" s="1"/>
      <c r="FRC238" s="1"/>
      <c r="FRD238" s="1"/>
      <c r="FRE238" s="1"/>
      <c r="FRF238" s="1"/>
      <c r="FRG238" s="1"/>
      <c r="FRH238" s="1"/>
      <c r="FRI238" s="1"/>
      <c r="FRJ238" s="1"/>
      <c r="FRK238" s="1"/>
      <c r="FRL238" s="1"/>
      <c r="FRM238" s="1"/>
      <c r="FRN238" s="1"/>
      <c r="FRO238" s="1"/>
      <c r="FRP238" s="1"/>
      <c r="FRQ238" s="1"/>
      <c r="FRR238" s="1"/>
      <c r="FRS238" s="1"/>
      <c r="FRT238" s="1"/>
      <c r="FRU238" s="1"/>
      <c r="FRV238" s="1"/>
      <c r="FRW238" s="1"/>
      <c r="FRX238" s="1"/>
      <c r="FRY238" s="1"/>
      <c r="FRZ238" s="1"/>
      <c r="FSA238" s="1"/>
      <c r="FSB238" s="1"/>
      <c r="FSC238" s="1"/>
      <c r="FSD238" s="1"/>
      <c r="FSE238" s="1"/>
      <c r="FSF238" s="1"/>
      <c r="FSG238" s="1"/>
      <c r="FSH238" s="1"/>
      <c r="FSI238" s="1"/>
      <c r="FSJ238" s="1"/>
      <c r="FSK238" s="1"/>
      <c r="FSL238" s="1"/>
      <c r="FSM238" s="1"/>
      <c r="FSN238" s="1"/>
      <c r="FSO238" s="1"/>
      <c r="FSP238" s="1"/>
      <c r="FSQ238" s="1"/>
      <c r="FSR238" s="1"/>
      <c r="FSS238" s="1"/>
      <c r="FST238" s="1"/>
      <c r="FSU238" s="1"/>
      <c r="FSV238" s="1"/>
      <c r="FSW238" s="1"/>
      <c r="FSX238" s="1"/>
      <c r="FSY238" s="1"/>
      <c r="FSZ238" s="1"/>
      <c r="FTA238" s="1"/>
      <c r="FTB238" s="1"/>
      <c r="FTC238" s="1"/>
      <c r="FTD238" s="1"/>
      <c r="FTE238" s="1"/>
      <c r="FTF238" s="1"/>
      <c r="FTG238" s="1"/>
      <c r="FTH238" s="1"/>
      <c r="FTI238" s="1"/>
      <c r="FTJ238" s="1"/>
      <c r="FTK238" s="1"/>
      <c r="FTL238" s="1"/>
      <c r="FTM238" s="1"/>
      <c r="FTN238" s="1"/>
      <c r="FTO238" s="1"/>
      <c r="FTP238" s="1"/>
      <c r="FTQ238" s="1"/>
      <c r="FTR238" s="1"/>
      <c r="FTS238" s="1"/>
      <c r="FTT238" s="1"/>
      <c r="FTU238" s="1"/>
      <c r="FTV238" s="1"/>
      <c r="FTW238" s="1"/>
      <c r="FTX238" s="1"/>
      <c r="FTY238" s="1"/>
      <c r="FTZ238" s="1"/>
      <c r="FUA238" s="1"/>
      <c r="FUB238" s="1"/>
      <c r="FUC238" s="1"/>
      <c r="FUD238" s="1"/>
      <c r="FUE238" s="1"/>
      <c r="FUF238" s="1"/>
      <c r="FUG238" s="1"/>
      <c r="FUH238" s="1"/>
      <c r="FUI238" s="1"/>
      <c r="FUJ238" s="1"/>
      <c r="FUK238" s="1"/>
      <c r="FUL238" s="1"/>
      <c r="FUM238" s="1"/>
      <c r="FUN238" s="1"/>
      <c r="FUO238" s="1"/>
      <c r="FUP238" s="1"/>
      <c r="FUQ238" s="1"/>
      <c r="FUR238" s="1"/>
      <c r="FUS238" s="1"/>
      <c r="FUT238" s="1"/>
      <c r="FUU238" s="1"/>
      <c r="FUV238" s="1"/>
      <c r="FUW238" s="1"/>
      <c r="FUX238" s="1"/>
      <c r="FUY238" s="1"/>
      <c r="FUZ238" s="1"/>
      <c r="FVA238" s="1"/>
      <c r="FVB238" s="1"/>
      <c r="FVC238" s="1"/>
      <c r="FVD238" s="1"/>
      <c r="FVE238" s="1"/>
      <c r="FVF238" s="1"/>
      <c r="FVG238" s="1"/>
      <c r="FVH238" s="1"/>
      <c r="FVI238" s="1"/>
      <c r="FVJ238" s="1"/>
      <c r="FVK238" s="1"/>
      <c r="FVL238" s="1"/>
      <c r="FVM238" s="1"/>
      <c r="FVN238" s="1"/>
      <c r="FVO238" s="1"/>
      <c r="FVP238" s="1"/>
      <c r="FVQ238" s="1"/>
      <c r="FVR238" s="1"/>
      <c r="FVS238" s="1"/>
      <c r="FVT238" s="1"/>
      <c r="FVU238" s="1"/>
      <c r="FVV238" s="1"/>
      <c r="FVW238" s="1"/>
      <c r="FVX238" s="1"/>
      <c r="FVY238" s="1"/>
      <c r="FVZ238" s="1"/>
      <c r="FWA238" s="1"/>
      <c r="FWB238" s="1"/>
      <c r="FWC238" s="1"/>
      <c r="FWD238" s="1"/>
      <c r="FWE238" s="1"/>
      <c r="FWF238" s="1"/>
      <c r="FWG238" s="1"/>
      <c r="FWH238" s="1"/>
      <c r="FWI238" s="1"/>
      <c r="FWJ238" s="1"/>
      <c r="FWK238" s="1"/>
      <c r="FWL238" s="1"/>
      <c r="FWM238" s="1"/>
      <c r="FWN238" s="1"/>
      <c r="FWO238" s="1"/>
      <c r="FWP238" s="1"/>
      <c r="FWQ238" s="1"/>
      <c r="FWR238" s="1"/>
      <c r="FWS238" s="1"/>
      <c r="FWT238" s="1"/>
      <c r="FWU238" s="1"/>
      <c r="FWV238" s="1"/>
      <c r="FWW238" s="1"/>
      <c r="FWX238" s="1"/>
      <c r="FWY238" s="1"/>
      <c r="FWZ238" s="1"/>
      <c r="FXA238" s="1"/>
      <c r="FXB238" s="1"/>
      <c r="FXC238" s="1"/>
      <c r="FXD238" s="1"/>
      <c r="FXE238" s="1"/>
      <c r="FXF238" s="1"/>
      <c r="FXG238" s="1"/>
      <c r="FXH238" s="1"/>
      <c r="FXI238" s="1"/>
      <c r="FXJ238" s="1"/>
      <c r="FXK238" s="1"/>
      <c r="FXL238" s="1"/>
      <c r="FXM238" s="1"/>
      <c r="FXN238" s="1"/>
      <c r="FXO238" s="1"/>
      <c r="FXP238" s="1"/>
      <c r="FXQ238" s="1"/>
      <c r="FXR238" s="1"/>
      <c r="FXS238" s="1"/>
      <c r="FXT238" s="1"/>
      <c r="FXU238" s="1"/>
      <c r="FXV238" s="1"/>
      <c r="FXW238" s="1"/>
      <c r="FXX238" s="1"/>
      <c r="FXY238" s="1"/>
      <c r="FXZ238" s="1"/>
      <c r="FYA238" s="1"/>
      <c r="FYB238" s="1"/>
      <c r="FYC238" s="1"/>
      <c r="FYD238" s="1"/>
      <c r="FYE238" s="1"/>
      <c r="FYF238" s="1"/>
      <c r="FYG238" s="1"/>
      <c r="FYH238" s="1"/>
      <c r="FYI238" s="1"/>
      <c r="FYJ238" s="1"/>
      <c r="FYK238" s="1"/>
      <c r="FYL238" s="1"/>
      <c r="FYM238" s="1"/>
      <c r="FYN238" s="1"/>
      <c r="FYO238" s="1"/>
      <c r="FYP238" s="1"/>
      <c r="FYQ238" s="1"/>
      <c r="FYR238" s="1"/>
      <c r="FYS238" s="1"/>
      <c r="FYT238" s="1"/>
      <c r="FYU238" s="1"/>
      <c r="FYV238" s="1"/>
      <c r="FYW238" s="1"/>
      <c r="FYX238" s="1"/>
      <c r="FYY238" s="1"/>
      <c r="FYZ238" s="1"/>
      <c r="FZA238" s="1"/>
      <c r="FZB238" s="1"/>
      <c r="FZC238" s="1"/>
      <c r="FZD238" s="1"/>
      <c r="FZE238" s="1"/>
      <c r="FZF238" s="1"/>
      <c r="FZG238" s="1"/>
      <c r="FZH238" s="1"/>
      <c r="FZI238" s="1"/>
      <c r="FZJ238" s="1"/>
      <c r="FZK238" s="1"/>
      <c r="FZL238" s="1"/>
      <c r="FZM238" s="1"/>
      <c r="FZN238" s="1"/>
      <c r="FZO238" s="1"/>
      <c r="FZP238" s="1"/>
      <c r="FZQ238" s="1"/>
      <c r="FZR238" s="1"/>
      <c r="FZS238" s="1"/>
      <c r="FZT238" s="1"/>
      <c r="FZU238" s="1"/>
      <c r="FZV238" s="1"/>
      <c r="FZW238" s="1"/>
      <c r="FZX238" s="1"/>
      <c r="FZY238" s="1"/>
      <c r="FZZ238" s="1"/>
      <c r="GAA238" s="1"/>
      <c r="GAB238" s="1"/>
      <c r="GAC238" s="1"/>
      <c r="GAD238" s="1"/>
      <c r="GAE238" s="1"/>
      <c r="GAF238" s="1"/>
      <c r="GAG238" s="1"/>
      <c r="GAH238" s="1"/>
      <c r="GAI238" s="1"/>
      <c r="GAJ238" s="1"/>
      <c r="GAK238" s="1"/>
      <c r="GAL238" s="1"/>
      <c r="GAM238" s="1"/>
      <c r="GAN238" s="1"/>
      <c r="GAO238" s="1"/>
      <c r="GAP238" s="1"/>
      <c r="GAQ238" s="1"/>
      <c r="GAR238" s="1"/>
      <c r="GAS238" s="1"/>
      <c r="GAT238" s="1"/>
      <c r="GAU238" s="1"/>
      <c r="GAV238" s="1"/>
      <c r="GAW238" s="1"/>
      <c r="GAX238" s="1"/>
      <c r="GAY238" s="1"/>
      <c r="GAZ238" s="1"/>
      <c r="GBA238" s="1"/>
      <c r="GBB238" s="1"/>
      <c r="GBC238" s="1"/>
      <c r="GBD238" s="1"/>
      <c r="GBE238" s="1"/>
      <c r="GBF238" s="1"/>
      <c r="GBG238" s="1"/>
      <c r="GBH238" s="1"/>
      <c r="GBI238" s="1"/>
      <c r="GBJ238" s="1"/>
      <c r="GBK238" s="1"/>
      <c r="GBL238" s="1"/>
      <c r="GBM238" s="1"/>
      <c r="GBN238" s="1"/>
      <c r="GBO238" s="1"/>
      <c r="GBP238" s="1"/>
      <c r="GBQ238" s="1"/>
      <c r="GBR238" s="1"/>
      <c r="GBS238" s="1"/>
      <c r="GBT238" s="1"/>
      <c r="GBU238" s="1"/>
      <c r="GBV238" s="1"/>
      <c r="GBW238" s="1"/>
      <c r="GBX238" s="1"/>
      <c r="GBY238" s="1"/>
      <c r="GBZ238" s="1"/>
      <c r="GCA238" s="1"/>
      <c r="GCB238" s="1"/>
      <c r="GCC238" s="1"/>
      <c r="GCD238" s="1"/>
      <c r="GCE238" s="1"/>
      <c r="GCF238" s="1"/>
      <c r="GCG238" s="1"/>
      <c r="GCH238" s="1"/>
      <c r="GCI238" s="1"/>
      <c r="GCJ238" s="1"/>
      <c r="GCK238" s="1"/>
      <c r="GCL238" s="1"/>
      <c r="GCM238" s="1"/>
      <c r="GCN238" s="1"/>
      <c r="GCO238" s="1"/>
      <c r="GCP238" s="1"/>
      <c r="GCQ238" s="1"/>
      <c r="GCR238" s="1"/>
      <c r="GCS238" s="1"/>
      <c r="GCT238" s="1"/>
      <c r="GCU238" s="1"/>
      <c r="GCV238" s="1"/>
      <c r="GCW238" s="1"/>
      <c r="GCX238" s="1"/>
      <c r="GCY238" s="1"/>
      <c r="GCZ238" s="1"/>
      <c r="GDA238" s="1"/>
      <c r="GDB238" s="1"/>
      <c r="GDC238" s="1"/>
      <c r="GDD238" s="1"/>
      <c r="GDE238" s="1"/>
      <c r="GDF238" s="1"/>
      <c r="GDG238" s="1"/>
      <c r="GDH238" s="1"/>
      <c r="GDI238" s="1"/>
      <c r="GDJ238" s="1"/>
      <c r="GDK238" s="1"/>
      <c r="GDL238" s="1"/>
      <c r="GDM238" s="1"/>
      <c r="GDN238" s="1"/>
      <c r="GDO238" s="1"/>
      <c r="GDP238" s="1"/>
      <c r="GDQ238" s="1"/>
      <c r="GDR238" s="1"/>
      <c r="GDS238" s="1"/>
      <c r="GDT238" s="1"/>
      <c r="GDU238" s="1"/>
      <c r="GDV238" s="1"/>
      <c r="GDW238" s="1"/>
      <c r="GDX238" s="1"/>
      <c r="GDY238" s="1"/>
      <c r="GDZ238" s="1"/>
      <c r="GEA238" s="1"/>
      <c r="GEB238" s="1"/>
      <c r="GEC238" s="1"/>
      <c r="GED238" s="1"/>
      <c r="GEE238" s="1"/>
      <c r="GEF238" s="1"/>
      <c r="GEG238" s="1"/>
      <c r="GEH238" s="1"/>
      <c r="GEI238" s="1"/>
      <c r="GEJ238" s="1"/>
      <c r="GEK238" s="1"/>
      <c r="GEL238" s="1"/>
      <c r="GEM238" s="1"/>
      <c r="GEN238" s="1"/>
      <c r="GEO238" s="1"/>
      <c r="GEP238" s="1"/>
      <c r="GEQ238" s="1"/>
      <c r="GER238" s="1"/>
      <c r="GES238" s="1"/>
      <c r="GET238" s="1"/>
      <c r="GEU238" s="1"/>
      <c r="GEV238" s="1"/>
      <c r="GEW238" s="1"/>
      <c r="GEX238" s="1"/>
      <c r="GEY238" s="1"/>
      <c r="GEZ238" s="1"/>
      <c r="GFA238" s="1"/>
      <c r="GFB238" s="1"/>
      <c r="GFC238" s="1"/>
      <c r="GFD238" s="1"/>
      <c r="GFE238" s="1"/>
      <c r="GFF238" s="1"/>
      <c r="GFG238" s="1"/>
      <c r="GFH238" s="1"/>
      <c r="GFI238" s="1"/>
      <c r="GFJ238" s="1"/>
      <c r="GFK238" s="1"/>
      <c r="GFL238" s="1"/>
      <c r="GFM238" s="1"/>
      <c r="GFN238" s="1"/>
      <c r="GFO238" s="1"/>
      <c r="GFP238" s="1"/>
      <c r="GFQ238" s="1"/>
      <c r="GFR238" s="1"/>
      <c r="GFS238" s="1"/>
      <c r="GFT238" s="1"/>
      <c r="GFU238" s="1"/>
      <c r="GFV238" s="1"/>
      <c r="GFW238" s="1"/>
      <c r="GFX238" s="1"/>
      <c r="GFY238" s="1"/>
      <c r="GFZ238" s="1"/>
      <c r="GGA238" s="1"/>
      <c r="GGB238" s="1"/>
      <c r="GGC238" s="1"/>
      <c r="GGD238" s="1"/>
      <c r="GGE238" s="1"/>
      <c r="GGF238" s="1"/>
      <c r="GGG238" s="1"/>
      <c r="GGH238" s="1"/>
      <c r="GGI238" s="1"/>
      <c r="GGJ238" s="1"/>
      <c r="GGK238" s="1"/>
      <c r="GGL238" s="1"/>
      <c r="GGM238" s="1"/>
      <c r="GGN238" s="1"/>
      <c r="GGO238" s="1"/>
      <c r="GGP238" s="1"/>
      <c r="GGQ238" s="1"/>
      <c r="GGR238" s="1"/>
      <c r="GGS238" s="1"/>
      <c r="GGT238" s="1"/>
      <c r="GGU238" s="1"/>
      <c r="GGV238" s="1"/>
      <c r="GGW238" s="1"/>
      <c r="GGX238" s="1"/>
      <c r="GGY238" s="1"/>
      <c r="GGZ238" s="1"/>
      <c r="GHA238" s="1"/>
      <c r="GHB238" s="1"/>
      <c r="GHC238" s="1"/>
      <c r="GHD238" s="1"/>
      <c r="GHE238" s="1"/>
      <c r="GHF238" s="1"/>
      <c r="GHG238" s="1"/>
      <c r="GHH238" s="1"/>
      <c r="GHI238" s="1"/>
      <c r="GHJ238" s="1"/>
      <c r="GHK238" s="1"/>
      <c r="GHL238" s="1"/>
      <c r="GHM238" s="1"/>
      <c r="GHN238" s="1"/>
      <c r="GHO238" s="1"/>
      <c r="GHP238" s="1"/>
      <c r="GHQ238" s="1"/>
      <c r="GHR238" s="1"/>
      <c r="GHS238" s="1"/>
      <c r="GHT238" s="1"/>
      <c r="GHU238" s="1"/>
      <c r="GHV238" s="1"/>
      <c r="GHW238" s="1"/>
      <c r="GHX238" s="1"/>
      <c r="GHY238" s="1"/>
      <c r="GHZ238" s="1"/>
      <c r="GIA238" s="1"/>
      <c r="GIB238" s="1"/>
      <c r="GIC238" s="1"/>
      <c r="GID238" s="1"/>
      <c r="GIE238" s="1"/>
      <c r="GIF238" s="1"/>
      <c r="GIG238" s="1"/>
      <c r="GIH238" s="1"/>
      <c r="GII238" s="1"/>
      <c r="GIJ238" s="1"/>
      <c r="GIK238" s="1"/>
      <c r="GIL238" s="1"/>
      <c r="GIM238" s="1"/>
      <c r="GIN238" s="1"/>
      <c r="GIO238" s="1"/>
      <c r="GIP238" s="1"/>
      <c r="GIQ238" s="1"/>
      <c r="GIR238" s="1"/>
      <c r="GIS238" s="1"/>
      <c r="GIT238" s="1"/>
      <c r="GIU238" s="1"/>
      <c r="GIV238" s="1"/>
      <c r="GIW238" s="1"/>
      <c r="GIX238" s="1"/>
      <c r="GIY238" s="1"/>
      <c r="GIZ238" s="1"/>
      <c r="GJA238" s="1"/>
      <c r="GJB238" s="1"/>
      <c r="GJC238" s="1"/>
      <c r="GJD238" s="1"/>
      <c r="GJE238" s="1"/>
      <c r="GJF238" s="1"/>
      <c r="GJG238" s="1"/>
      <c r="GJH238" s="1"/>
      <c r="GJI238" s="1"/>
      <c r="GJJ238" s="1"/>
      <c r="GJK238" s="1"/>
      <c r="GJL238" s="1"/>
      <c r="GJM238" s="1"/>
      <c r="GJN238" s="1"/>
      <c r="GJO238" s="1"/>
      <c r="GJP238" s="1"/>
      <c r="GJQ238" s="1"/>
      <c r="GJR238" s="1"/>
      <c r="GJS238" s="1"/>
      <c r="GJT238" s="1"/>
      <c r="GJU238" s="1"/>
      <c r="GJV238" s="1"/>
      <c r="GJW238" s="1"/>
      <c r="GJX238" s="1"/>
      <c r="GJY238" s="1"/>
      <c r="GJZ238" s="1"/>
      <c r="GKA238" s="1"/>
      <c r="GKB238" s="1"/>
      <c r="GKC238" s="1"/>
      <c r="GKD238" s="1"/>
      <c r="GKE238" s="1"/>
      <c r="GKF238" s="1"/>
      <c r="GKG238" s="1"/>
      <c r="GKH238" s="1"/>
      <c r="GKI238" s="1"/>
      <c r="GKJ238" s="1"/>
      <c r="GKK238" s="1"/>
      <c r="GKL238" s="1"/>
      <c r="GKM238" s="1"/>
      <c r="GKN238" s="1"/>
      <c r="GKO238" s="1"/>
      <c r="GKP238" s="1"/>
      <c r="GKQ238" s="1"/>
      <c r="GKR238" s="1"/>
      <c r="GKS238" s="1"/>
      <c r="GKT238" s="1"/>
      <c r="GKU238" s="1"/>
      <c r="GKV238" s="1"/>
      <c r="GKW238" s="1"/>
      <c r="GKX238" s="1"/>
      <c r="GKY238" s="1"/>
      <c r="GKZ238" s="1"/>
      <c r="GLA238" s="1"/>
      <c r="GLB238" s="1"/>
      <c r="GLC238" s="1"/>
      <c r="GLD238" s="1"/>
      <c r="GLE238" s="1"/>
      <c r="GLF238" s="1"/>
      <c r="GLG238" s="1"/>
      <c r="GLH238" s="1"/>
      <c r="GLI238" s="1"/>
      <c r="GLJ238" s="1"/>
      <c r="GLK238" s="1"/>
      <c r="GLL238" s="1"/>
      <c r="GLM238" s="1"/>
      <c r="GLN238" s="1"/>
      <c r="GLO238" s="1"/>
      <c r="GLP238" s="1"/>
      <c r="GLQ238" s="1"/>
      <c r="GLR238" s="1"/>
      <c r="GLS238" s="1"/>
      <c r="GLT238" s="1"/>
      <c r="GLU238" s="1"/>
      <c r="GLV238" s="1"/>
      <c r="GLW238" s="1"/>
      <c r="GLX238" s="1"/>
      <c r="GLY238" s="1"/>
      <c r="GLZ238" s="1"/>
      <c r="GMA238" s="1"/>
      <c r="GMB238" s="1"/>
      <c r="GMC238" s="1"/>
      <c r="GMD238" s="1"/>
      <c r="GME238" s="1"/>
      <c r="GMF238" s="1"/>
      <c r="GMG238" s="1"/>
      <c r="GMH238" s="1"/>
      <c r="GMI238" s="1"/>
      <c r="GMJ238" s="1"/>
      <c r="GMK238" s="1"/>
      <c r="GML238" s="1"/>
      <c r="GMM238" s="1"/>
      <c r="GMN238" s="1"/>
      <c r="GMO238" s="1"/>
      <c r="GMP238" s="1"/>
      <c r="GMQ238" s="1"/>
      <c r="GMR238" s="1"/>
      <c r="GMS238" s="1"/>
      <c r="GMT238" s="1"/>
      <c r="GMU238" s="1"/>
      <c r="GMV238" s="1"/>
      <c r="GMW238" s="1"/>
      <c r="GMX238" s="1"/>
      <c r="GMY238" s="1"/>
      <c r="GMZ238" s="1"/>
      <c r="GNA238" s="1"/>
      <c r="GNB238" s="1"/>
      <c r="GNC238" s="1"/>
      <c r="GND238" s="1"/>
      <c r="GNE238" s="1"/>
      <c r="GNF238" s="1"/>
      <c r="GNG238" s="1"/>
      <c r="GNH238" s="1"/>
      <c r="GNI238" s="1"/>
      <c r="GNJ238" s="1"/>
      <c r="GNK238" s="1"/>
      <c r="GNL238" s="1"/>
      <c r="GNM238" s="1"/>
      <c r="GNN238" s="1"/>
      <c r="GNO238" s="1"/>
      <c r="GNP238" s="1"/>
      <c r="GNQ238" s="1"/>
      <c r="GNR238" s="1"/>
      <c r="GNS238" s="1"/>
      <c r="GNT238" s="1"/>
      <c r="GNU238" s="1"/>
      <c r="GNV238" s="1"/>
      <c r="GNW238" s="1"/>
      <c r="GNX238" s="1"/>
      <c r="GNY238" s="1"/>
      <c r="GNZ238" s="1"/>
      <c r="GOA238" s="1"/>
      <c r="GOB238" s="1"/>
      <c r="GOC238" s="1"/>
      <c r="GOD238" s="1"/>
      <c r="GOE238" s="1"/>
      <c r="GOF238" s="1"/>
      <c r="GOG238" s="1"/>
      <c r="GOH238" s="1"/>
      <c r="GOI238" s="1"/>
      <c r="GOJ238" s="1"/>
      <c r="GOK238" s="1"/>
      <c r="GOL238" s="1"/>
      <c r="GOM238" s="1"/>
      <c r="GON238" s="1"/>
      <c r="GOO238" s="1"/>
      <c r="GOP238" s="1"/>
      <c r="GOQ238" s="1"/>
      <c r="GOR238" s="1"/>
      <c r="GOS238" s="1"/>
      <c r="GOT238" s="1"/>
      <c r="GOU238" s="1"/>
      <c r="GOV238" s="1"/>
      <c r="GOW238" s="1"/>
      <c r="GOX238" s="1"/>
      <c r="GOY238" s="1"/>
      <c r="GOZ238" s="1"/>
      <c r="GPA238" s="1"/>
      <c r="GPB238" s="1"/>
      <c r="GPC238" s="1"/>
      <c r="GPD238" s="1"/>
      <c r="GPE238" s="1"/>
      <c r="GPF238" s="1"/>
      <c r="GPG238" s="1"/>
      <c r="GPH238" s="1"/>
      <c r="GPI238" s="1"/>
      <c r="GPJ238" s="1"/>
      <c r="GPK238" s="1"/>
      <c r="GPL238" s="1"/>
      <c r="GPM238" s="1"/>
      <c r="GPN238" s="1"/>
      <c r="GPO238" s="1"/>
      <c r="GPP238" s="1"/>
      <c r="GPQ238" s="1"/>
      <c r="GPR238" s="1"/>
      <c r="GPS238" s="1"/>
      <c r="GPT238" s="1"/>
      <c r="GPU238" s="1"/>
      <c r="GPV238" s="1"/>
      <c r="GPW238" s="1"/>
      <c r="GPX238" s="1"/>
      <c r="GPY238" s="1"/>
      <c r="GPZ238" s="1"/>
      <c r="GQA238" s="1"/>
      <c r="GQB238" s="1"/>
      <c r="GQC238" s="1"/>
      <c r="GQD238" s="1"/>
      <c r="GQE238" s="1"/>
      <c r="GQF238" s="1"/>
      <c r="GQG238" s="1"/>
      <c r="GQH238" s="1"/>
      <c r="GQI238" s="1"/>
      <c r="GQJ238" s="1"/>
      <c r="GQK238" s="1"/>
      <c r="GQL238" s="1"/>
      <c r="GQM238" s="1"/>
      <c r="GQN238" s="1"/>
      <c r="GQO238" s="1"/>
      <c r="GQP238" s="1"/>
      <c r="GQQ238" s="1"/>
      <c r="GQR238" s="1"/>
      <c r="GQS238" s="1"/>
      <c r="GQT238" s="1"/>
      <c r="GQU238" s="1"/>
      <c r="GQV238" s="1"/>
      <c r="GQW238" s="1"/>
      <c r="GQX238" s="1"/>
      <c r="GQY238" s="1"/>
      <c r="GQZ238" s="1"/>
      <c r="GRA238" s="1"/>
      <c r="GRB238" s="1"/>
      <c r="GRC238" s="1"/>
      <c r="GRD238" s="1"/>
      <c r="GRE238" s="1"/>
      <c r="GRF238" s="1"/>
      <c r="GRG238" s="1"/>
      <c r="GRH238" s="1"/>
      <c r="GRI238" s="1"/>
      <c r="GRJ238" s="1"/>
      <c r="GRK238" s="1"/>
      <c r="GRL238" s="1"/>
      <c r="GRM238" s="1"/>
      <c r="GRN238" s="1"/>
      <c r="GRO238" s="1"/>
      <c r="GRP238" s="1"/>
      <c r="GRQ238" s="1"/>
      <c r="GRR238" s="1"/>
      <c r="GRS238" s="1"/>
      <c r="GRT238" s="1"/>
      <c r="GRU238" s="1"/>
      <c r="GRV238" s="1"/>
      <c r="GRW238" s="1"/>
      <c r="GRX238" s="1"/>
      <c r="GRY238" s="1"/>
      <c r="GRZ238" s="1"/>
      <c r="GSA238" s="1"/>
      <c r="GSB238" s="1"/>
      <c r="GSC238" s="1"/>
      <c r="GSD238" s="1"/>
      <c r="GSE238" s="1"/>
      <c r="GSF238" s="1"/>
      <c r="GSG238" s="1"/>
      <c r="GSH238" s="1"/>
      <c r="GSI238" s="1"/>
      <c r="GSJ238" s="1"/>
      <c r="GSK238" s="1"/>
      <c r="GSL238" s="1"/>
      <c r="GSM238" s="1"/>
      <c r="GSN238" s="1"/>
      <c r="GSO238" s="1"/>
      <c r="GSP238" s="1"/>
      <c r="GSQ238" s="1"/>
      <c r="GSR238" s="1"/>
      <c r="GSS238" s="1"/>
      <c r="GST238" s="1"/>
      <c r="GSU238" s="1"/>
      <c r="GSV238" s="1"/>
      <c r="GSW238" s="1"/>
      <c r="GSX238" s="1"/>
      <c r="GSY238" s="1"/>
      <c r="GSZ238" s="1"/>
      <c r="GTA238" s="1"/>
      <c r="GTB238" s="1"/>
      <c r="GTC238" s="1"/>
      <c r="GTD238" s="1"/>
      <c r="GTE238" s="1"/>
      <c r="GTF238" s="1"/>
      <c r="GTG238" s="1"/>
      <c r="GTH238" s="1"/>
      <c r="GTI238" s="1"/>
      <c r="GTJ238" s="1"/>
      <c r="GTK238" s="1"/>
      <c r="GTL238" s="1"/>
      <c r="GTM238" s="1"/>
      <c r="GTN238" s="1"/>
      <c r="GTO238" s="1"/>
      <c r="GTP238" s="1"/>
      <c r="GTQ238" s="1"/>
      <c r="GTR238" s="1"/>
      <c r="GTS238" s="1"/>
      <c r="GTT238" s="1"/>
      <c r="GTU238" s="1"/>
      <c r="GTV238" s="1"/>
      <c r="GTW238" s="1"/>
      <c r="GTX238" s="1"/>
      <c r="GTY238" s="1"/>
      <c r="GTZ238" s="1"/>
      <c r="GUA238" s="1"/>
      <c r="GUB238" s="1"/>
      <c r="GUC238" s="1"/>
      <c r="GUD238" s="1"/>
      <c r="GUE238" s="1"/>
      <c r="GUF238" s="1"/>
      <c r="GUG238" s="1"/>
      <c r="GUH238" s="1"/>
      <c r="GUI238" s="1"/>
      <c r="GUJ238" s="1"/>
      <c r="GUK238" s="1"/>
      <c r="GUL238" s="1"/>
      <c r="GUM238" s="1"/>
      <c r="GUN238" s="1"/>
      <c r="GUO238" s="1"/>
      <c r="GUP238" s="1"/>
      <c r="GUQ238" s="1"/>
      <c r="GUR238" s="1"/>
      <c r="GUS238" s="1"/>
      <c r="GUT238" s="1"/>
      <c r="GUU238" s="1"/>
      <c r="GUV238" s="1"/>
      <c r="GUW238" s="1"/>
      <c r="GUX238" s="1"/>
      <c r="GUY238" s="1"/>
      <c r="GUZ238" s="1"/>
      <c r="GVA238" s="1"/>
      <c r="GVB238" s="1"/>
      <c r="GVC238" s="1"/>
      <c r="GVD238" s="1"/>
      <c r="GVE238" s="1"/>
      <c r="GVF238" s="1"/>
      <c r="GVG238" s="1"/>
      <c r="GVH238" s="1"/>
      <c r="GVI238" s="1"/>
      <c r="GVJ238" s="1"/>
      <c r="GVK238" s="1"/>
      <c r="GVL238" s="1"/>
      <c r="GVM238" s="1"/>
      <c r="GVN238" s="1"/>
      <c r="GVO238" s="1"/>
      <c r="GVP238" s="1"/>
      <c r="GVQ238" s="1"/>
      <c r="GVR238" s="1"/>
      <c r="GVS238" s="1"/>
      <c r="GVT238" s="1"/>
      <c r="GVU238" s="1"/>
      <c r="GVV238" s="1"/>
      <c r="GVW238" s="1"/>
      <c r="GVX238" s="1"/>
      <c r="GVY238" s="1"/>
      <c r="GVZ238" s="1"/>
      <c r="GWA238" s="1"/>
      <c r="GWB238" s="1"/>
      <c r="GWC238" s="1"/>
      <c r="GWD238" s="1"/>
      <c r="GWE238" s="1"/>
      <c r="GWF238" s="1"/>
      <c r="GWG238" s="1"/>
      <c r="GWH238" s="1"/>
      <c r="GWI238" s="1"/>
      <c r="GWJ238" s="1"/>
      <c r="GWK238" s="1"/>
      <c r="GWL238" s="1"/>
      <c r="GWM238" s="1"/>
      <c r="GWN238" s="1"/>
      <c r="GWO238" s="1"/>
      <c r="GWP238" s="1"/>
      <c r="GWQ238" s="1"/>
      <c r="GWR238" s="1"/>
      <c r="GWS238" s="1"/>
      <c r="GWT238" s="1"/>
      <c r="GWU238" s="1"/>
      <c r="GWV238" s="1"/>
      <c r="GWW238" s="1"/>
      <c r="GWX238" s="1"/>
      <c r="GWY238" s="1"/>
      <c r="GWZ238" s="1"/>
      <c r="GXA238" s="1"/>
      <c r="GXB238" s="1"/>
      <c r="GXC238" s="1"/>
      <c r="GXD238" s="1"/>
      <c r="GXE238" s="1"/>
      <c r="GXF238" s="1"/>
      <c r="GXG238" s="1"/>
      <c r="GXH238" s="1"/>
      <c r="GXI238" s="1"/>
      <c r="GXJ238" s="1"/>
      <c r="GXK238" s="1"/>
      <c r="GXL238" s="1"/>
      <c r="GXM238" s="1"/>
      <c r="GXN238" s="1"/>
      <c r="GXO238" s="1"/>
      <c r="GXP238" s="1"/>
      <c r="GXQ238" s="1"/>
      <c r="GXR238" s="1"/>
      <c r="GXS238" s="1"/>
      <c r="GXT238" s="1"/>
      <c r="GXU238" s="1"/>
      <c r="GXV238" s="1"/>
      <c r="GXW238" s="1"/>
      <c r="GXX238" s="1"/>
      <c r="GXY238" s="1"/>
      <c r="GXZ238" s="1"/>
      <c r="GYA238" s="1"/>
      <c r="GYB238" s="1"/>
      <c r="GYC238" s="1"/>
      <c r="GYD238" s="1"/>
      <c r="GYE238" s="1"/>
      <c r="GYF238" s="1"/>
      <c r="GYG238" s="1"/>
      <c r="GYH238" s="1"/>
      <c r="GYI238" s="1"/>
      <c r="GYJ238" s="1"/>
      <c r="GYK238" s="1"/>
      <c r="GYL238" s="1"/>
      <c r="GYM238" s="1"/>
      <c r="GYN238" s="1"/>
      <c r="GYO238" s="1"/>
      <c r="GYP238" s="1"/>
      <c r="GYQ238" s="1"/>
      <c r="GYR238" s="1"/>
      <c r="GYS238" s="1"/>
      <c r="GYT238" s="1"/>
      <c r="GYU238" s="1"/>
      <c r="GYV238" s="1"/>
      <c r="GYW238" s="1"/>
      <c r="GYX238" s="1"/>
      <c r="GYY238" s="1"/>
      <c r="GYZ238" s="1"/>
      <c r="GZA238" s="1"/>
      <c r="GZB238" s="1"/>
      <c r="GZC238" s="1"/>
      <c r="GZD238" s="1"/>
      <c r="GZE238" s="1"/>
      <c r="GZF238" s="1"/>
      <c r="GZG238" s="1"/>
      <c r="GZH238" s="1"/>
      <c r="GZI238" s="1"/>
      <c r="GZJ238" s="1"/>
      <c r="GZK238" s="1"/>
      <c r="GZL238" s="1"/>
      <c r="GZM238" s="1"/>
      <c r="GZN238" s="1"/>
      <c r="GZO238" s="1"/>
      <c r="GZP238" s="1"/>
      <c r="GZQ238" s="1"/>
      <c r="GZR238" s="1"/>
      <c r="GZS238" s="1"/>
      <c r="GZT238" s="1"/>
      <c r="GZU238" s="1"/>
      <c r="GZV238" s="1"/>
      <c r="GZW238" s="1"/>
      <c r="GZX238" s="1"/>
      <c r="GZY238" s="1"/>
      <c r="GZZ238" s="1"/>
      <c r="HAA238" s="1"/>
      <c r="HAB238" s="1"/>
      <c r="HAC238" s="1"/>
      <c r="HAD238" s="1"/>
      <c r="HAE238" s="1"/>
      <c r="HAF238" s="1"/>
      <c r="HAG238" s="1"/>
      <c r="HAH238" s="1"/>
      <c r="HAI238" s="1"/>
      <c r="HAJ238" s="1"/>
      <c r="HAK238" s="1"/>
      <c r="HAL238" s="1"/>
      <c r="HAM238" s="1"/>
      <c r="HAN238" s="1"/>
      <c r="HAO238" s="1"/>
      <c r="HAP238" s="1"/>
      <c r="HAQ238" s="1"/>
      <c r="HAR238" s="1"/>
      <c r="HAS238" s="1"/>
      <c r="HAT238" s="1"/>
      <c r="HAU238" s="1"/>
      <c r="HAV238" s="1"/>
      <c r="HAW238" s="1"/>
      <c r="HAX238" s="1"/>
      <c r="HAY238" s="1"/>
      <c r="HAZ238" s="1"/>
      <c r="HBA238" s="1"/>
      <c r="HBB238" s="1"/>
      <c r="HBC238" s="1"/>
      <c r="HBD238" s="1"/>
      <c r="HBE238" s="1"/>
      <c r="HBF238" s="1"/>
      <c r="HBG238" s="1"/>
      <c r="HBH238" s="1"/>
      <c r="HBI238" s="1"/>
      <c r="HBJ238" s="1"/>
      <c r="HBK238" s="1"/>
      <c r="HBL238" s="1"/>
      <c r="HBM238" s="1"/>
      <c r="HBN238" s="1"/>
      <c r="HBO238" s="1"/>
      <c r="HBP238" s="1"/>
      <c r="HBQ238" s="1"/>
      <c r="HBR238" s="1"/>
      <c r="HBS238" s="1"/>
      <c r="HBT238" s="1"/>
      <c r="HBU238" s="1"/>
      <c r="HBV238" s="1"/>
      <c r="HBW238" s="1"/>
      <c r="HBX238" s="1"/>
      <c r="HBY238" s="1"/>
      <c r="HBZ238" s="1"/>
      <c r="HCA238" s="1"/>
      <c r="HCB238" s="1"/>
      <c r="HCC238" s="1"/>
      <c r="HCD238" s="1"/>
      <c r="HCE238" s="1"/>
      <c r="HCF238" s="1"/>
      <c r="HCG238" s="1"/>
      <c r="HCH238" s="1"/>
      <c r="HCI238" s="1"/>
      <c r="HCJ238" s="1"/>
      <c r="HCK238" s="1"/>
      <c r="HCL238" s="1"/>
      <c r="HCM238" s="1"/>
      <c r="HCN238" s="1"/>
      <c r="HCO238" s="1"/>
      <c r="HCP238" s="1"/>
      <c r="HCQ238" s="1"/>
      <c r="HCR238" s="1"/>
      <c r="HCS238" s="1"/>
      <c r="HCT238" s="1"/>
      <c r="HCU238" s="1"/>
      <c r="HCV238" s="1"/>
      <c r="HCW238" s="1"/>
      <c r="HCX238" s="1"/>
      <c r="HCY238" s="1"/>
      <c r="HCZ238" s="1"/>
      <c r="HDA238" s="1"/>
      <c r="HDB238" s="1"/>
      <c r="HDC238" s="1"/>
      <c r="HDD238" s="1"/>
      <c r="HDE238" s="1"/>
      <c r="HDF238" s="1"/>
      <c r="HDG238" s="1"/>
      <c r="HDH238" s="1"/>
      <c r="HDI238" s="1"/>
      <c r="HDJ238" s="1"/>
      <c r="HDK238" s="1"/>
      <c r="HDL238" s="1"/>
      <c r="HDM238" s="1"/>
      <c r="HDN238" s="1"/>
      <c r="HDO238" s="1"/>
      <c r="HDP238" s="1"/>
      <c r="HDQ238" s="1"/>
      <c r="HDR238" s="1"/>
      <c r="HDS238" s="1"/>
      <c r="HDT238" s="1"/>
      <c r="HDU238" s="1"/>
      <c r="HDV238" s="1"/>
      <c r="HDW238" s="1"/>
      <c r="HDX238" s="1"/>
      <c r="HDY238" s="1"/>
      <c r="HDZ238" s="1"/>
      <c r="HEA238" s="1"/>
      <c r="HEB238" s="1"/>
      <c r="HEC238" s="1"/>
      <c r="HED238" s="1"/>
      <c r="HEE238" s="1"/>
      <c r="HEF238" s="1"/>
      <c r="HEG238" s="1"/>
      <c r="HEH238" s="1"/>
      <c r="HEI238" s="1"/>
      <c r="HEJ238" s="1"/>
      <c r="HEK238" s="1"/>
      <c r="HEL238" s="1"/>
      <c r="HEM238" s="1"/>
      <c r="HEN238" s="1"/>
      <c r="HEO238" s="1"/>
      <c r="HEP238" s="1"/>
      <c r="HEQ238" s="1"/>
      <c r="HER238" s="1"/>
      <c r="HES238" s="1"/>
      <c r="HET238" s="1"/>
      <c r="HEU238" s="1"/>
      <c r="HEV238" s="1"/>
      <c r="HEW238" s="1"/>
      <c r="HEX238" s="1"/>
      <c r="HEY238" s="1"/>
      <c r="HEZ238" s="1"/>
      <c r="HFA238" s="1"/>
      <c r="HFB238" s="1"/>
      <c r="HFC238" s="1"/>
      <c r="HFD238" s="1"/>
      <c r="HFE238" s="1"/>
      <c r="HFF238" s="1"/>
      <c r="HFG238" s="1"/>
      <c r="HFH238" s="1"/>
      <c r="HFI238" s="1"/>
      <c r="HFJ238" s="1"/>
      <c r="HFK238" s="1"/>
      <c r="HFL238" s="1"/>
      <c r="HFM238" s="1"/>
      <c r="HFN238" s="1"/>
      <c r="HFO238" s="1"/>
      <c r="HFP238" s="1"/>
      <c r="HFQ238" s="1"/>
      <c r="HFR238" s="1"/>
      <c r="HFS238" s="1"/>
      <c r="HFT238" s="1"/>
      <c r="HFU238" s="1"/>
      <c r="HFV238" s="1"/>
      <c r="HFW238" s="1"/>
      <c r="HFX238" s="1"/>
      <c r="HFY238" s="1"/>
      <c r="HFZ238" s="1"/>
      <c r="HGA238" s="1"/>
      <c r="HGB238" s="1"/>
      <c r="HGC238" s="1"/>
      <c r="HGD238" s="1"/>
      <c r="HGE238" s="1"/>
      <c r="HGF238" s="1"/>
      <c r="HGG238" s="1"/>
      <c r="HGH238" s="1"/>
      <c r="HGI238" s="1"/>
      <c r="HGJ238" s="1"/>
      <c r="HGK238" s="1"/>
      <c r="HGL238" s="1"/>
      <c r="HGM238" s="1"/>
      <c r="HGN238" s="1"/>
      <c r="HGO238" s="1"/>
      <c r="HGP238" s="1"/>
      <c r="HGQ238" s="1"/>
      <c r="HGR238" s="1"/>
      <c r="HGS238" s="1"/>
      <c r="HGT238" s="1"/>
      <c r="HGU238" s="1"/>
      <c r="HGV238" s="1"/>
      <c r="HGW238" s="1"/>
      <c r="HGX238" s="1"/>
      <c r="HGY238" s="1"/>
      <c r="HGZ238" s="1"/>
      <c r="HHA238" s="1"/>
      <c r="HHB238" s="1"/>
      <c r="HHC238" s="1"/>
      <c r="HHD238" s="1"/>
      <c r="HHE238" s="1"/>
      <c r="HHF238" s="1"/>
      <c r="HHG238" s="1"/>
      <c r="HHH238" s="1"/>
      <c r="HHI238" s="1"/>
      <c r="HHJ238" s="1"/>
      <c r="HHK238" s="1"/>
      <c r="HHL238" s="1"/>
      <c r="HHM238" s="1"/>
      <c r="HHN238" s="1"/>
      <c r="HHO238" s="1"/>
      <c r="HHP238" s="1"/>
      <c r="HHQ238" s="1"/>
      <c r="HHR238" s="1"/>
      <c r="HHS238" s="1"/>
      <c r="HHT238" s="1"/>
      <c r="HHU238" s="1"/>
      <c r="HHV238" s="1"/>
      <c r="HHW238" s="1"/>
      <c r="HHX238" s="1"/>
      <c r="HHY238" s="1"/>
      <c r="HHZ238" s="1"/>
      <c r="HIA238" s="1"/>
      <c r="HIB238" s="1"/>
      <c r="HIC238" s="1"/>
      <c r="HID238" s="1"/>
      <c r="HIE238" s="1"/>
      <c r="HIF238" s="1"/>
      <c r="HIG238" s="1"/>
      <c r="HIH238" s="1"/>
      <c r="HII238" s="1"/>
      <c r="HIJ238" s="1"/>
      <c r="HIK238" s="1"/>
      <c r="HIL238" s="1"/>
      <c r="HIM238" s="1"/>
      <c r="HIN238" s="1"/>
      <c r="HIO238" s="1"/>
      <c r="HIP238" s="1"/>
      <c r="HIQ238" s="1"/>
      <c r="HIR238" s="1"/>
      <c r="HIS238" s="1"/>
      <c r="HIT238" s="1"/>
      <c r="HIU238" s="1"/>
      <c r="HIV238" s="1"/>
      <c r="HIW238" s="1"/>
      <c r="HIX238" s="1"/>
      <c r="HIY238" s="1"/>
      <c r="HIZ238" s="1"/>
      <c r="HJA238" s="1"/>
      <c r="HJB238" s="1"/>
      <c r="HJC238" s="1"/>
      <c r="HJD238" s="1"/>
      <c r="HJE238" s="1"/>
      <c r="HJF238" s="1"/>
      <c r="HJG238" s="1"/>
      <c r="HJH238" s="1"/>
      <c r="HJI238" s="1"/>
      <c r="HJJ238" s="1"/>
      <c r="HJK238" s="1"/>
      <c r="HJL238" s="1"/>
      <c r="HJM238" s="1"/>
      <c r="HJN238" s="1"/>
      <c r="HJO238" s="1"/>
      <c r="HJP238" s="1"/>
      <c r="HJQ238" s="1"/>
      <c r="HJR238" s="1"/>
      <c r="HJS238" s="1"/>
      <c r="HJT238" s="1"/>
      <c r="HJU238" s="1"/>
      <c r="HJV238" s="1"/>
      <c r="HJW238" s="1"/>
      <c r="HJX238" s="1"/>
      <c r="HJY238" s="1"/>
      <c r="HJZ238" s="1"/>
      <c r="HKA238" s="1"/>
      <c r="HKB238" s="1"/>
      <c r="HKC238" s="1"/>
      <c r="HKD238" s="1"/>
      <c r="HKE238" s="1"/>
      <c r="HKF238" s="1"/>
      <c r="HKG238" s="1"/>
      <c r="HKH238" s="1"/>
      <c r="HKI238" s="1"/>
      <c r="HKJ238" s="1"/>
      <c r="HKK238" s="1"/>
      <c r="HKL238" s="1"/>
      <c r="HKM238" s="1"/>
      <c r="HKN238" s="1"/>
      <c r="HKO238" s="1"/>
      <c r="HKP238" s="1"/>
      <c r="HKQ238" s="1"/>
      <c r="HKR238" s="1"/>
      <c r="HKS238" s="1"/>
      <c r="HKT238" s="1"/>
      <c r="HKU238" s="1"/>
      <c r="HKV238" s="1"/>
      <c r="HKW238" s="1"/>
      <c r="HKX238" s="1"/>
      <c r="HKY238" s="1"/>
      <c r="HKZ238" s="1"/>
      <c r="HLA238" s="1"/>
      <c r="HLB238" s="1"/>
      <c r="HLC238" s="1"/>
      <c r="HLD238" s="1"/>
      <c r="HLE238" s="1"/>
      <c r="HLF238" s="1"/>
      <c r="HLG238" s="1"/>
      <c r="HLH238" s="1"/>
      <c r="HLI238" s="1"/>
      <c r="HLJ238" s="1"/>
      <c r="HLK238" s="1"/>
      <c r="HLL238" s="1"/>
      <c r="HLM238" s="1"/>
      <c r="HLN238" s="1"/>
      <c r="HLO238" s="1"/>
      <c r="HLP238" s="1"/>
      <c r="HLQ238" s="1"/>
      <c r="HLR238" s="1"/>
      <c r="HLS238" s="1"/>
      <c r="HLT238" s="1"/>
      <c r="HLU238" s="1"/>
      <c r="HLV238" s="1"/>
      <c r="HLW238" s="1"/>
      <c r="HLX238" s="1"/>
      <c r="HLY238" s="1"/>
      <c r="HLZ238" s="1"/>
      <c r="HMA238" s="1"/>
      <c r="HMB238" s="1"/>
      <c r="HMC238" s="1"/>
      <c r="HMD238" s="1"/>
      <c r="HME238" s="1"/>
      <c r="HMF238" s="1"/>
      <c r="HMG238" s="1"/>
      <c r="HMH238" s="1"/>
      <c r="HMI238" s="1"/>
      <c r="HMJ238" s="1"/>
      <c r="HMK238" s="1"/>
      <c r="HML238" s="1"/>
      <c r="HMM238" s="1"/>
      <c r="HMN238" s="1"/>
      <c r="HMO238" s="1"/>
      <c r="HMP238" s="1"/>
      <c r="HMQ238" s="1"/>
      <c r="HMR238" s="1"/>
      <c r="HMS238" s="1"/>
      <c r="HMT238" s="1"/>
      <c r="HMU238" s="1"/>
      <c r="HMV238" s="1"/>
      <c r="HMW238" s="1"/>
      <c r="HMX238" s="1"/>
      <c r="HMY238" s="1"/>
      <c r="HMZ238" s="1"/>
      <c r="HNA238" s="1"/>
      <c r="HNB238" s="1"/>
      <c r="HNC238" s="1"/>
      <c r="HND238" s="1"/>
      <c r="HNE238" s="1"/>
      <c r="HNF238" s="1"/>
      <c r="HNG238" s="1"/>
      <c r="HNH238" s="1"/>
      <c r="HNI238" s="1"/>
      <c r="HNJ238" s="1"/>
      <c r="HNK238" s="1"/>
      <c r="HNL238" s="1"/>
      <c r="HNM238" s="1"/>
      <c r="HNN238" s="1"/>
      <c r="HNO238" s="1"/>
      <c r="HNP238" s="1"/>
      <c r="HNQ238" s="1"/>
      <c r="HNR238" s="1"/>
      <c r="HNS238" s="1"/>
      <c r="HNT238" s="1"/>
      <c r="HNU238" s="1"/>
      <c r="HNV238" s="1"/>
      <c r="HNW238" s="1"/>
      <c r="HNX238" s="1"/>
      <c r="HNY238" s="1"/>
      <c r="HNZ238" s="1"/>
      <c r="HOA238" s="1"/>
      <c r="HOB238" s="1"/>
      <c r="HOC238" s="1"/>
      <c r="HOD238" s="1"/>
      <c r="HOE238" s="1"/>
      <c r="HOF238" s="1"/>
      <c r="HOG238" s="1"/>
      <c r="HOH238" s="1"/>
      <c r="HOI238" s="1"/>
      <c r="HOJ238" s="1"/>
      <c r="HOK238" s="1"/>
      <c r="HOL238" s="1"/>
      <c r="HOM238" s="1"/>
      <c r="HON238" s="1"/>
      <c r="HOO238" s="1"/>
      <c r="HOP238" s="1"/>
      <c r="HOQ238" s="1"/>
      <c r="HOR238" s="1"/>
      <c r="HOS238" s="1"/>
      <c r="HOT238" s="1"/>
      <c r="HOU238" s="1"/>
      <c r="HOV238" s="1"/>
      <c r="HOW238" s="1"/>
      <c r="HOX238" s="1"/>
      <c r="HOY238" s="1"/>
      <c r="HOZ238" s="1"/>
      <c r="HPA238" s="1"/>
      <c r="HPB238" s="1"/>
      <c r="HPC238" s="1"/>
      <c r="HPD238" s="1"/>
      <c r="HPE238" s="1"/>
      <c r="HPF238" s="1"/>
      <c r="HPG238" s="1"/>
      <c r="HPH238" s="1"/>
      <c r="HPI238" s="1"/>
      <c r="HPJ238" s="1"/>
      <c r="HPK238" s="1"/>
      <c r="HPL238" s="1"/>
      <c r="HPM238" s="1"/>
      <c r="HPN238" s="1"/>
      <c r="HPO238" s="1"/>
      <c r="HPP238" s="1"/>
      <c r="HPQ238" s="1"/>
      <c r="HPR238" s="1"/>
      <c r="HPS238" s="1"/>
      <c r="HPT238" s="1"/>
      <c r="HPU238" s="1"/>
      <c r="HPV238" s="1"/>
      <c r="HPW238" s="1"/>
      <c r="HPX238" s="1"/>
      <c r="HPY238" s="1"/>
      <c r="HPZ238" s="1"/>
      <c r="HQA238" s="1"/>
      <c r="HQB238" s="1"/>
      <c r="HQC238" s="1"/>
      <c r="HQD238" s="1"/>
      <c r="HQE238" s="1"/>
      <c r="HQF238" s="1"/>
      <c r="HQG238" s="1"/>
      <c r="HQH238" s="1"/>
      <c r="HQI238" s="1"/>
      <c r="HQJ238" s="1"/>
      <c r="HQK238" s="1"/>
      <c r="HQL238" s="1"/>
      <c r="HQM238" s="1"/>
      <c r="HQN238" s="1"/>
      <c r="HQO238" s="1"/>
      <c r="HQP238" s="1"/>
      <c r="HQQ238" s="1"/>
      <c r="HQR238" s="1"/>
      <c r="HQS238" s="1"/>
      <c r="HQT238" s="1"/>
      <c r="HQU238" s="1"/>
      <c r="HQV238" s="1"/>
      <c r="HQW238" s="1"/>
      <c r="HQX238" s="1"/>
      <c r="HQY238" s="1"/>
      <c r="HQZ238" s="1"/>
      <c r="HRA238" s="1"/>
      <c r="HRB238" s="1"/>
      <c r="HRC238" s="1"/>
      <c r="HRD238" s="1"/>
      <c r="HRE238" s="1"/>
      <c r="HRF238" s="1"/>
      <c r="HRG238" s="1"/>
      <c r="HRH238" s="1"/>
      <c r="HRI238" s="1"/>
      <c r="HRJ238" s="1"/>
      <c r="HRK238" s="1"/>
      <c r="HRL238" s="1"/>
      <c r="HRM238" s="1"/>
      <c r="HRN238" s="1"/>
      <c r="HRO238" s="1"/>
      <c r="HRP238" s="1"/>
      <c r="HRQ238" s="1"/>
      <c r="HRR238" s="1"/>
      <c r="HRS238" s="1"/>
      <c r="HRT238" s="1"/>
      <c r="HRU238" s="1"/>
      <c r="HRV238" s="1"/>
      <c r="HRW238" s="1"/>
      <c r="HRX238" s="1"/>
      <c r="HRY238" s="1"/>
      <c r="HRZ238" s="1"/>
      <c r="HSA238" s="1"/>
      <c r="HSB238" s="1"/>
      <c r="HSC238" s="1"/>
      <c r="HSD238" s="1"/>
      <c r="HSE238" s="1"/>
      <c r="HSF238" s="1"/>
      <c r="HSG238" s="1"/>
      <c r="HSH238" s="1"/>
      <c r="HSI238" s="1"/>
      <c r="HSJ238" s="1"/>
      <c r="HSK238" s="1"/>
      <c r="HSL238" s="1"/>
      <c r="HSM238" s="1"/>
      <c r="HSN238" s="1"/>
      <c r="HSO238" s="1"/>
      <c r="HSP238" s="1"/>
      <c r="HSQ238" s="1"/>
      <c r="HSR238" s="1"/>
      <c r="HSS238" s="1"/>
      <c r="HST238" s="1"/>
      <c r="HSU238" s="1"/>
      <c r="HSV238" s="1"/>
      <c r="HSW238" s="1"/>
      <c r="HSX238" s="1"/>
      <c r="HSY238" s="1"/>
      <c r="HSZ238" s="1"/>
      <c r="HTA238" s="1"/>
      <c r="HTB238" s="1"/>
      <c r="HTC238" s="1"/>
      <c r="HTD238" s="1"/>
      <c r="HTE238" s="1"/>
      <c r="HTF238" s="1"/>
      <c r="HTG238" s="1"/>
      <c r="HTH238" s="1"/>
      <c r="HTI238" s="1"/>
      <c r="HTJ238" s="1"/>
      <c r="HTK238" s="1"/>
      <c r="HTL238" s="1"/>
      <c r="HTM238" s="1"/>
      <c r="HTN238" s="1"/>
      <c r="HTO238" s="1"/>
      <c r="HTP238" s="1"/>
      <c r="HTQ238" s="1"/>
      <c r="HTR238" s="1"/>
      <c r="HTS238" s="1"/>
      <c r="HTT238" s="1"/>
      <c r="HTU238" s="1"/>
      <c r="HTV238" s="1"/>
      <c r="HTW238" s="1"/>
      <c r="HTX238" s="1"/>
      <c r="HTY238" s="1"/>
      <c r="HTZ238" s="1"/>
      <c r="HUA238" s="1"/>
      <c r="HUB238" s="1"/>
      <c r="HUC238" s="1"/>
      <c r="HUD238" s="1"/>
      <c r="HUE238" s="1"/>
      <c r="HUF238" s="1"/>
      <c r="HUG238" s="1"/>
      <c r="HUH238" s="1"/>
      <c r="HUI238" s="1"/>
      <c r="HUJ238" s="1"/>
      <c r="HUK238" s="1"/>
      <c r="HUL238" s="1"/>
      <c r="HUM238" s="1"/>
      <c r="HUN238" s="1"/>
      <c r="HUO238" s="1"/>
      <c r="HUP238" s="1"/>
      <c r="HUQ238" s="1"/>
      <c r="HUR238" s="1"/>
      <c r="HUS238" s="1"/>
      <c r="HUT238" s="1"/>
      <c r="HUU238" s="1"/>
      <c r="HUV238" s="1"/>
      <c r="HUW238" s="1"/>
      <c r="HUX238" s="1"/>
      <c r="HUY238" s="1"/>
      <c r="HUZ238" s="1"/>
      <c r="HVA238" s="1"/>
      <c r="HVB238" s="1"/>
      <c r="HVC238" s="1"/>
      <c r="HVD238" s="1"/>
      <c r="HVE238" s="1"/>
      <c r="HVF238" s="1"/>
      <c r="HVG238" s="1"/>
      <c r="HVH238" s="1"/>
      <c r="HVI238" s="1"/>
      <c r="HVJ238" s="1"/>
      <c r="HVK238" s="1"/>
      <c r="HVL238" s="1"/>
      <c r="HVM238" s="1"/>
      <c r="HVN238" s="1"/>
      <c r="HVO238" s="1"/>
      <c r="HVP238" s="1"/>
      <c r="HVQ238" s="1"/>
      <c r="HVR238" s="1"/>
      <c r="HVS238" s="1"/>
      <c r="HVT238" s="1"/>
      <c r="HVU238" s="1"/>
      <c r="HVV238" s="1"/>
      <c r="HVW238" s="1"/>
      <c r="HVX238" s="1"/>
      <c r="HVY238" s="1"/>
      <c r="HVZ238" s="1"/>
      <c r="HWA238" s="1"/>
      <c r="HWB238" s="1"/>
      <c r="HWC238" s="1"/>
      <c r="HWD238" s="1"/>
      <c r="HWE238" s="1"/>
      <c r="HWF238" s="1"/>
      <c r="HWG238" s="1"/>
      <c r="HWH238" s="1"/>
      <c r="HWI238" s="1"/>
      <c r="HWJ238" s="1"/>
      <c r="HWK238" s="1"/>
      <c r="HWL238" s="1"/>
      <c r="HWM238" s="1"/>
      <c r="HWN238" s="1"/>
      <c r="HWO238" s="1"/>
      <c r="HWP238" s="1"/>
      <c r="HWQ238" s="1"/>
      <c r="HWR238" s="1"/>
      <c r="HWS238" s="1"/>
      <c r="HWT238" s="1"/>
      <c r="HWU238" s="1"/>
      <c r="HWV238" s="1"/>
      <c r="HWW238" s="1"/>
      <c r="HWX238" s="1"/>
      <c r="HWY238" s="1"/>
      <c r="HWZ238" s="1"/>
      <c r="HXA238" s="1"/>
      <c r="HXB238" s="1"/>
      <c r="HXC238" s="1"/>
      <c r="HXD238" s="1"/>
      <c r="HXE238" s="1"/>
      <c r="HXF238" s="1"/>
      <c r="HXG238" s="1"/>
      <c r="HXH238" s="1"/>
      <c r="HXI238" s="1"/>
      <c r="HXJ238" s="1"/>
      <c r="HXK238" s="1"/>
      <c r="HXL238" s="1"/>
      <c r="HXM238" s="1"/>
      <c r="HXN238" s="1"/>
      <c r="HXO238" s="1"/>
      <c r="HXP238" s="1"/>
      <c r="HXQ238" s="1"/>
      <c r="HXR238" s="1"/>
      <c r="HXS238" s="1"/>
      <c r="HXT238" s="1"/>
      <c r="HXU238" s="1"/>
      <c r="HXV238" s="1"/>
      <c r="HXW238" s="1"/>
      <c r="HXX238" s="1"/>
      <c r="HXY238" s="1"/>
      <c r="HXZ238" s="1"/>
      <c r="HYA238" s="1"/>
      <c r="HYB238" s="1"/>
      <c r="HYC238" s="1"/>
      <c r="HYD238" s="1"/>
      <c r="HYE238" s="1"/>
      <c r="HYF238" s="1"/>
      <c r="HYG238" s="1"/>
      <c r="HYH238" s="1"/>
      <c r="HYI238" s="1"/>
      <c r="HYJ238" s="1"/>
      <c r="HYK238" s="1"/>
      <c r="HYL238" s="1"/>
      <c r="HYM238" s="1"/>
      <c r="HYN238" s="1"/>
      <c r="HYO238" s="1"/>
      <c r="HYP238" s="1"/>
      <c r="HYQ238" s="1"/>
      <c r="HYR238" s="1"/>
      <c r="HYS238" s="1"/>
      <c r="HYT238" s="1"/>
      <c r="HYU238" s="1"/>
      <c r="HYV238" s="1"/>
      <c r="HYW238" s="1"/>
      <c r="HYX238" s="1"/>
      <c r="HYY238" s="1"/>
      <c r="HYZ238" s="1"/>
      <c r="HZA238" s="1"/>
      <c r="HZB238" s="1"/>
      <c r="HZC238" s="1"/>
      <c r="HZD238" s="1"/>
      <c r="HZE238" s="1"/>
      <c r="HZF238" s="1"/>
      <c r="HZG238" s="1"/>
      <c r="HZH238" s="1"/>
      <c r="HZI238" s="1"/>
      <c r="HZJ238" s="1"/>
      <c r="HZK238" s="1"/>
      <c r="HZL238" s="1"/>
      <c r="HZM238" s="1"/>
      <c r="HZN238" s="1"/>
      <c r="HZO238" s="1"/>
      <c r="HZP238" s="1"/>
      <c r="HZQ238" s="1"/>
      <c r="HZR238" s="1"/>
      <c r="HZS238" s="1"/>
      <c r="HZT238" s="1"/>
      <c r="HZU238" s="1"/>
      <c r="HZV238" s="1"/>
      <c r="HZW238" s="1"/>
      <c r="HZX238" s="1"/>
      <c r="HZY238" s="1"/>
      <c r="HZZ238" s="1"/>
      <c r="IAA238" s="1"/>
      <c r="IAB238" s="1"/>
      <c r="IAC238" s="1"/>
      <c r="IAD238" s="1"/>
      <c r="IAE238" s="1"/>
      <c r="IAF238" s="1"/>
      <c r="IAG238" s="1"/>
      <c r="IAH238" s="1"/>
      <c r="IAI238" s="1"/>
      <c r="IAJ238" s="1"/>
      <c r="IAK238" s="1"/>
      <c r="IAL238" s="1"/>
      <c r="IAM238" s="1"/>
      <c r="IAN238" s="1"/>
      <c r="IAO238" s="1"/>
      <c r="IAP238" s="1"/>
      <c r="IAQ238" s="1"/>
      <c r="IAR238" s="1"/>
      <c r="IAS238" s="1"/>
      <c r="IAT238" s="1"/>
      <c r="IAU238" s="1"/>
      <c r="IAV238" s="1"/>
      <c r="IAW238" s="1"/>
      <c r="IAX238" s="1"/>
      <c r="IAY238" s="1"/>
      <c r="IAZ238" s="1"/>
      <c r="IBA238" s="1"/>
      <c r="IBB238" s="1"/>
      <c r="IBC238" s="1"/>
      <c r="IBD238" s="1"/>
      <c r="IBE238" s="1"/>
      <c r="IBF238" s="1"/>
      <c r="IBG238" s="1"/>
      <c r="IBH238" s="1"/>
      <c r="IBI238" s="1"/>
      <c r="IBJ238" s="1"/>
      <c r="IBK238" s="1"/>
      <c r="IBL238" s="1"/>
      <c r="IBM238" s="1"/>
      <c r="IBN238" s="1"/>
      <c r="IBO238" s="1"/>
      <c r="IBP238" s="1"/>
      <c r="IBQ238" s="1"/>
      <c r="IBR238" s="1"/>
      <c r="IBS238" s="1"/>
      <c r="IBT238" s="1"/>
      <c r="IBU238" s="1"/>
      <c r="IBV238" s="1"/>
      <c r="IBW238" s="1"/>
      <c r="IBX238" s="1"/>
      <c r="IBY238" s="1"/>
      <c r="IBZ238" s="1"/>
      <c r="ICA238" s="1"/>
      <c r="ICB238" s="1"/>
      <c r="ICC238" s="1"/>
      <c r="ICD238" s="1"/>
      <c r="ICE238" s="1"/>
      <c r="ICF238" s="1"/>
      <c r="ICG238" s="1"/>
      <c r="ICH238" s="1"/>
      <c r="ICI238" s="1"/>
      <c r="ICJ238" s="1"/>
      <c r="ICK238" s="1"/>
      <c r="ICL238" s="1"/>
      <c r="ICM238" s="1"/>
      <c r="ICN238" s="1"/>
      <c r="ICO238" s="1"/>
      <c r="ICP238" s="1"/>
      <c r="ICQ238" s="1"/>
      <c r="ICR238" s="1"/>
      <c r="ICS238" s="1"/>
      <c r="ICT238" s="1"/>
      <c r="ICU238" s="1"/>
      <c r="ICV238" s="1"/>
      <c r="ICW238" s="1"/>
      <c r="ICX238" s="1"/>
      <c r="ICY238" s="1"/>
      <c r="ICZ238" s="1"/>
      <c r="IDA238" s="1"/>
      <c r="IDB238" s="1"/>
      <c r="IDC238" s="1"/>
      <c r="IDD238" s="1"/>
      <c r="IDE238" s="1"/>
      <c r="IDF238" s="1"/>
      <c r="IDG238" s="1"/>
      <c r="IDH238" s="1"/>
      <c r="IDI238" s="1"/>
      <c r="IDJ238" s="1"/>
      <c r="IDK238" s="1"/>
      <c r="IDL238" s="1"/>
      <c r="IDM238" s="1"/>
      <c r="IDN238" s="1"/>
      <c r="IDO238" s="1"/>
      <c r="IDP238" s="1"/>
      <c r="IDQ238" s="1"/>
      <c r="IDR238" s="1"/>
      <c r="IDS238" s="1"/>
      <c r="IDT238" s="1"/>
      <c r="IDU238" s="1"/>
      <c r="IDV238" s="1"/>
      <c r="IDW238" s="1"/>
      <c r="IDX238" s="1"/>
      <c r="IDY238" s="1"/>
      <c r="IDZ238" s="1"/>
      <c r="IEA238" s="1"/>
      <c r="IEB238" s="1"/>
      <c r="IEC238" s="1"/>
      <c r="IED238" s="1"/>
      <c r="IEE238" s="1"/>
      <c r="IEF238" s="1"/>
      <c r="IEG238" s="1"/>
      <c r="IEH238" s="1"/>
      <c r="IEI238" s="1"/>
      <c r="IEJ238" s="1"/>
      <c r="IEK238" s="1"/>
      <c r="IEL238" s="1"/>
      <c r="IEM238" s="1"/>
      <c r="IEN238" s="1"/>
      <c r="IEO238" s="1"/>
      <c r="IEP238" s="1"/>
      <c r="IEQ238" s="1"/>
      <c r="IER238" s="1"/>
      <c r="IES238" s="1"/>
      <c r="IET238" s="1"/>
      <c r="IEU238" s="1"/>
      <c r="IEV238" s="1"/>
      <c r="IEW238" s="1"/>
      <c r="IEX238" s="1"/>
      <c r="IEY238" s="1"/>
      <c r="IEZ238" s="1"/>
      <c r="IFA238" s="1"/>
      <c r="IFB238" s="1"/>
      <c r="IFC238" s="1"/>
      <c r="IFD238" s="1"/>
      <c r="IFE238" s="1"/>
      <c r="IFF238" s="1"/>
      <c r="IFG238" s="1"/>
      <c r="IFH238" s="1"/>
      <c r="IFI238" s="1"/>
      <c r="IFJ238" s="1"/>
      <c r="IFK238" s="1"/>
      <c r="IFL238" s="1"/>
      <c r="IFM238" s="1"/>
      <c r="IFN238" s="1"/>
      <c r="IFO238" s="1"/>
      <c r="IFP238" s="1"/>
      <c r="IFQ238" s="1"/>
      <c r="IFR238" s="1"/>
      <c r="IFS238" s="1"/>
      <c r="IFT238" s="1"/>
      <c r="IFU238" s="1"/>
      <c r="IFV238" s="1"/>
      <c r="IFW238" s="1"/>
      <c r="IFX238" s="1"/>
      <c r="IFY238" s="1"/>
      <c r="IFZ238" s="1"/>
      <c r="IGA238" s="1"/>
      <c r="IGB238" s="1"/>
      <c r="IGC238" s="1"/>
      <c r="IGD238" s="1"/>
      <c r="IGE238" s="1"/>
      <c r="IGF238" s="1"/>
      <c r="IGG238" s="1"/>
      <c r="IGH238" s="1"/>
      <c r="IGI238" s="1"/>
      <c r="IGJ238" s="1"/>
      <c r="IGK238" s="1"/>
      <c r="IGL238" s="1"/>
      <c r="IGM238" s="1"/>
      <c r="IGN238" s="1"/>
      <c r="IGO238" s="1"/>
      <c r="IGP238" s="1"/>
      <c r="IGQ238" s="1"/>
      <c r="IGR238" s="1"/>
      <c r="IGS238" s="1"/>
      <c r="IGT238" s="1"/>
      <c r="IGU238" s="1"/>
      <c r="IGV238" s="1"/>
      <c r="IGW238" s="1"/>
      <c r="IGX238" s="1"/>
      <c r="IGY238" s="1"/>
      <c r="IGZ238" s="1"/>
      <c r="IHA238" s="1"/>
      <c r="IHB238" s="1"/>
      <c r="IHC238" s="1"/>
      <c r="IHD238" s="1"/>
      <c r="IHE238" s="1"/>
      <c r="IHF238" s="1"/>
      <c r="IHG238" s="1"/>
      <c r="IHH238" s="1"/>
      <c r="IHI238" s="1"/>
      <c r="IHJ238" s="1"/>
      <c r="IHK238" s="1"/>
      <c r="IHL238" s="1"/>
      <c r="IHM238" s="1"/>
      <c r="IHN238" s="1"/>
      <c r="IHO238" s="1"/>
      <c r="IHP238" s="1"/>
      <c r="IHQ238" s="1"/>
      <c r="IHR238" s="1"/>
      <c r="IHS238" s="1"/>
      <c r="IHT238" s="1"/>
      <c r="IHU238" s="1"/>
      <c r="IHV238" s="1"/>
      <c r="IHW238" s="1"/>
      <c r="IHX238" s="1"/>
      <c r="IHY238" s="1"/>
      <c r="IHZ238" s="1"/>
      <c r="IIA238" s="1"/>
      <c r="IIB238" s="1"/>
      <c r="IIC238" s="1"/>
      <c r="IID238" s="1"/>
      <c r="IIE238" s="1"/>
      <c r="IIF238" s="1"/>
      <c r="IIG238" s="1"/>
      <c r="IIH238" s="1"/>
      <c r="III238" s="1"/>
      <c r="IIJ238" s="1"/>
      <c r="IIK238" s="1"/>
      <c r="IIL238" s="1"/>
      <c r="IIM238" s="1"/>
      <c r="IIN238" s="1"/>
      <c r="IIO238" s="1"/>
      <c r="IIP238" s="1"/>
      <c r="IIQ238" s="1"/>
      <c r="IIR238" s="1"/>
      <c r="IIS238" s="1"/>
      <c r="IIT238" s="1"/>
      <c r="IIU238" s="1"/>
      <c r="IIV238" s="1"/>
      <c r="IIW238" s="1"/>
      <c r="IIX238" s="1"/>
      <c r="IIY238" s="1"/>
      <c r="IIZ238" s="1"/>
      <c r="IJA238" s="1"/>
      <c r="IJB238" s="1"/>
      <c r="IJC238" s="1"/>
      <c r="IJD238" s="1"/>
      <c r="IJE238" s="1"/>
      <c r="IJF238" s="1"/>
      <c r="IJG238" s="1"/>
      <c r="IJH238" s="1"/>
      <c r="IJI238" s="1"/>
      <c r="IJJ238" s="1"/>
      <c r="IJK238" s="1"/>
      <c r="IJL238" s="1"/>
      <c r="IJM238" s="1"/>
      <c r="IJN238" s="1"/>
      <c r="IJO238" s="1"/>
      <c r="IJP238" s="1"/>
      <c r="IJQ238" s="1"/>
      <c r="IJR238" s="1"/>
      <c r="IJS238" s="1"/>
      <c r="IJT238" s="1"/>
      <c r="IJU238" s="1"/>
      <c r="IJV238" s="1"/>
      <c r="IJW238" s="1"/>
      <c r="IJX238" s="1"/>
      <c r="IJY238" s="1"/>
      <c r="IJZ238" s="1"/>
      <c r="IKA238" s="1"/>
      <c r="IKB238" s="1"/>
      <c r="IKC238" s="1"/>
      <c r="IKD238" s="1"/>
      <c r="IKE238" s="1"/>
      <c r="IKF238" s="1"/>
      <c r="IKG238" s="1"/>
      <c r="IKH238" s="1"/>
      <c r="IKI238" s="1"/>
      <c r="IKJ238" s="1"/>
      <c r="IKK238" s="1"/>
      <c r="IKL238" s="1"/>
      <c r="IKM238" s="1"/>
      <c r="IKN238" s="1"/>
      <c r="IKO238" s="1"/>
      <c r="IKP238" s="1"/>
      <c r="IKQ238" s="1"/>
      <c r="IKR238" s="1"/>
      <c r="IKS238" s="1"/>
      <c r="IKT238" s="1"/>
      <c r="IKU238" s="1"/>
      <c r="IKV238" s="1"/>
      <c r="IKW238" s="1"/>
      <c r="IKX238" s="1"/>
      <c r="IKY238" s="1"/>
      <c r="IKZ238" s="1"/>
      <c r="ILA238" s="1"/>
      <c r="ILB238" s="1"/>
      <c r="ILC238" s="1"/>
      <c r="ILD238" s="1"/>
      <c r="ILE238" s="1"/>
      <c r="ILF238" s="1"/>
      <c r="ILG238" s="1"/>
      <c r="ILH238" s="1"/>
      <c r="ILI238" s="1"/>
      <c r="ILJ238" s="1"/>
      <c r="ILK238" s="1"/>
      <c r="ILL238" s="1"/>
      <c r="ILM238" s="1"/>
      <c r="ILN238" s="1"/>
      <c r="ILO238" s="1"/>
      <c r="ILP238" s="1"/>
      <c r="ILQ238" s="1"/>
      <c r="ILR238" s="1"/>
      <c r="ILS238" s="1"/>
      <c r="ILT238" s="1"/>
      <c r="ILU238" s="1"/>
      <c r="ILV238" s="1"/>
      <c r="ILW238" s="1"/>
      <c r="ILX238" s="1"/>
      <c r="ILY238" s="1"/>
      <c r="ILZ238" s="1"/>
      <c r="IMA238" s="1"/>
      <c r="IMB238" s="1"/>
      <c r="IMC238" s="1"/>
      <c r="IMD238" s="1"/>
      <c r="IME238" s="1"/>
      <c r="IMF238" s="1"/>
      <c r="IMG238" s="1"/>
      <c r="IMH238" s="1"/>
      <c r="IMI238" s="1"/>
      <c r="IMJ238" s="1"/>
      <c r="IMK238" s="1"/>
      <c r="IML238" s="1"/>
      <c r="IMM238" s="1"/>
      <c r="IMN238" s="1"/>
      <c r="IMO238" s="1"/>
      <c r="IMP238" s="1"/>
      <c r="IMQ238" s="1"/>
      <c r="IMR238" s="1"/>
      <c r="IMS238" s="1"/>
      <c r="IMT238" s="1"/>
      <c r="IMU238" s="1"/>
      <c r="IMV238" s="1"/>
      <c r="IMW238" s="1"/>
      <c r="IMX238" s="1"/>
      <c r="IMY238" s="1"/>
      <c r="IMZ238" s="1"/>
      <c r="INA238" s="1"/>
      <c r="INB238" s="1"/>
      <c r="INC238" s="1"/>
      <c r="IND238" s="1"/>
      <c r="INE238" s="1"/>
      <c r="INF238" s="1"/>
      <c r="ING238" s="1"/>
      <c r="INH238" s="1"/>
      <c r="INI238" s="1"/>
      <c r="INJ238" s="1"/>
      <c r="INK238" s="1"/>
      <c r="INL238" s="1"/>
      <c r="INM238" s="1"/>
      <c r="INN238" s="1"/>
      <c r="INO238" s="1"/>
      <c r="INP238" s="1"/>
      <c r="INQ238" s="1"/>
      <c r="INR238" s="1"/>
      <c r="INS238" s="1"/>
      <c r="INT238" s="1"/>
      <c r="INU238" s="1"/>
      <c r="INV238" s="1"/>
      <c r="INW238" s="1"/>
      <c r="INX238" s="1"/>
      <c r="INY238" s="1"/>
      <c r="INZ238" s="1"/>
      <c r="IOA238" s="1"/>
      <c r="IOB238" s="1"/>
      <c r="IOC238" s="1"/>
      <c r="IOD238" s="1"/>
      <c r="IOE238" s="1"/>
      <c r="IOF238" s="1"/>
      <c r="IOG238" s="1"/>
      <c r="IOH238" s="1"/>
      <c r="IOI238" s="1"/>
      <c r="IOJ238" s="1"/>
      <c r="IOK238" s="1"/>
      <c r="IOL238" s="1"/>
      <c r="IOM238" s="1"/>
      <c r="ION238" s="1"/>
      <c r="IOO238" s="1"/>
      <c r="IOP238" s="1"/>
      <c r="IOQ238" s="1"/>
      <c r="IOR238" s="1"/>
      <c r="IOS238" s="1"/>
      <c r="IOT238" s="1"/>
      <c r="IOU238" s="1"/>
      <c r="IOV238" s="1"/>
      <c r="IOW238" s="1"/>
      <c r="IOX238" s="1"/>
      <c r="IOY238" s="1"/>
      <c r="IOZ238" s="1"/>
      <c r="IPA238" s="1"/>
      <c r="IPB238" s="1"/>
      <c r="IPC238" s="1"/>
      <c r="IPD238" s="1"/>
      <c r="IPE238" s="1"/>
      <c r="IPF238" s="1"/>
      <c r="IPG238" s="1"/>
      <c r="IPH238" s="1"/>
      <c r="IPI238" s="1"/>
      <c r="IPJ238" s="1"/>
      <c r="IPK238" s="1"/>
      <c r="IPL238" s="1"/>
      <c r="IPM238" s="1"/>
      <c r="IPN238" s="1"/>
      <c r="IPO238" s="1"/>
      <c r="IPP238" s="1"/>
      <c r="IPQ238" s="1"/>
      <c r="IPR238" s="1"/>
      <c r="IPS238" s="1"/>
      <c r="IPT238" s="1"/>
      <c r="IPU238" s="1"/>
      <c r="IPV238" s="1"/>
      <c r="IPW238" s="1"/>
      <c r="IPX238" s="1"/>
      <c r="IPY238" s="1"/>
      <c r="IPZ238" s="1"/>
      <c r="IQA238" s="1"/>
      <c r="IQB238" s="1"/>
      <c r="IQC238" s="1"/>
      <c r="IQD238" s="1"/>
      <c r="IQE238" s="1"/>
      <c r="IQF238" s="1"/>
      <c r="IQG238" s="1"/>
      <c r="IQH238" s="1"/>
      <c r="IQI238" s="1"/>
      <c r="IQJ238" s="1"/>
      <c r="IQK238" s="1"/>
      <c r="IQL238" s="1"/>
      <c r="IQM238" s="1"/>
      <c r="IQN238" s="1"/>
      <c r="IQO238" s="1"/>
      <c r="IQP238" s="1"/>
      <c r="IQQ238" s="1"/>
      <c r="IQR238" s="1"/>
      <c r="IQS238" s="1"/>
      <c r="IQT238" s="1"/>
      <c r="IQU238" s="1"/>
      <c r="IQV238" s="1"/>
      <c r="IQW238" s="1"/>
      <c r="IQX238" s="1"/>
      <c r="IQY238" s="1"/>
      <c r="IQZ238" s="1"/>
      <c r="IRA238" s="1"/>
      <c r="IRB238" s="1"/>
      <c r="IRC238" s="1"/>
      <c r="IRD238" s="1"/>
      <c r="IRE238" s="1"/>
      <c r="IRF238" s="1"/>
      <c r="IRG238" s="1"/>
      <c r="IRH238" s="1"/>
      <c r="IRI238" s="1"/>
      <c r="IRJ238" s="1"/>
      <c r="IRK238" s="1"/>
      <c r="IRL238" s="1"/>
      <c r="IRM238" s="1"/>
      <c r="IRN238" s="1"/>
      <c r="IRO238" s="1"/>
      <c r="IRP238" s="1"/>
      <c r="IRQ238" s="1"/>
      <c r="IRR238" s="1"/>
      <c r="IRS238" s="1"/>
      <c r="IRT238" s="1"/>
      <c r="IRU238" s="1"/>
      <c r="IRV238" s="1"/>
      <c r="IRW238" s="1"/>
      <c r="IRX238" s="1"/>
      <c r="IRY238" s="1"/>
      <c r="IRZ238" s="1"/>
      <c r="ISA238" s="1"/>
      <c r="ISB238" s="1"/>
      <c r="ISC238" s="1"/>
      <c r="ISD238" s="1"/>
      <c r="ISE238" s="1"/>
      <c r="ISF238" s="1"/>
      <c r="ISG238" s="1"/>
      <c r="ISH238" s="1"/>
      <c r="ISI238" s="1"/>
      <c r="ISJ238" s="1"/>
      <c r="ISK238" s="1"/>
      <c r="ISL238" s="1"/>
      <c r="ISM238" s="1"/>
      <c r="ISN238" s="1"/>
      <c r="ISO238" s="1"/>
      <c r="ISP238" s="1"/>
      <c r="ISQ238" s="1"/>
      <c r="ISR238" s="1"/>
      <c r="ISS238" s="1"/>
      <c r="IST238" s="1"/>
      <c r="ISU238" s="1"/>
      <c r="ISV238" s="1"/>
      <c r="ISW238" s="1"/>
      <c r="ISX238" s="1"/>
      <c r="ISY238" s="1"/>
      <c r="ISZ238" s="1"/>
      <c r="ITA238" s="1"/>
      <c r="ITB238" s="1"/>
      <c r="ITC238" s="1"/>
      <c r="ITD238" s="1"/>
      <c r="ITE238" s="1"/>
      <c r="ITF238" s="1"/>
      <c r="ITG238" s="1"/>
      <c r="ITH238" s="1"/>
      <c r="ITI238" s="1"/>
      <c r="ITJ238" s="1"/>
      <c r="ITK238" s="1"/>
      <c r="ITL238" s="1"/>
      <c r="ITM238" s="1"/>
      <c r="ITN238" s="1"/>
      <c r="ITO238" s="1"/>
      <c r="ITP238" s="1"/>
      <c r="ITQ238" s="1"/>
      <c r="ITR238" s="1"/>
      <c r="ITS238" s="1"/>
      <c r="ITT238" s="1"/>
      <c r="ITU238" s="1"/>
      <c r="ITV238" s="1"/>
      <c r="ITW238" s="1"/>
      <c r="ITX238" s="1"/>
      <c r="ITY238" s="1"/>
      <c r="ITZ238" s="1"/>
      <c r="IUA238" s="1"/>
      <c r="IUB238" s="1"/>
      <c r="IUC238" s="1"/>
      <c r="IUD238" s="1"/>
      <c r="IUE238" s="1"/>
      <c r="IUF238" s="1"/>
      <c r="IUG238" s="1"/>
      <c r="IUH238" s="1"/>
      <c r="IUI238" s="1"/>
      <c r="IUJ238" s="1"/>
      <c r="IUK238" s="1"/>
      <c r="IUL238" s="1"/>
      <c r="IUM238" s="1"/>
      <c r="IUN238" s="1"/>
      <c r="IUO238" s="1"/>
      <c r="IUP238" s="1"/>
      <c r="IUQ238" s="1"/>
      <c r="IUR238" s="1"/>
      <c r="IUS238" s="1"/>
      <c r="IUT238" s="1"/>
      <c r="IUU238" s="1"/>
      <c r="IUV238" s="1"/>
      <c r="IUW238" s="1"/>
      <c r="IUX238" s="1"/>
      <c r="IUY238" s="1"/>
      <c r="IUZ238" s="1"/>
      <c r="IVA238" s="1"/>
      <c r="IVB238" s="1"/>
      <c r="IVC238" s="1"/>
      <c r="IVD238" s="1"/>
      <c r="IVE238" s="1"/>
      <c r="IVF238" s="1"/>
      <c r="IVG238" s="1"/>
      <c r="IVH238" s="1"/>
      <c r="IVI238" s="1"/>
      <c r="IVJ238" s="1"/>
      <c r="IVK238" s="1"/>
      <c r="IVL238" s="1"/>
      <c r="IVM238" s="1"/>
      <c r="IVN238" s="1"/>
      <c r="IVO238" s="1"/>
      <c r="IVP238" s="1"/>
      <c r="IVQ238" s="1"/>
      <c r="IVR238" s="1"/>
      <c r="IVS238" s="1"/>
      <c r="IVT238" s="1"/>
      <c r="IVU238" s="1"/>
      <c r="IVV238" s="1"/>
      <c r="IVW238" s="1"/>
      <c r="IVX238" s="1"/>
      <c r="IVY238" s="1"/>
      <c r="IVZ238" s="1"/>
      <c r="IWA238" s="1"/>
      <c r="IWB238" s="1"/>
      <c r="IWC238" s="1"/>
      <c r="IWD238" s="1"/>
      <c r="IWE238" s="1"/>
      <c r="IWF238" s="1"/>
      <c r="IWG238" s="1"/>
      <c r="IWH238" s="1"/>
      <c r="IWI238" s="1"/>
      <c r="IWJ238" s="1"/>
      <c r="IWK238" s="1"/>
      <c r="IWL238" s="1"/>
      <c r="IWM238" s="1"/>
      <c r="IWN238" s="1"/>
      <c r="IWO238" s="1"/>
      <c r="IWP238" s="1"/>
      <c r="IWQ238" s="1"/>
      <c r="IWR238" s="1"/>
      <c r="IWS238" s="1"/>
      <c r="IWT238" s="1"/>
      <c r="IWU238" s="1"/>
      <c r="IWV238" s="1"/>
      <c r="IWW238" s="1"/>
      <c r="IWX238" s="1"/>
      <c r="IWY238" s="1"/>
      <c r="IWZ238" s="1"/>
      <c r="IXA238" s="1"/>
      <c r="IXB238" s="1"/>
      <c r="IXC238" s="1"/>
      <c r="IXD238" s="1"/>
      <c r="IXE238" s="1"/>
      <c r="IXF238" s="1"/>
      <c r="IXG238" s="1"/>
      <c r="IXH238" s="1"/>
      <c r="IXI238" s="1"/>
      <c r="IXJ238" s="1"/>
      <c r="IXK238" s="1"/>
      <c r="IXL238" s="1"/>
      <c r="IXM238" s="1"/>
      <c r="IXN238" s="1"/>
      <c r="IXO238" s="1"/>
      <c r="IXP238" s="1"/>
      <c r="IXQ238" s="1"/>
      <c r="IXR238" s="1"/>
      <c r="IXS238" s="1"/>
      <c r="IXT238" s="1"/>
      <c r="IXU238" s="1"/>
      <c r="IXV238" s="1"/>
      <c r="IXW238" s="1"/>
      <c r="IXX238" s="1"/>
      <c r="IXY238" s="1"/>
      <c r="IXZ238" s="1"/>
      <c r="IYA238" s="1"/>
      <c r="IYB238" s="1"/>
      <c r="IYC238" s="1"/>
      <c r="IYD238" s="1"/>
      <c r="IYE238" s="1"/>
      <c r="IYF238" s="1"/>
      <c r="IYG238" s="1"/>
      <c r="IYH238" s="1"/>
      <c r="IYI238" s="1"/>
      <c r="IYJ238" s="1"/>
      <c r="IYK238" s="1"/>
      <c r="IYL238" s="1"/>
      <c r="IYM238" s="1"/>
      <c r="IYN238" s="1"/>
      <c r="IYO238" s="1"/>
      <c r="IYP238" s="1"/>
      <c r="IYQ238" s="1"/>
      <c r="IYR238" s="1"/>
      <c r="IYS238" s="1"/>
      <c r="IYT238" s="1"/>
      <c r="IYU238" s="1"/>
      <c r="IYV238" s="1"/>
      <c r="IYW238" s="1"/>
      <c r="IYX238" s="1"/>
      <c r="IYY238" s="1"/>
      <c r="IYZ238" s="1"/>
      <c r="IZA238" s="1"/>
      <c r="IZB238" s="1"/>
      <c r="IZC238" s="1"/>
      <c r="IZD238" s="1"/>
      <c r="IZE238" s="1"/>
      <c r="IZF238" s="1"/>
      <c r="IZG238" s="1"/>
      <c r="IZH238" s="1"/>
      <c r="IZI238" s="1"/>
      <c r="IZJ238" s="1"/>
      <c r="IZK238" s="1"/>
      <c r="IZL238" s="1"/>
      <c r="IZM238" s="1"/>
      <c r="IZN238" s="1"/>
      <c r="IZO238" s="1"/>
      <c r="IZP238" s="1"/>
      <c r="IZQ238" s="1"/>
      <c r="IZR238" s="1"/>
      <c r="IZS238" s="1"/>
      <c r="IZT238" s="1"/>
      <c r="IZU238" s="1"/>
      <c r="IZV238" s="1"/>
      <c r="IZW238" s="1"/>
      <c r="IZX238" s="1"/>
      <c r="IZY238" s="1"/>
      <c r="IZZ238" s="1"/>
      <c r="JAA238" s="1"/>
      <c r="JAB238" s="1"/>
      <c r="JAC238" s="1"/>
      <c r="JAD238" s="1"/>
      <c r="JAE238" s="1"/>
      <c r="JAF238" s="1"/>
      <c r="JAG238" s="1"/>
      <c r="JAH238" s="1"/>
      <c r="JAI238" s="1"/>
      <c r="JAJ238" s="1"/>
      <c r="JAK238" s="1"/>
      <c r="JAL238" s="1"/>
      <c r="JAM238" s="1"/>
      <c r="JAN238" s="1"/>
      <c r="JAO238" s="1"/>
      <c r="JAP238" s="1"/>
      <c r="JAQ238" s="1"/>
      <c r="JAR238" s="1"/>
      <c r="JAS238" s="1"/>
      <c r="JAT238" s="1"/>
      <c r="JAU238" s="1"/>
      <c r="JAV238" s="1"/>
      <c r="JAW238" s="1"/>
      <c r="JAX238" s="1"/>
      <c r="JAY238" s="1"/>
      <c r="JAZ238" s="1"/>
      <c r="JBA238" s="1"/>
      <c r="JBB238" s="1"/>
      <c r="JBC238" s="1"/>
      <c r="JBD238" s="1"/>
      <c r="JBE238" s="1"/>
      <c r="JBF238" s="1"/>
      <c r="JBG238" s="1"/>
      <c r="JBH238" s="1"/>
      <c r="JBI238" s="1"/>
      <c r="JBJ238" s="1"/>
      <c r="JBK238" s="1"/>
      <c r="JBL238" s="1"/>
      <c r="JBM238" s="1"/>
      <c r="JBN238" s="1"/>
      <c r="JBO238" s="1"/>
      <c r="JBP238" s="1"/>
      <c r="JBQ238" s="1"/>
      <c r="JBR238" s="1"/>
      <c r="JBS238" s="1"/>
      <c r="JBT238" s="1"/>
      <c r="JBU238" s="1"/>
      <c r="JBV238" s="1"/>
      <c r="JBW238" s="1"/>
      <c r="JBX238" s="1"/>
      <c r="JBY238" s="1"/>
      <c r="JBZ238" s="1"/>
      <c r="JCA238" s="1"/>
      <c r="JCB238" s="1"/>
      <c r="JCC238" s="1"/>
      <c r="JCD238" s="1"/>
      <c r="JCE238" s="1"/>
      <c r="JCF238" s="1"/>
      <c r="JCG238" s="1"/>
      <c r="JCH238" s="1"/>
      <c r="JCI238" s="1"/>
      <c r="JCJ238" s="1"/>
      <c r="JCK238" s="1"/>
      <c r="JCL238" s="1"/>
      <c r="JCM238" s="1"/>
      <c r="JCN238" s="1"/>
      <c r="JCO238" s="1"/>
      <c r="JCP238" s="1"/>
      <c r="JCQ238" s="1"/>
      <c r="JCR238" s="1"/>
      <c r="JCS238" s="1"/>
      <c r="JCT238" s="1"/>
      <c r="JCU238" s="1"/>
      <c r="JCV238" s="1"/>
      <c r="JCW238" s="1"/>
      <c r="JCX238" s="1"/>
      <c r="JCY238" s="1"/>
      <c r="JCZ238" s="1"/>
      <c r="JDA238" s="1"/>
      <c r="JDB238" s="1"/>
      <c r="JDC238" s="1"/>
      <c r="JDD238" s="1"/>
      <c r="JDE238" s="1"/>
      <c r="JDF238" s="1"/>
      <c r="JDG238" s="1"/>
      <c r="JDH238" s="1"/>
      <c r="JDI238" s="1"/>
      <c r="JDJ238" s="1"/>
      <c r="JDK238" s="1"/>
      <c r="JDL238" s="1"/>
      <c r="JDM238" s="1"/>
      <c r="JDN238" s="1"/>
      <c r="JDO238" s="1"/>
      <c r="JDP238" s="1"/>
      <c r="JDQ238" s="1"/>
      <c r="JDR238" s="1"/>
      <c r="JDS238" s="1"/>
      <c r="JDT238" s="1"/>
      <c r="JDU238" s="1"/>
      <c r="JDV238" s="1"/>
      <c r="JDW238" s="1"/>
      <c r="JDX238" s="1"/>
      <c r="JDY238" s="1"/>
      <c r="JDZ238" s="1"/>
      <c r="JEA238" s="1"/>
      <c r="JEB238" s="1"/>
      <c r="JEC238" s="1"/>
      <c r="JED238" s="1"/>
      <c r="JEE238" s="1"/>
      <c r="JEF238" s="1"/>
      <c r="JEG238" s="1"/>
      <c r="JEH238" s="1"/>
      <c r="JEI238" s="1"/>
      <c r="JEJ238" s="1"/>
      <c r="JEK238" s="1"/>
      <c r="JEL238" s="1"/>
      <c r="JEM238" s="1"/>
      <c r="JEN238" s="1"/>
      <c r="JEO238" s="1"/>
      <c r="JEP238" s="1"/>
      <c r="JEQ238" s="1"/>
      <c r="JER238" s="1"/>
      <c r="JES238" s="1"/>
      <c r="JET238" s="1"/>
      <c r="JEU238" s="1"/>
      <c r="JEV238" s="1"/>
      <c r="JEW238" s="1"/>
      <c r="JEX238" s="1"/>
      <c r="JEY238" s="1"/>
      <c r="JEZ238" s="1"/>
      <c r="JFA238" s="1"/>
      <c r="JFB238" s="1"/>
      <c r="JFC238" s="1"/>
      <c r="JFD238" s="1"/>
      <c r="JFE238" s="1"/>
      <c r="JFF238" s="1"/>
      <c r="JFG238" s="1"/>
      <c r="JFH238" s="1"/>
      <c r="JFI238" s="1"/>
      <c r="JFJ238" s="1"/>
      <c r="JFK238" s="1"/>
      <c r="JFL238" s="1"/>
      <c r="JFM238" s="1"/>
      <c r="JFN238" s="1"/>
      <c r="JFO238" s="1"/>
      <c r="JFP238" s="1"/>
      <c r="JFQ238" s="1"/>
      <c r="JFR238" s="1"/>
      <c r="JFS238" s="1"/>
      <c r="JFT238" s="1"/>
      <c r="JFU238" s="1"/>
      <c r="JFV238" s="1"/>
      <c r="JFW238" s="1"/>
      <c r="JFX238" s="1"/>
      <c r="JFY238" s="1"/>
      <c r="JFZ238" s="1"/>
      <c r="JGA238" s="1"/>
      <c r="JGB238" s="1"/>
      <c r="JGC238" s="1"/>
      <c r="JGD238" s="1"/>
      <c r="JGE238" s="1"/>
      <c r="JGF238" s="1"/>
      <c r="JGG238" s="1"/>
      <c r="JGH238" s="1"/>
      <c r="JGI238" s="1"/>
      <c r="JGJ238" s="1"/>
      <c r="JGK238" s="1"/>
      <c r="JGL238" s="1"/>
      <c r="JGM238" s="1"/>
      <c r="JGN238" s="1"/>
      <c r="JGO238" s="1"/>
      <c r="JGP238" s="1"/>
      <c r="JGQ238" s="1"/>
      <c r="JGR238" s="1"/>
      <c r="JGS238" s="1"/>
      <c r="JGT238" s="1"/>
      <c r="JGU238" s="1"/>
      <c r="JGV238" s="1"/>
      <c r="JGW238" s="1"/>
      <c r="JGX238" s="1"/>
      <c r="JGY238" s="1"/>
      <c r="JGZ238" s="1"/>
      <c r="JHA238" s="1"/>
      <c r="JHB238" s="1"/>
      <c r="JHC238" s="1"/>
      <c r="JHD238" s="1"/>
      <c r="JHE238" s="1"/>
      <c r="JHF238" s="1"/>
      <c r="JHG238" s="1"/>
      <c r="JHH238" s="1"/>
      <c r="JHI238" s="1"/>
      <c r="JHJ238" s="1"/>
      <c r="JHK238" s="1"/>
      <c r="JHL238" s="1"/>
      <c r="JHM238" s="1"/>
      <c r="JHN238" s="1"/>
      <c r="JHO238" s="1"/>
      <c r="JHP238" s="1"/>
      <c r="JHQ238" s="1"/>
      <c r="JHR238" s="1"/>
      <c r="JHS238" s="1"/>
      <c r="JHT238" s="1"/>
      <c r="JHU238" s="1"/>
      <c r="JHV238" s="1"/>
      <c r="JHW238" s="1"/>
      <c r="JHX238" s="1"/>
      <c r="JHY238" s="1"/>
      <c r="JHZ238" s="1"/>
      <c r="JIA238" s="1"/>
      <c r="JIB238" s="1"/>
      <c r="JIC238" s="1"/>
      <c r="JID238" s="1"/>
      <c r="JIE238" s="1"/>
      <c r="JIF238" s="1"/>
      <c r="JIG238" s="1"/>
      <c r="JIH238" s="1"/>
      <c r="JII238" s="1"/>
      <c r="JIJ238" s="1"/>
      <c r="JIK238" s="1"/>
      <c r="JIL238" s="1"/>
      <c r="JIM238" s="1"/>
      <c r="JIN238" s="1"/>
      <c r="JIO238" s="1"/>
      <c r="JIP238" s="1"/>
      <c r="JIQ238" s="1"/>
      <c r="JIR238" s="1"/>
      <c r="JIS238" s="1"/>
      <c r="JIT238" s="1"/>
      <c r="JIU238" s="1"/>
      <c r="JIV238" s="1"/>
      <c r="JIW238" s="1"/>
      <c r="JIX238" s="1"/>
      <c r="JIY238" s="1"/>
      <c r="JIZ238" s="1"/>
      <c r="JJA238" s="1"/>
      <c r="JJB238" s="1"/>
      <c r="JJC238" s="1"/>
      <c r="JJD238" s="1"/>
      <c r="JJE238" s="1"/>
      <c r="JJF238" s="1"/>
      <c r="JJG238" s="1"/>
      <c r="JJH238" s="1"/>
      <c r="JJI238" s="1"/>
      <c r="JJJ238" s="1"/>
      <c r="JJK238" s="1"/>
      <c r="JJL238" s="1"/>
      <c r="JJM238" s="1"/>
      <c r="JJN238" s="1"/>
      <c r="JJO238" s="1"/>
      <c r="JJP238" s="1"/>
      <c r="JJQ238" s="1"/>
      <c r="JJR238" s="1"/>
      <c r="JJS238" s="1"/>
      <c r="JJT238" s="1"/>
      <c r="JJU238" s="1"/>
      <c r="JJV238" s="1"/>
      <c r="JJW238" s="1"/>
      <c r="JJX238" s="1"/>
      <c r="JJY238" s="1"/>
      <c r="JJZ238" s="1"/>
      <c r="JKA238" s="1"/>
      <c r="JKB238" s="1"/>
      <c r="JKC238" s="1"/>
      <c r="JKD238" s="1"/>
      <c r="JKE238" s="1"/>
      <c r="JKF238" s="1"/>
      <c r="JKG238" s="1"/>
      <c r="JKH238" s="1"/>
      <c r="JKI238" s="1"/>
      <c r="JKJ238" s="1"/>
      <c r="JKK238" s="1"/>
      <c r="JKL238" s="1"/>
      <c r="JKM238" s="1"/>
      <c r="JKN238" s="1"/>
      <c r="JKO238" s="1"/>
      <c r="JKP238" s="1"/>
      <c r="JKQ238" s="1"/>
      <c r="JKR238" s="1"/>
      <c r="JKS238" s="1"/>
      <c r="JKT238" s="1"/>
      <c r="JKU238" s="1"/>
      <c r="JKV238" s="1"/>
      <c r="JKW238" s="1"/>
      <c r="JKX238" s="1"/>
      <c r="JKY238" s="1"/>
      <c r="JKZ238" s="1"/>
      <c r="JLA238" s="1"/>
      <c r="JLB238" s="1"/>
      <c r="JLC238" s="1"/>
      <c r="JLD238" s="1"/>
      <c r="JLE238" s="1"/>
      <c r="JLF238" s="1"/>
      <c r="JLG238" s="1"/>
      <c r="JLH238" s="1"/>
      <c r="JLI238" s="1"/>
      <c r="JLJ238" s="1"/>
      <c r="JLK238" s="1"/>
      <c r="JLL238" s="1"/>
      <c r="JLM238" s="1"/>
      <c r="JLN238" s="1"/>
      <c r="JLO238" s="1"/>
      <c r="JLP238" s="1"/>
      <c r="JLQ238" s="1"/>
      <c r="JLR238" s="1"/>
      <c r="JLS238" s="1"/>
      <c r="JLT238" s="1"/>
      <c r="JLU238" s="1"/>
      <c r="JLV238" s="1"/>
      <c r="JLW238" s="1"/>
      <c r="JLX238" s="1"/>
      <c r="JLY238" s="1"/>
      <c r="JLZ238" s="1"/>
      <c r="JMA238" s="1"/>
      <c r="JMB238" s="1"/>
      <c r="JMC238" s="1"/>
      <c r="JMD238" s="1"/>
      <c r="JME238" s="1"/>
      <c r="JMF238" s="1"/>
      <c r="JMG238" s="1"/>
      <c r="JMH238" s="1"/>
      <c r="JMI238" s="1"/>
      <c r="JMJ238" s="1"/>
      <c r="JMK238" s="1"/>
      <c r="JML238" s="1"/>
      <c r="JMM238" s="1"/>
      <c r="JMN238" s="1"/>
      <c r="JMO238" s="1"/>
      <c r="JMP238" s="1"/>
      <c r="JMQ238" s="1"/>
      <c r="JMR238" s="1"/>
      <c r="JMS238" s="1"/>
      <c r="JMT238" s="1"/>
      <c r="JMU238" s="1"/>
      <c r="JMV238" s="1"/>
      <c r="JMW238" s="1"/>
      <c r="JMX238" s="1"/>
      <c r="JMY238" s="1"/>
      <c r="JMZ238" s="1"/>
      <c r="JNA238" s="1"/>
      <c r="JNB238" s="1"/>
      <c r="JNC238" s="1"/>
      <c r="JND238" s="1"/>
      <c r="JNE238" s="1"/>
      <c r="JNF238" s="1"/>
      <c r="JNG238" s="1"/>
      <c r="JNH238" s="1"/>
      <c r="JNI238" s="1"/>
      <c r="JNJ238" s="1"/>
      <c r="JNK238" s="1"/>
      <c r="JNL238" s="1"/>
      <c r="JNM238" s="1"/>
      <c r="JNN238" s="1"/>
      <c r="JNO238" s="1"/>
      <c r="JNP238" s="1"/>
      <c r="JNQ238" s="1"/>
      <c r="JNR238" s="1"/>
      <c r="JNS238" s="1"/>
      <c r="JNT238" s="1"/>
      <c r="JNU238" s="1"/>
      <c r="JNV238" s="1"/>
      <c r="JNW238" s="1"/>
      <c r="JNX238" s="1"/>
      <c r="JNY238" s="1"/>
      <c r="JNZ238" s="1"/>
      <c r="JOA238" s="1"/>
      <c r="JOB238" s="1"/>
      <c r="JOC238" s="1"/>
      <c r="JOD238" s="1"/>
      <c r="JOE238" s="1"/>
      <c r="JOF238" s="1"/>
      <c r="JOG238" s="1"/>
      <c r="JOH238" s="1"/>
      <c r="JOI238" s="1"/>
      <c r="JOJ238" s="1"/>
      <c r="JOK238" s="1"/>
      <c r="JOL238" s="1"/>
      <c r="JOM238" s="1"/>
      <c r="JON238" s="1"/>
      <c r="JOO238" s="1"/>
      <c r="JOP238" s="1"/>
      <c r="JOQ238" s="1"/>
      <c r="JOR238" s="1"/>
      <c r="JOS238" s="1"/>
      <c r="JOT238" s="1"/>
      <c r="JOU238" s="1"/>
      <c r="JOV238" s="1"/>
      <c r="JOW238" s="1"/>
      <c r="JOX238" s="1"/>
      <c r="JOY238" s="1"/>
      <c r="JOZ238" s="1"/>
      <c r="JPA238" s="1"/>
      <c r="JPB238" s="1"/>
      <c r="JPC238" s="1"/>
      <c r="JPD238" s="1"/>
      <c r="JPE238" s="1"/>
      <c r="JPF238" s="1"/>
      <c r="JPG238" s="1"/>
      <c r="JPH238" s="1"/>
      <c r="JPI238" s="1"/>
      <c r="JPJ238" s="1"/>
      <c r="JPK238" s="1"/>
      <c r="JPL238" s="1"/>
      <c r="JPM238" s="1"/>
      <c r="JPN238" s="1"/>
      <c r="JPO238" s="1"/>
      <c r="JPP238" s="1"/>
      <c r="JPQ238" s="1"/>
      <c r="JPR238" s="1"/>
      <c r="JPS238" s="1"/>
      <c r="JPT238" s="1"/>
      <c r="JPU238" s="1"/>
      <c r="JPV238" s="1"/>
      <c r="JPW238" s="1"/>
      <c r="JPX238" s="1"/>
      <c r="JPY238" s="1"/>
      <c r="JPZ238" s="1"/>
      <c r="JQA238" s="1"/>
      <c r="JQB238" s="1"/>
      <c r="JQC238" s="1"/>
      <c r="JQD238" s="1"/>
      <c r="JQE238" s="1"/>
      <c r="JQF238" s="1"/>
      <c r="JQG238" s="1"/>
      <c r="JQH238" s="1"/>
      <c r="JQI238" s="1"/>
      <c r="JQJ238" s="1"/>
      <c r="JQK238" s="1"/>
      <c r="JQL238" s="1"/>
      <c r="JQM238" s="1"/>
      <c r="JQN238" s="1"/>
      <c r="JQO238" s="1"/>
      <c r="JQP238" s="1"/>
      <c r="JQQ238" s="1"/>
      <c r="JQR238" s="1"/>
      <c r="JQS238" s="1"/>
      <c r="JQT238" s="1"/>
      <c r="JQU238" s="1"/>
      <c r="JQV238" s="1"/>
      <c r="JQW238" s="1"/>
      <c r="JQX238" s="1"/>
      <c r="JQY238" s="1"/>
      <c r="JQZ238" s="1"/>
      <c r="JRA238" s="1"/>
      <c r="JRB238" s="1"/>
      <c r="JRC238" s="1"/>
      <c r="JRD238" s="1"/>
      <c r="JRE238" s="1"/>
      <c r="JRF238" s="1"/>
      <c r="JRG238" s="1"/>
      <c r="JRH238" s="1"/>
      <c r="JRI238" s="1"/>
      <c r="JRJ238" s="1"/>
      <c r="JRK238" s="1"/>
      <c r="JRL238" s="1"/>
      <c r="JRM238" s="1"/>
      <c r="JRN238" s="1"/>
      <c r="JRO238" s="1"/>
      <c r="JRP238" s="1"/>
      <c r="JRQ238" s="1"/>
      <c r="JRR238" s="1"/>
      <c r="JRS238" s="1"/>
      <c r="JRT238" s="1"/>
      <c r="JRU238" s="1"/>
      <c r="JRV238" s="1"/>
      <c r="JRW238" s="1"/>
      <c r="JRX238" s="1"/>
      <c r="JRY238" s="1"/>
      <c r="JRZ238" s="1"/>
      <c r="JSA238" s="1"/>
      <c r="JSB238" s="1"/>
      <c r="JSC238" s="1"/>
      <c r="JSD238" s="1"/>
      <c r="JSE238" s="1"/>
      <c r="JSF238" s="1"/>
      <c r="JSG238" s="1"/>
      <c r="JSH238" s="1"/>
      <c r="JSI238" s="1"/>
      <c r="JSJ238" s="1"/>
      <c r="JSK238" s="1"/>
      <c r="JSL238" s="1"/>
      <c r="JSM238" s="1"/>
      <c r="JSN238" s="1"/>
      <c r="JSO238" s="1"/>
      <c r="JSP238" s="1"/>
      <c r="JSQ238" s="1"/>
      <c r="JSR238" s="1"/>
      <c r="JSS238" s="1"/>
      <c r="JST238" s="1"/>
      <c r="JSU238" s="1"/>
      <c r="JSV238" s="1"/>
      <c r="JSW238" s="1"/>
      <c r="JSX238" s="1"/>
      <c r="JSY238" s="1"/>
      <c r="JSZ238" s="1"/>
      <c r="JTA238" s="1"/>
      <c r="JTB238" s="1"/>
      <c r="JTC238" s="1"/>
      <c r="JTD238" s="1"/>
      <c r="JTE238" s="1"/>
      <c r="JTF238" s="1"/>
      <c r="JTG238" s="1"/>
      <c r="JTH238" s="1"/>
      <c r="JTI238" s="1"/>
      <c r="JTJ238" s="1"/>
      <c r="JTK238" s="1"/>
      <c r="JTL238" s="1"/>
      <c r="JTM238" s="1"/>
      <c r="JTN238" s="1"/>
      <c r="JTO238" s="1"/>
      <c r="JTP238" s="1"/>
      <c r="JTQ238" s="1"/>
      <c r="JTR238" s="1"/>
      <c r="JTS238" s="1"/>
      <c r="JTT238" s="1"/>
      <c r="JTU238" s="1"/>
      <c r="JTV238" s="1"/>
      <c r="JTW238" s="1"/>
      <c r="JTX238" s="1"/>
      <c r="JTY238" s="1"/>
      <c r="JTZ238" s="1"/>
      <c r="JUA238" s="1"/>
      <c r="JUB238" s="1"/>
      <c r="JUC238" s="1"/>
      <c r="JUD238" s="1"/>
      <c r="JUE238" s="1"/>
      <c r="JUF238" s="1"/>
      <c r="JUG238" s="1"/>
      <c r="JUH238" s="1"/>
      <c r="JUI238" s="1"/>
      <c r="JUJ238" s="1"/>
      <c r="JUK238" s="1"/>
      <c r="JUL238" s="1"/>
      <c r="JUM238" s="1"/>
      <c r="JUN238" s="1"/>
      <c r="JUO238" s="1"/>
      <c r="JUP238" s="1"/>
      <c r="JUQ238" s="1"/>
      <c r="JUR238" s="1"/>
      <c r="JUS238" s="1"/>
      <c r="JUT238" s="1"/>
      <c r="JUU238" s="1"/>
      <c r="JUV238" s="1"/>
      <c r="JUW238" s="1"/>
      <c r="JUX238" s="1"/>
      <c r="JUY238" s="1"/>
      <c r="JUZ238" s="1"/>
      <c r="JVA238" s="1"/>
      <c r="JVB238" s="1"/>
      <c r="JVC238" s="1"/>
      <c r="JVD238" s="1"/>
      <c r="JVE238" s="1"/>
      <c r="JVF238" s="1"/>
      <c r="JVG238" s="1"/>
      <c r="JVH238" s="1"/>
      <c r="JVI238" s="1"/>
      <c r="JVJ238" s="1"/>
      <c r="JVK238" s="1"/>
      <c r="JVL238" s="1"/>
      <c r="JVM238" s="1"/>
      <c r="JVN238" s="1"/>
      <c r="JVO238" s="1"/>
      <c r="JVP238" s="1"/>
      <c r="JVQ238" s="1"/>
      <c r="JVR238" s="1"/>
      <c r="JVS238" s="1"/>
      <c r="JVT238" s="1"/>
      <c r="JVU238" s="1"/>
      <c r="JVV238" s="1"/>
      <c r="JVW238" s="1"/>
      <c r="JVX238" s="1"/>
      <c r="JVY238" s="1"/>
      <c r="JVZ238" s="1"/>
      <c r="JWA238" s="1"/>
      <c r="JWB238" s="1"/>
      <c r="JWC238" s="1"/>
      <c r="JWD238" s="1"/>
      <c r="JWE238" s="1"/>
      <c r="JWF238" s="1"/>
      <c r="JWG238" s="1"/>
      <c r="JWH238" s="1"/>
      <c r="JWI238" s="1"/>
      <c r="JWJ238" s="1"/>
      <c r="JWK238" s="1"/>
      <c r="JWL238" s="1"/>
      <c r="JWM238" s="1"/>
      <c r="JWN238" s="1"/>
      <c r="JWO238" s="1"/>
      <c r="JWP238" s="1"/>
      <c r="JWQ238" s="1"/>
      <c r="JWR238" s="1"/>
      <c r="JWS238" s="1"/>
      <c r="JWT238" s="1"/>
      <c r="JWU238" s="1"/>
      <c r="JWV238" s="1"/>
      <c r="JWW238" s="1"/>
      <c r="JWX238" s="1"/>
      <c r="JWY238" s="1"/>
      <c r="JWZ238" s="1"/>
      <c r="JXA238" s="1"/>
      <c r="JXB238" s="1"/>
      <c r="JXC238" s="1"/>
      <c r="JXD238" s="1"/>
      <c r="JXE238" s="1"/>
      <c r="JXF238" s="1"/>
      <c r="JXG238" s="1"/>
      <c r="JXH238" s="1"/>
      <c r="JXI238" s="1"/>
      <c r="JXJ238" s="1"/>
      <c r="JXK238" s="1"/>
      <c r="JXL238" s="1"/>
      <c r="JXM238" s="1"/>
      <c r="JXN238" s="1"/>
      <c r="JXO238" s="1"/>
      <c r="JXP238" s="1"/>
      <c r="JXQ238" s="1"/>
      <c r="JXR238" s="1"/>
      <c r="JXS238" s="1"/>
      <c r="JXT238" s="1"/>
      <c r="JXU238" s="1"/>
      <c r="JXV238" s="1"/>
      <c r="JXW238" s="1"/>
      <c r="JXX238" s="1"/>
      <c r="JXY238" s="1"/>
      <c r="JXZ238" s="1"/>
      <c r="JYA238" s="1"/>
      <c r="JYB238" s="1"/>
      <c r="JYC238" s="1"/>
      <c r="JYD238" s="1"/>
      <c r="JYE238" s="1"/>
      <c r="JYF238" s="1"/>
      <c r="JYG238" s="1"/>
      <c r="JYH238" s="1"/>
      <c r="JYI238" s="1"/>
      <c r="JYJ238" s="1"/>
      <c r="JYK238" s="1"/>
      <c r="JYL238" s="1"/>
      <c r="JYM238" s="1"/>
      <c r="JYN238" s="1"/>
      <c r="JYO238" s="1"/>
      <c r="JYP238" s="1"/>
      <c r="JYQ238" s="1"/>
      <c r="JYR238" s="1"/>
      <c r="JYS238" s="1"/>
      <c r="JYT238" s="1"/>
      <c r="JYU238" s="1"/>
      <c r="JYV238" s="1"/>
      <c r="JYW238" s="1"/>
      <c r="JYX238" s="1"/>
      <c r="JYY238" s="1"/>
      <c r="JYZ238" s="1"/>
      <c r="JZA238" s="1"/>
      <c r="JZB238" s="1"/>
      <c r="JZC238" s="1"/>
      <c r="JZD238" s="1"/>
      <c r="JZE238" s="1"/>
      <c r="JZF238" s="1"/>
      <c r="JZG238" s="1"/>
      <c r="JZH238" s="1"/>
      <c r="JZI238" s="1"/>
      <c r="JZJ238" s="1"/>
      <c r="JZK238" s="1"/>
      <c r="JZL238" s="1"/>
      <c r="JZM238" s="1"/>
      <c r="JZN238" s="1"/>
      <c r="JZO238" s="1"/>
      <c r="JZP238" s="1"/>
      <c r="JZQ238" s="1"/>
      <c r="JZR238" s="1"/>
      <c r="JZS238" s="1"/>
      <c r="JZT238" s="1"/>
      <c r="JZU238" s="1"/>
      <c r="JZV238" s="1"/>
      <c r="JZW238" s="1"/>
      <c r="JZX238" s="1"/>
      <c r="JZY238" s="1"/>
      <c r="JZZ238" s="1"/>
      <c r="KAA238" s="1"/>
      <c r="KAB238" s="1"/>
      <c r="KAC238" s="1"/>
      <c r="KAD238" s="1"/>
      <c r="KAE238" s="1"/>
      <c r="KAF238" s="1"/>
      <c r="KAG238" s="1"/>
      <c r="KAH238" s="1"/>
      <c r="KAI238" s="1"/>
      <c r="KAJ238" s="1"/>
      <c r="KAK238" s="1"/>
      <c r="KAL238" s="1"/>
      <c r="KAM238" s="1"/>
      <c r="KAN238" s="1"/>
      <c r="KAO238" s="1"/>
      <c r="KAP238" s="1"/>
      <c r="KAQ238" s="1"/>
      <c r="KAR238" s="1"/>
      <c r="KAS238" s="1"/>
      <c r="KAT238" s="1"/>
      <c r="KAU238" s="1"/>
      <c r="KAV238" s="1"/>
      <c r="KAW238" s="1"/>
      <c r="KAX238" s="1"/>
      <c r="KAY238" s="1"/>
      <c r="KAZ238" s="1"/>
      <c r="KBA238" s="1"/>
      <c r="KBB238" s="1"/>
      <c r="KBC238" s="1"/>
      <c r="KBD238" s="1"/>
      <c r="KBE238" s="1"/>
      <c r="KBF238" s="1"/>
      <c r="KBG238" s="1"/>
      <c r="KBH238" s="1"/>
      <c r="KBI238" s="1"/>
      <c r="KBJ238" s="1"/>
      <c r="KBK238" s="1"/>
      <c r="KBL238" s="1"/>
      <c r="KBM238" s="1"/>
      <c r="KBN238" s="1"/>
      <c r="KBO238" s="1"/>
      <c r="KBP238" s="1"/>
      <c r="KBQ238" s="1"/>
      <c r="KBR238" s="1"/>
      <c r="KBS238" s="1"/>
      <c r="KBT238" s="1"/>
      <c r="KBU238" s="1"/>
      <c r="KBV238" s="1"/>
      <c r="KBW238" s="1"/>
      <c r="KBX238" s="1"/>
      <c r="KBY238" s="1"/>
      <c r="KBZ238" s="1"/>
      <c r="KCA238" s="1"/>
      <c r="KCB238" s="1"/>
      <c r="KCC238" s="1"/>
      <c r="KCD238" s="1"/>
      <c r="KCE238" s="1"/>
      <c r="KCF238" s="1"/>
      <c r="KCG238" s="1"/>
      <c r="KCH238" s="1"/>
      <c r="KCI238" s="1"/>
      <c r="KCJ238" s="1"/>
      <c r="KCK238" s="1"/>
      <c r="KCL238" s="1"/>
      <c r="KCM238" s="1"/>
      <c r="KCN238" s="1"/>
      <c r="KCO238" s="1"/>
      <c r="KCP238" s="1"/>
      <c r="KCQ238" s="1"/>
      <c r="KCR238" s="1"/>
      <c r="KCS238" s="1"/>
      <c r="KCT238" s="1"/>
      <c r="KCU238" s="1"/>
      <c r="KCV238" s="1"/>
      <c r="KCW238" s="1"/>
      <c r="KCX238" s="1"/>
      <c r="KCY238" s="1"/>
      <c r="KCZ238" s="1"/>
      <c r="KDA238" s="1"/>
      <c r="KDB238" s="1"/>
      <c r="KDC238" s="1"/>
      <c r="KDD238" s="1"/>
      <c r="KDE238" s="1"/>
      <c r="KDF238" s="1"/>
      <c r="KDG238" s="1"/>
      <c r="KDH238" s="1"/>
      <c r="KDI238" s="1"/>
      <c r="KDJ238" s="1"/>
      <c r="KDK238" s="1"/>
      <c r="KDL238" s="1"/>
      <c r="KDM238" s="1"/>
      <c r="KDN238" s="1"/>
      <c r="KDO238" s="1"/>
      <c r="KDP238" s="1"/>
      <c r="KDQ238" s="1"/>
      <c r="KDR238" s="1"/>
      <c r="KDS238" s="1"/>
      <c r="KDT238" s="1"/>
      <c r="KDU238" s="1"/>
      <c r="KDV238" s="1"/>
      <c r="KDW238" s="1"/>
      <c r="KDX238" s="1"/>
      <c r="KDY238" s="1"/>
      <c r="KDZ238" s="1"/>
      <c r="KEA238" s="1"/>
      <c r="KEB238" s="1"/>
      <c r="KEC238" s="1"/>
      <c r="KED238" s="1"/>
      <c r="KEE238" s="1"/>
      <c r="KEF238" s="1"/>
      <c r="KEG238" s="1"/>
      <c r="KEH238" s="1"/>
      <c r="KEI238" s="1"/>
      <c r="KEJ238" s="1"/>
      <c r="KEK238" s="1"/>
      <c r="KEL238" s="1"/>
      <c r="KEM238" s="1"/>
      <c r="KEN238" s="1"/>
      <c r="KEO238" s="1"/>
      <c r="KEP238" s="1"/>
      <c r="KEQ238" s="1"/>
      <c r="KER238" s="1"/>
      <c r="KES238" s="1"/>
      <c r="KET238" s="1"/>
      <c r="KEU238" s="1"/>
      <c r="KEV238" s="1"/>
      <c r="KEW238" s="1"/>
      <c r="KEX238" s="1"/>
      <c r="KEY238" s="1"/>
      <c r="KEZ238" s="1"/>
      <c r="KFA238" s="1"/>
      <c r="KFB238" s="1"/>
      <c r="KFC238" s="1"/>
      <c r="KFD238" s="1"/>
      <c r="KFE238" s="1"/>
      <c r="KFF238" s="1"/>
      <c r="KFG238" s="1"/>
      <c r="KFH238" s="1"/>
      <c r="KFI238" s="1"/>
      <c r="KFJ238" s="1"/>
      <c r="KFK238" s="1"/>
      <c r="KFL238" s="1"/>
      <c r="KFM238" s="1"/>
      <c r="KFN238" s="1"/>
      <c r="KFO238" s="1"/>
      <c r="KFP238" s="1"/>
      <c r="KFQ238" s="1"/>
      <c r="KFR238" s="1"/>
      <c r="KFS238" s="1"/>
      <c r="KFT238" s="1"/>
      <c r="KFU238" s="1"/>
      <c r="KFV238" s="1"/>
      <c r="KFW238" s="1"/>
      <c r="KFX238" s="1"/>
      <c r="KFY238" s="1"/>
      <c r="KFZ238" s="1"/>
      <c r="KGA238" s="1"/>
      <c r="KGB238" s="1"/>
      <c r="KGC238" s="1"/>
      <c r="KGD238" s="1"/>
      <c r="KGE238" s="1"/>
      <c r="KGF238" s="1"/>
      <c r="KGG238" s="1"/>
      <c r="KGH238" s="1"/>
      <c r="KGI238" s="1"/>
      <c r="KGJ238" s="1"/>
      <c r="KGK238" s="1"/>
      <c r="KGL238" s="1"/>
      <c r="KGM238" s="1"/>
      <c r="KGN238" s="1"/>
      <c r="KGO238" s="1"/>
      <c r="KGP238" s="1"/>
      <c r="KGQ238" s="1"/>
      <c r="KGR238" s="1"/>
      <c r="KGS238" s="1"/>
      <c r="KGT238" s="1"/>
      <c r="KGU238" s="1"/>
      <c r="KGV238" s="1"/>
      <c r="KGW238" s="1"/>
      <c r="KGX238" s="1"/>
      <c r="KGY238" s="1"/>
      <c r="KGZ238" s="1"/>
      <c r="KHA238" s="1"/>
      <c r="KHB238" s="1"/>
      <c r="KHC238" s="1"/>
      <c r="KHD238" s="1"/>
      <c r="KHE238" s="1"/>
      <c r="KHF238" s="1"/>
      <c r="KHG238" s="1"/>
      <c r="KHH238" s="1"/>
      <c r="KHI238" s="1"/>
      <c r="KHJ238" s="1"/>
      <c r="KHK238" s="1"/>
      <c r="KHL238" s="1"/>
      <c r="KHM238" s="1"/>
      <c r="KHN238" s="1"/>
      <c r="KHO238" s="1"/>
      <c r="KHP238" s="1"/>
      <c r="KHQ238" s="1"/>
      <c r="KHR238" s="1"/>
      <c r="KHS238" s="1"/>
      <c r="KHT238" s="1"/>
      <c r="KHU238" s="1"/>
      <c r="KHV238" s="1"/>
      <c r="KHW238" s="1"/>
      <c r="KHX238" s="1"/>
      <c r="KHY238" s="1"/>
      <c r="KHZ238" s="1"/>
      <c r="KIA238" s="1"/>
      <c r="KIB238" s="1"/>
      <c r="KIC238" s="1"/>
      <c r="KID238" s="1"/>
      <c r="KIE238" s="1"/>
      <c r="KIF238" s="1"/>
      <c r="KIG238" s="1"/>
      <c r="KIH238" s="1"/>
      <c r="KII238" s="1"/>
      <c r="KIJ238" s="1"/>
      <c r="KIK238" s="1"/>
      <c r="KIL238" s="1"/>
      <c r="KIM238" s="1"/>
      <c r="KIN238" s="1"/>
      <c r="KIO238" s="1"/>
      <c r="KIP238" s="1"/>
      <c r="KIQ238" s="1"/>
      <c r="KIR238" s="1"/>
      <c r="KIS238" s="1"/>
      <c r="KIT238" s="1"/>
      <c r="KIU238" s="1"/>
      <c r="KIV238" s="1"/>
      <c r="KIW238" s="1"/>
      <c r="KIX238" s="1"/>
      <c r="KIY238" s="1"/>
      <c r="KIZ238" s="1"/>
      <c r="KJA238" s="1"/>
      <c r="KJB238" s="1"/>
      <c r="KJC238" s="1"/>
      <c r="KJD238" s="1"/>
      <c r="KJE238" s="1"/>
      <c r="KJF238" s="1"/>
      <c r="KJG238" s="1"/>
      <c r="KJH238" s="1"/>
      <c r="KJI238" s="1"/>
      <c r="KJJ238" s="1"/>
      <c r="KJK238" s="1"/>
      <c r="KJL238" s="1"/>
      <c r="KJM238" s="1"/>
      <c r="KJN238" s="1"/>
      <c r="KJO238" s="1"/>
      <c r="KJP238" s="1"/>
      <c r="KJQ238" s="1"/>
      <c r="KJR238" s="1"/>
      <c r="KJS238" s="1"/>
      <c r="KJT238" s="1"/>
      <c r="KJU238" s="1"/>
      <c r="KJV238" s="1"/>
      <c r="KJW238" s="1"/>
      <c r="KJX238" s="1"/>
      <c r="KJY238" s="1"/>
      <c r="KJZ238" s="1"/>
      <c r="KKA238" s="1"/>
      <c r="KKB238" s="1"/>
      <c r="KKC238" s="1"/>
      <c r="KKD238" s="1"/>
      <c r="KKE238" s="1"/>
      <c r="KKF238" s="1"/>
      <c r="KKG238" s="1"/>
      <c r="KKH238" s="1"/>
      <c r="KKI238" s="1"/>
      <c r="KKJ238" s="1"/>
      <c r="KKK238" s="1"/>
      <c r="KKL238" s="1"/>
      <c r="KKM238" s="1"/>
      <c r="KKN238" s="1"/>
      <c r="KKO238" s="1"/>
      <c r="KKP238" s="1"/>
      <c r="KKQ238" s="1"/>
      <c r="KKR238" s="1"/>
      <c r="KKS238" s="1"/>
      <c r="KKT238" s="1"/>
      <c r="KKU238" s="1"/>
      <c r="KKV238" s="1"/>
      <c r="KKW238" s="1"/>
      <c r="KKX238" s="1"/>
      <c r="KKY238" s="1"/>
      <c r="KKZ238" s="1"/>
      <c r="KLA238" s="1"/>
      <c r="KLB238" s="1"/>
      <c r="KLC238" s="1"/>
      <c r="KLD238" s="1"/>
      <c r="KLE238" s="1"/>
      <c r="KLF238" s="1"/>
      <c r="KLG238" s="1"/>
      <c r="KLH238" s="1"/>
      <c r="KLI238" s="1"/>
      <c r="KLJ238" s="1"/>
      <c r="KLK238" s="1"/>
      <c r="KLL238" s="1"/>
      <c r="KLM238" s="1"/>
      <c r="KLN238" s="1"/>
      <c r="KLO238" s="1"/>
      <c r="KLP238" s="1"/>
      <c r="KLQ238" s="1"/>
      <c r="KLR238" s="1"/>
      <c r="KLS238" s="1"/>
      <c r="KLT238" s="1"/>
      <c r="KLU238" s="1"/>
      <c r="KLV238" s="1"/>
      <c r="KLW238" s="1"/>
      <c r="KLX238" s="1"/>
      <c r="KLY238" s="1"/>
      <c r="KLZ238" s="1"/>
      <c r="KMA238" s="1"/>
      <c r="KMB238" s="1"/>
      <c r="KMC238" s="1"/>
      <c r="KMD238" s="1"/>
      <c r="KME238" s="1"/>
      <c r="KMF238" s="1"/>
      <c r="KMG238" s="1"/>
      <c r="KMH238" s="1"/>
      <c r="KMI238" s="1"/>
      <c r="KMJ238" s="1"/>
      <c r="KMK238" s="1"/>
      <c r="KML238" s="1"/>
      <c r="KMM238" s="1"/>
      <c r="KMN238" s="1"/>
      <c r="KMO238" s="1"/>
      <c r="KMP238" s="1"/>
      <c r="KMQ238" s="1"/>
      <c r="KMR238" s="1"/>
      <c r="KMS238" s="1"/>
      <c r="KMT238" s="1"/>
      <c r="KMU238" s="1"/>
      <c r="KMV238" s="1"/>
      <c r="KMW238" s="1"/>
      <c r="KMX238" s="1"/>
      <c r="KMY238" s="1"/>
      <c r="KMZ238" s="1"/>
      <c r="KNA238" s="1"/>
      <c r="KNB238" s="1"/>
      <c r="KNC238" s="1"/>
      <c r="KND238" s="1"/>
      <c r="KNE238" s="1"/>
      <c r="KNF238" s="1"/>
      <c r="KNG238" s="1"/>
      <c r="KNH238" s="1"/>
      <c r="KNI238" s="1"/>
      <c r="KNJ238" s="1"/>
      <c r="KNK238" s="1"/>
      <c r="KNL238" s="1"/>
      <c r="KNM238" s="1"/>
      <c r="KNN238" s="1"/>
      <c r="KNO238" s="1"/>
      <c r="KNP238" s="1"/>
      <c r="KNQ238" s="1"/>
      <c r="KNR238" s="1"/>
      <c r="KNS238" s="1"/>
      <c r="KNT238" s="1"/>
      <c r="KNU238" s="1"/>
      <c r="KNV238" s="1"/>
      <c r="KNW238" s="1"/>
      <c r="KNX238" s="1"/>
      <c r="KNY238" s="1"/>
      <c r="KNZ238" s="1"/>
      <c r="KOA238" s="1"/>
      <c r="KOB238" s="1"/>
      <c r="KOC238" s="1"/>
      <c r="KOD238" s="1"/>
      <c r="KOE238" s="1"/>
      <c r="KOF238" s="1"/>
      <c r="KOG238" s="1"/>
      <c r="KOH238" s="1"/>
      <c r="KOI238" s="1"/>
      <c r="KOJ238" s="1"/>
      <c r="KOK238" s="1"/>
      <c r="KOL238" s="1"/>
      <c r="KOM238" s="1"/>
      <c r="KON238" s="1"/>
      <c r="KOO238" s="1"/>
      <c r="KOP238" s="1"/>
      <c r="KOQ238" s="1"/>
      <c r="KOR238" s="1"/>
      <c r="KOS238" s="1"/>
      <c r="KOT238" s="1"/>
      <c r="KOU238" s="1"/>
      <c r="KOV238" s="1"/>
      <c r="KOW238" s="1"/>
      <c r="KOX238" s="1"/>
      <c r="KOY238" s="1"/>
      <c r="KOZ238" s="1"/>
      <c r="KPA238" s="1"/>
      <c r="KPB238" s="1"/>
      <c r="KPC238" s="1"/>
      <c r="KPD238" s="1"/>
      <c r="KPE238" s="1"/>
      <c r="KPF238" s="1"/>
      <c r="KPG238" s="1"/>
      <c r="KPH238" s="1"/>
      <c r="KPI238" s="1"/>
      <c r="KPJ238" s="1"/>
      <c r="KPK238" s="1"/>
      <c r="KPL238" s="1"/>
      <c r="KPM238" s="1"/>
      <c r="KPN238" s="1"/>
      <c r="KPO238" s="1"/>
      <c r="KPP238" s="1"/>
      <c r="KPQ238" s="1"/>
      <c r="KPR238" s="1"/>
      <c r="KPS238" s="1"/>
      <c r="KPT238" s="1"/>
      <c r="KPU238" s="1"/>
      <c r="KPV238" s="1"/>
      <c r="KPW238" s="1"/>
      <c r="KPX238" s="1"/>
      <c r="KPY238" s="1"/>
      <c r="KPZ238" s="1"/>
      <c r="KQA238" s="1"/>
      <c r="KQB238" s="1"/>
      <c r="KQC238" s="1"/>
      <c r="KQD238" s="1"/>
      <c r="KQE238" s="1"/>
      <c r="KQF238" s="1"/>
      <c r="KQG238" s="1"/>
      <c r="KQH238" s="1"/>
      <c r="KQI238" s="1"/>
      <c r="KQJ238" s="1"/>
      <c r="KQK238" s="1"/>
      <c r="KQL238" s="1"/>
      <c r="KQM238" s="1"/>
      <c r="KQN238" s="1"/>
      <c r="KQO238" s="1"/>
      <c r="KQP238" s="1"/>
      <c r="KQQ238" s="1"/>
      <c r="KQR238" s="1"/>
      <c r="KQS238" s="1"/>
      <c r="KQT238" s="1"/>
      <c r="KQU238" s="1"/>
      <c r="KQV238" s="1"/>
      <c r="KQW238" s="1"/>
      <c r="KQX238" s="1"/>
      <c r="KQY238" s="1"/>
      <c r="KQZ238" s="1"/>
      <c r="KRA238" s="1"/>
      <c r="KRB238" s="1"/>
      <c r="KRC238" s="1"/>
      <c r="KRD238" s="1"/>
      <c r="KRE238" s="1"/>
      <c r="KRF238" s="1"/>
      <c r="KRG238" s="1"/>
      <c r="KRH238" s="1"/>
      <c r="KRI238" s="1"/>
      <c r="KRJ238" s="1"/>
      <c r="KRK238" s="1"/>
      <c r="KRL238" s="1"/>
      <c r="KRM238" s="1"/>
      <c r="KRN238" s="1"/>
      <c r="KRO238" s="1"/>
      <c r="KRP238" s="1"/>
      <c r="KRQ238" s="1"/>
      <c r="KRR238" s="1"/>
      <c r="KRS238" s="1"/>
      <c r="KRT238" s="1"/>
      <c r="KRU238" s="1"/>
      <c r="KRV238" s="1"/>
      <c r="KRW238" s="1"/>
      <c r="KRX238" s="1"/>
      <c r="KRY238" s="1"/>
      <c r="KRZ238" s="1"/>
      <c r="KSA238" s="1"/>
      <c r="KSB238" s="1"/>
      <c r="KSC238" s="1"/>
      <c r="KSD238" s="1"/>
      <c r="KSE238" s="1"/>
      <c r="KSF238" s="1"/>
      <c r="KSG238" s="1"/>
      <c r="KSH238" s="1"/>
      <c r="KSI238" s="1"/>
      <c r="KSJ238" s="1"/>
      <c r="KSK238" s="1"/>
      <c r="KSL238" s="1"/>
      <c r="KSM238" s="1"/>
      <c r="KSN238" s="1"/>
      <c r="KSO238" s="1"/>
      <c r="KSP238" s="1"/>
      <c r="KSQ238" s="1"/>
      <c r="KSR238" s="1"/>
      <c r="KSS238" s="1"/>
      <c r="KST238" s="1"/>
      <c r="KSU238" s="1"/>
      <c r="KSV238" s="1"/>
      <c r="KSW238" s="1"/>
      <c r="KSX238" s="1"/>
      <c r="KSY238" s="1"/>
      <c r="KSZ238" s="1"/>
      <c r="KTA238" s="1"/>
      <c r="KTB238" s="1"/>
      <c r="KTC238" s="1"/>
      <c r="KTD238" s="1"/>
      <c r="KTE238" s="1"/>
      <c r="KTF238" s="1"/>
      <c r="KTG238" s="1"/>
      <c r="KTH238" s="1"/>
      <c r="KTI238" s="1"/>
      <c r="KTJ238" s="1"/>
      <c r="KTK238" s="1"/>
      <c r="KTL238" s="1"/>
      <c r="KTM238" s="1"/>
      <c r="KTN238" s="1"/>
      <c r="KTO238" s="1"/>
      <c r="KTP238" s="1"/>
      <c r="KTQ238" s="1"/>
      <c r="KTR238" s="1"/>
      <c r="KTS238" s="1"/>
      <c r="KTT238" s="1"/>
      <c r="KTU238" s="1"/>
      <c r="KTV238" s="1"/>
      <c r="KTW238" s="1"/>
      <c r="KTX238" s="1"/>
      <c r="KTY238" s="1"/>
      <c r="KTZ238" s="1"/>
      <c r="KUA238" s="1"/>
      <c r="KUB238" s="1"/>
      <c r="KUC238" s="1"/>
      <c r="KUD238" s="1"/>
      <c r="KUE238" s="1"/>
      <c r="KUF238" s="1"/>
      <c r="KUG238" s="1"/>
      <c r="KUH238" s="1"/>
      <c r="KUI238" s="1"/>
      <c r="KUJ238" s="1"/>
      <c r="KUK238" s="1"/>
      <c r="KUL238" s="1"/>
      <c r="KUM238" s="1"/>
      <c r="KUN238" s="1"/>
      <c r="KUO238" s="1"/>
      <c r="KUP238" s="1"/>
      <c r="KUQ238" s="1"/>
      <c r="KUR238" s="1"/>
      <c r="KUS238" s="1"/>
      <c r="KUT238" s="1"/>
      <c r="KUU238" s="1"/>
      <c r="KUV238" s="1"/>
      <c r="KUW238" s="1"/>
      <c r="KUX238" s="1"/>
      <c r="KUY238" s="1"/>
      <c r="KUZ238" s="1"/>
      <c r="KVA238" s="1"/>
      <c r="KVB238" s="1"/>
      <c r="KVC238" s="1"/>
      <c r="KVD238" s="1"/>
      <c r="KVE238" s="1"/>
      <c r="KVF238" s="1"/>
      <c r="KVG238" s="1"/>
      <c r="KVH238" s="1"/>
      <c r="KVI238" s="1"/>
      <c r="KVJ238" s="1"/>
      <c r="KVK238" s="1"/>
      <c r="KVL238" s="1"/>
      <c r="KVM238" s="1"/>
      <c r="KVN238" s="1"/>
      <c r="KVO238" s="1"/>
      <c r="KVP238" s="1"/>
      <c r="KVQ238" s="1"/>
      <c r="KVR238" s="1"/>
      <c r="KVS238" s="1"/>
      <c r="KVT238" s="1"/>
      <c r="KVU238" s="1"/>
      <c r="KVV238" s="1"/>
      <c r="KVW238" s="1"/>
      <c r="KVX238" s="1"/>
      <c r="KVY238" s="1"/>
      <c r="KVZ238" s="1"/>
      <c r="KWA238" s="1"/>
      <c r="KWB238" s="1"/>
      <c r="KWC238" s="1"/>
      <c r="KWD238" s="1"/>
      <c r="KWE238" s="1"/>
      <c r="KWF238" s="1"/>
      <c r="KWG238" s="1"/>
      <c r="KWH238" s="1"/>
      <c r="KWI238" s="1"/>
      <c r="KWJ238" s="1"/>
      <c r="KWK238" s="1"/>
      <c r="KWL238" s="1"/>
      <c r="KWM238" s="1"/>
      <c r="KWN238" s="1"/>
      <c r="KWO238" s="1"/>
      <c r="KWP238" s="1"/>
      <c r="KWQ238" s="1"/>
      <c r="KWR238" s="1"/>
      <c r="KWS238" s="1"/>
      <c r="KWT238" s="1"/>
      <c r="KWU238" s="1"/>
      <c r="KWV238" s="1"/>
      <c r="KWW238" s="1"/>
      <c r="KWX238" s="1"/>
      <c r="KWY238" s="1"/>
      <c r="KWZ238" s="1"/>
      <c r="KXA238" s="1"/>
      <c r="KXB238" s="1"/>
      <c r="KXC238" s="1"/>
      <c r="KXD238" s="1"/>
      <c r="KXE238" s="1"/>
      <c r="KXF238" s="1"/>
      <c r="KXG238" s="1"/>
      <c r="KXH238" s="1"/>
      <c r="KXI238" s="1"/>
      <c r="KXJ238" s="1"/>
      <c r="KXK238" s="1"/>
      <c r="KXL238" s="1"/>
      <c r="KXM238" s="1"/>
      <c r="KXN238" s="1"/>
      <c r="KXO238" s="1"/>
      <c r="KXP238" s="1"/>
      <c r="KXQ238" s="1"/>
      <c r="KXR238" s="1"/>
      <c r="KXS238" s="1"/>
      <c r="KXT238" s="1"/>
      <c r="KXU238" s="1"/>
      <c r="KXV238" s="1"/>
      <c r="KXW238" s="1"/>
      <c r="KXX238" s="1"/>
      <c r="KXY238" s="1"/>
      <c r="KXZ238" s="1"/>
      <c r="KYA238" s="1"/>
      <c r="KYB238" s="1"/>
      <c r="KYC238" s="1"/>
      <c r="KYD238" s="1"/>
      <c r="KYE238" s="1"/>
      <c r="KYF238" s="1"/>
      <c r="KYG238" s="1"/>
      <c r="KYH238" s="1"/>
      <c r="KYI238" s="1"/>
      <c r="KYJ238" s="1"/>
      <c r="KYK238" s="1"/>
      <c r="KYL238" s="1"/>
      <c r="KYM238" s="1"/>
      <c r="KYN238" s="1"/>
      <c r="KYO238" s="1"/>
      <c r="KYP238" s="1"/>
      <c r="KYQ238" s="1"/>
      <c r="KYR238" s="1"/>
      <c r="KYS238" s="1"/>
      <c r="KYT238" s="1"/>
      <c r="KYU238" s="1"/>
      <c r="KYV238" s="1"/>
      <c r="KYW238" s="1"/>
      <c r="KYX238" s="1"/>
      <c r="KYY238" s="1"/>
      <c r="KYZ238" s="1"/>
      <c r="KZA238" s="1"/>
      <c r="KZB238" s="1"/>
      <c r="KZC238" s="1"/>
      <c r="KZD238" s="1"/>
      <c r="KZE238" s="1"/>
      <c r="KZF238" s="1"/>
      <c r="KZG238" s="1"/>
      <c r="KZH238" s="1"/>
      <c r="KZI238" s="1"/>
      <c r="KZJ238" s="1"/>
      <c r="KZK238" s="1"/>
      <c r="KZL238" s="1"/>
      <c r="KZM238" s="1"/>
      <c r="KZN238" s="1"/>
      <c r="KZO238" s="1"/>
      <c r="KZP238" s="1"/>
      <c r="KZQ238" s="1"/>
      <c r="KZR238" s="1"/>
      <c r="KZS238" s="1"/>
      <c r="KZT238" s="1"/>
      <c r="KZU238" s="1"/>
      <c r="KZV238" s="1"/>
      <c r="KZW238" s="1"/>
      <c r="KZX238" s="1"/>
      <c r="KZY238" s="1"/>
      <c r="KZZ238" s="1"/>
      <c r="LAA238" s="1"/>
      <c r="LAB238" s="1"/>
      <c r="LAC238" s="1"/>
      <c r="LAD238" s="1"/>
      <c r="LAE238" s="1"/>
      <c r="LAF238" s="1"/>
      <c r="LAG238" s="1"/>
      <c r="LAH238" s="1"/>
      <c r="LAI238" s="1"/>
      <c r="LAJ238" s="1"/>
      <c r="LAK238" s="1"/>
      <c r="LAL238" s="1"/>
      <c r="LAM238" s="1"/>
      <c r="LAN238" s="1"/>
      <c r="LAO238" s="1"/>
      <c r="LAP238" s="1"/>
      <c r="LAQ238" s="1"/>
      <c r="LAR238" s="1"/>
      <c r="LAS238" s="1"/>
      <c r="LAT238" s="1"/>
      <c r="LAU238" s="1"/>
      <c r="LAV238" s="1"/>
      <c r="LAW238" s="1"/>
      <c r="LAX238" s="1"/>
      <c r="LAY238" s="1"/>
      <c r="LAZ238" s="1"/>
      <c r="LBA238" s="1"/>
      <c r="LBB238" s="1"/>
      <c r="LBC238" s="1"/>
      <c r="LBD238" s="1"/>
      <c r="LBE238" s="1"/>
      <c r="LBF238" s="1"/>
      <c r="LBG238" s="1"/>
      <c r="LBH238" s="1"/>
      <c r="LBI238" s="1"/>
      <c r="LBJ238" s="1"/>
      <c r="LBK238" s="1"/>
      <c r="LBL238" s="1"/>
      <c r="LBM238" s="1"/>
      <c r="LBN238" s="1"/>
      <c r="LBO238" s="1"/>
      <c r="LBP238" s="1"/>
      <c r="LBQ238" s="1"/>
      <c r="LBR238" s="1"/>
      <c r="LBS238" s="1"/>
      <c r="LBT238" s="1"/>
      <c r="LBU238" s="1"/>
      <c r="LBV238" s="1"/>
      <c r="LBW238" s="1"/>
      <c r="LBX238" s="1"/>
      <c r="LBY238" s="1"/>
      <c r="LBZ238" s="1"/>
      <c r="LCA238" s="1"/>
      <c r="LCB238" s="1"/>
      <c r="LCC238" s="1"/>
      <c r="LCD238" s="1"/>
      <c r="LCE238" s="1"/>
      <c r="LCF238" s="1"/>
      <c r="LCG238" s="1"/>
      <c r="LCH238" s="1"/>
      <c r="LCI238" s="1"/>
      <c r="LCJ238" s="1"/>
      <c r="LCK238" s="1"/>
      <c r="LCL238" s="1"/>
      <c r="LCM238" s="1"/>
      <c r="LCN238" s="1"/>
      <c r="LCO238" s="1"/>
      <c r="LCP238" s="1"/>
      <c r="LCQ238" s="1"/>
      <c r="LCR238" s="1"/>
      <c r="LCS238" s="1"/>
      <c r="LCT238" s="1"/>
      <c r="LCU238" s="1"/>
      <c r="LCV238" s="1"/>
      <c r="LCW238" s="1"/>
      <c r="LCX238" s="1"/>
      <c r="LCY238" s="1"/>
      <c r="LCZ238" s="1"/>
      <c r="LDA238" s="1"/>
      <c r="LDB238" s="1"/>
      <c r="LDC238" s="1"/>
      <c r="LDD238" s="1"/>
      <c r="LDE238" s="1"/>
      <c r="LDF238" s="1"/>
      <c r="LDG238" s="1"/>
      <c r="LDH238" s="1"/>
      <c r="LDI238" s="1"/>
      <c r="LDJ238" s="1"/>
      <c r="LDK238" s="1"/>
      <c r="LDL238" s="1"/>
      <c r="LDM238" s="1"/>
      <c r="LDN238" s="1"/>
      <c r="LDO238" s="1"/>
      <c r="LDP238" s="1"/>
      <c r="LDQ238" s="1"/>
      <c r="LDR238" s="1"/>
      <c r="LDS238" s="1"/>
      <c r="LDT238" s="1"/>
      <c r="LDU238" s="1"/>
      <c r="LDV238" s="1"/>
      <c r="LDW238" s="1"/>
      <c r="LDX238" s="1"/>
      <c r="LDY238" s="1"/>
      <c r="LDZ238" s="1"/>
      <c r="LEA238" s="1"/>
      <c r="LEB238" s="1"/>
      <c r="LEC238" s="1"/>
      <c r="LED238" s="1"/>
      <c r="LEE238" s="1"/>
      <c r="LEF238" s="1"/>
      <c r="LEG238" s="1"/>
      <c r="LEH238" s="1"/>
      <c r="LEI238" s="1"/>
      <c r="LEJ238" s="1"/>
      <c r="LEK238" s="1"/>
      <c r="LEL238" s="1"/>
      <c r="LEM238" s="1"/>
      <c r="LEN238" s="1"/>
      <c r="LEO238" s="1"/>
      <c r="LEP238" s="1"/>
      <c r="LEQ238" s="1"/>
      <c r="LER238" s="1"/>
      <c r="LES238" s="1"/>
      <c r="LET238" s="1"/>
      <c r="LEU238" s="1"/>
      <c r="LEV238" s="1"/>
      <c r="LEW238" s="1"/>
      <c r="LEX238" s="1"/>
      <c r="LEY238" s="1"/>
      <c r="LEZ238" s="1"/>
      <c r="LFA238" s="1"/>
      <c r="LFB238" s="1"/>
      <c r="LFC238" s="1"/>
      <c r="LFD238" s="1"/>
      <c r="LFE238" s="1"/>
      <c r="LFF238" s="1"/>
      <c r="LFG238" s="1"/>
      <c r="LFH238" s="1"/>
      <c r="LFI238" s="1"/>
      <c r="LFJ238" s="1"/>
      <c r="LFK238" s="1"/>
      <c r="LFL238" s="1"/>
      <c r="LFM238" s="1"/>
      <c r="LFN238" s="1"/>
      <c r="LFO238" s="1"/>
      <c r="LFP238" s="1"/>
      <c r="LFQ238" s="1"/>
      <c r="LFR238" s="1"/>
      <c r="LFS238" s="1"/>
      <c r="LFT238" s="1"/>
      <c r="LFU238" s="1"/>
      <c r="LFV238" s="1"/>
      <c r="LFW238" s="1"/>
      <c r="LFX238" s="1"/>
      <c r="LFY238" s="1"/>
      <c r="LFZ238" s="1"/>
      <c r="LGA238" s="1"/>
      <c r="LGB238" s="1"/>
      <c r="LGC238" s="1"/>
      <c r="LGD238" s="1"/>
      <c r="LGE238" s="1"/>
      <c r="LGF238" s="1"/>
      <c r="LGG238" s="1"/>
      <c r="LGH238" s="1"/>
      <c r="LGI238" s="1"/>
      <c r="LGJ238" s="1"/>
      <c r="LGK238" s="1"/>
      <c r="LGL238" s="1"/>
      <c r="LGM238" s="1"/>
      <c r="LGN238" s="1"/>
      <c r="LGO238" s="1"/>
      <c r="LGP238" s="1"/>
      <c r="LGQ238" s="1"/>
      <c r="LGR238" s="1"/>
      <c r="LGS238" s="1"/>
      <c r="LGT238" s="1"/>
      <c r="LGU238" s="1"/>
      <c r="LGV238" s="1"/>
      <c r="LGW238" s="1"/>
      <c r="LGX238" s="1"/>
      <c r="LGY238" s="1"/>
      <c r="LGZ238" s="1"/>
      <c r="LHA238" s="1"/>
      <c r="LHB238" s="1"/>
      <c r="LHC238" s="1"/>
      <c r="LHD238" s="1"/>
      <c r="LHE238" s="1"/>
      <c r="LHF238" s="1"/>
      <c r="LHG238" s="1"/>
      <c r="LHH238" s="1"/>
      <c r="LHI238" s="1"/>
      <c r="LHJ238" s="1"/>
      <c r="LHK238" s="1"/>
      <c r="LHL238" s="1"/>
      <c r="LHM238" s="1"/>
      <c r="LHN238" s="1"/>
      <c r="LHO238" s="1"/>
      <c r="LHP238" s="1"/>
      <c r="LHQ238" s="1"/>
      <c r="LHR238" s="1"/>
      <c r="LHS238" s="1"/>
      <c r="LHT238" s="1"/>
      <c r="LHU238" s="1"/>
      <c r="LHV238" s="1"/>
      <c r="LHW238" s="1"/>
      <c r="LHX238" s="1"/>
      <c r="LHY238" s="1"/>
      <c r="LHZ238" s="1"/>
      <c r="LIA238" s="1"/>
      <c r="LIB238" s="1"/>
      <c r="LIC238" s="1"/>
      <c r="LID238" s="1"/>
      <c r="LIE238" s="1"/>
      <c r="LIF238" s="1"/>
      <c r="LIG238" s="1"/>
      <c r="LIH238" s="1"/>
      <c r="LII238" s="1"/>
      <c r="LIJ238" s="1"/>
      <c r="LIK238" s="1"/>
      <c r="LIL238" s="1"/>
      <c r="LIM238" s="1"/>
      <c r="LIN238" s="1"/>
      <c r="LIO238" s="1"/>
      <c r="LIP238" s="1"/>
      <c r="LIQ238" s="1"/>
      <c r="LIR238" s="1"/>
      <c r="LIS238" s="1"/>
      <c r="LIT238" s="1"/>
      <c r="LIU238" s="1"/>
      <c r="LIV238" s="1"/>
      <c r="LIW238" s="1"/>
      <c r="LIX238" s="1"/>
      <c r="LIY238" s="1"/>
      <c r="LIZ238" s="1"/>
      <c r="LJA238" s="1"/>
      <c r="LJB238" s="1"/>
      <c r="LJC238" s="1"/>
      <c r="LJD238" s="1"/>
      <c r="LJE238" s="1"/>
      <c r="LJF238" s="1"/>
      <c r="LJG238" s="1"/>
      <c r="LJH238" s="1"/>
      <c r="LJI238" s="1"/>
      <c r="LJJ238" s="1"/>
      <c r="LJK238" s="1"/>
      <c r="LJL238" s="1"/>
      <c r="LJM238" s="1"/>
      <c r="LJN238" s="1"/>
      <c r="LJO238" s="1"/>
      <c r="LJP238" s="1"/>
      <c r="LJQ238" s="1"/>
      <c r="LJR238" s="1"/>
      <c r="LJS238" s="1"/>
      <c r="LJT238" s="1"/>
      <c r="LJU238" s="1"/>
      <c r="LJV238" s="1"/>
      <c r="LJW238" s="1"/>
      <c r="LJX238" s="1"/>
      <c r="LJY238" s="1"/>
      <c r="LJZ238" s="1"/>
      <c r="LKA238" s="1"/>
      <c r="LKB238" s="1"/>
      <c r="LKC238" s="1"/>
      <c r="LKD238" s="1"/>
      <c r="LKE238" s="1"/>
      <c r="LKF238" s="1"/>
      <c r="LKG238" s="1"/>
      <c r="LKH238" s="1"/>
      <c r="LKI238" s="1"/>
      <c r="LKJ238" s="1"/>
      <c r="LKK238" s="1"/>
      <c r="LKL238" s="1"/>
      <c r="LKM238" s="1"/>
      <c r="LKN238" s="1"/>
      <c r="LKO238" s="1"/>
      <c r="LKP238" s="1"/>
      <c r="LKQ238" s="1"/>
      <c r="LKR238" s="1"/>
      <c r="LKS238" s="1"/>
      <c r="LKT238" s="1"/>
      <c r="LKU238" s="1"/>
      <c r="LKV238" s="1"/>
      <c r="LKW238" s="1"/>
      <c r="LKX238" s="1"/>
      <c r="LKY238" s="1"/>
      <c r="LKZ238" s="1"/>
      <c r="LLA238" s="1"/>
      <c r="LLB238" s="1"/>
      <c r="LLC238" s="1"/>
      <c r="LLD238" s="1"/>
      <c r="LLE238" s="1"/>
      <c r="LLF238" s="1"/>
      <c r="LLG238" s="1"/>
      <c r="LLH238" s="1"/>
      <c r="LLI238" s="1"/>
      <c r="LLJ238" s="1"/>
      <c r="LLK238" s="1"/>
      <c r="LLL238" s="1"/>
      <c r="LLM238" s="1"/>
      <c r="LLN238" s="1"/>
      <c r="LLO238" s="1"/>
      <c r="LLP238" s="1"/>
      <c r="LLQ238" s="1"/>
      <c r="LLR238" s="1"/>
      <c r="LLS238" s="1"/>
      <c r="LLT238" s="1"/>
      <c r="LLU238" s="1"/>
      <c r="LLV238" s="1"/>
      <c r="LLW238" s="1"/>
      <c r="LLX238" s="1"/>
      <c r="LLY238" s="1"/>
      <c r="LLZ238" s="1"/>
      <c r="LMA238" s="1"/>
      <c r="LMB238" s="1"/>
      <c r="LMC238" s="1"/>
      <c r="LMD238" s="1"/>
      <c r="LME238" s="1"/>
      <c r="LMF238" s="1"/>
      <c r="LMG238" s="1"/>
      <c r="LMH238" s="1"/>
      <c r="LMI238" s="1"/>
      <c r="LMJ238" s="1"/>
      <c r="LMK238" s="1"/>
      <c r="LML238" s="1"/>
      <c r="LMM238" s="1"/>
      <c r="LMN238" s="1"/>
      <c r="LMO238" s="1"/>
      <c r="LMP238" s="1"/>
      <c r="LMQ238" s="1"/>
      <c r="LMR238" s="1"/>
      <c r="LMS238" s="1"/>
      <c r="LMT238" s="1"/>
      <c r="LMU238" s="1"/>
      <c r="LMV238" s="1"/>
      <c r="LMW238" s="1"/>
      <c r="LMX238" s="1"/>
      <c r="LMY238" s="1"/>
      <c r="LMZ238" s="1"/>
      <c r="LNA238" s="1"/>
      <c r="LNB238" s="1"/>
      <c r="LNC238" s="1"/>
      <c r="LND238" s="1"/>
      <c r="LNE238" s="1"/>
      <c r="LNF238" s="1"/>
      <c r="LNG238" s="1"/>
      <c r="LNH238" s="1"/>
      <c r="LNI238" s="1"/>
      <c r="LNJ238" s="1"/>
      <c r="LNK238" s="1"/>
      <c r="LNL238" s="1"/>
      <c r="LNM238" s="1"/>
      <c r="LNN238" s="1"/>
      <c r="LNO238" s="1"/>
      <c r="LNP238" s="1"/>
      <c r="LNQ238" s="1"/>
      <c r="LNR238" s="1"/>
      <c r="LNS238" s="1"/>
      <c r="LNT238" s="1"/>
      <c r="LNU238" s="1"/>
      <c r="LNV238" s="1"/>
      <c r="LNW238" s="1"/>
      <c r="LNX238" s="1"/>
      <c r="LNY238" s="1"/>
      <c r="LNZ238" s="1"/>
      <c r="LOA238" s="1"/>
      <c r="LOB238" s="1"/>
      <c r="LOC238" s="1"/>
      <c r="LOD238" s="1"/>
      <c r="LOE238" s="1"/>
      <c r="LOF238" s="1"/>
      <c r="LOG238" s="1"/>
      <c r="LOH238" s="1"/>
      <c r="LOI238" s="1"/>
      <c r="LOJ238" s="1"/>
      <c r="LOK238" s="1"/>
      <c r="LOL238" s="1"/>
      <c r="LOM238" s="1"/>
      <c r="LON238" s="1"/>
      <c r="LOO238" s="1"/>
      <c r="LOP238" s="1"/>
      <c r="LOQ238" s="1"/>
      <c r="LOR238" s="1"/>
      <c r="LOS238" s="1"/>
      <c r="LOT238" s="1"/>
      <c r="LOU238" s="1"/>
      <c r="LOV238" s="1"/>
      <c r="LOW238" s="1"/>
      <c r="LOX238" s="1"/>
      <c r="LOY238" s="1"/>
      <c r="LOZ238" s="1"/>
      <c r="LPA238" s="1"/>
      <c r="LPB238" s="1"/>
      <c r="LPC238" s="1"/>
      <c r="LPD238" s="1"/>
      <c r="LPE238" s="1"/>
      <c r="LPF238" s="1"/>
      <c r="LPG238" s="1"/>
      <c r="LPH238" s="1"/>
      <c r="LPI238" s="1"/>
      <c r="LPJ238" s="1"/>
      <c r="LPK238" s="1"/>
      <c r="LPL238" s="1"/>
      <c r="LPM238" s="1"/>
      <c r="LPN238" s="1"/>
      <c r="LPO238" s="1"/>
      <c r="LPP238" s="1"/>
      <c r="LPQ238" s="1"/>
      <c r="LPR238" s="1"/>
      <c r="LPS238" s="1"/>
      <c r="LPT238" s="1"/>
      <c r="LPU238" s="1"/>
      <c r="LPV238" s="1"/>
      <c r="LPW238" s="1"/>
      <c r="LPX238" s="1"/>
      <c r="LPY238" s="1"/>
      <c r="LPZ238" s="1"/>
      <c r="LQA238" s="1"/>
      <c r="LQB238" s="1"/>
      <c r="LQC238" s="1"/>
      <c r="LQD238" s="1"/>
      <c r="LQE238" s="1"/>
      <c r="LQF238" s="1"/>
      <c r="LQG238" s="1"/>
      <c r="LQH238" s="1"/>
      <c r="LQI238" s="1"/>
      <c r="LQJ238" s="1"/>
      <c r="LQK238" s="1"/>
      <c r="LQL238" s="1"/>
      <c r="LQM238" s="1"/>
      <c r="LQN238" s="1"/>
      <c r="LQO238" s="1"/>
      <c r="LQP238" s="1"/>
      <c r="LQQ238" s="1"/>
      <c r="LQR238" s="1"/>
      <c r="LQS238" s="1"/>
      <c r="LQT238" s="1"/>
      <c r="LQU238" s="1"/>
      <c r="LQV238" s="1"/>
      <c r="LQW238" s="1"/>
      <c r="LQX238" s="1"/>
      <c r="LQY238" s="1"/>
      <c r="LQZ238" s="1"/>
      <c r="LRA238" s="1"/>
      <c r="LRB238" s="1"/>
      <c r="LRC238" s="1"/>
      <c r="LRD238" s="1"/>
      <c r="LRE238" s="1"/>
      <c r="LRF238" s="1"/>
      <c r="LRG238" s="1"/>
      <c r="LRH238" s="1"/>
      <c r="LRI238" s="1"/>
      <c r="LRJ238" s="1"/>
      <c r="LRK238" s="1"/>
      <c r="LRL238" s="1"/>
      <c r="LRM238" s="1"/>
      <c r="LRN238" s="1"/>
      <c r="LRO238" s="1"/>
      <c r="LRP238" s="1"/>
      <c r="LRQ238" s="1"/>
      <c r="LRR238" s="1"/>
      <c r="LRS238" s="1"/>
      <c r="LRT238" s="1"/>
      <c r="LRU238" s="1"/>
      <c r="LRV238" s="1"/>
      <c r="LRW238" s="1"/>
      <c r="LRX238" s="1"/>
      <c r="LRY238" s="1"/>
      <c r="LRZ238" s="1"/>
      <c r="LSA238" s="1"/>
      <c r="LSB238" s="1"/>
      <c r="LSC238" s="1"/>
      <c r="LSD238" s="1"/>
      <c r="LSE238" s="1"/>
      <c r="LSF238" s="1"/>
      <c r="LSG238" s="1"/>
      <c r="LSH238" s="1"/>
      <c r="LSI238" s="1"/>
      <c r="LSJ238" s="1"/>
      <c r="LSK238" s="1"/>
      <c r="LSL238" s="1"/>
      <c r="LSM238" s="1"/>
      <c r="LSN238" s="1"/>
      <c r="LSO238" s="1"/>
      <c r="LSP238" s="1"/>
      <c r="LSQ238" s="1"/>
      <c r="LSR238" s="1"/>
      <c r="LSS238" s="1"/>
      <c r="LST238" s="1"/>
      <c r="LSU238" s="1"/>
      <c r="LSV238" s="1"/>
      <c r="LSW238" s="1"/>
      <c r="LSX238" s="1"/>
      <c r="LSY238" s="1"/>
      <c r="LSZ238" s="1"/>
      <c r="LTA238" s="1"/>
      <c r="LTB238" s="1"/>
      <c r="LTC238" s="1"/>
      <c r="LTD238" s="1"/>
      <c r="LTE238" s="1"/>
      <c r="LTF238" s="1"/>
      <c r="LTG238" s="1"/>
      <c r="LTH238" s="1"/>
      <c r="LTI238" s="1"/>
      <c r="LTJ238" s="1"/>
      <c r="LTK238" s="1"/>
      <c r="LTL238" s="1"/>
      <c r="LTM238" s="1"/>
      <c r="LTN238" s="1"/>
      <c r="LTO238" s="1"/>
      <c r="LTP238" s="1"/>
      <c r="LTQ238" s="1"/>
      <c r="LTR238" s="1"/>
      <c r="LTS238" s="1"/>
      <c r="LTT238" s="1"/>
      <c r="LTU238" s="1"/>
      <c r="LTV238" s="1"/>
      <c r="LTW238" s="1"/>
      <c r="LTX238" s="1"/>
      <c r="LTY238" s="1"/>
      <c r="LTZ238" s="1"/>
      <c r="LUA238" s="1"/>
      <c r="LUB238" s="1"/>
      <c r="LUC238" s="1"/>
      <c r="LUD238" s="1"/>
      <c r="LUE238" s="1"/>
      <c r="LUF238" s="1"/>
      <c r="LUG238" s="1"/>
      <c r="LUH238" s="1"/>
      <c r="LUI238" s="1"/>
      <c r="LUJ238" s="1"/>
      <c r="LUK238" s="1"/>
      <c r="LUL238" s="1"/>
      <c r="LUM238" s="1"/>
      <c r="LUN238" s="1"/>
      <c r="LUO238" s="1"/>
      <c r="LUP238" s="1"/>
      <c r="LUQ238" s="1"/>
      <c r="LUR238" s="1"/>
      <c r="LUS238" s="1"/>
      <c r="LUT238" s="1"/>
      <c r="LUU238" s="1"/>
      <c r="LUV238" s="1"/>
      <c r="LUW238" s="1"/>
      <c r="LUX238" s="1"/>
      <c r="LUY238" s="1"/>
      <c r="LUZ238" s="1"/>
      <c r="LVA238" s="1"/>
      <c r="LVB238" s="1"/>
      <c r="LVC238" s="1"/>
      <c r="LVD238" s="1"/>
      <c r="LVE238" s="1"/>
      <c r="LVF238" s="1"/>
      <c r="LVG238" s="1"/>
      <c r="LVH238" s="1"/>
      <c r="LVI238" s="1"/>
      <c r="LVJ238" s="1"/>
      <c r="LVK238" s="1"/>
      <c r="LVL238" s="1"/>
      <c r="LVM238" s="1"/>
      <c r="LVN238" s="1"/>
      <c r="LVO238" s="1"/>
      <c r="LVP238" s="1"/>
      <c r="LVQ238" s="1"/>
      <c r="LVR238" s="1"/>
      <c r="LVS238" s="1"/>
      <c r="LVT238" s="1"/>
      <c r="LVU238" s="1"/>
      <c r="LVV238" s="1"/>
      <c r="LVW238" s="1"/>
      <c r="LVX238" s="1"/>
      <c r="LVY238" s="1"/>
      <c r="LVZ238" s="1"/>
      <c r="LWA238" s="1"/>
      <c r="LWB238" s="1"/>
      <c r="LWC238" s="1"/>
      <c r="LWD238" s="1"/>
      <c r="LWE238" s="1"/>
      <c r="LWF238" s="1"/>
      <c r="LWG238" s="1"/>
      <c r="LWH238" s="1"/>
      <c r="LWI238" s="1"/>
      <c r="LWJ238" s="1"/>
      <c r="LWK238" s="1"/>
      <c r="LWL238" s="1"/>
      <c r="LWM238" s="1"/>
      <c r="LWN238" s="1"/>
      <c r="LWO238" s="1"/>
      <c r="LWP238" s="1"/>
      <c r="LWQ238" s="1"/>
      <c r="LWR238" s="1"/>
      <c r="LWS238" s="1"/>
      <c r="LWT238" s="1"/>
      <c r="LWU238" s="1"/>
      <c r="LWV238" s="1"/>
      <c r="LWW238" s="1"/>
      <c r="LWX238" s="1"/>
      <c r="LWY238" s="1"/>
      <c r="LWZ238" s="1"/>
      <c r="LXA238" s="1"/>
      <c r="LXB238" s="1"/>
      <c r="LXC238" s="1"/>
      <c r="LXD238" s="1"/>
      <c r="LXE238" s="1"/>
      <c r="LXF238" s="1"/>
      <c r="LXG238" s="1"/>
      <c r="LXH238" s="1"/>
      <c r="LXI238" s="1"/>
      <c r="LXJ238" s="1"/>
      <c r="LXK238" s="1"/>
      <c r="LXL238" s="1"/>
      <c r="LXM238" s="1"/>
      <c r="LXN238" s="1"/>
      <c r="LXO238" s="1"/>
      <c r="LXP238" s="1"/>
      <c r="LXQ238" s="1"/>
      <c r="LXR238" s="1"/>
      <c r="LXS238" s="1"/>
      <c r="LXT238" s="1"/>
      <c r="LXU238" s="1"/>
      <c r="LXV238" s="1"/>
      <c r="LXW238" s="1"/>
      <c r="LXX238" s="1"/>
      <c r="LXY238" s="1"/>
      <c r="LXZ238" s="1"/>
      <c r="LYA238" s="1"/>
      <c r="LYB238" s="1"/>
      <c r="LYC238" s="1"/>
      <c r="LYD238" s="1"/>
      <c r="LYE238" s="1"/>
      <c r="LYF238" s="1"/>
      <c r="LYG238" s="1"/>
      <c r="LYH238" s="1"/>
      <c r="LYI238" s="1"/>
      <c r="LYJ238" s="1"/>
      <c r="LYK238" s="1"/>
      <c r="LYL238" s="1"/>
      <c r="LYM238" s="1"/>
      <c r="LYN238" s="1"/>
      <c r="LYO238" s="1"/>
      <c r="LYP238" s="1"/>
      <c r="LYQ238" s="1"/>
      <c r="LYR238" s="1"/>
      <c r="LYS238" s="1"/>
      <c r="LYT238" s="1"/>
      <c r="LYU238" s="1"/>
      <c r="LYV238" s="1"/>
      <c r="LYW238" s="1"/>
      <c r="LYX238" s="1"/>
      <c r="LYY238" s="1"/>
      <c r="LYZ238" s="1"/>
      <c r="LZA238" s="1"/>
      <c r="LZB238" s="1"/>
      <c r="LZC238" s="1"/>
      <c r="LZD238" s="1"/>
      <c r="LZE238" s="1"/>
      <c r="LZF238" s="1"/>
      <c r="LZG238" s="1"/>
      <c r="LZH238" s="1"/>
      <c r="LZI238" s="1"/>
      <c r="LZJ238" s="1"/>
      <c r="LZK238" s="1"/>
      <c r="LZL238" s="1"/>
      <c r="LZM238" s="1"/>
      <c r="LZN238" s="1"/>
      <c r="LZO238" s="1"/>
      <c r="LZP238" s="1"/>
      <c r="LZQ238" s="1"/>
      <c r="LZR238" s="1"/>
      <c r="LZS238" s="1"/>
      <c r="LZT238" s="1"/>
      <c r="LZU238" s="1"/>
      <c r="LZV238" s="1"/>
      <c r="LZW238" s="1"/>
      <c r="LZX238" s="1"/>
      <c r="LZY238" s="1"/>
      <c r="LZZ238" s="1"/>
      <c r="MAA238" s="1"/>
      <c r="MAB238" s="1"/>
      <c r="MAC238" s="1"/>
      <c r="MAD238" s="1"/>
      <c r="MAE238" s="1"/>
      <c r="MAF238" s="1"/>
      <c r="MAG238" s="1"/>
      <c r="MAH238" s="1"/>
      <c r="MAI238" s="1"/>
      <c r="MAJ238" s="1"/>
      <c r="MAK238" s="1"/>
      <c r="MAL238" s="1"/>
      <c r="MAM238" s="1"/>
      <c r="MAN238" s="1"/>
      <c r="MAO238" s="1"/>
      <c r="MAP238" s="1"/>
      <c r="MAQ238" s="1"/>
      <c r="MAR238" s="1"/>
      <c r="MAS238" s="1"/>
      <c r="MAT238" s="1"/>
      <c r="MAU238" s="1"/>
      <c r="MAV238" s="1"/>
      <c r="MAW238" s="1"/>
      <c r="MAX238" s="1"/>
      <c r="MAY238" s="1"/>
      <c r="MAZ238" s="1"/>
      <c r="MBA238" s="1"/>
      <c r="MBB238" s="1"/>
      <c r="MBC238" s="1"/>
      <c r="MBD238" s="1"/>
      <c r="MBE238" s="1"/>
      <c r="MBF238" s="1"/>
      <c r="MBG238" s="1"/>
      <c r="MBH238" s="1"/>
      <c r="MBI238" s="1"/>
      <c r="MBJ238" s="1"/>
      <c r="MBK238" s="1"/>
      <c r="MBL238" s="1"/>
      <c r="MBM238" s="1"/>
      <c r="MBN238" s="1"/>
      <c r="MBO238" s="1"/>
      <c r="MBP238" s="1"/>
      <c r="MBQ238" s="1"/>
      <c r="MBR238" s="1"/>
      <c r="MBS238" s="1"/>
      <c r="MBT238" s="1"/>
      <c r="MBU238" s="1"/>
      <c r="MBV238" s="1"/>
      <c r="MBW238" s="1"/>
      <c r="MBX238" s="1"/>
      <c r="MBY238" s="1"/>
      <c r="MBZ238" s="1"/>
      <c r="MCA238" s="1"/>
      <c r="MCB238" s="1"/>
      <c r="MCC238" s="1"/>
      <c r="MCD238" s="1"/>
      <c r="MCE238" s="1"/>
      <c r="MCF238" s="1"/>
      <c r="MCG238" s="1"/>
      <c r="MCH238" s="1"/>
      <c r="MCI238" s="1"/>
      <c r="MCJ238" s="1"/>
      <c r="MCK238" s="1"/>
      <c r="MCL238" s="1"/>
      <c r="MCM238" s="1"/>
      <c r="MCN238" s="1"/>
      <c r="MCO238" s="1"/>
      <c r="MCP238" s="1"/>
      <c r="MCQ238" s="1"/>
      <c r="MCR238" s="1"/>
      <c r="MCS238" s="1"/>
      <c r="MCT238" s="1"/>
      <c r="MCU238" s="1"/>
      <c r="MCV238" s="1"/>
      <c r="MCW238" s="1"/>
      <c r="MCX238" s="1"/>
      <c r="MCY238" s="1"/>
      <c r="MCZ238" s="1"/>
      <c r="MDA238" s="1"/>
      <c r="MDB238" s="1"/>
      <c r="MDC238" s="1"/>
      <c r="MDD238" s="1"/>
      <c r="MDE238" s="1"/>
      <c r="MDF238" s="1"/>
      <c r="MDG238" s="1"/>
      <c r="MDH238" s="1"/>
      <c r="MDI238" s="1"/>
      <c r="MDJ238" s="1"/>
      <c r="MDK238" s="1"/>
      <c r="MDL238" s="1"/>
      <c r="MDM238" s="1"/>
      <c r="MDN238" s="1"/>
      <c r="MDO238" s="1"/>
      <c r="MDP238" s="1"/>
      <c r="MDQ238" s="1"/>
      <c r="MDR238" s="1"/>
      <c r="MDS238" s="1"/>
      <c r="MDT238" s="1"/>
      <c r="MDU238" s="1"/>
      <c r="MDV238" s="1"/>
      <c r="MDW238" s="1"/>
      <c r="MDX238" s="1"/>
      <c r="MDY238" s="1"/>
      <c r="MDZ238" s="1"/>
      <c r="MEA238" s="1"/>
      <c r="MEB238" s="1"/>
      <c r="MEC238" s="1"/>
      <c r="MED238" s="1"/>
      <c r="MEE238" s="1"/>
      <c r="MEF238" s="1"/>
      <c r="MEG238" s="1"/>
      <c r="MEH238" s="1"/>
      <c r="MEI238" s="1"/>
      <c r="MEJ238" s="1"/>
      <c r="MEK238" s="1"/>
      <c r="MEL238" s="1"/>
      <c r="MEM238" s="1"/>
      <c r="MEN238" s="1"/>
      <c r="MEO238" s="1"/>
      <c r="MEP238" s="1"/>
      <c r="MEQ238" s="1"/>
      <c r="MER238" s="1"/>
      <c r="MES238" s="1"/>
      <c r="MET238" s="1"/>
      <c r="MEU238" s="1"/>
      <c r="MEV238" s="1"/>
      <c r="MEW238" s="1"/>
      <c r="MEX238" s="1"/>
      <c r="MEY238" s="1"/>
      <c r="MEZ238" s="1"/>
      <c r="MFA238" s="1"/>
      <c r="MFB238" s="1"/>
      <c r="MFC238" s="1"/>
      <c r="MFD238" s="1"/>
      <c r="MFE238" s="1"/>
      <c r="MFF238" s="1"/>
      <c r="MFG238" s="1"/>
      <c r="MFH238" s="1"/>
      <c r="MFI238" s="1"/>
      <c r="MFJ238" s="1"/>
      <c r="MFK238" s="1"/>
      <c r="MFL238" s="1"/>
      <c r="MFM238" s="1"/>
      <c r="MFN238" s="1"/>
      <c r="MFO238" s="1"/>
      <c r="MFP238" s="1"/>
      <c r="MFQ238" s="1"/>
      <c r="MFR238" s="1"/>
      <c r="MFS238" s="1"/>
      <c r="MFT238" s="1"/>
      <c r="MFU238" s="1"/>
      <c r="MFV238" s="1"/>
      <c r="MFW238" s="1"/>
      <c r="MFX238" s="1"/>
      <c r="MFY238" s="1"/>
      <c r="MFZ238" s="1"/>
      <c r="MGA238" s="1"/>
      <c r="MGB238" s="1"/>
      <c r="MGC238" s="1"/>
      <c r="MGD238" s="1"/>
      <c r="MGE238" s="1"/>
      <c r="MGF238" s="1"/>
      <c r="MGG238" s="1"/>
      <c r="MGH238" s="1"/>
      <c r="MGI238" s="1"/>
      <c r="MGJ238" s="1"/>
      <c r="MGK238" s="1"/>
      <c r="MGL238" s="1"/>
      <c r="MGM238" s="1"/>
      <c r="MGN238" s="1"/>
      <c r="MGO238" s="1"/>
      <c r="MGP238" s="1"/>
      <c r="MGQ238" s="1"/>
      <c r="MGR238" s="1"/>
      <c r="MGS238" s="1"/>
      <c r="MGT238" s="1"/>
      <c r="MGU238" s="1"/>
      <c r="MGV238" s="1"/>
      <c r="MGW238" s="1"/>
      <c r="MGX238" s="1"/>
      <c r="MGY238" s="1"/>
      <c r="MGZ238" s="1"/>
      <c r="MHA238" s="1"/>
      <c r="MHB238" s="1"/>
      <c r="MHC238" s="1"/>
      <c r="MHD238" s="1"/>
      <c r="MHE238" s="1"/>
      <c r="MHF238" s="1"/>
      <c r="MHG238" s="1"/>
      <c r="MHH238" s="1"/>
      <c r="MHI238" s="1"/>
      <c r="MHJ238" s="1"/>
      <c r="MHK238" s="1"/>
      <c r="MHL238" s="1"/>
      <c r="MHM238" s="1"/>
      <c r="MHN238" s="1"/>
      <c r="MHO238" s="1"/>
      <c r="MHP238" s="1"/>
      <c r="MHQ238" s="1"/>
      <c r="MHR238" s="1"/>
      <c r="MHS238" s="1"/>
      <c r="MHT238" s="1"/>
      <c r="MHU238" s="1"/>
      <c r="MHV238" s="1"/>
      <c r="MHW238" s="1"/>
      <c r="MHX238" s="1"/>
      <c r="MHY238" s="1"/>
      <c r="MHZ238" s="1"/>
      <c r="MIA238" s="1"/>
      <c r="MIB238" s="1"/>
      <c r="MIC238" s="1"/>
      <c r="MID238" s="1"/>
      <c r="MIE238" s="1"/>
      <c r="MIF238" s="1"/>
      <c r="MIG238" s="1"/>
      <c r="MIH238" s="1"/>
      <c r="MII238" s="1"/>
      <c r="MIJ238" s="1"/>
      <c r="MIK238" s="1"/>
      <c r="MIL238" s="1"/>
      <c r="MIM238" s="1"/>
      <c r="MIN238" s="1"/>
      <c r="MIO238" s="1"/>
      <c r="MIP238" s="1"/>
      <c r="MIQ238" s="1"/>
      <c r="MIR238" s="1"/>
      <c r="MIS238" s="1"/>
      <c r="MIT238" s="1"/>
      <c r="MIU238" s="1"/>
      <c r="MIV238" s="1"/>
      <c r="MIW238" s="1"/>
      <c r="MIX238" s="1"/>
      <c r="MIY238" s="1"/>
      <c r="MIZ238" s="1"/>
      <c r="MJA238" s="1"/>
      <c r="MJB238" s="1"/>
      <c r="MJC238" s="1"/>
      <c r="MJD238" s="1"/>
      <c r="MJE238" s="1"/>
      <c r="MJF238" s="1"/>
      <c r="MJG238" s="1"/>
      <c r="MJH238" s="1"/>
      <c r="MJI238" s="1"/>
      <c r="MJJ238" s="1"/>
      <c r="MJK238" s="1"/>
      <c r="MJL238" s="1"/>
      <c r="MJM238" s="1"/>
      <c r="MJN238" s="1"/>
      <c r="MJO238" s="1"/>
      <c r="MJP238" s="1"/>
      <c r="MJQ238" s="1"/>
      <c r="MJR238" s="1"/>
      <c r="MJS238" s="1"/>
      <c r="MJT238" s="1"/>
      <c r="MJU238" s="1"/>
      <c r="MJV238" s="1"/>
      <c r="MJW238" s="1"/>
      <c r="MJX238" s="1"/>
      <c r="MJY238" s="1"/>
      <c r="MJZ238" s="1"/>
      <c r="MKA238" s="1"/>
      <c r="MKB238" s="1"/>
      <c r="MKC238" s="1"/>
      <c r="MKD238" s="1"/>
      <c r="MKE238" s="1"/>
      <c r="MKF238" s="1"/>
      <c r="MKG238" s="1"/>
      <c r="MKH238" s="1"/>
      <c r="MKI238" s="1"/>
      <c r="MKJ238" s="1"/>
      <c r="MKK238" s="1"/>
      <c r="MKL238" s="1"/>
      <c r="MKM238" s="1"/>
      <c r="MKN238" s="1"/>
      <c r="MKO238" s="1"/>
      <c r="MKP238" s="1"/>
      <c r="MKQ238" s="1"/>
      <c r="MKR238" s="1"/>
      <c r="MKS238" s="1"/>
      <c r="MKT238" s="1"/>
      <c r="MKU238" s="1"/>
      <c r="MKV238" s="1"/>
      <c r="MKW238" s="1"/>
      <c r="MKX238" s="1"/>
      <c r="MKY238" s="1"/>
      <c r="MKZ238" s="1"/>
      <c r="MLA238" s="1"/>
      <c r="MLB238" s="1"/>
      <c r="MLC238" s="1"/>
      <c r="MLD238" s="1"/>
      <c r="MLE238" s="1"/>
      <c r="MLF238" s="1"/>
      <c r="MLG238" s="1"/>
      <c r="MLH238" s="1"/>
      <c r="MLI238" s="1"/>
      <c r="MLJ238" s="1"/>
      <c r="MLK238" s="1"/>
      <c r="MLL238" s="1"/>
      <c r="MLM238" s="1"/>
      <c r="MLN238" s="1"/>
      <c r="MLO238" s="1"/>
      <c r="MLP238" s="1"/>
      <c r="MLQ238" s="1"/>
      <c r="MLR238" s="1"/>
      <c r="MLS238" s="1"/>
      <c r="MLT238" s="1"/>
      <c r="MLU238" s="1"/>
      <c r="MLV238" s="1"/>
      <c r="MLW238" s="1"/>
      <c r="MLX238" s="1"/>
      <c r="MLY238" s="1"/>
      <c r="MLZ238" s="1"/>
      <c r="MMA238" s="1"/>
      <c r="MMB238" s="1"/>
      <c r="MMC238" s="1"/>
      <c r="MMD238" s="1"/>
      <c r="MME238" s="1"/>
      <c r="MMF238" s="1"/>
      <c r="MMG238" s="1"/>
      <c r="MMH238" s="1"/>
      <c r="MMI238" s="1"/>
      <c r="MMJ238" s="1"/>
      <c r="MMK238" s="1"/>
      <c r="MML238" s="1"/>
      <c r="MMM238" s="1"/>
      <c r="MMN238" s="1"/>
      <c r="MMO238" s="1"/>
      <c r="MMP238" s="1"/>
      <c r="MMQ238" s="1"/>
      <c r="MMR238" s="1"/>
      <c r="MMS238" s="1"/>
      <c r="MMT238" s="1"/>
      <c r="MMU238" s="1"/>
      <c r="MMV238" s="1"/>
      <c r="MMW238" s="1"/>
      <c r="MMX238" s="1"/>
      <c r="MMY238" s="1"/>
      <c r="MMZ238" s="1"/>
      <c r="MNA238" s="1"/>
      <c r="MNB238" s="1"/>
      <c r="MNC238" s="1"/>
      <c r="MND238" s="1"/>
      <c r="MNE238" s="1"/>
      <c r="MNF238" s="1"/>
      <c r="MNG238" s="1"/>
      <c r="MNH238" s="1"/>
      <c r="MNI238" s="1"/>
      <c r="MNJ238" s="1"/>
      <c r="MNK238" s="1"/>
      <c r="MNL238" s="1"/>
      <c r="MNM238" s="1"/>
      <c r="MNN238" s="1"/>
      <c r="MNO238" s="1"/>
      <c r="MNP238" s="1"/>
      <c r="MNQ238" s="1"/>
      <c r="MNR238" s="1"/>
      <c r="MNS238" s="1"/>
      <c r="MNT238" s="1"/>
      <c r="MNU238" s="1"/>
      <c r="MNV238" s="1"/>
      <c r="MNW238" s="1"/>
      <c r="MNX238" s="1"/>
      <c r="MNY238" s="1"/>
      <c r="MNZ238" s="1"/>
      <c r="MOA238" s="1"/>
      <c r="MOB238" s="1"/>
      <c r="MOC238" s="1"/>
      <c r="MOD238" s="1"/>
      <c r="MOE238" s="1"/>
      <c r="MOF238" s="1"/>
      <c r="MOG238" s="1"/>
      <c r="MOH238" s="1"/>
      <c r="MOI238" s="1"/>
      <c r="MOJ238" s="1"/>
      <c r="MOK238" s="1"/>
      <c r="MOL238" s="1"/>
      <c r="MOM238" s="1"/>
      <c r="MON238" s="1"/>
      <c r="MOO238" s="1"/>
      <c r="MOP238" s="1"/>
      <c r="MOQ238" s="1"/>
      <c r="MOR238" s="1"/>
      <c r="MOS238" s="1"/>
      <c r="MOT238" s="1"/>
      <c r="MOU238" s="1"/>
      <c r="MOV238" s="1"/>
      <c r="MOW238" s="1"/>
      <c r="MOX238" s="1"/>
      <c r="MOY238" s="1"/>
      <c r="MOZ238" s="1"/>
      <c r="MPA238" s="1"/>
      <c r="MPB238" s="1"/>
      <c r="MPC238" s="1"/>
      <c r="MPD238" s="1"/>
      <c r="MPE238" s="1"/>
      <c r="MPF238" s="1"/>
      <c r="MPG238" s="1"/>
      <c r="MPH238" s="1"/>
      <c r="MPI238" s="1"/>
      <c r="MPJ238" s="1"/>
      <c r="MPK238" s="1"/>
      <c r="MPL238" s="1"/>
      <c r="MPM238" s="1"/>
      <c r="MPN238" s="1"/>
      <c r="MPO238" s="1"/>
      <c r="MPP238" s="1"/>
      <c r="MPQ238" s="1"/>
      <c r="MPR238" s="1"/>
      <c r="MPS238" s="1"/>
      <c r="MPT238" s="1"/>
      <c r="MPU238" s="1"/>
      <c r="MPV238" s="1"/>
      <c r="MPW238" s="1"/>
      <c r="MPX238" s="1"/>
      <c r="MPY238" s="1"/>
      <c r="MPZ238" s="1"/>
      <c r="MQA238" s="1"/>
      <c r="MQB238" s="1"/>
      <c r="MQC238" s="1"/>
      <c r="MQD238" s="1"/>
      <c r="MQE238" s="1"/>
      <c r="MQF238" s="1"/>
      <c r="MQG238" s="1"/>
      <c r="MQH238" s="1"/>
      <c r="MQI238" s="1"/>
      <c r="MQJ238" s="1"/>
      <c r="MQK238" s="1"/>
      <c r="MQL238" s="1"/>
      <c r="MQM238" s="1"/>
      <c r="MQN238" s="1"/>
      <c r="MQO238" s="1"/>
      <c r="MQP238" s="1"/>
      <c r="MQQ238" s="1"/>
      <c r="MQR238" s="1"/>
      <c r="MQS238" s="1"/>
      <c r="MQT238" s="1"/>
      <c r="MQU238" s="1"/>
      <c r="MQV238" s="1"/>
      <c r="MQW238" s="1"/>
      <c r="MQX238" s="1"/>
      <c r="MQY238" s="1"/>
      <c r="MQZ238" s="1"/>
      <c r="MRA238" s="1"/>
      <c r="MRB238" s="1"/>
      <c r="MRC238" s="1"/>
      <c r="MRD238" s="1"/>
      <c r="MRE238" s="1"/>
      <c r="MRF238" s="1"/>
      <c r="MRG238" s="1"/>
      <c r="MRH238" s="1"/>
      <c r="MRI238" s="1"/>
      <c r="MRJ238" s="1"/>
      <c r="MRK238" s="1"/>
      <c r="MRL238" s="1"/>
      <c r="MRM238" s="1"/>
      <c r="MRN238" s="1"/>
      <c r="MRO238" s="1"/>
      <c r="MRP238" s="1"/>
      <c r="MRQ238" s="1"/>
      <c r="MRR238" s="1"/>
      <c r="MRS238" s="1"/>
      <c r="MRT238" s="1"/>
      <c r="MRU238" s="1"/>
      <c r="MRV238" s="1"/>
      <c r="MRW238" s="1"/>
      <c r="MRX238" s="1"/>
      <c r="MRY238" s="1"/>
      <c r="MRZ238" s="1"/>
      <c r="MSA238" s="1"/>
      <c r="MSB238" s="1"/>
      <c r="MSC238" s="1"/>
      <c r="MSD238" s="1"/>
      <c r="MSE238" s="1"/>
      <c r="MSF238" s="1"/>
      <c r="MSG238" s="1"/>
      <c r="MSH238" s="1"/>
      <c r="MSI238" s="1"/>
      <c r="MSJ238" s="1"/>
      <c r="MSK238" s="1"/>
      <c r="MSL238" s="1"/>
      <c r="MSM238" s="1"/>
      <c r="MSN238" s="1"/>
      <c r="MSO238" s="1"/>
      <c r="MSP238" s="1"/>
      <c r="MSQ238" s="1"/>
      <c r="MSR238" s="1"/>
      <c r="MSS238" s="1"/>
      <c r="MST238" s="1"/>
      <c r="MSU238" s="1"/>
      <c r="MSV238" s="1"/>
      <c r="MSW238" s="1"/>
      <c r="MSX238" s="1"/>
      <c r="MSY238" s="1"/>
      <c r="MSZ238" s="1"/>
      <c r="MTA238" s="1"/>
      <c r="MTB238" s="1"/>
      <c r="MTC238" s="1"/>
      <c r="MTD238" s="1"/>
      <c r="MTE238" s="1"/>
      <c r="MTF238" s="1"/>
      <c r="MTG238" s="1"/>
      <c r="MTH238" s="1"/>
      <c r="MTI238" s="1"/>
      <c r="MTJ238" s="1"/>
      <c r="MTK238" s="1"/>
      <c r="MTL238" s="1"/>
      <c r="MTM238" s="1"/>
      <c r="MTN238" s="1"/>
      <c r="MTO238" s="1"/>
      <c r="MTP238" s="1"/>
      <c r="MTQ238" s="1"/>
      <c r="MTR238" s="1"/>
      <c r="MTS238" s="1"/>
      <c r="MTT238" s="1"/>
      <c r="MTU238" s="1"/>
      <c r="MTV238" s="1"/>
      <c r="MTW238" s="1"/>
      <c r="MTX238" s="1"/>
      <c r="MTY238" s="1"/>
      <c r="MTZ238" s="1"/>
      <c r="MUA238" s="1"/>
      <c r="MUB238" s="1"/>
      <c r="MUC238" s="1"/>
      <c r="MUD238" s="1"/>
      <c r="MUE238" s="1"/>
      <c r="MUF238" s="1"/>
      <c r="MUG238" s="1"/>
      <c r="MUH238" s="1"/>
      <c r="MUI238" s="1"/>
      <c r="MUJ238" s="1"/>
      <c r="MUK238" s="1"/>
      <c r="MUL238" s="1"/>
      <c r="MUM238" s="1"/>
      <c r="MUN238" s="1"/>
      <c r="MUO238" s="1"/>
      <c r="MUP238" s="1"/>
      <c r="MUQ238" s="1"/>
      <c r="MUR238" s="1"/>
      <c r="MUS238" s="1"/>
      <c r="MUT238" s="1"/>
      <c r="MUU238" s="1"/>
      <c r="MUV238" s="1"/>
      <c r="MUW238" s="1"/>
      <c r="MUX238" s="1"/>
      <c r="MUY238" s="1"/>
      <c r="MUZ238" s="1"/>
      <c r="MVA238" s="1"/>
      <c r="MVB238" s="1"/>
      <c r="MVC238" s="1"/>
      <c r="MVD238" s="1"/>
      <c r="MVE238" s="1"/>
      <c r="MVF238" s="1"/>
      <c r="MVG238" s="1"/>
      <c r="MVH238" s="1"/>
      <c r="MVI238" s="1"/>
      <c r="MVJ238" s="1"/>
      <c r="MVK238" s="1"/>
      <c r="MVL238" s="1"/>
      <c r="MVM238" s="1"/>
      <c r="MVN238" s="1"/>
      <c r="MVO238" s="1"/>
      <c r="MVP238" s="1"/>
      <c r="MVQ238" s="1"/>
      <c r="MVR238" s="1"/>
      <c r="MVS238" s="1"/>
      <c r="MVT238" s="1"/>
      <c r="MVU238" s="1"/>
      <c r="MVV238" s="1"/>
      <c r="MVW238" s="1"/>
      <c r="MVX238" s="1"/>
      <c r="MVY238" s="1"/>
      <c r="MVZ238" s="1"/>
      <c r="MWA238" s="1"/>
      <c r="MWB238" s="1"/>
      <c r="MWC238" s="1"/>
      <c r="MWD238" s="1"/>
      <c r="MWE238" s="1"/>
      <c r="MWF238" s="1"/>
      <c r="MWG238" s="1"/>
      <c r="MWH238" s="1"/>
      <c r="MWI238" s="1"/>
      <c r="MWJ238" s="1"/>
      <c r="MWK238" s="1"/>
      <c r="MWL238" s="1"/>
      <c r="MWM238" s="1"/>
      <c r="MWN238" s="1"/>
      <c r="MWO238" s="1"/>
      <c r="MWP238" s="1"/>
      <c r="MWQ238" s="1"/>
      <c r="MWR238" s="1"/>
      <c r="MWS238" s="1"/>
      <c r="MWT238" s="1"/>
      <c r="MWU238" s="1"/>
      <c r="MWV238" s="1"/>
      <c r="MWW238" s="1"/>
      <c r="MWX238" s="1"/>
      <c r="MWY238" s="1"/>
      <c r="MWZ238" s="1"/>
      <c r="MXA238" s="1"/>
      <c r="MXB238" s="1"/>
      <c r="MXC238" s="1"/>
      <c r="MXD238" s="1"/>
      <c r="MXE238" s="1"/>
      <c r="MXF238" s="1"/>
      <c r="MXG238" s="1"/>
      <c r="MXH238" s="1"/>
      <c r="MXI238" s="1"/>
      <c r="MXJ238" s="1"/>
      <c r="MXK238" s="1"/>
      <c r="MXL238" s="1"/>
      <c r="MXM238" s="1"/>
      <c r="MXN238" s="1"/>
      <c r="MXO238" s="1"/>
      <c r="MXP238" s="1"/>
      <c r="MXQ238" s="1"/>
      <c r="MXR238" s="1"/>
      <c r="MXS238" s="1"/>
      <c r="MXT238" s="1"/>
      <c r="MXU238" s="1"/>
      <c r="MXV238" s="1"/>
      <c r="MXW238" s="1"/>
      <c r="MXX238" s="1"/>
      <c r="MXY238" s="1"/>
      <c r="MXZ238" s="1"/>
      <c r="MYA238" s="1"/>
      <c r="MYB238" s="1"/>
      <c r="MYC238" s="1"/>
      <c r="MYD238" s="1"/>
      <c r="MYE238" s="1"/>
      <c r="MYF238" s="1"/>
      <c r="MYG238" s="1"/>
      <c r="MYH238" s="1"/>
      <c r="MYI238" s="1"/>
      <c r="MYJ238" s="1"/>
      <c r="MYK238" s="1"/>
      <c r="MYL238" s="1"/>
      <c r="MYM238" s="1"/>
      <c r="MYN238" s="1"/>
      <c r="MYO238" s="1"/>
      <c r="MYP238" s="1"/>
      <c r="MYQ238" s="1"/>
      <c r="MYR238" s="1"/>
      <c r="MYS238" s="1"/>
      <c r="MYT238" s="1"/>
      <c r="MYU238" s="1"/>
      <c r="MYV238" s="1"/>
      <c r="MYW238" s="1"/>
      <c r="MYX238" s="1"/>
      <c r="MYY238" s="1"/>
      <c r="MYZ238" s="1"/>
      <c r="MZA238" s="1"/>
      <c r="MZB238" s="1"/>
      <c r="MZC238" s="1"/>
      <c r="MZD238" s="1"/>
      <c r="MZE238" s="1"/>
      <c r="MZF238" s="1"/>
      <c r="MZG238" s="1"/>
      <c r="MZH238" s="1"/>
      <c r="MZI238" s="1"/>
      <c r="MZJ238" s="1"/>
      <c r="MZK238" s="1"/>
      <c r="MZL238" s="1"/>
      <c r="MZM238" s="1"/>
      <c r="MZN238" s="1"/>
      <c r="MZO238" s="1"/>
      <c r="MZP238" s="1"/>
      <c r="MZQ238" s="1"/>
      <c r="MZR238" s="1"/>
      <c r="MZS238" s="1"/>
      <c r="MZT238" s="1"/>
      <c r="MZU238" s="1"/>
      <c r="MZV238" s="1"/>
      <c r="MZW238" s="1"/>
      <c r="MZX238" s="1"/>
      <c r="MZY238" s="1"/>
      <c r="MZZ238" s="1"/>
      <c r="NAA238" s="1"/>
      <c r="NAB238" s="1"/>
      <c r="NAC238" s="1"/>
      <c r="NAD238" s="1"/>
      <c r="NAE238" s="1"/>
      <c r="NAF238" s="1"/>
      <c r="NAG238" s="1"/>
      <c r="NAH238" s="1"/>
      <c r="NAI238" s="1"/>
      <c r="NAJ238" s="1"/>
      <c r="NAK238" s="1"/>
      <c r="NAL238" s="1"/>
      <c r="NAM238" s="1"/>
      <c r="NAN238" s="1"/>
      <c r="NAO238" s="1"/>
      <c r="NAP238" s="1"/>
      <c r="NAQ238" s="1"/>
      <c r="NAR238" s="1"/>
      <c r="NAS238" s="1"/>
      <c r="NAT238" s="1"/>
      <c r="NAU238" s="1"/>
      <c r="NAV238" s="1"/>
      <c r="NAW238" s="1"/>
      <c r="NAX238" s="1"/>
      <c r="NAY238" s="1"/>
      <c r="NAZ238" s="1"/>
      <c r="NBA238" s="1"/>
      <c r="NBB238" s="1"/>
      <c r="NBC238" s="1"/>
      <c r="NBD238" s="1"/>
      <c r="NBE238" s="1"/>
      <c r="NBF238" s="1"/>
      <c r="NBG238" s="1"/>
      <c r="NBH238" s="1"/>
      <c r="NBI238" s="1"/>
      <c r="NBJ238" s="1"/>
      <c r="NBK238" s="1"/>
      <c r="NBL238" s="1"/>
      <c r="NBM238" s="1"/>
      <c r="NBN238" s="1"/>
      <c r="NBO238" s="1"/>
      <c r="NBP238" s="1"/>
      <c r="NBQ238" s="1"/>
      <c r="NBR238" s="1"/>
      <c r="NBS238" s="1"/>
      <c r="NBT238" s="1"/>
      <c r="NBU238" s="1"/>
      <c r="NBV238" s="1"/>
      <c r="NBW238" s="1"/>
      <c r="NBX238" s="1"/>
      <c r="NBY238" s="1"/>
      <c r="NBZ238" s="1"/>
      <c r="NCA238" s="1"/>
      <c r="NCB238" s="1"/>
      <c r="NCC238" s="1"/>
      <c r="NCD238" s="1"/>
      <c r="NCE238" s="1"/>
      <c r="NCF238" s="1"/>
      <c r="NCG238" s="1"/>
      <c r="NCH238" s="1"/>
      <c r="NCI238" s="1"/>
      <c r="NCJ238" s="1"/>
      <c r="NCK238" s="1"/>
      <c r="NCL238" s="1"/>
      <c r="NCM238" s="1"/>
      <c r="NCN238" s="1"/>
      <c r="NCO238" s="1"/>
      <c r="NCP238" s="1"/>
      <c r="NCQ238" s="1"/>
      <c r="NCR238" s="1"/>
      <c r="NCS238" s="1"/>
      <c r="NCT238" s="1"/>
      <c r="NCU238" s="1"/>
      <c r="NCV238" s="1"/>
      <c r="NCW238" s="1"/>
      <c r="NCX238" s="1"/>
      <c r="NCY238" s="1"/>
      <c r="NCZ238" s="1"/>
      <c r="NDA238" s="1"/>
      <c r="NDB238" s="1"/>
      <c r="NDC238" s="1"/>
      <c r="NDD238" s="1"/>
      <c r="NDE238" s="1"/>
      <c r="NDF238" s="1"/>
      <c r="NDG238" s="1"/>
      <c r="NDH238" s="1"/>
      <c r="NDI238" s="1"/>
      <c r="NDJ238" s="1"/>
      <c r="NDK238" s="1"/>
      <c r="NDL238" s="1"/>
      <c r="NDM238" s="1"/>
      <c r="NDN238" s="1"/>
      <c r="NDO238" s="1"/>
      <c r="NDP238" s="1"/>
      <c r="NDQ238" s="1"/>
      <c r="NDR238" s="1"/>
      <c r="NDS238" s="1"/>
      <c r="NDT238" s="1"/>
      <c r="NDU238" s="1"/>
      <c r="NDV238" s="1"/>
      <c r="NDW238" s="1"/>
      <c r="NDX238" s="1"/>
      <c r="NDY238" s="1"/>
      <c r="NDZ238" s="1"/>
      <c r="NEA238" s="1"/>
      <c r="NEB238" s="1"/>
      <c r="NEC238" s="1"/>
      <c r="NED238" s="1"/>
      <c r="NEE238" s="1"/>
      <c r="NEF238" s="1"/>
      <c r="NEG238" s="1"/>
      <c r="NEH238" s="1"/>
      <c r="NEI238" s="1"/>
      <c r="NEJ238" s="1"/>
      <c r="NEK238" s="1"/>
      <c r="NEL238" s="1"/>
      <c r="NEM238" s="1"/>
      <c r="NEN238" s="1"/>
      <c r="NEO238" s="1"/>
      <c r="NEP238" s="1"/>
      <c r="NEQ238" s="1"/>
      <c r="NER238" s="1"/>
      <c r="NES238" s="1"/>
      <c r="NET238" s="1"/>
      <c r="NEU238" s="1"/>
      <c r="NEV238" s="1"/>
      <c r="NEW238" s="1"/>
      <c r="NEX238" s="1"/>
      <c r="NEY238" s="1"/>
      <c r="NEZ238" s="1"/>
      <c r="NFA238" s="1"/>
      <c r="NFB238" s="1"/>
      <c r="NFC238" s="1"/>
      <c r="NFD238" s="1"/>
      <c r="NFE238" s="1"/>
      <c r="NFF238" s="1"/>
      <c r="NFG238" s="1"/>
      <c r="NFH238" s="1"/>
      <c r="NFI238" s="1"/>
      <c r="NFJ238" s="1"/>
      <c r="NFK238" s="1"/>
      <c r="NFL238" s="1"/>
      <c r="NFM238" s="1"/>
      <c r="NFN238" s="1"/>
      <c r="NFO238" s="1"/>
      <c r="NFP238" s="1"/>
      <c r="NFQ238" s="1"/>
      <c r="NFR238" s="1"/>
      <c r="NFS238" s="1"/>
      <c r="NFT238" s="1"/>
      <c r="NFU238" s="1"/>
      <c r="NFV238" s="1"/>
      <c r="NFW238" s="1"/>
      <c r="NFX238" s="1"/>
      <c r="NFY238" s="1"/>
      <c r="NFZ238" s="1"/>
      <c r="NGA238" s="1"/>
      <c r="NGB238" s="1"/>
      <c r="NGC238" s="1"/>
      <c r="NGD238" s="1"/>
      <c r="NGE238" s="1"/>
      <c r="NGF238" s="1"/>
      <c r="NGG238" s="1"/>
      <c r="NGH238" s="1"/>
      <c r="NGI238" s="1"/>
      <c r="NGJ238" s="1"/>
      <c r="NGK238" s="1"/>
      <c r="NGL238" s="1"/>
      <c r="NGM238" s="1"/>
      <c r="NGN238" s="1"/>
      <c r="NGO238" s="1"/>
      <c r="NGP238" s="1"/>
      <c r="NGQ238" s="1"/>
      <c r="NGR238" s="1"/>
      <c r="NGS238" s="1"/>
      <c r="NGT238" s="1"/>
      <c r="NGU238" s="1"/>
      <c r="NGV238" s="1"/>
      <c r="NGW238" s="1"/>
      <c r="NGX238" s="1"/>
      <c r="NGY238" s="1"/>
      <c r="NGZ238" s="1"/>
      <c r="NHA238" s="1"/>
      <c r="NHB238" s="1"/>
      <c r="NHC238" s="1"/>
      <c r="NHD238" s="1"/>
      <c r="NHE238" s="1"/>
      <c r="NHF238" s="1"/>
      <c r="NHG238" s="1"/>
      <c r="NHH238" s="1"/>
      <c r="NHI238" s="1"/>
      <c r="NHJ238" s="1"/>
      <c r="NHK238" s="1"/>
      <c r="NHL238" s="1"/>
      <c r="NHM238" s="1"/>
      <c r="NHN238" s="1"/>
      <c r="NHO238" s="1"/>
      <c r="NHP238" s="1"/>
      <c r="NHQ238" s="1"/>
      <c r="NHR238" s="1"/>
      <c r="NHS238" s="1"/>
      <c r="NHT238" s="1"/>
      <c r="NHU238" s="1"/>
      <c r="NHV238" s="1"/>
      <c r="NHW238" s="1"/>
      <c r="NHX238" s="1"/>
      <c r="NHY238" s="1"/>
      <c r="NHZ238" s="1"/>
      <c r="NIA238" s="1"/>
      <c r="NIB238" s="1"/>
      <c r="NIC238" s="1"/>
      <c r="NID238" s="1"/>
      <c r="NIE238" s="1"/>
      <c r="NIF238" s="1"/>
      <c r="NIG238" s="1"/>
      <c r="NIH238" s="1"/>
      <c r="NII238" s="1"/>
      <c r="NIJ238" s="1"/>
      <c r="NIK238" s="1"/>
      <c r="NIL238" s="1"/>
      <c r="NIM238" s="1"/>
      <c r="NIN238" s="1"/>
      <c r="NIO238" s="1"/>
      <c r="NIP238" s="1"/>
      <c r="NIQ238" s="1"/>
      <c r="NIR238" s="1"/>
      <c r="NIS238" s="1"/>
      <c r="NIT238" s="1"/>
      <c r="NIU238" s="1"/>
      <c r="NIV238" s="1"/>
      <c r="NIW238" s="1"/>
      <c r="NIX238" s="1"/>
      <c r="NIY238" s="1"/>
      <c r="NIZ238" s="1"/>
      <c r="NJA238" s="1"/>
      <c r="NJB238" s="1"/>
      <c r="NJC238" s="1"/>
      <c r="NJD238" s="1"/>
      <c r="NJE238" s="1"/>
      <c r="NJF238" s="1"/>
      <c r="NJG238" s="1"/>
      <c r="NJH238" s="1"/>
      <c r="NJI238" s="1"/>
      <c r="NJJ238" s="1"/>
      <c r="NJK238" s="1"/>
      <c r="NJL238" s="1"/>
      <c r="NJM238" s="1"/>
      <c r="NJN238" s="1"/>
      <c r="NJO238" s="1"/>
      <c r="NJP238" s="1"/>
      <c r="NJQ238" s="1"/>
      <c r="NJR238" s="1"/>
      <c r="NJS238" s="1"/>
      <c r="NJT238" s="1"/>
      <c r="NJU238" s="1"/>
      <c r="NJV238" s="1"/>
      <c r="NJW238" s="1"/>
      <c r="NJX238" s="1"/>
      <c r="NJY238" s="1"/>
      <c r="NJZ238" s="1"/>
      <c r="NKA238" s="1"/>
      <c r="NKB238" s="1"/>
      <c r="NKC238" s="1"/>
      <c r="NKD238" s="1"/>
      <c r="NKE238" s="1"/>
      <c r="NKF238" s="1"/>
      <c r="NKG238" s="1"/>
      <c r="NKH238" s="1"/>
      <c r="NKI238" s="1"/>
      <c r="NKJ238" s="1"/>
      <c r="NKK238" s="1"/>
      <c r="NKL238" s="1"/>
      <c r="NKM238" s="1"/>
      <c r="NKN238" s="1"/>
      <c r="NKO238" s="1"/>
      <c r="NKP238" s="1"/>
      <c r="NKQ238" s="1"/>
      <c r="NKR238" s="1"/>
      <c r="NKS238" s="1"/>
      <c r="NKT238" s="1"/>
      <c r="NKU238" s="1"/>
      <c r="NKV238" s="1"/>
      <c r="NKW238" s="1"/>
      <c r="NKX238" s="1"/>
      <c r="NKY238" s="1"/>
      <c r="NKZ238" s="1"/>
      <c r="NLA238" s="1"/>
      <c r="NLB238" s="1"/>
      <c r="NLC238" s="1"/>
      <c r="NLD238" s="1"/>
      <c r="NLE238" s="1"/>
      <c r="NLF238" s="1"/>
      <c r="NLG238" s="1"/>
      <c r="NLH238" s="1"/>
      <c r="NLI238" s="1"/>
      <c r="NLJ238" s="1"/>
      <c r="NLK238" s="1"/>
      <c r="NLL238" s="1"/>
      <c r="NLM238" s="1"/>
      <c r="NLN238" s="1"/>
      <c r="NLO238" s="1"/>
      <c r="NLP238" s="1"/>
      <c r="NLQ238" s="1"/>
      <c r="NLR238" s="1"/>
      <c r="NLS238" s="1"/>
      <c r="NLT238" s="1"/>
      <c r="NLU238" s="1"/>
      <c r="NLV238" s="1"/>
      <c r="NLW238" s="1"/>
      <c r="NLX238" s="1"/>
      <c r="NLY238" s="1"/>
      <c r="NLZ238" s="1"/>
      <c r="NMA238" s="1"/>
      <c r="NMB238" s="1"/>
      <c r="NMC238" s="1"/>
      <c r="NMD238" s="1"/>
      <c r="NME238" s="1"/>
      <c r="NMF238" s="1"/>
      <c r="NMG238" s="1"/>
      <c r="NMH238" s="1"/>
      <c r="NMI238" s="1"/>
      <c r="NMJ238" s="1"/>
      <c r="NMK238" s="1"/>
      <c r="NML238" s="1"/>
      <c r="NMM238" s="1"/>
      <c r="NMN238" s="1"/>
      <c r="NMO238" s="1"/>
      <c r="NMP238" s="1"/>
      <c r="NMQ238" s="1"/>
      <c r="NMR238" s="1"/>
      <c r="NMS238" s="1"/>
      <c r="NMT238" s="1"/>
      <c r="NMU238" s="1"/>
      <c r="NMV238" s="1"/>
      <c r="NMW238" s="1"/>
      <c r="NMX238" s="1"/>
      <c r="NMY238" s="1"/>
      <c r="NMZ238" s="1"/>
      <c r="NNA238" s="1"/>
      <c r="NNB238" s="1"/>
      <c r="NNC238" s="1"/>
      <c r="NND238" s="1"/>
      <c r="NNE238" s="1"/>
      <c r="NNF238" s="1"/>
      <c r="NNG238" s="1"/>
      <c r="NNH238" s="1"/>
      <c r="NNI238" s="1"/>
      <c r="NNJ238" s="1"/>
      <c r="NNK238" s="1"/>
      <c r="NNL238" s="1"/>
      <c r="NNM238" s="1"/>
      <c r="NNN238" s="1"/>
      <c r="NNO238" s="1"/>
      <c r="NNP238" s="1"/>
      <c r="NNQ238" s="1"/>
      <c r="NNR238" s="1"/>
      <c r="NNS238" s="1"/>
      <c r="NNT238" s="1"/>
      <c r="NNU238" s="1"/>
      <c r="NNV238" s="1"/>
      <c r="NNW238" s="1"/>
      <c r="NNX238" s="1"/>
      <c r="NNY238" s="1"/>
      <c r="NNZ238" s="1"/>
      <c r="NOA238" s="1"/>
      <c r="NOB238" s="1"/>
      <c r="NOC238" s="1"/>
      <c r="NOD238" s="1"/>
      <c r="NOE238" s="1"/>
      <c r="NOF238" s="1"/>
      <c r="NOG238" s="1"/>
      <c r="NOH238" s="1"/>
      <c r="NOI238" s="1"/>
      <c r="NOJ238" s="1"/>
      <c r="NOK238" s="1"/>
      <c r="NOL238" s="1"/>
      <c r="NOM238" s="1"/>
      <c r="NON238" s="1"/>
      <c r="NOO238" s="1"/>
      <c r="NOP238" s="1"/>
      <c r="NOQ238" s="1"/>
      <c r="NOR238" s="1"/>
      <c r="NOS238" s="1"/>
      <c r="NOT238" s="1"/>
      <c r="NOU238" s="1"/>
      <c r="NOV238" s="1"/>
      <c r="NOW238" s="1"/>
      <c r="NOX238" s="1"/>
      <c r="NOY238" s="1"/>
      <c r="NOZ238" s="1"/>
      <c r="NPA238" s="1"/>
      <c r="NPB238" s="1"/>
      <c r="NPC238" s="1"/>
      <c r="NPD238" s="1"/>
      <c r="NPE238" s="1"/>
      <c r="NPF238" s="1"/>
      <c r="NPG238" s="1"/>
      <c r="NPH238" s="1"/>
      <c r="NPI238" s="1"/>
      <c r="NPJ238" s="1"/>
      <c r="NPK238" s="1"/>
      <c r="NPL238" s="1"/>
      <c r="NPM238" s="1"/>
      <c r="NPN238" s="1"/>
      <c r="NPO238" s="1"/>
      <c r="NPP238" s="1"/>
      <c r="NPQ238" s="1"/>
      <c r="NPR238" s="1"/>
      <c r="NPS238" s="1"/>
      <c r="NPT238" s="1"/>
      <c r="NPU238" s="1"/>
      <c r="NPV238" s="1"/>
      <c r="NPW238" s="1"/>
      <c r="NPX238" s="1"/>
      <c r="NPY238" s="1"/>
      <c r="NPZ238" s="1"/>
      <c r="NQA238" s="1"/>
      <c r="NQB238" s="1"/>
      <c r="NQC238" s="1"/>
      <c r="NQD238" s="1"/>
      <c r="NQE238" s="1"/>
      <c r="NQF238" s="1"/>
      <c r="NQG238" s="1"/>
      <c r="NQH238" s="1"/>
      <c r="NQI238" s="1"/>
      <c r="NQJ238" s="1"/>
      <c r="NQK238" s="1"/>
      <c r="NQL238" s="1"/>
      <c r="NQM238" s="1"/>
      <c r="NQN238" s="1"/>
      <c r="NQO238" s="1"/>
      <c r="NQP238" s="1"/>
      <c r="NQQ238" s="1"/>
      <c r="NQR238" s="1"/>
      <c r="NQS238" s="1"/>
      <c r="NQT238" s="1"/>
      <c r="NQU238" s="1"/>
      <c r="NQV238" s="1"/>
      <c r="NQW238" s="1"/>
      <c r="NQX238" s="1"/>
      <c r="NQY238" s="1"/>
      <c r="NQZ238" s="1"/>
      <c r="NRA238" s="1"/>
      <c r="NRB238" s="1"/>
      <c r="NRC238" s="1"/>
      <c r="NRD238" s="1"/>
      <c r="NRE238" s="1"/>
      <c r="NRF238" s="1"/>
      <c r="NRG238" s="1"/>
      <c r="NRH238" s="1"/>
      <c r="NRI238" s="1"/>
      <c r="NRJ238" s="1"/>
      <c r="NRK238" s="1"/>
      <c r="NRL238" s="1"/>
      <c r="NRM238" s="1"/>
      <c r="NRN238" s="1"/>
      <c r="NRO238" s="1"/>
      <c r="NRP238" s="1"/>
      <c r="NRQ238" s="1"/>
      <c r="NRR238" s="1"/>
      <c r="NRS238" s="1"/>
      <c r="NRT238" s="1"/>
      <c r="NRU238" s="1"/>
      <c r="NRV238" s="1"/>
      <c r="NRW238" s="1"/>
      <c r="NRX238" s="1"/>
      <c r="NRY238" s="1"/>
      <c r="NRZ238" s="1"/>
      <c r="NSA238" s="1"/>
      <c r="NSB238" s="1"/>
      <c r="NSC238" s="1"/>
      <c r="NSD238" s="1"/>
      <c r="NSE238" s="1"/>
      <c r="NSF238" s="1"/>
      <c r="NSG238" s="1"/>
      <c r="NSH238" s="1"/>
      <c r="NSI238" s="1"/>
      <c r="NSJ238" s="1"/>
      <c r="NSK238" s="1"/>
      <c r="NSL238" s="1"/>
      <c r="NSM238" s="1"/>
      <c r="NSN238" s="1"/>
      <c r="NSO238" s="1"/>
      <c r="NSP238" s="1"/>
      <c r="NSQ238" s="1"/>
      <c r="NSR238" s="1"/>
      <c r="NSS238" s="1"/>
      <c r="NST238" s="1"/>
      <c r="NSU238" s="1"/>
      <c r="NSV238" s="1"/>
      <c r="NSW238" s="1"/>
      <c r="NSX238" s="1"/>
      <c r="NSY238" s="1"/>
      <c r="NSZ238" s="1"/>
      <c r="NTA238" s="1"/>
      <c r="NTB238" s="1"/>
      <c r="NTC238" s="1"/>
      <c r="NTD238" s="1"/>
      <c r="NTE238" s="1"/>
      <c r="NTF238" s="1"/>
      <c r="NTG238" s="1"/>
      <c r="NTH238" s="1"/>
      <c r="NTI238" s="1"/>
      <c r="NTJ238" s="1"/>
      <c r="NTK238" s="1"/>
      <c r="NTL238" s="1"/>
      <c r="NTM238" s="1"/>
      <c r="NTN238" s="1"/>
      <c r="NTO238" s="1"/>
      <c r="NTP238" s="1"/>
      <c r="NTQ238" s="1"/>
      <c r="NTR238" s="1"/>
      <c r="NTS238" s="1"/>
      <c r="NTT238" s="1"/>
      <c r="NTU238" s="1"/>
      <c r="NTV238" s="1"/>
      <c r="NTW238" s="1"/>
      <c r="NTX238" s="1"/>
      <c r="NTY238" s="1"/>
      <c r="NTZ238" s="1"/>
      <c r="NUA238" s="1"/>
      <c r="NUB238" s="1"/>
      <c r="NUC238" s="1"/>
      <c r="NUD238" s="1"/>
      <c r="NUE238" s="1"/>
      <c r="NUF238" s="1"/>
      <c r="NUG238" s="1"/>
      <c r="NUH238" s="1"/>
      <c r="NUI238" s="1"/>
      <c r="NUJ238" s="1"/>
      <c r="NUK238" s="1"/>
      <c r="NUL238" s="1"/>
      <c r="NUM238" s="1"/>
      <c r="NUN238" s="1"/>
      <c r="NUO238" s="1"/>
      <c r="NUP238" s="1"/>
      <c r="NUQ238" s="1"/>
      <c r="NUR238" s="1"/>
      <c r="NUS238" s="1"/>
      <c r="NUT238" s="1"/>
      <c r="NUU238" s="1"/>
      <c r="NUV238" s="1"/>
      <c r="NUW238" s="1"/>
      <c r="NUX238" s="1"/>
      <c r="NUY238" s="1"/>
      <c r="NUZ238" s="1"/>
      <c r="NVA238" s="1"/>
      <c r="NVB238" s="1"/>
      <c r="NVC238" s="1"/>
      <c r="NVD238" s="1"/>
      <c r="NVE238" s="1"/>
      <c r="NVF238" s="1"/>
      <c r="NVG238" s="1"/>
      <c r="NVH238" s="1"/>
      <c r="NVI238" s="1"/>
      <c r="NVJ238" s="1"/>
      <c r="NVK238" s="1"/>
      <c r="NVL238" s="1"/>
      <c r="NVM238" s="1"/>
      <c r="NVN238" s="1"/>
      <c r="NVO238" s="1"/>
      <c r="NVP238" s="1"/>
      <c r="NVQ238" s="1"/>
      <c r="NVR238" s="1"/>
      <c r="NVS238" s="1"/>
      <c r="NVT238" s="1"/>
      <c r="NVU238" s="1"/>
      <c r="NVV238" s="1"/>
      <c r="NVW238" s="1"/>
      <c r="NVX238" s="1"/>
      <c r="NVY238" s="1"/>
      <c r="NVZ238" s="1"/>
      <c r="NWA238" s="1"/>
      <c r="NWB238" s="1"/>
      <c r="NWC238" s="1"/>
      <c r="NWD238" s="1"/>
      <c r="NWE238" s="1"/>
      <c r="NWF238" s="1"/>
      <c r="NWG238" s="1"/>
      <c r="NWH238" s="1"/>
      <c r="NWI238" s="1"/>
      <c r="NWJ238" s="1"/>
      <c r="NWK238" s="1"/>
      <c r="NWL238" s="1"/>
      <c r="NWM238" s="1"/>
      <c r="NWN238" s="1"/>
      <c r="NWO238" s="1"/>
      <c r="NWP238" s="1"/>
      <c r="NWQ238" s="1"/>
      <c r="NWR238" s="1"/>
      <c r="NWS238" s="1"/>
      <c r="NWT238" s="1"/>
      <c r="NWU238" s="1"/>
      <c r="NWV238" s="1"/>
      <c r="NWW238" s="1"/>
      <c r="NWX238" s="1"/>
      <c r="NWY238" s="1"/>
      <c r="NWZ238" s="1"/>
      <c r="NXA238" s="1"/>
      <c r="NXB238" s="1"/>
      <c r="NXC238" s="1"/>
      <c r="NXD238" s="1"/>
      <c r="NXE238" s="1"/>
      <c r="NXF238" s="1"/>
      <c r="NXG238" s="1"/>
      <c r="NXH238" s="1"/>
      <c r="NXI238" s="1"/>
      <c r="NXJ238" s="1"/>
      <c r="NXK238" s="1"/>
      <c r="NXL238" s="1"/>
      <c r="NXM238" s="1"/>
      <c r="NXN238" s="1"/>
      <c r="NXO238" s="1"/>
      <c r="NXP238" s="1"/>
      <c r="NXQ238" s="1"/>
      <c r="NXR238" s="1"/>
      <c r="NXS238" s="1"/>
      <c r="NXT238" s="1"/>
      <c r="NXU238" s="1"/>
      <c r="NXV238" s="1"/>
      <c r="NXW238" s="1"/>
      <c r="NXX238" s="1"/>
      <c r="NXY238" s="1"/>
      <c r="NXZ238" s="1"/>
      <c r="NYA238" s="1"/>
      <c r="NYB238" s="1"/>
      <c r="NYC238" s="1"/>
      <c r="NYD238" s="1"/>
      <c r="NYE238" s="1"/>
      <c r="NYF238" s="1"/>
      <c r="NYG238" s="1"/>
      <c r="NYH238" s="1"/>
      <c r="NYI238" s="1"/>
      <c r="NYJ238" s="1"/>
      <c r="NYK238" s="1"/>
      <c r="NYL238" s="1"/>
      <c r="NYM238" s="1"/>
      <c r="NYN238" s="1"/>
      <c r="NYO238" s="1"/>
      <c r="NYP238" s="1"/>
      <c r="NYQ238" s="1"/>
      <c r="NYR238" s="1"/>
      <c r="NYS238" s="1"/>
      <c r="NYT238" s="1"/>
      <c r="NYU238" s="1"/>
      <c r="NYV238" s="1"/>
      <c r="NYW238" s="1"/>
      <c r="NYX238" s="1"/>
      <c r="NYY238" s="1"/>
      <c r="NYZ238" s="1"/>
      <c r="NZA238" s="1"/>
      <c r="NZB238" s="1"/>
      <c r="NZC238" s="1"/>
      <c r="NZD238" s="1"/>
      <c r="NZE238" s="1"/>
      <c r="NZF238" s="1"/>
      <c r="NZG238" s="1"/>
      <c r="NZH238" s="1"/>
      <c r="NZI238" s="1"/>
      <c r="NZJ238" s="1"/>
      <c r="NZK238" s="1"/>
      <c r="NZL238" s="1"/>
      <c r="NZM238" s="1"/>
      <c r="NZN238" s="1"/>
      <c r="NZO238" s="1"/>
      <c r="NZP238" s="1"/>
      <c r="NZQ238" s="1"/>
      <c r="NZR238" s="1"/>
      <c r="NZS238" s="1"/>
      <c r="NZT238" s="1"/>
      <c r="NZU238" s="1"/>
      <c r="NZV238" s="1"/>
      <c r="NZW238" s="1"/>
      <c r="NZX238" s="1"/>
      <c r="NZY238" s="1"/>
      <c r="NZZ238" s="1"/>
      <c r="OAA238" s="1"/>
      <c r="OAB238" s="1"/>
      <c r="OAC238" s="1"/>
      <c r="OAD238" s="1"/>
      <c r="OAE238" s="1"/>
      <c r="OAF238" s="1"/>
      <c r="OAG238" s="1"/>
      <c r="OAH238" s="1"/>
      <c r="OAI238" s="1"/>
      <c r="OAJ238" s="1"/>
      <c r="OAK238" s="1"/>
      <c r="OAL238" s="1"/>
      <c r="OAM238" s="1"/>
      <c r="OAN238" s="1"/>
      <c r="OAO238" s="1"/>
      <c r="OAP238" s="1"/>
      <c r="OAQ238" s="1"/>
      <c r="OAR238" s="1"/>
      <c r="OAS238" s="1"/>
      <c r="OAT238" s="1"/>
      <c r="OAU238" s="1"/>
      <c r="OAV238" s="1"/>
      <c r="OAW238" s="1"/>
      <c r="OAX238" s="1"/>
      <c r="OAY238" s="1"/>
      <c r="OAZ238" s="1"/>
      <c r="OBA238" s="1"/>
      <c r="OBB238" s="1"/>
      <c r="OBC238" s="1"/>
      <c r="OBD238" s="1"/>
      <c r="OBE238" s="1"/>
      <c r="OBF238" s="1"/>
      <c r="OBG238" s="1"/>
      <c r="OBH238" s="1"/>
      <c r="OBI238" s="1"/>
      <c r="OBJ238" s="1"/>
      <c r="OBK238" s="1"/>
      <c r="OBL238" s="1"/>
      <c r="OBM238" s="1"/>
      <c r="OBN238" s="1"/>
      <c r="OBO238" s="1"/>
      <c r="OBP238" s="1"/>
      <c r="OBQ238" s="1"/>
      <c r="OBR238" s="1"/>
      <c r="OBS238" s="1"/>
      <c r="OBT238" s="1"/>
      <c r="OBU238" s="1"/>
      <c r="OBV238" s="1"/>
      <c r="OBW238" s="1"/>
      <c r="OBX238" s="1"/>
      <c r="OBY238" s="1"/>
      <c r="OBZ238" s="1"/>
      <c r="OCA238" s="1"/>
      <c r="OCB238" s="1"/>
      <c r="OCC238" s="1"/>
      <c r="OCD238" s="1"/>
      <c r="OCE238" s="1"/>
      <c r="OCF238" s="1"/>
      <c r="OCG238" s="1"/>
      <c r="OCH238" s="1"/>
      <c r="OCI238" s="1"/>
      <c r="OCJ238" s="1"/>
      <c r="OCK238" s="1"/>
      <c r="OCL238" s="1"/>
      <c r="OCM238" s="1"/>
      <c r="OCN238" s="1"/>
      <c r="OCO238" s="1"/>
      <c r="OCP238" s="1"/>
      <c r="OCQ238" s="1"/>
      <c r="OCR238" s="1"/>
      <c r="OCS238" s="1"/>
      <c r="OCT238" s="1"/>
      <c r="OCU238" s="1"/>
      <c r="OCV238" s="1"/>
      <c r="OCW238" s="1"/>
      <c r="OCX238" s="1"/>
      <c r="OCY238" s="1"/>
      <c r="OCZ238" s="1"/>
      <c r="ODA238" s="1"/>
      <c r="ODB238" s="1"/>
      <c r="ODC238" s="1"/>
      <c r="ODD238" s="1"/>
      <c r="ODE238" s="1"/>
      <c r="ODF238" s="1"/>
      <c r="ODG238" s="1"/>
      <c r="ODH238" s="1"/>
      <c r="ODI238" s="1"/>
      <c r="ODJ238" s="1"/>
      <c r="ODK238" s="1"/>
      <c r="ODL238" s="1"/>
      <c r="ODM238" s="1"/>
      <c r="ODN238" s="1"/>
      <c r="ODO238" s="1"/>
      <c r="ODP238" s="1"/>
      <c r="ODQ238" s="1"/>
      <c r="ODR238" s="1"/>
      <c r="ODS238" s="1"/>
      <c r="ODT238" s="1"/>
      <c r="ODU238" s="1"/>
      <c r="ODV238" s="1"/>
      <c r="ODW238" s="1"/>
      <c r="ODX238" s="1"/>
      <c r="ODY238" s="1"/>
      <c r="ODZ238" s="1"/>
      <c r="OEA238" s="1"/>
      <c r="OEB238" s="1"/>
      <c r="OEC238" s="1"/>
      <c r="OED238" s="1"/>
      <c r="OEE238" s="1"/>
      <c r="OEF238" s="1"/>
      <c r="OEG238" s="1"/>
      <c r="OEH238" s="1"/>
      <c r="OEI238" s="1"/>
      <c r="OEJ238" s="1"/>
      <c r="OEK238" s="1"/>
      <c r="OEL238" s="1"/>
      <c r="OEM238" s="1"/>
      <c r="OEN238" s="1"/>
      <c r="OEO238" s="1"/>
      <c r="OEP238" s="1"/>
      <c r="OEQ238" s="1"/>
      <c r="OER238" s="1"/>
      <c r="OES238" s="1"/>
      <c r="OET238" s="1"/>
      <c r="OEU238" s="1"/>
      <c r="OEV238" s="1"/>
      <c r="OEW238" s="1"/>
      <c r="OEX238" s="1"/>
      <c r="OEY238" s="1"/>
      <c r="OEZ238" s="1"/>
      <c r="OFA238" s="1"/>
      <c r="OFB238" s="1"/>
      <c r="OFC238" s="1"/>
      <c r="OFD238" s="1"/>
      <c r="OFE238" s="1"/>
      <c r="OFF238" s="1"/>
      <c r="OFG238" s="1"/>
      <c r="OFH238" s="1"/>
      <c r="OFI238" s="1"/>
      <c r="OFJ238" s="1"/>
      <c r="OFK238" s="1"/>
      <c r="OFL238" s="1"/>
      <c r="OFM238" s="1"/>
      <c r="OFN238" s="1"/>
      <c r="OFO238" s="1"/>
      <c r="OFP238" s="1"/>
      <c r="OFQ238" s="1"/>
      <c r="OFR238" s="1"/>
      <c r="OFS238" s="1"/>
      <c r="OFT238" s="1"/>
      <c r="OFU238" s="1"/>
      <c r="OFV238" s="1"/>
      <c r="OFW238" s="1"/>
      <c r="OFX238" s="1"/>
      <c r="OFY238" s="1"/>
      <c r="OFZ238" s="1"/>
      <c r="OGA238" s="1"/>
      <c r="OGB238" s="1"/>
      <c r="OGC238" s="1"/>
      <c r="OGD238" s="1"/>
      <c r="OGE238" s="1"/>
      <c r="OGF238" s="1"/>
      <c r="OGG238" s="1"/>
      <c r="OGH238" s="1"/>
      <c r="OGI238" s="1"/>
      <c r="OGJ238" s="1"/>
      <c r="OGK238" s="1"/>
      <c r="OGL238" s="1"/>
      <c r="OGM238" s="1"/>
      <c r="OGN238" s="1"/>
      <c r="OGO238" s="1"/>
      <c r="OGP238" s="1"/>
      <c r="OGQ238" s="1"/>
      <c r="OGR238" s="1"/>
      <c r="OGS238" s="1"/>
      <c r="OGT238" s="1"/>
      <c r="OGU238" s="1"/>
      <c r="OGV238" s="1"/>
      <c r="OGW238" s="1"/>
      <c r="OGX238" s="1"/>
      <c r="OGY238" s="1"/>
      <c r="OGZ238" s="1"/>
      <c r="OHA238" s="1"/>
      <c r="OHB238" s="1"/>
      <c r="OHC238" s="1"/>
      <c r="OHD238" s="1"/>
      <c r="OHE238" s="1"/>
      <c r="OHF238" s="1"/>
      <c r="OHG238" s="1"/>
      <c r="OHH238" s="1"/>
      <c r="OHI238" s="1"/>
      <c r="OHJ238" s="1"/>
      <c r="OHK238" s="1"/>
      <c r="OHL238" s="1"/>
      <c r="OHM238" s="1"/>
      <c r="OHN238" s="1"/>
      <c r="OHO238" s="1"/>
      <c r="OHP238" s="1"/>
      <c r="OHQ238" s="1"/>
      <c r="OHR238" s="1"/>
      <c r="OHS238" s="1"/>
      <c r="OHT238" s="1"/>
      <c r="OHU238" s="1"/>
      <c r="OHV238" s="1"/>
      <c r="OHW238" s="1"/>
      <c r="OHX238" s="1"/>
      <c r="OHY238" s="1"/>
      <c r="OHZ238" s="1"/>
      <c r="OIA238" s="1"/>
      <c r="OIB238" s="1"/>
      <c r="OIC238" s="1"/>
      <c r="OID238" s="1"/>
      <c r="OIE238" s="1"/>
      <c r="OIF238" s="1"/>
      <c r="OIG238" s="1"/>
      <c r="OIH238" s="1"/>
      <c r="OII238" s="1"/>
      <c r="OIJ238" s="1"/>
      <c r="OIK238" s="1"/>
      <c r="OIL238" s="1"/>
      <c r="OIM238" s="1"/>
      <c r="OIN238" s="1"/>
      <c r="OIO238" s="1"/>
      <c r="OIP238" s="1"/>
      <c r="OIQ238" s="1"/>
      <c r="OIR238" s="1"/>
      <c r="OIS238" s="1"/>
      <c r="OIT238" s="1"/>
      <c r="OIU238" s="1"/>
      <c r="OIV238" s="1"/>
      <c r="OIW238" s="1"/>
      <c r="OIX238" s="1"/>
      <c r="OIY238" s="1"/>
      <c r="OIZ238" s="1"/>
      <c r="OJA238" s="1"/>
      <c r="OJB238" s="1"/>
      <c r="OJC238" s="1"/>
      <c r="OJD238" s="1"/>
      <c r="OJE238" s="1"/>
      <c r="OJF238" s="1"/>
      <c r="OJG238" s="1"/>
      <c r="OJH238" s="1"/>
      <c r="OJI238" s="1"/>
      <c r="OJJ238" s="1"/>
      <c r="OJK238" s="1"/>
      <c r="OJL238" s="1"/>
      <c r="OJM238" s="1"/>
      <c r="OJN238" s="1"/>
      <c r="OJO238" s="1"/>
      <c r="OJP238" s="1"/>
      <c r="OJQ238" s="1"/>
      <c r="OJR238" s="1"/>
      <c r="OJS238" s="1"/>
      <c r="OJT238" s="1"/>
      <c r="OJU238" s="1"/>
      <c r="OJV238" s="1"/>
      <c r="OJW238" s="1"/>
      <c r="OJX238" s="1"/>
      <c r="OJY238" s="1"/>
      <c r="OJZ238" s="1"/>
      <c r="OKA238" s="1"/>
      <c r="OKB238" s="1"/>
      <c r="OKC238" s="1"/>
      <c r="OKD238" s="1"/>
      <c r="OKE238" s="1"/>
      <c r="OKF238" s="1"/>
      <c r="OKG238" s="1"/>
      <c r="OKH238" s="1"/>
      <c r="OKI238" s="1"/>
      <c r="OKJ238" s="1"/>
      <c r="OKK238" s="1"/>
      <c r="OKL238" s="1"/>
      <c r="OKM238" s="1"/>
      <c r="OKN238" s="1"/>
      <c r="OKO238" s="1"/>
      <c r="OKP238" s="1"/>
      <c r="OKQ238" s="1"/>
      <c r="OKR238" s="1"/>
      <c r="OKS238" s="1"/>
      <c r="OKT238" s="1"/>
      <c r="OKU238" s="1"/>
      <c r="OKV238" s="1"/>
      <c r="OKW238" s="1"/>
      <c r="OKX238" s="1"/>
      <c r="OKY238" s="1"/>
      <c r="OKZ238" s="1"/>
      <c r="OLA238" s="1"/>
      <c r="OLB238" s="1"/>
      <c r="OLC238" s="1"/>
      <c r="OLD238" s="1"/>
      <c r="OLE238" s="1"/>
      <c r="OLF238" s="1"/>
      <c r="OLG238" s="1"/>
      <c r="OLH238" s="1"/>
      <c r="OLI238" s="1"/>
      <c r="OLJ238" s="1"/>
      <c r="OLK238" s="1"/>
      <c r="OLL238" s="1"/>
      <c r="OLM238" s="1"/>
      <c r="OLN238" s="1"/>
      <c r="OLO238" s="1"/>
      <c r="OLP238" s="1"/>
      <c r="OLQ238" s="1"/>
      <c r="OLR238" s="1"/>
      <c r="OLS238" s="1"/>
      <c r="OLT238" s="1"/>
      <c r="OLU238" s="1"/>
      <c r="OLV238" s="1"/>
      <c r="OLW238" s="1"/>
      <c r="OLX238" s="1"/>
      <c r="OLY238" s="1"/>
      <c r="OLZ238" s="1"/>
      <c r="OMA238" s="1"/>
      <c r="OMB238" s="1"/>
      <c r="OMC238" s="1"/>
      <c r="OMD238" s="1"/>
      <c r="OME238" s="1"/>
      <c r="OMF238" s="1"/>
      <c r="OMG238" s="1"/>
      <c r="OMH238" s="1"/>
      <c r="OMI238" s="1"/>
      <c r="OMJ238" s="1"/>
      <c r="OMK238" s="1"/>
      <c r="OML238" s="1"/>
      <c r="OMM238" s="1"/>
      <c r="OMN238" s="1"/>
      <c r="OMO238" s="1"/>
      <c r="OMP238" s="1"/>
      <c r="OMQ238" s="1"/>
      <c r="OMR238" s="1"/>
      <c r="OMS238" s="1"/>
      <c r="OMT238" s="1"/>
      <c r="OMU238" s="1"/>
      <c r="OMV238" s="1"/>
      <c r="OMW238" s="1"/>
      <c r="OMX238" s="1"/>
      <c r="OMY238" s="1"/>
      <c r="OMZ238" s="1"/>
      <c r="ONA238" s="1"/>
      <c r="ONB238" s="1"/>
      <c r="ONC238" s="1"/>
      <c r="OND238" s="1"/>
      <c r="ONE238" s="1"/>
      <c r="ONF238" s="1"/>
      <c r="ONG238" s="1"/>
      <c r="ONH238" s="1"/>
      <c r="ONI238" s="1"/>
      <c r="ONJ238" s="1"/>
      <c r="ONK238" s="1"/>
      <c r="ONL238" s="1"/>
      <c r="ONM238" s="1"/>
      <c r="ONN238" s="1"/>
      <c r="ONO238" s="1"/>
      <c r="ONP238" s="1"/>
      <c r="ONQ238" s="1"/>
      <c r="ONR238" s="1"/>
      <c r="ONS238" s="1"/>
      <c r="ONT238" s="1"/>
      <c r="ONU238" s="1"/>
      <c r="ONV238" s="1"/>
      <c r="ONW238" s="1"/>
      <c r="ONX238" s="1"/>
      <c r="ONY238" s="1"/>
      <c r="ONZ238" s="1"/>
      <c r="OOA238" s="1"/>
      <c r="OOB238" s="1"/>
      <c r="OOC238" s="1"/>
      <c r="OOD238" s="1"/>
      <c r="OOE238" s="1"/>
      <c r="OOF238" s="1"/>
      <c r="OOG238" s="1"/>
      <c r="OOH238" s="1"/>
      <c r="OOI238" s="1"/>
      <c r="OOJ238" s="1"/>
      <c r="OOK238" s="1"/>
      <c r="OOL238" s="1"/>
      <c r="OOM238" s="1"/>
      <c r="OON238" s="1"/>
      <c r="OOO238" s="1"/>
      <c r="OOP238" s="1"/>
      <c r="OOQ238" s="1"/>
      <c r="OOR238" s="1"/>
      <c r="OOS238" s="1"/>
      <c r="OOT238" s="1"/>
      <c r="OOU238" s="1"/>
      <c r="OOV238" s="1"/>
      <c r="OOW238" s="1"/>
      <c r="OOX238" s="1"/>
      <c r="OOY238" s="1"/>
      <c r="OOZ238" s="1"/>
      <c r="OPA238" s="1"/>
      <c r="OPB238" s="1"/>
      <c r="OPC238" s="1"/>
      <c r="OPD238" s="1"/>
      <c r="OPE238" s="1"/>
      <c r="OPF238" s="1"/>
      <c r="OPG238" s="1"/>
      <c r="OPH238" s="1"/>
      <c r="OPI238" s="1"/>
      <c r="OPJ238" s="1"/>
      <c r="OPK238" s="1"/>
      <c r="OPL238" s="1"/>
      <c r="OPM238" s="1"/>
      <c r="OPN238" s="1"/>
      <c r="OPO238" s="1"/>
      <c r="OPP238" s="1"/>
      <c r="OPQ238" s="1"/>
      <c r="OPR238" s="1"/>
      <c r="OPS238" s="1"/>
      <c r="OPT238" s="1"/>
      <c r="OPU238" s="1"/>
      <c r="OPV238" s="1"/>
      <c r="OPW238" s="1"/>
      <c r="OPX238" s="1"/>
      <c r="OPY238" s="1"/>
      <c r="OPZ238" s="1"/>
      <c r="OQA238" s="1"/>
      <c r="OQB238" s="1"/>
      <c r="OQC238" s="1"/>
      <c r="OQD238" s="1"/>
      <c r="OQE238" s="1"/>
      <c r="OQF238" s="1"/>
      <c r="OQG238" s="1"/>
      <c r="OQH238" s="1"/>
      <c r="OQI238" s="1"/>
      <c r="OQJ238" s="1"/>
      <c r="OQK238" s="1"/>
      <c r="OQL238" s="1"/>
      <c r="OQM238" s="1"/>
      <c r="OQN238" s="1"/>
      <c r="OQO238" s="1"/>
      <c r="OQP238" s="1"/>
      <c r="OQQ238" s="1"/>
      <c r="OQR238" s="1"/>
      <c r="OQS238" s="1"/>
      <c r="OQT238" s="1"/>
      <c r="OQU238" s="1"/>
      <c r="OQV238" s="1"/>
      <c r="OQW238" s="1"/>
      <c r="OQX238" s="1"/>
      <c r="OQY238" s="1"/>
      <c r="OQZ238" s="1"/>
      <c r="ORA238" s="1"/>
      <c r="ORB238" s="1"/>
      <c r="ORC238" s="1"/>
      <c r="ORD238" s="1"/>
      <c r="ORE238" s="1"/>
      <c r="ORF238" s="1"/>
      <c r="ORG238" s="1"/>
      <c r="ORH238" s="1"/>
      <c r="ORI238" s="1"/>
      <c r="ORJ238" s="1"/>
      <c r="ORK238" s="1"/>
      <c r="ORL238" s="1"/>
      <c r="ORM238" s="1"/>
      <c r="ORN238" s="1"/>
      <c r="ORO238" s="1"/>
      <c r="ORP238" s="1"/>
      <c r="ORQ238" s="1"/>
      <c r="ORR238" s="1"/>
      <c r="ORS238" s="1"/>
      <c r="ORT238" s="1"/>
      <c r="ORU238" s="1"/>
      <c r="ORV238" s="1"/>
      <c r="ORW238" s="1"/>
      <c r="ORX238" s="1"/>
      <c r="ORY238" s="1"/>
      <c r="ORZ238" s="1"/>
      <c r="OSA238" s="1"/>
      <c r="OSB238" s="1"/>
      <c r="OSC238" s="1"/>
      <c r="OSD238" s="1"/>
      <c r="OSE238" s="1"/>
      <c r="OSF238" s="1"/>
      <c r="OSG238" s="1"/>
      <c r="OSH238" s="1"/>
      <c r="OSI238" s="1"/>
      <c r="OSJ238" s="1"/>
      <c r="OSK238" s="1"/>
      <c r="OSL238" s="1"/>
      <c r="OSM238" s="1"/>
      <c r="OSN238" s="1"/>
      <c r="OSO238" s="1"/>
      <c r="OSP238" s="1"/>
      <c r="OSQ238" s="1"/>
      <c r="OSR238" s="1"/>
      <c r="OSS238" s="1"/>
      <c r="OST238" s="1"/>
      <c r="OSU238" s="1"/>
      <c r="OSV238" s="1"/>
      <c r="OSW238" s="1"/>
      <c r="OSX238" s="1"/>
      <c r="OSY238" s="1"/>
      <c r="OSZ238" s="1"/>
      <c r="OTA238" s="1"/>
      <c r="OTB238" s="1"/>
      <c r="OTC238" s="1"/>
      <c r="OTD238" s="1"/>
      <c r="OTE238" s="1"/>
      <c r="OTF238" s="1"/>
      <c r="OTG238" s="1"/>
      <c r="OTH238" s="1"/>
      <c r="OTI238" s="1"/>
      <c r="OTJ238" s="1"/>
      <c r="OTK238" s="1"/>
      <c r="OTL238" s="1"/>
      <c r="OTM238" s="1"/>
      <c r="OTN238" s="1"/>
      <c r="OTO238" s="1"/>
      <c r="OTP238" s="1"/>
      <c r="OTQ238" s="1"/>
      <c r="OTR238" s="1"/>
      <c r="OTS238" s="1"/>
      <c r="OTT238" s="1"/>
      <c r="OTU238" s="1"/>
      <c r="OTV238" s="1"/>
      <c r="OTW238" s="1"/>
      <c r="OTX238" s="1"/>
      <c r="OTY238" s="1"/>
      <c r="OTZ238" s="1"/>
      <c r="OUA238" s="1"/>
      <c r="OUB238" s="1"/>
      <c r="OUC238" s="1"/>
      <c r="OUD238" s="1"/>
      <c r="OUE238" s="1"/>
      <c r="OUF238" s="1"/>
      <c r="OUG238" s="1"/>
      <c r="OUH238" s="1"/>
      <c r="OUI238" s="1"/>
      <c r="OUJ238" s="1"/>
      <c r="OUK238" s="1"/>
      <c r="OUL238" s="1"/>
      <c r="OUM238" s="1"/>
      <c r="OUN238" s="1"/>
      <c r="OUO238" s="1"/>
      <c r="OUP238" s="1"/>
      <c r="OUQ238" s="1"/>
      <c r="OUR238" s="1"/>
      <c r="OUS238" s="1"/>
      <c r="OUT238" s="1"/>
      <c r="OUU238" s="1"/>
      <c r="OUV238" s="1"/>
      <c r="OUW238" s="1"/>
      <c r="OUX238" s="1"/>
      <c r="OUY238" s="1"/>
      <c r="OUZ238" s="1"/>
      <c r="OVA238" s="1"/>
      <c r="OVB238" s="1"/>
      <c r="OVC238" s="1"/>
      <c r="OVD238" s="1"/>
      <c r="OVE238" s="1"/>
      <c r="OVF238" s="1"/>
      <c r="OVG238" s="1"/>
      <c r="OVH238" s="1"/>
      <c r="OVI238" s="1"/>
      <c r="OVJ238" s="1"/>
      <c r="OVK238" s="1"/>
      <c r="OVL238" s="1"/>
      <c r="OVM238" s="1"/>
      <c r="OVN238" s="1"/>
      <c r="OVO238" s="1"/>
      <c r="OVP238" s="1"/>
      <c r="OVQ238" s="1"/>
      <c r="OVR238" s="1"/>
      <c r="OVS238" s="1"/>
      <c r="OVT238" s="1"/>
      <c r="OVU238" s="1"/>
      <c r="OVV238" s="1"/>
      <c r="OVW238" s="1"/>
      <c r="OVX238" s="1"/>
      <c r="OVY238" s="1"/>
      <c r="OVZ238" s="1"/>
      <c r="OWA238" s="1"/>
      <c r="OWB238" s="1"/>
      <c r="OWC238" s="1"/>
      <c r="OWD238" s="1"/>
      <c r="OWE238" s="1"/>
      <c r="OWF238" s="1"/>
      <c r="OWG238" s="1"/>
      <c r="OWH238" s="1"/>
      <c r="OWI238" s="1"/>
      <c r="OWJ238" s="1"/>
      <c r="OWK238" s="1"/>
      <c r="OWL238" s="1"/>
      <c r="OWM238" s="1"/>
      <c r="OWN238" s="1"/>
      <c r="OWO238" s="1"/>
      <c r="OWP238" s="1"/>
      <c r="OWQ238" s="1"/>
      <c r="OWR238" s="1"/>
      <c r="OWS238" s="1"/>
      <c r="OWT238" s="1"/>
      <c r="OWU238" s="1"/>
      <c r="OWV238" s="1"/>
      <c r="OWW238" s="1"/>
      <c r="OWX238" s="1"/>
      <c r="OWY238" s="1"/>
      <c r="OWZ238" s="1"/>
      <c r="OXA238" s="1"/>
      <c r="OXB238" s="1"/>
      <c r="OXC238" s="1"/>
      <c r="OXD238" s="1"/>
      <c r="OXE238" s="1"/>
      <c r="OXF238" s="1"/>
      <c r="OXG238" s="1"/>
      <c r="OXH238" s="1"/>
      <c r="OXI238" s="1"/>
      <c r="OXJ238" s="1"/>
      <c r="OXK238" s="1"/>
      <c r="OXL238" s="1"/>
      <c r="OXM238" s="1"/>
      <c r="OXN238" s="1"/>
      <c r="OXO238" s="1"/>
      <c r="OXP238" s="1"/>
      <c r="OXQ238" s="1"/>
      <c r="OXR238" s="1"/>
      <c r="OXS238" s="1"/>
      <c r="OXT238" s="1"/>
      <c r="OXU238" s="1"/>
      <c r="OXV238" s="1"/>
      <c r="OXW238" s="1"/>
      <c r="OXX238" s="1"/>
      <c r="OXY238" s="1"/>
      <c r="OXZ238" s="1"/>
      <c r="OYA238" s="1"/>
      <c r="OYB238" s="1"/>
      <c r="OYC238" s="1"/>
      <c r="OYD238" s="1"/>
      <c r="OYE238" s="1"/>
      <c r="OYF238" s="1"/>
      <c r="OYG238" s="1"/>
      <c r="OYH238" s="1"/>
      <c r="OYI238" s="1"/>
      <c r="OYJ238" s="1"/>
      <c r="OYK238" s="1"/>
      <c r="OYL238" s="1"/>
      <c r="OYM238" s="1"/>
      <c r="OYN238" s="1"/>
      <c r="OYO238" s="1"/>
      <c r="OYP238" s="1"/>
      <c r="OYQ238" s="1"/>
      <c r="OYR238" s="1"/>
      <c r="OYS238" s="1"/>
      <c r="OYT238" s="1"/>
      <c r="OYU238" s="1"/>
      <c r="OYV238" s="1"/>
      <c r="OYW238" s="1"/>
      <c r="OYX238" s="1"/>
      <c r="OYY238" s="1"/>
      <c r="OYZ238" s="1"/>
      <c r="OZA238" s="1"/>
      <c r="OZB238" s="1"/>
      <c r="OZC238" s="1"/>
      <c r="OZD238" s="1"/>
      <c r="OZE238" s="1"/>
      <c r="OZF238" s="1"/>
      <c r="OZG238" s="1"/>
      <c r="OZH238" s="1"/>
      <c r="OZI238" s="1"/>
      <c r="OZJ238" s="1"/>
      <c r="OZK238" s="1"/>
      <c r="OZL238" s="1"/>
      <c r="OZM238" s="1"/>
      <c r="OZN238" s="1"/>
      <c r="OZO238" s="1"/>
      <c r="OZP238" s="1"/>
      <c r="OZQ238" s="1"/>
      <c r="OZR238" s="1"/>
      <c r="OZS238" s="1"/>
      <c r="OZT238" s="1"/>
      <c r="OZU238" s="1"/>
      <c r="OZV238" s="1"/>
      <c r="OZW238" s="1"/>
      <c r="OZX238" s="1"/>
      <c r="OZY238" s="1"/>
      <c r="OZZ238" s="1"/>
      <c r="PAA238" s="1"/>
      <c r="PAB238" s="1"/>
      <c r="PAC238" s="1"/>
      <c r="PAD238" s="1"/>
      <c r="PAE238" s="1"/>
      <c r="PAF238" s="1"/>
      <c r="PAG238" s="1"/>
      <c r="PAH238" s="1"/>
      <c r="PAI238" s="1"/>
      <c r="PAJ238" s="1"/>
      <c r="PAK238" s="1"/>
      <c r="PAL238" s="1"/>
      <c r="PAM238" s="1"/>
      <c r="PAN238" s="1"/>
      <c r="PAO238" s="1"/>
      <c r="PAP238" s="1"/>
      <c r="PAQ238" s="1"/>
      <c r="PAR238" s="1"/>
      <c r="PAS238" s="1"/>
      <c r="PAT238" s="1"/>
      <c r="PAU238" s="1"/>
      <c r="PAV238" s="1"/>
      <c r="PAW238" s="1"/>
      <c r="PAX238" s="1"/>
      <c r="PAY238" s="1"/>
      <c r="PAZ238" s="1"/>
      <c r="PBA238" s="1"/>
      <c r="PBB238" s="1"/>
      <c r="PBC238" s="1"/>
      <c r="PBD238" s="1"/>
      <c r="PBE238" s="1"/>
      <c r="PBF238" s="1"/>
      <c r="PBG238" s="1"/>
      <c r="PBH238" s="1"/>
      <c r="PBI238" s="1"/>
      <c r="PBJ238" s="1"/>
      <c r="PBK238" s="1"/>
      <c r="PBL238" s="1"/>
      <c r="PBM238" s="1"/>
      <c r="PBN238" s="1"/>
      <c r="PBO238" s="1"/>
      <c r="PBP238" s="1"/>
      <c r="PBQ238" s="1"/>
      <c r="PBR238" s="1"/>
      <c r="PBS238" s="1"/>
      <c r="PBT238" s="1"/>
      <c r="PBU238" s="1"/>
      <c r="PBV238" s="1"/>
      <c r="PBW238" s="1"/>
      <c r="PBX238" s="1"/>
      <c r="PBY238" s="1"/>
      <c r="PBZ238" s="1"/>
      <c r="PCA238" s="1"/>
      <c r="PCB238" s="1"/>
      <c r="PCC238" s="1"/>
      <c r="PCD238" s="1"/>
      <c r="PCE238" s="1"/>
      <c r="PCF238" s="1"/>
      <c r="PCG238" s="1"/>
      <c r="PCH238" s="1"/>
      <c r="PCI238" s="1"/>
      <c r="PCJ238" s="1"/>
      <c r="PCK238" s="1"/>
      <c r="PCL238" s="1"/>
      <c r="PCM238" s="1"/>
      <c r="PCN238" s="1"/>
      <c r="PCO238" s="1"/>
      <c r="PCP238" s="1"/>
      <c r="PCQ238" s="1"/>
      <c r="PCR238" s="1"/>
      <c r="PCS238" s="1"/>
      <c r="PCT238" s="1"/>
      <c r="PCU238" s="1"/>
      <c r="PCV238" s="1"/>
      <c r="PCW238" s="1"/>
      <c r="PCX238" s="1"/>
      <c r="PCY238" s="1"/>
      <c r="PCZ238" s="1"/>
      <c r="PDA238" s="1"/>
      <c r="PDB238" s="1"/>
      <c r="PDC238" s="1"/>
      <c r="PDD238" s="1"/>
      <c r="PDE238" s="1"/>
      <c r="PDF238" s="1"/>
      <c r="PDG238" s="1"/>
      <c r="PDH238" s="1"/>
      <c r="PDI238" s="1"/>
      <c r="PDJ238" s="1"/>
      <c r="PDK238" s="1"/>
      <c r="PDL238" s="1"/>
      <c r="PDM238" s="1"/>
      <c r="PDN238" s="1"/>
      <c r="PDO238" s="1"/>
      <c r="PDP238" s="1"/>
      <c r="PDQ238" s="1"/>
      <c r="PDR238" s="1"/>
      <c r="PDS238" s="1"/>
      <c r="PDT238" s="1"/>
      <c r="PDU238" s="1"/>
      <c r="PDV238" s="1"/>
      <c r="PDW238" s="1"/>
      <c r="PDX238" s="1"/>
      <c r="PDY238" s="1"/>
      <c r="PDZ238" s="1"/>
      <c r="PEA238" s="1"/>
      <c r="PEB238" s="1"/>
      <c r="PEC238" s="1"/>
      <c r="PED238" s="1"/>
      <c r="PEE238" s="1"/>
      <c r="PEF238" s="1"/>
      <c r="PEG238" s="1"/>
      <c r="PEH238" s="1"/>
      <c r="PEI238" s="1"/>
      <c r="PEJ238" s="1"/>
      <c r="PEK238" s="1"/>
      <c r="PEL238" s="1"/>
      <c r="PEM238" s="1"/>
      <c r="PEN238" s="1"/>
      <c r="PEO238" s="1"/>
      <c r="PEP238" s="1"/>
      <c r="PEQ238" s="1"/>
      <c r="PER238" s="1"/>
      <c r="PES238" s="1"/>
      <c r="PET238" s="1"/>
      <c r="PEU238" s="1"/>
      <c r="PEV238" s="1"/>
      <c r="PEW238" s="1"/>
      <c r="PEX238" s="1"/>
      <c r="PEY238" s="1"/>
      <c r="PEZ238" s="1"/>
      <c r="PFA238" s="1"/>
      <c r="PFB238" s="1"/>
      <c r="PFC238" s="1"/>
      <c r="PFD238" s="1"/>
      <c r="PFE238" s="1"/>
      <c r="PFF238" s="1"/>
      <c r="PFG238" s="1"/>
      <c r="PFH238" s="1"/>
      <c r="PFI238" s="1"/>
      <c r="PFJ238" s="1"/>
      <c r="PFK238" s="1"/>
      <c r="PFL238" s="1"/>
      <c r="PFM238" s="1"/>
      <c r="PFN238" s="1"/>
      <c r="PFO238" s="1"/>
      <c r="PFP238" s="1"/>
      <c r="PFQ238" s="1"/>
      <c r="PFR238" s="1"/>
      <c r="PFS238" s="1"/>
      <c r="PFT238" s="1"/>
      <c r="PFU238" s="1"/>
      <c r="PFV238" s="1"/>
      <c r="PFW238" s="1"/>
      <c r="PFX238" s="1"/>
      <c r="PFY238" s="1"/>
      <c r="PFZ238" s="1"/>
      <c r="PGA238" s="1"/>
      <c r="PGB238" s="1"/>
      <c r="PGC238" s="1"/>
      <c r="PGD238" s="1"/>
      <c r="PGE238" s="1"/>
      <c r="PGF238" s="1"/>
      <c r="PGG238" s="1"/>
      <c r="PGH238" s="1"/>
      <c r="PGI238" s="1"/>
      <c r="PGJ238" s="1"/>
      <c r="PGK238" s="1"/>
      <c r="PGL238" s="1"/>
      <c r="PGM238" s="1"/>
      <c r="PGN238" s="1"/>
      <c r="PGO238" s="1"/>
      <c r="PGP238" s="1"/>
      <c r="PGQ238" s="1"/>
      <c r="PGR238" s="1"/>
      <c r="PGS238" s="1"/>
      <c r="PGT238" s="1"/>
      <c r="PGU238" s="1"/>
      <c r="PGV238" s="1"/>
      <c r="PGW238" s="1"/>
      <c r="PGX238" s="1"/>
      <c r="PGY238" s="1"/>
      <c r="PGZ238" s="1"/>
      <c r="PHA238" s="1"/>
      <c r="PHB238" s="1"/>
      <c r="PHC238" s="1"/>
      <c r="PHD238" s="1"/>
      <c r="PHE238" s="1"/>
      <c r="PHF238" s="1"/>
      <c r="PHG238" s="1"/>
      <c r="PHH238" s="1"/>
      <c r="PHI238" s="1"/>
      <c r="PHJ238" s="1"/>
      <c r="PHK238" s="1"/>
      <c r="PHL238" s="1"/>
      <c r="PHM238" s="1"/>
      <c r="PHN238" s="1"/>
      <c r="PHO238" s="1"/>
      <c r="PHP238" s="1"/>
      <c r="PHQ238" s="1"/>
      <c r="PHR238" s="1"/>
      <c r="PHS238" s="1"/>
      <c r="PHT238" s="1"/>
      <c r="PHU238" s="1"/>
      <c r="PHV238" s="1"/>
      <c r="PHW238" s="1"/>
      <c r="PHX238" s="1"/>
      <c r="PHY238" s="1"/>
      <c r="PHZ238" s="1"/>
      <c r="PIA238" s="1"/>
      <c r="PIB238" s="1"/>
      <c r="PIC238" s="1"/>
      <c r="PID238" s="1"/>
      <c r="PIE238" s="1"/>
      <c r="PIF238" s="1"/>
      <c r="PIG238" s="1"/>
      <c r="PIH238" s="1"/>
      <c r="PII238" s="1"/>
      <c r="PIJ238" s="1"/>
      <c r="PIK238" s="1"/>
      <c r="PIL238" s="1"/>
      <c r="PIM238" s="1"/>
      <c r="PIN238" s="1"/>
      <c r="PIO238" s="1"/>
      <c r="PIP238" s="1"/>
      <c r="PIQ238" s="1"/>
      <c r="PIR238" s="1"/>
      <c r="PIS238" s="1"/>
      <c r="PIT238" s="1"/>
      <c r="PIU238" s="1"/>
      <c r="PIV238" s="1"/>
      <c r="PIW238" s="1"/>
      <c r="PIX238" s="1"/>
      <c r="PIY238" s="1"/>
      <c r="PIZ238" s="1"/>
      <c r="PJA238" s="1"/>
      <c r="PJB238" s="1"/>
      <c r="PJC238" s="1"/>
      <c r="PJD238" s="1"/>
      <c r="PJE238" s="1"/>
      <c r="PJF238" s="1"/>
      <c r="PJG238" s="1"/>
      <c r="PJH238" s="1"/>
      <c r="PJI238" s="1"/>
      <c r="PJJ238" s="1"/>
      <c r="PJK238" s="1"/>
      <c r="PJL238" s="1"/>
      <c r="PJM238" s="1"/>
      <c r="PJN238" s="1"/>
      <c r="PJO238" s="1"/>
      <c r="PJP238" s="1"/>
      <c r="PJQ238" s="1"/>
      <c r="PJR238" s="1"/>
      <c r="PJS238" s="1"/>
      <c r="PJT238" s="1"/>
      <c r="PJU238" s="1"/>
      <c r="PJV238" s="1"/>
      <c r="PJW238" s="1"/>
      <c r="PJX238" s="1"/>
      <c r="PJY238" s="1"/>
      <c r="PJZ238" s="1"/>
      <c r="PKA238" s="1"/>
      <c r="PKB238" s="1"/>
      <c r="PKC238" s="1"/>
      <c r="PKD238" s="1"/>
      <c r="PKE238" s="1"/>
      <c r="PKF238" s="1"/>
      <c r="PKG238" s="1"/>
      <c r="PKH238" s="1"/>
      <c r="PKI238" s="1"/>
      <c r="PKJ238" s="1"/>
      <c r="PKK238" s="1"/>
      <c r="PKL238" s="1"/>
      <c r="PKM238" s="1"/>
      <c r="PKN238" s="1"/>
      <c r="PKO238" s="1"/>
      <c r="PKP238" s="1"/>
      <c r="PKQ238" s="1"/>
      <c r="PKR238" s="1"/>
      <c r="PKS238" s="1"/>
      <c r="PKT238" s="1"/>
      <c r="PKU238" s="1"/>
      <c r="PKV238" s="1"/>
      <c r="PKW238" s="1"/>
      <c r="PKX238" s="1"/>
      <c r="PKY238" s="1"/>
      <c r="PKZ238" s="1"/>
      <c r="PLA238" s="1"/>
      <c r="PLB238" s="1"/>
      <c r="PLC238" s="1"/>
      <c r="PLD238" s="1"/>
      <c r="PLE238" s="1"/>
      <c r="PLF238" s="1"/>
      <c r="PLG238" s="1"/>
      <c r="PLH238" s="1"/>
      <c r="PLI238" s="1"/>
      <c r="PLJ238" s="1"/>
      <c r="PLK238" s="1"/>
      <c r="PLL238" s="1"/>
      <c r="PLM238" s="1"/>
      <c r="PLN238" s="1"/>
      <c r="PLO238" s="1"/>
      <c r="PLP238" s="1"/>
      <c r="PLQ238" s="1"/>
      <c r="PLR238" s="1"/>
      <c r="PLS238" s="1"/>
      <c r="PLT238" s="1"/>
      <c r="PLU238" s="1"/>
      <c r="PLV238" s="1"/>
      <c r="PLW238" s="1"/>
      <c r="PLX238" s="1"/>
      <c r="PLY238" s="1"/>
      <c r="PLZ238" s="1"/>
      <c r="PMA238" s="1"/>
      <c r="PMB238" s="1"/>
      <c r="PMC238" s="1"/>
      <c r="PMD238" s="1"/>
      <c r="PME238" s="1"/>
      <c r="PMF238" s="1"/>
      <c r="PMG238" s="1"/>
      <c r="PMH238" s="1"/>
      <c r="PMI238" s="1"/>
      <c r="PMJ238" s="1"/>
      <c r="PMK238" s="1"/>
      <c r="PML238" s="1"/>
      <c r="PMM238" s="1"/>
      <c r="PMN238" s="1"/>
      <c r="PMO238" s="1"/>
      <c r="PMP238" s="1"/>
      <c r="PMQ238" s="1"/>
      <c r="PMR238" s="1"/>
      <c r="PMS238" s="1"/>
      <c r="PMT238" s="1"/>
      <c r="PMU238" s="1"/>
      <c r="PMV238" s="1"/>
      <c r="PMW238" s="1"/>
      <c r="PMX238" s="1"/>
      <c r="PMY238" s="1"/>
      <c r="PMZ238" s="1"/>
      <c r="PNA238" s="1"/>
      <c r="PNB238" s="1"/>
      <c r="PNC238" s="1"/>
      <c r="PND238" s="1"/>
      <c r="PNE238" s="1"/>
      <c r="PNF238" s="1"/>
      <c r="PNG238" s="1"/>
      <c r="PNH238" s="1"/>
      <c r="PNI238" s="1"/>
      <c r="PNJ238" s="1"/>
      <c r="PNK238" s="1"/>
      <c r="PNL238" s="1"/>
      <c r="PNM238" s="1"/>
      <c r="PNN238" s="1"/>
      <c r="PNO238" s="1"/>
      <c r="PNP238" s="1"/>
      <c r="PNQ238" s="1"/>
      <c r="PNR238" s="1"/>
      <c r="PNS238" s="1"/>
      <c r="PNT238" s="1"/>
      <c r="PNU238" s="1"/>
      <c r="PNV238" s="1"/>
      <c r="PNW238" s="1"/>
      <c r="PNX238" s="1"/>
      <c r="PNY238" s="1"/>
      <c r="PNZ238" s="1"/>
      <c r="POA238" s="1"/>
      <c r="POB238" s="1"/>
      <c r="POC238" s="1"/>
      <c r="POD238" s="1"/>
      <c r="POE238" s="1"/>
      <c r="POF238" s="1"/>
      <c r="POG238" s="1"/>
      <c r="POH238" s="1"/>
      <c r="POI238" s="1"/>
      <c r="POJ238" s="1"/>
      <c r="POK238" s="1"/>
      <c r="POL238" s="1"/>
      <c r="POM238" s="1"/>
      <c r="PON238" s="1"/>
      <c r="POO238" s="1"/>
      <c r="POP238" s="1"/>
      <c r="POQ238" s="1"/>
      <c r="POR238" s="1"/>
      <c r="POS238" s="1"/>
      <c r="POT238" s="1"/>
      <c r="POU238" s="1"/>
      <c r="POV238" s="1"/>
      <c r="POW238" s="1"/>
      <c r="POX238" s="1"/>
      <c r="POY238" s="1"/>
      <c r="POZ238" s="1"/>
      <c r="PPA238" s="1"/>
      <c r="PPB238" s="1"/>
      <c r="PPC238" s="1"/>
      <c r="PPD238" s="1"/>
      <c r="PPE238" s="1"/>
      <c r="PPF238" s="1"/>
      <c r="PPG238" s="1"/>
      <c r="PPH238" s="1"/>
      <c r="PPI238" s="1"/>
      <c r="PPJ238" s="1"/>
      <c r="PPK238" s="1"/>
      <c r="PPL238" s="1"/>
      <c r="PPM238" s="1"/>
      <c r="PPN238" s="1"/>
      <c r="PPO238" s="1"/>
      <c r="PPP238" s="1"/>
      <c r="PPQ238" s="1"/>
      <c r="PPR238" s="1"/>
      <c r="PPS238" s="1"/>
      <c r="PPT238" s="1"/>
      <c r="PPU238" s="1"/>
      <c r="PPV238" s="1"/>
      <c r="PPW238" s="1"/>
      <c r="PPX238" s="1"/>
      <c r="PPY238" s="1"/>
      <c r="PPZ238" s="1"/>
      <c r="PQA238" s="1"/>
      <c r="PQB238" s="1"/>
      <c r="PQC238" s="1"/>
      <c r="PQD238" s="1"/>
      <c r="PQE238" s="1"/>
      <c r="PQF238" s="1"/>
      <c r="PQG238" s="1"/>
      <c r="PQH238" s="1"/>
      <c r="PQI238" s="1"/>
      <c r="PQJ238" s="1"/>
      <c r="PQK238" s="1"/>
      <c r="PQL238" s="1"/>
      <c r="PQM238" s="1"/>
      <c r="PQN238" s="1"/>
      <c r="PQO238" s="1"/>
      <c r="PQP238" s="1"/>
      <c r="PQQ238" s="1"/>
      <c r="PQR238" s="1"/>
      <c r="PQS238" s="1"/>
      <c r="PQT238" s="1"/>
      <c r="PQU238" s="1"/>
      <c r="PQV238" s="1"/>
      <c r="PQW238" s="1"/>
      <c r="PQX238" s="1"/>
      <c r="PQY238" s="1"/>
      <c r="PQZ238" s="1"/>
      <c r="PRA238" s="1"/>
      <c r="PRB238" s="1"/>
      <c r="PRC238" s="1"/>
      <c r="PRD238" s="1"/>
      <c r="PRE238" s="1"/>
      <c r="PRF238" s="1"/>
      <c r="PRG238" s="1"/>
      <c r="PRH238" s="1"/>
      <c r="PRI238" s="1"/>
      <c r="PRJ238" s="1"/>
      <c r="PRK238" s="1"/>
      <c r="PRL238" s="1"/>
      <c r="PRM238" s="1"/>
      <c r="PRN238" s="1"/>
      <c r="PRO238" s="1"/>
      <c r="PRP238" s="1"/>
      <c r="PRQ238" s="1"/>
      <c r="PRR238" s="1"/>
      <c r="PRS238" s="1"/>
      <c r="PRT238" s="1"/>
      <c r="PRU238" s="1"/>
      <c r="PRV238" s="1"/>
      <c r="PRW238" s="1"/>
      <c r="PRX238" s="1"/>
      <c r="PRY238" s="1"/>
      <c r="PRZ238" s="1"/>
      <c r="PSA238" s="1"/>
      <c r="PSB238" s="1"/>
      <c r="PSC238" s="1"/>
      <c r="PSD238" s="1"/>
      <c r="PSE238" s="1"/>
      <c r="PSF238" s="1"/>
      <c r="PSG238" s="1"/>
      <c r="PSH238" s="1"/>
      <c r="PSI238" s="1"/>
      <c r="PSJ238" s="1"/>
      <c r="PSK238" s="1"/>
      <c r="PSL238" s="1"/>
      <c r="PSM238" s="1"/>
      <c r="PSN238" s="1"/>
      <c r="PSO238" s="1"/>
      <c r="PSP238" s="1"/>
      <c r="PSQ238" s="1"/>
      <c r="PSR238" s="1"/>
      <c r="PSS238" s="1"/>
      <c r="PST238" s="1"/>
      <c r="PSU238" s="1"/>
      <c r="PSV238" s="1"/>
      <c r="PSW238" s="1"/>
      <c r="PSX238" s="1"/>
      <c r="PSY238" s="1"/>
      <c r="PSZ238" s="1"/>
      <c r="PTA238" s="1"/>
      <c r="PTB238" s="1"/>
      <c r="PTC238" s="1"/>
      <c r="PTD238" s="1"/>
      <c r="PTE238" s="1"/>
      <c r="PTF238" s="1"/>
      <c r="PTG238" s="1"/>
      <c r="PTH238" s="1"/>
      <c r="PTI238" s="1"/>
      <c r="PTJ238" s="1"/>
      <c r="PTK238" s="1"/>
      <c r="PTL238" s="1"/>
      <c r="PTM238" s="1"/>
      <c r="PTN238" s="1"/>
      <c r="PTO238" s="1"/>
      <c r="PTP238" s="1"/>
      <c r="PTQ238" s="1"/>
      <c r="PTR238" s="1"/>
      <c r="PTS238" s="1"/>
      <c r="PTT238" s="1"/>
      <c r="PTU238" s="1"/>
      <c r="PTV238" s="1"/>
      <c r="PTW238" s="1"/>
      <c r="PTX238" s="1"/>
      <c r="PTY238" s="1"/>
      <c r="PTZ238" s="1"/>
      <c r="PUA238" s="1"/>
      <c r="PUB238" s="1"/>
      <c r="PUC238" s="1"/>
      <c r="PUD238" s="1"/>
      <c r="PUE238" s="1"/>
      <c r="PUF238" s="1"/>
      <c r="PUG238" s="1"/>
      <c r="PUH238" s="1"/>
      <c r="PUI238" s="1"/>
      <c r="PUJ238" s="1"/>
      <c r="PUK238" s="1"/>
      <c r="PUL238" s="1"/>
      <c r="PUM238" s="1"/>
      <c r="PUN238" s="1"/>
      <c r="PUO238" s="1"/>
      <c r="PUP238" s="1"/>
      <c r="PUQ238" s="1"/>
      <c r="PUR238" s="1"/>
      <c r="PUS238" s="1"/>
      <c r="PUT238" s="1"/>
      <c r="PUU238" s="1"/>
      <c r="PUV238" s="1"/>
      <c r="PUW238" s="1"/>
      <c r="PUX238" s="1"/>
      <c r="PUY238" s="1"/>
      <c r="PUZ238" s="1"/>
      <c r="PVA238" s="1"/>
      <c r="PVB238" s="1"/>
      <c r="PVC238" s="1"/>
      <c r="PVD238" s="1"/>
      <c r="PVE238" s="1"/>
      <c r="PVF238" s="1"/>
      <c r="PVG238" s="1"/>
      <c r="PVH238" s="1"/>
      <c r="PVI238" s="1"/>
      <c r="PVJ238" s="1"/>
      <c r="PVK238" s="1"/>
      <c r="PVL238" s="1"/>
      <c r="PVM238" s="1"/>
      <c r="PVN238" s="1"/>
      <c r="PVO238" s="1"/>
      <c r="PVP238" s="1"/>
      <c r="PVQ238" s="1"/>
      <c r="PVR238" s="1"/>
      <c r="PVS238" s="1"/>
      <c r="PVT238" s="1"/>
      <c r="PVU238" s="1"/>
      <c r="PVV238" s="1"/>
      <c r="PVW238" s="1"/>
      <c r="PVX238" s="1"/>
      <c r="PVY238" s="1"/>
      <c r="PVZ238" s="1"/>
      <c r="PWA238" s="1"/>
      <c r="PWB238" s="1"/>
      <c r="PWC238" s="1"/>
      <c r="PWD238" s="1"/>
      <c r="PWE238" s="1"/>
      <c r="PWF238" s="1"/>
      <c r="PWG238" s="1"/>
      <c r="PWH238" s="1"/>
      <c r="PWI238" s="1"/>
      <c r="PWJ238" s="1"/>
      <c r="PWK238" s="1"/>
      <c r="PWL238" s="1"/>
      <c r="PWM238" s="1"/>
      <c r="PWN238" s="1"/>
      <c r="PWO238" s="1"/>
      <c r="PWP238" s="1"/>
      <c r="PWQ238" s="1"/>
      <c r="PWR238" s="1"/>
      <c r="PWS238" s="1"/>
      <c r="PWT238" s="1"/>
      <c r="PWU238" s="1"/>
      <c r="PWV238" s="1"/>
      <c r="PWW238" s="1"/>
      <c r="PWX238" s="1"/>
      <c r="PWY238" s="1"/>
      <c r="PWZ238" s="1"/>
      <c r="PXA238" s="1"/>
      <c r="PXB238" s="1"/>
      <c r="PXC238" s="1"/>
      <c r="PXD238" s="1"/>
      <c r="PXE238" s="1"/>
      <c r="PXF238" s="1"/>
      <c r="PXG238" s="1"/>
      <c r="PXH238" s="1"/>
      <c r="PXI238" s="1"/>
      <c r="PXJ238" s="1"/>
      <c r="PXK238" s="1"/>
      <c r="PXL238" s="1"/>
      <c r="PXM238" s="1"/>
      <c r="PXN238" s="1"/>
      <c r="PXO238" s="1"/>
      <c r="PXP238" s="1"/>
      <c r="PXQ238" s="1"/>
      <c r="PXR238" s="1"/>
      <c r="PXS238" s="1"/>
      <c r="PXT238" s="1"/>
      <c r="PXU238" s="1"/>
      <c r="PXV238" s="1"/>
      <c r="PXW238" s="1"/>
      <c r="PXX238" s="1"/>
      <c r="PXY238" s="1"/>
      <c r="PXZ238" s="1"/>
      <c r="PYA238" s="1"/>
      <c r="PYB238" s="1"/>
      <c r="PYC238" s="1"/>
      <c r="PYD238" s="1"/>
      <c r="PYE238" s="1"/>
      <c r="PYF238" s="1"/>
      <c r="PYG238" s="1"/>
      <c r="PYH238" s="1"/>
      <c r="PYI238" s="1"/>
      <c r="PYJ238" s="1"/>
      <c r="PYK238" s="1"/>
      <c r="PYL238" s="1"/>
      <c r="PYM238" s="1"/>
      <c r="PYN238" s="1"/>
      <c r="PYO238" s="1"/>
      <c r="PYP238" s="1"/>
      <c r="PYQ238" s="1"/>
      <c r="PYR238" s="1"/>
      <c r="PYS238" s="1"/>
      <c r="PYT238" s="1"/>
      <c r="PYU238" s="1"/>
      <c r="PYV238" s="1"/>
      <c r="PYW238" s="1"/>
      <c r="PYX238" s="1"/>
      <c r="PYY238" s="1"/>
      <c r="PYZ238" s="1"/>
      <c r="PZA238" s="1"/>
      <c r="PZB238" s="1"/>
      <c r="PZC238" s="1"/>
      <c r="PZD238" s="1"/>
      <c r="PZE238" s="1"/>
      <c r="PZF238" s="1"/>
      <c r="PZG238" s="1"/>
      <c r="PZH238" s="1"/>
      <c r="PZI238" s="1"/>
      <c r="PZJ238" s="1"/>
      <c r="PZK238" s="1"/>
      <c r="PZL238" s="1"/>
      <c r="PZM238" s="1"/>
      <c r="PZN238" s="1"/>
      <c r="PZO238" s="1"/>
      <c r="PZP238" s="1"/>
      <c r="PZQ238" s="1"/>
      <c r="PZR238" s="1"/>
      <c r="PZS238" s="1"/>
      <c r="PZT238" s="1"/>
      <c r="PZU238" s="1"/>
      <c r="PZV238" s="1"/>
      <c r="PZW238" s="1"/>
      <c r="PZX238" s="1"/>
      <c r="PZY238" s="1"/>
      <c r="PZZ238" s="1"/>
      <c r="QAA238" s="1"/>
      <c r="QAB238" s="1"/>
      <c r="QAC238" s="1"/>
      <c r="QAD238" s="1"/>
      <c r="QAE238" s="1"/>
      <c r="QAF238" s="1"/>
      <c r="QAG238" s="1"/>
      <c r="QAH238" s="1"/>
      <c r="QAI238" s="1"/>
      <c r="QAJ238" s="1"/>
      <c r="QAK238" s="1"/>
      <c r="QAL238" s="1"/>
      <c r="QAM238" s="1"/>
      <c r="QAN238" s="1"/>
      <c r="QAO238" s="1"/>
      <c r="QAP238" s="1"/>
      <c r="QAQ238" s="1"/>
      <c r="QAR238" s="1"/>
      <c r="QAS238" s="1"/>
      <c r="QAT238" s="1"/>
      <c r="QAU238" s="1"/>
      <c r="QAV238" s="1"/>
      <c r="QAW238" s="1"/>
      <c r="QAX238" s="1"/>
      <c r="QAY238" s="1"/>
      <c r="QAZ238" s="1"/>
      <c r="QBA238" s="1"/>
      <c r="QBB238" s="1"/>
      <c r="QBC238" s="1"/>
      <c r="QBD238" s="1"/>
      <c r="QBE238" s="1"/>
      <c r="QBF238" s="1"/>
      <c r="QBG238" s="1"/>
      <c r="QBH238" s="1"/>
      <c r="QBI238" s="1"/>
      <c r="QBJ238" s="1"/>
      <c r="QBK238" s="1"/>
      <c r="QBL238" s="1"/>
      <c r="QBM238" s="1"/>
      <c r="QBN238" s="1"/>
      <c r="QBO238" s="1"/>
      <c r="QBP238" s="1"/>
      <c r="QBQ238" s="1"/>
      <c r="QBR238" s="1"/>
      <c r="QBS238" s="1"/>
      <c r="QBT238" s="1"/>
      <c r="QBU238" s="1"/>
      <c r="QBV238" s="1"/>
      <c r="QBW238" s="1"/>
      <c r="QBX238" s="1"/>
      <c r="QBY238" s="1"/>
      <c r="QBZ238" s="1"/>
      <c r="QCA238" s="1"/>
      <c r="QCB238" s="1"/>
      <c r="QCC238" s="1"/>
      <c r="QCD238" s="1"/>
      <c r="QCE238" s="1"/>
      <c r="QCF238" s="1"/>
      <c r="QCG238" s="1"/>
      <c r="QCH238" s="1"/>
      <c r="QCI238" s="1"/>
      <c r="QCJ238" s="1"/>
      <c r="QCK238" s="1"/>
      <c r="QCL238" s="1"/>
      <c r="QCM238" s="1"/>
      <c r="QCN238" s="1"/>
      <c r="QCO238" s="1"/>
      <c r="QCP238" s="1"/>
      <c r="QCQ238" s="1"/>
      <c r="QCR238" s="1"/>
      <c r="QCS238" s="1"/>
      <c r="QCT238" s="1"/>
      <c r="QCU238" s="1"/>
      <c r="QCV238" s="1"/>
      <c r="QCW238" s="1"/>
      <c r="QCX238" s="1"/>
      <c r="QCY238" s="1"/>
      <c r="QCZ238" s="1"/>
      <c r="QDA238" s="1"/>
      <c r="QDB238" s="1"/>
      <c r="QDC238" s="1"/>
      <c r="QDD238" s="1"/>
      <c r="QDE238" s="1"/>
      <c r="QDF238" s="1"/>
      <c r="QDG238" s="1"/>
      <c r="QDH238" s="1"/>
      <c r="QDI238" s="1"/>
      <c r="QDJ238" s="1"/>
      <c r="QDK238" s="1"/>
      <c r="QDL238" s="1"/>
      <c r="QDM238" s="1"/>
      <c r="QDN238" s="1"/>
      <c r="QDO238" s="1"/>
      <c r="QDP238" s="1"/>
      <c r="QDQ238" s="1"/>
      <c r="QDR238" s="1"/>
      <c r="QDS238" s="1"/>
      <c r="QDT238" s="1"/>
      <c r="QDU238" s="1"/>
      <c r="QDV238" s="1"/>
      <c r="QDW238" s="1"/>
      <c r="QDX238" s="1"/>
      <c r="QDY238" s="1"/>
      <c r="QDZ238" s="1"/>
      <c r="QEA238" s="1"/>
      <c r="QEB238" s="1"/>
      <c r="QEC238" s="1"/>
      <c r="QED238" s="1"/>
      <c r="QEE238" s="1"/>
      <c r="QEF238" s="1"/>
      <c r="QEG238" s="1"/>
      <c r="QEH238" s="1"/>
      <c r="QEI238" s="1"/>
      <c r="QEJ238" s="1"/>
      <c r="QEK238" s="1"/>
      <c r="QEL238" s="1"/>
      <c r="QEM238" s="1"/>
      <c r="QEN238" s="1"/>
      <c r="QEO238" s="1"/>
      <c r="QEP238" s="1"/>
      <c r="QEQ238" s="1"/>
      <c r="QER238" s="1"/>
      <c r="QES238" s="1"/>
      <c r="QET238" s="1"/>
      <c r="QEU238" s="1"/>
      <c r="QEV238" s="1"/>
      <c r="QEW238" s="1"/>
      <c r="QEX238" s="1"/>
      <c r="QEY238" s="1"/>
      <c r="QEZ238" s="1"/>
      <c r="QFA238" s="1"/>
      <c r="QFB238" s="1"/>
      <c r="QFC238" s="1"/>
      <c r="QFD238" s="1"/>
      <c r="QFE238" s="1"/>
      <c r="QFF238" s="1"/>
      <c r="QFG238" s="1"/>
      <c r="QFH238" s="1"/>
      <c r="QFI238" s="1"/>
      <c r="QFJ238" s="1"/>
      <c r="QFK238" s="1"/>
      <c r="QFL238" s="1"/>
      <c r="QFM238" s="1"/>
      <c r="QFN238" s="1"/>
      <c r="QFO238" s="1"/>
      <c r="QFP238" s="1"/>
      <c r="QFQ238" s="1"/>
      <c r="QFR238" s="1"/>
      <c r="QFS238" s="1"/>
      <c r="QFT238" s="1"/>
      <c r="QFU238" s="1"/>
      <c r="QFV238" s="1"/>
      <c r="QFW238" s="1"/>
      <c r="QFX238" s="1"/>
      <c r="QFY238" s="1"/>
      <c r="QFZ238" s="1"/>
      <c r="QGA238" s="1"/>
      <c r="QGB238" s="1"/>
      <c r="QGC238" s="1"/>
      <c r="QGD238" s="1"/>
      <c r="QGE238" s="1"/>
      <c r="QGF238" s="1"/>
      <c r="QGG238" s="1"/>
      <c r="QGH238" s="1"/>
      <c r="QGI238" s="1"/>
      <c r="QGJ238" s="1"/>
      <c r="QGK238" s="1"/>
      <c r="QGL238" s="1"/>
      <c r="QGM238" s="1"/>
      <c r="QGN238" s="1"/>
      <c r="QGO238" s="1"/>
      <c r="QGP238" s="1"/>
      <c r="QGQ238" s="1"/>
      <c r="QGR238" s="1"/>
      <c r="QGS238" s="1"/>
      <c r="QGT238" s="1"/>
      <c r="QGU238" s="1"/>
      <c r="QGV238" s="1"/>
      <c r="QGW238" s="1"/>
      <c r="QGX238" s="1"/>
      <c r="QGY238" s="1"/>
      <c r="QGZ238" s="1"/>
      <c r="QHA238" s="1"/>
      <c r="QHB238" s="1"/>
      <c r="QHC238" s="1"/>
      <c r="QHD238" s="1"/>
      <c r="QHE238" s="1"/>
      <c r="QHF238" s="1"/>
      <c r="QHG238" s="1"/>
      <c r="QHH238" s="1"/>
      <c r="QHI238" s="1"/>
      <c r="QHJ238" s="1"/>
      <c r="QHK238" s="1"/>
      <c r="QHL238" s="1"/>
      <c r="QHM238" s="1"/>
      <c r="QHN238" s="1"/>
      <c r="QHO238" s="1"/>
      <c r="QHP238" s="1"/>
      <c r="QHQ238" s="1"/>
      <c r="QHR238" s="1"/>
      <c r="QHS238" s="1"/>
      <c r="QHT238" s="1"/>
      <c r="QHU238" s="1"/>
      <c r="QHV238" s="1"/>
      <c r="QHW238" s="1"/>
      <c r="QHX238" s="1"/>
      <c r="QHY238" s="1"/>
      <c r="QHZ238" s="1"/>
      <c r="QIA238" s="1"/>
      <c r="QIB238" s="1"/>
      <c r="QIC238" s="1"/>
      <c r="QID238" s="1"/>
      <c r="QIE238" s="1"/>
      <c r="QIF238" s="1"/>
      <c r="QIG238" s="1"/>
      <c r="QIH238" s="1"/>
      <c r="QII238" s="1"/>
      <c r="QIJ238" s="1"/>
      <c r="QIK238" s="1"/>
      <c r="QIL238" s="1"/>
      <c r="QIM238" s="1"/>
      <c r="QIN238" s="1"/>
      <c r="QIO238" s="1"/>
      <c r="QIP238" s="1"/>
      <c r="QIQ238" s="1"/>
      <c r="QIR238" s="1"/>
      <c r="QIS238" s="1"/>
      <c r="QIT238" s="1"/>
      <c r="QIU238" s="1"/>
      <c r="QIV238" s="1"/>
      <c r="QIW238" s="1"/>
      <c r="QIX238" s="1"/>
      <c r="QIY238" s="1"/>
      <c r="QIZ238" s="1"/>
      <c r="QJA238" s="1"/>
      <c r="QJB238" s="1"/>
      <c r="QJC238" s="1"/>
      <c r="QJD238" s="1"/>
      <c r="QJE238" s="1"/>
      <c r="QJF238" s="1"/>
      <c r="QJG238" s="1"/>
      <c r="QJH238" s="1"/>
      <c r="QJI238" s="1"/>
      <c r="QJJ238" s="1"/>
      <c r="QJK238" s="1"/>
      <c r="QJL238" s="1"/>
      <c r="QJM238" s="1"/>
      <c r="QJN238" s="1"/>
      <c r="QJO238" s="1"/>
      <c r="QJP238" s="1"/>
      <c r="QJQ238" s="1"/>
      <c r="QJR238" s="1"/>
      <c r="QJS238" s="1"/>
      <c r="QJT238" s="1"/>
      <c r="QJU238" s="1"/>
      <c r="QJV238" s="1"/>
      <c r="QJW238" s="1"/>
      <c r="QJX238" s="1"/>
      <c r="QJY238" s="1"/>
      <c r="QJZ238" s="1"/>
      <c r="QKA238" s="1"/>
      <c r="QKB238" s="1"/>
      <c r="QKC238" s="1"/>
      <c r="QKD238" s="1"/>
      <c r="QKE238" s="1"/>
      <c r="QKF238" s="1"/>
      <c r="QKG238" s="1"/>
      <c r="QKH238" s="1"/>
      <c r="QKI238" s="1"/>
      <c r="QKJ238" s="1"/>
      <c r="QKK238" s="1"/>
      <c r="QKL238" s="1"/>
      <c r="QKM238" s="1"/>
      <c r="QKN238" s="1"/>
      <c r="QKO238" s="1"/>
      <c r="QKP238" s="1"/>
      <c r="QKQ238" s="1"/>
      <c r="QKR238" s="1"/>
      <c r="QKS238" s="1"/>
      <c r="QKT238" s="1"/>
      <c r="QKU238" s="1"/>
      <c r="QKV238" s="1"/>
      <c r="QKW238" s="1"/>
      <c r="QKX238" s="1"/>
      <c r="QKY238" s="1"/>
      <c r="QKZ238" s="1"/>
      <c r="QLA238" s="1"/>
      <c r="QLB238" s="1"/>
      <c r="QLC238" s="1"/>
      <c r="QLD238" s="1"/>
      <c r="QLE238" s="1"/>
      <c r="QLF238" s="1"/>
      <c r="QLG238" s="1"/>
      <c r="QLH238" s="1"/>
      <c r="QLI238" s="1"/>
      <c r="QLJ238" s="1"/>
      <c r="QLK238" s="1"/>
      <c r="QLL238" s="1"/>
      <c r="QLM238" s="1"/>
      <c r="QLN238" s="1"/>
      <c r="QLO238" s="1"/>
      <c r="QLP238" s="1"/>
      <c r="QLQ238" s="1"/>
      <c r="QLR238" s="1"/>
      <c r="QLS238" s="1"/>
      <c r="QLT238" s="1"/>
      <c r="QLU238" s="1"/>
      <c r="QLV238" s="1"/>
      <c r="QLW238" s="1"/>
      <c r="QLX238" s="1"/>
      <c r="QLY238" s="1"/>
      <c r="QLZ238" s="1"/>
      <c r="QMA238" s="1"/>
      <c r="QMB238" s="1"/>
      <c r="QMC238" s="1"/>
      <c r="QMD238" s="1"/>
      <c r="QME238" s="1"/>
      <c r="QMF238" s="1"/>
      <c r="QMG238" s="1"/>
      <c r="QMH238" s="1"/>
      <c r="QMI238" s="1"/>
      <c r="QMJ238" s="1"/>
      <c r="QMK238" s="1"/>
      <c r="QML238" s="1"/>
      <c r="QMM238" s="1"/>
      <c r="QMN238" s="1"/>
      <c r="QMO238" s="1"/>
      <c r="QMP238" s="1"/>
      <c r="QMQ238" s="1"/>
      <c r="QMR238" s="1"/>
      <c r="QMS238" s="1"/>
      <c r="QMT238" s="1"/>
      <c r="QMU238" s="1"/>
      <c r="QMV238" s="1"/>
      <c r="QMW238" s="1"/>
      <c r="QMX238" s="1"/>
      <c r="QMY238" s="1"/>
      <c r="QMZ238" s="1"/>
      <c r="QNA238" s="1"/>
      <c r="QNB238" s="1"/>
      <c r="QNC238" s="1"/>
      <c r="QND238" s="1"/>
      <c r="QNE238" s="1"/>
      <c r="QNF238" s="1"/>
      <c r="QNG238" s="1"/>
      <c r="QNH238" s="1"/>
      <c r="QNI238" s="1"/>
      <c r="QNJ238" s="1"/>
      <c r="QNK238" s="1"/>
      <c r="QNL238" s="1"/>
      <c r="QNM238" s="1"/>
      <c r="QNN238" s="1"/>
      <c r="QNO238" s="1"/>
      <c r="QNP238" s="1"/>
      <c r="QNQ238" s="1"/>
      <c r="QNR238" s="1"/>
      <c r="QNS238" s="1"/>
      <c r="QNT238" s="1"/>
      <c r="QNU238" s="1"/>
      <c r="QNV238" s="1"/>
      <c r="QNW238" s="1"/>
      <c r="QNX238" s="1"/>
      <c r="QNY238" s="1"/>
      <c r="QNZ238" s="1"/>
      <c r="QOA238" s="1"/>
      <c r="QOB238" s="1"/>
      <c r="QOC238" s="1"/>
      <c r="QOD238" s="1"/>
      <c r="QOE238" s="1"/>
      <c r="QOF238" s="1"/>
      <c r="QOG238" s="1"/>
      <c r="QOH238" s="1"/>
      <c r="QOI238" s="1"/>
      <c r="QOJ238" s="1"/>
      <c r="QOK238" s="1"/>
      <c r="QOL238" s="1"/>
      <c r="QOM238" s="1"/>
      <c r="QON238" s="1"/>
      <c r="QOO238" s="1"/>
      <c r="QOP238" s="1"/>
      <c r="QOQ238" s="1"/>
      <c r="QOR238" s="1"/>
      <c r="QOS238" s="1"/>
      <c r="QOT238" s="1"/>
      <c r="QOU238" s="1"/>
      <c r="QOV238" s="1"/>
      <c r="QOW238" s="1"/>
      <c r="QOX238" s="1"/>
      <c r="QOY238" s="1"/>
      <c r="QOZ238" s="1"/>
      <c r="QPA238" s="1"/>
      <c r="QPB238" s="1"/>
      <c r="QPC238" s="1"/>
      <c r="QPD238" s="1"/>
      <c r="QPE238" s="1"/>
      <c r="QPF238" s="1"/>
      <c r="QPG238" s="1"/>
      <c r="QPH238" s="1"/>
      <c r="QPI238" s="1"/>
      <c r="QPJ238" s="1"/>
      <c r="QPK238" s="1"/>
      <c r="QPL238" s="1"/>
      <c r="QPM238" s="1"/>
      <c r="QPN238" s="1"/>
      <c r="QPO238" s="1"/>
      <c r="QPP238" s="1"/>
      <c r="QPQ238" s="1"/>
      <c r="QPR238" s="1"/>
      <c r="QPS238" s="1"/>
      <c r="QPT238" s="1"/>
      <c r="QPU238" s="1"/>
      <c r="QPV238" s="1"/>
      <c r="QPW238" s="1"/>
      <c r="QPX238" s="1"/>
      <c r="QPY238" s="1"/>
      <c r="QPZ238" s="1"/>
      <c r="QQA238" s="1"/>
      <c r="QQB238" s="1"/>
      <c r="QQC238" s="1"/>
      <c r="QQD238" s="1"/>
      <c r="QQE238" s="1"/>
      <c r="QQF238" s="1"/>
      <c r="QQG238" s="1"/>
      <c r="QQH238" s="1"/>
      <c r="QQI238" s="1"/>
      <c r="QQJ238" s="1"/>
      <c r="QQK238" s="1"/>
      <c r="QQL238" s="1"/>
      <c r="QQM238" s="1"/>
      <c r="QQN238" s="1"/>
      <c r="QQO238" s="1"/>
      <c r="QQP238" s="1"/>
      <c r="QQQ238" s="1"/>
      <c r="QQR238" s="1"/>
      <c r="QQS238" s="1"/>
      <c r="QQT238" s="1"/>
      <c r="QQU238" s="1"/>
      <c r="QQV238" s="1"/>
      <c r="QQW238" s="1"/>
      <c r="QQX238" s="1"/>
      <c r="QQY238" s="1"/>
      <c r="QQZ238" s="1"/>
      <c r="QRA238" s="1"/>
      <c r="QRB238" s="1"/>
      <c r="QRC238" s="1"/>
      <c r="QRD238" s="1"/>
      <c r="QRE238" s="1"/>
      <c r="QRF238" s="1"/>
      <c r="QRG238" s="1"/>
      <c r="QRH238" s="1"/>
      <c r="QRI238" s="1"/>
      <c r="QRJ238" s="1"/>
      <c r="QRK238" s="1"/>
      <c r="QRL238" s="1"/>
      <c r="QRM238" s="1"/>
      <c r="QRN238" s="1"/>
      <c r="QRO238" s="1"/>
      <c r="QRP238" s="1"/>
      <c r="QRQ238" s="1"/>
      <c r="QRR238" s="1"/>
      <c r="QRS238" s="1"/>
      <c r="QRT238" s="1"/>
      <c r="QRU238" s="1"/>
      <c r="QRV238" s="1"/>
      <c r="QRW238" s="1"/>
      <c r="QRX238" s="1"/>
      <c r="QRY238" s="1"/>
      <c r="QRZ238" s="1"/>
      <c r="QSA238" s="1"/>
      <c r="QSB238" s="1"/>
      <c r="QSC238" s="1"/>
      <c r="QSD238" s="1"/>
      <c r="QSE238" s="1"/>
      <c r="QSF238" s="1"/>
      <c r="QSG238" s="1"/>
      <c r="QSH238" s="1"/>
      <c r="QSI238" s="1"/>
      <c r="QSJ238" s="1"/>
      <c r="QSK238" s="1"/>
      <c r="QSL238" s="1"/>
      <c r="QSM238" s="1"/>
      <c r="QSN238" s="1"/>
      <c r="QSO238" s="1"/>
      <c r="QSP238" s="1"/>
      <c r="QSQ238" s="1"/>
      <c r="QSR238" s="1"/>
      <c r="QSS238" s="1"/>
      <c r="QST238" s="1"/>
      <c r="QSU238" s="1"/>
      <c r="QSV238" s="1"/>
      <c r="QSW238" s="1"/>
      <c r="QSX238" s="1"/>
      <c r="QSY238" s="1"/>
      <c r="QSZ238" s="1"/>
      <c r="QTA238" s="1"/>
      <c r="QTB238" s="1"/>
      <c r="QTC238" s="1"/>
      <c r="QTD238" s="1"/>
      <c r="QTE238" s="1"/>
      <c r="QTF238" s="1"/>
      <c r="QTG238" s="1"/>
      <c r="QTH238" s="1"/>
      <c r="QTI238" s="1"/>
      <c r="QTJ238" s="1"/>
      <c r="QTK238" s="1"/>
      <c r="QTL238" s="1"/>
      <c r="QTM238" s="1"/>
      <c r="QTN238" s="1"/>
      <c r="QTO238" s="1"/>
      <c r="QTP238" s="1"/>
      <c r="QTQ238" s="1"/>
      <c r="QTR238" s="1"/>
      <c r="QTS238" s="1"/>
      <c r="QTT238" s="1"/>
      <c r="QTU238" s="1"/>
      <c r="QTV238" s="1"/>
      <c r="QTW238" s="1"/>
      <c r="QTX238" s="1"/>
      <c r="QTY238" s="1"/>
      <c r="QTZ238" s="1"/>
      <c r="QUA238" s="1"/>
      <c r="QUB238" s="1"/>
      <c r="QUC238" s="1"/>
      <c r="QUD238" s="1"/>
      <c r="QUE238" s="1"/>
      <c r="QUF238" s="1"/>
      <c r="QUG238" s="1"/>
      <c r="QUH238" s="1"/>
      <c r="QUI238" s="1"/>
      <c r="QUJ238" s="1"/>
      <c r="QUK238" s="1"/>
      <c r="QUL238" s="1"/>
      <c r="QUM238" s="1"/>
      <c r="QUN238" s="1"/>
      <c r="QUO238" s="1"/>
      <c r="QUP238" s="1"/>
      <c r="QUQ238" s="1"/>
      <c r="QUR238" s="1"/>
      <c r="QUS238" s="1"/>
      <c r="QUT238" s="1"/>
      <c r="QUU238" s="1"/>
      <c r="QUV238" s="1"/>
      <c r="QUW238" s="1"/>
      <c r="QUX238" s="1"/>
      <c r="QUY238" s="1"/>
      <c r="QUZ238" s="1"/>
      <c r="QVA238" s="1"/>
      <c r="QVB238" s="1"/>
      <c r="QVC238" s="1"/>
      <c r="QVD238" s="1"/>
      <c r="QVE238" s="1"/>
      <c r="QVF238" s="1"/>
      <c r="QVG238" s="1"/>
      <c r="QVH238" s="1"/>
      <c r="QVI238" s="1"/>
      <c r="QVJ238" s="1"/>
      <c r="QVK238" s="1"/>
      <c r="QVL238" s="1"/>
      <c r="QVM238" s="1"/>
      <c r="QVN238" s="1"/>
      <c r="QVO238" s="1"/>
      <c r="QVP238" s="1"/>
      <c r="QVQ238" s="1"/>
      <c r="QVR238" s="1"/>
      <c r="QVS238" s="1"/>
      <c r="QVT238" s="1"/>
      <c r="QVU238" s="1"/>
      <c r="QVV238" s="1"/>
      <c r="QVW238" s="1"/>
      <c r="QVX238" s="1"/>
      <c r="QVY238" s="1"/>
      <c r="QVZ238" s="1"/>
      <c r="QWA238" s="1"/>
      <c r="QWB238" s="1"/>
      <c r="QWC238" s="1"/>
      <c r="QWD238" s="1"/>
      <c r="QWE238" s="1"/>
      <c r="QWF238" s="1"/>
      <c r="QWG238" s="1"/>
      <c r="QWH238" s="1"/>
      <c r="QWI238" s="1"/>
      <c r="QWJ238" s="1"/>
      <c r="QWK238" s="1"/>
      <c r="QWL238" s="1"/>
      <c r="QWM238" s="1"/>
      <c r="QWN238" s="1"/>
      <c r="QWO238" s="1"/>
      <c r="QWP238" s="1"/>
      <c r="QWQ238" s="1"/>
      <c r="QWR238" s="1"/>
      <c r="QWS238" s="1"/>
      <c r="QWT238" s="1"/>
      <c r="QWU238" s="1"/>
      <c r="QWV238" s="1"/>
      <c r="QWW238" s="1"/>
      <c r="QWX238" s="1"/>
      <c r="QWY238" s="1"/>
      <c r="QWZ238" s="1"/>
      <c r="QXA238" s="1"/>
      <c r="QXB238" s="1"/>
      <c r="QXC238" s="1"/>
      <c r="QXD238" s="1"/>
      <c r="QXE238" s="1"/>
      <c r="QXF238" s="1"/>
      <c r="QXG238" s="1"/>
      <c r="QXH238" s="1"/>
      <c r="QXI238" s="1"/>
      <c r="QXJ238" s="1"/>
      <c r="QXK238" s="1"/>
      <c r="QXL238" s="1"/>
      <c r="QXM238" s="1"/>
      <c r="QXN238" s="1"/>
      <c r="QXO238" s="1"/>
      <c r="QXP238" s="1"/>
      <c r="QXQ238" s="1"/>
      <c r="QXR238" s="1"/>
      <c r="QXS238" s="1"/>
      <c r="QXT238" s="1"/>
      <c r="QXU238" s="1"/>
      <c r="QXV238" s="1"/>
      <c r="QXW238" s="1"/>
      <c r="QXX238" s="1"/>
      <c r="QXY238" s="1"/>
      <c r="QXZ238" s="1"/>
      <c r="QYA238" s="1"/>
      <c r="QYB238" s="1"/>
      <c r="QYC238" s="1"/>
      <c r="QYD238" s="1"/>
      <c r="QYE238" s="1"/>
      <c r="QYF238" s="1"/>
      <c r="QYG238" s="1"/>
      <c r="QYH238" s="1"/>
      <c r="QYI238" s="1"/>
      <c r="QYJ238" s="1"/>
      <c r="QYK238" s="1"/>
      <c r="QYL238" s="1"/>
      <c r="QYM238" s="1"/>
      <c r="QYN238" s="1"/>
      <c r="QYO238" s="1"/>
      <c r="QYP238" s="1"/>
      <c r="QYQ238" s="1"/>
      <c r="QYR238" s="1"/>
      <c r="QYS238" s="1"/>
      <c r="QYT238" s="1"/>
      <c r="QYU238" s="1"/>
      <c r="QYV238" s="1"/>
      <c r="QYW238" s="1"/>
      <c r="QYX238" s="1"/>
      <c r="QYY238" s="1"/>
      <c r="QYZ238" s="1"/>
      <c r="QZA238" s="1"/>
      <c r="QZB238" s="1"/>
      <c r="QZC238" s="1"/>
      <c r="QZD238" s="1"/>
      <c r="QZE238" s="1"/>
      <c r="QZF238" s="1"/>
      <c r="QZG238" s="1"/>
      <c r="QZH238" s="1"/>
      <c r="QZI238" s="1"/>
      <c r="QZJ238" s="1"/>
      <c r="QZK238" s="1"/>
      <c r="QZL238" s="1"/>
      <c r="QZM238" s="1"/>
      <c r="QZN238" s="1"/>
      <c r="QZO238" s="1"/>
      <c r="QZP238" s="1"/>
      <c r="QZQ238" s="1"/>
      <c r="QZR238" s="1"/>
      <c r="QZS238" s="1"/>
      <c r="QZT238" s="1"/>
      <c r="QZU238" s="1"/>
      <c r="QZV238" s="1"/>
      <c r="QZW238" s="1"/>
      <c r="QZX238" s="1"/>
      <c r="QZY238" s="1"/>
      <c r="QZZ238" s="1"/>
      <c r="RAA238" s="1"/>
      <c r="RAB238" s="1"/>
      <c r="RAC238" s="1"/>
      <c r="RAD238" s="1"/>
      <c r="RAE238" s="1"/>
      <c r="RAF238" s="1"/>
      <c r="RAG238" s="1"/>
      <c r="RAH238" s="1"/>
      <c r="RAI238" s="1"/>
      <c r="RAJ238" s="1"/>
      <c r="RAK238" s="1"/>
      <c r="RAL238" s="1"/>
      <c r="RAM238" s="1"/>
      <c r="RAN238" s="1"/>
      <c r="RAO238" s="1"/>
      <c r="RAP238" s="1"/>
      <c r="RAQ238" s="1"/>
      <c r="RAR238" s="1"/>
      <c r="RAS238" s="1"/>
      <c r="RAT238" s="1"/>
      <c r="RAU238" s="1"/>
      <c r="RAV238" s="1"/>
      <c r="RAW238" s="1"/>
      <c r="RAX238" s="1"/>
      <c r="RAY238" s="1"/>
      <c r="RAZ238" s="1"/>
      <c r="RBA238" s="1"/>
      <c r="RBB238" s="1"/>
      <c r="RBC238" s="1"/>
      <c r="RBD238" s="1"/>
      <c r="RBE238" s="1"/>
      <c r="RBF238" s="1"/>
      <c r="RBG238" s="1"/>
      <c r="RBH238" s="1"/>
      <c r="RBI238" s="1"/>
      <c r="RBJ238" s="1"/>
      <c r="RBK238" s="1"/>
      <c r="RBL238" s="1"/>
      <c r="RBM238" s="1"/>
      <c r="RBN238" s="1"/>
      <c r="RBO238" s="1"/>
      <c r="RBP238" s="1"/>
      <c r="RBQ238" s="1"/>
      <c r="RBR238" s="1"/>
      <c r="RBS238" s="1"/>
      <c r="RBT238" s="1"/>
      <c r="RBU238" s="1"/>
      <c r="RBV238" s="1"/>
      <c r="RBW238" s="1"/>
      <c r="RBX238" s="1"/>
      <c r="RBY238" s="1"/>
      <c r="RBZ238" s="1"/>
      <c r="RCA238" s="1"/>
      <c r="RCB238" s="1"/>
      <c r="RCC238" s="1"/>
      <c r="RCD238" s="1"/>
      <c r="RCE238" s="1"/>
      <c r="RCF238" s="1"/>
      <c r="RCG238" s="1"/>
      <c r="RCH238" s="1"/>
      <c r="RCI238" s="1"/>
      <c r="RCJ238" s="1"/>
      <c r="RCK238" s="1"/>
      <c r="RCL238" s="1"/>
      <c r="RCM238" s="1"/>
      <c r="RCN238" s="1"/>
      <c r="RCO238" s="1"/>
      <c r="RCP238" s="1"/>
      <c r="RCQ238" s="1"/>
      <c r="RCR238" s="1"/>
      <c r="RCS238" s="1"/>
      <c r="RCT238" s="1"/>
      <c r="RCU238" s="1"/>
      <c r="RCV238" s="1"/>
      <c r="RCW238" s="1"/>
      <c r="RCX238" s="1"/>
      <c r="RCY238" s="1"/>
      <c r="RCZ238" s="1"/>
      <c r="RDA238" s="1"/>
      <c r="RDB238" s="1"/>
      <c r="RDC238" s="1"/>
      <c r="RDD238" s="1"/>
      <c r="RDE238" s="1"/>
      <c r="RDF238" s="1"/>
      <c r="RDG238" s="1"/>
      <c r="RDH238" s="1"/>
      <c r="RDI238" s="1"/>
      <c r="RDJ238" s="1"/>
      <c r="RDK238" s="1"/>
      <c r="RDL238" s="1"/>
      <c r="RDM238" s="1"/>
      <c r="RDN238" s="1"/>
      <c r="RDO238" s="1"/>
      <c r="RDP238" s="1"/>
      <c r="RDQ238" s="1"/>
      <c r="RDR238" s="1"/>
      <c r="RDS238" s="1"/>
      <c r="RDT238" s="1"/>
      <c r="RDU238" s="1"/>
      <c r="RDV238" s="1"/>
      <c r="RDW238" s="1"/>
      <c r="RDX238" s="1"/>
      <c r="RDY238" s="1"/>
      <c r="RDZ238" s="1"/>
      <c r="REA238" s="1"/>
      <c r="REB238" s="1"/>
      <c r="REC238" s="1"/>
      <c r="RED238" s="1"/>
      <c r="REE238" s="1"/>
      <c r="REF238" s="1"/>
      <c r="REG238" s="1"/>
      <c r="REH238" s="1"/>
      <c r="REI238" s="1"/>
      <c r="REJ238" s="1"/>
      <c r="REK238" s="1"/>
      <c r="REL238" s="1"/>
      <c r="REM238" s="1"/>
      <c r="REN238" s="1"/>
      <c r="REO238" s="1"/>
      <c r="REP238" s="1"/>
      <c r="REQ238" s="1"/>
      <c r="RER238" s="1"/>
      <c r="RES238" s="1"/>
      <c r="RET238" s="1"/>
      <c r="REU238" s="1"/>
      <c r="REV238" s="1"/>
      <c r="REW238" s="1"/>
      <c r="REX238" s="1"/>
      <c r="REY238" s="1"/>
      <c r="REZ238" s="1"/>
      <c r="RFA238" s="1"/>
      <c r="RFB238" s="1"/>
      <c r="RFC238" s="1"/>
      <c r="RFD238" s="1"/>
      <c r="RFE238" s="1"/>
      <c r="RFF238" s="1"/>
      <c r="RFG238" s="1"/>
      <c r="RFH238" s="1"/>
      <c r="RFI238" s="1"/>
      <c r="RFJ238" s="1"/>
      <c r="RFK238" s="1"/>
      <c r="RFL238" s="1"/>
      <c r="RFM238" s="1"/>
      <c r="RFN238" s="1"/>
      <c r="RFO238" s="1"/>
      <c r="RFP238" s="1"/>
      <c r="RFQ238" s="1"/>
      <c r="RFR238" s="1"/>
      <c r="RFS238" s="1"/>
      <c r="RFT238" s="1"/>
      <c r="RFU238" s="1"/>
      <c r="RFV238" s="1"/>
      <c r="RFW238" s="1"/>
      <c r="RFX238" s="1"/>
      <c r="RFY238" s="1"/>
      <c r="RFZ238" s="1"/>
      <c r="RGA238" s="1"/>
      <c r="RGB238" s="1"/>
      <c r="RGC238" s="1"/>
      <c r="RGD238" s="1"/>
      <c r="RGE238" s="1"/>
      <c r="RGF238" s="1"/>
      <c r="RGG238" s="1"/>
      <c r="RGH238" s="1"/>
      <c r="RGI238" s="1"/>
      <c r="RGJ238" s="1"/>
      <c r="RGK238" s="1"/>
      <c r="RGL238" s="1"/>
      <c r="RGM238" s="1"/>
      <c r="RGN238" s="1"/>
      <c r="RGO238" s="1"/>
      <c r="RGP238" s="1"/>
      <c r="RGQ238" s="1"/>
      <c r="RGR238" s="1"/>
      <c r="RGS238" s="1"/>
      <c r="RGT238" s="1"/>
      <c r="RGU238" s="1"/>
      <c r="RGV238" s="1"/>
      <c r="RGW238" s="1"/>
      <c r="RGX238" s="1"/>
      <c r="RGY238" s="1"/>
      <c r="RGZ238" s="1"/>
      <c r="RHA238" s="1"/>
      <c r="RHB238" s="1"/>
      <c r="RHC238" s="1"/>
      <c r="RHD238" s="1"/>
      <c r="RHE238" s="1"/>
      <c r="RHF238" s="1"/>
      <c r="RHG238" s="1"/>
      <c r="RHH238" s="1"/>
      <c r="RHI238" s="1"/>
      <c r="RHJ238" s="1"/>
      <c r="RHK238" s="1"/>
      <c r="RHL238" s="1"/>
      <c r="RHM238" s="1"/>
      <c r="RHN238" s="1"/>
      <c r="RHO238" s="1"/>
      <c r="RHP238" s="1"/>
      <c r="RHQ238" s="1"/>
      <c r="RHR238" s="1"/>
      <c r="RHS238" s="1"/>
      <c r="RHT238" s="1"/>
      <c r="RHU238" s="1"/>
      <c r="RHV238" s="1"/>
      <c r="RHW238" s="1"/>
      <c r="RHX238" s="1"/>
      <c r="RHY238" s="1"/>
      <c r="RHZ238" s="1"/>
      <c r="RIA238" s="1"/>
      <c r="RIB238" s="1"/>
      <c r="RIC238" s="1"/>
      <c r="RID238" s="1"/>
      <c r="RIE238" s="1"/>
      <c r="RIF238" s="1"/>
      <c r="RIG238" s="1"/>
      <c r="RIH238" s="1"/>
      <c r="RII238" s="1"/>
      <c r="RIJ238" s="1"/>
      <c r="RIK238" s="1"/>
      <c r="RIL238" s="1"/>
      <c r="RIM238" s="1"/>
      <c r="RIN238" s="1"/>
      <c r="RIO238" s="1"/>
      <c r="RIP238" s="1"/>
      <c r="RIQ238" s="1"/>
      <c r="RIR238" s="1"/>
      <c r="RIS238" s="1"/>
      <c r="RIT238" s="1"/>
      <c r="RIU238" s="1"/>
      <c r="RIV238" s="1"/>
      <c r="RIW238" s="1"/>
      <c r="RIX238" s="1"/>
      <c r="RIY238" s="1"/>
      <c r="RIZ238" s="1"/>
      <c r="RJA238" s="1"/>
      <c r="RJB238" s="1"/>
      <c r="RJC238" s="1"/>
      <c r="RJD238" s="1"/>
      <c r="RJE238" s="1"/>
      <c r="RJF238" s="1"/>
      <c r="RJG238" s="1"/>
      <c r="RJH238" s="1"/>
      <c r="RJI238" s="1"/>
      <c r="RJJ238" s="1"/>
      <c r="RJK238" s="1"/>
      <c r="RJL238" s="1"/>
      <c r="RJM238" s="1"/>
      <c r="RJN238" s="1"/>
      <c r="RJO238" s="1"/>
      <c r="RJP238" s="1"/>
      <c r="RJQ238" s="1"/>
      <c r="RJR238" s="1"/>
      <c r="RJS238" s="1"/>
      <c r="RJT238" s="1"/>
      <c r="RJU238" s="1"/>
      <c r="RJV238" s="1"/>
      <c r="RJW238" s="1"/>
      <c r="RJX238" s="1"/>
      <c r="RJY238" s="1"/>
      <c r="RJZ238" s="1"/>
      <c r="RKA238" s="1"/>
      <c r="RKB238" s="1"/>
      <c r="RKC238" s="1"/>
      <c r="RKD238" s="1"/>
      <c r="RKE238" s="1"/>
      <c r="RKF238" s="1"/>
      <c r="RKG238" s="1"/>
      <c r="RKH238" s="1"/>
      <c r="RKI238" s="1"/>
      <c r="RKJ238" s="1"/>
      <c r="RKK238" s="1"/>
      <c r="RKL238" s="1"/>
      <c r="RKM238" s="1"/>
      <c r="RKN238" s="1"/>
      <c r="RKO238" s="1"/>
      <c r="RKP238" s="1"/>
      <c r="RKQ238" s="1"/>
      <c r="RKR238" s="1"/>
      <c r="RKS238" s="1"/>
      <c r="RKT238" s="1"/>
      <c r="RKU238" s="1"/>
      <c r="RKV238" s="1"/>
      <c r="RKW238" s="1"/>
      <c r="RKX238" s="1"/>
      <c r="RKY238" s="1"/>
      <c r="RKZ238" s="1"/>
      <c r="RLA238" s="1"/>
      <c r="RLB238" s="1"/>
      <c r="RLC238" s="1"/>
      <c r="RLD238" s="1"/>
      <c r="RLE238" s="1"/>
      <c r="RLF238" s="1"/>
      <c r="RLG238" s="1"/>
      <c r="RLH238" s="1"/>
      <c r="RLI238" s="1"/>
      <c r="RLJ238" s="1"/>
      <c r="RLK238" s="1"/>
      <c r="RLL238" s="1"/>
      <c r="RLM238" s="1"/>
      <c r="RLN238" s="1"/>
      <c r="RLO238" s="1"/>
      <c r="RLP238" s="1"/>
      <c r="RLQ238" s="1"/>
      <c r="RLR238" s="1"/>
      <c r="RLS238" s="1"/>
      <c r="RLT238" s="1"/>
      <c r="RLU238" s="1"/>
      <c r="RLV238" s="1"/>
      <c r="RLW238" s="1"/>
      <c r="RLX238" s="1"/>
      <c r="RLY238" s="1"/>
      <c r="RLZ238" s="1"/>
      <c r="RMA238" s="1"/>
      <c r="RMB238" s="1"/>
      <c r="RMC238" s="1"/>
      <c r="RMD238" s="1"/>
      <c r="RME238" s="1"/>
      <c r="RMF238" s="1"/>
      <c r="RMG238" s="1"/>
      <c r="RMH238" s="1"/>
      <c r="RMI238" s="1"/>
      <c r="RMJ238" s="1"/>
      <c r="RMK238" s="1"/>
      <c r="RML238" s="1"/>
      <c r="RMM238" s="1"/>
      <c r="RMN238" s="1"/>
      <c r="RMO238" s="1"/>
      <c r="RMP238" s="1"/>
      <c r="RMQ238" s="1"/>
      <c r="RMR238" s="1"/>
      <c r="RMS238" s="1"/>
      <c r="RMT238" s="1"/>
      <c r="RMU238" s="1"/>
      <c r="RMV238" s="1"/>
      <c r="RMW238" s="1"/>
      <c r="RMX238" s="1"/>
      <c r="RMY238" s="1"/>
      <c r="RMZ238" s="1"/>
      <c r="RNA238" s="1"/>
      <c r="RNB238" s="1"/>
      <c r="RNC238" s="1"/>
      <c r="RND238" s="1"/>
      <c r="RNE238" s="1"/>
      <c r="RNF238" s="1"/>
      <c r="RNG238" s="1"/>
      <c r="RNH238" s="1"/>
      <c r="RNI238" s="1"/>
      <c r="RNJ238" s="1"/>
      <c r="RNK238" s="1"/>
      <c r="RNL238" s="1"/>
      <c r="RNM238" s="1"/>
      <c r="RNN238" s="1"/>
      <c r="RNO238" s="1"/>
      <c r="RNP238" s="1"/>
      <c r="RNQ238" s="1"/>
      <c r="RNR238" s="1"/>
      <c r="RNS238" s="1"/>
      <c r="RNT238" s="1"/>
      <c r="RNU238" s="1"/>
      <c r="RNV238" s="1"/>
      <c r="RNW238" s="1"/>
      <c r="RNX238" s="1"/>
      <c r="RNY238" s="1"/>
      <c r="RNZ238" s="1"/>
      <c r="ROA238" s="1"/>
      <c r="ROB238" s="1"/>
      <c r="ROC238" s="1"/>
      <c r="ROD238" s="1"/>
      <c r="ROE238" s="1"/>
      <c r="ROF238" s="1"/>
      <c r="ROG238" s="1"/>
      <c r="ROH238" s="1"/>
      <c r="ROI238" s="1"/>
      <c r="ROJ238" s="1"/>
      <c r="ROK238" s="1"/>
      <c r="ROL238" s="1"/>
      <c r="ROM238" s="1"/>
      <c r="RON238" s="1"/>
      <c r="ROO238" s="1"/>
      <c r="ROP238" s="1"/>
      <c r="ROQ238" s="1"/>
      <c r="ROR238" s="1"/>
      <c r="ROS238" s="1"/>
      <c r="ROT238" s="1"/>
      <c r="ROU238" s="1"/>
      <c r="ROV238" s="1"/>
      <c r="ROW238" s="1"/>
      <c r="ROX238" s="1"/>
      <c r="ROY238" s="1"/>
      <c r="ROZ238" s="1"/>
      <c r="RPA238" s="1"/>
      <c r="RPB238" s="1"/>
      <c r="RPC238" s="1"/>
      <c r="RPD238" s="1"/>
      <c r="RPE238" s="1"/>
      <c r="RPF238" s="1"/>
      <c r="RPG238" s="1"/>
      <c r="RPH238" s="1"/>
      <c r="RPI238" s="1"/>
      <c r="RPJ238" s="1"/>
      <c r="RPK238" s="1"/>
      <c r="RPL238" s="1"/>
      <c r="RPM238" s="1"/>
      <c r="RPN238" s="1"/>
      <c r="RPO238" s="1"/>
      <c r="RPP238" s="1"/>
      <c r="RPQ238" s="1"/>
      <c r="RPR238" s="1"/>
      <c r="RPS238" s="1"/>
      <c r="RPT238" s="1"/>
      <c r="RPU238" s="1"/>
      <c r="RPV238" s="1"/>
      <c r="RPW238" s="1"/>
      <c r="RPX238" s="1"/>
      <c r="RPY238" s="1"/>
      <c r="RPZ238" s="1"/>
      <c r="RQA238" s="1"/>
      <c r="RQB238" s="1"/>
      <c r="RQC238" s="1"/>
      <c r="RQD238" s="1"/>
      <c r="RQE238" s="1"/>
      <c r="RQF238" s="1"/>
      <c r="RQG238" s="1"/>
      <c r="RQH238" s="1"/>
      <c r="RQI238" s="1"/>
      <c r="RQJ238" s="1"/>
      <c r="RQK238" s="1"/>
      <c r="RQL238" s="1"/>
      <c r="RQM238" s="1"/>
      <c r="RQN238" s="1"/>
      <c r="RQO238" s="1"/>
      <c r="RQP238" s="1"/>
      <c r="RQQ238" s="1"/>
      <c r="RQR238" s="1"/>
      <c r="RQS238" s="1"/>
      <c r="RQT238" s="1"/>
      <c r="RQU238" s="1"/>
      <c r="RQV238" s="1"/>
      <c r="RQW238" s="1"/>
      <c r="RQX238" s="1"/>
      <c r="RQY238" s="1"/>
      <c r="RQZ238" s="1"/>
      <c r="RRA238" s="1"/>
      <c r="RRB238" s="1"/>
      <c r="RRC238" s="1"/>
      <c r="RRD238" s="1"/>
      <c r="RRE238" s="1"/>
      <c r="RRF238" s="1"/>
      <c r="RRG238" s="1"/>
      <c r="RRH238" s="1"/>
      <c r="RRI238" s="1"/>
      <c r="RRJ238" s="1"/>
      <c r="RRK238" s="1"/>
      <c r="RRL238" s="1"/>
      <c r="RRM238" s="1"/>
      <c r="RRN238" s="1"/>
      <c r="RRO238" s="1"/>
      <c r="RRP238" s="1"/>
      <c r="RRQ238" s="1"/>
      <c r="RRR238" s="1"/>
      <c r="RRS238" s="1"/>
      <c r="RRT238" s="1"/>
      <c r="RRU238" s="1"/>
      <c r="RRV238" s="1"/>
      <c r="RRW238" s="1"/>
      <c r="RRX238" s="1"/>
      <c r="RRY238" s="1"/>
      <c r="RRZ238" s="1"/>
      <c r="RSA238" s="1"/>
      <c r="RSB238" s="1"/>
      <c r="RSC238" s="1"/>
      <c r="RSD238" s="1"/>
      <c r="RSE238" s="1"/>
      <c r="RSF238" s="1"/>
      <c r="RSG238" s="1"/>
      <c r="RSH238" s="1"/>
      <c r="RSI238" s="1"/>
      <c r="RSJ238" s="1"/>
      <c r="RSK238" s="1"/>
      <c r="RSL238" s="1"/>
      <c r="RSM238" s="1"/>
      <c r="RSN238" s="1"/>
      <c r="RSO238" s="1"/>
      <c r="RSP238" s="1"/>
      <c r="RSQ238" s="1"/>
      <c r="RSR238" s="1"/>
      <c r="RSS238" s="1"/>
      <c r="RST238" s="1"/>
      <c r="RSU238" s="1"/>
      <c r="RSV238" s="1"/>
      <c r="RSW238" s="1"/>
      <c r="RSX238" s="1"/>
      <c r="RSY238" s="1"/>
      <c r="RSZ238" s="1"/>
      <c r="RTA238" s="1"/>
      <c r="RTB238" s="1"/>
      <c r="RTC238" s="1"/>
      <c r="RTD238" s="1"/>
      <c r="RTE238" s="1"/>
      <c r="RTF238" s="1"/>
      <c r="RTG238" s="1"/>
      <c r="RTH238" s="1"/>
      <c r="RTI238" s="1"/>
      <c r="RTJ238" s="1"/>
      <c r="RTK238" s="1"/>
      <c r="RTL238" s="1"/>
      <c r="RTM238" s="1"/>
      <c r="RTN238" s="1"/>
      <c r="RTO238" s="1"/>
      <c r="RTP238" s="1"/>
      <c r="RTQ238" s="1"/>
      <c r="RTR238" s="1"/>
      <c r="RTS238" s="1"/>
      <c r="RTT238" s="1"/>
      <c r="RTU238" s="1"/>
      <c r="RTV238" s="1"/>
      <c r="RTW238" s="1"/>
      <c r="RTX238" s="1"/>
      <c r="RTY238" s="1"/>
      <c r="RTZ238" s="1"/>
      <c r="RUA238" s="1"/>
      <c r="RUB238" s="1"/>
      <c r="RUC238" s="1"/>
      <c r="RUD238" s="1"/>
      <c r="RUE238" s="1"/>
      <c r="RUF238" s="1"/>
      <c r="RUG238" s="1"/>
      <c r="RUH238" s="1"/>
      <c r="RUI238" s="1"/>
      <c r="RUJ238" s="1"/>
      <c r="RUK238" s="1"/>
      <c r="RUL238" s="1"/>
      <c r="RUM238" s="1"/>
      <c r="RUN238" s="1"/>
      <c r="RUO238" s="1"/>
      <c r="RUP238" s="1"/>
      <c r="RUQ238" s="1"/>
      <c r="RUR238" s="1"/>
      <c r="RUS238" s="1"/>
      <c r="RUT238" s="1"/>
      <c r="RUU238" s="1"/>
      <c r="RUV238" s="1"/>
      <c r="RUW238" s="1"/>
      <c r="RUX238" s="1"/>
      <c r="RUY238" s="1"/>
      <c r="RUZ238" s="1"/>
      <c r="RVA238" s="1"/>
      <c r="RVB238" s="1"/>
      <c r="RVC238" s="1"/>
      <c r="RVD238" s="1"/>
      <c r="RVE238" s="1"/>
      <c r="RVF238" s="1"/>
      <c r="RVG238" s="1"/>
      <c r="RVH238" s="1"/>
      <c r="RVI238" s="1"/>
      <c r="RVJ238" s="1"/>
      <c r="RVK238" s="1"/>
      <c r="RVL238" s="1"/>
      <c r="RVM238" s="1"/>
      <c r="RVN238" s="1"/>
      <c r="RVO238" s="1"/>
      <c r="RVP238" s="1"/>
      <c r="RVQ238" s="1"/>
      <c r="RVR238" s="1"/>
      <c r="RVS238" s="1"/>
      <c r="RVT238" s="1"/>
      <c r="RVU238" s="1"/>
      <c r="RVV238" s="1"/>
      <c r="RVW238" s="1"/>
      <c r="RVX238" s="1"/>
      <c r="RVY238" s="1"/>
      <c r="RVZ238" s="1"/>
      <c r="RWA238" s="1"/>
      <c r="RWB238" s="1"/>
      <c r="RWC238" s="1"/>
      <c r="RWD238" s="1"/>
      <c r="RWE238" s="1"/>
      <c r="RWF238" s="1"/>
      <c r="RWG238" s="1"/>
      <c r="RWH238" s="1"/>
      <c r="RWI238" s="1"/>
      <c r="RWJ238" s="1"/>
      <c r="RWK238" s="1"/>
      <c r="RWL238" s="1"/>
      <c r="RWM238" s="1"/>
      <c r="RWN238" s="1"/>
      <c r="RWO238" s="1"/>
      <c r="RWP238" s="1"/>
      <c r="RWQ238" s="1"/>
      <c r="RWR238" s="1"/>
      <c r="RWS238" s="1"/>
      <c r="RWT238" s="1"/>
      <c r="RWU238" s="1"/>
      <c r="RWV238" s="1"/>
      <c r="RWW238" s="1"/>
      <c r="RWX238" s="1"/>
      <c r="RWY238" s="1"/>
      <c r="RWZ238" s="1"/>
      <c r="RXA238" s="1"/>
      <c r="RXB238" s="1"/>
      <c r="RXC238" s="1"/>
      <c r="RXD238" s="1"/>
      <c r="RXE238" s="1"/>
      <c r="RXF238" s="1"/>
      <c r="RXG238" s="1"/>
      <c r="RXH238" s="1"/>
      <c r="RXI238" s="1"/>
      <c r="RXJ238" s="1"/>
      <c r="RXK238" s="1"/>
      <c r="RXL238" s="1"/>
      <c r="RXM238" s="1"/>
      <c r="RXN238" s="1"/>
      <c r="RXO238" s="1"/>
      <c r="RXP238" s="1"/>
      <c r="RXQ238" s="1"/>
      <c r="RXR238" s="1"/>
      <c r="RXS238" s="1"/>
      <c r="RXT238" s="1"/>
      <c r="RXU238" s="1"/>
      <c r="RXV238" s="1"/>
      <c r="RXW238" s="1"/>
      <c r="RXX238" s="1"/>
      <c r="RXY238" s="1"/>
      <c r="RXZ238" s="1"/>
      <c r="RYA238" s="1"/>
      <c r="RYB238" s="1"/>
      <c r="RYC238" s="1"/>
      <c r="RYD238" s="1"/>
      <c r="RYE238" s="1"/>
      <c r="RYF238" s="1"/>
      <c r="RYG238" s="1"/>
      <c r="RYH238" s="1"/>
      <c r="RYI238" s="1"/>
      <c r="RYJ238" s="1"/>
      <c r="RYK238" s="1"/>
      <c r="RYL238" s="1"/>
      <c r="RYM238" s="1"/>
      <c r="RYN238" s="1"/>
      <c r="RYO238" s="1"/>
      <c r="RYP238" s="1"/>
      <c r="RYQ238" s="1"/>
      <c r="RYR238" s="1"/>
      <c r="RYS238" s="1"/>
      <c r="RYT238" s="1"/>
      <c r="RYU238" s="1"/>
      <c r="RYV238" s="1"/>
      <c r="RYW238" s="1"/>
      <c r="RYX238" s="1"/>
      <c r="RYY238" s="1"/>
      <c r="RYZ238" s="1"/>
      <c r="RZA238" s="1"/>
      <c r="RZB238" s="1"/>
      <c r="RZC238" s="1"/>
      <c r="RZD238" s="1"/>
      <c r="RZE238" s="1"/>
      <c r="RZF238" s="1"/>
      <c r="RZG238" s="1"/>
      <c r="RZH238" s="1"/>
      <c r="RZI238" s="1"/>
      <c r="RZJ238" s="1"/>
      <c r="RZK238" s="1"/>
      <c r="RZL238" s="1"/>
      <c r="RZM238" s="1"/>
      <c r="RZN238" s="1"/>
      <c r="RZO238" s="1"/>
      <c r="RZP238" s="1"/>
      <c r="RZQ238" s="1"/>
      <c r="RZR238" s="1"/>
      <c r="RZS238" s="1"/>
      <c r="RZT238" s="1"/>
      <c r="RZU238" s="1"/>
      <c r="RZV238" s="1"/>
      <c r="RZW238" s="1"/>
      <c r="RZX238" s="1"/>
      <c r="RZY238" s="1"/>
      <c r="RZZ238" s="1"/>
      <c r="SAA238" s="1"/>
      <c r="SAB238" s="1"/>
      <c r="SAC238" s="1"/>
      <c r="SAD238" s="1"/>
      <c r="SAE238" s="1"/>
      <c r="SAF238" s="1"/>
      <c r="SAG238" s="1"/>
      <c r="SAH238" s="1"/>
      <c r="SAI238" s="1"/>
      <c r="SAJ238" s="1"/>
      <c r="SAK238" s="1"/>
      <c r="SAL238" s="1"/>
      <c r="SAM238" s="1"/>
      <c r="SAN238" s="1"/>
      <c r="SAO238" s="1"/>
      <c r="SAP238" s="1"/>
      <c r="SAQ238" s="1"/>
      <c r="SAR238" s="1"/>
      <c r="SAS238" s="1"/>
      <c r="SAT238" s="1"/>
      <c r="SAU238" s="1"/>
      <c r="SAV238" s="1"/>
      <c r="SAW238" s="1"/>
      <c r="SAX238" s="1"/>
      <c r="SAY238" s="1"/>
      <c r="SAZ238" s="1"/>
      <c r="SBA238" s="1"/>
      <c r="SBB238" s="1"/>
      <c r="SBC238" s="1"/>
      <c r="SBD238" s="1"/>
      <c r="SBE238" s="1"/>
      <c r="SBF238" s="1"/>
      <c r="SBG238" s="1"/>
      <c r="SBH238" s="1"/>
      <c r="SBI238" s="1"/>
      <c r="SBJ238" s="1"/>
      <c r="SBK238" s="1"/>
      <c r="SBL238" s="1"/>
      <c r="SBM238" s="1"/>
      <c r="SBN238" s="1"/>
      <c r="SBO238" s="1"/>
      <c r="SBP238" s="1"/>
      <c r="SBQ238" s="1"/>
      <c r="SBR238" s="1"/>
      <c r="SBS238" s="1"/>
      <c r="SBT238" s="1"/>
      <c r="SBU238" s="1"/>
      <c r="SBV238" s="1"/>
      <c r="SBW238" s="1"/>
      <c r="SBX238" s="1"/>
      <c r="SBY238" s="1"/>
      <c r="SBZ238" s="1"/>
      <c r="SCA238" s="1"/>
      <c r="SCB238" s="1"/>
      <c r="SCC238" s="1"/>
      <c r="SCD238" s="1"/>
      <c r="SCE238" s="1"/>
      <c r="SCF238" s="1"/>
      <c r="SCG238" s="1"/>
      <c r="SCH238" s="1"/>
      <c r="SCI238" s="1"/>
      <c r="SCJ238" s="1"/>
      <c r="SCK238" s="1"/>
      <c r="SCL238" s="1"/>
      <c r="SCM238" s="1"/>
      <c r="SCN238" s="1"/>
      <c r="SCO238" s="1"/>
      <c r="SCP238" s="1"/>
      <c r="SCQ238" s="1"/>
      <c r="SCR238" s="1"/>
      <c r="SCS238" s="1"/>
      <c r="SCT238" s="1"/>
      <c r="SCU238" s="1"/>
      <c r="SCV238" s="1"/>
      <c r="SCW238" s="1"/>
      <c r="SCX238" s="1"/>
      <c r="SCY238" s="1"/>
      <c r="SCZ238" s="1"/>
      <c r="SDA238" s="1"/>
      <c r="SDB238" s="1"/>
      <c r="SDC238" s="1"/>
      <c r="SDD238" s="1"/>
      <c r="SDE238" s="1"/>
      <c r="SDF238" s="1"/>
      <c r="SDG238" s="1"/>
      <c r="SDH238" s="1"/>
      <c r="SDI238" s="1"/>
      <c r="SDJ238" s="1"/>
      <c r="SDK238" s="1"/>
      <c r="SDL238" s="1"/>
      <c r="SDM238" s="1"/>
      <c r="SDN238" s="1"/>
      <c r="SDO238" s="1"/>
      <c r="SDP238" s="1"/>
      <c r="SDQ238" s="1"/>
      <c r="SDR238" s="1"/>
      <c r="SDS238" s="1"/>
      <c r="SDT238" s="1"/>
      <c r="SDU238" s="1"/>
      <c r="SDV238" s="1"/>
      <c r="SDW238" s="1"/>
      <c r="SDX238" s="1"/>
      <c r="SDY238" s="1"/>
      <c r="SDZ238" s="1"/>
      <c r="SEA238" s="1"/>
      <c r="SEB238" s="1"/>
      <c r="SEC238" s="1"/>
      <c r="SED238" s="1"/>
      <c r="SEE238" s="1"/>
      <c r="SEF238" s="1"/>
      <c r="SEG238" s="1"/>
      <c r="SEH238" s="1"/>
      <c r="SEI238" s="1"/>
      <c r="SEJ238" s="1"/>
      <c r="SEK238" s="1"/>
      <c r="SEL238" s="1"/>
      <c r="SEM238" s="1"/>
      <c r="SEN238" s="1"/>
      <c r="SEO238" s="1"/>
      <c r="SEP238" s="1"/>
      <c r="SEQ238" s="1"/>
      <c r="SER238" s="1"/>
      <c r="SES238" s="1"/>
      <c r="SET238" s="1"/>
      <c r="SEU238" s="1"/>
      <c r="SEV238" s="1"/>
      <c r="SEW238" s="1"/>
      <c r="SEX238" s="1"/>
      <c r="SEY238" s="1"/>
      <c r="SEZ238" s="1"/>
      <c r="SFA238" s="1"/>
      <c r="SFB238" s="1"/>
      <c r="SFC238" s="1"/>
      <c r="SFD238" s="1"/>
      <c r="SFE238" s="1"/>
      <c r="SFF238" s="1"/>
      <c r="SFG238" s="1"/>
      <c r="SFH238" s="1"/>
      <c r="SFI238" s="1"/>
      <c r="SFJ238" s="1"/>
      <c r="SFK238" s="1"/>
      <c r="SFL238" s="1"/>
      <c r="SFM238" s="1"/>
      <c r="SFN238" s="1"/>
      <c r="SFO238" s="1"/>
      <c r="SFP238" s="1"/>
      <c r="SFQ238" s="1"/>
      <c r="SFR238" s="1"/>
      <c r="SFS238" s="1"/>
      <c r="SFT238" s="1"/>
      <c r="SFU238" s="1"/>
      <c r="SFV238" s="1"/>
      <c r="SFW238" s="1"/>
      <c r="SFX238" s="1"/>
      <c r="SFY238" s="1"/>
      <c r="SFZ238" s="1"/>
      <c r="SGA238" s="1"/>
      <c r="SGB238" s="1"/>
      <c r="SGC238" s="1"/>
      <c r="SGD238" s="1"/>
      <c r="SGE238" s="1"/>
      <c r="SGF238" s="1"/>
      <c r="SGG238" s="1"/>
      <c r="SGH238" s="1"/>
      <c r="SGI238" s="1"/>
      <c r="SGJ238" s="1"/>
      <c r="SGK238" s="1"/>
      <c r="SGL238" s="1"/>
      <c r="SGM238" s="1"/>
      <c r="SGN238" s="1"/>
      <c r="SGO238" s="1"/>
      <c r="SGP238" s="1"/>
      <c r="SGQ238" s="1"/>
      <c r="SGR238" s="1"/>
      <c r="SGS238" s="1"/>
      <c r="SGT238" s="1"/>
      <c r="SGU238" s="1"/>
      <c r="SGV238" s="1"/>
      <c r="SGW238" s="1"/>
      <c r="SGX238" s="1"/>
      <c r="SGY238" s="1"/>
      <c r="SGZ238" s="1"/>
      <c r="SHA238" s="1"/>
      <c r="SHB238" s="1"/>
      <c r="SHC238" s="1"/>
      <c r="SHD238" s="1"/>
      <c r="SHE238" s="1"/>
      <c r="SHF238" s="1"/>
      <c r="SHG238" s="1"/>
      <c r="SHH238" s="1"/>
      <c r="SHI238" s="1"/>
      <c r="SHJ238" s="1"/>
      <c r="SHK238" s="1"/>
      <c r="SHL238" s="1"/>
      <c r="SHM238" s="1"/>
      <c r="SHN238" s="1"/>
      <c r="SHO238" s="1"/>
      <c r="SHP238" s="1"/>
      <c r="SHQ238" s="1"/>
      <c r="SHR238" s="1"/>
      <c r="SHS238" s="1"/>
      <c r="SHT238" s="1"/>
      <c r="SHU238" s="1"/>
      <c r="SHV238" s="1"/>
      <c r="SHW238" s="1"/>
      <c r="SHX238" s="1"/>
      <c r="SHY238" s="1"/>
      <c r="SHZ238" s="1"/>
      <c r="SIA238" s="1"/>
      <c r="SIB238" s="1"/>
      <c r="SIC238" s="1"/>
      <c r="SID238" s="1"/>
      <c r="SIE238" s="1"/>
      <c r="SIF238" s="1"/>
      <c r="SIG238" s="1"/>
      <c r="SIH238" s="1"/>
      <c r="SII238" s="1"/>
      <c r="SIJ238" s="1"/>
      <c r="SIK238" s="1"/>
      <c r="SIL238" s="1"/>
      <c r="SIM238" s="1"/>
      <c r="SIN238" s="1"/>
      <c r="SIO238" s="1"/>
      <c r="SIP238" s="1"/>
      <c r="SIQ238" s="1"/>
      <c r="SIR238" s="1"/>
      <c r="SIS238" s="1"/>
      <c r="SIT238" s="1"/>
      <c r="SIU238" s="1"/>
      <c r="SIV238" s="1"/>
      <c r="SIW238" s="1"/>
      <c r="SIX238" s="1"/>
      <c r="SIY238" s="1"/>
      <c r="SIZ238" s="1"/>
      <c r="SJA238" s="1"/>
      <c r="SJB238" s="1"/>
      <c r="SJC238" s="1"/>
      <c r="SJD238" s="1"/>
      <c r="SJE238" s="1"/>
      <c r="SJF238" s="1"/>
      <c r="SJG238" s="1"/>
      <c r="SJH238" s="1"/>
      <c r="SJI238" s="1"/>
      <c r="SJJ238" s="1"/>
      <c r="SJK238" s="1"/>
      <c r="SJL238" s="1"/>
      <c r="SJM238" s="1"/>
      <c r="SJN238" s="1"/>
      <c r="SJO238" s="1"/>
      <c r="SJP238" s="1"/>
      <c r="SJQ238" s="1"/>
      <c r="SJR238" s="1"/>
      <c r="SJS238" s="1"/>
      <c r="SJT238" s="1"/>
      <c r="SJU238" s="1"/>
      <c r="SJV238" s="1"/>
      <c r="SJW238" s="1"/>
      <c r="SJX238" s="1"/>
      <c r="SJY238" s="1"/>
      <c r="SJZ238" s="1"/>
      <c r="SKA238" s="1"/>
      <c r="SKB238" s="1"/>
      <c r="SKC238" s="1"/>
      <c r="SKD238" s="1"/>
      <c r="SKE238" s="1"/>
      <c r="SKF238" s="1"/>
      <c r="SKG238" s="1"/>
      <c r="SKH238" s="1"/>
      <c r="SKI238" s="1"/>
      <c r="SKJ238" s="1"/>
      <c r="SKK238" s="1"/>
      <c r="SKL238" s="1"/>
      <c r="SKM238" s="1"/>
      <c r="SKN238" s="1"/>
      <c r="SKO238" s="1"/>
      <c r="SKP238" s="1"/>
      <c r="SKQ238" s="1"/>
      <c r="SKR238" s="1"/>
      <c r="SKS238" s="1"/>
      <c r="SKT238" s="1"/>
      <c r="SKU238" s="1"/>
      <c r="SKV238" s="1"/>
      <c r="SKW238" s="1"/>
      <c r="SKX238" s="1"/>
      <c r="SKY238" s="1"/>
      <c r="SKZ238" s="1"/>
      <c r="SLA238" s="1"/>
      <c r="SLB238" s="1"/>
      <c r="SLC238" s="1"/>
      <c r="SLD238" s="1"/>
      <c r="SLE238" s="1"/>
      <c r="SLF238" s="1"/>
      <c r="SLG238" s="1"/>
      <c r="SLH238" s="1"/>
      <c r="SLI238" s="1"/>
      <c r="SLJ238" s="1"/>
      <c r="SLK238" s="1"/>
      <c r="SLL238" s="1"/>
      <c r="SLM238" s="1"/>
      <c r="SLN238" s="1"/>
      <c r="SLO238" s="1"/>
      <c r="SLP238" s="1"/>
      <c r="SLQ238" s="1"/>
      <c r="SLR238" s="1"/>
      <c r="SLS238" s="1"/>
      <c r="SLT238" s="1"/>
      <c r="SLU238" s="1"/>
      <c r="SLV238" s="1"/>
      <c r="SLW238" s="1"/>
      <c r="SLX238" s="1"/>
      <c r="SLY238" s="1"/>
      <c r="SLZ238" s="1"/>
      <c r="SMA238" s="1"/>
      <c r="SMB238" s="1"/>
      <c r="SMC238" s="1"/>
      <c r="SMD238" s="1"/>
      <c r="SME238" s="1"/>
      <c r="SMF238" s="1"/>
      <c r="SMG238" s="1"/>
      <c r="SMH238" s="1"/>
      <c r="SMI238" s="1"/>
      <c r="SMJ238" s="1"/>
      <c r="SMK238" s="1"/>
      <c r="SML238" s="1"/>
      <c r="SMM238" s="1"/>
      <c r="SMN238" s="1"/>
      <c r="SMO238" s="1"/>
      <c r="SMP238" s="1"/>
      <c r="SMQ238" s="1"/>
      <c r="SMR238" s="1"/>
      <c r="SMS238" s="1"/>
      <c r="SMT238" s="1"/>
      <c r="SMU238" s="1"/>
      <c r="SMV238" s="1"/>
      <c r="SMW238" s="1"/>
      <c r="SMX238" s="1"/>
      <c r="SMY238" s="1"/>
      <c r="SMZ238" s="1"/>
      <c r="SNA238" s="1"/>
      <c r="SNB238" s="1"/>
      <c r="SNC238" s="1"/>
      <c r="SND238" s="1"/>
      <c r="SNE238" s="1"/>
      <c r="SNF238" s="1"/>
      <c r="SNG238" s="1"/>
      <c r="SNH238" s="1"/>
      <c r="SNI238" s="1"/>
      <c r="SNJ238" s="1"/>
      <c r="SNK238" s="1"/>
      <c r="SNL238" s="1"/>
      <c r="SNM238" s="1"/>
      <c r="SNN238" s="1"/>
      <c r="SNO238" s="1"/>
      <c r="SNP238" s="1"/>
      <c r="SNQ238" s="1"/>
      <c r="SNR238" s="1"/>
      <c r="SNS238" s="1"/>
      <c r="SNT238" s="1"/>
      <c r="SNU238" s="1"/>
      <c r="SNV238" s="1"/>
      <c r="SNW238" s="1"/>
      <c r="SNX238" s="1"/>
      <c r="SNY238" s="1"/>
      <c r="SNZ238" s="1"/>
      <c r="SOA238" s="1"/>
      <c r="SOB238" s="1"/>
      <c r="SOC238" s="1"/>
      <c r="SOD238" s="1"/>
      <c r="SOE238" s="1"/>
      <c r="SOF238" s="1"/>
      <c r="SOG238" s="1"/>
      <c r="SOH238" s="1"/>
      <c r="SOI238" s="1"/>
      <c r="SOJ238" s="1"/>
      <c r="SOK238" s="1"/>
      <c r="SOL238" s="1"/>
      <c r="SOM238" s="1"/>
      <c r="SON238" s="1"/>
      <c r="SOO238" s="1"/>
      <c r="SOP238" s="1"/>
      <c r="SOQ238" s="1"/>
      <c r="SOR238" s="1"/>
      <c r="SOS238" s="1"/>
      <c r="SOT238" s="1"/>
      <c r="SOU238" s="1"/>
      <c r="SOV238" s="1"/>
      <c r="SOW238" s="1"/>
      <c r="SOX238" s="1"/>
      <c r="SOY238" s="1"/>
      <c r="SOZ238" s="1"/>
      <c r="SPA238" s="1"/>
      <c r="SPB238" s="1"/>
      <c r="SPC238" s="1"/>
      <c r="SPD238" s="1"/>
      <c r="SPE238" s="1"/>
      <c r="SPF238" s="1"/>
      <c r="SPG238" s="1"/>
      <c r="SPH238" s="1"/>
      <c r="SPI238" s="1"/>
      <c r="SPJ238" s="1"/>
      <c r="SPK238" s="1"/>
      <c r="SPL238" s="1"/>
      <c r="SPM238" s="1"/>
      <c r="SPN238" s="1"/>
      <c r="SPO238" s="1"/>
      <c r="SPP238" s="1"/>
      <c r="SPQ238" s="1"/>
      <c r="SPR238" s="1"/>
      <c r="SPS238" s="1"/>
      <c r="SPT238" s="1"/>
      <c r="SPU238" s="1"/>
      <c r="SPV238" s="1"/>
      <c r="SPW238" s="1"/>
      <c r="SPX238" s="1"/>
      <c r="SPY238" s="1"/>
      <c r="SPZ238" s="1"/>
      <c r="SQA238" s="1"/>
      <c r="SQB238" s="1"/>
      <c r="SQC238" s="1"/>
      <c r="SQD238" s="1"/>
      <c r="SQE238" s="1"/>
      <c r="SQF238" s="1"/>
      <c r="SQG238" s="1"/>
      <c r="SQH238" s="1"/>
      <c r="SQI238" s="1"/>
      <c r="SQJ238" s="1"/>
      <c r="SQK238" s="1"/>
      <c r="SQL238" s="1"/>
      <c r="SQM238" s="1"/>
      <c r="SQN238" s="1"/>
      <c r="SQO238" s="1"/>
      <c r="SQP238" s="1"/>
      <c r="SQQ238" s="1"/>
      <c r="SQR238" s="1"/>
      <c r="SQS238" s="1"/>
      <c r="SQT238" s="1"/>
      <c r="SQU238" s="1"/>
      <c r="SQV238" s="1"/>
      <c r="SQW238" s="1"/>
      <c r="SQX238" s="1"/>
      <c r="SQY238" s="1"/>
      <c r="SQZ238" s="1"/>
      <c r="SRA238" s="1"/>
      <c r="SRB238" s="1"/>
      <c r="SRC238" s="1"/>
      <c r="SRD238" s="1"/>
      <c r="SRE238" s="1"/>
      <c r="SRF238" s="1"/>
      <c r="SRG238" s="1"/>
      <c r="SRH238" s="1"/>
      <c r="SRI238" s="1"/>
      <c r="SRJ238" s="1"/>
      <c r="SRK238" s="1"/>
      <c r="SRL238" s="1"/>
      <c r="SRM238" s="1"/>
      <c r="SRN238" s="1"/>
      <c r="SRO238" s="1"/>
      <c r="SRP238" s="1"/>
      <c r="SRQ238" s="1"/>
      <c r="SRR238" s="1"/>
      <c r="SRS238" s="1"/>
      <c r="SRT238" s="1"/>
      <c r="SRU238" s="1"/>
      <c r="SRV238" s="1"/>
      <c r="SRW238" s="1"/>
      <c r="SRX238" s="1"/>
      <c r="SRY238" s="1"/>
      <c r="SRZ238" s="1"/>
      <c r="SSA238" s="1"/>
      <c r="SSB238" s="1"/>
      <c r="SSC238" s="1"/>
      <c r="SSD238" s="1"/>
      <c r="SSE238" s="1"/>
      <c r="SSF238" s="1"/>
      <c r="SSG238" s="1"/>
      <c r="SSH238" s="1"/>
      <c r="SSI238" s="1"/>
      <c r="SSJ238" s="1"/>
      <c r="SSK238" s="1"/>
      <c r="SSL238" s="1"/>
      <c r="SSM238" s="1"/>
      <c r="SSN238" s="1"/>
      <c r="SSO238" s="1"/>
      <c r="SSP238" s="1"/>
      <c r="SSQ238" s="1"/>
      <c r="SSR238" s="1"/>
      <c r="SSS238" s="1"/>
      <c r="SST238" s="1"/>
      <c r="SSU238" s="1"/>
      <c r="SSV238" s="1"/>
      <c r="SSW238" s="1"/>
      <c r="SSX238" s="1"/>
      <c r="SSY238" s="1"/>
      <c r="SSZ238" s="1"/>
      <c r="STA238" s="1"/>
      <c r="STB238" s="1"/>
      <c r="STC238" s="1"/>
      <c r="STD238" s="1"/>
      <c r="STE238" s="1"/>
      <c r="STF238" s="1"/>
      <c r="STG238" s="1"/>
      <c r="STH238" s="1"/>
      <c r="STI238" s="1"/>
      <c r="STJ238" s="1"/>
      <c r="STK238" s="1"/>
      <c r="STL238" s="1"/>
      <c r="STM238" s="1"/>
      <c r="STN238" s="1"/>
      <c r="STO238" s="1"/>
      <c r="STP238" s="1"/>
      <c r="STQ238" s="1"/>
      <c r="STR238" s="1"/>
      <c r="STS238" s="1"/>
      <c r="STT238" s="1"/>
      <c r="STU238" s="1"/>
      <c r="STV238" s="1"/>
      <c r="STW238" s="1"/>
      <c r="STX238" s="1"/>
      <c r="STY238" s="1"/>
      <c r="STZ238" s="1"/>
      <c r="SUA238" s="1"/>
      <c r="SUB238" s="1"/>
      <c r="SUC238" s="1"/>
      <c r="SUD238" s="1"/>
      <c r="SUE238" s="1"/>
      <c r="SUF238" s="1"/>
      <c r="SUG238" s="1"/>
      <c r="SUH238" s="1"/>
      <c r="SUI238" s="1"/>
      <c r="SUJ238" s="1"/>
      <c r="SUK238" s="1"/>
      <c r="SUL238" s="1"/>
      <c r="SUM238" s="1"/>
      <c r="SUN238" s="1"/>
      <c r="SUO238" s="1"/>
      <c r="SUP238" s="1"/>
      <c r="SUQ238" s="1"/>
      <c r="SUR238" s="1"/>
      <c r="SUS238" s="1"/>
      <c r="SUT238" s="1"/>
      <c r="SUU238" s="1"/>
      <c r="SUV238" s="1"/>
      <c r="SUW238" s="1"/>
      <c r="SUX238" s="1"/>
      <c r="SUY238" s="1"/>
      <c r="SUZ238" s="1"/>
      <c r="SVA238" s="1"/>
      <c r="SVB238" s="1"/>
      <c r="SVC238" s="1"/>
      <c r="SVD238" s="1"/>
      <c r="SVE238" s="1"/>
      <c r="SVF238" s="1"/>
      <c r="SVG238" s="1"/>
      <c r="SVH238" s="1"/>
      <c r="SVI238" s="1"/>
      <c r="SVJ238" s="1"/>
      <c r="SVK238" s="1"/>
      <c r="SVL238" s="1"/>
      <c r="SVM238" s="1"/>
      <c r="SVN238" s="1"/>
      <c r="SVO238" s="1"/>
      <c r="SVP238" s="1"/>
      <c r="SVQ238" s="1"/>
      <c r="SVR238" s="1"/>
      <c r="SVS238" s="1"/>
      <c r="SVT238" s="1"/>
      <c r="SVU238" s="1"/>
      <c r="SVV238" s="1"/>
      <c r="SVW238" s="1"/>
      <c r="SVX238" s="1"/>
      <c r="SVY238" s="1"/>
      <c r="SVZ238" s="1"/>
      <c r="SWA238" s="1"/>
      <c r="SWB238" s="1"/>
      <c r="SWC238" s="1"/>
      <c r="SWD238" s="1"/>
      <c r="SWE238" s="1"/>
      <c r="SWF238" s="1"/>
      <c r="SWG238" s="1"/>
      <c r="SWH238" s="1"/>
      <c r="SWI238" s="1"/>
      <c r="SWJ238" s="1"/>
      <c r="SWK238" s="1"/>
      <c r="SWL238" s="1"/>
      <c r="SWM238" s="1"/>
      <c r="SWN238" s="1"/>
      <c r="SWO238" s="1"/>
      <c r="SWP238" s="1"/>
      <c r="SWQ238" s="1"/>
      <c r="SWR238" s="1"/>
      <c r="SWS238" s="1"/>
      <c r="SWT238" s="1"/>
      <c r="SWU238" s="1"/>
      <c r="SWV238" s="1"/>
      <c r="SWW238" s="1"/>
      <c r="SWX238" s="1"/>
      <c r="SWY238" s="1"/>
      <c r="SWZ238" s="1"/>
      <c r="SXA238" s="1"/>
      <c r="SXB238" s="1"/>
      <c r="SXC238" s="1"/>
      <c r="SXD238" s="1"/>
      <c r="SXE238" s="1"/>
      <c r="SXF238" s="1"/>
      <c r="SXG238" s="1"/>
      <c r="SXH238" s="1"/>
      <c r="SXI238" s="1"/>
      <c r="SXJ238" s="1"/>
      <c r="SXK238" s="1"/>
      <c r="SXL238" s="1"/>
      <c r="SXM238" s="1"/>
      <c r="SXN238" s="1"/>
      <c r="SXO238" s="1"/>
      <c r="SXP238" s="1"/>
      <c r="SXQ238" s="1"/>
      <c r="SXR238" s="1"/>
      <c r="SXS238" s="1"/>
      <c r="SXT238" s="1"/>
      <c r="SXU238" s="1"/>
      <c r="SXV238" s="1"/>
      <c r="SXW238" s="1"/>
      <c r="SXX238" s="1"/>
      <c r="SXY238" s="1"/>
      <c r="SXZ238" s="1"/>
      <c r="SYA238" s="1"/>
      <c r="SYB238" s="1"/>
      <c r="SYC238" s="1"/>
      <c r="SYD238" s="1"/>
      <c r="SYE238" s="1"/>
      <c r="SYF238" s="1"/>
      <c r="SYG238" s="1"/>
      <c r="SYH238" s="1"/>
      <c r="SYI238" s="1"/>
      <c r="SYJ238" s="1"/>
      <c r="SYK238" s="1"/>
      <c r="SYL238" s="1"/>
      <c r="SYM238" s="1"/>
      <c r="SYN238" s="1"/>
      <c r="SYO238" s="1"/>
      <c r="SYP238" s="1"/>
      <c r="SYQ238" s="1"/>
      <c r="SYR238" s="1"/>
      <c r="SYS238" s="1"/>
      <c r="SYT238" s="1"/>
      <c r="SYU238" s="1"/>
      <c r="SYV238" s="1"/>
      <c r="SYW238" s="1"/>
      <c r="SYX238" s="1"/>
      <c r="SYY238" s="1"/>
      <c r="SYZ238" s="1"/>
      <c r="SZA238" s="1"/>
      <c r="SZB238" s="1"/>
      <c r="SZC238" s="1"/>
      <c r="SZD238" s="1"/>
      <c r="SZE238" s="1"/>
      <c r="SZF238" s="1"/>
      <c r="SZG238" s="1"/>
      <c r="SZH238" s="1"/>
      <c r="SZI238" s="1"/>
      <c r="SZJ238" s="1"/>
      <c r="SZK238" s="1"/>
      <c r="SZL238" s="1"/>
      <c r="SZM238" s="1"/>
      <c r="SZN238" s="1"/>
      <c r="SZO238" s="1"/>
      <c r="SZP238" s="1"/>
      <c r="SZQ238" s="1"/>
      <c r="SZR238" s="1"/>
      <c r="SZS238" s="1"/>
      <c r="SZT238" s="1"/>
      <c r="SZU238" s="1"/>
      <c r="SZV238" s="1"/>
      <c r="SZW238" s="1"/>
      <c r="SZX238" s="1"/>
      <c r="SZY238" s="1"/>
      <c r="SZZ238" s="1"/>
      <c r="TAA238" s="1"/>
      <c r="TAB238" s="1"/>
      <c r="TAC238" s="1"/>
      <c r="TAD238" s="1"/>
      <c r="TAE238" s="1"/>
      <c r="TAF238" s="1"/>
      <c r="TAG238" s="1"/>
      <c r="TAH238" s="1"/>
      <c r="TAI238" s="1"/>
      <c r="TAJ238" s="1"/>
      <c r="TAK238" s="1"/>
      <c r="TAL238" s="1"/>
      <c r="TAM238" s="1"/>
      <c r="TAN238" s="1"/>
      <c r="TAO238" s="1"/>
      <c r="TAP238" s="1"/>
      <c r="TAQ238" s="1"/>
      <c r="TAR238" s="1"/>
      <c r="TAS238" s="1"/>
      <c r="TAT238" s="1"/>
      <c r="TAU238" s="1"/>
      <c r="TAV238" s="1"/>
      <c r="TAW238" s="1"/>
      <c r="TAX238" s="1"/>
      <c r="TAY238" s="1"/>
      <c r="TAZ238" s="1"/>
      <c r="TBA238" s="1"/>
      <c r="TBB238" s="1"/>
      <c r="TBC238" s="1"/>
      <c r="TBD238" s="1"/>
      <c r="TBE238" s="1"/>
      <c r="TBF238" s="1"/>
      <c r="TBG238" s="1"/>
      <c r="TBH238" s="1"/>
      <c r="TBI238" s="1"/>
      <c r="TBJ238" s="1"/>
      <c r="TBK238" s="1"/>
      <c r="TBL238" s="1"/>
      <c r="TBM238" s="1"/>
      <c r="TBN238" s="1"/>
      <c r="TBO238" s="1"/>
      <c r="TBP238" s="1"/>
      <c r="TBQ238" s="1"/>
      <c r="TBR238" s="1"/>
      <c r="TBS238" s="1"/>
      <c r="TBT238" s="1"/>
      <c r="TBU238" s="1"/>
      <c r="TBV238" s="1"/>
      <c r="TBW238" s="1"/>
      <c r="TBX238" s="1"/>
      <c r="TBY238" s="1"/>
      <c r="TBZ238" s="1"/>
      <c r="TCA238" s="1"/>
      <c r="TCB238" s="1"/>
      <c r="TCC238" s="1"/>
      <c r="TCD238" s="1"/>
      <c r="TCE238" s="1"/>
      <c r="TCF238" s="1"/>
      <c r="TCG238" s="1"/>
      <c r="TCH238" s="1"/>
      <c r="TCI238" s="1"/>
      <c r="TCJ238" s="1"/>
      <c r="TCK238" s="1"/>
      <c r="TCL238" s="1"/>
      <c r="TCM238" s="1"/>
      <c r="TCN238" s="1"/>
      <c r="TCO238" s="1"/>
      <c r="TCP238" s="1"/>
      <c r="TCQ238" s="1"/>
      <c r="TCR238" s="1"/>
      <c r="TCS238" s="1"/>
      <c r="TCT238" s="1"/>
      <c r="TCU238" s="1"/>
      <c r="TCV238" s="1"/>
      <c r="TCW238" s="1"/>
      <c r="TCX238" s="1"/>
      <c r="TCY238" s="1"/>
      <c r="TCZ238" s="1"/>
      <c r="TDA238" s="1"/>
      <c r="TDB238" s="1"/>
      <c r="TDC238" s="1"/>
      <c r="TDD238" s="1"/>
      <c r="TDE238" s="1"/>
      <c r="TDF238" s="1"/>
      <c r="TDG238" s="1"/>
      <c r="TDH238" s="1"/>
      <c r="TDI238" s="1"/>
      <c r="TDJ238" s="1"/>
      <c r="TDK238" s="1"/>
      <c r="TDL238" s="1"/>
      <c r="TDM238" s="1"/>
      <c r="TDN238" s="1"/>
      <c r="TDO238" s="1"/>
      <c r="TDP238" s="1"/>
      <c r="TDQ238" s="1"/>
      <c r="TDR238" s="1"/>
      <c r="TDS238" s="1"/>
      <c r="TDT238" s="1"/>
      <c r="TDU238" s="1"/>
      <c r="TDV238" s="1"/>
      <c r="TDW238" s="1"/>
      <c r="TDX238" s="1"/>
      <c r="TDY238" s="1"/>
      <c r="TDZ238" s="1"/>
      <c r="TEA238" s="1"/>
      <c r="TEB238" s="1"/>
      <c r="TEC238" s="1"/>
      <c r="TED238" s="1"/>
      <c r="TEE238" s="1"/>
      <c r="TEF238" s="1"/>
      <c r="TEG238" s="1"/>
      <c r="TEH238" s="1"/>
      <c r="TEI238" s="1"/>
      <c r="TEJ238" s="1"/>
      <c r="TEK238" s="1"/>
      <c r="TEL238" s="1"/>
      <c r="TEM238" s="1"/>
      <c r="TEN238" s="1"/>
      <c r="TEO238" s="1"/>
      <c r="TEP238" s="1"/>
      <c r="TEQ238" s="1"/>
      <c r="TER238" s="1"/>
      <c r="TES238" s="1"/>
      <c r="TET238" s="1"/>
      <c r="TEU238" s="1"/>
      <c r="TEV238" s="1"/>
      <c r="TEW238" s="1"/>
      <c r="TEX238" s="1"/>
      <c r="TEY238" s="1"/>
      <c r="TEZ238" s="1"/>
      <c r="TFA238" s="1"/>
      <c r="TFB238" s="1"/>
      <c r="TFC238" s="1"/>
      <c r="TFD238" s="1"/>
      <c r="TFE238" s="1"/>
      <c r="TFF238" s="1"/>
      <c r="TFG238" s="1"/>
      <c r="TFH238" s="1"/>
      <c r="TFI238" s="1"/>
      <c r="TFJ238" s="1"/>
      <c r="TFK238" s="1"/>
      <c r="TFL238" s="1"/>
      <c r="TFM238" s="1"/>
      <c r="TFN238" s="1"/>
      <c r="TFO238" s="1"/>
      <c r="TFP238" s="1"/>
      <c r="TFQ238" s="1"/>
      <c r="TFR238" s="1"/>
      <c r="TFS238" s="1"/>
      <c r="TFT238" s="1"/>
      <c r="TFU238" s="1"/>
      <c r="TFV238" s="1"/>
      <c r="TFW238" s="1"/>
      <c r="TFX238" s="1"/>
      <c r="TFY238" s="1"/>
      <c r="TFZ238" s="1"/>
      <c r="TGA238" s="1"/>
      <c r="TGB238" s="1"/>
      <c r="TGC238" s="1"/>
      <c r="TGD238" s="1"/>
      <c r="TGE238" s="1"/>
      <c r="TGF238" s="1"/>
      <c r="TGG238" s="1"/>
      <c r="TGH238" s="1"/>
      <c r="TGI238" s="1"/>
      <c r="TGJ238" s="1"/>
      <c r="TGK238" s="1"/>
      <c r="TGL238" s="1"/>
      <c r="TGM238" s="1"/>
      <c r="TGN238" s="1"/>
      <c r="TGO238" s="1"/>
      <c r="TGP238" s="1"/>
      <c r="TGQ238" s="1"/>
      <c r="TGR238" s="1"/>
      <c r="TGS238" s="1"/>
      <c r="TGT238" s="1"/>
      <c r="TGU238" s="1"/>
      <c r="TGV238" s="1"/>
      <c r="TGW238" s="1"/>
      <c r="TGX238" s="1"/>
      <c r="TGY238" s="1"/>
      <c r="TGZ238" s="1"/>
      <c r="THA238" s="1"/>
      <c r="THB238" s="1"/>
      <c r="THC238" s="1"/>
      <c r="THD238" s="1"/>
      <c r="THE238" s="1"/>
      <c r="THF238" s="1"/>
      <c r="THG238" s="1"/>
      <c r="THH238" s="1"/>
      <c r="THI238" s="1"/>
      <c r="THJ238" s="1"/>
      <c r="THK238" s="1"/>
      <c r="THL238" s="1"/>
      <c r="THM238" s="1"/>
      <c r="THN238" s="1"/>
      <c r="THO238" s="1"/>
      <c r="THP238" s="1"/>
      <c r="THQ238" s="1"/>
      <c r="THR238" s="1"/>
      <c r="THS238" s="1"/>
      <c r="THT238" s="1"/>
      <c r="THU238" s="1"/>
      <c r="THV238" s="1"/>
      <c r="THW238" s="1"/>
      <c r="THX238" s="1"/>
      <c r="THY238" s="1"/>
      <c r="THZ238" s="1"/>
      <c r="TIA238" s="1"/>
      <c r="TIB238" s="1"/>
      <c r="TIC238" s="1"/>
      <c r="TID238" s="1"/>
      <c r="TIE238" s="1"/>
      <c r="TIF238" s="1"/>
      <c r="TIG238" s="1"/>
      <c r="TIH238" s="1"/>
      <c r="TII238" s="1"/>
      <c r="TIJ238" s="1"/>
      <c r="TIK238" s="1"/>
      <c r="TIL238" s="1"/>
      <c r="TIM238" s="1"/>
      <c r="TIN238" s="1"/>
      <c r="TIO238" s="1"/>
      <c r="TIP238" s="1"/>
      <c r="TIQ238" s="1"/>
      <c r="TIR238" s="1"/>
      <c r="TIS238" s="1"/>
      <c r="TIT238" s="1"/>
      <c r="TIU238" s="1"/>
      <c r="TIV238" s="1"/>
      <c r="TIW238" s="1"/>
      <c r="TIX238" s="1"/>
      <c r="TIY238" s="1"/>
      <c r="TIZ238" s="1"/>
      <c r="TJA238" s="1"/>
      <c r="TJB238" s="1"/>
      <c r="TJC238" s="1"/>
      <c r="TJD238" s="1"/>
      <c r="TJE238" s="1"/>
      <c r="TJF238" s="1"/>
      <c r="TJG238" s="1"/>
      <c r="TJH238" s="1"/>
      <c r="TJI238" s="1"/>
      <c r="TJJ238" s="1"/>
      <c r="TJK238" s="1"/>
      <c r="TJL238" s="1"/>
      <c r="TJM238" s="1"/>
      <c r="TJN238" s="1"/>
      <c r="TJO238" s="1"/>
      <c r="TJP238" s="1"/>
      <c r="TJQ238" s="1"/>
      <c r="TJR238" s="1"/>
      <c r="TJS238" s="1"/>
      <c r="TJT238" s="1"/>
      <c r="TJU238" s="1"/>
      <c r="TJV238" s="1"/>
      <c r="TJW238" s="1"/>
      <c r="TJX238" s="1"/>
      <c r="TJY238" s="1"/>
      <c r="TJZ238" s="1"/>
      <c r="TKA238" s="1"/>
      <c r="TKB238" s="1"/>
      <c r="TKC238" s="1"/>
      <c r="TKD238" s="1"/>
      <c r="TKE238" s="1"/>
      <c r="TKF238" s="1"/>
      <c r="TKG238" s="1"/>
      <c r="TKH238" s="1"/>
      <c r="TKI238" s="1"/>
      <c r="TKJ238" s="1"/>
      <c r="TKK238" s="1"/>
      <c r="TKL238" s="1"/>
      <c r="TKM238" s="1"/>
      <c r="TKN238" s="1"/>
      <c r="TKO238" s="1"/>
      <c r="TKP238" s="1"/>
      <c r="TKQ238" s="1"/>
      <c r="TKR238" s="1"/>
      <c r="TKS238" s="1"/>
      <c r="TKT238" s="1"/>
      <c r="TKU238" s="1"/>
      <c r="TKV238" s="1"/>
      <c r="TKW238" s="1"/>
      <c r="TKX238" s="1"/>
      <c r="TKY238" s="1"/>
      <c r="TKZ238" s="1"/>
      <c r="TLA238" s="1"/>
      <c r="TLB238" s="1"/>
      <c r="TLC238" s="1"/>
      <c r="TLD238" s="1"/>
      <c r="TLE238" s="1"/>
      <c r="TLF238" s="1"/>
      <c r="TLG238" s="1"/>
      <c r="TLH238" s="1"/>
      <c r="TLI238" s="1"/>
      <c r="TLJ238" s="1"/>
      <c r="TLK238" s="1"/>
      <c r="TLL238" s="1"/>
      <c r="TLM238" s="1"/>
      <c r="TLN238" s="1"/>
      <c r="TLO238" s="1"/>
      <c r="TLP238" s="1"/>
      <c r="TLQ238" s="1"/>
      <c r="TLR238" s="1"/>
      <c r="TLS238" s="1"/>
      <c r="TLT238" s="1"/>
      <c r="TLU238" s="1"/>
      <c r="TLV238" s="1"/>
      <c r="TLW238" s="1"/>
      <c r="TLX238" s="1"/>
      <c r="TLY238" s="1"/>
      <c r="TLZ238" s="1"/>
      <c r="TMA238" s="1"/>
      <c r="TMB238" s="1"/>
      <c r="TMC238" s="1"/>
      <c r="TMD238" s="1"/>
      <c r="TME238" s="1"/>
      <c r="TMF238" s="1"/>
      <c r="TMG238" s="1"/>
      <c r="TMH238" s="1"/>
      <c r="TMI238" s="1"/>
      <c r="TMJ238" s="1"/>
      <c r="TMK238" s="1"/>
      <c r="TML238" s="1"/>
      <c r="TMM238" s="1"/>
      <c r="TMN238" s="1"/>
      <c r="TMO238" s="1"/>
      <c r="TMP238" s="1"/>
      <c r="TMQ238" s="1"/>
      <c r="TMR238" s="1"/>
      <c r="TMS238" s="1"/>
      <c r="TMT238" s="1"/>
      <c r="TMU238" s="1"/>
      <c r="TMV238" s="1"/>
      <c r="TMW238" s="1"/>
      <c r="TMX238" s="1"/>
      <c r="TMY238" s="1"/>
      <c r="TMZ238" s="1"/>
      <c r="TNA238" s="1"/>
      <c r="TNB238" s="1"/>
      <c r="TNC238" s="1"/>
      <c r="TND238" s="1"/>
      <c r="TNE238" s="1"/>
      <c r="TNF238" s="1"/>
      <c r="TNG238" s="1"/>
      <c r="TNH238" s="1"/>
      <c r="TNI238" s="1"/>
      <c r="TNJ238" s="1"/>
      <c r="TNK238" s="1"/>
      <c r="TNL238" s="1"/>
      <c r="TNM238" s="1"/>
      <c r="TNN238" s="1"/>
      <c r="TNO238" s="1"/>
      <c r="TNP238" s="1"/>
      <c r="TNQ238" s="1"/>
      <c r="TNR238" s="1"/>
      <c r="TNS238" s="1"/>
      <c r="TNT238" s="1"/>
      <c r="TNU238" s="1"/>
      <c r="TNV238" s="1"/>
      <c r="TNW238" s="1"/>
      <c r="TNX238" s="1"/>
      <c r="TNY238" s="1"/>
      <c r="TNZ238" s="1"/>
      <c r="TOA238" s="1"/>
      <c r="TOB238" s="1"/>
      <c r="TOC238" s="1"/>
      <c r="TOD238" s="1"/>
      <c r="TOE238" s="1"/>
      <c r="TOF238" s="1"/>
      <c r="TOG238" s="1"/>
      <c r="TOH238" s="1"/>
      <c r="TOI238" s="1"/>
      <c r="TOJ238" s="1"/>
      <c r="TOK238" s="1"/>
      <c r="TOL238" s="1"/>
      <c r="TOM238" s="1"/>
      <c r="TON238" s="1"/>
      <c r="TOO238" s="1"/>
      <c r="TOP238" s="1"/>
      <c r="TOQ238" s="1"/>
      <c r="TOR238" s="1"/>
      <c r="TOS238" s="1"/>
      <c r="TOT238" s="1"/>
      <c r="TOU238" s="1"/>
      <c r="TOV238" s="1"/>
      <c r="TOW238" s="1"/>
      <c r="TOX238" s="1"/>
      <c r="TOY238" s="1"/>
      <c r="TOZ238" s="1"/>
      <c r="TPA238" s="1"/>
      <c r="TPB238" s="1"/>
      <c r="TPC238" s="1"/>
      <c r="TPD238" s="1"/>
      <c r="TPE238" s="1"/>
      <c r="TPF238" s="1"/>
      <c r="TPG238" s="1"/>
      <c r="TPH238" s="1"/>
      <c r="TPI238" s="1"/>
      <c r="TPJ238" s="1"/>
      <c r="TPK238" s="1"/>
      <c r="TPL238" s="1"/>
      <c r="TPM238" s="1"/>
      <c r="TPN238" s="1"/>
      <c r="TPO238" s="1"/>
      <c r="TPP238" s="1"/>
      <c r="TPQ238" s="1"/>
      <c r="TPR238" s="1"/>
      <c r="TPS238" s="1"/>
      <c r="TPT238" s="1"/>
      <c r="TPU238" s="1"/>
      <c r="TPV238" s="1"/>
      <c r="TPW238" s="1"/>
      <c r="TPX238" s="1"/>
      <c r="TPY238" s="1"/>
      <c r="TPZ238" s="1"/>
      <c r="TQA238" s="1"/>
      <c r="TQB238" s="1"/>
      <c r="TQC238" s="1"/>
      <c r="TQD238" s="1"/>
      <c r="TQE238" s="1"/>
      <c r="TQF238" s="1"/>
      <c r="TQG238" s="1"/>
      <c r="TQH238" s="1"/>
      <c r="TQI238" s="1"/>
      <c r="TQJ238" s="1"/>
      <c r="TQK238" s="1"/>
      <c r="TQL238" s="1"/>
      <c r="TQM238" s="1"/>
      <c r="TQN238" s="1"/>
      <c r="TQO238" s="1"/>
      <c r="TQP238" s="1"/>
      <c r="TQQ238" s="1"/>
      <c r="TQR238" s="1"/>
      <c r="TQS238" s="1"/>
      <c r="TQT238" s="1"/>
      <c r="TQU238" s="1"/>
      <c r="TQV238" s="1"/>
      <c r="TQW238" s="1"/>
      <c r="TQX238" s="1"/>
      <c r="TQY238" s="1"/>
      <c r="TQZ238" s="1"/>
      <c r="TRA238" s="1"/>
      <c r="TRB238" s="1"/>
      <c r="TRC238" s="1"/>
      <c r="TRD238" s="1"/>
      <c r="TRE238" s="1"/>
      <c r="TRF238" s="1"/>
      <c r="TRG238" s="1"/>
      <c r="TRH238" s="1"/>
      <c r="TRI238" s="1"/>
      <c r="TRJ238" s="1"/>
      <c r="TRK238" s="1"/>
      <c r="TRL238" s="1"/>
      <c r="TRM238" s="1"/>
      <c r="TRN238" s="1"/>
      <c r="TRO238" s="1"/>
      <c r="TRP238" s="1"/>
      <c r="TRQ238" s="1"/>
      <c r="TRR238" s="1"/>
      <c r="TRS238" s="1"/>
      <c r="TRT238" s="1"/>
      <c r="TRU238" s="1"/>
      <c r="TRV238" s="1"/>
      <c r="TRW238" s="1"/>
      <c r="TRX238" s="1"/>
      <c r="TRY238" s="1"/>
      <c r="TRZ238" s="1"/>
      <c r="TSA238" s="1"/>
      <c r="TSB238" s="1"/>
      <c r="TSC238" s="1"/>
      <c r="TSD238" s="1"/>
      <c r="TSE238" s="1"/>
      <c r="TSF238" s="1"/>
      <c r="TSG238" s="1"/>
      <c r="TSH238" s="1"/>
      <c r="TSI238" s="1"/>
      <c r="TSJ238" s="1"/>
      <c r="TSK238" s="1"/>
      <c r="TSL238" s="1"/>
      <c r="TSM238" s="1"/>
      <c r="TSN238" s="1"/>
      <c r="TSO238" s="1"/>
      <c r="TSP238" s="1"/>
      <c r="TSQ238" s="1"/>
      <c r="TSR238" s="1"/>
      <c r="TSS238" s="1"/>
      <c r="TST238" s="1"/>
      <c r="TSU238" s="1"/>
      <c r="TSV238" s="1"/>
      <c r="TSW238" s="1"/>
      <c r="TSX238" s="1"/>
      <c r="TSY238" s="1"/>
      <c r="TSZ238" s="1"/>
      <c r="TTA238" s="1"/>
      <c r="TTB238" s="1"/>
      <c r="TTC238" s="1"/>
      <c r="TTD238" s="1"/>
      <c r="TTE238" s="1"/>
      <c r="TTF238" s="1"/>
      <c r="TTG238" s="1"/>
      <c r="TTH238" s="1"/>
      <c r="TTI238" s="1"/>
      <c r="TTJ238" s="1"/>
      <c r="TTK238" s="1"/>
      <c r="TTL238" s="1"/>
      <c r="TTM238" s="1"/>
      <c r="TTN238" s="1"/>
      <c r="TTO238" s="1"/>
      <c r="TTP238" s="1"/>
      <c r="TTQ238" s="1"/>
      <c r="TTR238" s="1"/>
      <c r="TTS238" s="1"/>
      <c r="TTT238" s="1"/>
      <c r="TTU238" s="1"/>
      <c r="TTV238" s="1"/>
      <c r="TTW238" s="1"/>
      <c r="TTX238" s="1"/>
      <c r="TTY238" s="1"/>
      <c r="TTZ238" s="1"/>
      <c r="TUA238" s="1"/>
      <c r="TUB238" s="1"/>
      <c r="TUC238" s="1"/>
      <c r="TUD238" s="1"/>
      <c r="TUE238" s="1"/>
      <c r="TUF238" s="1"/>
      <c r="TUG238" s="1"/>
      <c r="TUH238" s="1"/>
      <c r="TUI238" s="1"/>
      <c r="TUJ238" s="1"/>
      <c r="TUK238" s="1"/>
      <c r="TUL238" s="1"/>
      <c r="TUM238" s="1"/>
      <c r="TUN238" s="1"/>
      <c r="TUO238" s="1"/>
      <c r="TUP238" s="1"/>
      <c r="TUQ238" s="1"/>
      <c r="TUR238" s="1"/>
      <c r="TUS238" s="1"/>
      <c r="TUT238" s="1"/>
      <c r="TUU238" s="1"/>
      <c r="TUV238" s="1"/>
      <c r="TUW238" s="1"/>
      <c r="TUX238" s="1"/>
      <c r="TUY238" s="1"/>
      <c r="TUZ238" s="1"/>
      <c r="TVA238" s="1"/>
      <c r="TVB238" s="1"/>
      <c r="TVC238" s="1"/>
      <c r="TVD238" s="1"/>
      <c r="TVE238" s="1"/>
      <c r="TVF238" s="1"/>
      <c r="TVG238" s="1"/>
      <c r="TVH238" s="1"/>
      <c r="TVI238" s="1"/>
      <c r="TVJ238" s="1"/>
      <c r="TVK238" s="1"/>
      <c r="TVL238" s="1"/>
      <c r="TVM238" s="1"/>
      <c r="TVN238" s="1"/>
      <c r="TVO238" s="1"/>
      <c r="TVP238" s="1"/>
      <c r="TVQ238" s="1"/>
      <c r="TVR238" s="1"/>
      <c r="TVS238" s="1"/>
      <c r="TVT238" s="1"/>
      <c r="TVU238" s="1"/>
      <c r="TVV238" s="1"/>
      <c r="TVW238" s="1"/>
      <c r="TVX238" s="1"/>
      <c r="TVY238" s="1"/>
      <c r="TVZ238" s="1"/>
      <c r="TWA238" s="1"/>
      <c r="TWB238" s="1"/>
      <c r="TWC238" s="1"/>
      <c r="TWD238" s="1"/>
      <c r="TWE238" s="1"/>
      <c r="TWF238" s="1"/>
      <c r="TWG238" s="1"/>
      <c r="TWH238" s="1"/>
      <c r="TWI238" s="1"/>
      <c r="TWJ238" s="1"/>
      <c r="TWK238" s="1"/>
      <c r="TWL238" s="1"/>
      <c r="TWM238" s="1"/>
      <c r="TWN238" s="1"/>
      <c r="TWO238" s="1"/>
      <c r="TWP238" s="1"/>
      <c r="TWQ238" s="1"/>
      <c r="TWR238" s="1"/>
      <c r="TWS238" s="1"/>
      <c r="TWT238" s="1"/>
      <c r="TWU238" s="1"/>
      <c r="TWV238" s="1"/>
      <c r="TWW238" s="1"/>
      <c r="TWX238" s="1"/>
      <c r="TWY238" s="1"/>
      <c r="TWZ238" s="1"/>
      <c r="TXA238" s="1"/>
      <c r="TXB238" s="1"/>
      <c r="TXC238" s="1"/>
      <c r="TXD238" s="1"/>
      <c r="TXE238" s="1"/>
      <c r="TXF238" s="1"/>
      <c r="TXG238" s="1"/>
      <c r="TXH238" s="1"/>
      <c r="TXI238" s="1"/>
      <c r="TXJ238" s="1"/>
      <c r="TXK238" s="1"/>
      <c r="TXL238" s="1"/>
      <c r="TXM238" s="1"/>
      <c r="TXN238" s="1"/>
      <c r="TXO238" s="1"/>
      <c r="TXP238" s="1"/>
      <c r="TXQ238" s="1"/>
      <c r="TXR238" s="1"/>
      <c r="TXS238" s="1"/>
      <c r="TXT238" s="1"/>
      <c r="TXU238" s="1"/>
      <c r="TXV238" s="1"/>
      <c r="TXW238" s="1"/>
      <c r="TXX238" s="1"/>
      <c r="TXY238" s="1"/>
      <c r="TXZ238" s="1"/>
      <c r="TYA238" s="1"/>
      <c r="TYB238" s="1"/>
      <c r="TYC238" s="1"/>
      <c r="TYD238" s="1"/>
      <c r="TYE238" s="1"/>
      <c r="TYF238" s="1"/>
      <c r="TYG238" s="1"/>
      <c r="TYH238" s="1"/>
      <c r="TYI238" s="1"/>
      <c r="TYJ238" s="1"/>
      <c r="TYK238" s="1"/>
      <c r="TYL238" s="1"/>
      <c r="TYM238" s="1"/>
      <c r="TYN238" s="1"/>
      <c r="TYO238" s="1"/>
      <c r="TYP238" s="1"/>
      <c r="TYQ238" s="1"/>
      <c r="TYR238" s="1"/>
      <c r="TYS238" s="1"/>
      <c r="TYT238" s="1"/>
      <c r="TYU238" s="1"/>
      <c r="TYV238" s="1"/>
      <c r="TYW238" s="1"/>
      <c r="TYX238" s="1"/>
      <c r="TYY238" s="1"/>
      <c r="TYZ238" s="1"/>
      <c r="TZA238" s="1"/>
      <c r="TZB238" s="1"/>
      <c r="TZC238" s="1"/>
      <c r="TZD238" s="1"/>
      <c r="TZE238" s="1"/>
      <c r="TZF238" s="1"/>
      <c r="TZG238" s="1"/>
      <c r="TZH238" s="1"/>
      <c r="TZI238" s="1"/>
      <c r="TZJ238" s="1"/>
      <c r="TZK238" s="1"/>
      <c r="TZL238" s="1"/>
      <c r="TZM238" s="1"/>
      <c r="TZN238" s="1"/>
      <c r="TZO238" s="1"/>
      <c r="TZP238" s="1"/>
      <c r="TZQ238" s="1"/>
      <c r="TZR238" s="1"/>
      <c r="TZS238" s="1"/>
      <c r="TZT238" s="1"/>
      <c r="TZU238" s="1"/>
      <c r="TZV238" s="1"/>
      <c r="TZW238" s="1"/>
      <c r="TZX238" s="1"/>
      <c r="TZY238" s="1"/>
      <c r="TZZ238" s="1"/>
      <c r="UAA238" s="1"/>
      <c r="UAB238" s="1"/>
      <c r="UAC238" s="1"/>
      <c r="UAD238" s="1"/>
      <c r="UAE238" s="1"/>
      <c r="UAF238" s="1"/>
      <c r="UAG238" s="1"/>
      <c r="UAH238" s="1"/>
      <c r="UAI238" s="1"/>
      <c r="UAJ238" s="1"/>
      <c r="UAK238" s="1"/>
      <c r="UAL238" s="1"/>
      <c r="UAM238" s="1"/>
      <c r="UAN238" s="1"/>
      <c r="UAO238" s="1"/>
      <c r="UAP238" s="1"/>
      <c r="UAQ238" s="1"/>
      <c r="UAR238" s="1"/>
      <c r="UAS238" s="1"/>
      <c r="UAT238" s="1"/>
      <c r="UAU238" s="1"/>
      <c r="UAV238" s="1"/>
      <c r="UAW238" s="1"/>
      <c r="UAX238" s="1"/>
      <c r="UAY238" s="1"/>
      <c r="UAZ238" s="1"/>
      <c r="UBA238" s="1"/>
      <c r="UBB238" s="1"/>
      <c r="UBC238" s="1"/>
      <c r="UBD238" s="1"/>
      <c r="UBE238" s="1"/>
      <c r="UBF238" s="1"/>
      <c r="UBG238" s="1"/>
      <c r="UBH238" s="1"/>
      <c r="UBI238" s="1"/>
      <c r="UBJ238" s="1"/>
      <c r="UBK238" s="1"/>
      <c r="UBL238" s="1"/>
      <c r="UBM238" s="1"/>
      <c r="UBN238" s="1"/>
      <c r="UBO238" s="1"/>
      <c r="UBP238" s="1"/>
      <c r="UBQ238" s="1"/>
      <c r="UBR238" s="1"/>
      <c r="UBS238" s="1"/>
      <c r="UBT238" s="1"/>
      <c r="UBU238" s="1"/>
      <c r="UBV238" s="1"/>
      <c r="UBW238" s="1"/>
      <c r="UBX238" s="1"/>
      <c r="UBY238" s="1"/>
      <c r="UBZ238" s="1"/>
      <c r="UCA238" s="1"/>
      <c r="UCB238" s="1"/>
      <c r="UCC238" s="1"/>
      <c r="UCD238" s="1"/>
      <c r="UCE238" s="1"/>
      <c r="UCF238" s="1"/>
      <c r="UCG238" s="1"/>
      <c r="UCH238" s="1"/>
      <c r="UCI238" s="1"/>
      <c r="UCJ238" s="1"/>
      <c r="UCK238" s="1"/>
      <c r="UCL238" s="1"/>
      <c r="UCM238" s="1"/>
      <c r="UCN238" s="1"/>
      <c r="UCO238" s="1"/>
      <c r="UCP238" s="1"/>
      <c r="UCQ238" s="1"/>
      <c r="UCR238" s="1"/>
      <c r="UCS238" s="1"/>
      <c r="UCT238" s="1"/>
      <c r="UCU238" s="1"/>
      <c r="UCV238" s="1"/>
      <c r="UCW238" s="1"/>
      <c r="UCX238" s="1"/>
      <c r="UCY238" s="1"/>
      <c r="UCZ238" s="1"/>
      <c r="UDA238" s="1"/>
      <c r="UDB238" s="1"/>
      <c r="UDC238" s="1"/>
      <c r="UDD238" s="1"/>
      <c r="UDE238" s="1"/>
      <c r="UDF238" s="1"/>
      <c r="UDG238" s="1"/>
      <c r="UDH238" s="1"/>
      <c r="UDI238" s="1"/>
      <c r="UDJ238" s="1"/>
      <c r="UDK238" s="1"/>
      <c r="UDL238" s="1"/>
      <c r="UDM238" s="1"/>
      <c r="UDN238" s="1"/>
      <c r="UDO238" s="1"/>
      <c r="UDP238" s="1"/>
      <c r="UDQ238" s="1"/>
      <c r="UDR238" s="1"/>
      <c r="UDS238" s="1"/>
      <c r="UDT238" s="1"/>
      <c r="UDU238" s="1"/>
      <c r="UDV238" s="1"/>
      <c r="UDW238" s="1"/>
      <c r="UDX238" s="1"/>
      <c r="UDY238" s="1"/>
      <c r="UDZ238" s="1"/>
      <c r="UEA238" s="1"/>
      <c r="UEB238" s="1"/>
      <c r="UEC238" s="1"/>
      <c r="UED238" s="1"/>
      <c r="UEE238" s="1"/>
      <c r="UEF238" s="1"/>
      <c r="UEG238" s="1"/>
      <c r="UEH238" s="1"/>
      <c r="UEI238" s="1"/>
      <c r="UEJ238" s="1"/>
      <c r="UEK238" s="1"/>
      <c r="UEL238" s="1"/>
      <c r="UEM238" s="1"/>
      <c r="UEN238" s="1"/>
      <c r="UEO238" s="1"/>
      <c r="UEP238" s="1"/>
      <c r="UEQ238" s="1"/>
      <c r="UER238" s="1"/>
      <c r="UES238" s="1"/>
      <c r="UET238" s="1"/>
      <c r="UEU238" s="1"/>
      <c r="UEV238" s="1"/>
      <c r="UEW238" s="1"/>
      <c r="UEX238" s="1"/>
      <c r="UEY238" s="1"/>
      <c r="UEZ238" s="1"/>
      <c r="UFA238" s="1"/>
      <c r="UFB238" s="1"/>
      <c r="UFC238" s="1"/>
      <c r="UFD238" s="1"/>
      <c r="UFE238" s="1"/>
      <c r="UFF238" s="1"/>
      <c r="UFG238" s="1"/>
      <c r="UFH238" s="1"/>
      <c r="UFI238" s="1"/>
      <c r="UFJ238" s="1"/>
      <c r="UFK238" s="1"/>
      <c r="UFL238" s="1"/>
      <c r="UFM238" s="1"/>
      <c r="UFN238" s="1"/>
      <c r="UFO238" s="1"/>
      <c r="UFP238" s="1"/>
      <c r="UFQ238" s="1"/>
      <c r="UFR238" s="1"/>
      <c r="UFS238" s="1"/>
      <c r="UFT238" s="1"/>
      <c r="UFU238" s="1"/>
      <c r="UFV238" s="1"/>
      <c r="UFW238" s="1"/>
      <c r="UFX238" s="1"/>
      <c r="UFY238" s="1"/>
      <c r="UFZ238" s="1"/>
      <c r="UGA238" s="1"/>
      <c r="UGB238" s="1"/>
      <c r="UGC238" s="1"/>
      <c r="UGD238" s="1"/>
      <c r="UGE238" s="1"/>
      <c r="UGF238" s="1"/>
      <c r="UGG238" s="1"/>
      <c r="UGH238" s="1"/>
      <c r="UGI238" s="1"/>
      <c r="UGJ238" s="1"/>
      <c r="UGK238" s="1"/>
      <c r="UGL238" s="1"/>
      <c r="UGM238" s="1"/>
      <c r="UGN238" s="1"/>
      <c r="UGO238" s="1"/>
      <c r="UGP238" s="1"/>
      <c r="UGQ238" s="1"/>
      <c r="UGR238" s="1"/>
      <c r="UGS238" s="1"/>
      <c r="UGT238" s="1"/>
      <c r="UGU238" s="1"/>
      <c r="UGV238" s="1"/>
      <c r="UGW238" s="1"/>
      <c r="UGX238" s="1"/>
      <c r="UGY238" s="1"/>
      <c r="UGZ238" s="1"/>
      <c r="UHA238" s="1"/>
      <c r="UHB238" s="1"/>
      <c r="UHC238" s="1"/>
      <c r="UHD238" s="1"/>
      <c r="UHE238" s="1"/>
      <c r="UHF238" s="1"/>
      <c r="UHG238" s="1"/>
      <c r="UHH238" s="1"/>
      <c r="UHI238" s="1"/>
      <c r="UHJ238" s="1"/>
      <c r="UHK238" s="1"/>
      <c r="UHL238" s="1"/>
      <c r="UHM238" s="1"/>
      <c r="UHN238" s="1"/>
      <c r="UHO238" s="1"/>
      <c r="UHP238" s="1"/>
      <c r="UHQ238" s="1"/>
      <c r="UHR238" s="1"/>
      <c r="UHS238" s="1"/>
      <c r="UHT238" s="1"/>
      <c r="UHU238" s="1"/>
      <c r="UHV238" s="1"/>
      <c r="UHW238" s="1"/>
      <c r="UHX238" s="1"/>
      <c r="UHY238" s="1"/>
      <c r="UHZ238" s="1"/>
      <c r="UIA238" s="1"/>
      <c r="UIB238" s="1"/>
      <c r="UIC238" s="1"/>
      <c r="UID238" s="1"/>
      <c r="UIE238" s="1"/>
      <c r="UIF238" s="1"/>
      <c r="UIG238" s="1"/>
      <c r="UIH238" s="1"/>
      <c r="UII238" s="1"/>
      <c r="UIJ238" s="1"/>
      <c r="UIK238" s="1"/>
      <c r="UIL238" s="1"/>
      <c r="UIM238" s="1"/>
      <c r="UIN238" s="1"/>
      <c r="UIO238" s="1"/>
      <c r="UIP238" s="1"/>
      <c r="UIQ238" s="1"/>
      <c r="UIR238" s="1"/>
      <c r="UIS238" s="1"/>
      <c r="UIT238" s="1"/>
      <c r="UIU238" s="1"/>
      <c r="UIV238" s="1"/>
      <c r="UIW238" s="1"/>
      <c r="UIX238" s="1"/>
      <c r="UIY238" s="1"/>
      <c r="UIZ238" s="1"/>
      <c r="UJA238" s="1"/>
      <c r="UJB238" s="1"/>
      <c r="UJC238" s="1"/>
      <c r="UJD238" s="1"/>
      <c r="UJE238" s="1"/>
      <c r="UJF238" s="1"/>
      <c r="UJG238" s="1"/>
      <c r="UJH238" s="1"/>
      <c r="UJI238" s="1"/>
      <c r="UJJ238" s="1"/>
      <c r="UJK238" s="1"/>
      <c r="UJL238" s="1"/>
      <c r="UJM238" s="1"/>
      <c r="UJN238" s="1"/>
      <c r="UJO238" s="1"/>
      <c r="UJP238" s="1"/>
      <c r="UJQ238" s="1"/>
      <c r="UJR238" s="1"/>
      <c r="UJS238" s="1"/>
      <c r="UJT238" s="1"/>
      <c r="UJU238" s="1"/>
      <c r="UJV238" s="1"/>
      <c r="UJW238" s="1"/>
      <c r="UJX238" s="1"/>
      <c r="UJY238" s="1"/>
      <c r="UJZ238" s="1"/>
      <c r="UKA238" s="1"/>
      <c r="UKB238" s="1"/>
      <c r="UKC238" s="1"/>
      <c r="UKD238" s="1"/>
      <c r="UKE238" s="1"/>
      <c r="UKF238" s="1"/>
      <c r="UKG238" s="1"/>
      <c r="UKH238" s="1"/>
      <c r="UKI238" s="1"/>
      <c r="UKJ238" s="1"/>
      <c r="UKK238" s="1"/>
      <c r="UKL238" s="1"/>
      <c r="UKM238" s="1"/>
      <c r="UKN238" s="1"/>
      <c r="UKO238" s="1"/>
      <c r="UKP238" s="1"/>
      <c r="UKQ238" s="1"/>
      <c r="UKR238" s="1"/>
      <c r="UKS238" s="1"/>
      <c r="UKT238" s="1"/>
      <c r="UKU238" s="1"/>
      <c r="UKV238" s="1"/>
      <c r="UKW238" s="1"/>
      <c r="UKX238" s="1"/>
      <c r="UKY238" s="1"/>
      <c r="UKZ238" s="1"/>
      <c r="ULA238" s="1"/>
      <c r="ULB238" s="1"/>
      <c r="ULC238" s="1"/>
      <c r="ULD238" s="1"/>
      <c r="ULE238" s="1"/>
      <c r="ULF238" s="1"/>
      <c r="ULG238" s="1"/>
      <c r="ULH238" s="1"/>
      <c r="ULI238" s="1"/>
      <c r="ULJ238" s="1"/>
      <c r="ULK238" s="1"/>
      <c r="ULL238" s="1"/>
      <c r="ULM238" s="1"/>
      <c r="ULN238" s="1"/>
      <c r="ULO238" s="1"/>
      <c r="ULP238" s="1"/>
      <c r="ULQ238" s="1"/>
      <c r="ULR238" s="1"/>
      <c r="ULS238" s="1"/>
      <c r="ULT238" s="1"/>
      <c r="ULU238" s="1"/>
      <c r="ULV238" s="1"/>
      <c r="ULW238" s="1"/>
      <c r="ULX238" s="1"/>
      <c r="ULY238" s="1"/>
      <c r="ULZ238" s="1"/>
      <c r="UMA238" s="1"/>
      <c r="UMB238" s="1"/>
      <c r="UMC238" s="1"/>
      <c r="UMD238" s="1"/>
      <c r="UME238" s="1"/>
      <c r="UMF238" s="1"/>
      <c r="UMG238" s="1"/>
      <c r="UMH238" s="1"/>
      <c r="UMI238" s="1"/>
      <c r="UMJ238" s="1"/>
      <c r="UMK238" s="1"/>
      <c r="UML238" s="1"/>
      <c r="UMM238" s="1"/>
      <c r="UMN238" s="1"/>
      <c r="UMO238" s="1"/>
      <c r="UMP238" s="1"/>
      <c r="UMQ238" s="1"/>
      <c r="UMR238" s="1"/>
      <c r="UMS238" s="1"/>
      <c r="UMT238" s="1"/>
      <c r="UMU238" s="1"/>
      <c r="UMV238" s="1"/>
      <c r="UMW238" s="1"/>
      <c r="UMX238" s="1"/>
      <c r="UMY238" s="1"/>
      <c r="UMZ238" s="1"/>
      <c r="UNA238" s="1"/>
      <c r="UNB238" s="1"/>
      <c r="UNC238" s="1"/>
      <c r="UND238" s="1"/>
      <c r="UNE238" s="1"/>
      <c r="UNF238" s="1"/>
      <c r="UNG238" s="1"/>
      <c r="UNH238" s="1"/>
      <c r="UNI238" s="1"/>
      <c r="UNJ238" s="1"/>
      <c r="UNK238" s="1"/>
      <c r="UNL238" s="1"/>
      <c r="UNM238" s="1"/>
      <c r="UNN238" s="1"/>
      <c r="UNO238" s="1"/>
      <c r="UNP238" s="1"/>
      <c r="UNQ238" s="1"/>
      <c r="UNR238" s="1"/>
      <c r="UNS238" s="1"/>
      <c r="UNT238" s="1"/>
      <c r="UNU238" s="1"/>
      <c r="UNV238" s="1"/>
      <c r="UNW238" s="1"/>
      <c r="UNX238" s="1"/>
      <c r="UNY238" s="1"/>
      <c r="UNZ238" s="1"/>
      <c r="UOA238" s="1"/>
      <c r="UOB238" s="1"/>
      <c r="UOC238" s="1"/>
      <c r="UOD238" s="1"/>
      <c r="UOE238" s="1"/>
      <c r="UOF238" s="1"/>
      <c r="UOG238" s="1"/>
      <c r="UOH238" s="1"/>
      <c r="UOI238" s="1"/>
      <c r="UOJ238" s="1"/>
      <c r="UOK238" s="1"/>
      <c r="UOL238" s="1"/>
      <c r="UOM238" s="1"/>
      <c r="UON238" s="1"/>
      <c r="UOO238" s="1"/>
      <c r="UOP238" s="1"/>
      <c r="UOQ238" s="1"/>
      <c r="UOR238" s="1"/>
      <c r="UOS238" s="1"/>
      <c r="UOT238" s="1"/>
      <c r="UOU238" s="1"/>
      <c r="UOV238" s="1"/>
      <c r="UOW238" s="1"/>
      <c r="UOX238" s="1"/>
      <c r="UOY238" s="1"/>
      <c r="UOZ238" s="1"/>
      <c r="UPA238" s="1"/>
      <c r="UPB238" s="1"/>
      <c r="UPC238" s="1"/>
      <c r="UPD238" s="1"/>
      <c r="UPE238" s="1"/>
      <c r="UPF238" s="1"/>
      <c r="UPG238" s="1"/>
      <c r="UPH238" s="1"/>
      <c r="UPI238" s="1"/>
      <c r="UPJ238" s="1"/>
      <c r="UPK238" s="1"/>
      <c r="UPL238" s="1"/>
      <c r="UPM238" s="1"/>
      <c r="UPN238" s="1"/>
      <c r="UPO238" s="1"/>
      <c r="UPP238" s="1"/>
      <c r="UPQ238" s="1"/>
      <c r="UPR238" s="1"/>
      <c r="UPS238" s="1"/>
      <c r="UPT238" s="1"/>
      <c r="UPU238" s="1"/>
      <c r="UPV238" s="1"/>
      <c r="UPW238" s="1"/>
      <c r="UPX238" s="1"/>
      <c r="UPY238" s="1"/>
      <c r="UPZ238" s="1"/>
      <c r="UQA238" s="1"/>
      <c r="UQB238" s="1"/>
      <c r="UQC238" s="1"/>
      <c r="UQD238" s="1"/>
      <c r="UQE238" s="1"/>
      <c r="UQF238" s="1"/>
      <c r="UQG238" s="1"/>
      <c r="UQH238" s="1"/>
      <c r="UQI238" s="1"/>
      <c r="UQJ238" s="1"/>
      <c r="UQK238" s="1"/>
      <c r="UQL238" s="1"/>
      <c r="UQM238" s="1"/>
      <c r="UQN238" s="1"/>
      <c r="UQO238" s="1"/>
      <c r="UQP238" s="1"/>
      <c r="UQQ238" s="1"/>
      <c r="UQR238" s="1"/>
      <c r="UQS238" s="1"/>
      <c r="UQT238" s="1"/>
      <c r="UQU238" s="1"/>
      <c r="UQV238" s="1"/>
      <c r="UQW238" s="1"/>
      <c r="UQX238" s="1"/>
      <c r="UQY238" s="1"/>
      <c r="UQZ238" s="1"/>
      <c r="URA238" s="1"/>
      <c r="URB238" s="1"/>
      <c r="URC238" s="1"/>
      <c r="URD238" s="1"/>
      <c r="URE238" s="1"/>
      <c r="URF238" s="1"/>
      <c r="URG238" s="1"/>
      <c r="URH238" s="1"/>
      <c r="URI238" s="1"/>
      <c r="URJ238" s="1"/>
      <c r="URK238" s="1"/>
      <c r="URL238" s="1"/>
      <c r="URM238" s="1"/>
      <c r="URN238" s="1"/>
      <c r="URO238" s="1"/>
      <c r="URP238" s="1"/>
      <c r="URQ238" s="1"/>
      <c r="URR238" s="1"/>
      <c r="URS238" s="1"/>
      <c r="URT238" s="1"/>
      <c r="URU238" s="1"/>
      <c r="URV238" s="1"/>
      <c r="URW238" s="1"/>
      <c r="URX238" s="1"/>
      <c r="URY238" s="1"/>
      <c r="URZ238" s="1"/>
      <c r="USA238" s="1"/>
      <c r="USB238" s="1"/>
      <c r="USC238" s="1"/>
      <c r="USD238" s="1"/>
      <c r="USE238" s="1"/>
      <c r="USF238" s="1"/>
      <c r="USG238" s="1"/>
      <c r="USH238" s="1"/>
      <c r="USI238" s="1"/>
      <c r="USJ238" s="1"/>
      <c r="USK238" s="1"/>
      <c r="USL238" s="1"/>
      <c r="USM238" s="1"/>
      <c r="USN238" s="1"/>
      <c r="USO238" s="1"/>
      <c r="USP238" s="1"/>
      <c r="USQ238" s="1"/>
      <c r="USR238" s="1"/>
      <c r="USS238" s="1"/>
      <c r="UST238" s="1"/>
      <c r="USU238" s="1"/>
      <c r="USV238" s="1"/>
      <c r="USW238" s="1"/>
      <c r="USX238" s="1"/>
      <c r="USY238" s="1"/>
      <c r="USZ238" s="1"/>
      <c r="UTA238" s="1"/>
      <c r="UTB238" s="1"/>
      <c r="UTC238" s="1"/>
      <c r="UTD238" s="1"/>
      <c r="UTE238" s="1"/>
      <c r="UTF238" s="1"/>
      <c r="UTG238" s="1"/>
      <c r="UTH238" s="1"/>
      <c r="UTI238" s="1"/>
      <c r="UTJ238" s="1"/>
      <c r="UTK238" s="1"/>
      <c r="UTL238" s="1"/>
      <c r="UTM238" s="1"/>
      <c r="UTN238" s="1"/>
      <c r="UTO238" s="1"/>
      <c r="UTP238" s="1"/>
      <c r="UTQ238" s="1"/>
      <c r="UTR238" s="1"/>
      <c r="UTS238" s="1"/>
      <c r="UTT238" s="1"/>
      <c r="UTU238" s="1"/>
      <c r="UTV238" s="1"/>
      <c r="UTW238" s="1"/>
      <c r="UTX238" s="1"/>
      <c r="UTY238" s="1"/>
      <c r="UTZ238" s="1"/>
      <c r="UUA238" s="1"/>
      <c r="UUB238" s="1"/>
      <c r="UUC238" s="1"/>
      <c r="UUD238" s="1"/>
      <c r="UUE238" s="1"/>
      <c r="UUF238" s="1"/>
      <c r="UUG238" s="1"/>
      <c r="UUH238" s="1"/>
      <c r="UUI238" s="1"/>
      <c r="UUJ238" s="1"/>
      <c r="UUK238" s="1"/>
      <c r="UUL238" s="1"/>
      <c r="UUM238" s="1"/>
      <c r="UUN238" s="1"/>
      <c r="UUO238" s="1"/>
      <c r="UUP238" s="1"/>
      <c r="UUQ238" s="1"/>
      <c r="UUR238" s="1"/>
      <c r="UUS238" s="1"/>
      <c r="UUT238" s="1"/>
      <c r="UUU238" s="1"/>
      <c r="UUV238" s="1"/>
      <c r="UUW238" s="1"/>
      <c r="UUX238" s="1"/>
      <c r="UUY238" s="1"/>
      <c r="UUZ238" s="1"/>
      <c r="UVA238" s="1"/>
      <c r="UVB238" s="1"/>
      <c r="UVC238" s="1"/>
      <c r="UVD238" s="1"/>
      <c r="UVE238" s="1"/>
      <c r="UVF238" s="1"/>
      <c r="UVG238" s="1"/>
      <c r="UVH238" s="1"/>
      <c r="UVI238" s="1"/>
      <c r="UVJ238" s="1"/>
      <c r="UVK238" s="1"/>
      <c r="UVL238" s="1"/>
      <c r="UVM238" s="1"/>
      <c r="UVN238" s="1"/>
      <c r="UVO238" s="1"/>
      <c r="UVP238" s="1"/>
      <c r="UVQ238" s="1"/>
      <c r="UVR238" s="1"/>
      <c r="UVS238" s="1"/>
      <c r="UVT238" s="1"/>
      <c r="UVU238" s="1"/>
      <c r="UVV238" s="1"/>
      <c r="UVW238" s="1"/>
      <c r="UVX238" s="1"/>
      <c r="UVY238" s="1"/>
      <c r="UVZ238" s="1"/>
      <c r="UWA238" s="1"/>
      <c r="UWB238" s="1"/>
      <c r="UWC238" s="1"/>
      <c r="UWD238" s="1"/>
      <c r="UWE238" s="1"/>
      <c r="UWF238" s="1"/>
      <c r="UWG238" s="1"/>
      <c r="UWH238" s="1"/>
      <c r="UWI238" s="1"/>
      <c r="UWJ238" s="1"/>
      <c r="UWK238" s="1"/>
      <c r="UWL238" s="1"/>
      <c r="UWM238" s="1"/>
      <c r="UWN238" s="1"/>
      <c r="UWO238" s="1"/>
      <c r="UWP238" s="1"/>
      <c r="UWQ238" s="1"/>
      <c r="UWR238" s="1"/>
      <c r="UWS238" s="1"/>
      <c r="UWT238" s="1"/>
      <c r="UWU238" s="1"/>
      <c r="UWV238" s="1"/>
      <c r="UWW238" s="1"/>
      <c r="UWX238" s="1"/>
      <c r="UWY238" s="1"/>
      <c r="UWZ238" s="1"/>
      <c r="UXA238" s="1"/>
      <c r="UXB238" s="1"/>
      <c r="UXC238" s="1"/>
      <c r="UXD238" s="1"/>
      <c r="UXE238" s="1"/>
      <c r="UXF238" s="1"/>
      <c r="UXG238" s="1"/>
      <c r="UXH238" s="1"/>
      <c r="UXI238" s="1"/>
      <c r="UXJ238" s="1"/>
      <c r="UXK238" s="1"/>
      <c r="UXL238" s="1"/>
      <c r="UXM238" s="1"/>
      <c r="UXN238" s="1"/>
      <c r="UXO238" s="1"/>
      <c r="UXP238" s="1"/>
      <c r="UXQ238" s="1"/>
      <c r="UXR238" s="1"/>
      <c r="UXS238" s="1"/>
      <c r="UXT238" s="1"/>
      <c r="UXU238" s="1"/>
      <c r="UXV238" s="1"/>
      <c r="UXW238" s="1"/>
      <c r="UXX238" s="1"/>
      <c r="UXY238" s="1"/>
      <c r="UXZ238" s="1"/>
      <c r="UYA238" s="1"/>
      <c r="UYB238" s="1"/>
      <c r="UYC238" s="1"/>
      <c r="UYD238" s="1"/>
      <c r="UYE238" s="1"/>
      <c r="UYF238" s="1"/>
      <c r="UYG238" s="1"/>
      <c r="UYH238" s="1"/>
      <c r="UYI238" s="1"/>
      <c r="UYJ238" s="1"/>
      <c r="UYK238" s="1"/>
      <c r="UYL238" s="1"/>
      <c r="UYM238" s="1"/>
      <c r="UYN238" s="1"/>
      <c r="UYO238" s="1"/>
      <c r="UYP238" s="1"/>
      <c r="UYQ238" s="1"/>
      <c r="UYR238" s="1"/>
      <c r="UYS238" s="1"/>
      <c r="UYT238" s="1"/>
      <c r="UYU238" s="1"/>
      <c r="UYV238" s="1"/>
      <c r="UYW238" s="1"/>
      <c r="UYX238" s="1"/>
      <c r="UYY238" s="1"/>
      <c r="UYZ238" s="1"/>
      <c r="UZA238" s="1"/>
      <c r="UZB238" s="1"/>
      <c r="UZC238" s="1"/>
      <c r="UZD238" s="1"/>
      <c r="UZE238" s="1"/>
      <c r="UZF238" s="1"/>
      <c r="UZG238" s="1"/>
      <c r="UZH238" s="1"/>
      <c r="UZI238" s="1"/>
      <c r="UZJ238" s="1"/>
      <c r="UZK238" s="1"/>
      <c r="UZL238" s="1"/>
      <c r="UZM238" s="1"/>
      <c r="UZN238" s="1"/>
      <c r="UZO238" s="1"/>
      <c r="UZP238" s="1"/>
      <c r="UZQ238" s="1"/>
      <c r="UZR238" s="1"/>
      <c r="UZS238" s="1"/>
      <c r="UZT238" s="1"/>
      <c r="UZU238" s="1"/>
      <c r="UZV238" s="1"/>
      <c r="UZW238" s="1"/>
      <c r="UZX238" s="1"/>
      <c r="UZY238" s="1"/>
      <c r="UZZ238" s="1"/>
      <c r="VAA238" s="1"/>
      <c r="VAB238" s="1"/>
      <c r="VAC238" s="1"/>
      <c r="VAD238" s="1"/>
      <c r="VAE238" s="1"/>
      <c r="VAF238" s="1"/>
      <c r="VAG238" s="1"/>
      <c r="VAH238" s="1"/>
      <c r="VAI238" s="1"/>
      <c r="VAJ238" s="1"/>
      <c r="VAK238" s="1"/>
      <c r="VAL238" s="1"/>
      <c r="VAM238" s="1"/>
      <c r="VAN238" s="1"/>
      <c r="VAO238" s="1"/>
      <c r="VAP238" s="1"/>
      <c r="VAQ238" s="1"/>
      <c r="VAR238" s="1"/>
      <c r="VAS238" s="1"/>
      <c r="VAT238" s="1"/>
      <c r="VAU238" s="1"/>
      <c r="VAV238" s="1"/>
      <c r="VAW238" s="1"/>
      <c r="VAX238" s="1"/>
      <c r="VAY238" s="1"/>
      <c r="VAZ238" s="1"/>
      <c r="VBA238" s="1"/>
      <c r="VBB238" s="1"/>
      <c r="VBC238" s="1"/>
      <c r="VBD238" s="1"/>
      <c r="VBE238" s="1"/>
      <c r="VBF238" s="1"/>
      <c r="VBG238" s="1"/>
      <c r="VBH238" s="1"/>
      <c r="VBI238" s="1"/>
      <c r="VBJ238" s="1"/>
      <c r="VBK238" s="1"/>
      <c r="VBL238" s="1"/>
      <c r="VBM238" s="1"/>
      <c r="VBN238" s="1"/>
      <c r="VBO238" s="1"/>
      <c r="VBP238" s="1"/>
      <c r="VBQ238" s="1"/>
      <c r="VBR238" s="1"/>
      <c r="VBS238" s="1"/>
      <c r="VBT238" s="1"/>
      <c r="VBU238" s="1"/>
      <c r="VBV238" s="1"/>
      <c r="VBW238" s="1"/>
      <c r="VBX238" s="1"/>
      <c r="VBY238" s="1"/>
      <c r="VBZ238" s="1"/>
      <c r="VCA238" s="1"/>
      <c r="VCB238" s="1"/>
      <c r="VCC238" s="1"/>
      <c r="VCD238" s="1"/>
      <c r="VCE238" s="1"/>
      <c r="VCF238" s="1"/>
      <c r="VCG238" s="1"/>
      <c r="VCH238" s="1"/>
      <c r="VCI238" s="1"/>
      <c r="VCJ238" s="1"/>
      <c r="VCK238" s="1"/>
      <c r="VCL238" s="1"/>
      <c r="VCM238" s="1"/>
      <c r="VCN238" s="1"/>
      <c r="VCO238" s="1"/>
      <c r="VCP238" s="1"/>
      <c r="VCQ238" s="1"/>
      <c r="VCR238" s="1"/>
      <c r="VCS238" s="1"/>
    </row>
    <row r="239" spans="1:14969" s="2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5"/>
      <c r="AL239" s="1"/>
      <c r="AM239" s="1"/>
      <c r="AN239" s="1"/>
      <c r="AP239" s="3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  <c r="ALN239" s="1"/>
      <c r="ALO239" s="1"/>
      <c r="ALP239" s="1"/>
      <c r="ALQ239" s="1"/>
      <c r="ALR239" s="1"/>
      <c r="ALS239" s="1"/>
      <c r="ALT239" s="1"/>
      <c r="ALU239" s="1"/>
      <c r="ALV239" s="1"/>
      <c r="ALW239" s="1"/>
      <c r="ALX239" s="1"/>
      <c r="ALY239" s="1"/>
      <c r="ALZ239" s="1"/>
      <c r="AMA239" s="1"/>
      <c r="AMB239" s="1"/>
      <c r="AMC239" s="1"/>
      <c r="AMD239" s="1"/>
      <c r="AME239" s="1"/>
      <c r="AMF239" s="1"/>
      <c r="AMG239" s="1"/>
      <c r="AMH239" s="1"/>
      <c r="AMI239" s="1"/>
      <c r="AMJ239" s="1"/>
      <c r="AMK239" s="1"/>
      <c r="AML239" s="1"/>
      <c r="AMM239" s="1"/>
      <c r="AMN239" s="1"/>
      <c r="AMO239" s="1"/>
      <c r="AMP239" s="1"/>
      <c r="AMQ239" s="1"/>
      <c r="AMR239" s="1"/>
      <c r="AMS239" s="1"/>
      <c r="AMT239" s="1"/>
      <c r="AMU239" s="1"/>
      <c r="AMV239" s="1"/>
      <c r="AMW239" s="1"/>
      <c r="AMX239" s="1"/>
      <c r="AMY239" s="1"/>
      <c r="AMZ239" s="1"/>
      <c r="ANA239" s="1"/>
      <c r="ANB239" s="1"/>
      <c r="ANC239" s="1"/>
      <c r="AND239" s="1"/>
      <c r="ANE239" s="1"/>
      <c r="ANF239" s="1"/>
      <c r="ANG239" s="1"/>
      <c r="ANH239" s="1"/>
      <c r="ANI239" s="1"/>
      <c r="ANJ239" s="1"/>
      <c r="ANK239" s="1"/>
      <c r="ANL239" s="1"/>
      <c r="ANM239" s="1"/>
      <c r="ANN239" s="1"/>
      <c r="ANO239" s="1"/>
      <c r="ANP239" s="1"/>
      <c r="ANQ239" s="1"/>
      <c r="ANR239" s="1"/>
      <c r="ANS239" s="1"/>
      <c r="ANT239" s="1"/>
      <c r="ANU239" s="1"/>
      <c r="ANV239" s="1"/>
      <c r="ANW239" s="1"/>
      <c r="ANX239" s="1"/>
      <c r="ANY239" s="1"/>
      <c r="ANZ239" s="1"/>
      <c r="AOA239" s="1"/>
      <c r="AOB239" s="1"/>
      <c r="AOC239" s="1"/>
      <c r="AOD239" s="1"/>
      <c r="AOE239" s="1"/>
      <c r="AOF239" s="1"/>
      <c r="AOG239" s="1"/>
      <c r="AOH239" s="1"/>
      <c r="AOI239" s="1"/>
      <c r="AOJ239" s="1"/>
      <c r="AOK239" s="1"/>
      <c r="AOL239" s="1"/>
      <c r="AOM239" s="1"/>
      <c r="AON239" s="1"/>
      <c r="AOO239" s="1"/>
      <c r="AOP239" s="1"/>
      <c r="AOQ239" s="1"/>
      <c r="AOR239" s="1"/>
      <c r="AOS239" s="1"/>
      <c r="AOT239" s="1"/>
      <c r="AOU239" s="1"/>
      <c r="AOV239" s="1"/>
      <c r="AOW239" s="1"/>
      <c r="AOX239" s="1"/>
      <c r="AOY239" s="1"/>
      <c r="AOZ239" s="1"/>
      <c r="APA239" s="1"/>
      <c r="APB239" s="1"/>
      <c r="APC239" s="1"/>
      <c r="APD239" s="1"/>
      <c r="APE239" s="1"/>
      <c r="APF239" s="1"/>
      <c r="APG239" s="1"/>
      <c r="APH239" s="1"/>
      <c r="API239" s="1"/>
      <c r="APJ239" s="1"/>
      <c r="APK239" s="1"/>
      <c r="APL239" s="1"/>
      <c r="APM239" s="1"/>
      <c r="APN239" s="1"/>
      <c r="APO239" s="1"/>
      <c r="APP239" s="1"/>
      <c r="APQ239" s="1"/>
      <c r="APR239" s="1"/>
      <c r="APS239" s="1"/>
      <c r="APT239" s="1"/>
      <c r="APU239" s="1"/>
      <c r="APV239" s="1"/>
      <c r="APW239" s="1"/>
      <c r="APX239" s="1"/>
      <c r="APY239" s="1"/>
      <c r="APZ239" s="1"/>
      <c r="AQA239" s="1"/>
      <c r="AQB239" s="1"/>
      <c r="AQC239" s="1"/>
      <c r="AQD239" s="1"/>
      <c r="AQE239" s="1"/>
      <c r="AQF239" s="1"/>
      <c r="AQG239" s="1"/>
      <c r="AQH239" s="1"/>
      <c r="AQI239" s="1"/>
      <c r="AQJ239" s="1"/>
      <c r="AQK239" s="1"/>
      <c r="AQL239" s="1"/>
      <c r="AQM239" s="1"/>
      <c r="AQN239" s="1"/>
      <c r="AQO239" s="1"/>
      <c r="AQP239" s="1"/>
      <c r="AQQ239" s="1"/>
      <c r="AQR239" s="1"/>
      <c r="AQS239" s="1"/>
      <c r="AQT239" s="1"/>
      <c r="AQU239" s="1"/>
      <c r="AQV239" s="1"/>
      <c r="AQW239" s="1"/>
      <c r="AQX239" s="1"/>
      <c r="AQY239" s="1"/>
      <c r="AQZ239" s="1"/>
      <c r="ARA239" s="1"/>
      <c r="ARB239" s="1"/>
      <c r="ARC239" s="1"/>
      <c r="ARD239" s="1"/>
      <c r="ARE239" s="1"/>
      <c r="ARF239" s="1"/>
      <c r="ARG239" s="1"/>
      <c r="ARH239" s="1"/>
      <c r="ARI239" s="1"/>
      <c r="ARJ239" s="1"/>
      <c r="ARK239" s="1"/>
      <c r="ARL239" s="1"/>
      <c r="ARM239" s="1"/>
      <c r="ARN239" s="1"/>
      <c r="ARO239" s="1"/>
      <c r="ARP239" s="1"/>
      <c r="ARQ239" s="1"/>
      <c r="ARR239" s="1"/>
      <c r="ARS239" s="1"/>
      <c r="ART239" s="1"/>
      <c r="ARU239" s="1"/>
      <c r="ARV239" s="1"/>
      <c r="ARW239" s="1"/>
      <c r="ARX239" s="1"/>
      <c r="ARY239" s="1"/>
      <c r="ARZ239" s="1"/>
      <c r="ASA239" s="1"/>
      <c r="ASB239" s="1"/>
      <c r="ASC239" s="1"/>
      <c r="ASD239" s="1"/>
      <c r="ASE239" s="1"/>
      <c r="ASF239" s="1"/>
      <c r="ASG239" s="1"/>
      <c r="ASH239" s="1"/>
      <c r="ASI239" s="1"/>
      <c r="ASJ239" s="1"/>
      <c r="ASK239" s="1"/>
      <c r="ASL239" s="1"/>
      <c r="ASM239" s="1"/>
      <c r="ASN239" s="1"/>
      <c r="ASO239" s="1"/>
      <c r="ASP239" s="1"/>
      <c r="ASQ239" s="1"/>
      <c r="ASR239" s="1"/>
      <c r="ASS239" s="1"/>
      <c r="AST239" s="1"/>
      <c r="ASU239" s="1"/>
      <c r="ASV239" s="1"/>
      <c r="ASW239" s="1"/>
      <c r="ASX239" s="1"/>
      <c r="ASY239" s="1"/>
      <c r="ASZ239" s="1"/>
      <c r="ATA239" s="1"/>
      <c r="ATB239" s="1"/>
      <c r="ATC239" s="1"/>
      <c r="ATD239" s="1"/>
      <c r="ATE239" s="1"/>
      <c r="ATF239" s="1"/>
      <c r="ATG239" s="1"/>
      <c r="ATH239" s="1"/>
      <c r="ATI239" s="1"/>
      <c r="ATJ239" s="1"/>
      <c r="ATK239" s="1"/>
      <c r="ATL239" s="1"/>
      <c r="ATM239" s="1"/>
      <c r="ATN239" s="1"/>
      <c r="ATO239" s="1"/>
      <c r="ATP239" s="1"/>
      <c r="ATQ239" s="1"/>
      <c r="ATR239" s="1"/>
      <c r="ATS239" s="1"/>
      <c r="ATT239" s="1"/>
      <c r="ATU239" s="1"/>
      <c r="ATV239" s="1"/>
      <c r="ATW239" s="1"/>
      <c r="ATX239" s="1"/>
      <c r="ATY239" s="1"/>
      <c r="ATZ239" s="1"/>
      <c r="AUA239" s="1"/>
      <c r="AUB239" s="1"/>
      <c r="AUC239" s="1"/>
      <c r="AUD239" s="1"/>
      <c r="AUE239" s="1"/>
      <c r="AUF239" s="1"/>
      <c r="AUG239" s="1"/>
      <c r="AUH239" s="1"/>
      <c r="AUI239" s="1"/>
      <c r="AUJ239" s="1"/>
      <c r="AUK239" s="1"/>
      <c r="AUL239" s="1"/>
      <c r="AUM239" s="1"/>
      <c r="AUN239" s="1"/>
      <c r="AUO239" s="1"/>
      <c r="AUP239" s="1"/>
      <c r="AUQ239" s="1"/>
      <c r="AUR239" s="1"/>
      <c r="AUS239" s="1"/>
      <c r="AUT239" s="1"/>
      <c r="AUU239" s="1"/>
      <c r="AUV239" s="1"/>
      <c r="AUW239" s="1"/>
      <c r="AUX239" s="1"/>
      <c r="AUY239" s="1"/>
      <c r="AUZ239" s="1"/>
      <c r="AVA239" s="1"/>
      <c r="AVB239" s="1"/>
      <c r="AVC239" s="1"/>
      <c r="AVD239" s="1"/>
      <c r="AVE239" s="1"/>
      <c r="AVF239" s="1"/>
      <c r="AVG239" s="1"/>
      <c r="AVH239" s="1"/>
      <c r="AVI239" s="1"/>
      <c r="AVJ239" s="1"/>
      <c r="AVK239" s="1"/>
      <c r="AVL239" s="1"/>
      <c r="AVM239" s="1"/>
      <c r="AVN239" s="1"/>
      <c r="AVO239" s="1"/>
      <c r="AVP239" s="1"/>
      <c r="AVQ239" s="1"/>
      <c r="AVR239" s="1"/>
      <c r="AVS239" s="1"/>
      <c r="AVT239" s="1"/>
      <c r="AVU239" s="1"/>
      <c r="AVV239" s="1"/>
      <c r="AVW239" s="1"/>
      <c r="AVX239" s="1"/>
      <c r="AVY239" s="1"/>
      <c r="AVZ239" s="1"/>
      <c r="AWA239" s="1"/>
      <c r="AWB239" s="1"/>
      <c r="AWC239" s="1"/>
      <c r="AWD239" s="1"/>
      <c r="AWE239" s="1"/>
      <c r="AWF239" s="1"/>
      <c r="AWG239" s="1"/>
      <c r="AWH239" s="1"/>
      <c r="AWI239" s="1"/>
      <c r="AWJ239" s="1"/>
      <c r="AWK239" s="1"/>
      <c r="AWL239" s="1"/>
      <c r="AWM239" s="1"/>
      <c r="AWN239" s="1"/>
      <c r="AWO239" s="1"/>
      <c r="AWP239" s="1"/>
      <c r="AWQ239" s="1"/>
      <c r="AWR239" s="1"/>
      <c r="AWS239" s="1"/>
      <c r="AWT239" s="1"/>
      <c r="AWU239" s="1"/>
      <c r="AWV239" s="1"/>
      <c r="AWW239" s="1"/>
      <c r="AWX239" s="1"/>
      <c r="AWY239" s="1"/>
      <c r="AWZ239" s="1"/>
      <c r="AXA239" s="1"/>
      <c r="AXB239" s="1"/>
      <c r="AXC239" s="1"/>
      <c r="AXD239" s="1"/>
      <c r="AXE239" s="1"/>
      <c r="AXF239" s="1"/>
      <c r="AXG239" s="1"/>
      <c r="AXH239" s="1"/>
      <c r="AXI239" s="1"/>
      <c r="AXJ239" s="1"/>
      <c r="AXK239" s="1"/>
      <c r="AXL239" s="1"/>
      <c r="AXM239" s="1"/>
      <c r="AXN239" s="1"/>
      <c r="AXO239" s="1"/>
      <c r="AXP239" s="1"/>
      <c r="AXQ239" s="1"/>
      <c r="AXR239" s="1"/>
      <c r="AXS239" s="1"/>
      <c r="AXT239" s="1"/>
      <c r="AXU239" s="1"/>
      <c r="AXV239" s="1"/>
      <c r="AXW239" s="1"/>
      <c r="AXX239" s="1"/>
      <c r="AXY239" s="1"/>
      <c r="AXZ239" s="1"/>
      <c r="AYA239" s="1"/>
      <c r="AYB239" s="1"/>
      <c r="AYC239" s="1"/>
      <c r="AYD239" s="1"/>
      <c r="AYE239" s="1"/>
      <c r="AYF239" s="1"/>
      <c r="AYG239" s="1"/>
      <c r="AYH239" s="1"/>
      <c r="AYI239" s="1"/>
      <c r="AYJ239" s="1"/>
      <c r="AYK239" s="1"/>
      <c r="AYL239" s="1"/>
      <c r="AYM239" s="1"/>
      <c r="AYN239" s="1"/>
      <c r="AYO239" s="1"/>
      <c r="AYP239" s="1"/>
      <c r="AYQ239" s="1"/>
      <c r="AYR239" s="1"/>
      <c r="AYS239" s="1"/>
      <c r="AYT239" s="1"/>
      <c r="AYU239" s="1"/>
      <c r="AYV239" s="1"/>
      <c r="AYW239" s="1"/>
      <c r="AYX239" s="1"/>
      <c r="AYY239" s="1"/>
      <c r="AYZ239" s="1"/>
      <c r="AZA239" s="1"/>
      <c r="AZB239" s="1"/>
      <c r="AZC239" s="1"/>
      <c r="AZD239" s="1"/>
      <c r="AZE239" s="1"/>
      <c r="AZF239" s="1"/>
      <c r="AZG239" s="1"/>
      <c r="AZH239" s="1"/>
      <c r="AZI239" s="1"/>
      <c r="AZJ239" s="1"/>
      <c r="AZK239" s="1"/>
      <c r="AZL239" s="1"/>
      <c r="AZM239" s="1"/>
      <c r="AZN239" s="1"/>
      <c r="AZO239" s="1"/>
      <c r="AZP239" s="1"/>
      <c r="AZQ239" s="1"/>
      <c r="AZR239" s="1"/>
      <c r="AZS239" s="1"/>
      <c r="AZT239" s="1"/>
      <c r="AZU239" s="1"/>
      <c r="AZV239" s="1"/>
      <c r="AZW239" s="1"/>
      <c r="AZX239" s="1"/>
      <c r="AZY239" s="1"/>
      <c r="AZZ239" s="1"/>
      <c r="BAA239" s="1"/>
      <c r="BAB239" s="1"/>
      <c r="BAC239" s="1"/>
      <c r="BAD239" s="1"/>
      <c r="BAE239" s="1"/>
      <c r="BAF239" s="1"/>
      <c r="BAG239" s="1"/>
      <c r="BAH239" s="1"/>
      <c r="BAI239" s="1"/>
      <c r="BAJ239" s="1"/>
      <c r="BAK239" s="1"/>
      <c r="BAL239" s="1"/>
      <c r="BAM239" s="1"/>
      <c r="BAN239" s="1"/>
      <c r="BAO239" s="1"/>
      <c r="BAP239" s="1"/>
      <c r="BAQ239" s="1"/>
      <c r="BAR239" s="1"/>
      <c r="BAS239" s="1"/>
      <c r="BAT239" s="1"/>
      <c r="BAU239" s="1"/>
      <c r="BAV239" s="1"/>
      <c r="BAW239" s="1"/>
      <c r="BAX239" s="1"/>
      <c r="BAY239" s="1"/>
      <c r="BAZ239" s="1"/>
      <c r="BBA239" s="1"/>
      <c r="BBB239" s="1"/>
      <c r="BBC239" s="1"/>
      <c r="BBD239" s="1"/>
      <c r="BBE239" s="1"/>
      <c r="BBF239" s="1"/>
      <c r="BBG239" s="1"/>
      <c r="BBH239" s="1"/>
      <c r="BBI239" s="1"/>
      <c r="BBJ239" s="1"/>
      <c r="BBK239" s="1"/>
      <c r="BBL239" s="1"/>
      <c r="BBM239" s="1"/>
      <c r="BBN239" s="1"/>
      <c r="BBO239" s="1"/>
      <c r="BBP239" s="1"/>
      <c r="BBQ239" s="1"/>
      <c r="BBR239" s="1"/>
      <c r="BBS239" s="1"/>
      <c r="BBT239" s="1"/>
      <c r="BBU239" s="1"/>
      <c r="BBV239" s="1"/>
      <c r="BBW239" s="1"/>
      <c r="BBX239" s="1"/>
      <c r="BBY239" s="1"/>
      <c r="BBZ239" s="1"/>
      <c r="BCA239" s="1"/>
      <c r="BCB239" s="1"/>
      <c r="BCC239" s="1"/>
      <c r="BCD239" s="1"/>
      <c r="BCE239" s="1"/>
      <c r="BCF239" s="1"/>
      <c r="BCG239" s="1"/>
      <c r="BCH239" s="1"/>
      <c r="BCI239" s="1"/>
      <c r="BCJ239" s="1"/>
      <c r="BCK239" s="1"/>
      <c r="BCL239" s="1"/>
      <c r="BCM239" s="1"/>
      <c r="BCN239" s="1"/>
      <c r="BCO239" s="1"/>
      <c r="BCP239" s="1"/>
      <c r="BCQ239" s="1"/>
      <c r="BCR239" s="1"/>
      <c r="BCS239" s="1"/>
      <c r="BCT239" s="1"/>
      <c r="BCU239" s="1"/>
      <c r="BCV239" s="1"/>
      <c r="BCW239" s="1"/>
      <c r="BCX239" s="1"/>
      <c r="BCY239" s="1"/>
      <c r="BCZ239" s="1"/>
      <c r="BDA239" s="1"/>
      <c r="BDB239" s="1"/>
      <c r="BDC239" s="1"/>
      <c r="BDD239" s="1"/>
      <c r="BDE239" s="1"/>
      <c r="BDF239" s="1"/>
      <c r="BDG239" s="1"/>
      <c r="BDH239" s="1"/>
      <c r="BDI239" s="1"/>
      <c r="BDJ239" s="1"/>
      <c r="BDK239" s="1"/>
      <c r="BDL239" s="1"/>
      <c r="BDM239" s="1"/>
      <c r="BDN239" s="1"/>
      <c r="BDO239" s="1"/>
      <c r="BDP239" s="1"/>
      <c r="BDQ239" s="1"/>
      <c r="BDR239" s="1"/>
      <c r="BDS239" s="1"/>
      <c r="BDT239" s="1"/>
      <c r="BDU239" s="1"/>
      <c r="BDV239" s="1"/>
      <c r="BDW239" s="1"/>
      <c r="BDX239" s="1"/>
      <c r="BDY239" s="1"/>
      <c r="BDZ239" s="1"/>
      <c r="BEA239" s="1"/>
      <c r="BEB239" s="1"/>
      <c r="BEC239" s="1"/>
      <c r="BED239" s="1"/>
      <c r="BEE239" s="1"/>
      <c r="BEF239" s="1"/>
      <c r="BEG239" s="1"/>
      <c r="BEH239" s="1"/>
      <c r="BEI239" s="1"/>
      <c r="BEJ239" s="1"/>
      <c r="BEK239" s="1"/>
      <c r="BEL239" s="1"/>
      <c r="BEM239" s="1"/>
      <c r="BEN239" s="1"/>
      <c r="BEO239" s="1"/>
      <c r="BEP239" s="1"/>
      <c r="BEQ239" s="1"/>
      <c r="BER239" s="1"/>
      <c r="BES239" s="1"/>
      <c r="BET239" s="1"/>
      <c r="BEU239" s="1"/>
      <c r="BEV239" s="1"/>
      <c r="BEW239" s="1"/>
      <c r="BEX239" s="1"/>
      <c r="BEY239" s="1"/>
      <c r="BEZ239" s="1"/>
      <c r="BFA239" s="1"/>
      <c r="BFB239" s="1"/>
      <c r="BFC239" s="1"/>
      <c r="BFD239" s="1"/>
      <c r="BFE239" s="1"/>
      <c r="BFF239" s="1"/>
      <c r="BFG239" s="1"/>
      <c r="BFH239" s="1"/>
      <c r="BFI239" s="1"/>
      <c r="BFJ239" s="1"/>
      <c r="BFK239" s="1"/>
      <c r="BFL239" s="1"/>
      <c r="BFM239" s="1"/>
      <c r="BFN239" s="1"/>
      <c r="BFO239" s="1"/>
      <c r="BFP239" s="1"/>
      <c r="BFQ239" s="1"/>
      <c r="BFR239" s="1"/>
      <c r="BFS239" s="1"/>
      <c r="BFT239" s="1"/>
      <c r="BFU239" s="1"/>
      <c r="BFV239" s="1"/>
      <c r="BFW239" s="1"/>
      <c r="BFX239" s="1"/>
      <c r="BFY239" s="1"/>
      <c r="BFZ239" s="1"/>
      <c r="BGA239" s="1"/>
      <c r="BGB239" s="1"/>
      <c r="BGC239" s="1"/>
      <c r="BGD239" s="1"/>
      <c r="BGE239" s="1"/>
      <c r="BGF239" s="1"/>
      <c r="BGG239" s="1"/>
      <c r="BGH239" s="1"/>
      <c r="BGI239" s="1"/>
      <c r="BGJ239" s="1"/>
      <c r="BGK239" s="1"/>
      <c r="BGL239" s="1"/>
      <c r="BGM239" s="1"/>
      <c r="BGN239" s="1"/>
      <c r="BGO239" s="1"/>
      <c r="BGP239" s="1"/>
      <c r="BGQ239" s="1"/>
      <c r="BGR239" s="1"/>
      <c r="BGS239" s="1"/>
      <c r="BGT239" s="1"/>
      <c r="BGU239" s="1"/>
      <c r="BGV239" s="1"/>
      <c r="BGW239" s="1"/>
      <c r="BGX239" s="1"/>
      <c r="BGY239" s="1"/>
      <c r="BGZ239" s="1"/>
      <c r="BHA239" s="1"/>
      <c r="BHB239" s="1"/>
      <c r="BHC239" s="1"/>
      <c r="BHD239" s="1"/>
      <c r="BHE239" s="1"/>
      <c r="BHF239" s="1"/>
      <c r="BHG239" s="1"/>
      <c r="BHH239" s="1"/>
      <c r="BHI239" s="1"/>
      <c r="BHJ239" s="1"/>
      <c r="BHK239" s="1"/>
      <c r="BHL239" s="1"/>
      <c r="BHM239" s="1"/>
      <c r="BHN239" s="1"/>
      <c r="BHO239" s="1"/>
      <c r="BHP239" s="1"/>
      <c r="BHQ239" s="1"/>
      <c r="BHR239" s="1"/>
      <c r="BHS239" s="1"/>
      <c r="BHT239" s="1"/>
      <c r="BHU239" s="1"/>
      <c r="BHV239" s="1"/>
      <c r="BHW239" s="1"/>
      <c r="BHX239" s="1"/>
      <c r="BHY239" s="1"/>
      <c r="BHZ239" s="1"/>
      <c r="BIA239" s="1"/>
      <c r="BIB239" s="1"/>
      <c r="BIC239" s="1"/>
      <c r="BID239" s="1"/>
      <c r="BIE239" s="1"/>
      <c r="BIF239" s="1"/>
      <c r="BIG239" s="1"/>
      <c r="BIH239" s="1"/>
      <c r="BII239" s="1"/>
      <c r="BIJ239" s="1"/>
      <c r="BIK239" s="1"/>
      <c r="BIL239" s="1"/>
      <c r="BIM239" s="1"/>
      <c r="BIN239" s="1"/>
      <c r="BIO239" s="1"/>
      <c r="BIP239" s="1"/>
      <c r="BIQ239" s="1"/>
      <c r="BIR239" s="1"/>
      <c r="BIS239" s="1"/>
      <c r="BIT239" s="1"/>
      <c r="BIU239" s="1"/>
      <c r="BIV239" s="1"/>
      <c r="BIW239" s="1"/>
      <c r="BIX239" s="1"/>
      <c r="BIY239" s="1"/>
      <c r="BIZ239" s="1"/>
      <c r="BJA239" s="1"/>
      <c r="BJB239" s="1"/>
      <c r="BJC239" s="1"/>
      <c r="BJD239" s="1"/>
      <c r="BJE239" s="1"/>
      <c r="BJF239" s="1"/>
      <c r="BJG239" s="1"/>
      <c r="BJH239" s="1"/>
      <c r="BJI239" s="1"/>
      <c r="BJJ239" s="1"/>
      <c r="BJK239" s="1"/>
      <c r="BJL239" s="1"/>
      <c r="BJM239" s="1"/>
      <c r="BJN239" s="1"/>
      <c r="BJO239" s="1"/>
      <c r="BJP239" s="1"/>
      <c r="BJQ239" s="1"/>
      <c r="BJR239" s="1"/>
      <c r="BJS239" s="1"/>
      <c r="BJT239" s="1"/>
      <c r="BJU239" s="1"/>
      <c r="BJV239" s="1"/>
      <c r="BJW239" s="1"/>
      <c r="BJX239" s="1"/>
      <c r="BJY239" s="1"/>
      <c r="BJZ239" s="1"/>
      <c r="BKA239" s="1"/>
      <c r="BKB239" s="1"/>
      <c r="BKC239" s="1"/>
      <c r="BKD239" s="1"/>
      <c r="BKE239" s="1"/>
      <c r="BKF239" s="1"/>
      <c r="BKG239" s="1"/>
      <c r="BKH239" s="1"/>
      <c r="BKI239" s="1"/>
      <c r="BKJ239" s="1"/>
      <c r="BKK239" s="1"/>
      <c r="BKL239" s="1"/>
      <c r="BKM239" s="1"/>
      <c r="BKN239" s="1"/>
      <c r="BKO239" s="1"/>
      <c r="BKP239" s="1"/>
      <c r="BKQ239" s="1"/>
      <c r="BKR239" s="1"/>
      <c r="BKS239" s="1"/>
      <c r="BKT239" s="1"/>
      <c r="BKU239" s="1"/>
      <c r="BKV239" s="1"/>
      <c r="BKW239" s="1"/>
      <c r="BKX239" s="1"/>
      <c r="BKY239" s="1"/>
      <c r="BKZ239" s="1"/>
      <c r="BLA239" s="1"/>
      <c r="BLB239" s="1"/>
      <c r="BLC239" s="1"/>
      <c r="BLD239" s="1"/>
      <c r="BLE239" s="1"/>
      <c r="BLF239" s="1"/>
      <c r="BLG239" s="1"/>
      <c r="BLH239" s="1"/>
      <c r="BLI239" s="1"/>
      <c r="BLJ239" s="1"/>
      <c r="BLK239" s="1"/>
      <c r="BLL239" s="1"/>
      <c r="BLM239" s="1"/>
      <c r="BLN239" s="1"/>
      <c r="BLO239" s="1"/>
      <c r="BLP239" s="1"/>
      <c r="BLQ239" s="1"/>
      <c r="BLR239" s="1"/>
      <c r="BLS239" s="1"/>
      <c r="BLT239" s="1"/>
      <c r="BLU239" s="1"/>
      <c r="BLV239" s="1"/>
      <c r="BLW239" s="1"/>
      <c r="BLX239" s="1"/>
      <c r="BLY239" s="1"/>
      <c r="BLZ239" s="1"/>
      <c r="BMA239" s="1"/>
      <c r="BMB239" s="1"/>
      <c r="BMC239" s="1"/>
      <c r="BMD239" s="1"/>
      <c r="BME239" s="1"/>
      <c r="BMF239" s="1"/>
      <c r="BMG239" s="1"/>
      <c r="BMH239" s="1"/>
      <c r="BMI239" s="1"/>
      <c r="BMJ239" s="1"/>
      <c r="BMK239" s="1"/>
      <c r="BML239" s="1"/>
      <c r="BMM239" s="1"/>
      <c r="BMN239" s="1"/>
      <c r="BMO239" s="1"/>
      <c r="BMP239" s="1"/>
      <c r="BMQ239" s="1"/>
      <c r="BMR239" s="1"/>
      <c r="BMS239" s="1"/>
      <c r="BMT239" s="1"/>
      <c r="BMU239" s="1"/>
      <c r="BMV239" s="1"/>
      <c r="BMW239" s="1"/>
      <c r="BMX239" s="1"/>
      <c r="BMY239" s="1"/>
      <c r="BMZ239" s="1"/>
      <c r="BNA239" s="1"/>
      <c r="BNB239" s="1"/>
      <c r="BNC239" s="1"/>
      <c r="BND239" s="1"/>
      <c r="BNE239" s="1"/>
      <c r="BNF239" s="1"/>
      <c r="BNG239" s="1"/>
      <c r="BNH239" s="1"/>
      <c r="BNI239" s="1"/>
      <c r="BNJ239" s="1"/>
      <c r="BNK239" s="1"/>
      <c r="BNL239" s="1"/>
      <c r="BNM239" s="1"/>
      <c r="BNN239" s="1"/>
      <c r="BNO239" s="1"/>
      <c r="BNP239" s="1"/>
      <c r="BNQ239" s="1"/>
      <c r="BNR239" s="1"/>
      <c r="BNS239" s="1"/>
      <c r="BNT239" s="1"/>
      <c r="BNU239" s="1"/>
      <c r="BNV239" s="1"/>
      <c r="BNW239" s="1"/>
      <c r="BNX239" s="1"/>
      <c r="BNY239" s="1"/>
      <c r="BNZ239" s="1"/>
      <c r="BOA239" s="1"/>
      <c r="BOB239" s="1"/>
      <c r="BOC239" s="1"/>
      <c r="BOD239" s="1"/>
      <c r="BOE239" s="1"/>
      <c r="BOF239" s="1"/>
      <c r="BOG239" s="1"/>
      <c r="BOH239" s="1"/>
      <c r="BOI239" s="1"/>
      <c r="BOJ239" s="1"/>
      <c r="BOK239" s="1"/>
      <c r="BOL239" s="1"/>
      <c r="BOM239" s="1"/>
      <c r="BON239" s="1"/>
      <c r="BOO239" s="1"/>
      <c r="BOP239" s="1"/>
      <c r="BOQ239" s="1"/>
      <c r="BOR239" s="1"/>
      <c r="BOS239" s="1"/>
      <c r="BOT239" s="1"/>
      <c r="BOU239" s="1"/>
      <c r="BOV239" s="1"/>
      <c r="BOW239" s="1"/>
      <c r="BOX239" s="1"/>
      <c r="BOY239" s="1"/>
      <c r="BOZ239" s="1"/>
      <c r="BPA239" s="1"/>
      <c r="BPB239" s="1"/>
      <c r="BPC239" s="1"/>
      <c r="BPD239" s="1"/>
      <c r="BPE239" s="1"/>
      <c r="BPF239" s="1"/>
      <c r="BPG239" s="1"/>
      <c r="BPH239" s="1"/>
      <c r="BPI239" s="1"/>
      <c r="BPJ239" s="1"/>
      <c r="BPK239" s="1"/>
      <c r="BPL239" s="1"/>
      <c r="BPM239" s="1"/>
      <c r="BPN239" s="1"/>
      <c r="BPO239" s="1"/>
      <c r="BPP239" s="1"/>
      <c r="BPQ239" s="1"/>
      <c r="BPR239" s="1"/>
      <c r="BPS239" s="1"/>
      <c r="BPT239" s="1"/>
      <c r="BPU239" s="1"/>
      <c r="BPV239" s="1"/>
      <c r="BPW239" s="1"/>
      <c r="BPX239" s="1"/>
      <c r="BPY239" s="1"/>
      <c r="BPZ239" s="1"/>
      <c r="BQA239" s="1"/>
      <c r="BQB239" s="1"/>
      <c r="BQC239" s="1"/>
      <c r="BQD239" s="1"/>
      <c r="BQE239" s="1"/>
      <c r="BQF239" s="1"/>
      <c r="BQG239" s="1"/>
      <c r="BQH239" s="1"/>
      <c r="BQI239" s="1"/>
      <c r="BQJ239" s="1"/>
      <c r="BQK239" s="1"/>
      <c r="BQL239" s="1"/>
      <c r="BQM239" s="1"/>
      <c r="BQN239" s="1"/>
      <c r="BQO239" s="1"/>
      <c r="BQP239" s="1"/>
      <c r="BQQ239" s="1"/>
      <c r="BQR239" s="1"/>
      <c r="BQS239" s="1"/>
      <c r="BQT239" s="1"/>
      <c r="BQU239" s="1"/>
      <c r="BQV239" s="1"/>
      <c r="BQW239" s="1"/>
      <c r="BQX239" s="1"/>
      <c r="BQY239" s="1"/>
      <c r="BQZ239" s="1"/>
      <c r="BRA239" s="1"/>
      <c r="BRB239" s="1"/>
      <c r="BRC239" s="1"/>
      <c r="BRD239" s="1"/>
      <c r="BRE239" s="1"/>
      <c r="BRF239" s="1"/>
      <c r="BRG239" s="1"/>
      <c r="BRH239" s="1"/>
      <c r="BRI239" s="1"/>
      <c r="BRJ239" s="1"/>
      <c r="BRK239" s="1"/>
      <c r="BRL239" s="1"/>
      <c r="BRM239" s="1"/>
      <c r="BRN239" s="1"/>
      <c r="BRO239" s="1"/>
      <c r="BRP239" s="1"/>
      <c r="BRQ239" s="1"/>
      <c r="BRR239" s="1"/>
      <c r="BRS239" s="1"/>
      <c r="BRT239" s="1"/>
      <c r="BRU239" s="1"/>
      <c r="BRV239" s="1"/>
      <c r="BRW239" s="1"/>
      <c r="BRX239" s="1"/>
      <c r="BRY239" s="1"/>
      <c r="BRZ239" s="1"/>
      <c r="BSA239" s="1"/>
      <c r="BSB239" s="1"/>
      <c r="BSC239" s="1"/>
      <c r="BSD239" s="1"/>
      <c r="BSE239" s="1"/>
      <c r="BSF239" s="1"/>
      <c r="BSG239" s="1"/>
      <c r="BSH239" s="1"/>
      <c r="BSI239" s="1"/>
      <c r="BSJ239" s="1"/>
      <c r="BSK239" s="1"/>
      <c r="BSL239" s="1"/>
      <c r="BSM239" s="1"/>
      <c r="BSN239" s="1"/>
      <c r="BSO239" s="1"/>
      <c r="BSP239" s="1"/>
      <c r="BSQ239" s="1"/>
      <c r="BSR239" s="1"/>
      <c r="BSS239" s="1"/>
      <c r="BST239" s="1"/>
      <c r="BSU239" s="1"/>
      <c r="BSV239" s="1"/>
      <c r="BSW239" s="1"/>
      <c r="BSX239" s="1"/>
      <c r="BSY239" s="1"/>
      <c r="BSZ239" s="1"/>
      <c r="BTA239" s="1"/>
      <c r="BTB239" s="1"/>
      <c r="BTC239" s="1"/>
      <c r="BTD239" s="1"/>
      <c r="BTE239" s="1"/>
      <c r="BTF239" s="1"/>
      <c r="BTG239" s="1"/>
      <c r="BTH239" s="1"/>
      <c r="BTI239" s="1"/>
      <c r="BTJ239" s="1"/>
      <c r="BTK239" s="1"/>
      <c r="BTL239" s="1"/>
      <c r="BTM239" s="1"/>
      <c r="BTN239" s="1"/>
      <c r="BTO239" s="1"/>
      <c r="BTP239" s="1"/>
      <c r="BTQ239" s="1"/>
      <c r="BTR239" s="1"/>
      <c r="BTS239" s="1"/>
      <c r="BTT239" s="1"/>
      <c r="BTU239" s="1"/>
      <c r="BTV239" s="1"/>
      <c r="BTW239" s="1"/>
      <c r="BTX239" s="1"/>
      <c r="BTY239" s="1"/>
      <c r="BTZ239" s="1"/>
      <c r="BUA239" s="1"/>
      <c r="BUB239" s="1"/>
      <c r="BUC239" s="1"/>
      <c r="BUD239" s="1"/>
      <c r="BUE239" s="1"/>
      <c r="BUF239" s="1"/>
      <c r="BUG239" s="1"/>
      <c r="BUH239" s="1"/>
      <c r="BUI239" s="1"/>
      <c r="BUJ239" s="1"/>
      <c r="BUK239" s="1"/>
      <c r="BUL239" s="1"/>
      <c r="BUM239" s="1"/>
      <c r="BUN239" s="1"/>
      <c r="BUO239" s="1"/>
      <c r="BUP239" s="1"/>
      <c r="BUQ239" s="1"/>
      <c r="BUR239" s="1"/>
      <c r="BUS239" s="1"/>
      <c r="BUT239" s="1"/>
      <c r="BUU239" s="1"/>
      <c r="BUV239" s="1"/>
      <c r="BUW239" s="1"/>
      <c r="BUX239" s="1"/>
      <c r="BUY239" s="1"/>
      <c r="BUZ239" s="1"/>
      <c r="BVA239" s="1"/>
      <c r="BVB239" s="1"/>
      <c r="BVC239" s="1"/>
      <c r="BVD239" s="1"/>
      <c r="BVE239" s="1"/>
      <c r="BVF239" s="1"/>
      <c r="BVG239" s="1"/>
      <c r="BVH239" s="1"/>
      <c r="BVI239" s="1"/>
      <c r="BVJ239" s="1"/>
      <c r="BVK239" s="1"/>
      <c r="BVL239" s="1"/>
      <c r="BVM239" s="1"/>
      <c r="BVN239" s="1"/>
      <c r="BVO239" s="1"/>
      <c r="BVP239" s="1"/>
      <c r="BVQ239" s="1"/>
      <c r="BVR239" s="1"/>
      <c r="BVS239" s="1"/>
      <c r="BVT239" s="1"/>
      <c r="BVU239" s="1"/>
      <c r="BVV239" s="1"/>
      <c r="BVW239" s="1"/>
      <c r="BVX239" s="1"/>
      <c r="BVY239" s="1"/>
      <c r="BVZ239" s="1"/>
      <c r="BWA239" s="1"/>
      <c r="BWB239" s="1"/>
      <c r="BWC239" s="1"/>
      <c r="BWD239" s="1"/>
      <c r="BWE239" s="1"/>
      <c r="BWF239" s="1"/>
      <c r="BWG239" s="1"/>
      <c r="BWH239" s="1"/>
      <c r="BWI239" s="1"/>
      <c r="BWJ239" s="1"/>
      <c r="BWK239" s="1"/>
      <c r="BWL239" s="1"/>
      <c r="BWM239" s="1"/>
      <c r="BWN239" s="1"/>
      <c r="BWO239" s="1"/>
      <c r="BWP239" s="1"/>
      <c r="BWQ239" s="1"/>
      <c r="BWR239" s="1"/>
      <c r="BWS239" s="1"/>
      <c r="BWT239" s="1"/>
      <c r="BWU239" s="1"/>
      <c r="BWV239" s="1"/>
      <c r="BWW239" s="1"/>
      <c r="BWX239" s="1"/>
      <c r="BWY239" s="1"/>
      <c r="BWZ239" s="1"/>
      <c r="BXA239" s="1"/>
      <c r="BXB239" s="1"/>
      <c r="BXC239" s="1"/>
      <c r="BXD239" s="1"/>
      <c r="BXE239" s="1"/>
      <c r="BXF239" s="1"/>
      <c r="BXG239" s="1"/>
      <c r="BXH239" s="1"/>
      <c r="BXI239" s="1"/>
      <c r="BXJ239" s="1"/>
      <c r="BXK239" s="1"/>
      <c r="BXL239" s="1"/>
      <c r="BXM239" s="1"/>
      <c r="BXN239" s="1"/>
      <c r="BXO239" s="1"/>
      <c r="BXP239" s="1"/>
      <c r="BXQ239" s="1"/>
      <c r="BXR239" s="1"/>
      <c r="BXS239" s="1"/>
      <c r="BXT239" s="1"/>
      <c r="BXU239" s="1"/>
      <c r="BXV239" s="1"/>
      <c r="BXW239" s="1"/>
      <c r="BXX239" s="1"/>
      <c r="BXY239" s="1"/>
      <c r="BXZ239" s="1"/>
      <c r="BYA239" s="1"/>
      <c r="BYB239" s="1"/>
      <c r="BYC239" s="1"/>
      <c r="BYD239" s="1"/>
      <c r="BYE239" s="1"/>
      <c r="BYF239" s="1"/>
      <c r="BYG239" s="1"/>
      <c r="BYH239" s="1"/>
      <c r="BYI239" s="1"/>
      <c r="BYJ239" s="1"/>
      <c r="BYK239" s="1"/>
      <c r="BYL239" s="1"/>
      <c r="BYM239" s="1"/>
      <c r="BYN239" s="1"/>
      <c r="BYO239" s="1"/>
      <c r="BYP239" s="1"/>
      <c r="BYQ239" s="1"/>
      <c r="BYR239" s="1"/>
      <c r="BYS239" s="1"/>
      <c r="BYT239" s="1"/>
      <c r="BYU239" s="1"/>
      <c r="BYV239" s="1"/>
      <c r="BYW239" s="1"/>
      <c r="BYX239" s="1"/>
      <c r="BYY239" s="1"/>
      <c r="BYZ239" s="1"/>
      <c r="BZA239" s="1"/>
      <c r="BZB239" s="1"/>
      <c r="BZC239" s="1"/>
      <c r="BZD239" s="1"/>
      <c r="BZE239" s="1"/>
      <c r="BZF239" s="1"/>
      <c r="BZG239" s="1"/>
      <c r="BZH239" s="1"/>
      <c r="BZI239" s="1"/>
      <c r="BZJ239" s="1"/>
      <c r="BZK239" s="1"/>
      <c r="BZL239" s="1"/>
      <c r="BZM239" s="1"/>
      <c r="BZN239" s="1"/>
      <c r="BZO239" s="1"/>
      <c r="BZP239" s="1"/>
      <c r="BZQ239" s="1"/>
      <c r="BZR239" s="1"/>
      <c r="BZS239" s="1"/>
      <c r="BZT239" s="1"/>
      <c r="BZU239" s="1"/>
      <c r="BZV239" s="1"/>
      <c r="BZW239" s="1"/>
      <c r="BZX239" s="1"/>
      <c r="BZY239" s="1"/>
      <c r="BZZ239" s="1"/>
      <c r="CAA239" s="1"/>
      <c r="CAB239" s="1"/>
      <c r="CAC239" s="1"/>
      <c r="CAD239" s="1"/>
      <c r="CAE239" s="1"/>
      <c r="CAF239" s="1"/>
      <c r="CAG239" s="1"/>
      <c r="CAH239" s="1"/>
      <c r="CAI239" s="1"/>
      <c r="CAJ239" s="1"/>
      <c r="CAK239" s="1"/>
      <c r="CAL239" s="1"/>
      <c r="CAM239" s="1"/>
      <c r="CAN239" s="1"/>
      <c r="CAO239" s="1"/>
      <c r="CAP239" s="1"/>
      <c r="CAQ239" s="1"/>
      <c r="CAR239" s="1"/>
      <c r="CAS239" s="1"/>
      <c r="CAT239" s="1"/>
      <c r="CAU239" s="1"/>
      <c r="CAV239" s="1"/>
      <c r="CAW239" s="1"/>
      <c r="CAX239" s="1"/>
      <c r="CAY239" s="1"/>
      <c r="CAZ239" s="1"/>
      <c r="CBA239" s="1"/>
      <c r="CBB239" s="1"/>
      <c r="CBC239" s="1"/>
      <c r="CBD239" s="1"/>
      <c r="CBE239" s="1"/>
      <c r="CBF239" s="1"/>
      <c r="CBG239" s="1"/>
      <c r="CBH239" s="1"/>
      <c r="CBI239" s="1"/>
      <c r="CBJ239" s="1"/>
      <c r="CBK239" s="1"/>
      <c r="CBL239" s="1"/>
      <c r="CBM239" s="1"/>
      <c r="CBN239" s="1"/>
      <c r="CBO239" s="1"/>
      <c r="CBP239" s="1"/>
      <c r="CBQ239" s="1"/>
      <c r="CBR239" s="1"/>
      <c r="CBS239" s="1"/>
      <c r="CBT239" s="1"/>
      <c r="CBU239" s="1"/>
      <c r="CBV239" s="1"/>
      <c r="CBW239" s="1"/>
      <c r="CBX239" s="1"/>
      <c r="CBY239" s="1"/>
      <c r="CBZ239" s="1"/>
      <c r="CCA239" s="1"/>
      <c r="CCB239" s="1"/>
      <c r="CCC239" s="1"/>
      <c r="CCD239" s="1"/>
      <c r="CCE239" s="1"/>
      <c r="CCF239" s="1"/>
      <c r="CCG239" s="1"/>
      <c r="CCH239" s="1"/>
      <c r="CCI239" s="1"/>
      <c r="CCJ239" s="1"/>
      <c r="CCK239" s="1"/>
      <c r="CCL239" s="1"/>
      <c r="CCM239" s="1"/>
      <c r="CCN239" s="1"/>
      <c r="CCO239" s="1"/>
      <c r="CCP239" s="1"/>
      <c r="CCQ239" s="1"/>
      <c r="CCR239" s="1"/>
      <c r="CCS239" s="1"/>
      <c r="CCT239" s="1"/>
      <c r="CCU239" s="1"/>
      <c r="CCV239" s="1"/>
      <c r="CCW239" s="1"/>
      <c r="CCX239" s="1"/>
      <c r="CCY239" s="1"/>
      <c r="CCZ239" s="1"/>
      <c r="CDA239" s="1"/>
      <c r="CDB239" s="1"/>
      <c r="CDC239" s="1"/>
      <c r="CDD239" s="1"/>
      <c r="CDE239" s="1"/>
      <c r="CDF239" s="1"/>
      <c r="CDG239" s="1"/>
      <c r="CDH239" s="1"/>
      <c r="CDI239" s="1"/>
      <c r="CDJ239" s="1"/>
      <c r="CDK239" s="1"/>
      <c r="CDL239" s="1"/>
      <c r="CDM239" s="1"/>
      <c r="CDN239" s="1"/>
      <c r="CDO239" s="1"/>
      <c r="CDP239" s="1"/>
      <c r="CDQ239" s="1"/>
      <c r="CDR239" s="1"/>
      <c r="CDS239" s="1"/>
      <c r="CDT239" s="1"/>
      <c r="CDU239" s="1"/>
      <c r="CDV239" s="1"/>
      <c r="CDW239" s="1"/>
      <c r="CDX239" s="1"/>
      <c r="CDY239" s="1"/>
      <c r="CDZ239" s="1"/>
      <c r="CEA239" s="1"/>
      <c r="CEB239" s="1"/>
      <c r="CEC239" s="1"/>
      <c r="CED239" s="1"/>
      <c r="CEE239" s="1"/>
      <c r="CEF239" s="1"/>
      <c r="CEG239" s="1"/>
      <c r="CEH239" s="1"/>
      <c r="CEI239" s="1"/>
      <c r="CEJ239" s="1"/>
      <c r="CEK239" s="1"/>
      <c r="CEL239" s="1"/>
      <c r="CEM239" s="1"/>
      <c r="CEN239" s="1"/>
      <c r="CEO239" s="1"/>
      <c r="CEP239" s="1"/>
      <c r="CEQ239" s="1"/>
      <c r="CER239" s="1"/>
      <c r="CES239" s="1"/>
      <c r="CET239" s="1"/>
      <c r="CEU239" s="1"/>
      <c r="CEV239" s="1"/>
      <c r="CEW239" s="1"/>
      <c r="CEX239" s="1"/>
      <c r="CEY239" s="1"/>
      <c r="CEZ239" s="1"/>
      <c r="CFA239" s="1"/>
      <c r="CFB239" s="1"/>
      <c r="CFC239" s="1"/>
      <c r="CFD239" s="1"/>
      <c r="CFE239" s="1"/>
      <c r="CFF239" s="1"/>
      <c r="CFG239" s="1"/>
      <c r="CFH239" s="1"/>
      <c r="CFI239" s="1"/>
      <c r="CFJ239" s="1"/>
      <c r="CFK239" s="1"/>
      <c r="CFL239" s="1"/>
      <c r="CFM239" s="1"/>
      <c r="CFN239" s="1"/>
      <c r="CFO239" s="1"/>
      <c r="CFP239" s="1"/>
      <c r="CFQ239" s="1"/>
      <c r="CFR239" s="1"/>
      <c r="CFS239" s="1"/>
      <c r="CFT239" s="1"/>
      <c r="CFU239" s="1"/>
      <c r="CFV239" s="1"/>
      <c r="CFW239" s="1"/>
      <c r="CFX239" s="1"/>
      <c r="CFY239" s="1"/>
      <c r="CFZ239" s="1"/>
      <c r="CGA239" s="1"/>
      <c r="CGB239" s="1"/>
      <c r="CGC239" s="1"/>
      <c r="CGD239" s="1"/>
      <c r="CGE239" s="1"/>
      <c r="CGF239" s="1"/>
      <c r="CGG239" s="1"/>
      <c r="CGH239" s="1"/>
      <c r="CGI239" s="1"/>
      <c r="CGJ239" s="1"/>
      <c r="CGK239" s="1"/>
      <c r="CGL239" s="1"/>
      <c r="CGM239" s="1"/>
      <c r="CGN239" s="1"/>
      <c r="CGO239" s="1"/>
      <c r="CGP239" s="1"/>
      <c r="CGQ239" s="1"/>
      <c r="CGR239" s="1"/>
      <c r="CGS239" s="1"/>
      <c r="CGT239" s="1"/>
      <c r="CGU239" s="1"/>
      <c r="CGV239" s="1"/>
      <c r="CGW239" s="1"/>
      <c r="CGX239" s="1"/>
      <c r="CGY239" s="1"/>
      <c r="CGZ239" s="1"/>
      <c r="CHA239" s="1"/>
      <c r="CHB239" s="1"/>
      <c r="CHC239" s="1"/>
      <c r="CHD239" s="1"/>
      <c r="CHE239" s="1"/>
      <c r="CHF239" s="1"/>
      <c r="CHG239" s="1"/>
      <c r="CHH239" s="1"/>
      <c r="CHI239" s="1"/>
      <c r="CHJ239" s="1"/>
      <c r="CHK239" s="1"/>
      <c r="CHL239" s="1"/>
      <c r="CHM239" s="1"/>
      <c r="CHN239" s="1"/>
      <c r="CHO239" s="1"/>
      <c r="CHP239" s="1"/>
      <c r="CHQ239" s="1"/>
      <c r="CHR239" s="1"/>
      <c r="CHS239" s="1"/>
      <c r="CHT239" s="1"/>
      <c r="CHU239" s="1"/>
      <c r="CHV239" s="1"/>
      <c r="CHW239" s="1"/>
      <c r="CHX239" s="1"/>
      <c r="CHY239" s="1"/>
      <c r="CHZ239" s="1"/>
      <c r="CIA239" s="1"/>
      <c r="CIB239" s="1"/>
      <c r="CIC239" s="1"/>
      <c r="CID239" s="1"/>
      <c r="CIE239" s="1"/>
      <c r="CIF239" s="1"/>
      <c r="CIG239" s="1"/>
      <c r="CIH239" s="1"/>
      <c r="CII239" s="1"/>
      <c r="CIJ239" s="1"/>
      <c r="CIK239" s="1"/>
      <c r="CIL239" s="1"/>
      <c r="CIM239" s="1"/>
      <c r="CIN239" s="1"/>
      <c r="CIO239" s="1"/>
      <c r="CIP239" s="1"/>
      <c r="CIQ239" s="1"/>
      <c r="CIR239" s="1"/>
      <c r="CIS239" s="1"/>
      <c r="CIT239" s="1"/>
      <c r="CIU239" s="1"/>
      <c r="CIV239" s="1"/>
      <c r="CIW239" s="1"/>
      <c r="CIX239" s="1"/>
      <c r="CIY239" s="1"/>
      <c r="CIZ239" s="1"/>
      <c r="CJA239" s="1"/>
      <c r="CJB239" s="1"/>
      <c r="CJC239" s="1"/>
      <c r="CJD239" s="1"/>
      <c r="CJE239" s="1"/>
      <c r="CJF239" s="1"/>
      <c r="CJG239" s="1"/>
      <c r="CJH239" s="1"/>
      <c r="CJI239" s="1"/>
      <c r="CJJ239" s="1"/>
      <c r="CJK239" s="1"/>
      <c r="CJL239" s="1"/>
      <c r="CJM239" s="1"/>
      <c r="CJN239" s="1"/>
      <c r="CJO239" s="1"/>
      <c r="CJP239" s="1"/>
      <c r="CJQ239" s="1"/>
      <c r="CJR239" s="1"/>
      <c r="CJS239" s="1"/>
      <c r="CJT239" s="1"/>
      <c r="CJU239" s="1"/>
      <c r="CJV239" s="1"/>
      <c r="CJW239" s="1"/>
      <c r="CJX239" s="1"/>
      <c r="CJY239" s="1"/>
      <c r="CJZ239" s="1"/>
      <c r="CKA239" s="1"/>
      <c r="CKB239" s="1"/>
      <c r="CKC239" s="1"/>
      <c r="CKD239" s="1"/>
      <c r="CKE239" s="1"/>
      <c r="CKF239" s="1"/>
      <c r="CKG239" s="1"/>
      <c r="CKH239" s="1"/>
      <c r="CKI239" s="1"/>
      <c r="CKJ239" s="1"/>
      <c r="CKK239" s="1"/>
      <c r="CKL239" s="1"/>
      <c r="CKM239" s="1"/>
      <c r="CKN239" s="1"/>
      <c r="CKO239" s="1"/>
      <c r="CKP239" s="1"/>
      <c r="CKQ239" s="1"/>
      <c r="CKR239" s="1"/>
      <c r="CKS239" s="1"/>
      <c r="CKT239" s="1"/>
      <c r="CKU239" s="1"/>
      <c r="CKV239" s="1"/>
      <c r="CKW239" s="1"/>
      <c r="CKX239" s="1"/>
      <c r="CKY239" s="1"/>
      <c r="CKZ239" s="1"/>
      <c r="CLA239" s="1"/>
      <c r="CLB239" s="1"/>
      <c r="CLC239" s="1"/>
      <c r="CLD239" s="1"/>
      <c r="CLE239" s="1"/>
      <c r="CLF239" s="1"/>
      <c r="CLG239" s="1"/>
      <c r="CLH239" s="1"/>
      <c r="CLI239" s="1"/>
      <c r="CLJ239" s="1"/>
      <c r="CLK239" s="1"/>
      <c r="CLL239" s="1"/>
      <c r="CLM239" s="1"/>
      <c r="CLN239" s="1"/>
      <c r="CLO239" s="1"/>
      <c r="CLP239" s="1"/>
      <c r="CLQ239" s="1"/>
      <c r="CLR239" s="1"/>
      <c r="CLS239" s="1"/>
      <c r="CLT239" s="1"/>
      <c r="CLU239" s="1"/>
      <c r="CLV239" s="1"/>
      <c r="CLW239" s="1"/>
      <c r="CLX239" s="1"/>
      <c r="CLY239" s="1"/>
      <c r="CLZ239" s="1"/>
      <c r="CMA239" s="1"/>
      <c r="CMB239" s="1"/>
      <c r="CMC239" s="1"/>
      <c r="CMD239" s="1"/>
      <c r="CME239" s="1"/>
      <c r="CMF239" s="1"/>
      <c r="CMG239" s="1"/>
      <c r="CMH239" s="1"/>
      <c r="CMI239" s="1"/>
      <c r="CMJ239" s="1"/>
      <c r="CMK239" s="1"/>
      <c r="CML239" s="1"/>
      <c r="CMM239" s="1"/>
      <c r="CMN239" s="1"/>
      <c r="CMO239" s="1"/>
      <c r="CMP239" s="1"/>
      <c r="CMQ239" s="1"/>
      <c r="CMR239" s="1"/>
      <c r="CMS239" s="1"/>
      <c r="CMT239" s="1"/>
      <c r="CMU239" s="1"/>
      <c r="CMV239" s="1"/>
      <c r="CMW239" s="1"/>
      <c r="CMX239" s="1"/>
      <c r="CMY239" s="1"/>
      <c r="CMZ239" s="1"/>
      <c r="CNA239" s="1"/>
      <c r="CNB239" s="1"/>
      <c r="CNC239" s="1"/>
      <c r="CND239" s="1"/>
      <c r="CNE239" s="1"/>
      <c r="CNF239" s="1"/>
      <c r="CNG239" s="1"/>
      <c r="CNH239" s="1"/>
      <c r="CNI239" s="1"/>
      <c r="CNJ239" s="1"/>
      <c r="CNK239" s="1"/>
      <c r="CNL239" s="1"/>
      <c r="CNM239" s="1"/>
      <c r="CNN239" s="1"/>
      <c r="CNO239" s="1"/>
      <c r="CNP239" s="1"/>
      <c r="CNQ239" s="1"/>
      <c r="CNR239" s="1"/>
      <c r="CNS239" s="1"/>
      <c r="CNT239" s="1"/>
      <c r="CNU239" s="1"/>
      <c r="CNV239" s="1"/>
      <c r="CNW239" s="1"/>
      <c r="CNX239" s="1"/>
      <c r="CNY239" s="1"/>
      <c r="CNZ239" s="1"/>
      <c r="COA239" s="1"/>
      <c r="COB239" s="1"/>
      <c r="COC239" s="1"/>
      <c r="COD239" s="1"/>
      <c r="COE239" s="1"/>
      <c r="COF239" s="1"/>
      <c r="COG239" s="1"/>
      <c r="COH239" s="1"/>
      <c r="COI239" s="1"/>
      <c r="COJ239" s="1"/>
      <c r="COK239" s="1"/>
      <c r="COL239" s="1"/>
      <c r="COM239" s="1"/>
      <c r="CON239" s="1"/>
      <c r="COO239" s="1"/>
      <c r="COP239" s="1"/>
      <c r="COQ239" s="1"/>
      <c r="COR239" s="1"/>
      <c r="COS239" s="1"/>
      <c r="COT239" s="1"/>
      <c r="COU239" s="1"/>
      <c r="COV239" s="1"/>
      <c r="COW239" s="1"/>
      <c r="COX239" s="1"/>
      <c r="COY239" s="1"/>
      <c r="COZ239" s="1"/>
      <c r="CPA239" s="1"/>
      <c r="CPB239" s="1"/>
      <c r="CPC239" s="1"/>
      <c r="CPD239" s="1"/>
      <c r="CPE239" s="1"/>
      <c r="CPF239" s="1"/>
      <c r="CPG239" s="1"/>
      <c r="CPH239" s="1"/>
      <c r="CPI239" s="1"/>
      <c r="CPJ239" s="1"/>
      <c r="CPK239" s="1"/>
      <c r="CPL239" s="1"/>
      <c r="CPM239" s="1"/>
      <c r="CPN239" s="1"/>
      <c r="CPO239" s="1"/>
      <c r="CPP239" s="1"/>
      <c r="CPQ239" s="1"/>
      <c r="CPR239" s="1"/>
      <c r="CPS239" s="1"/>
      <c r="CPT239" s="1"/>
      <c r="CPU239" s="1"/>
      <c r="CPV239" s="1"/>
      <c r="CPW239" s="1"/>
      <c r="CPX239" s="1"/>
      <c r="CPY239" s="1"/>
      <c r="CPZ239" s="1"/>
      <c r="CQA239" s="1"/>
      <c r="CQB239" s="1"/>
      <c r="CQC239" s="1"/>
      <c r="CQD239" s="1"/>
      <c r="CQE239" s="1"/>
      <c r="CQF239" s="1"/>
      <c r="CQG239" s="1"/>
      <c r="CQH239" s="1"/>
      <c r="CQI239" s="1"/>
      <c r="CQJ239" s="1"/>
      <c r="CQK239" s="1"/>
      <c r="CQL239" s="1"/>
      <c r="CQM239" s="1"/>
      <c r="CQN239" s="1"/>
      <c r="CQO239" s="1"/>
      <c r="CQP239" s="1"/>
      <c r="CQQ239" s="1"/>
      <c r="CQR239" s="1"/>
      <c r="CQS239" s="1"/>
      <c r="CQT239" s="1"/>
      <c r="CQU239" s="1"/>
      <c r="CQV239" s="1"/>
      <c r="CQW239" s="1"/>
      <c r="CQX239" s="1"/>
      <c r="CQY239" s="1"/>
      <c r="CQZ239" s="1"/>
      <c r="CRA239" s="1"/>
      <c r="CRB239" s="1"/>
      <c r="CRC239" s="1"/>
      <c r="CRD239" s="1"/>
      <c r="CRE239" s="1"/>
      <c r="CRF239" s="1"/>
      <c r="CRG239" s="1"/>
      <c r="CRH239" s="1"/>
      <c r="CRI239" s="1"/>
      <c r="CRJ239" s="1"/>
      <c r="CRK239" s="1"/>
      <c r="CRL239" s="1"/>
      <c r="CRM239" s="1"/>
      <c r="CRN239" s="1"/>
      <c r="CRO239" s="1"/>
      <c r="CRP239" s="1"/>
      <c r="CRQ239" s="1"/>
      <c r="CRR239" s="1"/>
      <c r="CRS239" s="1"/>
      <c r="CRT239" s="1"/>
      <c r="CRU239" s="1"/>
      <c r="CRV239" s="1"/>
      <c r="CRW239" s="1"/>
      <c r="CRX239" s="1"/>
      <c r="CRY239" s="1"/>
      <c r="CRZ239" s="1"/>
      <c r="CSA239" s="1"/>
      <c r="CSB239" s="1"/>
      <c r="CSC239" s="1"/>
      <c r="CSD239" s="1"/>
      <c r="CSE239" s="1"/>
      <c r="CSF239" s="1"/>
      <c r="CSG239" s="1"/>
      <c r="CSH239" s="1"/>
      <c r="CSI239" s="1"/>
      <c r="CSJ239" s="1"/>
      <c r="CSK239" s="1"/>
      <c r="CSL239" s="1"/>
      <c r="CSM239" s="1"/>
      <c r="CSN239" s="1"/>
      <c r="CSO239" s="1"/>
      <c r="CSP239" s="1"/>
      <c r="CSQ239" s="1"/>
      <c r="CSR239" s="1"/>
      <c r="CSS239" s="1"/>
      <c r="CST239" s="1"/>
      <c r="CSU239" s="1"/>
      <c r="CSV239" s="1"/>
      <c r="CSW239" s="1"/>
      <c r="CSX239" s="1"/>
      <c r="CSY239" s="1"/>
      <c r="CSZ239" s="1"/>
      <c r="CTA239" s="1"/>
      <c r="CTB239" s="1"/>
      <c r="CTC239" s="1"/>
      <c r="CTD239" s="1"/>
      <c r="CTE239" s="1"/>
      <c r="CTF239" s="1"/>
      <c r="CTG239" s="1"/>
      <c r="CTH239" s="1"/>
      <c r="CTI239" s="1"/>
      <c r="CTJ239" s="1"/>
      <c r="CTK239" s="1"/>
      <c r="CTL239" s="1"/>
      <c r="CTM239" s="1"/>
      <c r="CTN239" s="1"/>
      <c r="CTO239" s="1"/>
      <c r="CTP239" s="1"/>
      <c r="CTQ239" s="1"/>
      <c r="CTR239" s="1"/>
      <c r="CTS239" s="1"/>
      <c r="CTT239" s="1"/>
      <c r="CTU239" s="1"/>
      <c r="CTV239" s="1"/>
      <c r="CTW239" s="1"/>
      <c r="CTX239" s="1"/>
      <c r="CTY239" s="1"/>
      <c r="CTZ239" s="1"/>
      <c r="CUA239" s="1"/>
      <c r="CUB239" s="1"/>
      <c r="CUC239" s="1"/>
      <c r="CUD239" s="1"/>
      <c r="CUE239" s="1"/>
      <c r="CUF239" s="1"/>
      <c r="CUG239" s="1"/>
      <c r="CUH239" s="1"/>
      <c r="CUI239" s="1"/>
      <c r="CUJ239" s="1"/>
      <c r="CUK239" s="1"/>
      <c r="CUL239" s="1"/>
      <c r="CUM239" s="1"/>
      <c r="CUN239" s="1"/>
      <c r="CUO239" s="1"/>
      <c r="CUP239" s="1"/>
      <c r="CUQ239" s="1"/>
      <c r="CUR239" s="1"/>
      <c r="CUS239" s="1"/>
      <c r="CUT239" s="1"/>
      <c r="CUU239" s="1"/>
      <c r="CUV239" s="1"/>
      <c r="CUW239" s="1"/>
      <c r="CUX239" s="1"/>
      <c r="CUY239" s="1"/>
      <c r="CUZ239" s="1"/>
      <c r="CVA239" s="1"/>
      <c r="CVB239" s="1"/>
      <c r="CVC239" s="1"/>
      <c r="CVD239" s="1"/>
      <c r="CVE239" s="1"/>
      <c r="CVF239" s="1"/>
      <c r="CVG239" s="1"/>
      <c r="CVH239" s="1"/>
      <c r="CVI239" s="1"/>
      <c r="CVJ239" s="1"/>
      <c r="CVK239" s="1"/>
      <c r="CVL239" s="1"/>
      <c r="CVM239" s="1"/>
      <c r="CVN239" s="1"/>
      <c r="CVO239" s="1"/>
      <c r="CVP239" s="1"/>
      <c r="CVQ239" s="1"/>
      <c r="CVR239" s="1"/>
      <c r="CVS239" s="1"/>
      <c r="CVT239" s="1"/>
      <c r="CVU239" s="1"/>
      <c r="CVV239" s="1"/>
      <c r="CVW239" s="1"/>
      <c r="CVX239" s="1"/>
      <c r="CVY239" s="1"/>
      <c r="CVZ239" s="1"/>
      <c r="CWA239" s="1"/>
      <c r="CWB239" s="1"/>
      <c r="CWC239" s="1"/>
      <c r="CWD239" s="1"/>
      <c r="CWE239" s="1"/>
      <c r="CWF239" s="1"/>
      <c r="CWG239" s="1"/>
      <c r="CWH239" s="1"/>
      <c r="CWI239" s="1"/>
      <c r="CWJ239" s="1"/>
      <c r="CWK239" s="1"/>
      <c r="CWL239" s="1"/>
      <c r="CWM239" s="1"/>
      <c r="CWN239" s="1"/>
      <c r="CWO239" s="1"/>
      <c r="CWP239" s="1"/>
      <c r="CWQ239" s="1"/>
      <c r="CWR239" s="1"/>
      <c r="CWS239" s="1"/>
      <c r="CWT239" s="1"/>
      <c r="CWU239" s="1"/>
      <c r="CWV239" s="1"/>
      <c r="CWW239" s="1"/>
      <c r="CWX239" s="1"/>
      <c r="CWY239" s="1"/>
      <c r="CWZ239" s="1"/>
      <c r="CXA239" s="1"/>
      <c r="CXB239" s="1"/>
      <c r="CXC239" s="1"/>
      <c r="CXD239" s="1"/>
      <c r="CXE239" s="1"/>
      <c r="CXF239" s="1"/>
      <c r="CXG239" s="1"/>
      <c r="CXH239" s="1"/>
      <c r="CXI239" s="1"/>
      <c r="CXJ239" s="1"/>
      <c r="CXK239" s="1"/>
      <c r="CXL239" s="1"/>
      <c r="CXM239" s="1"/>
      <c r="CXN239" s="1"/>
      <c r="CXO239" s="1"/>
      <c r="CXP239" s="1"/>
      <c r="CXQ239" s="1"/>
      <c r="CXR239" s="1"/>
      <c r="CXS239" s="1"/>
      <c r="CXT239" s="1"/>
      <c r="CXU239" s="1"/>
      <c r="CXV239" s="1"/>
      <c r="CXW239" s="1"/>
      <c r="CXX239" s="1"/>
      <c r="CXY239" s="1"/>
      <c r="CXZ239" s="1"/>
      <c r="CYA239" s="1"/>
      <c r="CYB239" s="1"/>
      <c r="CYC239" s="1"/>
      <c r="CYD239" s="1"/>
      <c r="CYE239" s="1"/>
      <c r="CYF239" s="1"/>
      <c r="CYG239" s="1"/>
      <c r="CYH239" s="1"/>
      <c r="CYI239" s="1"/>
      <c r="CYJ239" s="1"/>
      <c r="CYK239" s="1"/>
      <c r="CYL239" s="1"/>
      <c r="CYM239" s="1"/>
      <c r="CYN239" s="1"/>
      <c r="CYO239" s="1"/>
      <c r="CYP239" s="1"/>
      <c r="CYQ239" s="1"/>
      <c r="CYR239" s="1"/>
      <c r="CYS239" s="1"/>
      <c r="CYT239" s="1"/>
      <c r="CYU239" s="1"/>
      <c r="CYV239" s="1"/>
      <c r="CYW239" s="1"/>
      <c r="CYX239" s="1"/>
      <c r="CYY239" s="1"/>
      <c r="CYZ239" s="1"/>
      <c r="CZA239" s="1"/>
      <c r="CZB239" s="1"/>
      <c r="CZC239" s="1"/>
      <c r="CZD239" s="1"/>
      <c r="CZE239" s="1"/>
      <c r="CZF239" s="1"/>
      <c r="CZG239" s="1"/>
      <c r="CZH239" s="1"/>
      <c r="CZI239" s="1"/>
      <c r="CZJ239" s="1"/>
      <c r="CZK239" s="1"/>
      <c r="CZL239" s="1"/>
      <c r="CZM239" s="1"/>
      <c r="CZN239" s="1"/>
      <c r="CZO239" s="1"/>
      <c r="CZP239" s="1"/>
      <c r="CZQ239" s="1"/>
      <c r="CZR239" s="1"/>
      <c r="CZS239" s="1"/>
      <c r="CZT239" s="1"/>
      <c r="CZU239" s="1"/>
      <c r="CZV239" s="1"/>
      <c r="CZW239" s="1"/>
      <c r="CZX239" s="1"/>
      <c r="CZY239" s="1"/>
      <c r="CZZ239" s="1"/>
      <c r="DAA239" s="1"/>
      <c r="DAB239" s="1"/>
      <c r="DAC239" s="1"/>
      <c r="DAD239" s="1"/>
      <c r="DAE239" s="1"/>
      <c r="DAF239" s="1"/>
      <c r="DAG239" s="1"/>
      <c r="DAH239" s="1"/>
      <c r="DAI239" s="1"/>
      <c r="DAJ239" s="1"/>
      <c r="DAK239" s="1"/>
      <c r="DAL239" s="1"/>
      <c r="DAM239" s="1"/>
      <c r="DAN239" s="1"/>
      <c r="DAO239" s="1"/>
      <c r="DAP239" s="1"/>
      <c r="DAQ239" s="1"/>
      <c r="DAR239" s="1"/>
      <c r="DAS239" s="1"/>
      <c r="DAT239" s="1"/>
      <c r="DAU239" s="1"/>
      <c r="DAV239" s="1"/>
      <c r="DAW239" s="1"/>
      <c r="DAX239" s="1"/>
      <c r="DAY239" s="1"/>
      <c r="DAZ239" s="1"/>
      <c r="DBA239" s="1"/>
      <c r="DBB239" s="1"/>
      <c r="DBC239" s="1"/>
      <c r="DBD239" s="1"/>
      <c r="DBE239" s="1"/>
      <c r="DBF239" s="1"/>
      <c r="DBG239" s="1"/>
      <c r="DBH239" s="1"/>
      <c r="DBI239" s="1"/>
      <c r="DBJ239" s="1"/>
      <c r="DBK239" s="1"/>
      <c r="DBL239" s="1"/>
      <c r="DBM239" s="1"/>
      <c r="DBN239" s="1"/>
      <c r="DBO239" s="1"/>
      <c r="DBP239" s="1"/>
      <c r="DBQ239" s="1"/>
      <c r="DBR239" s="1"/>
      <c r="DBS239" s="1"/>
      <c r="DBT239" s="1"/>
      <c r="DBU239" s="1"/>
      <c r="DBV239" s="1"/>
      <c r="DBW239" s="1"/>
      <c r="DBX239" s="1"/>
      <c r="DBY239" s="1"/>
      <c r="DBZ239" s="1"/>
      <c r="DCA239" s="1"/>
      <c r="DCB239" s="1"/>
      <c r="DCC239" s="1"/>
      <c r="DCD239" s="1"/>
      <c r="DCE239" s="1"/>
      <c r="DCF239" s="1"/>
      <c r="DCG239" s="1"/>
      <c r="DCH239" s="1"/>
      <c r="DCI239" s="1"/>
      <c r="DCJ239" s="1"/>
      <c r="DCK239" s="1"/>
      <c r="DCL239" s="1"/>
      <c r="DCM239" s="1"/>
      <c r="DCN239" s="1"/>
      <c r="DCO239" s="1"/>
      <c r="DCP239" s="1"/>
      <c r="DCQ239" s="1"/>
      <c r="DCR239" s="1"/>
      <c r="DCS239" s="1"/>
      <c r="DCT239" s="1"/>
      <c r="DCU239" s="1"/>
      <c r="DCV239" s="1"/>
      <c r="DCW239" s="1"/>
      <c r="DCX239" s="1"/>
      <c r="DCY239" s="1"/>
      <c r="DCZ239" s="1"/>
      <c r="DDA239" s="1"/>
      <c r="DDB239" s="1"/>
      <c r="DDC239" s="1"/>
      <c r="DDD239" s="1"/>
      <c r="DDE239" s="1"/>
      <c r="DDF239" s="1"/>
      <c r="DDG239" s="1"/>
      <c r="DDH239" s="1"/>
      <c r="DDI239" s="1"/>
      <c r="DDJ239" s="1"/>
      <c r="DDK239" s="1"/>
      <c r="DDL239" s="1"/>
      <c r="DDM239" s="1"/>
      <c r="DDN239" s="1"/>
      <c r="DDO239" s="1"/>
      <c r="DDP239" s="1"/>
      <c r="DDQ239" s="1"/>
      <c r="DDR239" s="1"/>
      <c r="DDS239" s="1"/>
      <c r="DDT239" s="1"/>
      <c r="DDU239" s="1"/>
      <c r="DDV239" s="1"/>
      <c r="DDW239" s="1"/>
      <c r="DDX239" s="1"/>
      <c r="DDY239" s="1"/>
      <c r="DDZ239" s="1"/>
      <c r="DEA239" s="1"/>
      <c r="DEB239" s="1"/>
      <c r="DEC239" s="1"/>
      <c r="DED239" s="1"/>
      <c r="DEE239" s="1"/>
      <c r="DEF239" s="1"/>
      <c r="DEG239" s="1"/>
      <c r="DEH239" s="1"/>
      <c r="DEI239" s="1"/>
      <c r="DEJ239" s="1"/>
      <c r="DEK239" s="1"/>
      <c r="DEL239" s="1"/>
      <c r="DEM239" s="1"/>
      <c r="DEN239" s="1"/>
      <c r="DEO239" s="1"/>
      <c r="DEP239" s="1"/>
      <c r="DEQ239" s="1"/>
      <c r="DER239" s="1"/>
      <c r="DES239" s="1"/>
      <c r="DET239" s="1"/>
      <c r="DEU239" s="1"/>
      <c r="DEV239" s="1"/>
      <c r="DEW239" s="1"/>
      <c r="DEX239" s="1"/>
      <c r="DEY239" s="1"/>
      <c r="DEZ239" s="1"/>
      <c r="DFA239" s="1"/>
      <c r="DFB239" s="1"/>
      <c r="DFC239" s="1"/>
      <c r="DFD239" s="1"/>
      <c r="DFE239" s="1"/>
      <c r="DFF239" s="1"/>
      <c r="DFG239" s="1"/>
      <c r="DFH239" s="1"/>
      <c r="DFI239" s="1"/>
      <c r="DFJ239" s="1"/>
      <c r="DFK239" s="1"/>
      <c r="DFL239" s="1"/>
      <c r="DFM239" s="1"/>
      <c r="DFN239" s="1"/>
      <c r="DFO239" s="1"/>
      <c r="DFP239" s="1"/>
      <c r="DFQ239" s="1"/>
      <c r="DFR239" s="1"/>
      <c r="DFS239" s="1"/>
      <c r="DFT239" s="1"/>
      <c r="DFU239" s="1"/>
      <c r="DFV239" s="1"/>
      <c r="DFW239" s="1"/>
      <c r="DFX239" s="1"/>
      <c r="DFY239" s="1"/>
      <c r="DFZ239" s="1"/>
      <c r="DGA239" s="1"/>
      <c r="DGB239" s="1"/>
      <c r="DGC239" s="1"/>
      <c r="DGD239" s="1"/>
      <c r="DGE239" s="1"/>
      <c r="DGF239" s="1"/>
      <c r="DGG239" s="1"/>
      <c r="DGH239" s="1"/>
      <c r="DGI239" s="1"/>
      <c r="DGJ239" s="1"/>
      <c r="DGK239" s="1"/>
      <c r="DGL239" s="1"/>
      <c r="DGM239" s="1"/>
      <c r="DGN239" s="1"/>
      <c r="DGO239" s="1"/>
      <c r="DGP239" s="1"/>
      <c r="DGQ239" s="1"/>
      <c r="DGR239" s="1"/>
      <c r="DGS239" s="1"/>
      <c r="DGT239" s="1"/>
      <c r="DGU239" s="1"/>
      <c r="DGV239" s="1"/>
      <c r="DGW239" s="1"/>
      <c r="DGX239" s="1"/>
      <c r="DGY239" s="1"/>
      <c r="DGZ239" s="1"/>
      <c r="DHA239" s="1"/>
      <c r="DHB239" s="1"/>
      <c r="DHC239" s="1"/>
      <c r="DHD239" s="1"/>
      <c r="DHE239" s="1"/>
      <c r="DHF239" s="1"/>
      <c r="DHG239" s="1"/>
      <c r="DHH239" s="1"/>
      <c r="DHI239" s="1"/>
      <c r="DHJ239" s="1"/>
      <c r="DHK239" s="1"/>
      <c r="DHL239" s="1"/>
      <c r="DHM239" s="1"/>
      <c r="DHN239" s="1"/>
      <c r="DHO239" s="1"/>
      <c r="DHP239" s="1"/>
      <c r="DHQ239" s="1"/>
      <c r="DHR239" s="1"/>
      <c r="DHS239" s="1"/>
      <c r="DHT239" s="1"/>
      <c r="DHU239" s="1"/>
      <c r="DHV239" s="1"/>
      <c r="DHW239" s="1"/>
      <c r="DHX239" s="1"/>
      <c r="DHY239" s="1"/>
      <c r="DHZ239" s="1"/>
      <c r="DIA239" s="1"/>
      <c r="DIB239" s="1"/>
      <c r="DIC239" s="1"/>
      <c r="DID239" s="1"/>
      <c r="DIE239" s="1"/>
      <c r="DIF239" s="1"/>
      <c r="DIG239" s="1"/>
      <c r="DIH239" s="1"/>
      <c r="DII239" s="1"/>
      <c r="DIJ239" s="1"/>
      <c r="DIK239" s="1"/>
      <c r="DIL239" s="1"/>
      <c r="DIM239" s="1"/>
      <c r="DIN239" s="1"/>
      <c r="DIO239" s="1"/>
      <c r="DIP239" s="1"/>
      <c r="DIQ239" s="1"/>
      <c r="DIR239" s="1"/>
      <c r="DIS239" s="1"/>
      <c r="DIT239" s="1"/>
      <c r="DIU239" s="1"/>
      <c r="DIV239" s="1"/>
      <c r="DIW239" s="1"/>
      <c r="DIX239" s="1"/>
      <c r="DIY239" s="1"/>
      <c r="DIZ239" s="1"/>
      <c r="DJA239" s="1"/>
      <c r="DJB239" s="1"/>
      <c r="DJC239" s="1"/>
      <c r="DJD239" s="1"/>
      <c r="DJE239" s="1"/>
      <c r="DJF239" s="1"/>
      <c r="DJG239" s="1"/>
      <c r="DJH239" s="1"/>
      <c r="DJI239" s="1"/>
      <c r="DJJ239" s="1"/>
      <c r="DJK239" s="1"/>
      <c r="DJL239" s="1"/>
      <c r="DJM239" s="1"/>
      <c r="DJN239" s="1"/>
      <c r="DJO239" s="1"/>
      <c r="DJP239" s="1"/>
      <c r="DJQ239" s="1"/>
      <c r="DJR239" s="1"/>
      <c r="DJS239" s="1"/>
      <c r="DJT239" s="1"/>
      <c r="DJU239" s="1"/>
      <c r="DJV239" s="1"/>
      <c r="DJW239" s="1"/>
      <c r="DJX239" s="1"/>
      <c r="DJY239" s="1"/>
      <c r="DJZ239" s="1"/>
      <c r="DKA239" s="1"/>
      <c r="DKB239" s="1"/>
      <c r="DKC239" s="1"/>
      <c r="DKD239" s="1"/>
      <c r="DKE239" s="1"/>
      <c r="DKF239" s="1"/>
      <c r="DKG239" s="1"/>
      <c r="DKH239" s="1"/>
      <c r="DKI239" s="1"/>
      <c r="DKJ239" s="1"/>
      <c r="DKK239" s="1"/>
      <c r="DKL239" s="1"/>
      <c r="DKM239" s="1"/>
      <c r="DKN239" s="1"/>
      <c r="DKO239" s="1"/>
      <c r="DKP239" s="1"/>
      <c r="DKQ239" s="1"/>
      <c r="DKR239" s="1"/>
      <c r="DKS239" s="1"/>
      <c r="DKT239" s="1"/>
      <c r="DKU239" s="1"/>
      <c r="DKV239" s="1"/>
      <c r="DKW239" s="1"/>
      <c r="DKX239" s="1"/>
      <c r="DKY239" s="1"/>
      <c r="DKZ239" s="1"/>
      <c r="DLA239" s="1"/>
      <c r="DLB239" s="1"/>
      <c r="DLC239" s="1"/>
      <c r="DLD239" s="1"/>
      <c r="DLE239" s="1"/>
      <c r="DLF239" s="1"/>
      <c r="DLG239" s="1"/>
      <c r="DLH239" s="1"/>
      <c r="DLI239" s="1"/>
      <c r="DLJ239" s="1"/>
      <c r="DLK239" s="1"/>
      <c r="DLL239" s="1"/>
      <c r="DLM239" s="1"/>
      <c r="DLN239" s="1"/>
      <c r="DLO239" s="1"/>
      <c r="DLP239" s="1"/>
      <c r="DLQ239" s="1"/>
      <c r="DLR239" s="1"/>
      <c r="DLS239" s="1"/>
      <c r="DLT239" s="1"/>
      <c r="DLU239" s="1"/>
      <c r="DLV239" s="1"/>
      <c r="DLW239" s="1"/>
      <c r="DLX239" s="1"/>
      <c r="DLY239" s="1"/>
      <c r="DLZ239" s="1"/>
      <c r="DMA239" s="1"/>
      <c r="DMB239" s="1"/>
      <c r="DMC239" s="1"/>
      <c r="DMD239" s="1"/>
      <c r="DME239" s="1"/>
      <c r="DMF239" s="1"/>
      <c r="DMG239" s="1"/>
      <c r="DMH239" s="1"/>
      <c r="DMI239" s="1"/>
      <c r="DMJ239" s="1"/>
      <c r="DMK239" s="1"/>
      <c r="DML239" s="1"/>
      <c r="DMM239" s="1"/>
      <c r="DMN239" s="1"/>
      <c r="DMO239" s="1"/>
      <c r="DMP239" s="1"/>
      <c r="DMQ239" s="1"/>
      <c r="DMR239" s="1"/>
      <c r="DMS239" s="1"/>
      <c r="DMT239" s="1"/>
      <c r="DMU239" s="1"/>
      <c r="DMV239" s="1"/>
      <c r="DMW239" s="1"/>
      <c r="DMX239" s="1"/>
      <c r="DMY239" s="1"/>
      <c r="DMZ239" s="1"/>
      <c r="DNA239" s="1"/>
      <c r="DNB239" s="1"/>
      <c r="DNC239" s="1"/>
      <c r="DND239" s="1"/>
      <c r="DNE239" s="1"/>
      <c r="DNF239" s="1"/>
      <c r="DNG239" s="1"/>
      <c r="DNH239" s="1"/>
      <c r="DNI239" s="1"/>
      <c r="DNJ239" s="1"/>
      <c r="DNK239" s="1"/>
      <c r="DNL239" s="1"/>
      <c r="DNM239" s="1"/>
      <c r="DNN239" s="1"/>
      <c r="DNO239" s="1"/>
      <c r="DNP239" s="1"/>
      <c r="DNQ239" s="1"/>
      <c r="DNR239" s="1"/>
      <c r="DNS239" s="1"/>
      <c r="DNT239" s="1"/>
      <c r="DNU239" s="1"/>
      <c r="DNV239" s="1"/>
      <c r="DNW239" s="1"/>
      <c r="DNX239" s="1"/>
      <c r="DNY239" s="1"/>
      <c r="DNZ239" s="1"/>
      <c r="DOA239" s="1"/>
      <c r="DOB239" s="1"/>
      <c r="DOC239" s="1"/>
      <c r="DOD239" s="1"/>
      <c r="DOE239" s="1"/>
      <c r="DOF239" s="1"/>
      <c r="DOG239" s="1"/>
      <c r="DOH239" s="1"/>
      <c r="DOI239" s="1"/>
      <c r="DOJ239" s="1"/>
      <c r="DOK239" s="1"/>
      <c r="DOL239" s="1"/>
      <c r="DOM239" s="1"/>
      <c r="DON239" s="1"/>
      <c r="DOO239" s="1"/>
      <c r="DOP239" s="1"/>
      <c r="DOQ239" s="1"/>
      <c r="DOR239" s="1"/>
      <c r="DOS239" s="1"/>
      <c r="DOT239" s="1"/>
      <c r="DOU239" s="1"/>
      <c r="DOV239" s="1"/>
      <c r="DOW239" s="1"/>
      <c r="DOX239" s="1"/>
      <c r="DOY239" s="1"/>
      <c r="DOZ239" s="1"/>
      <c r="DPA239" s="1"/>
      <c r="DPB239" s="1"/>
      <c r="DPC239" s="1"/>
      <c r="DPD239" s="1"/>
      <c r="DPE239" s="1"/>
      <c r="DPF239" s="1"/>
      <c r="DPG239" s="1"/>
      <c r="DPH239" s="1"/>
      <c r="DPI239" s="1"/>
      <c r="DPJ239" s="1"/>
      <c r="DPK239" s="1"/>
      <c r="DPL239" s="1"/>
      <c r="DPM239" s="1"/>
      <c r="DPN239" s="1"/>
      <c r="DPO239" s="1"/>
      <c r="DPP239" s="1"/>
      <c r="DPQ239" s="1"/>
      <c r="DPR239" s="1"/>
      <c r="DPS239" s="1"/>
      <c r="DPT239" s="1"/>
      <c r="DPU239" s="1"/>
      <c r="DPV239" s="1"/>
      <c r="DPW239" s="1"/>
      <c r="DPX239" s="1"/>
      <c r="DPY239" s="1"/>
      <c r="DPZ239" s="1"/>
      <c r="DQA239" s="1"/>
      <c r="DQB239" s="1"/>
      <c r="DQC239" s="1"/>
      <c r="DQD239" s="1"/>
      <c r="DQE239" s="1"/>
      <c r="DQF239" s="1"/>
      <c r="DQG239" s="1"/>
      <c r="DQH239" s="1"/>
      <c r="DQI239" s="1"/>
      <c r="DQJ239" s="1"/>
      <c r="DQK239" s="1"/>
      <c r="DQL239" s="1"/>
      <c r="DQM239" s="1"/>
      <c r="DQN239" s="1"/>
      <c r="DQO239" s="1"/>
      <c r="DQP239" s="1"/>
      <c r="DQQ239" s="1"/>
      <c r="DQR239" s="1"/>
      <c r="DQS239" s="1"/>
      <c r="DQT239" s="1"/>
      <c r="DQU239" s="1"/>
      <c r="DQV239" s="1"/>
      <c r="DQW239" s="1"/>
      <c r="DQX239" s="1"/>
      <c r="DQY239" s="1"/>
      <c r="DQZ239" s="1"/>
      <c r="DRA239" s="1"/>
      <c r="DRB239" s="1"/>
      <c r="DRC239" s="1"/>
      <c r="DRD239" s="1"/>
      <c r="DRE239" s="1"/>
      <c r="DRF239" s="1"/>
      <c r="DRG239" s="1"/>
      <c r="DRH239" s="1"/>
      <c r="DRI239" s="1"/>
      <c r="DRJ239" s="1"/>
      <c r="DRK239" s="1"/>
      <c r="DRL239" s="1"/>
      <c r="DRM239" s="1"/>
      <c r="DRN239" s="1"/>
      <c r="DRO239" s="1"/>
      <c r="DRP239" s="1"/>
      <c r="DRQ239" s="1"/>
      <c r="DRR239" s="1"/>
      <c r="DRS239" s="1"/>
      <c r="DRT239" s="1"/>
      <c r="DRU239" s="1"/>
      <c r="DRV239" s="1"/>
      <c r="DRW239" s="1"/>
      <c r="DRX239" s="1"/>
      <c r="DRY239" s="1"/>
      <c r="DRZ239" s="1"/>
      <c r="DSA239" s="1"/>
      <c r="DSB239" s="1"/>
      <c r="DSC239" s="1"/>
      <c r="DSD239" s="1"/>
      <c r="DSE239" s="1"/>
      <c r="DSF239" s="1"/>
      <c r="DSG239" s="1"/>
      <c r="DSH239" s="1"/>
      <c r="DSI239" s="1"/>
      <c r="DSJ239" s="1"/>
      <c r="DSK239" s="1"/>
      <c r="DSL239" s="1"/>
      <c r="DSM239" s="1"/>
      <c r="DSN239" s="1"/>
      <c r="DSO239" s="1"/>
      <c r="DSP239" s="1"/>
      <c r="DSQ239" s="1"/>
      <c r="DSR239" s="1"/>
      <c r="DSS239" s="1"/>
      <c r="DST239" s="1"/>
      <c r="DSU239" s="1"/>
      <c r="DSV239" s="1"/>
      <c r="DSW239" s="1"/>
      <c r="DSX239" s="1"/>
      <c r="DSY239" s="1"/>
      <c r="DSZ239" s="1"/>
      <c r="DTA239" s="1"/>
      <c r="DTB239" s="1"/>
      <c r="DTC239" s="1"/>
      <c r="DTD239" s="1"/>
      <c r="DTE239" s="1"/>
      <c r="DTF239" s="1"/>
      <c r="DTG239" s="1"/>
      <c r="DTH239" s="1"/>
      <c r="DTI239" s="1"/>
      <c r="DTJ239" s="1"/>
      <c r="DTK239" s="1"/>
      <c r="DTL239" s="1"/>
      <c r="DTM239" s="1"/>
      <c r="DTN239" s="1"/>
      <c r="DTO239" s="1"/>
      <c r="DTP239" s="1"/>
      <c r="DTQ239" s="1"/>
      <c r="DTR239" s="1"/>
      <c r="DTS239" s="1"/>
      <c r="DTT239" s="1"/>
      <c r="DTU239" s="1"/>
      <c r="DTV239" s="1"/>
      <c r="DTW239" s="1"/>
      <c r="DTX239" s="1"/>
      <c r="DTY239" s="1"/>
      <c r="DTZ239" s="1"/>
      <c r="DUA239" s="1"/>
      <c r="DUB239" s="1"/>
      <c r="DUC239" s="1"/>
      <c r="DUD239" s="1"/>
      <c r="DUE239" s="1"/>
      <c r="DUF239" s="1"/>
      <c r="DUG239" s="1"/>
      <c r="DUH239" s="1"/>
      <c r="DUI239" s="1"/>
      <c r="DUJ239" s="1"/>
      <c r="DUK239" s="1"/>
      <c r="DUL239" s="1"/>
      <c r="DUM239" s="1"/>
      <c r="DUN239" s="1"/>
      <c r="DUO239" s="1"/>
      <c r="DUP239" s="1"/>
      <c r="DUQ239" s="1"/>
      <c r="DUR239" s="1"/>
      <c r="DUS239" s="1"/>
      <c r="DUT239" s="1"/>
      <c r="DUU239" s="1"/>
      <c r="DUV239" s="1"/>
      <c r="DUW239" s="1"/>
      <c r="DUX239" s="1"/>
      <c r="DUY239" s="1"/>
      <c r="DUZ239" s="1"/>
      <c r="DVA239" s="1"/>
      <c r="DVB239" s="1"/>
      <c r="DVC239" s="1"/>
      <c r="DVD239" s="1"/>
      <c r="DVE239" s="1"/>
      <c r="DVF239" s="1"/>
      <c r="DVG239" s="1"/>
      <c r="DVH239" s="1"/>
      <c r="DVI239" s="1"/>
      <c r="DVJ239" s="1"/>
      <c r="DVK239" s="1"/>
      <c r="DVL239" s="1"/>
      <c r="DVM239" s="1"/>
      <c r="DVN239" s="1"/>
      <c r="DVO239" s="1"/>
      <c r="DVP239" s="1"/>
      <c r="DVQ239" s="1"/>
      <c r="DVR239" s="1"/>
      <c r="DVS239" s="1"/>
      <c r="DVT239" s="1"/>
      <c r="DVU239" s="1"/>
      <c r="DVV239" s="1"/>
      <c r="DVW239" s="1"/>
      <c r="DVX239" s="1"/>
      <c r="DVY239" s="1"/>
      <c r="DVZ239" s="1"/>
      <c r="DWA239" s="1"/>
      <c r="DWB239" s="1"/>
      <c r="DWC239" s="1"/>
      <c r="DWD239" s="1"/>
      <c r="DWE239" s="1"/>
      <c r="DWF239" s="1"/>
      <c r="DWG239" s="1"/>
      <c r="DWH239" s="1"/>
      <c r="DWI239" s="1"/>
      <c r="DWJ239" s="1"/>
      <c r="DWK239" s="1"/>
      <c r="DWL239" s="1"/>
      <c r="DWM239" s="1"/>
      <c r="DWN239" s="1"/>
      <c r="DWO239" s="1"/>
      <c r="DWP239" s="1"/>
      <c r="DWQ239" s="1"/>
      <c r="DWR239" s="1"/>
      <c r="DWS239" s="1"/>
      <c r="DWT239" s="1"/>
      <c r="DWU239" s="1"/>
      <c r="DWV239" s="1"/>
      <c r="DWW239" s="1"/>
      <c r="DWX239" s="1"/>
      <c r="DWY239" s="1"/>
      <c r="DWZ239" s="1"/>
      <c r="DXA239" s="1"/>
      <c r="DXB239" s="1"/>
      <c r="DXC239" s="1"/>
      <c r="DXD239" s="1"/>
      <c r="DXE239" s="1"/>
      <c r="DXF239" s="1"/>
      <c r="DXG239" s="1"/>
      <c r="DXH239" s="1"/>
      <c r="DXI239" s="1"/>
      <c r="DXJ239" s="1"/>
      <c r="DXK239" s="1"/>
      <c r="DXL239" s="1"/>
      <c r="DXM239" s="1"/>
      <c r="DXN239" s="1"/>
      <c r="DXO239" s="1"/>
      <c r="DXP239" s="1"/>
      <c r="DXQ239" s="1"/>
      <c r="DXR239" s="1"/>
      <c r="DXS239" s="1"/>
      <c r="DXT239" s="1"/>
      <c r="DXU239" s="1"/>
      <c r="DXV239" s="1"/>
      <c r="DXW239" s="1"/>
      <c r="DXX239" s="1"/>
      <c r="DXY239" s="1"/>
      <c r="DXZ239" s="1"/>
      <c r="DYA239" s="1"/>
      <c r="DYB239" s="1"/>
      <c r="DYC239" s="1"/>
      <c r="DYD239" s="1"/>
      <c r="DYE239" s="1"/>
      <c r="DYF239" s="1"/>
      <c r="DYG239" s="1"/>
      <c r="DYH239" s="1"/>
      <c r="DYI239" s="1"/>
      <c r="DYJ239" s="1"/>
      <c r="DYK239" s="1"/>
      <c r="DYL239" s="1"/>
      <c r="DYM239" s="1"/>
      <c r="DYN239" s="1"/>
      <c r="DYO239" s="1"/>
      <c r="DYP239" s="1"/>
      <c r="DYQ239" s="1"/>
      <c r="DYR239" s="1"/>
      <c r="DYS239" s="1"/>
      <c r="DYT239" s="1"/>
      <c r="DYU239" s="1"/>
      <c r="DYV239" s="1"/>
      <c r="DYW239" s="1"/>
      <c r="DYX239" s="1"/>
      <c r="DYY239" s="1"/>
      <c r="DYZ239" s="1"/>
      <c r="DZA239" s="1"/>
      <c r="DZB239" s="1"/>
      <c r="DZC239" s="1"/>
      <c r="DZD239" s="1"/>
      <c r="DZE239" s="1"/>
      <c r="DZF239" s="1"/>
      <c r="DZG239" s="1"/>
      <c r="DZH239" s="1"/>
      <c r="DZI239" s="1"/>
      <c r="DZJ239" s="1"/>
      <c r="DZK239" s="1"/>
      <c r="DZL239" s="1"/>
      <c r="DZM239" s="1"/>
      <c r="DZN239" s="1"/>
      <c r="DZO239" s="1"/>
      <c r="DZP239" s="1"/>
      <c r="DZQ239" s="1"/>
      <c r="DZR239" s="1"/>
      <c r="DZS239" s="1"/>
      <c r="DZT239" s="1"/>
      <c r="DZU239" s="1"/>
      <c r="DZV239" s="1"/>
      <c r="DZW239" s="1"/>
      <c r="DZX239" s="1"/>
      <c r="DZY239" s="1"/>
      <c r="DZZ239" s="1"/>
      <c r="EAA239" s="1"/>
      <c r="EAB239" s="1"/>
      <c r="EAC239" s="1"/>
      <c r="EAD239" s="1"/>
      <c r="EAE239" s="1"/>
      <c r="EAF239" s="1"/>
      <c r="EAG239" s="1"/>
      <c r="EAH239" s="1"/>
      <c r="EAI239" s="1"/>
      <c r="EAJ239" s="1"/>
      <c r="EAK239" s="1"/>
      <c r="EAL239" s="1"/>
      <c r="EAM239" s="1"/>
      <c r="EAN239" s="1"/>
      <c r="EAO239" s="1"/>
      <c r="EAP239" s="1"/>
      <c r="EAQ239" s="1"/>
      <c r="EAR239" s="1"/>
      <c r="EAS239" s="1"/>
      <c r="EAT239" s="1"/>
      <c r="EAU239" s="1"/>
      <c r="EAV239" s="1"/>
      <c r="EAW239" s="1"/>
      <c r="EAX239" s="1"/>
      <c r="EAY239" s="1"/>
      <c r="EAZ239" s="1"/>
      <c r="EBA239" s="1"/>
      <c r="EBB239" s="1"/>
      <c r="EBC239" s="1"/>
      <c r="EBD239" s="1"/>
      <c r="EBE239" s="1"/>
      <c r="EBF239" s="1"/>
      <c r="EBG239" s="1"/>
      <c r="EBH239" s="1"/>
      <c r="EBI239" s="1"/>
      <c r="EBJ239" s="1"/>
      <c r="EBK239" s="1"/>
      <c r="EBL239" s="1"/>
      <c r="EBM239" s="1"/>
      <c r="EBN239" s="1"/>
      <c r="EBO239" s="1"/>
      <c r="EBP239" s="1"/>
      <c r="EBQ239" s="1"/>
      <c r="EBR239" s="1"/>
      <c r="EBS239" s="1"/>
      <c r="EBT239" s="1"/>
      <c r="EBU239" s="1"/>
      <c r="EBV239" s="1"/>
      <c r="EBW239" s="1"/>
      <c r="EBX239" s="1"/>
      <c r="EBY239" s="1"/>
      <c r="EBZ239" s="1"/>
      <c r="ECA239" s="1"/>
      <c r="ECB239" s="1"/>
      <c r="ECC239" s="1"/>
      <c r="ECD239" s="1"/>
      <c r="ECE239" s="1"/>
      <c r="ECF239" s="1"/>
      <c r="ECG239" s="1"/>
      <c r="ECH239" s="1"/>
      <c r="ECI239" s="1"/>
      <c r="ECJ239" s="1"/>
      <c r="ECK239" s="1"/>
      <c r="ECL239" s="1"/>
      <c r="ECM239" s="1"/>
      <c r="ECN239" s="1"/>
      <c r="ECO239" s="1"/>
      <c r="ECP239" s="1"/>
      <c r="ECQ239" s="1"/>
      <c r="ECR239" s="1"/>
      <c r="ECS239" s="1"/>
      <c r="ECT239" s="1"/>
      <c r="ECU239" s="1"/>
      <c r="ECV239" s="1"/>
      <c r="ECW239" s="1"/>
      <c r="ECX239" s="1"/>
      <c r="ECY239" s="1"/>
      <c r="ECZ239" s="1"/>
      <c r="EDA239" s="1"/>
      <c r="EDB239" s="1"/>
      <c r="EDC239" s="1"/>
      <c r="EDD239" s="1"/>
      <c r="EDE239" s="1"/>
      <c r="EDF239" s="1"/>
      <c r="EDG239" s="1"/>
      <c r="EDH239" s="1"/>
      <c r="EDI239" s="1"/>
      <c r="EDJ239" s="1"/>
      <c r="EDK239" s="1"/>
      <c r="EDL239" s="1"/>
      <c r="EDM239" s="1"/>
      <c r="EDN239" s="1"/>
      <c r="EDO239" s="1"/>
      <c r="EDP239" s="1"/>
      <c r="EDQ239" s="1"/>
      <c r="EDR239" s="1"/>
      <c r="EDS239" s="1"/>
      <c r="EDT239" s="1"/>
      <c r="EDU239" s="1"/>
      <c r="EDV239" s="1"/>
      <c r="EDW239" s="1"/>
      <c r="EDX239" s="1"/>
      <c r="EDY239" s="1"/>
      <c r="EDZ239" s="1"/>
      <c r="EEA239" s="1"/>
      <c r="EEB239" s="1"/>
      <c r="EEC239" s="1"/>
      <c r="EED239" s="1"/>
      <c r="EEE239" s="1"/>
      <c r="EEF239" s="1"/>
      <c r="EEG239" s="1"/>
      <c r="EEH239" s="1"/>
      <c r="EEI239" s="1"/>
      <c r="EEJ239" s="1"/>
      <c r="EEK239" s="1"/>
      <c r="EEL239" s="1"/>
      <c r="EEM239" s="1"/>
      <c r="EEN239" s="1"/>
      <c r="EEO239" s="1"/>
      <c r="EEP239" s="1"/>
      <c r="EEQ239" s="1"/>
      <c r="EER239" s="1"/>
      <c r="EES239" s="1"/>
      <c r="EET239" s="1"/>
      <c r="EEU239" s="1"/>
      <c r="EEV239" s="1"/>
      <c r="EEW239" s="1"/>
      <c r="EEX239" s="1"/>
      <c r="EEY239" s="1"/>
      <c r="EEZ239" s="1"/>
      <c r="EFA239" s="1"/>
      <c r="EFB239" s="1"/>
      <c r="EFC239" s="1"/>
      <c r="EFD239" s="1"/>
      <c r="EFE239" s="1"/>
      <c r="EFF239" s="1"/>
      <c r="EFG239" s="1"/>
      <c r="EFH239" s="1"/>
      <c r="EFI239" s="1"/>
      <c r="EFJ239" s="1"/>
      <c r="EFK239" s="1"/>
      <c r="EFL239" s="1"/>
      <c r="EFM239" s="1"/>
      <c r="EFN239" s="1"/>
      <c r="EFO239" s="1"/>
      <c r="EFP239" s="1"/>
      <c r="EFQ239" s="1"/>
      <c r="EFR239" s="1"/>
      <c r="EFS239" s="1"/>
      <c r="EFT239" s="1"/>
      <c r="EFU239" s="1"/>
      <c r="EFV239" s="1"/>
      <c r="EFW239" s="1"/>
      <c r="EFX239" s="1"/>
      <c r="EFY239" s="1"/>
      <c r="EFZ239" s="1"/>
      <c r="EGA239" s="1"/>
      <c r="EGB239" s="1"/>
      <c r="EGC239" s="1"/>
      <c r="EGD239" s="1"/>
      <c r="EGE239" s="1"/>
      <c r="EGF239" s="1"/>
      <c r="EGG239" s="1"/>
      <c r="EGH239" s="1"/>
      <c r="EGI239" s="1"/>
      <c r="EGJ239" s="1"/>
      <c r="EGK239" s="1"/>
      <c r="EGL239" s="1"/>
      <c r="EGM239" s="1"/>
      <c r="EGN239" s="1"/>
      <c r="EGO239" s="1"/>
      <c r="EGP239" s="1"/>
      <c r="EGQ239" s="1"/>
      <c r="EGR239" s="1"/>
      <c r="EGS239" s="1"/>
      <c r="EGT239" s="1"/>
      <c r="EGU239" s="1"/>
      <c r="EGV239" s="1"/>
      <c r="EGW239" s="1"/>
      <c r="EGX239" s="1"/>
      <c r="EGY239" s="1"/>
      <c r="EGZ239" s="1"/>
      <c r="EHA239" s="1"/>
      <c r="EHB239" s="1"/>
      <c r="EHC239" s="1"/>
      <c r="EHD239" s="1"/>
      <c r="EHE239" s="1"/>
      <c r="EHF239" s="1"/>
      <c r="EHG239" s="1"/>
      <c r="EHH239" s="1"/>
      <c r="EHI239" s="1"/>
      <c r="EHJ239" s="1"/>
      <c r="EHK239" s="1"/>
      <c r="EHL239" s="1"/>
      <c r="EHM239" s="1"/>
      <c r="EHN239" s="1"/>
      <c r="EHO239" s="1"/>
      <c r="EHP239" s="1"/>
      <c r="EHQ239" s="1"/>
      <c r="EHR239" s="1"/>
      <c r="EHS239" s="1"/>
      <c r="EHT239" s="1"/>
      <c r="EHU239" s="1"/>
      <c r="EHV239" s="1"/>
      <c r="EHW239" s="1"/>
      <c r="EHX239" s="1"/>
      <c r="EHY239" s="1"/>
      <c r="EHZ239" s="1"/>
      <c r="EIA239" s="1"/>
      <c r="EIB239" s="1"/>
      <c r="EIC239" s="1"/>
      <c r="EID239" s="1"/>
      <c r="EIE239" s="1"/>
      <c r="EIF239" s="1"/>
      <c r="EIG239" s="1"/>
      <c r="EIH239" s="1"/>
      <c r="EII239" s="1"/>
      <c r="EIJ239" s="1"/>
      <c r="EIK239" s="1"/>
      <c r="EIL239" s="1"/>
      <c r="EIM239" s="1"/>
      <c r="EIN239" s="1"/>
      <c r="EIO239" s="1"/>
      <c r="EIP239" s="1"/>
      <c r="EIQ239" s="1"/>
      <c r="EIR239" s="1"/>
      <c r="EIS239" s="1"/>
      <c r="EIT239" s="1"/>
      <c r="EIU239" s="1"/>
      <c r="EIV239" s="1"/>
      <c r="EIW239" s="1"/>
      <c r="EIX239" s="1"/>
      <c r="EIY239" s="1"/>
      <c r="EIZ239" s="1"/>
      <c r="EJA239" s="1"/>
      <c r="EJB239" s="1"/>
      <c r="EJC239" s="1"/>
      <c r="EJD239" s="1"/>
      <c r="EJE239" s="1"/>
      <c r="EJF239" s="1"/>
      <c r="EJG239" s="1"/>
      <c r="EJH239" s="1"/>
      <c r="EJI239" s="1"/>
      <c r="EJJ239" s="1"/>
      <c r="EJK239" s="1"/>
      <c r="EJL239" s="1"/>
      <c r="EJM239" s="1"/>
      <c r="EJN239" s="1"/>
      <c r="EJO239" s="1"/>
      <c r="EJP239" s="1"/>
      <c r="EJQ239" s="1"/>
      <c r="EJR239" s="1"/>
      <c r="EJS239" s="1"/>
      <c r="EJT239" s="1"/>
      <c r="EJU239" s="1"/>
      <c r="EJV239" s="1"/>
      <c r="EJW239" s="1"/>
      <c r="EJX239" s="1"/>
      <c r="EJY239" s="1"/>
      <c r="EJZ239" s="1"/>
      <c r="EKA239" s="1"/>
      <c r="EKB239" s="1"/>
      <c r="EKC239" s="1"/>
      <c r="EKD239" s="1"/>
      <c r="EKE239" s="1"/>
      <c r="EKF239" s="1"/>
      <c r="EKG239" s="1"/>
      <c r="EKH239" s="1"/>
      <c r="EKI239" s="1"/>
      <c r="EKJ239" s="1"/>
      <c r="EKK239" s="1"/>
      <c r="EKL239" s="1"/>
      <c r="EKM239" s="1"/>
      <c r="EKN239" s="1"/>
      <c r="EKO239" s="1"/>
      <c r="EKP239" s="1"/>
      <c r="EKQ239" s="1"/>
      <c r="EKR239" s="1"/>
      <c r="EKS239" s="1"/>
      <c r="EKT239" s="1"/>
      <c r="EKU239" s="1"/>
      <c r="EKV239" s="1"/>
      <c r="EKW239" s="1"/>
      <c r="EKX239" s="1"/>
      <c r="EKY239" s="1"/>
      <c r="EKZ239" s="1"/>
      <c r="ELA239" s="1"/>
      <c r="ELB239" s="1"/>
      <c r="ELC239" s="1"/>
      <c r="ELD239" s="1"/>
      <c r="ELE239" s="1"/>
      <c r="ELF239" s="1"/>
      <c r="ELG239" s="1"/>
      <c r="ELH239" s="1"/>
      <c r="ELI239" s="1"/>
      <c r="ELJ239" s="1"/>
      <c r="ELK239" s="1"/>
      <c r="ELL239" s="1"/>
      <c r="ELM239" s="1"/>
      <c r="ELN239" s="1"/>
      <c r="ELO239" s="1"/>
      <c r="ELP239" s="1"/>
      <c r="ELQ239" s="1"/>
      <c r="ELR239" s="1"/>
      <c r="ELS239" s="1"/>
      <c r="ELT239" s="1"/>
      <c r="ELU239" s="1"/>
      <c r="ELV239" s="1"/>
      <c r="ELW239" s="1"/>
      <c r="ELX239" s="1"/>
      <c r="ELY239" s="1"/>
      <c r="ELZ239" s="1"/>
      <c r="EMA239" s="1"/>
      <c r="EMB239" s="1"/>
      <c r="EMC239" s="1"/>
      <c r="EMD239" s="1"/>
      <c r="EME239" s="1"/>
      <c r="EMF239" s="1"/>
      <c r="EMG239" s="1"/>
      <c r="EMH239" s="1"/>
      <c r="EMI239" s="1"/>
      <c r="EMJ239" s="1"/>
      <c r="EMK239" s="1"/>
      <c r="EML239" s="1"/>
      <c r="EMM239" s="1"/>
      <c r="EMN239" s="1"/>
      <c r="EMO239" s="1"/>
      <c r="EMP239" s="1"/>
      <c r="EMQ239" s="1"/>
      <c r="EMR239" s="1"/>
      <c r="EMS239" s="1"/>
      <c r="EMT239" s="1"/>
      <c r="EMU239" s="1"/>
      <c r="EMV239" s="1"/>
      <c r="EMW239" s="1"/>
      <c r="EMX239" s="1"/>
      <c r="EMY239" s="1"/>
      <c r="EMZ239" s="1"/>
      <c r="ENA239" s="1"/>
      <c r="ENB239" s="1"/>
      <c r="ENC239" s="1"/>
      <c r="END239" s="1"/>
      <c r="ENE239" s="1"/>
      <c r="ENF239" s="1"/>
      <c r="ENG239" s="1"/>
      <c r="ENH239" s="1"/>
      <c r="ENI239" s="1"/>
      <c r="ENJ239" s="1"/>
      <c r="ENK239" s="1"/>
      <c r="ENL239" s="1"/>
      <c r="ENM239" s="1"/>
      <c r="ENN239" s="1"/>
      <c r="ENO239" s="1"/>
      <c r="ENP239" s="1"/>
      <c r="ENQ239" s="1"/>
      <c r="ENR239" s="1"/>
      <c r="ENS239" s="1"/>
      <c r="ENT239" s="1"/>
      <c r="ENU239" s="1"/>
      <c r="ENV239" s="1"/>
      <c r="ENW239" s="1"/>
      <c r="ENX239" s="1"/>
      <c r="ENY239" s="1"/>
      <c r="ENZ239" s="1"/>
      <c r="EOA239" s="1"/>
      <c r="EOB239" s="1"/>
      <c r="EOC239" s="1"/>
      <c r="EOD239" s="1"/>
      <c r="EOE239" s="1"/>
      <c r="EOF239" s="1"/>
      <c r="EOG239" s="1"/>
      <c r="EOH239" s="1"/>
      <c r="EOI239" s="1"/>
      <c r="EOJ239" s="1"/>
      <c r="EOK239" s="1"/>
      <c r="EOL239" s="1"/>
      <c r="EOM239" s="1"/>
      <c r="EON239" s="1"/>
      <c r="EOO239" s="1"/>
      <c r="EOP239" s="1"/>
      <c r="EOQ239" s="1"/>
      <c r="EOR239" s="1"/>
      <c r="EOS239" s="1"/>
      <c r="EOT239" s="1"/>
      <c r="EOU239" s="1"/>
      <c r="EOV239" s="1"/>
      <c r="EOW239" s="1"/>
      <c r="EOX239" s="1"/>
      <c r="EOY239" s="1"/>
      <c r="EOZ239" s="1"/>
      <c r="EPA239" s="1"/>
      <c r="EPB239" s="1"/>
      <c r="EPC239" s="1"/>
      <c r="EPD239" s="1"/>
      <c r="EPE239" s="1"/>
      <c r="EPF239" s="1"/>
      <c r="EPG239" s="1"/>
      <c r="EPH239" s="1"/>
      <c r="EPI239" s="1"/>
      <c r="EPJ239" s="1"/>
      <c r="EPK239" s="1"/>
      <c r="EPL239" s="1"/>
      <c r="EPM239" s="1"/>
      <c r="EPN239" s="1"/>
      <c r="EPO239" s="1"/>
      <c r="EPP239" s="1"/>
      <c r="EPQ239" s="1"/>
      <c r="EPR239" s="1"/>
      <c r="EPS239" s="1"/>
      <c r="EPT239" s="1"/>
      <c r="EPU239" s="1"/>
      <c r="EPV239" s="1"/>
      <c r="EPW239" s="1"/>
      <c r="EPX239" s="1"/>
      <c r="EPY239" s="1"/>
      <c r="EPZ239" s="1"/>
      <c r="EQA239" s="1"/>
      <c r="EQB239" s="1"/>
      <c r="EQC239" s="1"/>
      <c r="EQD239" s="1"/>
      <c r="EQE239" s="1"/>
      <c r="EQF239" s="1"/>
      <c r="EQG239" s="1"/>
      <c r="EQH239" s="1"/>
      <c r="EQI239" s="1"/>
      <c r="EQJ239" s="1"/>
      <c r="EQK239" s="1"/>
      <c r="EQL239" s="1"/>
      <c r="EQM239" s="1"/>
      <c r="EQN239" s="1"/>
      <c r="EQO239" s="1"/>
      <c r="EQP239" s="1"/>
      <c r="EQQ239" s="1"/>
      <c r="EQR239" s="1"/>
      <c r="EQS239" s="1"/>
      <c r="EQT239" s="1"/>
      <c r="EQU239" s="1"/>
      <c r="EQV239" s="1"/>
      <c r="EQW239" s="1"/>
      <c r="EQX239" s="1"/>
      <c r="EQY239" s="1"/>
      <c r="EQZ239" s="1"/>
      <c r="ERA239" s="1"/>
      <c r="ERB239" s="1"/>
      <c r="ERC239" s="1"/>
      <c r="ERD239" s="1"/>
      <c r="ERE239" s="1"/>
      <c r="ERF239" s="1"/>
      <c r="ERG239" s="1"/>
      <c r="ERH239" s="1"/>
      <c r="ERI239" s="1"/>
      <c r="ERJ239" s="1"/>
      <c r="ERK239" s="1"/>
      <c r="ERL239" s="1"/>
      <c r="ERM239" s="1"/>
      <c r="ERN239" s="1"/>
      <c r="ERO239" s="1"/>
      <c r="ERP239" s="1"/>
      <c r="ERQ239" s="1"/>
      <c r="ERR239" s="1"/>
      <c r="ERS239" s="1"/>
      <c r="ERT239" s="1"/>
      <c r="ERU239" s="1"/>
      <c r="ERV239" s="1"/>
      <c r="ERW239" s="1"/>
      <c r="ERX239" s="1"/>
      <c r="ERY239" s="1"/>
      <c r="ERZ239" s="1"/>
      <c r="ESA239" s="1"/>
      <c r="ESB239" s="1"/>
      <c r="ESC239" s="1"/>
      <c r="ESD239" s="1"/>
      <c r="ESE239" s="1"/>
      <c r="ESF239" s="1"/>
      <c r="ESG239" s="1"/>
      <c r="ESH239" s="1"/>
      <c r="ESI239" s="1"/>
      <c r="ESJ239" s="1"/>
      <c r="ESK239" s="1"/>
      <c r="ESL239" s="1"/>
      <c r="ESM239" s="1"/>
      <c r="ESN239" s="1"/>
      <c r="ESO239" s="1"/>
      <c r="ESP239" s="1"/>
      <c r="ESQ239" s="1"/>
      <c r="ESR239" s="1"/>
      <c r="ESS239" s="1"/>
      <c r="EST239" s="1"/>
      <c r="ESU239" s="1"/>
      <c r="ESV239" s="1"/>
      <c r="ESW239" s="1"/>
      <c r="ESX239" s="1"/>
      <c r="ESY239" s="1"/>
      <c r="ESZ239" s="1"/>
      <c r="ETA239" s="1"/>
      <c r="ETB239" s="1"/>
      <c r="ETC239" s="1"/>
      <c r="ETD239" s="1"/>
      <c r="ETE239" s="1"/>
      <c r="ETF239" s="1"/>
      <c r="ETG239" s="1"/>
      <c r="ETH239" s="1"/>
      <c r="ETI239" s="1"/>
      <c r="ETJ239" s="1"/>
      <c r="ETK239" s="1"/>
      <c r="ETL239" s="1"/>
      <c r="ETM239" s="1"/>
      <c r="ETN239" s="1"/>
      <c r="ETO239" s="1"/>
      <c r="ETP239" s="1"/>
      <c r="ETQ239" s="1"/>
      <c r="ETR239" s="1"/>
      <c r="ETS239" s="1"/>
      <c r="ETT239" s="1"/>
      <c r="ETU239" s="1"/>
      <c r="ETV239" s="1"/>
      <c r="ETW239" s="1"/>
      <c r="ETX239" s="1"/>
      <c r="ETY239" s="1"/>
      <c r="ETZ239" s="1"/>
      <c r="EUA239" s="1"/>
      <c r="EUB239" s="1"/>
      <c r="EUC239" s="1"/>
      <c r="EUD239" s="1"/>
      <c r="EUE239" s="1"/>
      <c r="EUF239" s="1"/>
      <c r="EUG239" s="1"/>
      <c r="EUH239" s="1"/>
      <c r="EUI239" s="1"/>
      <c r="EUJ239" s="1"/>
      <c r="EUK239" s="1"/>
      <c r="EUL239" s="1"/>
      <c r="EUM239" s="1"/>
      <c r="EUN239" s="1"/>
      <c r="EUO239" s="1"/>
      <c r="EUP239" s="1"/>
      <c r="EUQ239" s="1"/>
      <c r="EUR239" s="1"/>
      <c r="EUS239" s="1"/>
      <c r="EUT239" s="1"/>
      <c r="EUU239" s="1"/>
      <c r="EUV239" s="1"/>
      <c r="EUW239" s="1"/>
      <c r="EUX239" s="1"/>
      <c r="EUY239" s="1"/>
      <c r="EUZ239" s="1"/>
      <c r="EVA239" s="1"/>
      <c r="EVB239" s="1"/>
      <c r="EVC239" s="1"/>
      <c r="EVD239" s="1"/>
      <c r="EVE239" s="1"/>
      <c r="EVF239" s="1"/>
      <c r="EVG239" s="1"/>
      <c r="EVH239" s="1"/>
      <c r="EVI239" s="1"/>
      <c r="EVJ239" s="1"/>
      <c r="EVK239" s="1"/>
      <c r="EVL239" s="1"/>
      <c r="EVM239" s="1"/>
      <c r="EVN239" s="1"/>
      <c r="EVO239" s="1"/>
      <c r="EVP239" s="1"/>
      <c r="EVQ239" s="1"/>
      <c r="EVR239" s="1"/>
      <c r="EVS239" s="1"/>
      <c r="EVT239" s="1"/>
      <c r="EVU239" s="1"/>
      <c r="EVV239" s="1"/>
      <c r="EVW239" s="1"/>
      <c r="EVX239" s="1"/>
      <c r="EVY239" s="1"/>
      <c r="EVZ239" s="1"/>
      <c r="EWA239" s="1"/>
      <c r="EWB239" s="1"/>
      <c r="EWC239" s="1"/>
      <c r="EWD239" s="1"/>
      <c r="EWE239" s="1"/>
      <c r="EWF239" s="1"/>
      <c r="EWG239" s="1"/>
      <c r="EWH239" s="1"/>
      <c r="EWI239" s="1"/>
      <c r="EWJ239" s="1"/>
      <c r="EWK239" s="1"/>
      <c r="EWL239" s="1"/>
      <c r="EWM239" s="1"/>
      <c r="EWN239" s="1"/>
      <c r="EWO239" s="1"/>
      <c r="EWP239" s="1"/>
      <c r="EWQ239" s="1"/>
      <c r="EWR239" s="1"/>
      <c r="EWS239" s="1"/>
      <c r="EWT239" s="1"/>
      <c r="EWU239" s="1"/>
      <c r="EWV239" s="1"/>
      <c r="EWW239" s="1"/>
      <c r="EWX239" s="1"/>
      <c r="EWY239" s="1"/>
      <c r="EWZ239" s="1"/>
      <c r="EXA239" s="1"/>
      <c r="EXB239" s="1"/>
      <c r="EXC239" s="1"/>
      <c r="EXD239" s="1"/>
      <c r="EXE239" s="1"/>
      <c r="EXF239" s="1"/>
      <c r="EXG239" s="1"/>
      <c r="EXH239" s="1"/>
      <c r="EXI239" s="1"/>
      <c r="EXJ239" s="1"/>
      <c r="EXK239" s="1"/>
      <c r="EXL239" s="1"/>
      <c r="EXM239" s="1"/>
      <c r="EXN239" s="1"/>
      <c r="EXO239" s="1"/>
      <c r="EXP239" s="1"/>
      <c r="EXQ239" s="1"/>
      <c r="EXR239" s="1"/>
      <c r="EXS239" s="1"/>
      <c r="EXT239" s="1"/>
      <c r="EXU239" s="1"/>
      <c r="EXV239" s="1"/>
      <c r="EXW239" s="1"/>
      <c r="EXX239" s="1"/>
      <c r="EXY239" s="1"/>
      <c r="EXZ239" s="1"/>
      <c r="EYA239" s="1"/>
      <c r="EYB239" s="1"/>
      <c r="EYC239" s="1"/>
      <c r="EYD239" s="1"/>
      <c r="EYE239" s="1"/>
      <c r="EYF239" s="1"/>
      <c r="EYG239" s="1"/>
      <c r="EYH239" s="1"/>
      <c r="EYI239" s="1"/>
      <c r="EYJ239" s="1"/>
      <c r="EYK239" s="1"/>
      <c r="EYL239" s="1"/>
      <c r="EYM239" s="1"/>
      <c r="EYN239" s="1"/>
      <c r="EYO239" s="1"/>
      <c r="EYP239" s="1"/>
      <c r="EYQ239" s="1"/>
      <c r="EYR239" s="1"/>
      <c r="EYS239" s="1"/>
      <c r="EYT239" s="1"/>
      <c r="EYU239" s="1"/>
      <c r="EYV239" s="1"/>
      <c r="EYW239" s="1"/>
      <c r="EYX239" s="1"/>
      <c r="EYY239" s="1"/>
      <c r="EYZ239" s="1"/>
      <c r="EZA239" s="1"/>
      <c r="EZB239" s="1"/>
      <c r="EZC239" s="1"/>
      <c r="EZD239" s="1"/>
      <c r="EZE239" s="1"/>
      <c r="EZF239" s="1"/>
      <c r="EZG239" s="1"/>
      <c r="EZH239" s="1"/>
      <c r="EZI239" s="1"/>
      <c r="EZJ239" s="1"/>
      <c r="EZK239" s="1"/>
      <c r="EZL239" s="1"/>
      <c r="EZM239" s="1"/>
      <c r="EZN239" s="1"/>
      <c r="EZO239" s="1"/>
      <c r="EZP239" s="1"/>
      <c r="EZQ239" s="1"/>
      <c r="EZR239" s="1"/>
      <c r="EZS239" s="1"/>
      <c r="EZT239" s="1"/>
      <c r="EZU239" s="1"/>
      <c r="EZV239" s="1"/>
      <c r="EZW239" s="1"/>
      <c r="EZX239" s="1"/>
      <c r="EZY239" s="1"/>
      <c r="EZZ239" s="1"/>
      <c r="FAA239" s="1"/>
      <c r="FAB239" s="1"/>
      <c r="FAC239" s="1"/>
      <c r="FAD239" s="1"/>
      <c r="FAE239" s="1"/>
      <c r="FAF239" s="1"/>
      <c r="FAG239" s="1"/>
      <c r="FAH239" s="1"/>
      <c r="FAI239" s="1"/>
      <c r="FAJ239" s="1"/>
      <c r="FAK239" s="1"/>
      <c r="FAL239" s="1"/>
      <c r="FAM239" s="1"/>
      <c r="FAN239" s="1"/>
      <c r="FAO239" s="1"/>
      <c r="FAP239" s="1"/>
      <c r="FAQ239" s="1"/>
      <c r="FAR239" s="1"/>
      <c r="FAS239" s="1"/>
      <c r="FAT239" s="1"/>
      <c r="FAU239" s="1"/>
      <c r="FAV239" s="1"/>
      <c r="FAW239" s="1"/>
      <c r="FAX239" s="1"/>
      <c r="FAY239" s="1"/>
      <c r="FAZ239" s="1"/>
      <c r="FBA239" s="1"/>
      <c r="FBB239" s="1"/>
      <c r="FBC239" s="1"/>
      <c r="FBD239" s="1"/>
      <c r="FBE239" s="1"/>
      <c r="FBF239" s="1"/>
      <c r="FBG239" s="1"/>
      <c r="FBH239" s="1"/>
      <c r="FBI239" s="1"/>
      <c r="FBJ239" s="1"/>
      <c r="FBK239" s="1"/>
      <c r="FBL239" s="1"/>
      <c r="FBM239" s="1"/>
      <c r="FBN239" s="1"/>
      <c r="FBO239" s="1"/>
      <c r="FBP239" s="1"/>
      <c r="FBQ239" s="1"/>
      <c r="FBR239" s="1"/>
      <c r="FBS239" s="1"/>
      <c r="FBT239" s="1"/>
      <c r="FBU239" s="1"/>
      <c r="FBV239" s="1"/>
      <c r="FBW239" s="1"/>
      <c r="FBX239" s="1"/>
      <c r="FBY239" s="1"/>
      <c r="FBZ239" s="1"/>
      <c r="FCA239" s="1"/>
      <c r="FCB239" s="1"/>
      <c r="FCC239" s="1"/>
      <c r="FCD239" s="1"/>
      <c r="FCE239" s="1"/>
      <c r="FCF239" s="1"/>
      <c r="FCG239" s="1"/>
      <c r="FCH239" s="1"/>
      <c r="FCI239" s="1"/>
      <c r="FCJ239" s="1"/>
      <c r="FCK239" s="1"/>
      <c r="FCL239" s="1"/>
      <c r="FCM239" s="1"/>
      <c r="FCN239" s="1"/>
      <c r="FCO239" s="1"/>
      <c r="FCP239" s="1"/>
      <c r="FCQ239" s="1"/>
      <c r="FCR239" s="1"/>
      <c r="FCS239" s="1"/>
      <c r="FCT239" s="1"/>
      <c r="FCU239" s="1"/>
      <c r="FCV239" s="1"/>
      <c r="FCW239" s="1"/>
      <c r="FCX239" s="1"/>
      <c r="FCY239" s="1"/>
      <c r="FCZ239" s="1"/>
      <c r="FDA239" s="1"/>
      <c r="FDB239" s="1"/>
      <c r="FDC239" s="1"/>
      <c r="FDD239" s="1"/>
      <c r="FDE239" s="1"/>
      <c r="FDF239" s="1"/>
      <c r="FDG239" s="1"/>
      <c r="FDH239" s="1"/>
      <c r="FDI239" s="1"/>
      <c r="FDJ239" s="1"/>
      <c r="FDK239" s="1"/>
      <c r="FDL239" s="1"/>
      <c r="FDM239" s="1"/>
      <c r="FDN239" s="1"/>
      <c r="FDO239" s="1"/>
      <c r="FDP239" s="1"/>
      <c r="FDQ239" s="1"/>
      <c r="FDR239" s="1"/>
      <c r="FDS239" s="1"/>
      <c r="FDT239" s="1"/>
      <c r="FDU239" s="1"/>
      <c r="FDV239" s="1"/>
      <c r="FDW239" s="1"/>
      <c r="FDX239" s="1"/>
      <c r="FDY239" s="1"/>
      <c r="FDZ239" s="1"/>
      <c r="FEA239" s="1"/>
      <c r="FEB239" s="1"/>
      <c r="FEC239" s="1"/>
      <c r="FED239" s="1"/>
      <c r="FEE239" s="1"/>
      <c r="FEF239" s="1"/>
      <c r="FEG239" s="1"/>
      <c r="FEH239" s="1"/>
      <c r="FEI239" s="1"/>
      <c r="FEJ239" s="1"/>
      <c r="FEK239" s="1"/>
      <c r="FEL239" s="1"/>
      <c r="FEM239" s="1"/>
      <c r="FEN239" s="1"/>
      <c r="FEO239" s="1"/>
      <c r="FEP239" s="1"/>
      <c r="FEQ239" s="1"/>
      <c r="FER239" s="1"/>
      <c r="FES239" s="1"/>
      <c r="FET239" s="1"/>
      <c r="FEU239" s="1"/>
      <c r="FEV239" s="1"/>
      <c r="FEW239" s="1"/>
      <c r="FEX239" s="1"/>
      <c r="FEY239" s="1"/>
      <c r="FEZ239" s="1"/>
      <c r="FFA239" s="1"/>
      <c r="FFB239" s="1"/>
      <c r="FFC239" s="1"/>
      <c r="FFD239" s="1"/>
      <c r="FFE239" s="1"/>
      <c r="FFF239" s="1"/>
      <c r="FFG239" s="1"/>
      <c r="FFH239" s="1"/>
      <c r="FFI239" s="1"/>
      <c r="FFJ239" s="1"/>
      <c r="FFK239" s="1"/>
      <c r="FFL239" s="1"/>
      <c r="FFM239" s="1"/>
      <c r="FFN239" s="1"/>
      <c r="FFO239" s="1"/>
      <c r="FFP239" s="1"/>
      <c r="FFQ239" s="1"/>
      <c r="FFR239" s="1"/>
      <c r="FFS239" s="1"/>
      <c r="FFT239" s="1"/>
      <c r="FFU239" s="1"/>
      <c r="FFV239" s="1"/>
      <c r="FFW239" s="1"/>
      <c r="FFX239" s="1"/>
      <c r="FFY239" s="1"/>
      <c r="FFZ239" s="1"/>
      <c r="FGA239" s="1"/>
      <c r="FGB239" s="1"/>
      <c r="FGC239" s="1"/>
      <c r="FGD239" s="1"/>
      <c r="FGE239" s="1"/>
      <c r="FGF239" s="1"/>
      <c r="FGG239" s="1"/>
      <c r="FGH239" s="1"/>
      <c r="FGI239" s="1"/>
      <c r="FGJ239" s="1"/>
      <c r="FGK239" s="1"/>
      <c r="FGL239" s="1"/>
      <c r="FGM239" s="1"/>
      <c r="FGN239" s="1"/>
      <c r="FGO239" s="1"/>
      <c r="FGP239" s="1"/>
      <c r="FGQ239" s="1"/>
      <c r="FGR239" s="1"/>
      <c r="FGS239" s="1"/>
      <c r="FGT239" s="1"/>
      <c r="FGU239" s="1"/>
      <c r="FGV239" s="1"/>
      <c r="FGW239" s="1"/>
      <c r="FGX239" s="1"/>
      <c r="FGY239" s="1"/>
      <c r="FGZ239" s="1"/>
      <c r="FHA239" s="1"/>
      <c r="FHB239" s="1"/>
      <c r="FHC239" s="1"/>
      <c r="FHD239" s="1"/>
      <c r="FHE239" s="1"/>
      <c r="FHF239" s="1"/>
      <c r="FHG239" s="1"/>
      <c r="FHH239" s="1"/>
      <c r="FHI239" s="1"/>
      <c r="FHJ239" s="1"/>
      <c r="FHK239" s="1"/>
      <c r="FHL239" s="1"/>
      <c r="FHM239" s="1"/>
      <c r="FHN239" s="1"/>
      <c r="FHO239" s="1"/>
      <c r="FHP239" s="1"/>
      <c r="FHQ239" s="1"/>
      <c r="FHR239" s="1"/>
      <c r="FHS239" s="1"/>
      <c r="FHT239" s="1"/>
      <c r="FHU239" s="1"/>
      <c r="FHV239" s="1"/>
      <c r="FHW239" s="1"/>
      <c r="FHX239" s="1"/>
      <c r="FHY239" s="1"/>
      <c r="FHZ239" s="1"/>
      <c r="FIA239" s="1"/>
      <c r="FIB239" s="1"/>
      <c r="FIC239" s="1"/>
      <c r="FID239" s="1"/>
      <c r="FIE239" s="1"/>
      <c r="FIF239" s="1"/>
      <c r="FIG239" s="1"/>
      <c r="FIH239" s="1"/>
      <c r="FII239" s="1"/>
      <c r="FIJ239" s="1"/>
      <c r="FIK239" s="1"/>
      <c r="FIL239" s="1"/>
      <c r="FIM239" s="1"/>
      <c r="FIN239" s="1"/>
      <c r="FIO239" s="1"/>
      <c r="FIP239" s="1"/>
      <c r="FIQ239" s="1"/>
      <c r="FIR239" s="1"/>
      <c r="FIS239" s="1"/>
      <c r="FIT239" s="1"/>
      <c r="FIU239" s="1"/>
      <c r="FIV239" s="1"/>
      <c r="FIW239" s="1"/>
      <c r="FIX239" s="1"/>
      <c r="FIY239" s="1"/>
      <c r="FIZ239" s="1"/>
      <c r="FJA239" s="1"/>
      <c r="FJB239" s="1"/>
      <c r="FJC239" s="1"/>
      <c r="FJD239" s="1"/>
      <c r="FJE239" s="1"/>
      <c r="FJF239" s="1"/>
      <c r="FJG239" s="1"/>
      <c r="FJH239" s="1"/>
      <c r="FJI239" s="1"/>
      <c r="FJJ239" s="1"/>
      <c r="FJK239" s="1"/>
      <c r="FJL239" s="1"/>
      <c r="FJM239" s="1"/>
      <c r="FJN239" s="1"/>
      <c r="FJO239" s="1"/>
      <c r="FJP239" s="1"/>
      <c r="FJQ239" s="1"/>
      <c r="FJR239" s="1"/>
      <c r="FJS239" s="1"/>
      <c r="FJT239" s="1"/>
      <c r="FJU239" s="1"/>
      <c r="FJV239" s="1"/>
      <c r="FJW239" s="1"/>
      <c r="FJX239" s="1"/>
      <c r="FJY239" s="1"/>
      <c r="FJZ239" s="1"/>
      <c r="FKA239" s="1"/>
      <c r="FKB239" s="1"/>
      <c r="FKC239" s="1"/>
      <c r="FKD239" s="1"/>
      <c r="FKE239" s="1"/>
      <c r="FKF239" s="1"/>
      <c r="FKG239" s="1"/>
      <c r="FKH239" s="1"/>
      <c r="FKI239" s="1"/>
      <c r="FKJ239" s="1"/>
      <c r="FKK239" s="1"/>
      <c r="FKL239" s="1"/>
      <c r="FKM239" s="1"/>
      <c r="FKN239" s="1"/>
      <c r="FKO239" s="1"/>
      <c r="FKP239" s="1"/>
      <c r="FKQ239" s="1"/>
      <c r="FKR239" s="1"/>
      <c r="FKS239" s="1"/>
      <c r="FKT239" s="1"/>
      <c r="FKU239" s="1"/>
      <c r="FKV239" s="1"/>
      <c r="FKW239" s="1"/>
      <c r="FKX239" s="1"/>
      <c r="FKY239" s="1"/>
      <c r="FKZ239" s="1"/>
      <c r="FLA239" s="1"/>
      <c r="FLB239" s="1"/>
      <c r="FLC239" s="1"/>
      <c r="FLD239" s="1"/>
      <c r="FLE239" s="1"/>
      <c r="FLF239" s="1"/>
      <c r="FLG239" s="1"/>
      <c r="FLH239" s="1"/>
      <c r="FLI239" s="1"/>
      <c r="FLJ239" s="1"/>
      <c r="FLK239" s="1"/>
      <c r="FLL239" s="1"/>
      <c r="FLM239" s="1"/>
      <c r="FLN239" s="1"/>
      <c r="FLO239" s="1"/>
      <c r="FLP239" s="1"/>
      <c r="FLQ239" s="1"/>
      <c r="FLR239" s="1"/>
      <c r="FLS239" s="1"/>
      <c r="FLT239" s="1"/>
      <c r="FLU239" s="1"/>
      <c r="FLV239" s="1"/>
      <c r="FLW239" s="1"/>
      <c r="FLX239" s="1"/>
      <c r="FLY239" s="1"/>
      <c r="FLZ239" s="1"/>
      <c r="FMA239" s="1"/>
      <c r="FMB239" s="1"/>
      <c r="FMC239" s="1"/>
      <c r="FMD239" s="1"/>
      <c r="FME239" s="1"/>
      <c r="FMF239" s="1"/>
      <c r="FMG239" s="1"/>
      <c r="FMH239" s="1"/>
      <c r="FMI239" s="1"/>
      <c r="FMJ239" s="1"/>
      <c r="FMK239" s="1"/>
      <c r="FML239" s="1"/>
      <c r="FMM239" s="1"/>
      <c r="FMN239" s="1"/>
      <c r="FMO239" s="1"/>
      <c r="FMP239" s="1"/>
      <c r="FMQ239" s="1"/>
      <c r="FMR239" s="1"/>
      <c r="FMS239" s="1"/>
      <c r="FMT239" s="1"/>
      <c r="FMU239" s="1"/>
      <c r="FMV239" s="1"/>
      <c r="FMW239" s="1"/>
      <c r="FMX239" s="1"/>
      <c r="FMY239" s="1"/>
      <c r="FMZ239" s="1"/>
      <c r="FNA239" s="1"/>
      <c r="FNB239" s="1"/>
      <c r="FNC239" s="1"/>
      <c r="FND239" s="1"/>
      <c r="FNE239" s="1"/>
      <c r="FNF239" s="1"/>
      <c r="FNG239" s="1"/>
      <c r="FNH239" s="1"/>
      <c r="FNI239" s="1"/>
      <c r="FNJ239" s="1"/>
      <c r="FNK239" s="1"/>
      <c r="FNL239" s="1"/>
      <c r="FNM239" s="1"/>
      <c r="FNN239" s="1"/>
      <c r="FNO239" s="1"/>
      <c r="FNP239" s="1"/>
      <c r="FNQ239" s="1"/>
      <c r="FNR239" s="1"/>
      <c r="FNS239" s="1"/>
      <c r="FNT239" s="1"/>
      <c r="FNU239" s="1"/>
      <c r="FNV239" s="1"/>
      <c r="FNW239" s="1"/>
      <c r="FNX239" s="1"/>
      <c r="FNY239" s="1"/>
      <c r="FNZ239" s="1"/>
      <c r="FOA239" s="1"/>
      <c r="FOB239" s="1"/>
      <c r="FOC239" s="1"/>
      <c r="FOD239" s="1"/>
      <c r="FOE239" s="1"/>
      <c r="FOF239" s="1"/>
      <c r="FOG239" s="1"/>
      <c r="FOH239" s="1"/>
      <c r="FOI239" s="1"/>
      <c r="FOJ239" s="1"/>
      <c r="FOK239" s="1"/>
      <c r="FOL239" s="1"/>
      <c r="FOM239" s="1"/>
      <c r="FON239" s="1"/>
      <c r="FOO239" s="1"/>
      <c r="FOP239" s="1"/>
      <c r="FOQ239" s="1"/>
      <c r="FOR239" s="1"/>
      <c r="FOS239" s="1"/>
      <c r="FOT239" s="1"/>
      <c r="FOU239" s="1"/>
      <c r="FOV239" s="1"/>
      <c r="FOW239" s="1"/>
      <c r="FOX239" s="1"/>
      <c r="FOY239" s="1"/>
      <c r="FOZ239" s="1"/>
      <c r="FPA239" s="1"/>
      <c r="FPB239" s="1"/>
      <c r="FPC239" s="1"/>
      <c r="FPD239" s="1"/>
      <c r="FPE239" s="1"/>
      <c r="FPF239" s="1"/>
      <c r="FPG239" s="1"/>
      <c r="FPH239" s="1"/>
      <c r="FPI239" s="1"/>
      <c r="FPJ239" s="1"/>
      <c r="FPK239" s="1"/>
      <c r="FPL239" s="1"/>
      <c r="FPM239" s="1"/>
      <c r="FPN239" s="1"/>
      <c r="FPO239" s="1"/>
      <c r="FPP239" s="1"/>
      <c r="FPQ239" s="1"/>
      <c r="FPR239" s="1"/>
      <c r="FPS239" s="1"/>
      <c r="FPT239" s="1"/>
      <c r="FPU239" s="1"/>
      <c r="FPV239" s="1"/>
      <c r="FPW239" s="1"/>
      <c r="FPX239" s="1"/>
      <c r="FPY239" s="1"/>
      <c r="FPZ239" s="1"/>
      <c r="FQA239" s="1"/>
      <c r="FQB239" s="1"/>
      <c r="FQC239" s="1"/>
      <c r="FQD239" s="1"/>
      <c r="FQE239" s="1"/>
      <c r="FQF239" s="1"/>
      <c r="FQG239" s="1"/>
      <c r="FQH239" s="1"/>
      <c r="FQI239" s="1"/>
      <c r="FQJ239" s="1"/>
      <c r="FQK239" s="1"/>
      <c r="FQL239" s="1"/>
      <c r="FQM239" s="1"/>
      <c r="FQN239" s="1"/>
      <c r="FQO239" s="1"/>
      <c r="FQP239" s="1"/>
      <c r="FQQ239" s="1"/>
      <c r="FQR239" s="1"/>
      <c r="FQS239" s="1"/>
      <c r="FQT239" s="1"/>
      <c r="FQU239" s="1"/>
      <c r="FQV239" s="1"/>
      <c r="FQW239" s="1"/>
      <c r="FQX239" s="1"/>
      <c r="FQY239" s="1"/>
      <c r="FQZ239" s="1"/>
      <c r="FRA239" s="1"/>
      <c r="FRB239" s="1"/>
      <c r="FRC239" s="1"/>
      <c r="FRD239" s="1"/>
      <c r="FRE239" s="1"/>
      <c r="FRF239" s="1"/>
      <c r="FRG239" s="1"/>
      <c r="FRH239" s="1"/>
      <c r="FRI239" s="1"/>
      <c r="FRJ239" s="1"/>
      <c r="FRK239" s="1"/>
      <c r="FRL239" s="1"/>
      <c r="FRM239" s="1"/>
      <c r="FRN239" s="1"/>
      <c r="FRO239" s="1"/>
      <c r="FRP239" s="1"/>
      <c r="FRQ239" s="1"/>
      <c r="FRR239" s="1"/>
      <c r="FRS239" s="1"/>
      <c r="FRT239" s="1"/>
      <c r="FRU239" s="1"/>
      <c r="FRV239" s="1"/>
      <c r="FRW239" s="1"/>
      <c r="FRX239" s="1"/>
      <c r="FRY239" s="1"/>
      <c r="FRZ239" s="1"/>
      <c r="FSA239" s="1"/>
      <c r="FSB239" s="1"/>
      <c r="FSC239" s="1"/>
      <c r="FSD239" s="1"/>
      <c r="FSE239" s="1"/>
      <c r="FSF239" s="1"/>
      <c r="FSG239" s="1"/>
      <c r="FSH239" s="1"/>
      <c r="FSI239" s="1"/>
      <c r="FSJ239" s="1"/>
      <c r="FSK239" s="1"/>
      <c r="FSL239" s="1"/>
      <c r="FSM239" s="1"/>
      <c r="FSN239" s="1"/>
      <c r="FSO239" s="1"/>
      <c r="FSP239" s="1"/>
      <c r="FSQ239" s="1"/>
      <c r="FSR239" s="1"/>
      <c r="FSS239" s="1"/>
      <c r="FST239" s="1"/>
      <c r="FSU239" s="1"/>
      <c r="FSV239" s="1"/>
      <c r="FSW239" s="1"/>
      <c r="FSX239" s="1"/>
      <c r="FSY239" s="1"/>
      <c r="FSZ239" s="1"/>
      <c r="FTA239" s="1"/>
      <c r="FTB239" s="1"/>
      <c r="FTC239" s="1"/>
      <c r="FTD239" s="1"/>
      <c r="FTE239" s="1"/>
      <c r="FTF239" s="1"/>
      <c r="FTG239" s="1"/>
      <c r="FTH239" s="1"/>
      <c r="FTI239" s="1"/>
      <c r="FTJ239" s="1"/>
      <c r="FTK239" s="1"/>
      <c r="FTL239" s="1"/>
      <c r="FTM239" s="1"/>
      <c r="FTN239" s="1"/>
      <c r="FTO239" s="1"/>
      <c r="FTP239" s="1"/>
      <c r="FTQ239" s="1"/>
      <c r="FTR239" s="1"/>
      <c r="FTS239" s="1"/>
      <c r="FTT239" s="1"/>
      <c r="FTU239" s="1"/>
      <c r="FTV239" s="1"/>
      <c r="FTW239" s="1"/>
      <c r="FTX239" s="1"/>
      <c r="FTY239" s="1"/>
      <c r="FTZ239" s="1"/>
      <c r="FUA239" s="1"/>
      <c r="FUB239" s="1"/>
      <c r="FUC239" s="1"/>
      <c r="FUD239" s="1"/>
      <c r="FUE239" s="1"/>
      <c r="FUF239" s="1"/>
      <c r="FUG239" s="1"/>
      <c r="FUH239" s="1"/>
      <c r="FUI239" s="1"/>
      <c r="FUJ239" s="1"/>
      <c r="FUK239" s="1"/>
      <c r="FUL239" s="1"/>
      <c r="FUM239" s="1"/>
      <c r="FUN239" s="1"/>
      <c r="FUO239" s="1"/>
      <c r="FUP239" s="1"/>
      <c r="FUQ239" s="1"/>
      <c r="FUR239" s="1"/>
      <c r="FUS239" s="1"/>
      <c r="FUT239" s="1"/>
      <c r="FUU239" s="1"/>
      <c r="FUV239" s="1"/>
      <c r="FUW239" s="1"/>
      <c r="FUX239" s="1"/>
      <c r="FUY239" s="1"/>
      <c r="FUZ239" s="1"/>
      <c r="FVA239" s="1"/>
      <c r="FVB239" s="1"/>
      <c r="FVC239" s="1"/>
      <c r="FVD239" s="1"/>
      <c r="FVE239" s="1"/>
      <c r="FVF239" s="1"/>
      <c r="FVG239" s="1"/>
      <c r="FVH239" s="1"/>
      <c r="FVI239" s="1"/>
      <c r="FVJ239" s="1"/>
      <c r="FVK239" s="1"/>
      <c r="FVL239" s="1"/>
      <c r="FVM239" s="1"/>
      <c r="FVN239" s="1"/>
      <c r="FVO239" s="1"/>
      <c r="FVP239" s="1"/>
      <c r="FVQ239" s="1"/>
      <c r="FVR239" s="1"/>
      <c r="FVS239" s="1"/>
      <c r="FVT239" s="1"/>
      <c r="FVU239" s="1"/>
      <c r="FVV239" s="1"/>
      <c r="FVW239" s="1"/>
      <c r="FVX239" s="1"/>
      <c r="FVY239" s="1"/>
      <c r="FVZ239" s="1"/>
      <c r="FWA239" s="1"/>
      <c r="FWB239" s="1"/>
      <c r="FWC239" s="1"/>
      <c r="FWD239" s="1"/>
      <c r="FWE239" s="1"/>
      <c r="FWF239" s="1"/>
      <c r="FWG239" s="1"/>
      <c r="FWH239" s="1"/>
      <c r="FWI239" s="1"/>
      <c r="FWJ239" s="1"/>
      <c r="FWK239" s="1"/>
      <c r="FWL239" s="1"/>
      <c r="FWM239" s="1"/>
      <c r="FWN239" s="1"/>
      <c r="FWO239" s="1"/>
      <c r="FWP239" s="1"/>
      <c r="FWQ239" s="1"/>
      <c r="FWR239" s="1"/>
      <c r="FWS239" s="1"/>
      <c r="FWT239" s="1"/>
      <c r="FWU239" s="1"/>
      <c r="FWV239" s="1"/>
      <c r="FWW239" s="1"/>
      <c r="FWX239" s="1"/>
      <c r="FWY239" s="1"/>
      <c r="FWZ239" s="1"/>
      <c r="FXA239" s="1"/>
      <c r="FXB239" s="1"/>
      <c r="FXC239" s="1"/>
      <c r="FXD239" s="1"/>
      <c r="FXE239" s="1"/>
      <c r="FXF239" s="1"/>
      <c r="FXG239" s="1"/>
      <c r="FXH239" s="1"/>
      <c r="FXI239" s="1"/>
      <c r="FXJ239" s="1"/>
      <c r="FXK239" s="1"/>
      <c r="FXL239" s="1"/>
      <c r="FXM239" s="1"/>
      <c r="FXN239" s="1"/>
      <c r="FXO239" s="1"/>
      <c r="FXP239" s="1"/>
      <c r="FXQ239" s="1"/>
      <c r="FXR239" s="1"/>
      <c r="FXS239" s="1"/>
      <c r="FXT239" s="1"/>
      <c r="FXU239" s="1"/>
      <c r="FXV239" s="1"/>
      <c r="FXW239" s="1"/>
      <c r="FXX239" s="1"/>
      <c r="FXY239" s="1"/>
      <c r="FXZ239" s="1"/>
      <c r="FYA239" s="1"/>
      <c r="FYB239" s="1"/>
      <c r="FYC239" s="1"/>
      <c r="FYD239" s="1"/>
      <c r="FYE239" s="1"/>
      <c r="FYF239" s="1"/>
      <c r="FYG239" s="1"/>
      <c r="FYH239" s="1"/>
      <c r="FYI239" s="1"/>
      <c r="FYJ239" s="1"/>
      <c r="FYK239" s="1"/>
      <c r="FYL239" s="1"/>
      <c r="FYM239" s="1"/>
      <c r="FYN239" s="1"/>
      <c r="FYO239" s="1"/>
      <c r="FYP239" s="1"/>
      <c r="FYQ239" s="1"/>
      <c r="FYR239" s="1"/>
      <c r="FYS239" s="1"/>
      <c r="FYT239" s="1"/>
      <c r="FYU239" s="1"/>
      <c r="FYV239" s="1"/>
      <c r="FYW239" s="1"/>
      <c r="FYX239" s="1"/>
      <c r="FYY239" s="1"/>
      <c r="FYZ239" s="1"/>
      <c r="FZA239" s="1"/>
      <c r="FZB239" s="1"/>
      <c r="FZC239" s="1"/>
      <c r="FZD239" s="1"/>
      <c r="FZE239" s="1"/>
      <c r="FZF239" s="1"/>
      <c r="FZG239" s="1"/>
      <c r="FZH239" s="1"/>
      <c r="FZI239" s="1"/>
      <c r="FZJ239" s="1"/>
      <c r="FZK239" s="1"/>
      <c r="FZL239" s="1"/>
      <c r="FZM239" s="1"/>
      <c r="FZN239" s="1"/>
      <c r="FZO239" s="1"/>
      <c r="FZP239" s="1"/>
      <c r="FZQ239" s="1"/>
      <c r="FZR239" s="1"/>
      <c r="FZS239" s="1"/>
      <c r="FZT239" s="1"/>
      <c r="FZU239" s="1"/>
      <c r="FZV239" s="1"/>
      <c r="FZW239" s="1"/>
      <c r="FZX239" s="1"/>
      <c r="FZY239" s="1"/>
      <c r="FZZ239" s="1"/>
      <c r="GAA239" s="1"/>
      <c r="GAB239" s="1"/>
      <c r="GAC239" s="1"/>
      <c r="GAD239" s="1"/>
      <c r="GAE239" s="1"/>
      <c r="GAF239" s="1"/>
      <c r="GAG239" s="1"/>
      <c r="GAH239" s="1"/>
      <c r="GAI239" s="1"/>
      <c r="GAJ239" s="1"/>
      <c r="GAK239" s="1"/>
      <c r="GAL239" s="1"/>
      <c r="GAM239" s="1"/>
      <c r="GAN239" s="1"/>
      <c r="GAO239" s="1"/>
      <c r="GAP239" s="1"/>
      <c r="GAQ239" s="1"/>
      <c r="GAR239" s="1"/>
      <c r="GAS239" s="1"/>
      <c r="GAT239" s="1"/>
      <c r="GAU239" s="1"/>
      <c r="GAV239" s="1"/>
      <c r="GAW239" s="1"/>
      <c r="GAX239" s="1"/>
      <c r="GAY239" s="1"/>
      <c r="GAZ239" s="1"/>
      <c r="GBA239" s="1"/>
      <c r="GBB239" s="1"/>
      <c r="GBC239" s="1"/>
      <c r="GBD239" s="1"/>
      <c r="GBE239" s="1"/>
      <c r="GBF239" s="1"/>
      <c r="GBG239" s="1"/>
      <c r="GBH239" s="1"/>
      <c r="GBI239" s="1"/>
      <c r="GBJ239" s="1"/>
      <c r="GBK239" s="1"/>
      <c r="GBL239" s="1"/>
      <c r="GBM239" s="1"/>
      <c r="GBN239" s="1"/>
      <c r="GBO239" s="1"/>
      <c r="GBP239" s="1"/>
      <c r="GBQ239" s="1"/>
      <c r="GBR239" s="1"/>
      <c r="GBS239" s="1"/>
      <c r="GBT239" s="1"/>
      <c r="GBU239" s="1"/>
      <c r="GBV239" s="1"/>
      <c r="GBW239" s="1"/>
      <c r="GBX239" s="1"/>
      <c r="GBY239" s="1"/>
      <c r="GBZ239" s="1"/>
      <c r="GCA239" s="1"/>
      <c r="GCB239" s="1"/>
      <c r="GCC239" s="1"/>
      <c r="GCD239" s="1"/>
      <c r="GCE239" s="1"/>
      <c r="GCF239" s="1"/>
      <c r="GCG239" s="1"/>
      <c r="GCH239" s="1"/>
      <c r="GCI239" s="1"/>
      <c r="GCJ239" s="1"/>
      <c r="GCK239" s="1"/>
      <c r="GCL239" s="1"/>
      <c r="GCM239" s="1"/>
      <c r="GCN239" s="1"/>
      <c r="GCO239" s="1"/>
      <c r="GCP239" s="1"/>
      <c r="GCQ239" s="1"/>
      <c r="GCR239" s="1"/>
      <c r="GCS239" s="1"/>
      <c r="GCT239" s="1"/>
      <c r="GCU239" s="1"/>
      <c r="GCV239" s="1"/>
      <c r="GCW239" s="1"/>
      <c r="GCX239" s="1"/>
      <c r="GCY239" s="1"/>
      <c r="GCZ239" s="1"/>
      <c r="GDA239" s="1"/>
      <c r="GDB239" s="1"/>
      <c r="GDC239" s="1"/>
      <c r="GDD239" s="1"/>
      <c r="GDE239" s="1"/>
      <c r="GDF239" s="1"/>
      <c r="GDG239" s="1"/>
      <c r="GDH239" s="1"/>
      <c r="GDI239" s="1"/>
      <c r="GDJ239" s="1"/>
      <c r="GDK239" s="1"/>
      <c r="GDL239" s="1"/>
      <c r="GDM239" s="1"/>
      <c r="GDN239" s="1"/>
      <c r="GDO239" s="1"/>
      <c r="GDP239" s="1"/>
      <c r="GDQ239" s="1"/>
      <c r="GDR239" s="1"/>
      <c r="GDS239" s="1"/>
      <c r="GDT239" s="1"/>
      <c r="GDU239" s="1"/>
      <c r="GDV239" s="1"/>
      <c r="GDW239" s="1"/>
      <c r="GDX239" s="1"/>
      <c r="GDY239" s="1"/>
      <c r="GDZ239" s="1"/>
      <c r="GEA239" s="1"/>
      <c r="GEB239" s="1"/>
      <c r="GEC239" s="1"/>
      <c r="GED239" s="1"/>
      <c r="GEE239" s="1"/>
      <c r="GEF239" s="1"/>
      <c r="GEG239" s="1"/>
      <c r="GEH239" s="1"/>
      <c r="GEI239" s="1"/>
      <c r="GEJ239" s="1"/>
      <c r="GEK239" s="1"/>
      <c r="GEL239" s="1"/>
      <c r="GEM239" s="1"/>
      <c r="GEN239" s="1"/>
      <c r="GEO239" s="1"/>
      <c r="GEP239" s="1"/>
      <c r="GEQ239" s="1"/>
      <c r="GER239" s="1"/>
      <c r="GES239" s="1"/>
      <c r="GET239" s="1"/>
      <c r="GEU239" s="1"/>
      <c r="GEV239" s="1"/>
      <c r="GEW239" s="1"/>
      <c r="GEX239" s="1"/>
      <c r="GEY239" s="1"/>
      <c r="GEZ239" s="1"/>
      <c r="GFA239" s="1"/>
      <c r="GFB239" s="1"/>
      <c r="GFC239" s="1"/>
      <c r="GFD239" s="1"/>
      <c r="GFE239" s="1"/>
      <c r="GFF239" s="1"/>
      <c r="GFG239" s="1"/>
      <c r="GFH239" s="1"/>
      <c r="GFI239" s="1"/>
      <c r="GFJ239" s="1"/>
      <c r="GFK239" s="1"/>
      <c r="GFL239" s="1"/>
      <c r="GFM239" s="1"/>
      <c r="GFN239" s="1"/>
      <c r="GFO239" s="1"/>
      <c r="GFP239" s="1"/>
      <c r="GFQ239" s="1"/>
      <c r="GFR239" s="1"/>
      <c r="GFS239" s="1"/>
      <c r="GFT239" s="1"/>
      <c r="GFU239" s="1"/>
      <c r="GFV239" s="1"/>
      <c r="GFW239" s="1"/>
      <c r="GFX239" s="1"/>
      <c r="GFY239" s="1"/>
      <c r="GFZ239" s="1"/>
      <c r="GGA239" s="1"/>
      <c r="GGB239" s="1"/>
      <c r="GGC239" s="1"/>
      <c r="GGD239" s="1"/>
      <c r="GGE239" s="1"/>
      <c r="GGF239" s="1"/>
      <c r="GGG239" s="1"/>
      <c r="GGH239" s="1"/>
      <c r="GGI239" s="1"/>
      <c r="GGJ239" s="1"/>
      <c r="GGK239" s="1"/>
      <c r="GGL239" s="1"/>
      <c r="GGM239" s="1"/>
      <c r="GGN239" s="1"/>
      <c r="GGO239" s="1"/>
      <c r="GGP239" s="1"/>
      <c r="GGQ239" s="1"/>
      <c r="GGR239" s="1"/>
      <c r="GGS239" s="1"/>
      <c r="GGT239" s="1"/>
      <c r="GGU239" s="1"/>
      <c r="GGV239" s="1"/>
      <c r="GGW239" s="1"/>
      <c r="GGX239" s="1"/>
      <c r="GGY239" s="1"/>
      <c r="GGZ239" s="1"/>
      <c r="GHA239" s="1"/>
      <c r="GHB239" s="1"/>
      <c r="GHC239" s="1"/>
      <c r="GHD239" s="1"/>
      <c r="GHE239" s="1"/>
      <c r="GHF239" s="1"/>
      <c r="GHG239" s="1"/>
      <c r="GHH239" s="1"/>
      <c r="GHI239" s="1"/>
      <c r="GHJ239" s="1"/>
      <c r="GHK239" s="1"/>
      <c r="GHL239" s="1"/>
      <c r="GHM239" s="1"/>
      <c r="GHN239" s="1"/>
      <c r="GHO239" s="1"/>
      <c r="GHP239" s="1"/>
      <c r="GHQ239" s="1"/>
      <c r="GHR239" s="1"/>
      <c r="GHS239" s="1"/>
      <c r="GHT239" s="1"/>
      <c r="GHU239" s="1"/>
      <c r="GHV239" s="1"/>
      <c r="GHW239" s="1"/>
      <c r="GHX239" s="1"/>
      <c r="GHY239" s="1"/>
      <c r="GHZ239" s="1"/>
      <c r="GIA239" s="1"/>
      <c r="GIB239" s="1"/>
      <c r="GIC239" s="1"/>
      <c r="GID239" s="1"/>
      <c r="GIE239" s="1"/>
      <c r="GIF239" s="1"/>
      <c r="GIG239" s="1"/>
      <c r="GIH239" s="1"/>
      <c r="GII239" s="1"/>
      <c r="GIJ239" s="1"/>
      <c r="GIK239" s="1"/>
      <c r="GIL239" s="1"/>
      <c r="GIM239" s="1"/>
      <c r="GIN239" s="1"/>
      <c r="GIO239" s="1"/>
      <c r="GIP239" s="1"/>
      <c r="GIQ239" s="1"/>
      <c r="GIR239" s="1"/>
      <c r="GIS239" s="1"/>
      <c r="GIT239" s="1"/>
      <c r="GIU239" s="1"/>
      <c r="GIV239" s="1"/>
      <c r="GIW239" s="1"/>
      <c r="GIX239" s="1"/>
      <c r="GIY239" s="1"/>
      <c r="GIZ239" s="1"/>
      <c r="GJA239" s="1"/>
      <c r="GJB239" s="1"/>
      <c r="GJC239" s="1"/>
      <c r="GJD239" s="1"/>
      <c r="GJE239" s="1"/>
      <c r="GJF239" s="1"/>
      <c r="GJG239" s="1"/>
      <c r="GJH239" s="1"/>
      <c r="GJI239" s="1"/>
      <c r="GJJ239" s="1"/>
      <c r="GJK239" s="1"/>
      <c r="GJL239" s="1"/>
      <c r="GJM239" s="1"/>
      <c r="GJN239" s="1"/>
      <c r="GJO239" s="1"/>
      <c r="GJP239" s="1"/>
      <c r="GJQ239" s="1"/>
      <c r="GJR239" s="1"/>
      <c r="GJS239" s="1"/>
      <c r="GJT239" s="1"/>
      <c r="GJU239" s="1"/>
      <c r="GJV239" s="1"/>
      <c r="GJW239" s="1"/>
      <c r="GJX239" s="1"/>
      <c r="GJY239" s="1"/>
      <c r="GJZ239" s="1"/>
      <c r="GKA239" s="1"/>
      <c r="GKB239" s="1"/>
      <c r="GKC239" s="1"/>
      <c r="GKD239" s="1"/>
      <c r="GKE239" s="1"/>
      <c r="GKF239" s="1"/>
      <c r="GKG239" s="1"/>
      <c r="GKH239" s="1"/>
      <c r="GKI239" s="1"/>
      <c r="GKJ239" s="1"/>
      <c r="GKK239" s="1"/>
      <c r="GKL239" s="1"/>
      <c r="GKM239" s="1"/>
      <c r="GKN239" s="1"/>
      <c r="GKO239" s="1"/>
      <c r="GKP239" s="1"/>
      <c r="GKQ239" s="1"/>
      <c r="GKR239" s="1"/>
      <c r="GKS239" s="1"/>
      <c r="GKT239" s="1"/>
      <c r="GKU239" s="1"/>
      <c r="GKV239" s="1"/>
      <c r="GKW239" s="1"/>
      <c r="GKX239" s="1"/>
      <c r="GKY239" s="1"/>
      <c r="GKZ239" s="1"/>
      <c r="GLA239" s="1"/>
      <c r="GLB239" s="1"/>
      <c r="GLC239" s="1"/>
      <c r="GLD239" s="1"/>
      <c r="GLE239" s="1"/>
      <c r="GLF239" s="1"/>
      <c r="GLG239" s="1"/>
      <c r="GLH239" s="1"/>
      <c r="GLI239" s="1"/>
      <c r="GLJ239" s="1"/>
      <c r="GLK239" s="1"/>
      <c r="GLL239" s="1"/>
      <c r="GLM239" s="1"/>
      <c r="GLN239" s="1"/>
      <c r="GLO239" s="1"/>
      <c r="GLP239" s="1"/>
      <c r="GLQ239" s="1"/>
      <c r="GLR239" s="1"/>
      <c r="GLS239" s="1"/>
      <c r="GLT239" s="1"/>
      <c r="GLU239" s="1"/>
      <c r="GLV239" s="1"/>
      <c r="GLW239" s="1"/>
      <c r="GLX239" s="1"/>
      <c r="GLY239" s="1"/>
      <c r="GLZ239" s="1"/>
      <c r="GMA239" s="1"/>
      <c r="GMB239" s="1"/>
      <c r="GMC239" s="1"/>
      <c r="GMD239" s="1"/>
      <c r="GME239" s="1"/>
      <c r="GMF239" s="1"/>
      <c r="GMG239" s="1"/>
      <c r="GMH239" s="1"/>
      <c r="GMI239" s="1"/>
      <c r="GMJ239" s="1"/>
      <c r="GMK239" s="1"/>
      <c r="GML239" s="1"/>
      <c r="GMM239" s="1"/>
      <c r="GMN239" s="1"/>
      <c r="GMO239" s="1"/>
      <c r="GMP239" s="1"/>
      <c r="GMQ239" s="1"/>
      <c r="GMR239" s="1"/>
      <c r="GMS239" s="1"/>
      <c r="GMT239" s="1"/>
      <c r="GMU239" s="1"/>
      <c r="GMV239" s="1"/>
      <c r="GMW239" s="1"/>
      <c r="GMX239" s="1"/>
      <c r="GMY239" s="1"/>
      <c r="GMZ239" s="1"/>
      <c r="GNA239" s="1"/>
      <c r="GNB239" s="1"/>
      <c r="GNC239" s="1"/>
      <c r="GND239" s="1"/>
      <c r="GNE239" s="1"/>
      <c r="GNF239" s="1"/>
      <c r="GNG239" s="1"/>
      <c r="GNH239" s="1"/>
      <c r="GNI239" s="1"/>
      <c r="GNJ239" s="1"/>
      <c r="GNK239" s="1"/>
      <c r="GNL239" s="1"/>
      <c r="GNM239" s="1"/>
      <c r="GNN239" s="1"/>
      <c r="GNO239" s="1"/>
      <c r="GNP239" s="1"/>
      <c r="GNQ239" s="1"/>
      <c r="GNR239" s="1"/>
      <c r="GNS239" s="1"/>
      <c r="GNT239" s="1"/>
      <c r="GNU239" s="1"/>
      <c r="GNV239" s="1"/>
      <c r="GNW239" s="1"/>
      <c r="GNX239" s="1"/>
      <c r="GNY239" s="1"/>
      <c r="GNZ239" s="1"/>
      <c r="GOA239" s="1"/>
      <c r="GOB239" s="1"/>
      <c r="GOC239" s="1"/>
      <c r="GOD239" s="1"/>
      <c r="GOE239" s="1"/>
      <c r="GOF239" s="1"/>
      <c r="GOG239" s="1"/>
      <c r="GOH239" s="1"/>
      <c r="GOI239" s="1"/>
      <c r="GOJ239" s="1"/>
      <c r="GOK239" s="1"/>
      <c r="GOL239" s="1"/>
      <c r="GOM239" s="1"/>
      <c r="GON239" s="1"/>
      <c r="GOO239" s="1"/>
      <c r="GOP239" s="1"/>
      <c r="GOQ239" s="1"/>
      <c r="GOR239" s="1"/>
      <c r="GOS239" s="1"/>
      <c r="GOT239" s="1"/>
      <c r="GOU239" s="1"/>
      <c r="GOV239" s="1"/>
      <c r="GOW239" s="1"/>
      <c r="GOX239" s="1"/>
      <c r="GOY239" s="1"/>
      <c r="GOZ239" s="1"/>
      <c r="GPA239" s="1"/>
      <c r="GPB239" s="1"/>
      <c r="GPC239" s="1"/>
      <c r="GPD239" s="1"/>
      <c r="GPE239" s="1"/>
      <c r="GPF239" s="1"/>
      <c r="GPG239" s="1"/>
      <c r="GPH239" s="1"/>
      <c r="GPI239" s="1"/>
      <c r="GPJ239" s="1"/>
      <c r="GPK239" s="1"/>
      <c r="GPL239" s="1"/>
      <c r="GPM239" s="1"/>
      <c r="GPN239" s="1"/>
      <c r="GPO239" s="1"/>
      <c r="GPP239" s="1"/>
      <c r="GPQ239" s="1"/>
      <c r="GPR239" s="1"/>
      <c r="GPS239" s="1"/>
      <c r="GPT239" s="1"/>
      <c r="GPU239" s="1"/>
      <c r="GPV239" s="1"/>
      <c r="GPW239" s="1"/>
      <c r="GPX239" s="1"/>
      <c r="GPY239" s="1"/>
      <c r="GPZ239" s="1"/>
      <c r="GQA239" s="1"/>
      <c r="GQB239" s="1"/>
      <c r="GQC239" s="1"/>
      <c r="GQD239" s="1"/>
      <c r="GQE239" s="1"/>
      <c r="GQF239" s="1"/>
      <c r="GQG239" s="1"/>
      <c r="GQH239" s="1"/>
      <c r="GQI239" s="1"/>
      <c r="GQJ239" s="1"/>
      <c r="GQK239" s="1"/>
      <c r="GQL239" s="1"/>
      <c r="GQM239" s="1"/>
      <c r="GQN239" s="1"/>
      <c r="GQO239" s="1"/>
      <c r="GQP239" s="1"/>
      <c r="GQQ239" s="1"/>
      <c r="GQR239" s="1"/>
      <c r="GQS239" s="1"/>
      <c r="GQT239" s="1"/>
      <c r="GQU239" s="1"/>
      <c r="GQV239" s="1"/>
      <c r="GQW239" s="1"/>
      <c r="GQX239" s="1"/>
      <c r="GQY239" s="1"/>
      <c r="GQZ239" s="1"/>
      <c r="GRA239" s="1"/>
      <c r="GRB239" s="1"/>
      <c r="GRC239" s="1"/>
      <c r="GRD239" s="1"/>
      <c r="GRE239" s="1"/>
      <c r="GRF239" s="1"/>
      <c r="GRG239" s="1"/>
      <c r="GRH239" s="1"/>
      <c r="GRI239" s="1"/>
      <c r="GRJ239" s="1"/>
      <c r="GRK239" s="1"/>
      <c r="GRL239" s="1"/>
      <c r="GRM239" s="1"/>
      <c r="GRN239" s="1"/>
      <c r="GRO239" s="1"/>
      <c r="GRP239" s="1"/>
      <c r="GRQ239" s="1"/>
      <c r="GRR239" s="1"/>
      <c r="GRS239" s="1"/>
      <c r="GRT239" s="1"/>
      <c r="GRU239" s="1"/>
      <c r="GRV239" s="1"/>
      <c r="GRW239" s="1"/>
      <c r="GRX239" s="1"/>
      <c r="GRY239" s="1"/>
      <c r="GRZ239" s="1"/>
      <c r="GSA239" s="1"/>
      <c r="GSB239" s="1"/>
      <c r="GSC239" s="1"/>
      <c r="GSD239" s="1"/>
      <c r="GSE239" s="1"/>
      <c r="GSF239" s="1"/>
      <c r="GSG239" s="1"/>
      <c r="GSH239" s="1"/>
      <c r="GSI239" s="1"/>
      <c r="GSJ239" s="1"/>
      <c r="GSK239" s="1"/>
      <c r="GSL239" s="1"/>
      <c r="GSM239" s="1"/>
      <c r="GSN239" s="1"/>
      <c r="GSO239" s="1"/>
      <c r="GSP239" s="1"/>
      <c r="GSQ239" s="1"/>
      <c r="GSR239" s="1"/>
      <c r="GSS239" s="1"/>
      <c r="GST239" s="1"/>
      <c r="GSU239" s="1"/>
      <c r="GSV239" s="1"/>
      <c r="GSW239" s="1"/>
      <c r="GSX239" s="1"/>
      <c r="GSY239" s="1"/>
      <c r="GSZ239" s="1"/>
      <c r="GTA239" s="1"/>
      <c r="GTB239" s="1"/>
      <c r="GTC239" s="1"/>
      <c r="GTD239" s="1"/>
      <c r="GTE239" s="1"/>
      <c r="GTF239" s="1"/>
      <c r="GTG239" s="1"/>
      <c r="GTH239" s="1"/>
      <c r="GTI239" s="1"/>
      <c r="GTJ239" s="1"/>
      <c r="GTK239" s="1"/>
      <c r="GTL239" s="1"/>
      <c r="GTM239" s="1"/>
      <c r="GTN239" s="1"/>
      <c r="GTO239" s="1"/>
      <c r="GTP239" s="1"/>
      <c r="GTQ239" s="1"/>
      <c r="GTR239" s="1"/>
      <c r="GTS239" s="1"/>
      <c r="GTT239" s="1"/>
      <c r="GTU239" s="1"/>
      <c r="GTV239" s="1"/>
      <c r="GTW239" s="1"/>
      <c r="GTX239" s="1"/>
      <c r="GTY239" s="1"/>
      <c r="GTZ239" s="1"/>
      <c r="GUA239" s="1"/>
      <c r="GUB239" s="1"/>
      <c r="GUC239" s="1"/>
      <c r="GUD239" s="1"/>
      <c r="GUE239" s="1"/>
      <c r="GUF239" s="1"/>
      <c r="GUG239" s="1"/>
      <c r="GUH239" s="1"/>
      <c r="GUI239" s="1"/>
      <c r="GUJ239" s="1"/>
      <c r="GUK239" s="1"/>
      <c r="GUL239" s="1"/>
      <c r="GUM239" s="1"/>
      <c r="GUN239" s="1"/>
      <c r="GUO239" s="1"/>
      <c r="GUP239" s="1"/>
      <c r="GUQ239" s="1"/>
      <c r="GUR239" s="1"/>
      <c r="GUS239" s="1"/>
      <c r="GUT239" s="1"/>
      <c r="GUU239" s="1"/>
      <c r="GUV239" s="1"/>
      <c r="GUW239" s="1"/>
      <c r="GUX239" s="1"/>
      <c r="GUY239" s="1"/>
      <c r="GUZ239" s="1"/>
      <c r="GVA239" s="1"/>
      <c r="GVB239" s="1"/>
      <c r="GVC239" s="1"/>
      <c r="GVD239" s="1"/>
      <c r="GVE239" s="1"/>
      <c r="GVF239" s="1"/>
      <c r="GVG239" s="1"/>
      <c r="GVH239" s="1"/>
      <c r="GVI239" s="1"/>
      <c r="GVJ239" s="1"/>
      <c r="GVK239" s="1"/>
      <c r="GVL239" s="1"/>
      <c r="GVM239" s="1"/>
      <c r="GVN239" s="1"/>
      <c r="GVO239" s="1"/>
      <c r="GVP239" s="1"/>
      <c r="GVQ239" s="1"/>
      <c r="GVR239" s="1"/>
      <c r="GVS239" s="1"/>
      <c r="GVT239" s="1"/>
      <c r="GVU239" s="1"/>
      <c r="GVV239" s="1"/>
      <c r="GVW239" s="1"/>
      <c r="GVX239" s="1"/>
      <c r="GVY239" s="1"/>
      <c r="GVZ239" s="1"/>
      <c r="GWA239" s="1"/>
      <c r="GWB239" s="1"/>
      <c r="GWC239" s="1"/>
      <c r="GWD239" s="1"/>
      <c r="GWE239" s="1"/>
      <c r="GWF239" s="1"/>
      <c r="GWG239" s="1"/>
      <c r="GWH239" s="1"/>
      <c r="GWI239" s="1"/>
      <c r="GWJ239" s="1"/>
      <c r="GWK239" s="1"/>
      <c r="GWL239" s="1"/>
      <c r="GWM239" s="1"/>
      <c r="GWN239" s="1"/>
      <c r="GWO239" s="1"/>
      <c r="GWP239" s="1"/>
      <c r="GWQ239" s="1"/>
      <c r="GWR239" s="1"/>
      <c r="GWS239" s="1"/>
      <c r="GWT239" s="1"/>
      <c r="GWU239" s="1"/>
      <c r="GWV239" s="1"/>
      <c r="GWW239" s="1"/>
      <c r="GWX239" s="1"/>
      <c r="GWY239" s="1"/>
      <c r="GWZ239" s="1"/>
      <c r="GXA239" s="1"/>
      <c r="GXB239" s="1"/>
      <c r="GXC239" s="1"/>
      <c r="GXD239" s="1"/>
      <c r="GXE239" s="1"/>
      <c r="GXF239" s="1"/>
      <c r="GXG239" s="1"/>
      <c r="GXH239" s="1"/>
      <c r="GXI239" s="1"/>
      <c r="GXJ239" s="1"/>
      <c r="GXK239" s="1"/>
      <c r="GXL239" s="1"/>
      <c r="GXM239" s="1"/>
      <c r="GXN239" s="1"/>
      <c r="GXO239" s="1"/>
      <c r="GXP239" s="1"/>
      <c r="GXQ239" s="1"/>
      <c r="GXR239" s="1"/>
      <c r="GXS239" s="1"/>
      <c r="GXT239" s="1"/>
      <c r="GXU239" s="1"/>
      <c r="GXV239" s="1"/>
      <c r="GXW239" s="1"/>
      <c r="GXX239" s="1"/>
      <c r="GXY239" s="1"/>
      <c r="GXZ239" s="1"/>
      <c r="GYA239" s="1"/>
      <c r="GYB239" s="1"/>
      <c r="GYC239" s="1"/>
      <c r="GYD239" s="1"/>
      <c r="GYE239" s="1"/>
      <c r="GYF239" s="1"/>
      <c r="GYG239" s="1"/>
      <c r="GYH239" s="1"/>
      <c r="GYI239" s="1"/>
      <c r="GYJ239" s="1"/>
      <c r="GYK239" s="1"/>
      <c r="GYL239" s="1"/>
      <c r="GYM239" s="1"/>
      <c r="GYN239" s="1"/>
      <c r="GYO239" s="1"/>
      <c r="GYP239" s="1"/>
      <c r="GYQ239" s="1"/>
      <c r="GYR239" s="1"/>
      <c r="GYS239" s="1"/>
      <c r="GYT239" s="1"/>
      <c r="GYU239" s="1"/>
      <c r="GYV239" s="1"/>
      <c r="GYW239" s="1"/>
      <c r="GYX239" s="1"/>
      <c r="GYY239" s="1"/>
      <c r="GYZ239" s="1"/>
      <c r="GZA239" s="1"/>
      <c r="GZB239" s="1"/>
      <c r="GZC239" s="1"/>
      <c r="GZD239" s="1"/>
      <c r="GZE239" s="1"/>
      <c r="GZF239" s="1"/>
      <c r="GZG239" s="1"/>
      <c r="GZH239" s="1"/>
      <c r="GZI239" s="1"/>
      <c r="GZJ239" s="1"/>
      <c r="GZK239" s="1"/>
      <c r="GZL239" s="1"/>
      <c r="GZM239" s="1"/>
      <c r="GZN239" s="1"/>
      <c r="GZO239" s="1"/>
      <c r="GZP239" s="1"/>
      <c r="GZQ239" s="1"/>
      <c r="GZR239" s="1"/>
      <c r="GZS239" s="1"/>
      <c r="GZT239" s="1"/>
      <c r="GZU239" s="1"/>
      <c r="GZV239" s="1"/>
      <c r="GZW239" s="1"/>
      <c r="GZX239" s="1"/>
      <c r="GZY239" s="1"/>
      <c r="GZZ239" s="1"/>
      <c r="HAA239" s="1"/>
      <c r="HAB239" s="1"/>
      <c r="HAC239" s="1"/>
      <c r="HAD239" s="1"/>
      <c r="HAE239" s="1"/>
      <c r="HAF239" s="1"/>
      <c r="HAG239" s="1"/>
      <c r="HAH239" s="1"/>
      <c r="HAI239" s="1"/>
      <c r="HAJ239" s="1"/>
      <c r="HAK239" s="1"/>
      <c r="HAL239" s="1"/>
      <c r="HAM239" s="1"/>
      <c r="HAN239" s="1"/>
      <c r="HAO239" s="1"/>
      <c r="HAP239" s="1"/>
      <c r="HAQ239" s="1"/>
      <c r="HAR239" s="1"/>
      <c r="HAS239" s="1"/>
      <c r="HAT239" s="1"/>
      <c r="HAU239" s="1"/>
      <c r="HAV239" s="1"/>
      <c r="HAW239" s="1"/>
      <c r="HAX239" s="1"/>
      <c r="HAY239" s="1"/>
      <c r="HAZ239" s="1"/>
      <c r="HBA239" s="1"/>
      <c r="HBB239" s="1"/>
      <c r="HBC239" s="1"/>
      <c r="HBD239" s="1"/>
      <c r="HBE239" s="1"/>
      <c r="HBF239" s="1"/>
      <c r="HBG239" s="1"/>
      <c r="HBH239" s="1"/>
      <c r="HBI239" s="1"/>
      <c r="HBJ239" s="1"/>
      <c r="HBK239" s="1"/>
      <c r="HBL239" s="1"/>
      <c r="HBM239" s="1"/>
      <c r="HBN239" s="1"/>
      <c r="HBO239" s="1"/>
      <c r="HBP239" s="1"/>
      <c r="HBQ239" s="1"/>
      <c r="HBR239" s="1"/>
      <c r="HBS239" s="1"/>
      <c r="HBT239" s="1"/>
      <c r="HBU239" s="1"/>
      <c r="HBV239" s="1"/>
      <c r="HBW239" s="1"/>
      <c r="HBX239" s="1"/>
      <c r="HBY239" s="1"/>
      <c r="HBZ239" s="1"/>
      <c r="HCA239" s="1"/>
      <c r="HCB239" s="1"/>
      <c r="HCC239" s="1"/>
      <c r="HCD239" s="1"/>
      <c r="HCE239" s="1"/>
      <c r="HCF239" s="1"/>
      <c r="HCG239" s="1"/>
      <c r="HCH239" s="1"/>
      <c r="HCI239" s="1"/>
      <c r="HCJ239" s="1"/>
      <c r="HCK239" s="1"/>
      <c r="HCL239" s="1"/>
      <c r="HCM239" s="1"/>
      <c r="HCN239" s="1"/>
      <c r="HCO239" s="1"/>
      <c r="HCP239" s="1"/>
      <c r="HCQ239" s="1"/>
      <c r="HCR239" s="1"/>
      <c r="HCS239" s="1"/>
      <c r="HCT239" s="1"/>
      <c r="HCU239" s="1"/>
      <c r="HCV239" s="1"/>
      <c r="HCW239" s="1"/>
      <c r="HCX239" s="1"/>
      <c r="HCY239" s="1"/>
      <c r="HCZ239" s="1"/>
      <c r="HDA239" s="1"/>
      <c r="HDB239" s="1"/>
      <c r="HDC239" s="1"/>
      <c r="HDD239" s="1"/>
      <c r="HDE239" s="1"/>
      <c r="HDF239" s="1"/>
      <c r="HDG239" s="1"/>
      <c r="HDH239" s="1"/>
      <c r="HDI239" s="1"/>
      <c r="HDJ239" s="1"/>
      <c r="HDK239" s="1"/>
      <c r="HDL239" s="1"/>
      <c r="HDM239" s="1"/>
      <c r="HDN239" s="1"/>
      <c r="HDO239" s="1"/>
      <c r="HDP239" s="1"/>
      <c r="HDQ239" s="1"/>
      <c r="HDR239" s="1"/>
      <c r="HDS239" s="1"/>
      <c r="HDT239" s="1"/>
      <c r="HDU239" s="1"/>
      <c r="HDV239" s="1"/>
      <c r="HDW239" s="1"/>
      <c r="HDX239" s="1"/>
      <c r="HDY239" s="1"/>
      <c r="HDZ239" s="1"/>
      <c r="HEA239" s="1"/>
      <c r="HEB239" s="1"/>
      <c r="HEC239" s="1"/>
      <c r="HED239" s="1"/>
      <c r="HEE239" s="1"/>
      <c r="HEF239" s="1"/>
      <c r="HEG239" s="1"/>
      <c r="HEH239" s="1"/>
      <c r="HEI239" s="1"/>
      <c r="HEJ239" s="1"/>
      <c r="HEK239" s="1"/>
      <c r="HEL239" s="1"/>
      <c r="HEM239" s="1"/>
      <c r="HEN239" s="1"/>
      <c r="HEO239" s="1"/>
      <c r="HEP239" s="1"/>
      <c r="HEQ239" s="1"/>
      <c r="HER239" s="1"/>
      <c r="HES239" s="1"/>
      <c r="HET239" s="1"/>
      <c r="HEU239" s="1"/>
      <c r="HEV239" s="1"/>
      <c r="HEW239" s="1"/>
      <c r="HEX239" s="1"/>
      <c r="HEY239" s="1"/>
      <c r="HEZ239" s="1"/>
      <c r="HFA239" s="1"/>
      <c r="HFB239" s="1"/>
      <c r="HFC239" s="1"/>
      <c r="HFD239" s="1"/>
      <c r="HFE239" s="1"/>
      <c r="HFF239" s="1"/>
      <c r="HFG239" s="1"/>
      <c r="HFH239" s="1"/>
      <c r="HFI239" s="1"/>
      <c r="HFJ239" s="1"/>
      <c r="HFK239" s="1"/>
      <c r="HFL239" s="1"/>
      <c r="HFM239" s="1"/>
      <c r="HFN239" s="1"/>
      <c r="HFO239" s="1"/>
      <c r="HFP239" s="1"/>
      <c r="HFQ239" s="1"/>
      <c r="HFR239" s="1"/>
      <c r="HFS239" s="1"/>
      <c r="HFT239" s="1"/>
      <c r="HFU239" s="1"/>
      <c r="HFV239" s="1"/>
      <c r="HFW239" s="1"/>
      <c r="HFX239" s="1"/>
      <c r="HFY239" s="1"/>
      <c r="HFZ239" s="1"/>
      <c r="HGA239" s="1"/>
      <c r="HGB239" s="1"/>
      <c r="HGC239" s="1"/>
      <c r="HGD239" s="1"/>
      <c r="HGE239" s="1"/>
      <c r="HGF239" s="1"/>
      <c r="HGG239" s="1"/>
      <c r="HGH239" s="1"/>
      <c r="HGI239" s="1"/>
      <c r="HGJ239" s="1"/>
      <c r="HGK239" s="1"/>
      <c r="HGL239" s="1"/>
      <c r="HGM239" s="1"/>
      <c r="HGN239" s="1"/>
      <c r="HGO239" s="1"/>
      <c r="HGP239" s="1"/>
      <c r="HGQ239" s="1"/>
      <c r="HGR239" s="1"/>
      <c r="HGS239" s="1"/>
      <c r="HGT239" s="1"/>
      <c r="HGU239" s="1"/>
      <c r="HGV239" s="1"/>
      <c r="HGW239" s="1"/>
      <c r="HGX239" s="1"/>
      <c r="HGY239" s="1"/>
      <c r="HGZ239" s="1"/>
      <c r="HHA239" s="1"/>
      <c r="HHB239" s="1"/>
      <c r="HHC239" s="1"/>
      <c r="HHD239" s="1"/>
      <c r="HHE239" s="1"/>
      <c r="HHF239" s="1"/>
      <c r="HHG239" s="1"/>
      <c r="HHH239" s="1"/>
      <c r="HHI239" s="1"/>
      <c r="HHJ239" s="1"/>
      <c r="HHK239" s="1"/>
      <c r="HHL239" s="1"/>
      <c r="HHM239" s="1"/>
      <c r="HHN239" s="1"/>
      <c r="HHO239" s="1"/>
      <c r="HHP239" s="1"/>
      <c r="HHQ239" s="1"/>
      <c r="HHR239" s="1"/>
      <c r="HHS239" s="1"/>
      <c r="HHT239" s="1"/>
      <c r="HHU239" s="1"/>
      <c r="HHV239" s="1"/>
      <c r="HHW239" s="1"/>
      <c r="HHX239" s="1"/>
      <c r="HHY239" s="1"/>
      <c r="HHZ239" s="1"/>
      <c r="HIA239" s="1"/>
      <c r="HIB239" s="1"/>
      <c r="HIC239" s="1"/>
      <c r="HID239" s="1"/>
      <c r="HIE239" s="1"/>
      <c r="HIF239" s="1"/>
      <c r="HIG239" s="1"/>
      <c r="HIH239" s="1"/>
      <c r="HII239" s="1"/>
      <c r="HIJ239" s="1"/>
      <c r="HIK239" s="1"/>
      <c r="HIL239" s="1"/>
      <c r="HIM239" s="1"/>
      <c r="HIN239" s="1"/>
      <c r="HIO239" s="1"/>
      <c r="HIP239" s="1"/>
      <c r="HIQ239" s="1"/>
      <c r="HIR239" s="1"/>
      <c r="HIS239" s="1"/>
      <c r="HIT239" s="1"/>
      <c r="HIU239" s="1"/>
      <c r="HIV239" s="1"/>
      <c r="HIW239" s="1"/>
      <c r="HIX239" s="1"/>
      <c r="HIY239" s="1"/>
      <c r="HIZ239" s="1"/>
      <c r="HJA239" s="1"/>
      <c r="HJB239" s="1"/>
      <c r="HJC239" s="1"/>
      <c r="HJD239" s="1"/>
      <c r="HJE239" s="1"/>
      <c r="HJF239" s="1"/>
      <c r="HJG239" s="1"/>
      <c r="HJH239" s="1"/>
      <c r="HJI239" s="1"/>
      <c r="HJJ239" s="1"/>
      <c r="HJK239" s="1"/>
      <c r="HJL239" s="1"/>
      <c r="HJM239" s="1"/>
      <c r="HJN239" s="1"/>
      <c r="HJO239" s="1"/>
      <c r="HJP239" s="1"/>
      <c r="HJQ239" s="1"/>
      <c r="HJR239" s="1"/>
      <c r="HJS239" s="1"/>
      <c r="HJT239" s="1"/>
      <c r="HJU239" s="1"/>
      <c r="HJV239" s="1"/>
      <c r="HJW239" s="1"/>
      <c r="HJX239" s="1"/>
      <c r="HJY239" s="1"/>
      <c r="HJZ239" s="1"/>
      <c r="HKA239" s="1"/>
      <c r="HKB239" s="1"/>
      <c r="HKC239" s="1"/>
      <c r="HKD239" s="1"/>
      <c r="HKE239" s="1"/>
      <c r="HKF239" s="1"/>
      <c r="HKG239" s="1"/>
      <c r="HKH239" s="1"/>
      <c r="HKI239" s="1"/>
      <c r="HKJ239" s="1"/>
      <c r="HKK239" s="1"/>
      <c r="HKL239" s="1"/>
      <c r="HKM239" s="1"/>
      <c r="HKN239" s="1"/>
      <c r="HKO239" s="1"/>
      <c r="HKP239" s="1"/>
      <c r="HKQ239" s="1"/>
      <c r="HKR239" s="1"/>
      <c r="HKS239" s="1"/>
      <c r="HKT239" s="1"/>
      <c r="HKU239" s="1"/>
      <c r="HKV239" s="1"/>
      <c r="HKW239" s="1"/>
      <c r="HKX239" s="1"/>
      <c r="HKY239" s="1"/>
      <c r="HKZ239" s="1"/>
      <c r="HLA239" s="1"/>
      <c r="HLB239" s="1"/>
      <c r="HLC239" s="1"/>
      <c r="HLD239" s="1"/>
      <c r="HLE239" s="1"/>
      <c r="HLF239" s="1"/>
      <c r="HLG239" s="1"/>
      <c r="HLH239" s="1"/>
      <c r="HLI239" s="1"/>
      <c r="HLJ239" s="1"/>
      <c r="HLK239" s="1"/>
      <c r="HLL239" s="1"/>
      <c r="HLM239" s="1"/>
      <c r="HLN239" s="1"/>
      <c r="HLO239" s="1"/>
      <c r="HLP239" s="1"/>
      <c r="HLQ239" s="1"/>
      <c r="HLR239" s="1"/>
      <c r="HLS239" s="1"/>
      <c r="HLT239" s="1"/>
      <c r="HLU239" s="1"/>
      <c r="HLV239" s="1"/>
      <c r="HLW239" s="1"/>
      <c r="HLX239" s="1"/>
      <c r="HLY239" s="1"/>
      <c r="HLZ239" s="1"/>
      <c r="HMA239" s="1"/>
      <c r="HMB239" s="1"/>
      <c r="HMC239" s="1"/>
      <c r="HMD239" s="1"/>
      <c r="HME239" s="1"/>
      <c r="HMF239" s="1"/>
      <c r="HMG239" s="1"/>
      <c r="HMH239" s="1"/>
      <c r="HMI239" s="1"/>
      <c r="HMJ239" s="1"/>
      <c r="HMK239" s="1"/>
      <c r="HML239" s="1"/>
      <c r="HMM239" s="1"/>
      <c r="HMN239" s="1"/>
      <c r="HMO239" s="1"/>
      <c r="HMP239" s="1"/>
      <c r="HMQ239" s="1"/>
      <c r="HMR239" s="1"/>
      <c r="HMS239" s="1"/>
      <c r="HMT239" s="1"/>
      <c r="HMU239" s="1"/>
      <c r="HMV239" s="1"/>
      <c r="HMW239" s="1"/>
      <c r="HMX239" s="1"/>
      <c r="HMY239" s="1"/>
      <c r="HMZ239" s="1"/>
      <c r="HNA239" s="1"/>
      <c r="HNB239" s="1"/>
      <c r="HNC239" s="1"/>
      <c r="HND239" s="1"/>
      <c r="HNE239" s="1"/>
      <c r="HNF239" s="1"/>
      <c r="HNG239" s="1"/>
      <c r="HNH239" s="1"/>
      <c r="HNI239" s="1"/>
      <c r="HNJ239" s="1"/>
      <c r="HNK239" s="1"/>
      <c r="HNL239" s="1"/>
      <c r="HNM239" s="1"/>
      <c r="HNN239" s="1"/>
      <c r="HNO239" s="1"/>
      <c r="HNP239" s="1"/>
      <c r="HNQ239" s="1"/>
      <c r="HNR239" s="1"/>
      <c r="HNS239" s="1"/>
      <c r="HNT239" s="1"/>
      <c r="HNU239" s="1"/>
      <c r="HNV239" s="1"/>
      <c r="HNW239" s="1"/>
      <c r="HNX239" s="1"/>
      <c r="HNY239" s="1"/>
      <c r="HNZ239" s="1"/>
      <c r="HOA239" s="1"/>
      <c r="HOB239" s="1"/>
      <c r="HOC239" s="1"/>
      <c r="HOD239" s="1"/>
      <c r="HOE239" s="1"/>
      <c r="HOF239" s="1"/>
      <c r="HOG239" s="1"/>
      <c r="HOH239" s="1"/>
      <c r="HOI239" s="1"/>
      <c r="HOJ239" s="1"/>
      <c r="HOK239" s="1"/>
      <c r="HOL239" s="1"/>
      <c r="HOM239" s="1"/>
      <c r="HON239" s="1"/>
      <c r="HOO239" s="1"/>
      <c r="HOP239" s="1"/>
      <c r="HOQ239" s="1"/>
      <c r="HOR239" s="1"/>
      <c r="HOS239" s="1"/>
      <c r="HOT239" s="1"/>
      <c r="HOU239" s="1"/>
      <c r="HOV239" s="1"/>
      <c r="HOW239" s="1"/>
      <c r="HOX239" s="1"/>
      <c r="HOY239" s="1"/>
      <c r="HOZ239" s="1"/>
      <c r="HPA239" s="1"/>
      <c r="HPB239" s="1"/>
      <c r="HPC239" s="1"/>
      <c r="HPD239" s="1"/>
      <c r="HPE239" s="1"/>
      <c r="HPF239" s="1"/>
      <c r="HPG239" s="1"/>
      <c r="HPH239" s="1"/>
      <c r="HPI239" s="1"/>
      <c r="HPJ239" s="1"/>
      <c r="HPK239" s="1"/>
      <c r="HPL239" s="1"/>
      <c r="HPM239" s="1"/>
      <c r="HPN239" s="1"/>
      <c r="HPO239" s="1"/>
      <c r="HPP239" s="1"/>
      <c r="HPQ239" s="1"/>
      <c r="HPR239" s="1"/>
      <c r="HPS239" s="1"/>
      <c r="HPT239" s="1"/>
      <c r="HPU239" s="1"/>
      <c r="HPV239" s="1"/>
      <c r="HPW239" s="1"/>
      <c r="HPX239" s="1"/>
      <c r="HPY239" s="1"/>
      <c r="HPZ239" s="1"/>
      <c r="HQA239" s="1"/>
      <c r="HQB239" s="1"/>
      <c r="HQC239" s="1"/>
      <c r="HQD239" s="1"/>
      <c r="HQE239" s="1"/>
      <c r="HQF239" s="1"/>
      <c r="HQG239" s="1"/>
      <c r="HQH239" s="1"/>
      <c r="HQI239" s="1"/>
      <c r="HQJ239" s="1"/>
      <c r="HQK239" s="1"/>
      <c r="HQL239" s="1"/>
      <c r="HQM239" s="1"/>
      <c r="HQN239" s="1"/>
      <c r="HQO239" s="1"/>
      <c r="HQP239" s="1"/>
      <c r="HQQ239" s="1"/>
      <c r="HQR239" s="1"/>
      <c r="HQS239" s="1"/>
      <c r="HQT239" s="1"/>
      <c r="HQU239" s="1"/>
      <c r="HQV239" s="1"/>
      <c r="HQW239" s="1"/>
      <c r="HQX239" s="1"/>
      <c r="HQY239" s="1"/>
      <c r="HQZ239" s="1"/>
      <c r="HRA239" s="1"/>
      <c r="HRB239" s="1"/>
      <c r="HRC239" s="1"/>
      <c r="HRD239" s="1"/>
      <c r="HRE239" s="1"/>
      <c r="HRF239" s="1"/>
      <c r="HRG239" s="1"/>
      <c r="HRH239" s="1"/>
      <c r="HRI239" s="1"/>
      <c r="HRJ239" s="1"/>
      <c r="HRK239" s="1"/>
      <c r="HRL239" s="1"/>
      <c r="HRM239" s="1"/>
      <c r="HRN239" s="1"/>
      <c r="HRO239" s="1"/>
      <c r="HRP239" s="1"/>
      <c r="HRQ239" s="1"/>
      <c r="HRR239" s="1"/>
      <c r="HRS239" s="1"/>
      <c r="HRT239" s="1"/>
      <c r="HRU239" s="1"/>
      <c r="HRV239" s="1"/>
      <c r="HRW239" s="1"/>
      <c r="HRX239" s="1"/>
      <c r="HRY239" s="1"/>
      <c r="HRZ239" s="1"/>
      <c r="HSA239" s="1"/>
      <c r="HSB239" s="1"/>
      <c r="HSC239" s="1"/>
      <c r="HSD239" s="1"/>
      <c r="HSE239" s="1"/>
      <c r="HSF239" s="1"/>
      <c r="HSG239" s="1"/>
      <c r="HSH239" s="1"/>
      <c r="HSI239" s="1"/>
      <c r="HSJ239" s="1"/>
      <c r="HSK239" s="1"/>
      <c r="HSL239" s="1"/>
      <c r="HSM239" s="1"/>
      <c r="HSN239" s="1"/>
      <c r="HSO239" s="1"/>
      <c r="HSP239" s="1"/>
      <c r="HSQ239" s="1"/>
      <c r="HSR239" s="1"/>
      <c r="HSS239" s="1"/>
      <c r="HST239" s="1"/>
      <c r="HSU239" s="1"/>
      <c r="HSV239" s="1"/>
      <c r="HSW239" s="1"/>
      <c r="HSX239" s="1"/>
      <c r="HSY239" s="1"/>
      <c r="HSZ239" s="1"/>
      <c r="HTA239" s="1"/>
      <c r="HTB239" s="1"/>
      <c r="HTC239" s="1"/>
      <c r="HTD239" s="1"/>
      <c r="HTE239" s="1"/>
      <c r="HTF239" s="1"/>
      <c r="HTG239" s="1"/>
      <c r="HTH239" s="1"/>
      <c r="HTI239" s="1"/>
      <c r="HTJ239" s="1"/>
      <c r="HTK239" s="1"/>
      <c r="HTL239" s="1"/>
      <c r="HTM239" s="1"/>
      <c r="HTN239" s="1"/>
      <c r="HTO239" s="1"/>
      <c r="HTP239" s="1"/>
      <c r="HTQ239" s="1"/>
      <c r="HTR239" s="1"/>
      <c r="HTS239" s="1"/>
      <c r="HTT239" s="1"/>
      <c r="HTU239" s="1"/>
      <c r="HTV239" s="1"/>
      <c r="HTW239" s="1"/>
      <c r="HTX239" s="1"/>
      <c r="HTY239" s="1"/>
      <c r="HTZ239" s="1"/>
      <c r="HUA239" s="1"/>
      <c r="HUB239" s="1"/>
      <c r="HUC239" s="1"/>
      <c r="HUD239" s="1"/>
      <c r="HUE239" s="1"/>
      <c r="HUF239" s="1"/>
      <c r="HUG239" s="1"/>
      <c r="HUH239" s="1"/>
      <c r="HUI239" s="1"/>
      <c r="HUJ239" s="1"/>
      <c r="HUK239" s="1"/>
      <c r="HUL239" s="1"/>
      <c r="HUM239" s="1"/>
      <c r="HUN239" s="1"/>
      <c r="HUO239" s="1"/>
      <c r="HUP239" s="1"/>
      <c r="HUQ239" s="1"/>
      <c r="HUR239" s="1"/>
      <c r="HUS239" s="1"/>
      <c r="HUT239" s="1"/>
      <c r="HUU239" s="1"/>
      <c r="HUV239" s="1"/>
      <c r="HUW239" s="1"/>
      <c r="HUX239" s="1"/>
      <c r="HUY239" s="1"/>
      <c r="HUZ239" s="1"/>
      <c r="HVA239" s="1"/>
      <c r="HVB239" s="1"/>
      <c r="HVC239" s="1"/>
      <c r="HVD239" s="1"/>
      <c r="HVE239" s="1"/>
      <c r="HVF239" s="1"/>
      <c r="HVG239" s="1"/>
      <c r="HVH239" s="1"/>
      <c r="HVI239" s="1"/>
      <c r="HVJ239" s="1"/>
      <c r="HVK239" s="1"/>
      <c r="HVL239" s="1"/>
      <c r="HVM239" s="1"/>
      <c r="HVN239" s="1"/>
      <c r="HVO239" s="1"/>
      <c r="HVP239" s="1"/>
      <c r="HVQ239" s="1"/>
      <c r="HVR239" s="1"/>
      <c r="HVS239" s="1"/>
      <c r="HVT239" s="1"/>
      <c r="HVU239" s="1"/>
      <c r="HVV239" s="1"/>
      <c r="HVW239" s="1"/>
      <c r="HVX239" s="1"/>
      <c r="HVY239" s="1"/>
      <c r="HVZ239" s="1"/>
      <c r="HWA239" s="1"/>
      <c r="HWB239" s="1"/>
      <c r="HWC239" s="1"/>
      <c r="HWD239" s="1"/>
      <c r="HWE239" s="1"/>
      <c r="HWF239" s="1"/>
      <c r="HWG239" s="1"/>
      <c r="HWH239" s="1"/>
      <c r="HWI239" s="1"/>
      <c r="HWJ239" s="1"/>
      <c r="HWK239" s="1"/>
      <c r="HWL239" s="1"/>
      <c r="HWM239" s="1"/>
      <c r="HWN239" s="1"/>
      <c r="HWO239" s="1"/>
      <c r="HWP239" s="1"/>
      <c r="HWQ239" s="1"/>
      <c r="HWR239" s="1"/>
      <c r="HWS239" s="1"/>
      <c r="HWT239" s="1"/>
      <c r="HWU239" s="1"/>
      <c r="HWV239" s="1"/>
      <c r="HWW239" s="1"/>
      <c r="HWX239" s="1"/>
      <c r="HWY239" s="1"/>
      <c r="HWZ239" s="1"/>
      <c r="HXA239" s="1"/>
      <c r="HXB239" s="1"/>
      <c r="HXC239" s="1"/>
      <c r="HXD239" s="1"/>
      <c r="HXE239" s="1"/>
      <c r="HXF239" s="1"/>
      <c r="HXG239" s="1"/>
      <c r="HXH239" s="1"/>
      <c r="HXI239" s="1"/>
      <c r="HXJ239" s="1"/>
      <c r="HXK239" s="1"/>
      <c r="HXL239" s="1"/>
      <c r="HXM239" s="1"/>
      <c r="HXN239" s="1"/>
      <c r="HXO239" s="1"/>
      <c r="HXP239" s="1"/>
      <c r="HXQ239" s="1"/>
      <c r="HXR239" s="1"/>
      <c r="HXS239" s="1"/>
      <c r="HXT239" s="1"/>
      <c r="HXU239" s="1"/>
      <c r="HXV239" s="1"/>
      <c r="HXW239" s="1"/>
      <c r="HXX239" s="1"/>
      <c r="HXY239" s="1"/>
      <c r="HXZ239" s="1"/>
      <c r="HYA239" s="1"/>
      <c r="HYB239" s="1"/>
      <c r="HYC239" s="1"/>
      <c r="HYD239" s="1"/>
      <c r="HYE239" s="1"/>
      <c r="HYF239" s="1"/>
      <c r="HYG239" s="1"/>
      <c r="HYH239" s="1"/>
      <c r="HYI239" s="1"/>
      <c r="HYJ239" s="1"/>
      <c r="HYK239" s="1"/>
      <c r="HYL239" s="1"/>
      <c r="HYM239" s="1"/>
      <c r="HYN239" s="1"/>
      <c r="HYO239" s="1"/>
      <c r="HYP239" s="1"/>
      <c r="HYQ239" s="1"/>
      <c r="HYR239" s="1"/>
      <c r="HYS239" s="1"/>
      <c r="HYT239" s="1"/>
      <c r="HYU239" s="1"/>
      <c r="HYV239" s="1"/>
      <c r="HYW239" s="1"/>
      <c r="HYX239" s="1"/>
      <c r="HYY239" s="1"/>
      <c r="HYZ239" s="1"/>
      <c r="HZA239" s="1"/>
      <c r="HZB239" s="1"/>
      <c r="HZC239" s="1"/>
      <c r="HZD239" s="1"/>
      <c r="HZE239" s="1"/>
      <c r="HZF239" s="1"/>
      <c r="HZG239" s="1"/>
      <c r="HZH239" s="1"/>
      <c r="HZI239" s="1"/>
      <c r="HZJ239" s="1"/>
      <c r="HZK239" s="1"/>
      <c r="HZL239" s="1"/>
      <c r="HZM239" s="1"/>
      <c r="HZN239" s="1"/>
      <c r="HZO239" s="1"/>
      <c r="HZP239" s="1"/>
      <c r="HZQ239" s="1"/>
      <c r="HZR239" s="1"/>
      <c r="HZS239" s="1"/>
      <c r="HZT239" s="1"/>
      <c r="HZU239" s="1"/>
      <c r="HZV239" s="1"/>
      <c r="HZW239" s="1"/>
      <c r="HZX239" s="1"/>
      <c r="HZY239" s="1"/>
      <c r="HZZ239" s="1"/>
      <c r="IAA239" s="1"/>
      <c r="IAB239" s="1"/>
      <c r="IAC239" s="1"/>
      <c r="IAD239" s="1"/>
      <c r="IAE239" s="1"/>
      <c r="IAF239" s="1"/>
      <c r="IAG239" s="1"/>
      <c r="IAH239" s="1"/>
      <c r="IAI239" s="1"/>
      <c r="IAJ239" s="1"/>
      <c r="IAK239" s="1"/>
      <c r="IAL239" s="1"/>
      <c r="IAM239" s="1"/>
      <c r="IAN239" s="1"/>
      <c r="IAO239" s="1"/>
      <c r="IAP239" s="1"/>
      <c r="IAQ239" s="1"/>
      <c r="IAR239" s="1"/>
      <c r="IAS239" s="1"/>
      <c r="IAT239" s="1"/>
      <c r="IAU239" s="1"/>
      <c r="IAV239" s="1"/>
      <c r="IAW239" s="1"/>
      <c r="IAX239" s="1"/>
      <c r="IAY239" s="1"/>
      <c r="IAZ239" s="1"/>
      <c r="IBA239" s="1"/>
      <c r="IBB239" s="1"/>
      <c r="IBC239" s="1"/>
      <c r="IBD239" s="1"/>
      <c r="IBE239" s="1"/>
      <c r="IBF239" s="1"/>
      <c r="IBG239" s="1"/>
      <c r="IBH239" s="1"/>
      <c r="IBI239" s="1"/>
      <c r="IBJ239" s="1"/>
      <c r="IBK239" s="1"/>
      <c r="IBL239" s="1"/>
      <c r="IBM239" s="1"/>
      <c r="IBN239" s="1"/>
      <c r="IBO239" s="1"/>
      <c r="IBP239" s="1"/>
      <c r="IBQ239" s="1"/>
      <c r="IBR239" s="1"/>
      <c r="IBS239" s="1"/>
      <c r="IBT239" s="1"/>
      <c r="IBU239" s="1"/>
      <c r="IBV239" s="1"/>
      <c r="IBW239" s="1"/>
      <c r="IBX239" s="1"/>
      <c r="IBY239" s="1"/>
      <c r="IBZ239" s="1"/>
      <c r="ICA239" s="1"/>
      <c r="ICB239" s="1"/>
      <c r="ICC239" s="1"/>
      <c r="ICD239" s="1"/>
      <c r="ICE239" s="1"/>
      <c r="ICF239" s="1"/>
      <c r="ICG239" s="1"/>
      <c r="ICH239" s="1"/>
      <c r="ICI239" s="1"/>
      <c r="ICJ239" s="1"/>
      <c r="ICK239" s="1"/>
      <c r="ICL239" s="1"/>
      <c r="ICM239" s="1"/>
      <c r="ICN239" s="1"/>
      <c r="ICO239" s="1"/>
      <c r="ICP239" s="1"/>
      <c r="ICQ239" s="1"/>
      <c r="ICR239" s="1"/>
      <c r="ICS239" s="1"/>
      <c r="ICT239" s="1"/>
      <c r="ICU239" s="1"/>
      <c r="ICV239" s="1"/>
      <c r="ICW239" s="1"/>
      <c r="ICX239" s="1"/>
      <c r="ICY239" s="1"/>
      <c r="ICZ239" s="1"/>
      <c r="IDA239" s="1"/>
      <c r="IDB239" s="1"/>
      <c r="IDC239" s="1"/>
      <c r="IDD239" s="1"/>
      <c r="IDE239" s="1"/>
      <c r="IDF239" s="1"/>
      <c r="IDG239" s="1"/>
      <c r="IDH239" s="1"/>
      <c r="IDI239" s="1"/>
      <c r="IDJ239" s="1"/>
      <c r="IDK239" s="1"/>
      <c r="IDL239" s="1"/>
      <c r="IDM239" s="1"/>
      <c r="IDN239" s="1"/>
      <c r="IDO239" s="1"/>
      <c r="IDP239" s="1"/>
      <c r="IDQ239" s="1"/>
      <c r="IDR239" s="1"/>
      <c r="IDS239" s="1"/>
      <c r="IDT239" s="1"/>
      <c r="IDU239" s="1"/>
      <c r="IDV239" s="1"/>
      <c r="IDW239" s="1"/>
      <c r="IDX239" s="1"/>
      <c r="IDY239" s="1"/>
      <c r="IDZ239" s="1"/>
      <c r="IEA239" s="1"/>
      <c r="IEB239" s="1"/>
      <c r="IEC239" s="1"/>
      <c r="IED239" s="1"/>
      <c r="IEE239" s="1"/>
      <c r="IEF239" s="1"/>
      <c r="IEG239" s="1"/>
      <c r="IEH239" s="1"/>
      <c r="IEI239" s="1"/>
      <c r="IEJ239" s="1"/>
      <c r="IEK239" s="1"/>
      <c r="IEL239" s="1"/>
      <c r="IEM239" s="1"/>
      <c r="IEN239" s="1"/>
      <c r="IEO239" s="1"/>
      <c r="IEP239" s="1"/>
      <c r="IEQ239" s="1"/>
      <c r="IER239" s="1"/>
      <c r="IES239" s="1"/>
      <c r="IET239" s="1"/>
      <c r="IEU239" s="1"/>
      <c r="IEV239" s="1"/>
      <c r="IEW239" s="1"/>
      <c r="IEX239" s="1"/>
      <c r="IEY239" s="1"/>
      <c r="IEZ239" s="1"/>
      <c r="IFA239" s="1"/>
      <c r="IFB239" s="1"/>
      <c r="IFC239" s="1"/>
      <c r="IFD239" s="1"/>
      <c r="IFE239" s="1"/>
      <c r="IFF239" s="1"/>
      <c r="IFG239" s="1"/>
      <c r="IFH239" s="1"/>
      <c r="IFI239" s="1"/>
      <c r="IFJ239" s="1"/>
      <c r="IFK239" s="1"/>
      <c r="IFL239" s="1"/>
      <c r="IFM239" s="1"/>
      <c r="IFN239" s="1"/>
      <c r="IFO239" s="1"/>
      <c r="IFP239" s="1"/>
      <c r="IFQ239" s="1"/>
      <c r="IFR239" s="1"/>
      <c r="IFS239" s="1"/>
      <c r="IFT239" s="1"/>
      <c r="IFU239" s="1"/>
      <c r="IFV239" s="1"/>
      <c r="IFW239" s="1"/>
      <c r="IFX239" s="1"/>
      <c r="IFY239" s="1"/>
      <c r="IFZ239" s="1"/>
      <c r="IGA239" s="1"/>
      <c r="IGB239" s="1"/>
      <c r="IGC239" s="1"/>
      <c r="IGD239" s="1"/>
      <c r="IGE239" s="1"/>
      <c r="IGF239" s="1"/>
      <c r="IGG239" s="1"/>
      <c r="IGH239" s="1"/>
      <c r="IGI239" s="1"/>
      <c r="IGJ239" s="1"/>
      <c r="IGK239" s="1"/>
      <c r="IGL239" s="1"/>
      <c r="IGM239" s="1"/>
      <c r="IGN239" s="1"/>
      <c r="IGO239" s="1"/>
      <c r="IGP239" s="1"/>
      <c r="IGQ239" s="1"/>
      <c r="IGR239" s="1"/>
      <c r="IGS239" s="1"/>
      <c r="IGT239" s="1"/>
      <c r="IGU239" s="1"/>
      <c r="IGV239" s="1"/>
      <c r="IGW239" s="1"/>
      <c r="IGX239" s="1"/>
      <c r="IGY239" s="1"/>
      <c r="IGZ239" s="1"/>
      <c r="IHA239" s="1"/>
      <c r="IHB239" s="1"/>
      <c r="IHC239" s="1"/>
      <c r="IHD239" s="1"/>
      <c r="IHE239" s="1"/>
      <c r="IHF239" s="1"/>
      <c r="IHG239" s="1"/>
      <c r="IHH239" s="1"/>
      <c r="IHI239" s="1"/>
      <c r="IHJ239" s="1"/>
      <c r="IHK239" s="1"/>
      <c r="IHL239" s="1"/>
      <c r="IHM239" s="1"/>
      <c r="IHN239" s="1"/>
      <c r="IHO239" s="1"/>
      <c r="IHP239" s="1"/>
      <c r="IHQ239" s="1"/>
      <c r="IHR239" s="1"/>
      <c r="IHS239" s="1"/>
      <c r="IHT239" s="1"/>
      <c r="IHU239" s="1"/>
      <c r="IHV239" s="1"/>
      <c r="IHW239" s="1"/>
      <c r="IHX239" s="1"/>
      <c r="IHY239" s="1"/>
      <c r="IHZ239" s="1"/>
      <c r="IIA239" s="1"/>
      <c r="IIB239" s="1"/>
      <c r="IIC239" s="1"/>
      <c r="IID239" s="1"/>
      <c r="IIE239" s="1"/>
      <c r="IIF239" s="1"/>
      <c r="IIG239" s="1"/>
      <c r="IIH239" s="1"/>
      <c r="III239" s="1"/>
      <c r="IIJ239" s="1"/>
      <c r="IIK239" s="1"/>
      <c r="IIL239" s="1"/>
      <c r="IIM239" s="1"/>
      <c r="IIN239" s="1"/>
      <c r="IIO239" s="1"/>
      <c r="IIP239" s="1"/>
      <c r="IIQ239" s="1"/>
      <c r="IIR239" s="1"/>
      <c r="IIS239" s="1"/>
      <c r="IIT239" s="1"/>
      <c r="IIU239" s="1"/>
      <c r="IIV239" s="1"/>
      <c r="IIW239" s="1"/>
      <c r="IIX239" s="1"/>
      <c r="IIY239" s="1"/>
      <c r="IIZ239" s="1"/>
      <c r="IJA239" s="1"/>
      <c r="IJB239" s="1"/>
      <c r="IJC239" s="1"/>
      <c r="IJD239" s="1"/>
      <c r="IJE239" s="1"/>
      <c r="IJF239" s="1"/>
      <c r="IJG239" s="1"/>
      <c r="IJH239" s="1"/>
      <c r="IJI239" s="1"/>
      <c r="IJJ239" s="1"/>
      <c r="IJK239" s="1"/>
      <c r="IJL239" s="1"/>
      <c r="IJM239" s="1"/>
      <c r="IJN239" s="1"/>
      <c r="IJO239" s="1"/>
      <c r="IJP239" s="1"/>
      <c r="IJQ239" s="1"/>
      <c r="IJR239" s="1"/>
      <c r="IJS239" s="1"/>
      <c r="IJT239" s="1"/>
      <c r="IJU239" s="1"/>
      <c r="IJV239" s="1"/>
      <c r="IJW239" s="1"/>
      <c r="IJX239" s="1"/>
      <c r="IJY239" s="1"/>
      <c r="IJZ239" s="1"/>
      <c r="IKA239" s="1"/>
      <c r="IKB239" s="1"/>
      <c r="IKC239" s="1"/>
      <c r="IKD239" s="1"/>
      <c r="IKE239" s="1"/>
      <c r="IKF239" s="1"/>
      <c r="IKG239" s="1"/>
      <c r="IKH239" s="1"/>
      <c r="IKI239" s="1"/>
      <c r="IKJ239" s="1"/>
      <c r="IKK239" s="1"/>
      <c r="IKL239" s="1"/>
      <c r="IKM239" s="1"/>
      <c r="IKN239" s="1"/>
      <c r="IKO239" s="1"/>
      <c r="IKP239" s="1"/>
      <c r="IKQ239" s="1"/>
      <c r="IKR239" s="1"/>
      <c r="IKS239" s="1"/>
      <c r="IKT239" s="1"/>
      <c r="IKU239" s="1"/>
      <c r="IKV239" s="1"/>
      <c r="IKW239" s="1"/>
      <c r="IKX239" s="1"/>
      <c r="IKY239" s="1"/>
      <c r="IKZ239" s="1"/>
      <c r="ILA239" s="1"/>
      <c r="ILB239" s="1"/>
      <c r="ILC239" s="1"/>
      <c r="ILD239" s="1"/>
      <c r="ILE239" s="1"/>
      <c r="ILF239" s="1"/>
      <c r="ILG239" s="1"/>
      <c r="ILH239" s="1"/>
      <c r="ILI239" s="1"/>
      <c r="ILJ239" s="1"/>
      <c r="ILK239" s="1"/>
      <c r="ILL239" s="1"/>
      <c r="ILM239" s="1"/>
      <c r="ILN239" s="1"/>
      <c r="ILO239" s="1"/>
      <c r="ILP239" s="1"/>
      <c r="ILQ239" s="1"/>
      <c r="ILR239" s="1"/>
      <c r="ILS239" s="1"/>
      <c r="ILT239" s="1"/>
      <c r="ILU239" s="1"/>
      <c r="ILV239" s="1"/>
      <c r="ILW239" s="1"/>
      <c r="ILX239" s="1"/>
      <c r="ILY239" s="1"/>
      <c r="ILZ239" s="1"/>
      <c r="IMA239" s="1"/>
      <c r="IMB239" s="1"/>
      <c r="IMC239" s="1"/>
      <c r="IMD239" s="1"/>
      <c r="IME239" s="1"/>
      <c r="IMF239" s="1"/>
      <c r="IMG239" s="1"/>
      <c r="IMH239" s="1"/>
      <c r="IMI239" s="1"/>
      <c r="IMJ239" s="1"/>
      <c r="IMK239" s="1"/>
      <c r="IML239" s="1"/>
      <c r="IMM239" s="1"/>
      <c r="IMN239" s="1"/>
      <c r="IMO239" s="1"/>
      <c r="IMP239" s="1"/>
      <c r="IMQ239" s="1"/>
      <c r="IMR239" s="1"/>
      <c r="IMS239" s="1"/>
      <c r="IMT239" s="1"/>
      <c r="IMU239" s="1"/>
      <c r="IMV239" s="1"/>
      <c r="IMW239" s="1"/>
      <c r="IMX239" s="1"/>
      <c r="IMY239" s="1"/>
      <c r="IMZ239" s="1"/>
      <c r="INA239" s="1"/>
      <c r="INB239" s="1"/>
      <c r="INC239" s="1"/>
      <c r="IND239" s="1"/>
      <c r="INE239" s="1"/>
      <c r="INF239" s="1"/>
      <c r="ING239" s="1"/>
      <c r="INH239" s="1"/>
      <c r="INI239" s="1"/>
      <c r="INJ239" s="1"/>
      <c r="INK239" s="1"/>
      <c r="INL239" s="1"/>
      <c r="INM239" s="1"/>
      <c r="INN239" s="1"/>
      <c r="INO239" s="1"/>
      <c r="INP239" s="1"/>
      <c r="INQ239" s="1"/>
      <c r="INR239" s="1"/>
      <c r="INS239" s="1"/>
      <c r="INT239" s="1"/>
      <c r="INU239" s="1"/>
      <c r="INV239" s="1"/>
      <c r="INW239" s="1"/>
      <c r="INX239" s="1"/>
      <c r="INY239" s="1"/>
      <c r="INZ239" s="1"/>
      <c r="IOA239" s="1"/>
      <c r="IOB239" s="1"/>
      <c r="IOC239" s="1"/>
      <c r="IOD239" s="1"/>
      <c r="IOE239" s="1"/>
      <c r="IOF239" s="1"/>
      <c r="IOG239" s="1"/>
      <c r="IOH239" s="1"/>
      <c r="IOI239" s="1"/>
      <c r="IOJ239" s="1"/>
      <c r="IOK239" s="1"/>
      <c r="IOL239" s="1"/>
      <c r="IOM239" s="1"/>
      <c r="ION239" s="1"/>
      <c r="IOO239" s="1"/>
      <c r="IOP239" s="1"/>
      <c r="IOQ239" s="1"/>
      <c r="IOR239" s="1"/>
      <c r="IOS239" s="1"/>
      <c r="IOT239" s="1"/>
      <c r="IOU239" s="1"/>
      <c r="IOV239" s="1"/>
      <c r="IOW239" s="1"/>
      <c r="IOX239" s="1"/>
      <c r="IOY239" s="1"/>
      <c r="IOZ239" s="1"/>
      <c r="IPA239" s="1"/>
      <c r="IPB239" s="1"/>
      <c r="IPC239" s="1"/>
      <c r="IPD239" s="1"/>
      <c r="IPE239" s="1"/>
      <c r="IPF239" s="1"/>
      <c r="IPG239" s="1"/>
      <c r="IPH239" s="1"/>
      <c r="IPI239" s="1"/>
      <c r="IPJ239" s="1"/>
      <c r="IPK239" s="1"/>
      <c r="IPL239" s="1"/>
      <c r="IPM239" s="1"/>
      <c r="IPN239" s="1"/>
      <c r="IPO239" s="1"/>
      <c r="IPP239" s="1"/>
      <c r="IPQ239" s="1"/>
      <c r="IPR239" s="1"/>
      <c r="IPS239" s="1"/>
      <c r="IPT239" s="1"/>
      <c r="IPU239" s="1"/>
      <c r="IPV239" s="1"/>
      <c r="IPW239" s="1"/>
      <c r="IPX239" s="1"/>
      <c r="IPY239" s="1"/>
      <c r="IPZ239" s="1"/>
      <c r="IQA239" s="1"/>
      <c r="IQB239" s="1"/>
      <c r="IQC239" s="1"/>
      <c r="IQD239" s="1"/>
      <c r="IQE239" s="1"/>
      <c r="IQF239" s="1"/>
      <c r="IQG239" s="1"/>
      <c r="IQH239" s="1"/>
      <c r="IQI239" s="1"/>
      <c r="IQJ239" s="1"/>
      <c r="IQK239" s="1"/>
      <c r="IQL239" s="1"/>
      <c r="IQM239" s="1"/>
      <c r="IQN239" s="1"/>
      <c r="IQO239" s="1"/>
      <c r="IQP239" s="1"/>
      <c r="IQQ239" s="1"/>
      <c r="IQR239" s="1"/>
      <c r="IQS239" s="1"/>
      <c r="IQT239" s="1"/>
      <c r="IQU239" s="1"/>
      <c r="IQV239" s="1"/>
      <c r="IQW239" s="1"/>
      <c r="IQX239" s="1"/>
      <c r="IQY239" s="1"/>
      <c r="IQZ239" s="1"/>
      <c r="IRA239" s="1"/>
      <c r="IRB239" s="1"/>
      <c r="IRC239" s="1"/>
      <c r="IRD239" s="1"/>
      <c r="IRE239" s="1"/>
      <c r="IRF239" s="1"/>
      <c r="IRG239" s="1"/>
      <c r="IRH239" s="1"/>
      <c r="IRI239" s="1"/>
      <c r="IRJ239" s="1"/>
      <c r="IRK239" s="1"/>
      <c r="IRL239" s="1"/>
      <c r="IRM239" s="1"/>
      <c r="IRN239" s="1"/>
      <c r="IRO239" s="1"/>
      <c r="IRP239" s="1"/>
      <c r="IRQ239" s="1"/>
      <c r="IRR239" s="1"/>
      <c r="IRS239" s="1"/>
      <c r="IRT239" s="1"/>
      <c r="IRU239" s="1"/>
      <c r="IRV239" s="1"/>
      <c r="IRW239" s="1"/>
      <c r="IRX239" s="1"/>
      <c r="IRY239" s="1"/>
      <c r="IRZ239" s="1"/>
      <c r="ISA239" s="1"/>
      <c r="ISB239" s="1"/>
      <c r="ISC239" s="1"/>
      <c r="ISD239" s="1"/>
      <c r="ISE239" s="1"/>
      <c r="ISF239" s="1"/>
      <c r="ISG239" s="1"/>
      <c r="ISH239" s="1"/>
      <c r="ISI239" s="1"/>
      <c r="ISJ239" s="1"/>
      <c r="ISK239" s="1"/>
      <c r="ISL239" s="1"/>
      <c r="ISM239" s="1"/>
      <c r="ISN239" s="1"/>
      <c r="ISO239" s="1"/>
      <c r="ISP239" s="1"/>
      <c r="ISQ239" s="1"/>
      <c r="ISR239" s="1"/>
      <c r="ISS239" s="1"/>
      <c r="IST239" s="1"/>
      <c r="ISU239" s="1"/>
      <c r="ISV239" s="1"/>
      <c r="ISW239" s="1"/>
      <c r="ISX239" s="1"/>
      <c r="ISY239" s="1"/>
      <c r="ISZ239" s="1"/>
      <c r="ITA239" s="1"/>
      <c r="ITB239" s="1"/>
      <c r="ITC239" s="1"/>
      <c r="ITD239" s="1"/>
      <c r="ITE239" s="1"/>
      <c r="ITF239" s="1"/>
      <c r="ITG239" s="1"/>
      <c r="ITH239" s="1"/>
      <c r="ITI239" s="1"/>
      <c r="ITJ239" s="1"/>
      <c r="ITK239" s="1"/>
      <c r="ITL239" s="1"/>
      <c r="ITM239" s="1"/>
      <c r="ITN239" s="1"/>
      <c r="ITO239" s="1"/>
      <c r="ITP239" s="1"/>
      <c r="ITQ239" s="1"/>
      <c r="ITR239" s="1"/>
      <c r="ITS239" s="1"/>
      <c r="ITT239" s="1"/>
      <c r="ITU239" s="1"/>
      <c r="ITV239" s="1"/>
      <c r="ITW239" s="1"/>
      <c r="ITX239" s="1"/>
      <c r="ITY239" s="1"/>
      <c r="ITZ239" s="1"/>
      <c r="IUA239" s="1"/>
      <c r="IUB239" s="1"/>
      <c r="IUC239" s="1"/>
      <c r="IUD239" s="1"/>
      <c r="IUE239" s="1"/>
      <c r="IUF239" s="1"/>
      <c r="IUG239" s="1"/>
      <c r="IUH239" s="1"/>
      <c r="IUI239" s="1"/>
      <c r="IUJ239" s="1"/>
      <c r="IUK239" s="1"/>
      <c r="IUL239" s="1"/>
      <c r="IUM239" s="1"/>
      <c r="IUN239" s="1"/>
      <c r="IUO239" s="1"/>
      <c r="IUP239" s="1"/>
      <c r="IUQ239" s="1"/>
      <c r="IUR239" s="1"/>
      <c r="IUS239" s="1"/>
      <c r="IUT239" s="1"/>
      <c r="IUU239" s="1"/>
      <c r="IUV239" s="1"/>
      <c r="IUW239" s="1"/>
      <c r="IUX239" s="1"/>
      <c r="IUY239" s="1"/>
      <c r="IUZ239" s="1"/>
      <c r="IVA239" s="1"/>
      <c r="IVB239" s="1"/>
      <c r="IVC239" s="1"/>
      <c r="IVD239" s="1"/>
      <c r="IVE239" s="1"/>
      <c r="IVF239" s="1"/>
      <c r="IVG239" s="1"/>
      <c r="IVH239" s="1"/>
      <c r="IVI239" s="1"/>
      <c r="IVJ239" s="1"/>
      <c r="IVK239" s="1"/>
      <c r="IVL239" s="1"/>
      <c r="IVM239" s="1"/>
      <c r="IVN239" s="1"/>
      <c r="IVO239" s="1"/>
      <c r="IVP239" s="1"/>
      <c r="IVQ239" s="1"/>
      <c r="IVR239" s="1"/>
      <c r="IVS239" s="1"/>
      <c r="IVT239" s="1"/>
      <c r="IVU239" s="1"/>
      <c r="IVV239" s="1"/>
      <c r="IVW239" s="1"/>
      <c r="IVX239" s="1"/>
      <c r="IVY239" s="1"/>
      <c r="IVZ239" s="1"/>
      <c r="IWA239" s="1"/>
      <c r="IWB239" s="1"/>
      <c r="IWC239" s="1"/>
      <c r="IWD239" s="1"/>
      <c r="IWE239" s="1"/>
      <c r="IWF239" s="1"/>
      <c r="IWG239" s="1"/>
      <c r="IWH239" s="1"/>
      <c r="IWI239" s="1"/>
      <c r="IWJ239" s="1"/>
      <c r="IWK239" s="1"/>
      <c r="IWL239" s="1"/>
      <c r="IWM239" s="1"/>
      <c r="IWN239" s="1"/>
      <c r="IWO239" s="1"/>
      <c r="IWP239" s="1"/>
      <c r="IWQ239" s="1"/>
      <c r="IWR239" s="1"/>
      <c r="IWS239" s="1"/>
      <c r="IWT239" s="1"/>
      <c r="IWU239" s="1"/>
      <c r="IWV239" s="1"/>
      <c r="IWW239" s="1"/>
      <c r="IWX239" s="1"/>
      <c r="IWY239" s="1"/>
      <c r="IWZ239" s="1"/>
      <c r="IXA239" s="1"/>
      <c r="IXB239" s="1"/>
      <c r="IXC239" s="1"/>
      <c r="IXD239" s="1"/>
      <c r="IXE239" s="1"/>
      <c r="IXF239" s="1"/>
      <c r="IXG239" s="1"/>
      <c r="IXH239" s="1"/>
      <c r="IXI239" s="1"/>
      <c r="IXJ239" s="1"/>
      <c r="IXK239" s="1"/>
      <c r="IXL239" s="1"/>
      <c r="IXM239" s="1"/>
      <c r="IXN239" s="1"/>
      <c r="IXO239" s="1"/>
      <c r="IXP239" s="1"/>
      <c r="IXQ239" s="1"/>
      <c r="IXR239" s="1"/>
      <c r="IXS239" s="1"/>
      <c r="IXT239" s="1"/>
      <c r="IXU239" s="1"/>
      <c r="IXV239" s="1"/>
      <c r="IXW239" s="1"/>
      <c r="IXX239" s="1"/>
      <c r="IXY239" s="1"/>
      <c r="IXZ239" s="1"/>
      <c r="IYA239" s="1"/>
      <c r="IYB239" s="1"/>
      <c r="IYC239" s="1"/>
      <c r="IYD239" s="1"/>
      <c r="IYE239" s="1"/>
      <c r="IYF239" s="1"/>
      <c r="IYG239" s="1"/>
      <c r="IYH239" s="1"/>
      <c r="IYI239" s="1"/>
      <c r="IYJ239" s="1"/>
      <c r="IYK239" s="1"/>
      <c r="IYL239" s="1"/>
      <c r="IYM239" s="1"/>
      <c r="IYN239" s="1"/>
      <c r="IYO239" s="1"/>
      <c r="IYP239" s="1"/>
      <c r="IYQ239" s="1"/>
      <c r="IYR239" s="1"/>
      <c r="IYS239" s="1"/>
      <c r="IYT239" s="1"/>
      <c r="IYU239" s="1"/>
      <c r="IYV239" s="1"/>
      <c r="IYW239" s="1"/>
      <c r="IYX239" s="1"/>
      <c r="IYY239" s="1"/>
      <c r="IYZ239" s="1"/>
      <c r="IZA239" s="1"/>
      <c r="IZB239" s="1"/>
      <c r="IZC239" s="1"/>
      <c r="IZD239" s="1"/>
      <c r="IZE239" s="1"/>
      <c r="IZF239" s="1"/>
      <c r="IZG239" s="1"/>
      <c r="IZH239" s="1"/>
      <c r="IZI239" s="1"/>
      <c r="IZJ239" s="1"/>
      <c r="IZK239" s="1"/>
      <c r="IZL239" s="1"/>
      <c r="IZM239" s="1"/>
      <c r="IZN239" s="1"/>
      <c r="IZO239" s="1"/>
      <c r="IZP239" s="1"/>
      <c r="IZQ239" s="1"/>
      <c r="IZR239" s="1"/>
      <c r="IZS239" s="1"/>
      <c r="IZT239" s="1"/>
      <c r="IZU239" s="1"/>
      <c r="IZV239" s="1"/>
      <c r="IZW239" s="1"/>
      <c r="IZX239" s="1"/>
      <c r="IZY239" s="1"/>
      <c r="IZZ239" s="1"/>
      <c r="JAA239" s="1"/>
      <c r="JAB239" s="1"/>
      <c r="JAC239" s="1"/>
      <c r="JAD239" s="1"/>
      <c r="JAE239" s="1"/>
      <c r="JAF239" s="1"/>
      <c r="JAG239" s="1"/>
      <c r="JAH239" s="1"/>
      <c r="JAI239" s="1"/>
      <c r="JAJ239" s="1"/>
      <c r="JAK239" s="1"/>
      <c r="JAL239" s="1"/>
      <c r="JAM239" s="1"/>
      <c r="JAN239" s="1"/>
      <c r="JAO239" s="1"/>
      <c r="JAP239" s="1"/>
      <c r="JAQ239" s="1"/>
      <c r="JAR239" s="1"/>
      <c r="JAS239" s="1"/>
      <c r="JAT239" s="1"/>
      <c r="JAU239" s="1"/>
      <c r="JAV239" s="1"/>
      <c r="JAW239" s="1"/>
      <c r="JAX239" s="1"/>
      <c r="JAY239" s="1"/>
      <c r="JAZ239" s="1"/>
      <c r="JBA239" s="1"/>
      <c r="JBB239" s="1"/>
      <c r="JBC239" s="1"/>
      <c r="JBD239" s="1"/>
      <c r="JBE239" s="1"/>
      <c r="JBF239" s="1"/>
      <c r="JBG239" s="1"/>
      <c r="JBH239" s="1"/>
      <c r="JBI239" s="1"/>
      <c r="JBJ239" s="1"/>
      <c r="JBK239" s="1"/>
      <c r="JBL239" s="1"/>
      <c r="JBM239" s="1"/>
      <c r="JBN239" s="1"/>
      <c r="JBO239" s="1"/>
      <c r="JBP239" s="1"/>
      <c r="JBQ239" s="1"/>
      <c r="JBR239" s="1"/>
      <c r="JBS239" s="1"/>
      <c r="JBT239" s="1"/>
      <c r="JBU239" s="1"/>
      <c r="JBV239" s="1"/>
      <c r="JBW239" s="1"/>
      <c r="JBX239" s="1"/>
      <c r="JBY239" s="1"/>
      <c r="JBZ239" s="1"/>
      <c r="JCA239" s="1"/>
      <c r="JCB239" s="1"/>
      <c r="JCC239" s="1"/>
      <c r="JCD239" s="1"/>
      <c r="JCE239" s="1"/>
      <c r="JCF239" s="1"/>
      <c r="JCG239" s="1"/>
      <c r="JCH239" s="1"/>
      <c r="JCI239" s="1"/>
      <c r="JCJ239" s="1"/>
      <c r="JCK239" s="1"/>
      <c r="JCL239" s="1"/>
      <c r="JCM239" s="1"/>
      <c r="JCN239" s="1"/>
      <c r="JCO239" s="1"/>
      <c r="JCP239" s="1"/>
      <c r="JCQ239" s="1"/>
      <c r="JCR239" s="1"/>
      <c r="JCS239" s="1"/>
      <c r="JCT239" s="1"/>
      <c r="JCU239" s="1"/>
      <c r="JCV239" s="1"/>
      <c r="JCW239" s="1"/>
      <c r="JCX239" s="1"/>
      <c r="JCY239" s="1"/>
      <c r="JCZ239" s="1"/>
      <c r="JDA239" s="1"/>
      <c r="JDB239" s="1"/>
      <c r="JDC239" s="1"/>
      <c r="JDD239" s="1"/>
      <c r="JDE239" s="1"/>
      <c r="JDF239" s="1"/>
      <c r="JDG239" s="1"/>
      <c r="JDH239" s="1"/>
      <c r="JDI239" s="1"/>
      <c r="JDJ239" s="1"/>
      <c r="JDK239" s="1"/>
      <c r="JDL239" s="1"/>
      <c r="JDM239" s="1"/>
      <c r="JDN239" s="1"/>
      <c r="JDO239" s="1"/>
      <c r="JDP239" s="1"/>
      <c r="JDQ239" s="1"/>
      <c r="JDR239" s="1"/>
      <c r="JDS239" s="1"/>
      <c r="JDT239" s="1"/>
      <c r="JDU239" s="1"/>
      <c r="JDV239" s="1"/>
      <c r="JDW239" s="1"/>
      <c r="JDX239" s="1"/>
      <c r="JDY239" s="1"/>
      <c r="JDZ239" s="1"/>
      <c r="JEA239" s="1"/>
      <c r="JEB239" s="1"/>
      <c r="JEC239" s="1"/>
      <c r="JED239" s="1"/>
      <c r="JEE239" s="1"/>
      <c r="JEF239" s="1"/>
      <c r="JEG239" s="1"/>
      <c r="JEH239" s="1"/>
      <c r="JEI239" s="1"/>
      <c r="JEJ239" s="1"/>
      <c r="JEK239" s="1"/>
      <c r="JEL239" s="1"/>
      <c r="JEM239" s="1"/>
      <c r="JEN239" s="1"/>
      <c r="JEO239" s="1"/>
      <c r="JEP239" s="1"/>
      <c r="JEQ239" s="1"/>
      <c r="JER239" s="1"/>
      <c r="JES239" s="1"/>
      <c r="JET239" s="1"/>
      <c r="JEU239" s="1"/>
      <c r="JEV239" s="1"/>
      <c r="JEW239" s="1"/>
      <c r="JEX239" s="1"/>
      <c r="JEY239" s="1"/>
      <c r="JEZ239" s="1"/>
      <c r="JFA239" s="1"/>
      <c r="JFB239" s="1"/>
      <c r="JFC239" s="1"/>
      <c r="JFD239" s="1"/>
      <c r="JFE239" s="1"/>
      <c r="JFF239" s="1"/>
      <c r="JFG239" s="1"/>
      <c r="JFH239" s="1"/>
      <c r="JFI239" s="1"/>
      <c r="JFJ239" s="1"/>
      <c r="JFK239" s="1"/>
      <c r="JFL239" s="1"/>
      <c r="JFM239" s="1"/>
      <c r="JFN239" s="1"/>
      <c r="JFO239" s="1"/>
      <c r="JFP239" s="1"/>
      <c r="JFQ239" s="1"/>
      <c r="JFR239" s="1"/>
      <c r="JFS239" s="1"/>
      <c r="JFT239" s="1"/>
      <c r="JFU239" s="1"/>
      <c r="JFV239" s="1"/>
      <c r="JFW239" s="1"/>
      <c r="JFX239" s="1"/>
      <c r="JFY239" s="1"/>
      <c r="JFZ239" s="1"/>
      <c r="JGA239" s="1"/>
      <c r="JGB239" s="1"/>
      <c r="JGC239" s="1"/>
      <c r="JGD239" s="1"/>
      <c r="JGE239" s="1"/>
      <c r="JGF239" s="1"/>
      <c r="JGG239" s="1"/>
      <c r="JGH239" s="1"/>
      <c r="JGI239" s="1"/>
      <c r="JGJ239" s="1"/>
      <c r="JGK239" s="1"/>
      <c r="JGL239" s="1"/>
      <c r="JGM239" s="1"/>
      <c r="JGN239" s="1"/>
      <c r="JGO239" s="1"/>
      <c r="JGP239" s="1"/>
      <c r="JGQ239" s="1"/>
      <c r="JGR239" s="1"/>
      <c r="JGS239" s="1"/>
      <c r="JGT239" s="1"/>
      <c r="JGU239" s="1"/>
      <c r="JGV239" s="1"/>
      <c r="JGW239" s="1"/>
      <c r="JGX239" s="1"/>
      <c r="JGY239" s="1"/>
      <c r="JGZ239" s="1"/>
      <c r="JHA239" s="1"/>
      <c r="JHB239" s="1"/>
      <c r="JHC239" s="1"/>
      <c r="JHD239" s="1"/>
      <c r="JHE239" s="1"/>
      <c r="JHF239" s="1"/>
      <c r="JHG239" s="1"/>
      <c r="JHH239" s="1"/>
      <c r="JHI239" s="1"/>
      <c r="JHJ239" s="1"/>
      <c r="JHK239" s="1"/>
      <c r="JHL239" s="1"/>
      <c r="JHM239" s="1"/>
      <c r="JHN239" s="1"/>
      <c r="JHO239" s="1"/>
      <c r="JHP239" s="1"/>
      <c r="JHQ239" s="1"/>
      <c r="JHR239" s="1"/>
      <c r="JHS239" s="1"/>
      <c r="JHT239" s="1"/>
      <c r="JHU239" s="1"/>
      <c r="JHV239" s="1"/>
      <c r="JHW239" s="1"/>
      <c r="JHX239" s="1"/>
      <c r="JHY239" s="1"/>
      <c r="JHZ239" s="1"/>
      <c r="JIA239" s="1"/>
      <c r="JIB239" s="1"/>
      <c r="JIC239" s="1"/>
      <c r="JID239" s="1"/>
      <c r="JIE239" s="1"/>
      <c r="JIF239" s="1"/>
      <c r="JIG239" s="1"/>
      <c r="JIH239" s="1"/>
      <c r="JII239" s="1"/>
      <c r="JIJ239" s="1"/>
      <c r="JIK239" s="1"/>
      <c r="JIL239" s="1"/>
      <c r="JIM239" s="1"/>
      <c r="JIN239" s="1"/>
      <c r="JIO239" s="1"/>
      <c r="JIP239" s="1"/>
      <c r="JIQ239" s="1"/>
      <c r="JIR239" s="1"/>
      <c r="JIS239" s="1"/>
      <c r="JIT239" s="1"/>
      <c r="JIU239" s="1"/>
      <c r="JIV239" s="1"/>
      <c r="JIW239" s="1"/>
      <c r="JIX239" s="1"/>
      <c r="JIY239" s="1"/>
      <c r="JIZ239" s="1"/>
      <c r="JJA239" s="1"/>
      <c r="JJB239" s="1"/>
      <c r="JJC239" s="1"/>
      <c r="JJD239" s="1"/>
      <c r="JJE239" s="1"/>
      <c r="JJF239" s="1"/>
      <c r="JJG239" s="1"/>
      <c r="JJH239" s="1"/>
      <c r="JJI239" s="1"/>
      <c r="JJJ239" s="1"/>
      <c r="JJK239" s="1"/>
      <c r="JJL239" s="1"/>
      <c r="JJM239" s="1"/>
      <c r="JJN239" s="1"/>
      <c r="JJO239" s="1"/>
      <c r="JJP239" s="1"/>
      <c r="JJQ239" s="1"/>
      <c r="JJR239" s="1"/>
      <c r="JJS239" s="1"/>
      <c r="JJT239" s="1"/>
      <c r="JJU239" s="1"/>
      <c r="JJV239" s="1"/>
      <c r="JJW239" s="1"/>
      <c r="JJX239" s="1"/>
      <c r="JJY239" s="1"/>
      <c r="JJZ239" s="1"/>
      <c r="JKA239" s="1"/>
      <c r="JKB239" s="1"/>
      <c r="JKC239" s="1"/>
      <c r="JKD239" s="1"/>
      <c r="JKE239" s="1"/>
      <c r="JKF239" s="1"/>
      <c r="JKG239" s="1"/>
      <c r="JKH239" s="1"/>
      <c r="JKI239" s="1"/>
      <c r="JKJ239" s="1"/>
      <c r="JKK239" s="1"/>
      <c r="JKL239" s="1"/>
      <c r="JKM239" s="1"/>
      <c r="JKN239" s="1"/>
      <c r="JKO239" s="1"/>
      <c r="JKP239" s="1"/>
      <c r="JKQ239" s="1"/>
      <c r="JKR239" s="1"/>
      <c r="JKS239" s="1"/>
      <c r="JKT239" s="1"/>
      <c r="JKU239" s="1"/>
      <c r="JKV239" s="1"/>
      <c r="JKW239" s="1"/>
      <c r="JKX239" s="1"/>
      <c r="JKY239" s="1"/>
      <c r="JKZ239" s="1"/>
      <c r="JLA239" s="1"/>
      <c r="JLB239" s="1"/>
      <c r="JLC239" s="1"/>
      <c r="JLD239" s="1"/>
      <c r="JLE239" s="1"/>
      <c r="JLF239" s="1"/>
      <c r="JLG239" s="1"/>
      <c r="JLH239" s="1"/>
      <c r="JLI239" s="1"/>
      <c r="JLJ239" s="1"/>
      <c r="JLK239" s="1"/>
      <c r="JLL239" s="1"/>
      <c r="JLM239" s="1"/>
      <c r="JLN239" s="1"/>
      <c r="JLO239" s="1"/>
      <c r="JLP239" s="1"/>
      <c r="JLQ239" s="1"/>
      <c r="JLR239" s="1"/>
      <c r="JLS239" s="1"/>
      <c r="JLT239" s="1"/>
      <c r="JLU239" s="1"/>
      <c r="JLV239" s="1"/>
      <c r="JLW239" s="1"/>
      <c r="JLX239" s="1"/>
      <c r="JLY239" s="1"/>
      <c r="JLZ239" s="1"/>
      <c r="JMA239" s="1"/>
      <c r="JMB239" s="1"/>
      <c r="JMC239" s="1"/>
      <c r="JMD239" s="1"/>
      <c r="JME239" s="1"/>
      <c r="JMF239" s="1"/>
      <c r="JMG239" s="1"/>
      <c r="JMH239" s="1"/>
      <c r="JMI239" s="1"/>
      <c r="JMJ239" s="1"/>
      <c r="JMK239" s="1"/>
      <c r="JML239" s="1"/>
      <c r="JMM239" s="1"/>
      <c r="JMN239" s="1"/>
      <c r="JMO239" s="1"/>
      <c r="JMP239" s="1"/>
      <c r="JMQ239" s="1"/>
      <c r="JMR239" s="1"/>
      <c r="JMS239" s="1"/>
      <c r="JMT239" s="1"/>
      <c r="JMU239" s="1"/>
      <c r="JMV239" s="1"/>
      <c r="JMW239" s="1"/>
      <c r="JMX239" s="1"/>
      <c r="JMY239" s="1"/>
      <c r="JMZ239" s="1"/>
      <c r="JNA239" s="1"/>
      <c r="JNB239" s="1"/>
      <c r="JNC239" s="1"/>
      <c r="JND239" s="1"/>
      <c r="JNE239" s="1"/>
      <c r="JNF239" s="1"/>
      <c r="JNG239" s="1"/>
      <c r="JNH239" s="1"/>
      <c r="JNI239" s="1"/>
      <c r="JNJ239" s="1"/>
      <c r="JNK239" s="1"/>
      <c r="JNL239" s="1"/>
      <c r="JNM239" s="1"/>
      <c r="JNN239" s="1"/>
      <c r="JNO239" s="1"/>
      <c r="JNP239" s="1"/>
      <c r="JNQ239" s="1"/>
      <c r="JNR239" s="1"/>
      <c r="JNS239" s="1"/>
      <c r="JNT239" s="1"/>
      <c r="JNU239" s="1"/>
      <c r="JNV239" s="1"/>
      <c r="JNW239" s="1"/>
      <c r="JNX239" s="1"/>
      <c r="JNY239" s="1"/>
      <c r="JNZ239" s="1"/>
      <c r="JOA239" s="1"/>
      <c r="JOB239" s="1"/>
      <c r="JOC239" s="1"/>
      <c r="JOD239" s="1"/>
      <c r="JOE239" s="1"/>
      <c r="JOF239" s="1"/>
      <c r="JOG239" s="1"/>
      <c r="JOH239" s="1"/>
      <c r="JOI239" s="1"/>
      <c r="JOJ239" s="1"/>
      <c r="JOK239" s="1"/>
      <c r="JOL239" s="1"/>
      <c r="JOM239" s="1"/>
      <c r="JON239" s="1"/>
      <c r="JOO239" s="1"/>
      <c r="JOP239" s="1"/>
      <c r="JOQ239" s="1"/>
      <c r="JOR239" s="1"/>
      <c r="JOS239" s="1"/>
      <c r="JOT239" s="1"/>
      <c r="JOU239" s="1"/>
      <c r="JOV239" s="1"/>
      <c r="JOW239" s="1"/>
      <c r="JOX239" s="1"/>
      <c r="JOY239" s="1"/>
      <c r="JOZ239" s="1"/>
      <c r="JPA239" s="1"/>
      <c r="JPB239" s="1"/>
      <c r="JPC239" s="1"/>
      <c r="JPD239" s="1"/>
      <c r="JPE239" s="1"/>
      <c r="JPF239" s="1"/>
      <c r="JPG239" s="1"/>
      <c r="JPH239" s="1"/>
      <c r="JPI239" s="1"/>
      <c r="JPJ239" s="1"/>
      <c r="JPK239" s="1"/>
      <c r="JPL239" s="1"/>
      <c r="JPM239" s="1"/>
      <c r="JPN239" s="1"/>
      <c r="JPO239" s="1"/>
      <c r="JPP239" s="1"/>
      <c r="JPQ239" s="1"/>
      <c r="JPR239" s="1"/>
      <c r="JPS239" s="1"/>
      <c r="JPT239" s="1"/>
      <c r="JPU239" s="1"/>
      <c r="JPV239" s="1"/>
      <c r="JPW239" s="1"/>
      <c r="JPX239" s="1"/>
      <c r="JPY239" s="1"/>
      <c r="JPZ239" s="1"/>
      <c r="JQA239" s="1"/>
      <c r="JQB239" s="1"/>
      <c r="JQC239" s="1"/>
      <c r="JQD239" s="1"/>
      <c r="JQE239" s="1"/>
      <c r="JQF239" s="1"/>
      <c r="JQG239" s="1"/>
      <c r="JQH239" s="1"/>
      <c r="JQI239" s="1"/>
      <c r="JQJ239" s="1"/>
      <c r="JQK239" s="1"/>
      <c r="JQL239" s="1"/>
      <c r="JQM239" s="1"/>
      <c r="JQN239" s="1"/>
      <c r="JQO239" s="1"/>
      <c r="JQP239" s="1"/>
      <c r="JQQ239" s="1"/>
      <c r="JQR239" s="1"/>
      <c r="JQS239" s="1"/>
      <c r="JQT239" s="1"/>
      <c r="JQU239" s="1"/>
      <c r="JQV239" s="1"/>
      <c r="JQW239" s="1"/>
      <c r="JQX239" s="1"/>
      <c r="JQY239" s="1"/>
      <c r="JQZ239" s="1"/>
      <c r="JRA239" s="1"/>
      <c r="JRB239" s="1"/>
      <c r="JRC239" s="1"/>
      <c r="JRD239" s="1"/>
      <c r="JRE239" s="1"/>
      <c r="JRF239" s="1"/>
      <c r="JRG239" s="1"/>
      <c r="JRH239" s="1"/>
      <c r="JRI239" s="1"/>
      <c r="JRJ239" s="1"/>
      <c r="JRK239" s="1"/>
      <c r="JRL239" s="1"/>
      <c r="JRM239" s="1"/>
      <c r="JRN239" s="1"/>
      <c r="JRO239" s="1"/>
      <c r="JRP239" s="1"/>
      <c r="JRQ239" s="1"/>
      <c r="JRR239" s="1"/>
      <c r="JRS239" s="1"/>
      <c r="JRT239" s="1"/>
      <c r="JRU239" s="1"/>
      <c r="JRV239" s="1"/>
      <c r="JRW239" s="1"/>
      <c r="JRX239" s="1"/>
      <c r="JRY239" s="1"/>
      <c r="JRZ239" s="1"/>
      <c r="JSA239" s="1"/>
      <c r="JSB239" s="1"/>
      <c r="JSC239" s="1"/>
      <c r="JSD239" s="1"/>
      <c r="JSE239" s="1"/>
      <c r="JSF239" s="1"/>
      <c r="JSG239" s="1"/>
      <c r="JSH239" s="1"/>
      <c r="JSI239" s="1"/>
      <c r="JSJ239" s="1"/>
      <c r="JSK239" s="1"/>
      <c r="JSL239" s="1"/>
      <c r="JSM239" s="1"/>
      <c r="JSN239" s="1"/>
      <c r="JSO239" s="1"/>
      <c r="JSP239" s="1"/>
      <c r="JSQ239" s="1"/>
      <c r="JSR239" s="1"/>
      <c r="JSS239" s="1"/>
      <c r="JST239" s="1"/>
      <c r="JSU239" s="1"/>
      <c r="JSV239" s="1"/>
      <c r="JSW239" s="1"/>
      <c r="JSX239" s="1"/>
      <c r="JSY239" s="1"/>
      <c r="JSZ239" s="1"/>
      <c r="JTA239" s="1"/>
      <c r="JTB239" s="1"/>
      <c r="JTC239" s="1"/>
      <c r="JTD239" s="1"/>
      <c r="JTE239" s="1"/>
      <c r="JTF239" s="1"/>
      <c r="JTG239" s="1"/>
      <c r="JTH239" s="1"/>
      <c r="JTI239" s="1"/>
      <c r="JTJ239" s="1"/>
      <c r="JTK239" s="1"/>
      <c r="JTL239" s="1"/>
      <c r="JTM239" s="1"/>
      <c r="JTN239" s="1"/>
      <c r="JTO239" s="1"/>
      <c r="JTP239" s="1"/>
      <c r="JTQ239" s="1"/>
      <c r="JTR239" s="1"/>
      <c r="JTS239" s="1"/>
      <c r="JTT239" s="1"/>
      <c r="JTU239" s="1"/>
      <c r="JTV239" s="1"/>
      <c r="JTW239" s="1"/>
      <c r="JTX239" s="1"/>
      <c r="JTY239" s="1"/>
      <c r="JTZ239" s="1"/>
      <c r="JUA239" s="1"/>
      <c r="JUB239" s="1"/>
      <c r="JUC239" s="1"/>
      <c r="JUD239" s="1"/>
      <c r="JUE239" s="1"/>
      <c r="JUF239" s="1"/>
      <c r="JUG239" s="1"/>
      <c r="JUH239" s="1"/>
      <c r="JUI239" s="1"/>
      <c r="JUJ239" s="1"/>
      <c r="JUK239" s="1"/>
      <c r="JUL239" s="1"/>
      <c r="JUM239" s="1"/>
      <c r="JUN239" s="1"/>
      <c r="JUO239" s="1"/>
      <c r="JUP239" s="1"/>
      <c r="JUQ239" s="1"/>
      <c r="JUR239" s="1"/>
      <c r="JUS239" s="1"/>
      <c r="JUT239" s="1"/>
      <c r="JUU239" s="1"/>
      <c r="JUV239" s="1"/>
      <c r="JUW239" s="1"/>
      <c r="JUX239" s="1"/>
      <c r="JUY239" s="1"/>
      <c r="JUZ239" s="1"/>
      <c r="JVA239" s="1"/>
      <c r="JVB239" s="1"/>
      <c r="JVC239" s="1"/>
      <c r="JVD239" s="1"/>
      <c r="JVE239" s="1"/>
      <c r="JVF239" s="1"/>
      <c r="JVG239" s="1"/>
      <c r="JVH239" s="1"/>
      <c r="JVI239" s="1"/>
      <c r="JVJ239" s="1"/>
      <c r="JVK239" s="1"/>
      <c r="JVL239" s="1"/>
      <c r="JVM239" s="1"/>
      <c r="JVN239" s="1"/>
      <c r="JVO239" s="1"/>
      <c r="JVP239" s="1"/>
      <c r="JVQ239" s="1"/>
      <c r="JVR239" s="1"/>
      <c r="JVS239" s="1"/>
      <c r="JVT239" s="1"/>
      <c r="JVU239" s="1"/>
      <c r="JVV239" s="1"/>
      <c r="JVW239" s="1"/>
      <c r="JVX239" s="1"/>
      <c r="JVY239" s="1"/>
      <c r="JVZ239" s="1"/>
      <c r="JWA239" s="1"/>
      <c r="JWB239" s="1"/>
      <c r="JWC239" s="1"/>
      <c r="JWD239" s="1"/>
      <c r="JWE239" s="1"/>
      <c r="JWF239" s="1"/>
      <c r="JWG239" s="1"/>
      <c r="JWH239" s="1"/>
      <c r="JWI239" s="1"/>
      <c r="JWJ239" s="1"/>
      <c r="JWK239" s="1"/>
      <c r="JWL239" s="1"/>
      <c r="JWM239" s="1"/>
      <c r="JWN239" s="1"/>
      <c r="JWO239" s="1"/>
      <c r="JWP239" s="1"/>
      <c r="JWQ239" s="1"/>
      <c r="JWR239" s="1"/>
      <c r="JWS239" s="1"/>
      <c r="JWT239" s="1"/>
      <c r="JWU239" s="1"/>
      <c r="JWV239" s="1"/>
      <c r="JWW239" s="1"/>
      <c r="JWX239" s="1"/>
      <c r="JWY239" s="1"/>
      <c r="JWZ239" s="1"/>
      <c r="JXA239" s="1"/>
      <c r="JXB239" s="1"/>
      <c r="JXC239" s="1"/>
      <c r="JXD239" s="1"/>
      <c r="JXE239" s="1"/>
      <c r="JXF239" s="1"/>
      <c r="JXG239" s="1"/>
      <c r="JXH239" s="1"/>
      <c r="JXI239" s="1"/>
      <c r="JXJ239" s="1"/>
      <c r="JXK239" s="1"/>
      <c r="JXL239" s="1"/>
      <c r="JXM239" s="1"/>
      <c r="JXN239" s="1"/>
      <c r="JXO239" s="1"/>
      <c r="JXP239" s="1"/>
      <c r="JXQ239" s="1"/>
      <c r="JXR239" s="1"/>
      <c r="JXS239" s="1"/>
      <c r="JXT239" s="1"/>
      <c r="JXU239" s="1"/>
      <c r="JXV239" s="1"/>
      <c r="JXW239" s="1"/>
      <c r="JXX239" s="1"/>
      <c r="JXY239" s="1"/>
      <c r="JXZ239" s="1"/>
      <c r="JYA239" s="1"/>
      <c r="JYB239" s="1"/>
      <c r="JYC239" s="1"/>
      <c r="JYD239" s="1"/>
      <c r="JYE239" s="1"/>
      <c r="JYF239" s="1"/>
      <c r="JYG239" s="1"/>
      <c r="JYH239" s="1"/>
      <c r="JYI239" s="1"/>
      <c r="JYJ239" s="1"/>
      <c r="JYK239" s="1"/>
      <c r="JYL239" s="1"/>
      <c r="JYM239" s="1"/>
      <c r="JYN239" s="1"/>
      <c r="JYO239" s="1"/>
      <c r="JYP239" s="1"/>
      <c r="JYQ239" s="1"/>
      <c r="JYR239" s="1"/>
      <c r="JYS239" s="1"/>
      <c r="JYT239" s="1"/>
      <c r="JYU239" s="1"/>
      <c r="JYV239" s="1"/>
      <c r="JYW239" s="1"/>
      <c r="JYX239" s="1"/>
      <c r="JYY239" s="1"/>
      <c r="JYZ239" s="1"/>
      <c r="JZA239" s="1"/>
      <c r="JZB239" s="1"/>
      <c r="JZC239" s="1"/>
      <c r="JZD239" s="1"/>
      <c r="JZE239" s="1"/>
      <c r="JZF239" s="1"/>
      <c r="JZG239" s="1"/>
      <c r="JZH239" s="1"/>
      <c r="JZI239" s="1"/>
      <c r="JZJ239" s="1"/>
      <c r="JZK239" s="1"/>
      <c r="JZL239" s="1"/>
      <c r="JZM239" s="1"/>
      <c r="JZN239" s="1"/>
      <c r="JZO239" s="1"/>
      <c r="JZP239" s="1"/>
      <c r="JZQ239" s="1"/>
      <c r="JZR239" s="1"/>
      <c r="JZS239" s="1"/>
      <c r="JZT239" s="1"/>
      <c r="JZU239" s="1"/>
      <c r="JZV239" s="1"/>
      <c r="JZW239" s="1"/>
      <c r="JZX239" s="1"/>
      <c r="JZY239" s="1"/>
      <c r="JZZ239" s="1"/>
      <c r="KAA239" s="1"/>
      <c r="KAB239" s="1"/>
      <c r="KAC239" s="1"/>
      <c r="KAD239" s="1"/>
      <c r="KAE239" s="1"/>
      <c r="KAF239" s="1"/>
      <c r="KAG239" s="1"/>
      <c r="KAH239" s="1"/>
      <c r="KAI239" s="1"/>
      <c r="KAJ239" s="1"/>
      <c r="KAK239" s="1"/>
      <c r="KAL239" s="1"/>
      <c r="KAM239" s="1"/>
      <c r="KAN239" s="1"/>
      <c r="KAO239" s="1"/>
      <c r="KAP239" s="1"/>
      <c r="KAQ239" s="1"/>
      <c r="KAR239" s="1"/>
      <c r="KAS239" s="1"/>
      <c r="KAT239" s="1"/>
      <c r="KAU239" s="1"/>
      <c r="KAV239" s="1"/>
      <c r="KAW239" s="1"/>
      <c r="KAX239" s="1"/>
      <c r="KAY239" s="1"/>
      <c r="KAZ239" s="1"/>
      <c r="KBA239" s="1"/>
      <c r="KBB239" s="1"/>
      <c r="KBC239" s="1"/>
      <c r="KBD239" s="1"/>
      <c r="KBE239" s="1"/>
      <c r="KBF239" s="1"/>
      <c r="KBG239" s="1"/>
      <c r="KBH239" s="1"/>
      <c r="KBI239" s="1"/>
      <c r="KBJ239" s="1"/>
      <c r="KBK239" s="1"/>
      <c r="KBL239" s="1"/>
      <c r="KBM239" s="1"/>
      <c r="KBN239" s="1"/>
      <c r="KBO239" s="1"/>
      <c r="KBP239" s="1"/>
      <c r="KBQ239" s="1"/>
      <c r="KBR239" s="1"/>
      <c r="KBS239" s="1"/>
      <c r="KBT239" s="1"/>
      <c r="KBU239" s="1"/>
      <c r="KBV239" s="1"/>
      <c r="KBW239" s="1"/>
      <c r="KBX239" s="1"/>
      <c r="KBY239" s="1"/>
      <c r="KBZ239" s="1"/>
      <c r="KCA239" s="1"/>
      <c r="KCB239" s="1"/>
      <c r="KCC239" s="1"/>
      <c r="KCD239" s="1"/>
      <c r="KCE239" s="1"/>
      <c r="KCF239" s="1"/>
      <c r="KCG239" s="1"/>
      <c r="KCH239" s="1"/>
      <c r="KCI239" s="1"/>
      <c r="KCJ239" s="1"/>
      <c r="KCK239" s="1"/>
      <c r="KCL239" s="1"/>
      <c r="KCM239" s="1"/>
      <c r="KCN239" s="1"/>
      <c r="KCO239" s="1"/>
      <c r="KCP239" s="1"/>
      <c r="KCQ239" s="1"/>
      <c r="KCR239" s="1"/>
      <c r="KCS239" s="1"/>
      <c r="KCT239" s="1"/>
      <c r="KCU239" s="1"/>
      <c r="KCV239" s="1"/>
      <c r="KCW239" s="1"/>
      <c r="KCX239" s="1"/>
      <c r="KCY239" s="1"/>
      <c r="KCZ239" s="1"/>
      <c r="KDA239" s="1"/>
      <c r="KDB239" s="1"/>
      <c r="KDC239" s="1"/>
      <c r="KDD239" s="1"/>
      <c r="KDE239" s="1"/>
      <c r="KDF239" s="1"/>
      <c r="KDG239" s="1"/>
      <c r="KDH239" s="1"/>
      <c r="KDI239" s="1"/>
      <c r="KDJ239" s="1"/>
      <c r="KDK239" s="1"/>
      <c r="KDL239" s="1"/>
      <c r="KDM239" s="1"/>
      <c r="KDN239" s="1"/>
      <c r="KDO239" s="1"/>
      <c r="KDP239" s="1"/>
      <c r="KDQ239" s="1"/>
      <c r="KDR239" s="1"/>
      <c r="KDS239" s="1"/>
      <c r="KDT239" s="1"/>
      <c r="KDU239" s="1"/>
      <c r="KDV239" s="1"/>
      <c r="KDW239" s="1"/>
      <c r="KDX239" s="1"/>
      <c r="KDY239" s="1"/>
      <c r="KDZ239" s="1"/>
      <c r="KEA239" s="1"/>
      <c r="KEB239" s="1"/>
      <c r="KEC239" s="1"/>
      <c r="KED239" s="1"/>
      <c r="KEE239" s="1"/>
      <c r="KEF239" s="1"/>
      <c r="KEG239" s="1"/>
      <c r="KEH239" s="1"/>
      <c r="KEI239" s="1"/>
      <c r="KEJ239" s="1"/>
      <c r="KEK239" s="1"/>
      <c r="KEL239" s="1"/>
      <c r="KEM239" s="1"/>
      <c r="KEN239" s="1"/>
      <c r="KEO239" s="1"/>
      <c r="KEP239" s="1"/>
      <c r="KEQ239" s="1"/>
      <c r="KER239" s="1"/>
      <c r="KES239" s="1"/>
      <c r="KET239" s="1"/>
      <c r="KEU239" s="1"/>
      <c r="KEV239" s="1"/>
      <c r="KEW239" s="1"/>
      <c r="KEX239" s="1"/>
      <c r="KEY239" s="1"/>
      <c r="KEZ239" s="1"/>
      <c r="KFA239" s="1"/>
      <c r="KFB239" s="1"/>
      <c r="KFC239" s="1"/>
      <c r="KFD239" s="1"/>
      <c r="KFE239" s="1"/>
      <c r="KFF239" s="1"/>
      <c r="KFG239" s="1"/>
      <c r="KFH239" s="1"/>
      <c r="KFI239" s="1"/>
      <c r="KFJ239" s="1"/>
      <c r="KFK239" s="1"/>
      <c r="KFL239" s="1"/>
      <c r="KFM239" s="1"/>
      <c r="KFN239" s="1"/>
      <c r="KFO239" s="1"/>
      <c r="KFP239" s="1"/>
      <c r="KFQ239" s="1"/>
      <c r="KFR239" s="1"/>
      <c r="KFS239" s="1"/>
      <c r="KFT239" s="1"/>
      <c r="KFU239" s="1"/>
      <c r="KFV239" s="1"/>
      <c r="KFW239" s="1"/>
      <c r="KFX239" s="1"/>
      <c r="KFY239" s="1"/>
      <c r="KFZ239" s="1"/>
      <c r="KGA239" s="1"/>
      <c r="KGB239" s="1"/>
      <c r="KGC239" s="1"/>
      <c r="KGD239" s="1"/>
      <c r="KGE239" s="1"/>
      <c r="KGF239" s="1"/>
      <c r="KGG239" s="1"/>
      <c r="KGH239" s="1"/>
      <c r="KGI239" s="1"/>
      <c r="KGJ239" s="1"/>
      <c r="KGK239" s="1"/>
      <c r="KGL239" s="1"/>
      <c r="KGM239" s="1"/>
      <c r="KGN239" s="1"/>
      <c r="KGO239" s="1"/>
      <c r="KGP239" s="1"/>
      <c r="KGQ239" s="1"/>
      <c r="KGR239" s="1"/>
      <c r="KGS239" s="1"/>
      <c r="KGT239" s="1"/>
      <c r="KGU239" s="1"/>
      <c r="KGV239" s="1"/>
      <c r="KGW239" s="1"/>
      <c r="KGX239" s="1"/>
      <c r="KGY239" s="1"/>
      <c r="KGZ239" s="1"/>
      <c r="KHA239" s="1"/>
      <c r="KHB239" s="1"/>
      <c r="KHC239" s="1"/>
      <c r="KHD239" s="1"/>
      <c r="KHE239" s="1"/>
      <c r="KHF239" s="1"/>
      <c r="KHG239" s="1"/>
      <c r="KHH239" s="1"/>
      <c r="KHI239" s="1"/>
      <c r="KHJ239" s="1"/>
      <c r="KHK239" s="1"/>
      <c r="KHL239" s="1"/>
      <c r="KHM239" s="1"/>
      <c r="KHN239" s="1"/>
      <c r="KHO239" s="1"/>
      <c r="KHP239" s="1"/>
      <c r="KHQ239" s="1"/>
      <c r="KHR239" s="1"/>
      <c r="KHS239" s="1"/>
      <c r="KHT239" s="1"/>
      <c r="KHU239" s="1"/>
      <c r="KHV239" s="1"/>
      <c r="KHW239" s="1"/>
      <c r="KHX239" s="1"/>
      <c r="KHY239" s="1"/>
      <c r="KHZ239" s="1"/>
      <c r="KIA239" s="1"/>
      <c r="KIB239" s="1"/>
      <c r="KIC239" s="1"/>
      <c r="KID239" s="1"/>
      <c r="KIE239" s="1"/>
      <c r="KIF239" s="1"/>
      <c r="KIG239" s="1"/>
      <c r="KIH239" s="1"/>
      <c r="KII239" s="1"/>
      <c r="KIJ239" s="1"/>
      <c r="KIK239" s="1"/>
      <c r="KIL239" s="1"/>
      <c r="KIM239" s="1"/>
      <c r="KIN239" s="1"/>
      <c r="KIO239" s="1"/>
      <c r="KIP239" s="1"/>
      <c r="KIQ239" s="1"/>
      <c r="KIR239" s="1"/>
      <c r="KIS239" s="1"/>
      <c r="KIT239" s="1"/>
      <c r="KIU239" s="1"/>
      <c r="KIV239" s="1"/>
      <c r="KIW239" s="1"/>
      <c r="KIX239" s="1"/>
      <c r="KIY239" s="1"/>
      <c r="KIZ239" s="1"/>
      <c r="KJA239" s="1"/>
      <c r="KJB239" s="1"/>
      <c r="KJC239" s="1"/>
      <c r="KJD239" s="1"/>
      <c r="KJE239" s="1"/>
      <c r="KJF239" s="1"/>
      <c r="KJG239" s="1"/>
      <c r="KJH239" s="1"/>
      <c r="KJI239" s="1"/>
      <c r="KJJ239" s="1"/>
      <c r="KJK239" s="1"/>
      <c r="KJL239" s="1"/>
      <c r="KJM239" s="1"/>
      <c r="KJN239" s="1"/>
      <c r="KJO239" s="1"/>
      <c r="KJP239" s="1"/>
      <c r="KJQ239" s="1"/>
      <c r="KJR239" s="1"/>
      <c r="KJS239" s="1"/>
      <c r="KJT239" s="1"/>
      <c r="KJU239" s="1"/>
      <c r="KJV239" s="1"/>
      <c r="KJW239" s="1"/>
      <c r="KJX239" s="1"/>
      <c r="KJY239" s="1"/>
      <c r="KJZ239" s="1"/>
      <c r="KKA239" s="1"/>
      <c r="KKB239" s="1"/>
      <c r="KKC239" s="1"/>
      <c r="KKD239" s="1"/>
      <c r="KKE239" s="1"/>
      <c r="KKF239" s="1"/>
      <c r="KKG239" s="1"/>
      <c r="KKH239" s="1"/>
      <c r="KKI239" s="1"/>
      <c r="KKJ239" s="1"/>
      <c r="KKK239" s="1"/>
      <c r="KKL239" s="1"/>
      <c r="KKM239" s="1"/>
      <c r="KKN239" s="1"/>
      <c r="KKO239" s="1"/>
      <c r="KKP239" s="1"/>
      <c r="KKQ239" s="1"/>
      <c r="KKR239" s="1"/>
      <c r="KKS239" s="1"/>
      <c r="KKT239" s="1"/>
      <c r="KKU239" s="1"/>
      <c r="KKV239" s="1"/>
      <c r="KKW239" s="1"/>
      <c r="KKX239" s="1"/>
      <c r="KKY239" s="1"/>
      <c r="KKZ239" s="1"/>
      <c r="KLA239" s="1"/>
      <c r="KLB239" s="1"/>
      <c r="KLC239" s="1"/>
      <c r="KLD239" s="1"/>
      <c r="KLE239" s="1"/>
      <c r="KLF239" s="1"/>
      <c r="KLG239" s="1"/>
      <c r="KLH239" s="1"/>
      <c r="KLI239" s="1"/>
      <c r="KLJ239" s="1"/>
      <c r="KLK239" s="1"/>
      <c r="KLL239" s="1"/>
      <c r="KLM239" s="1"/>
      <c r="KLN239" s="1"/>
      <c r="KLO239" s="1"/>
      <c r="KLP239" s="1"/>
      <c r="KLQ239" s="1"/>
      <c r="KLR239" s="1"/>
      <c r="KLS239" s="1"/>
      <c r="KLT239" s="1"/>
      <c r="KLU239" s="1"/>
      <c r="KLV239" s="1"/>
      <c r="KLW239" s="1"/>
      <c r="KLX239" s="1"/>
      <c r="KLY239" s="1"/>
      <c r="KLZ239" s="1"/>
      <c r="KMA239" s="1"/>
      <c r="KMB239" s="1"/>
      <c r="KMC239" s="1"/>
      <c r="KMD239" s="1"/>
      <c r="KME239" s="1"/>
      <c r="KMF239" s="1"/>
      <c r="KMG239" s="1"/>
      <c r="KMH239" s="1"/>
      <c r="KMI239" s="1"/>
      <c r="KMJ239" s="1"/>
      <c r="KMK239" s="1"/>
      <c r="KML239" s="1"/>
      <c r="KMM239" s="1"/>
      <c r="KMN239" s="1"/>
      <c r="KMO239" s="1"/>
      <c r="KMP239" s="1"/>
      <c r="KMQ239" s="1"/>
      <c r="KMR239" s="1"/>
      <c r="KMS239" s="1"/>
      <c r="KMT239" s="1"/>
      <c r="KMU239" s="1"/>
      <c r="KMV239" s="1"/>
      <c r="KMW239" s="1"/>
      <c r="KMX239" s="1"/>
      <c r="KMY239" s="1"/>
      <c r="KMZ239" s="1"/>
      <c r="KNA239" s="1"/>
      <c r="KNB239" s="1"/>
      <c r="KNC239" s="1"/>
      <c r="KND239" s="1"/>
      <c r="KNE239" s="1"/>
      <c r="KNF239" s="1"/>
      <c r="KNG239" s="1"/>
      <c r="KNH239" s="1"/>
      <c r="KNI239" s="1"/>
      <c r="KNJ239" s="1"/>
      <c r="KNK239" s="1"/>
      <c r="KNL239" s="1"/>
      <c r="KNM239" s="1"/>
      <c r="KNN239" s="1"/>
      <c r="KNO239" s="1"/>
      <c r="KNP239" s="1"/>
      <c r="KNQ239" s="1"/>
      <c r="KNR239" s="1"/>
      <c r="KNS239" s="1"/>
      <c r="KNT239" s="1"/>
      <c r="KNU239" s="1"/>
      <c r="KNV239" s="1"/>
      <c r="KNW239" s="1"/>
      <c r="KNX239" s="1"/>
      <c r="KNY239" s="1"/>
      <c r="KNZ239" s="1"/>
      <c r="KOA239" s="1"/>
      <c r="KOB239" s="1"/>
      <c r="KOC239" s="1"/>
      <c r="KOD239" s="1"/>
      <c r="KOE239" s="1"/>
      <c r="KOF239" s="1"/>
      <c r="KOG239" s="1"/>
      <c r="KOH239" s="1"/>
      <c r="KOI239" s="1"/>
      <c r="KOJ239" s="1"/>
      <c r="KOK239" s="1"/>
      <c r="KOL239" s="1"/>
      <c r="KOM239" s="1"/>
      <c r="KON239" s="1"/>
      <c r="KOO239" s="1"/>
      <c r="KOP239" s="1"/>
      <c r="KOQ239" s="1"/>
      <c r="KOR239" s="1"/>
      <c r="KOS239" s="1"/>
      <c r="KOT239" s="1"/>
      <c r="KOU239" s="1"/>
      <c r="KOV239" s="1"/>
      <c r="KOW239" s="1"/>
      <c r="KOX239" s="1"/>
      <c r="KOY239" s="1"/>
      <c r="KOZ239" s="1"/>
      <c r="KPA239" s="1"/>
      <c r="KPB239" s="1"/>
      <c r="KPC239" s="1"/>
      <c r="KPD239" s="1"/>
      <c r="KPE239" s="1"/>
      <c r="KPF239" s="1"/>
      <c r="KPG239" s="1"/>
      <c r="KPH239" s="1"/>
      <c r="KPI239" s="1"/>
      <c r="KPJ239" s="1"/>
      <c r="KPK239" s="1"/>
      <c r="KPL239" s="1"/>
      <c r="KPM239" s="1"/>
      <c r="KPN239" s="1"/>
      <c r="KPO239" s="1"/>
      <c r="KPP239" s="1"/>
      <c r="KPQ239" s="1"/>
      <c r="KPR239" s="1"/>
      <c r="KPS239" s="1"/>
      <c r="KPT239" s="1"/>
      <c r="KPU239" s="1"/>
      <c r="KPV239" s="1"/>
      <c r="KPW239" s="1"/>
      <c r="KPX239" s="1"/>
      <c r="KPY239" s="1"/>
      <c r="KPZ239" s="1"/>
      <c r="KQA239" s="1"/>
      <c r="KQB239" s="1"/>
      <c r="KQC239" s="1"/>
      <c r="KQD239" s="1"/>
      <c r="KQE239" s="1"/>
      <c r="KQF239" s="1"/>
      <c r="KQG239" s="1"/>
      <c r="KQH239" s="1"/>
      <c r="KQI239" s="1"/>
      <c r="KQJ239" s="1"/>
      <c r="KQK239" s="1"/>
      <c r="KQL239" s="1"/>
      <c r="KQM239" s="1"/>
      <c r="KQN239" s="1"/>
      <c r="KQO239" s="1"/>
      <c r="KQP239" s="1"/>
      <c r="KQQ239" s="1"/>
      <c r="KQR239" s="1"/>
      <c r="KQS239" s="1"/>
      <c r="KQT239" s="1"/>
      <c r="KQU239" s="1"/>
      <c r="KQV239" s="1"/>
      <c r="KQW239" s="1"/>
      <c r="KQX239" s="1"/>
      <c r="KQY239" s="1"/>
      <c r="KQZ239" s="1"/>
      <c r="KRA239" s="1"/>
      <c r="KRB239" s="1"/>
      <c r="KRC239" s="1"/>
      <c r="KRD239" s="1"/>
      <c r="KRE239" s="1"/>
      <c r="KRF239" s="1"/>
      <c r="KRG239" s="1"/>
      <c r="KRH239" s="1"/>
      <c r="KRI239" s="1"/>
      <c r="KRJ239" s="1"/>
      <c r="KRK239" s="1"/>
      <c r="KRL239" s="1"/>
      <c r="KRM239" s="1"/>
      <c r="KRN239" s="1"/>
      <c r="KRO239" s="1"/>
      <c r="KRP239" s="1"/>
      <c r="KRQ239" s="1"/>
      <c r="KRR239" s="1"/>
      <c r="KRS239" s="1"/>
      <c r="KRT239" s="1"/>
      <c r="KRU239" s="1"/>
      <c r="KRV239" s="1"/>
      <c r="KRW239" s="1"/>
      <c r="KRX239" s="1"/>
      <c r="KRY239" s="1"/>
      <c r="KRZ239" s="1"/>
      <c r="KSA239" s="1"/>
      <c r="KSB239" s="1"/>
      <c r="KSC239" s="1"/>
      <c r="KSD239" s="1"/>
      <c r="KSE239" s="1"/>
      <c r="KSF239" s="1"/>
      <c r="KSG239" s="1"/>
      <c r="KSH239" s="1"/>
      <c r="KSI239" s="1"/>
      <c r="KSJ239" s="1"/>
      <c r="KSK239" s="1"/>
      <c r="KSL239" s="1"/>
      <c r="KSM239" s="1"/>
      <c r="KSN239" s="1"/>
      <c r="KSO239" s="1"/>
      <c r="KSP239" s="1"/>
      <c r="KSQ239" s="1"/>
      <c r="KSR239" s="1"/>
      <c r="KSS239" s="1"/>
      <c r="KST239" s="1"/>
      <c r="KSU239" s="1"/>
      <c r="KSV239" s="1"/>
      <c r="KSW239" s="1"/>
      <c r="KSX239" s="1"/>
      <c r="KSY239" s="1"/>
      <c r="KSZ239" s="1"/>
      <c r="KTA239" s="1"/>
      <c r="KTB239" s="1"/>
      <c r="KTC239" s="1"/>
      <c r="KTD239" s="1"/>
      <c r="KTE239" s="1"/>
      <c r="KTF239" s="1"/>
      <c r="KTG239" s="1"/>
      <c r="KTH239" s="1"/>
      <c r="KTI239" s="1"/>
      <c r="KTJ239" s="1"/>
      <c r="KTK239" s="1"/>
      <c r="KTL239" s="1"/>
      <c r="KTM239" s="1"/>
      <c r="KTN239" s="1"/>
      <c r="KTO239" s="1"/>
      <c r="KTP239" s="1"/>
      <c r="KTQ239" s="1"/>
      <c r="KTR239" s="1"/>
      <c r="KTS239" s="1"/>
      <c r="KTT239" s="1"/>
      <c r="KTU239" s="1"/>
      <c r="KTV239" s="1"/>
      <c r="KTW239" s="1"/>
      <c r="KTX239" s="1"/>
      <c r="KTY239" s="1"/>
      <c r="KTZ239" s="1"/>
      <c r="KUA239" s="1"/>
      <c r="KUB239" s="1"/>
      <c r="KUC239" s="1"/>
      <c r="KUD239" s="1"/>
      <c r="KUE239" s="1"/>
      <c r="KUF239" s="1"/>
      <c r="KUG239" s="1"/>
      <c r="KUH239" s="1"/>
      <c r="KUI239" s="1"/>
      <c r="KUJ239" s="1"/>
      <c r="KUK239" s="1"/>
      <c r="KUL239" s="1"/>
      <c r="KUM239" s="1"/>
      <c r="KUN239" s="1"/>
      <c r="KUO239" s="1"/>
      <c r="KUP239" s="1"/>
      <c r="KUQ239" s="1"/>
      <c r="KUR239" s="1"/>
      <c r="KUS239" s="1"/>
      <c r="KUT239" s="1"/>
      <c r="KUU239" s="1"/>
      <c r="KUV239" s="1"/>
      <c r="KUW239" s="1"/>
      <c r="KUX239" s="1"/>
      <c r="KUY239" s="1"/>
      <c r="KUZ239" s="1"/>
      <c r="KVA239" s="1"/>
      <c r="KVB239" s="1"/>
      <c r="KVC239" s="1"/>
      <c r="KVD239" s="1"/>
      <c r="KVE239" s="1"/>
      <c r="KVF239" s="1"/>
      <c r="KVG239" s="1"/>
      <c r="KVH239" s="1"/>
      <c r="KVI239" s="1"/>
      <c r="KVJ239" s="1"/>
      <c r="KVK239" s="1"/>
      <c r="KVL239" s="1"/>
      <c r="KVM239" s="1"/>
      <c r="KVN239" s="1"/>
      <c r="KVO239" s="1"/>
      <c r="KVP239" s="1"/>
      <c r="KVQ239" s="1"/>
      <c r="KVR239" s="1"/>
      <c r="KVS239" s="1"/>
      <c r="KVT239" s="1"/>
      <c r="KVU239" s="1"/>
      <c r="KVV239" s="1"/>
      <c r="KVW239" s="1"/>
      <c r="KVX239" s="1"/>
      <c r="KVY239" s="1"/>
      <c r="KVZ239" s="1"/>
      <c r="KWA239" s="1"/>
      <c r="KWB239" s="1"/>
      <c r="KWC239" s="1"/>
      <c r="KWD239" s="1"/>
      <c r="KWE239" s="1"/>
      <c r="KWF239" s="1"/>
      <c r="KWG239" s="1"/>
      <c r="KWH239" s="1"/>
      <c r="KWI239" s="1"/>
      <c r="KWJ239" s="1"/>
      <c r="KWK239" s="1"/>
      <c r="KWL239" s="1"/>
      <c r="KWM239" s="1"/>
      <c r="KWN239" s="1"/>
      <c r="KWO239" s="1"/>
      <c r="KWP239" s="1"/>
      <c r="KWQ239" s="1"/>
      <c r="KWR239" s="1"/>
      <c r="KWS239" s="1"/>
      <c r="KWT239" s="1"/>
      <c r="KWU239" s="1"/>
      <c r="KWV239" s="1"/>
      <c r="KWW239" s="1"/>
      <c r="KWX239" s="1"/>
      <c r="KWY239" s="1"/>
      <c r="KWZ239" s="1"/>
      <c r="KXA239" s="1"/>
      <c r="KXB239" s="1"/>
      <c r="KXC239" s="1"/>
      <c r="KXD239" s="1"/>
      <c r="KXE239" s="1"/>
      <c r="KXF239" s="1"/>
      <c r="KXG239" s="1"/>
      <c r="KXH239" s="1"/>
      <c r="KXI239" s="1"/>
      <c r="KXJ239" s="1"/>
      <c r="KXK239" s="1"/>
      <c r="KXL239" s="1"/>
      <c r="KXM239" s="1"/>
      <c r="KXN239" s="1"/>
      <c r="KXO239" s="1"/>
      <c r="KXP239" s="1"/>
      <c r="KXQ239" s="1"/>
      <c r="KXR239" s="1"/>
      <c r="KXS239" s="1"/>
      <c r="KXT239" s="1"/>
      <c r="KXU239" s="1"/>
      <c r="KXV239" s="1"/>
      <c r="KXW239" s="1"/>
      <c r="KXX239" s="1"/>
      <c r="KXY239" s="1"/>
      <c r="KXZ239" s="1"/>
      <c r="KYA239" s="1"/>
      <c r="KYB239" s="1"/>
      <c r="KYC239" s="1"/>
      <c r="KYD239" s="1"/>
      <c r="KYE239" s="1"/>
      <c r="KYF239" s="1"/>
      <c r="KYG239" s="1"/>
      <c r="KYH239" s="1"/>
      <c r="KYI239" s="1"/>
      <c r="KYJ239" s="1"/>
      <c r="KYK239" s="1"/>
      <c r="KYL239" s="1"/>
      <c r="KYM239" s="1"/>
      <c r="KYN239" s="1"/>
      <c r="KYO239" s="1"/>
      <c r="KYP239" s="1"/>
      <c r="KYQ239" s="1"/>
      <c r="KYR239" s="1"/>
      <c r="KYS239" s="1"/>
      <c r="KYT239" s="1"/>
      <c r="KYU239" s="1"/>
      <c r="KYV239" s="1"/>
      <c r="KYW239" s="1"/>
      <c r="KYX239" s="1"/>
      <c r="KYY239" s="1"/>
      <c r="KYZ239" s="1"/>
      <c r="KZA239" s="1"/>
      <c r="KZB239" s="1"/>
      <c r="KZC239" s="1"/>
      <c r="KZD239" s="1"/>
      <c r="KZE239" s="1"/>
      <c r="KZF239" s="1"/>
      <c r="KZG239" s="1"/>
      <c r="KZH239" s="1"/>
      <c r="KZI239" s="1"/>
      <c r="KZJ239" s="1"/>
      <c r="KZK239" s="1"/>
      <c r="KZL239" s="1"/>
      <c r="KZM239" s="1"/>
      <c r="KZN239" s="1"/>
      <c r="KZO239" s="1"/>
      <c r="KZP239" s="1"/>
      <c r="KZQ239" s="1"/>
      <c r="KZR239" s="1"/>
      <c r="KZS239" s="1"/>
      <c r="KZT239" s="1"/>
      <c r="KZU239" s="1"/>
      <c r="KZV239" s="1"/>
      <c r="KZW239" s="1"/>
      <c r="KZX239" s="1"/>
      <c r="KZY239" s="1"/>
      <c r="KZZ239" s="1"/>
      <c r="LAA239" s="1"/>
      <c r="LAB239" s="1"/>
      <c r="LAC239" s="1"/>
      <c r="LAD239" s="1"/>
      <c r="LAE239" s="1"/>
      <c r="LAF239" s="1"/>
      <c r="LAG239" s="1"/>
      <c r="LAH239" s="1"/>
      <c r="LAI239" s="1"/>
      <c r="LAJ239" s="1"/>
      <c r="LAK239" s="1"/>
      <c r="LAL239" s="1"/>
      <c r="LAM239" s="1"/>
      <c r="LAN239" s="1"/>
      <c r="LAO239" s="1"/>
      <c r="LAP239" s="1"/>
      <c r="LAQ239" s="1"/>
      <c r="LAR239" s="1"/>
      <c r="LAS239" s="1"/>
      <c r="LAT239" s="1"/>
      <c r="LAU239" s="1"/>
      <c r="LAV239" s="1"/>
      <c r="LAW239" s="1"/>
      <c r="LAX239" s="1"/>
      <c r="LAY239" s="1"/>
      <c r="LAZ239" s="1"/>
      <c r="LBA239" s="1"/>
      <c r="LBB239" s="1"/>
      <c r="LBC239" s="1"/>
      <c r="LBD239" s="1"/>
      <c r="LBE239" s="1"/>
      <c r="LBF239" s="1"/>
      <c r="LBG239" s="1"/>
      <c r="LBH239" s="1"/>
      <c r="LBI239" s="1"/>
      <c r="LBJ239" s="1"/>
      <c r="LBK239" s="1"/>
      <c r="LBL239" s="1"/>
      <c r="LBM239" s="1"/>
      <c r="LBN239" s="1"/>
      <c r="LBO239" s="1"/>
      <c r="LBP239" s="1"/>
      <c r="LBQ239" s="1"/>
      <c r="LBR239" s="1"/>
      <c r="LBS239" s="1"/>
      <c r="LBT239" s="1"/>
      <c r="LBU239" s="1"/>
      <c r="LBV239" s="1"/>
      <c r="LBW239" s="1"/>
      <c r="LBX239" s="1"/>
      <c r="LBY239" s="1"/>
      <c r="LBZ239" s="1"/>
      <c r="LCA239" s="1"/>
      <c r="LCB239" s="1"/>
      <c r="LCC239" s="1"/>
      <c r="LCD239" s="1"/>
      <c r="LCE239" s="1"/>
      <c r="LCF239" s="1"/>
      <c r="LCG239" s="1"/>
      <c r="LCH239" s="1"/>
      <c r="LCI239" s="1"/>
      <c r="LCJ239" s="1"/>
      <c r="LCK239" s="1"/>
      <c r="LCL239" s="1"/>
      <c r="LCM239" s="1"/>
      <c r="LCN239" s="1"/>
      <c r="LCO239" s="1"/>
      <c r="LCP239" s="1"/>
      <c r="LCQ239" s="1"/>
      <c r="LCR239" s="1"/>
      <c r="LCS239" s="1"/>
      <c r="LCT239" s="1"/>
      <c r="LCU239" s="1"/>
      <c r="LCV239" s="1"/>
      <c r="LCW239" s="1"/>
      <c r="LCX239" s="1"/>
      <c r="LCY239" s="1"/>
      <c r="LCZ239" s="1"/>
      <c r="LDA239" s="1"/>
      <c r="LDB239" s="1"/>
      <c r="LDC239" s="1"/>
      <c r="LDD239" s="1"/>
      <c r="LDE239" s="1"/>
      <c r="LDF239" s="1"/>
      <c r="LDG239" s="1"/>
      <c r="LDH239" s="1"/>
      <c r="LDI239" s="1"/>
      <c r="LDJ239" s="1"/>
      <c r="LDK239" s="1"/>
      <c r="LDL239" s="1"/>
      <c r="LDM239" s="1"/>
      <c r="LDN239" s="1"/>
      <c r="LDO239" s="1"/>
      <c r="LDP239" s="1"/>
      <c r="LDQ239" s="1"/>
      <c r="LDR239" s="1"/>
      <c r="LDS239" s="1"/>
      <c r="LDT239" s="1"/>
      <c r="LDU239" s="1"/>
      <c r="LDV239" s="1"/>
      <c r="LDW239" s="1"/>
      <c r="LDX239" s="1"/>
      <c r="LDY239" s="1"/>
      <c r="LDZ239" s="1"/>
      <c r="LEA239" s="1"/>
      <c r="LEB239" s="1"/>
      <c r="LEC239" s="1"/>
      <c r="LED239" s="1"/>
      <c r="LEE239" s="1"/>
      <c r="LEF239" s="1"/>
      <c r="LEG239" s="1"/>
      <c r="LEH239" s="1"/>
      <c r="LEI239" s="1"/>
      <c r="LEJ239" s="1"/>
      <c r="LEK239" s="1"/>
      <c r="LEL239" s="1"/>
      <c r="LEM239" s="1"/>
      <c r="LEN239" s="1"/>
      <c r="LEO239" s="1"/>
      <c r="LEP239" s="1"/>
      <c r="LEQ239" s="1"/>
      <c r="LER239" s="1"/>
      <c r="LES239" s="1"/>
      <c r="LET239" s="1"/>
      <c r="LEU239" s="1"/>
      <c r="LEV239" s="1"/>
      <c r="LEW239" s="1"/>
      <c r="LEX239" s="1"/>
      <c r="LEY239" s="1"/>
      <c r="LEZ239" s="1"/>
      <c r="LFA239" s="1"/>
      <c r="LFB239" s="1"/>
      <c r="LFC239" s="1"/>
      <c r="LFD239" s="1"/>
      <c r="LFE239" s="1"/>
      <c r="LFF239" s="1"/>
      <c r="LFG239" s="1"/>
      <c r="LFH239" s="1"/>
      <c r="LFI239" s="1"/>
      <c r="LFJ239" s="1"/>
      <c r="LFK239" s="1"/>
      <c r="LFL239" s="1"/>
      <c r="LFM239" s="1"/>
      <c r="LFN239" s="1"/>
      <c r="LFO239" s="1"/>
      <c r="LFP239" s="1"/>
      <c r="LFQ239" s="1"/>
      <c r="LFR239" s="1"/>
      <c r="LFS239" s="1"/>
      <c r="LFT239" s="1"/>
      <c r="LFU239" s="1"/>
      <c r="LFV239" s="1"/>
      <c r="LFW239" s="1"/>
      <c r="LFX239" s="1"/>
      <c r="LFY239" s="1"/>
      <c r="LFZ239" s="1"/>
      <c r="LGA239" s="1"/>
      <c r="LGB239" s="1"/>
      <c r="LGC239" s="1"/>
      <c r="LGD239" s="1"/>
      <c r="LGE239" s="1"/>
      <c r="LGF239" s="1"/>
      <c r="LGG239" s="1"/>
      <c r="LGH239" s="1"/>
      <c r="LGI239" s="1"/>
      <c r="LGJ239" s="1"/>
      <c r="LGK239" s="1"/>
      <c r="LGL239" s="1"/>
      <c r="LGM239" s="1"/>
      <c r="LGN239" s="1"/>
      <c r="LGO239" s="1"/>
      <c r="LGP239" s="1"/>
      <c r="LGQ239" s="1"/>
      <c r="LGR239" s="1"/>
      <c r="LGS239" s="1"/>
      <c r="LGT239" s="1"/>
      <c r="LGU239" s="1"/>
      <c r="LGV239" s="1"/>
      <c r="LGW239" s="1"/>
      <c r="LGX239" s="1"/>
      <c r="LGY239" s="1"/>
      <c r="LGZ239" s="1"/>
      <c r="LHA239" s="1"/>
      <c r="LHB239" s="1"/>
      <c r="LHC239" s="1"/>
      <c r="LHD239" s="1"/>
      <c r="LHE239" s="1"/>
      <c r="LHF239" s="1"/>
      <c r="LHG239" s="1"/>
      <c r="LHH239" s="1"/>
      <c r="LHI239" s="1"/>
      <c r="LHJ239" s="1"/>
      <c r="LHK239" s="1"/>
      <c r="LHL239" s="1"/>
      <c r="LHM239" s="1"/>
      <c r="LHN239" s="1"/>
      <c r="LHO239" s="1"/>
      <c r="LHP239" s="1"/>
      <c r="LHQ239" s="1"/>
      <c r="LHR239" s="1"/>
      <c r="LHS239" s="1"/>
      <c r="LHT239" s="1"/>
      <c r="LHU239" s="1"/>
      <c r="LHV239" s="1"/>
      <c r="LHW239" s="1"/>
      <c r="LHX239" s="1"/>
      <c r="LHY239" s="1"/>
      <c r="LHZ239" s="1"/>
      <c r="LIA239" s="1"/>
      <c r="LIB239" s="1"/>
      <c r="LIC239" s="1"/>
      <c r="LID239" s="1"/>
      <c r="LIE239" s="1"/>
      <c r="LIF239" s="1"/>
      <c r="LIG239" s="1"/>
      <c r="LIH239" s="1"/>
      <c r="LII239" s="1"/>
      <c r="LIJ239" s="1"/>
      <c r="LIK239" s="1"/>
      <c r="LIL239" s="1"/>
      <c r="LIM239" s="1"/>
      <c r="LIN239" s="1"/>
      <c r="LIO239" s="1"/>
      <c r="LIP239" s="1"/>
      <c r="LIQ239" s="1"/>
      <c r="LIR239" s="1"/>
      <c r="LIS239" s="1"/>
      <c r="LIT239" s="1"/>
      <c r="LIU239" s="1"/>
      <c r="LIV239" s="1"/>
      <c r="LIW239" s="1"/>
      <c r="LIX239" s="1"/>
      <c r="LIY239" s="1"/>
      <c r="LIZ239" s="1"/>
      <c r="LJA239" s="1"/>
      <c r="LJB239" s="1"/>
      <c r="LJC239" s="1"/>
      <c r="LJD239" s="1"/>
      <c r="LJE239" s="1"/>
      <c r="LJF239" s="1"/>
      <c r="LJG239" s="1"/>
      <c r="LJH239" s="1"/>
      <c r="LJI239" s="1"/>
      <c r="LJJ239" s="1"/>
      <c r="LJK239" s="1"/>
      <c r="LJL239" s="1"/>
      <c r="LJM239" s="1"/>
      <c r="LJN239" s="1"/>
      <c r="LJO239" s="1"/>
      <c r="LJP239" s="1"/>
      <c r="LJQ239" s="1"/>
      <c r="LJR239" s="1"/>
      <c r="LJS239" s="1"/>
      <c r="LJT239" s="1"/>
      <c r="LJU239" s="1"/>
      <c r="LJV239" s="1"/>
      <c r="LJW239" s="1"/>
      <c r="LJX239" s="1"/>
      <c r="LJY239" s="1"/>
      <c r="LJZ239" s="1"/>
      <c r="LKA239" s="1"/>
      <c r="LKB239" s="1"/>
      <c r="LKC239" s="1"/>
      <c r="LKD239" s="1"/>
      <c r="LKE239" s="1"/>
      <c r="LKF239" s="1"/>
      <c r="LKG239" s="1"/>
      <c r="LKH239" s="1"/>
      <c r="LKI239" s="1"/>
      <c r="LKJ239" s="1"/>
      <c r="LKK239" s="1"/>
      <c r="LKL239" s="1"/>
      <c r="LKM239" s="1"/>
      <c r="LKN239" s="1"/>
      <c r="LKO239" s="1"/>
      <c r="LKP239" s="1"/>
      <c r="LKQ239" s="1"/>
      <c r="LKR239" s="1"/>
      <c r="LKS239" s="1"/>
      <c r="LKT239" s="1"/>
      <c r="LKU239" s="1"/>
      <c r="LKV239" s="1"/>
      <c r="LKW239" s="1"/>
      <c r="LKX239" s="1"/>
      <c r="LKY239" s="1"/>
      <c r="LKZ239" s="1"/>
      <c r="LLA239" s="1"/>
      <c r="LLB239" s="1"/>
      <c r="LLC239" s="1"/>
      <c r="LLD239" s="1"/>
      <c r="LLE239" s="1"/>
      <c r="LLF239" s="1"/>
      <c r="LLG239" s="1"/>
      <c r="LLH239" s="1"/>
      <c r="LLI239" s="1"/>
      <c r="LLJ239" s="1"/>
      <c r="LLK239" s="1"/>
      <c r="LLL239" s="1"/>
      <c r="LLM239" s="1"/>
      <c r="LLN239" s="1"/>
      <c r="LLO239" s="1"/>
      <c r="LLP239" s="1"/>
      <c r="LLQ239" s="1"/>
      <c r="LLR239" s="1"/>
      <c r="LLS239" s="1"/>
      <c r="LLT239" s="1"/>
      <c r="LLU239" s="1"/>
      <c r="LLV239" s="1"/>
      <c r="LLW239" s="1"/>
      <c r="LLX239" s="1"/>
      <c r="LLY239" s="1"/>
      <c r="LLZ239" s="1"/>
      <c r="LMA239" s="1"/>
      <c r="LMB239" s="1"/>
      <c r="LMC239" s="1"/>
      <c r="LMD239" s="1"/>
      <c r="LME239" s="1"/>
      <c r="LMF239" s="1"/>
      <c r="LMG239" s="1"/>
      <c r="LMH239" s="1"/>
      <c r="LMI239" s="1"/>
      <c r="LMJ239" s="1"/>
      <c r="LMK239" s="1"/>
      <c r="LML239" s="1"/>
      <c r="LMM239" s="1"/>
      <c r="LMN239" s="1"/>
      <c r="LMO239" s="1"/>
      <c r="LMP239" s="1"/>
      <c r="LMQ239" s="1"/>
      <c r="LMR239" s="1"/>
      <c r="LMS239" s="1"/>
      <c r="LMT239" s="1"/>
      <c r="LMU239" s="1"/>
      <c r="LMV239" s="1"/>
      <c r="LMW239" s="1"/>
      <c r="LMX239" s="1"/>
      <c r="LMY239" s="1"/>
      <c r="LMZ239" s="1"/>
      <c r="LNA239" s="1"/>
      <c r="LNB239" s="1"/>
      <c r="LNC239" s="1"/>
      <c r="LND239" s="1"/>
      <c r="LNE239" s="1"/>
      <c r="LNF239" s="1"/>
      <c r="LNG239" s="1"/>
      <c r="LNH239" s="1"/>
      <c r="LNI239" s="1"/>
      <c r="LNJ239" s="1"/>
      <c r="LNK239" s="1"/>
      <c r="LNL239" s="1"/>
      <c r="LNM239" s="1"/>
      <c r="LNN239" s="1"/>
      <c r="LNO239" s="1"/>
      <c r="LNP239" s="1"/>
      <c r="LNQ239" s="1"/>
      <c r="LNR239" s="1"/>
      <c r="LNS239" s="1"/>
      <c r="LNT239" s="1"/>
      <c r="LNU239" s="1"/>
      <c r="LNV239" s="1"/>
      <c r="LNW239" s="1"/>
      <c r="LNX239" s="1"/>
      <c r="LNY239" s="1"/>
      <c r="LNZ239" s="1"/>
      <c r="LOA239" s="1"/>
      <c r="LOB239" s="1"/>
      <c r="LOC239" s="1"/>
      <c r="LOD239" s="1"/>
      <c r="LOE239" s="1"/>
      <c r="LOF239" s="1"/>
      <c r="LOG239" s="1"/>
      <c r="LOH239" s="1"/>
      <c r="LOI239" s="1"/>
      <c r="LOJ239" s="1"/>
      <c r="LOK239" s="1"/>
      <c r="LOL239" s="1"/>
      <c r="LOM239" s="1"/>
      <c r="LON239" s="1"/>
      <c r="LOO239" s="1"/>
      <c r="LOP239" s="1"/>
      <c r="LOQ239" s="1"/>
      <c r="LOR239" s="1"/>
      <c r="LOS239" s="1"/>
      <c r="LOT239" s="1"/>
      <c r="LOU239" s="1"/>
      <c r="LOV239" s="1"/>
      <c r="LOW239" s="1"/>
      <c r="LOX239" s="1"/>
      <c r="LOY239" s="1"/>
      <c r="LOZ239" s="1"/>
      <c r="LPA239" s="1"/>
      <c r="LPB239" s="1"/>
      <c r="LPC239" s="1"/>
      <c r="LPD239" s="1"/>
      <c r="LPE239" s="1"/>
      <c r="LPF239" s="1"/>
      <c r="LPG239" s="1"/>
      <c r="LPH239" s="1"/>
      <c r="LPI239" s="1"/>
      <c r="LPJ239" s="1"/>
      <c r="LPK239" s="1"/>
      <c r="LPL239" s="1"/>
      <c r="LPM239" s="1"/>
      <c r="LPN239" s="1"/>
      <c r="LPO239" s="1"/>
      <c r="LPP239" s="1"/>
      <c r="LPQ239" s="1"/>
      <c r="LPR239" s="1"/>
      <c r="LPS239" s="1"/>
      <c r="LPT239" s="1"/>
      <c r="LPU239" s="1"/>
      <c r="LPV239" s="1"/>
      <c r="LPW239" s="1"/>
      <c r="LPX239" s="1"/>
      <c r="LPY239" s="1"/>
      <c r="LPZ239" s="1"/>
      <c r="LQA239" s="1"/>
      <c r="LQB239" s="1"/>
      <c r="LQC239" s="1"/>
      <c r="LQD239" s="1"/>
      <c r="LQE239" s="1"/>
      <c r="LQF239" s="1"/>
      <c r="LQG239" s="1"/>
      <c r="LQH239" s="1"/>
      <c r="LQI239" s="1"/>
      <c r="LQJ239" s="1"/>
      <c r="LQK239" s="1"/>
      <c r="LQL239" s="1"/>
      <c r="LQM239" s="1"/>
      <c r="LQN239" s="1"/>
      <c r="LQO239" s="1"/>
      <c r="LQP239" s="1"/>
      <c r="LQQ239" s="1"/>
      <c r="LQR239" s="1"/>
      <c r="LQS239" s="1"/>
      <c r="LQT239" s="1"/>
      <c r="LQU239" s="1"/>
      <c r="LQV239" s="1"/>
      <c r="LQW239" s="1"/>
      <c r="LQX239" s="1"/>
      <c r="LQY239" s="1"/>
      <c r="LQZ239" s="1"/>
      <c r="LRA239" s="1"/>
      <c r="LRB239" s="1"/>
      <c r="LRC239" s="1"/>
      <c r="LRD239" s="1"/>
      <c r="LRE239" s="1"/>
      <c r="LRF239" s="1"/>
      <c r="LRG239" s="1"/>
      <c r="LRH239" s="1"/>
      <c r="LRI239" s="1"/>
      <c r="LRJ239" s="1"/>
      <c r="LRK239" s="1"/>
      <c r="LRL239" s="1"/>
      <c r="LRM239" s="1"/>
      <c r="LRN239" s="1"/>
      <c r="LRO239" s="1"/>
      <c r="LRP239" s="1"/>
      <c r="LRQ239" s="1"/>
      <c r="LRR239" s="1"/>
      <c r="LRS239" s="1"/>
      <c r="LRT239" s="1"/>
      <c r="LRU239" s="1"/>
      <c r="LRV239" s="1"/>
      <c r="LRW239" s="1"/>
      <c r="LRX239" s="1"/>
      <c r="LRY239" s="1"/>
      <c r="LRZ239" s="1"/>
      <c r="LSA239" s="1"/>
      <c r="LSB239" s="1"/>
      <c r="LSC239" s="1"/>
      <c r="LSD239" s="1"/>
      <c r="LSE239" s="1"/>
      <c r="LSF239" s="1"/>
      <c r="LSG239" s="1"/>
      <c r="LSH239" s="1"/>
      <c r="LSI239" s="1"/>
      <c r="LSJ239" s="1"/>
      <c r="LSK239" s="1"/>
      <c r="LSL239" s="1"/>
      <c r="LSM239" s="1"/>
      <c r="LSN239" s="1"/>
      <c r="LSO239" s="1"/>
      <c r="LSP239" s="1"/>
      <c r="LSQ239" s="1"/>
      <c r="LSR239" s="1"/>
      <c r="LSS239" s="1"/>
      <c r="LST239" s="1"/>
      <c r="LSU239" s="1"/>
      <c r="LSV239" s="1"/>
      <c r="LSW239" s="1"/>
      <c r="LSX239" s="1"/>
      <c r="LSY239" s="1"/>
      <c r="LSZ239" s="1"/>
      <c r="LTA239" s="1"/>
      <c r="LTB239" s="1"/>
      <c r="LTC239" s="1"/>
      <c r="LTD239" s="1"/>
      <c r="LTE239" s="1"/>
      <c r="LTF239" s="1"/>
      <c r="LTG239" s="1"/>
      <c r="LTH239" s="1"/>
      <c r="LTI239" s="1"/>
      <c r="LTJ239" s="1"/>
      <c r="LTK239" s="1"/>
      <c r="LTL239" s="1"/>
      <c r="LTM239" s="1"/>
      <c r="LTN239" s="1"/>
      <c r="LTO239" s="1"/>
      <c r="LTP239" s="1"/>
      <c r="LTQ239" s="1"/>
      <c r="LTR239" s="1"/>
      <c r="LTS239" s="1"/>
      <c r="LTT239" s="1"/>
      <c r="LTU239" s="1"/>
      <c r="LTV239" s="1"/>
      <c r="LTW239" s="1"/>
      <c r="LTX239" s="1"/>
      <c r="LTY239" s="1"/>
      <c r="LTZ239" s="1"/>
      <c r="LUA239" s="1"/>
      <c r="LUB239" s="1"/>
      <c r="LUC239" s="1"/>
      <c r="LUD239" s="1"/>
      <c r="LUE239" s="1"/>
      <c r="LUF239" s="1"/>
      <c r="LUG239" s="1"/>
      <c r="LUH239" s="1"/>
      <c r="LUI239" s="1"/>
      <c r="LUJ239" s="1"/>
      <c r="LUK239" s="1"/>
      <c r="LUL239" s="1"/>
      <c r="LUM239" s="1"/>
      <c r="LUN239" s="1"/>
      <c r="LUO239" s="1"/>
      <c r="LUP239" s="1"/>
      <c r="LUQ239" s="1"/>
      <c r="LUR239" s="1"/>
      <c r="LUS239" s="1"/>
      <c r="LUT239" s="1"/>
      <c r="LUU239" s="1"/>
      <c r="LUV239" s="1"/>
      <c r="LUW239" s="1"/>
      <c r="LUX239" s="1"/>
      <c r="LUY239" s="1"/>
      <c r="LUZ239" s="1"/>
      <c r="LVA239" s="1"/>
      <c r="LVB239" s="1"/>
      <c r="LVC239" s="1"/>
      <c r="LVD239" s="1"/>
      <c r="LVE239" s="1"/>
      <c r="LVF239" s="1"/>
      <c r="LVG239" s="1"/>
      <c r="LVH239" s="1"/>
      <c r="LVI239" s="1"/>
      <c r="LVJ239" s="1"/>
      <c r="LVK239" s="1"/>
      <c r="LVL239" s="1"/>
      <c r="LVM239" s="1"/>
      <c r="LVN239" s="1"/>
      <c r="LVO239" s="1"/>
      <c r="LVP239" s="1"/>
      <c r="LVQ239" s="1"/>
      <c r="LVR239" s="1"/>
      <c r="LVS239" s="1"/>
      <c r="LVT239" s="1"/>
      <c r="LVU239" s="1"/>
      <c r="LVV239" s="1"/>
      <c r="LVW239" s="1"/>
      <c r="LVX239" s="1"/>
      <c r="LVY239" s="1"/>
      <c r="LVZ239" s="1"/>
      <c r="LWA239" s="1"/>
      <c r="LWB239" s="1"/>
      <c r="LWC239" s="1"/>
      <c r="LWD239" s="1"/>
      <c r="LWE239" s="1"/>
      <c r="LWF239" s="1"/>
      <c r="LWG239" s="1"/>
      <c r="LWH239" s="1"/>
      <c r="LWI239" s="1"/>
      <c r="LWJ239" s="1"/>
      <c r="LWK239" s="1"/>
      <c r="LWL239" s="1"/>
      <c r="LWM239" s="1"/>
      <c r="LWN239" s="1"/>
      <c r="LWO239" s="1"/>
      <c r="LWP239" s="1"/>
      <c r="LWQ239" s="1"/>
      <c r="LWR239" s="1"/>
      <c r="LWS239" s="1"/>
      <c r="LWT239" s="1"/>
      <c r="LWU239" s="1"/>
      <c r="LWV239" s="1"/>
      <c r="LWW239" s="1"/>
      <c r="LWX239" s="1"/>
      <c r="LWY239" s="1"/>
      <c r="LWZ239" s="1"/>
      <c r="LXA239" s="1"/>
      <c r="LXB239" s="1"/>
      <c r="LXC239" s="1"/>
      <c r="LXD239" s="1"/>
      <c r="LXE239" s="1"/>
      <c r="LXF239" s="1"/>
      <c r="LXG239" s="1"/>
      <c r="LXH239" s="1"/>
      <c r="LXI239" s="1"/>
      <c r="LXJ239" s="1"/>
      <c r="LXK239" s="1"/>
      <c r="LXL239" s="1"/>
      <c r="LXM239" s="1"/>
      <c r="LXN239" s="1"/>
      <c r="LXO239" s="1"/>
      <c r="LXP239" s="1"/>
      <c r="LXQ239" s="1"/>
      <c r="LXR239" s="1"/>
      <c r="LXS239" s="1"/>
      <c r="LXT239" s="1"/>
      <c r="LXU239" s="1"/>
      <c r="LXV239" s="1"/>
      <c r="LXW239" s="1"/>
      <c r="LXX239" s="1"/>
      <c r="LXY239" s="1"/>
      <c r="LXZ239" s="1"/>
      <c r="LYA239" s="1"/>
      <c r="LYB239" s="1"/>
      <c r="LYC239" s="1"/>
      <c r="LYD239" s="1"/>
      <c r="LYE239" s="1"/>
      <c r="LYF239" s="1"/>
      <c r="LYG239" s="1"/>
      <c r="LYH239" s="1"/>
      <c r="LYI239" s="1"/>
      <c r="LYJ239" s="1"/>
      <c r="LYK239" s="1"/>
      <c r="LYL239" s="1"/>
      <c r="LYM239" s="1"/>
      <c r="LYN239" s="1"/>
      <c r="LYO239" s="1"/>
      <c r="LYP239" s="1"/>
      <c r="LYQ239" s="1"/>
      <c r="LYR239" s="1"/>
      <c r="LYS239" s="1"/>
      <c r="LYT239" s="1"/>
      <c r="LYU239" s="1"/>
      <c r="LYV239" s="1"/>
      <c r="LYW239" s="1"/>
      <c r="LYX239" s="1"/>
      <c r="LYY239" s="1"/>
      <c r="LYZ239" s="1"/>
      <c r="LZA239" s="1"/>
      <c r="LZB239" s="1"/>
      <c r="LZC239" s="1"/>
      <c r="LZD239" s="1"/>
      <c r="LZE239" s="1"/>
      <c r="LZF239" s="1"/>
      <c r="LZG239" s="1"/>
      <c r="LZH239" s="1"/>
      <c r="LZI239" s="1"/>
      <c r="LZJ239" s="1"/>
      <c r="LZK239" s="1"/>
      <c r="LZL239" s="1"/>
      <c r="LZM239" s="1"/>
      <c r="LZN239" s="1"/>
      <c r="LZO239" s="1"/>
      <c r="LZP239" s="1"/>
      <c r="LZQ239" s="1"/>
      <c r="LZR239" s="1"/>
      <c r="LZS239" s="1"/>
      <c r="LZT239" s="1"/>
      <c r="LZU239" s="1"/>
      <c r="LZV239" s="1"/>
      <c r="LZW239" s="1"/>
      <c r="LZX239" s="1"/>
      <c r="LZY239" s="1"/>
      <c r="LZZ239" s="1"/>
      <c r="MAA239" s="1"/>
      <c r="MAB239" s="1"/>
      <c r="MAC239" s="1"/>
      <c r="MAD239" s="1"/>
      <c r="MAE239" s="1"/>
      <c r="MAF239" s="1"/>
      <c r="MAG239" s="1"/>
      <c r="MAH239" s="1"/>
      <c r="MAI239" s="1"/>
      <c r="MAJ239" s="1"/>
      <c r="MAK239" s="1"/>
      <c r="MAL239" s="1"/>
      <c r="MAM239" s="1"/>
      <c r="MAN239" s="1"/>
      <c r="MAO239" s="1"/>
      <c r="MAP239" s="1"/>
      <c r="MAQ239" s="1"/>
      <c r="MAR239" s="1"/>
      <c r="MAS239" s="1"/>
      <c r="MAT239" s="1"/>
      <c r="MAU239" s="1"/>
      <c r="MAV239" s="1"/>
      <c r="MAW239" s="1"/>
      <c r="MAX239" s="1"/>
      <c r="MAY239" s="1"/>
      <c r="MAZ239" s="1"/>
      <c r="MBA239" s="1"/>
      <c r="MBB239" s="1"/>
      <c r="MBC239" s="1"/>
      <c r="MBD239" s="1"/>
      <c r="MBE239" s="1"/>
      <c r="MBF239" s="1"/>
      <c r="MBG239" s="1"/>
      <c r="MBH239" s="1"/>
      <c r="MBI239" s="1"/>
      <c r="MBJ239" s="1"/>
      <c r="MBK239" s="1"/>
      <c r="MBL239" s="1"/>
      <c r="MBM239" s="1"/>
      <c r="MBN239" s="1"/>
      <c r="MBO239" s="1"/>
      <c r="MBP239" s="1"/>
      <c r="MBQ239" s="1"/>
      <c r="MBR239" s="1"/>
      <c r="MBS239" s="1"/>
      <c r="MBT239" s="1"/>
      <c r="MBU239" s="1"/>
      <c r="MBV239" s="1"/>
      <c r="MBW239" s="1"/>
      <c r="MBX239" s="1"/>
      <c r="MBY239" s="1"/>
      <c r="MBZ239" s="1"/>
      <c r="MCA239" s="1"/>
      <c r="MCB239" s="1"/>
      <c r="MCC239" s="1"/>
      <c r="MCD239" s="1"/>
      <c r="MCE239" s="1"/>
      <c r="MCF239" s="1"/>
      <c r="MCG239" s="1"/>
      <c r="MCH239" s="1"/>
      <c r="MCI239" s="1"/>
      <c r="MCJ239" s="1"/>
      <c r="MCK239" s="1"/>
      <c r="MCL239" s="1"/>
      <c r="MCM239" s="1"/>
      <c r="MCN239" s="1"/>
      <c r="MCO239" s="1"/>
      <c r="MCP239" s="1"/>
      <c r="MCQ239" s="1"/>
      <c r="MCR239" s="1"/>
      <c r="MCS239" s="1"/>
      <c r="MCT239" s="1"/>
      <c r="MCU239" s="1"/>
      <c r="MCV239" s="1"/>
      <c r="MCW239" s="1"/>
      <c r="MCX239" s="1"/>
      <c r="MCY239" s="1"/>
      <c r="MCZ239" s="1"/>
      <c r="MDA239" s="1"/>
      <c r="MDB239" s="1"/>
      <c r="MDC239" s="1"/>
      <c r="MDD239" s="1"/>
      <c r="MDE239" s="1"/>
      <c r="MDF239" s="1"/>
      <c r="MDG239" s="1"/>
      <c r="MDH239" s="1"/>
      <c r="MDI239" s="1"/>
      <c r="MDJ239" s="1"/>
      <c r="MDK239" s="1"/>
      <c r="MDL239" s="1"/>
      <c r="MDM239" s="1"/>
      <c r="MDN239" s="1"/>
      <c r="MDO239" s="1"/>
      <c r="MDP239" s="1"/>
      <c r="MDQ239" s="1"/>
      <c r="MDR239" s="1"/>
      <c r="MDS239" s="1"/>
      <c r="MDT239" s="1"/>
      <c r="MDU239" s="1"/>
      <c r="MDV239" s="1"/>
      <c r="MDW239" s="1"/>
      <c r="MDX239" s="1"/>
      <c r="MDY239" s="1"/>
      <c r="MDZ239" s="1"/>
      <c r="MEA239" s="1"/>
      <c r="MEB239" s="1"/>
      <c r="MEC239" s="1"/>
      <c r="MED239" s="1"/>
      <c r="MEE239" s="1"/>
      <c r="MEF239" s="1"/>
      <c r="MEG239" s="1"/>
      <c r="MEH239" s="1"/>
      <c r="MEI239" s="1"/>
      <c r="MEJ239" s="1"/>
      <c r="MEK239" s="1"/>
      <c r="MEL239" s="1"/>
      <c r="MEM239" s="1"/>
      <c r="MEN239" s="1"/>
      <c r="MEO239" s="1"/>
      <c r="MEP239" s="1"/>
      <c r="MEQ239" s="1"/>
      <c r="MER239" s="1"/>
      <c r="MES239" s="1"/>
      <c r="MET239" s="1"/>
      <c r="MEU239" s="1"/>
      <c r="MEV239" s="1"/>
      <c r="MEW239" s="1"/>
      <c r="MEX239" s="1"/>
      <c r="MEY239" s="1"/>
      <c r="MEZ239" s="1"/>
      <c r="MFA239" s="1"/>
      <c r="MFB239" s="1"/>
      <c r="MFC239" s="1"/>
      <c r="MFD239" s="1"/>
      <c r="MFE239" s="1"/>
      <c r="MFF239" s="1"/>
      <c r="MFG239" s="1"/>
      <c r="MFH239" s="1"/>
      <c r="MFI239" s="1"/>
      <c r="MFJ239" s="1"/>
      <c r="MFK239" s="1"/>
      <c r="MFL239" s="1"/>
      <c r="MFM239" s="1"/>
      <c r="MFN239" s="1"/>
      <c r="MFO239" s="1"/>
      <c r="MFP239" s="1"/>
      <c r="MFQ239" s="1"/>
      <c r="MFR239" s="1"/>
      <c r="MFS239" s="1"/>
      <c r="MFT239" s="1"/>
      <c r="MFU239" s="1"/>
      <c r="MFV239" s="1"/>
      <c r="MFW239" s="1"/>
      <c r="MFX239" s="1"/>
      <c r="MFY239" s="1"/>
      <c r="MFZ239" s="1"/>
      <c r="MGA239" s="1"/>
      <c r="MGB239" s="1"/>
      <c r="MGC239" s="1"/>
      <c r="MGD239" s="1"/>
      <c r="MGE239" s="1"/>
      <c r="MGF239" s="1"/>
      <c r="MGG239" s="1"/>
      <c r="MGH239" s="1"/>
      <c r="MGI239" s="1"/>
      <c r="MGJ239" s="1"/>
      <c r="MGK239" s="1"/>
      <c r="MGL239" s="1"/>
      <c r="MGM239" s="1"/>
      <c r="MGN239" s="1"/>
      <c r="MGO239" s="1"/>
      <c r="MGP239" s="1"/>
      <c r="MGQ239" s="1"/>
      <c r="MGR239" s="1"/>
      <c r="MGS239" s="1"/>
      <c r="MGT239" s="1"/>
      <c r="MGU239" s="1"/>
      <c r="MGV239" s="1"/>
      <c r="MGW239" s="1"/>
      <c r="MGX239" s="1"/>
      <c r="MGY239" s="1"/>
      <c r="MGZ239" s="1"/>
      <c r="MHA239" s="1"/>
      <c r="MHB239" s="1"/>
      <c r="MHC239" s="1"/>
      <c r="MHD239" s="1"/>
      <c r="MHE239" s="1"/>
      <c r="MHF239" s="1"/>
      <c r="MHG239" s="1"/>
      <c r="MHH239" s="1"/>
      <c r="MHI239" s="1"/>
      <c r="MHJ239" s="1"/>
      <c r="MHK239" s="1"/>
      <c r="MHL239" s="1"/>
      <c r="MHM239" s="1"/>
      <c r="MHN239" s="1"/>
      <c r="MHO239" s="1"/>
      <c r="MHP239" s="1"/>
      <c r="MHQ239" s="1"/>
      <c r="MHR239" s="1"/>
      <c r="MHS239" s="1"/>
      <c r="MHT239" s="1"/>
      <c r="MHU239" s="1"/>
      <c r="MHV239" s="1"/>
      <c r="MHW239" s="1"/>
      <c r="MHX239" s="1"/>
      <c r="MHY239" s="1"/>
      <c r="MHZ239" s="1"/>
      <c r="MIA239" s="1"/>
      <c r="MIB239" s="1"/>
      <c r="MIC239" s="1"/>
      <c r="MID239" s="1"/>
      <c r="MIE239" s="1"/>
      <c r="MIF239" s="1"/>
      <c r="MIG239" s="1"/>
      <c r="MIH239" s="1"/>
      <c r="MII239" s="1"/>
      <c r="MIJ239" s="1"/>
      <c r="MIK239" s="1"/>
      <c r="MIL239" s="1"/>
      <c r="MIM239" s="1"/>
      <c r="MIN239" s="1"/>
      <c r="MIO239" s="1"/>
      <c r="MIP239" s="1"/>
      <c r="MIQ239" s="1"/>
      <c r="MIR239" s="1"/>
      <c r="MIS239" s="1"/>
      <c r="MIT239" s="1"/>
      <c r="MIU239" s="1"/>
      <c r="MIV239" s="1"/>
      <c r="MIW239" s="1"/>
      <c r="MIX239" s="1"/>
      <c r="MIY239" s="1"/>
      <c r="MIZ239" s="1"/>
      <c r="MJA239" s="1"/>
      <c r="MJB239" s="1"/>
      <c r="MJC239" s="1"/>
      <c r="MJD239" s="1"/>
      <c r="MJE239" s="1"/>
      <c r="MJF239" s="1"/>
      <c r="MJG239" s="1"/>
      <c r="MJH239" s="1"/>
      <c r="MJI239" s="1"/>
      <c r="MJJ239" s="1"/>
      <c r="MJK239" s="1"/>
      <c r="MJL239" s="1"/>
      <c r="MJM239" s="1"/>
      <c r="MJN239" s="1"/>
      <c r="MJO239" s="1"/>
      <c r="MJP239" s="1"/>
      <c r="MJQ239" s="1"/>
      <c r="MJR239" s="1"/>
      <c r="MJS239" s="1"/>
      <c r="MJT239" s="1"/>
      <c r="MJU239" s="1"/>
      <c r="MJV239" s="1"/>
      <c r="MJW239" s="1"/>
      <c r="MJX239" s="1"/>
      <c r="MJY239" s="1"/>
      <c r="MJZ239" s="1"/>
      <c r="MKA239" s="1"/>
      <c r="MKB239" s="1"/>
      <c r="MKC239" s="1"/>
      <c r="MKD239" s="1"/>
      <c r="MKE239" s="1"/>
      <c r="MKF239" s="1"/>
      <c r="MKG239" s="1"/>
      <c r="MKH239" s="1"/>
      <c r="MKI239" s="1"/>
      <c r="MKJ239" s="1"/>
      <c r="MKK239" s="1"/>
      <c r="MKL239" s="1"/>
      <c r="MKM239" s="1"/>
      <c r="MKN239" s="1"/>
      <c r="MKO239" s="1"/>
      <c r="MKP239" s="1"/>
      <c r="MKQ239" s="1"/>
      <c r="MKR239" s="1"/>
      <c r="MKS239" s="1"/>
      <c r="MKT239" s="1"/>
      <c r="MKU239" s="1"/>
      <c r="MKV239" s="1"/>
      <c r="MKW239" s="1"/>
      <c r="MKX239" s="1"/>
      <c r="MKY239" s="1"/>
      <c r="MKZ239" s="1"/>
      <c r="MLA239" s="1"/>
      <c r="MLB239" s="1"/>
      <c r="MLC239" s="1"/>
      <c r="MLD239" s="1"/>
      <c r="MLE239" s="1"/>
      <c r="MLF239" s="1"/>
      <c r="MLG239" s="1"/>
      <c r="MLH239" s="1"/>
      <c r="MLI239" s="1"/>
      <c r="MLJ239" s="1"/>
      <c r="MLK239" s="1"/>
      <c r="MLL239" s="1"/>
      <c r="MLM239" s="1"/>
      <c r="MLN239" s="1"/>
      <c r="MLO239" s="1"/>
      <c r="MLP239" s="1"/>
      <c r="MLQ239" s="1"/>
      <c r="MLR239" s="1"/>
      <c r="MLS239" s="1"/>
      <c r="MLT239" s="1"/>
      <c r="MLU239" s="1"/>
      <c r="MLV239" s="1"/>
      <c r="MLW239" s="1"/>
      <c r="MLX239" s="1"/>
      <c r="MLY239" s="1"/>
      <c r="MLZ239" s="1"/>
      <c r="MMA239" s="1"/>
      <c r="MMB239" s="1"/>
      <c r="MMC239" s="1"/>
      <c r="MMD239" s="1"/>
      <c r="MME239" s="1"/>
      <c r="MMF239" s="1"/>
      <c r="MMG239" s="1"/>
      <c r="MMH239" s="1"/>
      <c r="MMI239" s="1"/>
      <c r="MMJ239" s="1"/>
      <c r="MMK239" s="1"/>
      <c r="MML239" s="1"/>
      <c r="MMM239" s="1"/>
      <c r="MMN239" s="1"/>
      <c r="MMO239" s="1"/>
      <c r="MMP239" s="1"/>
      <c r="MMQ239" s="1"/>
      <c r="MMR239" s="1"/>
      <c r="MMS239" s="1"/>
      <c r="MMT239" s="1"/>
      <c r="MMU239" s="1"/>
      <c r="MMV239" s="1"/>
      <c r="MMW239" s="1"/>
      <c r="MMX239" s="1"/>
      <c r="MMY239" s="1"/>
      <c r="MMZ239" s="1"/>
      <c r="MNA239" s="1"/>
      <c r="MNB239" s="1"/>
      <c r="MNC239" s="1"/>
      <c r="MND239" s="1"/>
      <c r="MNE239" s="1"/>
      <c r="MNF239" s="1"/>
      <c r="MNG239" s="1"/>
      <c r="MNH239" s="1"/>
      <c r="MNI239" s="1"/>
      <c r="MNJ239" s="1"/>
      <c r="MNK239" s="1"/>
      <c r="MNL239" s="1"/>
      <c r="MNM239" s="1"/>
      <c r="MNN239" s="1"/>
      <c r="MNO239" s="1"/>
      <c r="MNP239" s="1"/>
      <c r="MNQ239" s="1"/>
      <c r="MNR239" s="1"/>
      <c r="MNS239" s="1"/>
      <c r="MNT239" s="1"/>
      <c r="MNU239" s="1"/>
      <c r="MNV239" s="1"/>
      <c r="MNW239" s="1"/>
      <c r="MNX239" s="1"/>
      <c r="MNY239" s="1"/>
      <c r="MNZ239" s="1"/>
      <c r="MOA239" s="1"/>
      <c r="MOB239" s="1"/>
      <c r="MOC239" s="1"/>
      <c r="MOD239" s="1"/>
      <c r="MOE239" s="1"/>
      <c r="MOF239" s="1"/>
      <c r="MOG239" s="1"/>
      <c r="MOH239" s="1"/>
      <c r="MOI239" s="1"/>
      <c r="MOJ239" s="1"/>
      <c r="MOK239" s="1"/>
      <c r="MOL239" s="1"/>
      <c r="MOM239" s="1"/>
      <c r="MON239" s="1"/>
      <c r="MOO239" s="1"/>
      <c r="MOP239" s="1"/>
      <c r="MOQ239" s="1"/>
      <c r="MOR239" s="1"/>
      <c r="MOS239" s="1"/>
      <c r="MOT239" s="1"/>
      <c r="MOU239" s="1"/>
      <c r="MOV239" s="1"/>
      <c r="MOW239" s="1"/>
      <c r="MOX239" s="1"/>
      <c r="MOY239" s="1"/>
      <c r="MOZ239" s="1"/>
      <c r="MPA239" s="1"/>
      <c r="MPB239" s="1"/>
      <c r="MPC239" s="1"/>
      <c r="MPD239" s="1"/>
      <c r="MPE239" s="1"/>
      <c r="MPF239" s="1"/>
      <c r="MPG239" s="1"/>
      <c r="MPH239" s="1"/>
      <c r="MPI239" s="1"/>
      <c r="MPJ239" s="1"/>
      <c r="MPK239" s="1"/>
      <c r="MPL239" s="1"/>
      <c r="MPM239" s="1"/>
      <c r="MPN239" s="1"/>
      <c r="MPO239" s="1"/>
      <c r="MPP239" s="1"/>
      <c r="MPQ239" s="1"/>
      <c r="MPR239" s="1"/>
      <c r="MPS239" s="1"/>
      <c r="MPT239" s="1"/>
      <c r="MPU239" s="1"/>
      <c r="MPV239" s="1"/>
      <c r="MPW239" s="1"/>
      <c r="MPX239" s="1"/>
      <c r="MPY239" s="1"/>
      <c r="MPZ239" s="1"/>
      <c r="MQA239" s="1"/>
      <c r="MQB239" s="1"/>
      <c r="MQC239" s="1"/>
      <c r="MQD239" s="1"/>
      <c r="MQE239" s="1"/>
      <c r="MQF239" s="1"/>
      <c r="MQG239" s="1"/>
      <c r="MQH239" s="1"/>
      <c r="MQI239" s="1"/>
      <c r="MQJ239" s="1"/>
      <c r="MQK239" s="1"/>
      <c r="MQL239" s="1"/>
      <c r="MQM239" s="1"/>
      <c r="MQN239" s="1"/>
      <c r="MQO239" s="1"/>
      <c r="MQP239" s="1"/>
      <c r="MQQ239" s="1"/>
      <c r="MQR239" s="1"/>
      <c r="MQS239" s="1"/>
      <c r="MQT239" s="1"/>
      <c r="MQU239" s="1"/>
      <c r="MQV239" s="1"/>
      <c r="MQW239" s="1"/>
      <c r="MQX239" s="1"/>
      <c r="MQY239" s="1"/>
      <c r="MQZ239" s="1"/>
      <c r="MRA239" s="1"/>
      <c r="MRB239" s="1"/>
      <c r="MRC239" s="1"/>
      <c r="MRD239" s="1"/>
      <c r="MRE239" s="1"/>
      <c r="MRF239" s="1"/>
      <c r="MRG239" s="1"/>
      <c r="MRH239" s="1"/>
      <c r="MRI239" s="1"/>
      <c r="MRJ239" s="1"/>
      <c r="MRK239" s="1"/>
      <c r="MRL239" s="1"/>
      <c r="MRM239" s="1"/>
      <c r="MRN239" s="1"/>
      <c r="MRO239" s="1"/>
      <c r="MRP239" s="1"/>
      <c r="MRQ239" s="1"/>
      <c r="MRR239" s="1"/>
      <c r="MRS239" s="1"/>
      <c r="MRT239" s="1"/>
      <c r="MRU239" s="1"/>
      <c r="MRV239" s="1"/>
      <c r="MRW239" s="1"/>
      <c r="MRX239" s="1"/>
      <c r="MRY239" s="1"/>
      <c r="MRZ239" s="1"/>
      <c r="MSA239" s="1"/>
      <c r="MSB239" s="1"/>
      <c r="MSC239" s="1"/>
      <c r="MSD239" s="1"/>
      <c r="MSE239" s="1"/>
      <c r="MSF239" s="1"/>
      <c r="MSG239" s="1"/>
      <c r="MSH239" s="1"/>
      <c r="MSI239" s="1"/>
      <c r="MSJ239" s="1"/>
      <c r="MSK239" s="1"/>
      <c r="MSL239" s="1"/>
      <c r="MSM239" s="1"/>
      <c r="MSN239" s="1"/>
      <c r="MSO239" s="1"/>
      <c r="MSP239" s="1"/>
      <c r="MSQ239" s="1"/>
      <c r="MSR239" s="1"/>
      <c r="MSS239" s="1"/>
      <c r="MST239" s="1"/>
      <c r="MSU239" s="1"/>
      <c r="MSV239" s="1"/>
      <c r="MSW239" s="1"/>
      <c r="MSX239" s="1"/>
      <c r="MSY239" s="1"/>
      <c r="MSZ239" s="1"/>
      <c r="MTA239" s="1"/>
      <c r="MTB239" s="1"/>
      <c r="MTC239" s="1"/>
      <c r="MTD239" s="1"/>
      <c r="MTE239" s="1"/>
      <c r="MTF239" s="1"/>
      <c r="MTG239" s="1"/>
      <c r="MTH239" s="1"/>
      <c r="MTI239" s="1"/>
      <c r="MTJ239" s="1"/>
      <c r="MTK239" s="1"/>
      <c r="MTL239" s="1"/>
      <c r="MTM239" s="1"/>
      <c r="MTN239" s="1"/>
      <c r="MTO239" s="1"/>
      <c r="MTP239" s="1"/>
      <c r="MTQ239" s="1"/>
      <c r="MTR239" s="1"/>
      <c r="MTS239" s="1"/>
      <c r="MTT239" s="1"/>
      <c r="MTU239" s="1"/>
      <c r="MTV239" s="1"/>
      <c r="MTW239" s="1"/>
      <c r="MTX239" s="1"/>
      <c r="MTY239" s="1"/>
      <c r="MTZ239" s="1"/>
      <c r="MUA239" s="1"/>
      <c r="MUB239" s="1"/>
      <c r="MUC239" s="1"/>
      <c r="MUD239" s="1"/>
      <c r="MUE239" s="1"/>
      <c r="MUF239" s="1"/>
      <c r="MUG239" s="1"/>
      <c r="MUH239" s="1"/>
      <c r="MUI239" s="1"/>
      <c r="MUJ239" s="1"/>
      <c r="MUK239" s="1"/>
      <c r="MUL239" s="1"/>
      <c r="MUM239" s="1"/>
      <c r="MUN239" s="1"/>
      <c r="MUO239" s="1"/>
      <c r="MUP239" s="1"/>
      <c r="MUQ239" s="1"/>
      <c r="MUR239" s="1"/>
      <c r="MUS239" s="1"/>
      <c r="MUT239" s="1"/>
      <c r="MUU239" s="1"/>
      <c r="MUV239" s="1"/>
      <c r="MUW239" s="1"/>
      <c r="MUX239" s="1"/>
      <c r="MUY239" s="1"/>
      <c r="MUZ239" s="1"/>
      <c r="MVA239" s="1"/>
      <c r="MVB239" s="1"/>
      <c r="MVC239" s="1"/>
      <c r="MVD239" s="1"/>
      <c r="MVE239" s="1"/>
      <c r="MVF239" s="1"/>
      <c r="MVG239" s="1"/>
      <c r="MVH239" s="1"/>
      <c r="MVI239" s="1"/>
      <c r="MVJ239" s="1"/>
      <c r="MVK239" s="1"/>
      <c r="MVL239" s="1"/>
      <c r="MVM239" s="1"/>
      <c r="MVN239" s="1"/>
      <c r="MVO239" s="1"/>
      <c r="MVP239" s="1"/>
      <c r="MVQ239" s="1"/>
      <c r="MVR239" s="1"/>
      <c r="MVS239" s="1"/>
      <c r="MVT239" s="1"/>
      <c r="MVU239" s="1"/>
      <c r="MVV239" s="1"/>
      <c r="MVW239" s="1"/>
      <c r="MVX239" s="1"/>
      <c r="MVY239" s="1"/>
      <c r="MVZ239" s="1"/>
      <c r="MWA239" s="1"/>
      <c r="MWB239" s="1"/>
      <c r="MWC239" s="1"/>
      <c r="MWD239" s="1"/>
      <c r="MWE239" s="1"/>
      <c r="MWF239" s="1"/>
      <c r="MWG239" s="1"/>
      <c r="MWH239" s="1"/>
      <c r="MWI239" s="1"/>
      <c r="MWJ239" s="1"/>
      <c r="MWK239" s="1"/>
      <c r="MWL239" s="1"/>
      <c r="MWM239" s="1"/>
      <c r="MWN239" s="1"/>
      <c r="MWO239" s="1"/>
      <c r="MWP239" s="1"/>
      <c r="MWQ239" s="1"/>
      <c r="MWR239" s="1"/>
      <c r="MWS239" s="1"/>
      <c r="MWT239" s="1"/>
      <c r="MWU239" s="1"/>
      <c r="MWV239" s="1"/>
      <c r="MWW239" s="1"/>
      <c r="MWX239" s="1"/>
      <c r="MWY239" s="1"/>
      <c r="MWZ239" s="1"/>
      <c r="MXA239" s="1"/>
      <c r="MXB239" s="1"/>
      <c r="MXC239" s="1"/>
      <c r="MXD239" s="1"/>
      <c r="MXE239" s="1"/>
      <c r="MXF239" s="1"/>
      <c r="MXG239" s="1"/>
      <c r="MXH239" s="1"/>
      <c r="MXI239" s="1"/>
      <c r="MXJ239" s="1"/>
      <c r="MXK239" s="1"/>
      <c r="MXL239" s="1"/>
      <c r="MXM239" s="1"/>
      <c r="MXN239" s="1"/>
      <c r="MXO239" s="1"/>
      <c r="MXP239" s="1"/>
      <c r="MXQ239" s="1"/>
      <c r="MXR239" s="1"/>
      <c r="MXS239" s="1"/>
      <c r="MXT239" s="1"/>
      <c r="MXU239" s="1"/>
      <c r="MXV239" s="1"/>
      <c r="MXW239" s="1"/>
      <c r="MXX239" s="1"/>
      <c r="MXY239" s="1"/>
      <c r="MXZ239" s="1"/>
      <c r="MYA239" s="1"/>
      <c r="MYB239" s="1"/>
      <c r="MYC239" s="1"/>
      <c r="MYD239" s="1"/>
      <c r="MYE239" s="1"/>
      <c r="MYF239" s="1"/>
      <c r="MYG239" s="1"/>
      <c r="MYH239" s="1"/>
      <c r="MYI239" s="1"/>
      <c r="MYJ239" s="1"/>
      <c r="MYK239" s="1"/>
      <c r="MYL239" s="1"/>
      <c r="MYM239" s="1"/>
      <c r="MYN239" s="1"/>
      <c r="MYO239" s="1"/>
      <c r="MYP239" s="1"/>
      <c r="MYQ239" s="1"/>
      <c r="MYR239" s="1"/>
      <c r="MYS239" s="1"/>
      <c r="MYT239" s="1"/>
      <c r="MYU239" s="1"/>
      <c r="MYV239" s="1"/>
      <c r="MYW239" s="1"/>
      <c r="MYX239" s="1"/>
      <c r="MYY239" s="1"/>
      <c r="MYZ239" s="1"/>
      <c r="MZA239" s="1"/>
      <c r="MZB239" s="1"/>
      <c r="MZC239" s="1"/>
      <c r="MZD239" s="1"/>
      <c r="MZE239" s="1"/>
      <c r="MZF239" s="1"/>
      <c r="MZG239" s="1"/>
      <c r="MZH239" s="1"/>
      <c r="MZI239" s="1"/>
      <c r="MZJ239" s="1"/>
      <c r="MZK239" s="1"/>
      <c r="MZL239" s="1"/>
      <c r="MZM239" s="1"/>
      <c r="MZN239" s="1"/>
      <c r="MZO239" s="1"/>
      <c r="MZP239" s="1"/>
      <c r="MZQ239" s="1"/>
      <c r="MZR239" s="1"/>
      <c r="MZS239" s="1"/>
      <c r="MZT239" s="1"/>
      <c r="MZU239" s="1"/>
      <c r="MZV239" s="1"/>
      <c r="MZW239" s="1"/>
      <c r="MZX239" s="1"/>
      <c r="MZY239" s="1"/>
      <c r="MZZ239" s="1"/>
      <c r="NAA239" s="1"/>
      <c r="NAB239" s="1"/>
      <c r="NAC239" s="1"/>
      <c r="NAD239" s="1"/>
      <c r="NAE239" s="1"/>
      <c r="NAF239" s="1"/>
      <c r="NAG239" s="1"/>
      <c r="NAH239" s="1"/>
      <c r="NAI239" s="1"/>
      <c r="NAJ239" s="1"/>
      <c r="NAK239" s="1"/>
      <c r="NAL239" s="1"/>
      <c r="NAM239" s="1"/>
      <c r="NAN239" s="1"/>
      <c r="NAO239" s="1"/>
      <c r="NAP239" s="1"/>
      <c r="NAQ239" s="1"/>
      <c r="NAR239" s="1"/>
      <c r="NAS239" s="1"/>
      <c r="NAT239" s="1"/>
      <c r="NAU239" s="1"/>
      <c r="NAV239" s="1"/>
      <c r="NAW239" s="1"/>
      <c r="NAX239" s="1"/>
      <c r="NAY239" s="1"/>
      <c r="NAZ239" s="1"/>
      <c r="NBA239" s="1"/>
      <c r="NBB239" s="1"/>
      <c r="NBC239" s="1"/>
      <c r="NBD239" s="1"/>
      <c r="NBE239" s="1"/>
      <c r="NBF239" s="1"/>
      <c r="NBG239" s="1"/>
      <c r="NBH239" s="1"/>
      <c r="NBI239" s="1"/>
      <c r="NBJ239" s="1"/>
      <c r="NBK239" s="1"/>
      <c r="NBL239" s="1"/>
      <c r="NBM239" s="1"/>
      <c r="NBN239" s="1"/>
      <c r="NBO239" s="1"/>
      <c r="NBP239" s="1"/>
      <c r="NBQ239" s="1"/>
      <c r="NBR239" s="1"/>
      <c r="NBS239" s="1"/>
      <c r="NBT239" s="1"/>
      <c r="NBU239" s="1"/>
      <c r="NBV239" s="1"/>
      <c r="NBW239" s="1"/>
      <c r="NBX239" s="1"/>
      <c r="NBY239" s="1"/>
      <c r="NBZ239" s="1"/>
      <c r="NCA239" s="1"/>
      <c r="NCB239" s="1"/>
      <c r="NCC239" s="1"/>
      <c r="NCD239" s="1"/>
      <c r="NCE239" s="1"/>
      <c r="NCF239" s="1"/>
      <c r="NCG239" s="1"/>
      <c r="NCH239" s="1"/>
      <c r="NCI239" s="1"/>
      <c r="NCJ239" s="1"/>
      <c r="NCK239" s="1"/>
      <c r="NCL239" s="1"/>
      <c r="NCM239" s="1"/>
      <c r="NCN239" s="1"/>
      <c r="NCO239" s="1"/>
      <c r="NCP239" s="1"/>
      <c r="NCQ239" s="1"/>
      <c r="NCR239" s="1"/>
      <c r="NCS239" s="1"/>
      <c r="NCT239" s="1"/>
      <c r="NCU239" s="1"/>
      <c r="NCV239" s="1"/>
      <c r="NCW239" s="1"/>
      <c r="NCX239" s="1"/>
      <c r="NCY239" s="1"/>
      <c r="NCZ239" s="1"/>
      <c r="NDA239" s="1"/>
      <c r="NDB239" s="1"/>
      <c r="NDC239" s="1"/>
      <c r="NDD239" s="1"/>
      <c r="NDE239" s="1"/>
      <c r="NDF239" s="1"/>
      <c r="NDG239" s="1"/>
      <c r="NDH239" s="1"/>
      <c r="NDI239" s="1"/>
      <c r="NDJ239" s="1"/>
      <c r="NDK239" s="1"/>
      <c r="NDL239" s="1"/>
      <c r="NDM239" s="1"/>
      <c r="NDN239" s="1"/>
      <c r="NDO239" s="1"/>
      <c r="NDP239" s="1"/>
      <c r="NDQ239" s="1"/>
      <c r="NDR239" s="1"/>
      <c r="NDS239" s="1"/>
      <c r="NDT239" s="1"/>
      <c r="NDU239" s="1"/>
      <c r="NDV239" s="1"/>
      <c r="NDW239" s="1"/>
      <c r="NDX239" s="1"/>
      <c r="NDY239" s="1"/>
      <c r="NDZ239" s="1"/>
      <c r="NEA239" s="1"/>
      <c r="NEB239" s="1"/>
      <c r="NEC239" s="1"/>
      <c r="NED239" s="1"/>
      <c r="NEE239" s="1"/>
      <c r="NEF239" s="1"/>
      <c r="NEG239" s="1"/>
      <c r="NEH239" s="1"/>
      <c r="NEI239" s="1"/>
      <c r="NEJ239" s="1"/>
      <c r="NEK239" s="1"/>
      <c r="NEL239" s="1"/>
      <c r="NEM239" s="1"/>
      <c r="NEN239" s="1"/>
      <c r="NEO239" s="1"/>
      <c r="NEP239" s="1"/>
      <c r="NEQ239" s="1"/>
      <c r="NER239" s="1"/>
      <c r="NES239" s="1"/>
      <c r="NET239" s="1"/>
      <c r="NEU239" s="1"/>
      <c r="NEV239" s="1"/>
      <c r="NEW239" s="1"/>
      <c r="NEX239" s="1"/>
      <c r="NEY239" s="1"/>
      <c r="NEZ239" s="1"/>
      <c r="NFA239" s="1"/>
      <c r="NFB239" s="1"/>
      <c r="NFC239" s="1"/>
      <c r="NFD239" s="1"/>
      <c r="NFE239" s="1"/>
      <c r="NFF239" s="1"/>
      <c r="NFG239" s="1"/>
      <c r="NFH239" s="1"/>
      <c r="NFI239" s="1"/>
      <c r="NFJ239" s="1"/>
      <c r="NFK239" s="1"/>
      <c r="NFL239" s="1"/>
      <c r="NFM239" s="1"/>
      <c r="NFN239" s="1"/>
      <c r="NFO239" s="1"/>
      <c r="NFP239" s="1"/>
      <c r="NFQ239" s="1"/>
      <c r="NFR239" s="1"/>
      <c r="NFS239" s="1"/>
      <c r="NFT239" s="1"/>
      <c r="NFU239" s="1"/>
      <c r="NFV239" s="1"/>
      <c r="NFW239" s="1"/>
      <c r="NFX239" s="1"/>
      <c r="NFY239" s="1"/>
      <c r="NFZ239" s="1"/>
      <c r="NGA239" s="1"/>
      <c r="NGB239" s="1"/>
      <c r="NGC239" s="1"/>
      <c r="NGD239" s="1"/>
      <c r="NGE239" s="1"/>
      <c r="NGF239" s="1"/>
      <c r="NGG239" s="1"/>
      <c r="NGH239" s="1"/>
      <c r="NGI239" s="1"/>
      <c r="NGJ239" s="1"/>
      <c r="NGK239" s="1"/>
      <c r="NGL239" s="1"/>
      <c r="NGM239" s="1"/>
      <c r="NGN239" s="1"/>
      <c r="NGO239" s="1"/>
      <c r="NGP239" s="1"/>
      <c r="NGQ239" s="1"/>
      <c r="NGR239" s="1"/>
      <c r="NGS239" s="1"/>
      <c r="NGT239" s="1"/>
      <c r="NGU239" s="1"/>
      <c r="NGV239" s="1"/>
      <c r="NGW239" s="1"/>
      <c r="NGX239" s="1"/>
      <c r="NGY239" s="1"/>
      <c r="NGZ239" s="1"/>
      <c r="NHA239" s="1"/>
      <c r="NHB239" s="1"/>
      <c r="NHC239" s="1"/>
      <c r="NHD239" s="1"/>
      <c r="NHE239" s="1"/>
      <c r="NHF239" s="1"/>
      <c r="NHG239" s="1"/>
      <c r="NHH239" s="1"/>
      <c r="NHI239" s="1"/>
      <c r="NHJ239" s="1"/>
      <c r="NHK239" s="1"/>
      <c r="NHL239" s="1"/>
      <c r="NHM239" s="1"/>
      <c r="NHN239" s="1"/>
      <c r="NHO239" s="1"/>
      <c r="NHP239" s="1"/>
      <c r="NHQ239" s="1"/>
      <c r="NHR239" s="1"/>
      <c r="NHS239" s="1"/>
      <c r="NHT239" s="1"/>
      <c r="NHU239" s="1"/>
      <c r="NHV239" s="1"/>
      <c r="NHW239" s="1"/>
      <c r="NHX239" s="1"/>
      <c r="NHY239" s="1"/>
      <c r="NHZ239" s="1"/>
      <c r="NIA239" s="1"/>
      <c r="NIB239" s="1"/>
      <c r="NIC239" s="1"/>
      <c r="NID239" s="1"/>
      <c r="NIE239" s="1"/>
      <c r="NIF239" s="1"/>
      <c r="NIG239" s="1"/>
      <c r="NIH239" s="1"/>
      <c r="NII239" s="1"/>
      <c r="NIJ239" s="1"/>
      <c r="NIK239" s="1"/>
      <c r="NIL239" s="1"/>
      <c r="NIM239" s="1"/>
      <c r="NIN239" s="1"/>
      <c r="NIO239" s="1"/>
      <c r="NIP239" s="1"/>
      <c r="NIQ239" s="1"/>
      <c r="NIR239" s="1"/>
      <c r="NIS239" s="1"/>
      <c r="NIT239" s="1"/>
      <c r="NIU239" s="1"/>
      <c r="NIV239" s="1"/>
      <c r="NIW239" s="1"/>
      <c r="NIX239" s="1"/>
      <c r="NIY239" s="1"/>
      <c r="NIZ239" s="1"/>
      <c r="NJA239" s="1"/>
      <c r="NJB239" s="1"/>
      <c r="NJC239" s="1"/>
      <c r="NJD239" s="1"/>
      <c r="NJE239" s="1"/>
      <c r="NJF239" s="1"/>
      <c r="NJG239" s="1"/>
      <c r="NJH239" s="1"/>
      <c r="NJI239" s="1"/>
      <c r="NJJ239" s="1"/>
      <c r="NJK239" s="1"/>
      <c r="NJL239" s="1"/>
      <c r="NJM239" s="1"/>
      <c r="NJN239" s="1"/>
      <c r="NJO239" s="1"/>
      <c r="NJP239" s="1"/>
      <c r="NJQ239" s="1"/>
      <c r="NJR239" s="1"/>
      <c r="NJS239" s="1"/>
      <c r="NJT239" s="1"/>
      <c r="NJU239" s="1"/>
      <c r="NJV239" s="1"/>
      <c r="NJW239" s="1"/>
      <c r="NJX239" s="1"/>
      <c r="NJY239" s="1"/>
      <c r="NJZ239" s="1"/>
      <c r="NKA239" s="1"/>
      <c r="NKB239" s="1"/>
      <c r="NKC239" s="1"/>
      <c r="NKD239" s="1"/>
      <c r="NKE239" s="1"/>
      <c r="NKF239" s="1"/>
      <c r="NKG239" s="1"/>
      <c r="NKH239" s="1"/>
      <c r="NKI239" s="1"/>
      <c r="NKJ239" s="1"/>
      <c r="NKK239" s="1"/>
      <c r="NKL239" s="1"/>
      <c r="NKM239" s="1"/>
      <c r="NKN239" s="1"/>
      <c r="NKO239" s="1"/>
      <c r="NKP239" s="1"/>
      <c r="NKQ239" s="1"/>
      <c r="NKR239" s="1"/>
      <c r="NKS239" s="1"/>
      <c r="NKT239" s="1"/>
      <c r="NKU239" s="1"/>
      <c r="NKV239" s="1"/>
      <c r="NKW239" s="1"/>
      <c r="NKX239" s="1"/>
      <c r="NKY239" s="1"/>
      <c r="NKZ239" s="1"/>
      <c r="NLA239" s="1"/>
      <c r="NLB239" s="1"/>
      <c r="NLC239" s="1"/>
      <c r="NLD239" s="1"/>
      <c r="NLE239" s="1"/>
      <c r="NLF239" s="1"/>
      <c r="NLG239" s="1"/>
      <c r="NLH239" s="1"/>
      <c r="NLI239" s="1"/>
      <c r="NLJ239" s="1"/>
      <c r="NLK239" s="1"/>
      <c r="NLL239" s="1"/>
      <c r="NLM239" s="1"/>
      <c r="NLN239" s="1"/>
      <c r="NLO239" s="1"/>
      <c r="NLP239" s="1"/>
      <c r="NLQ239" s="1"/>
      <c r="NLR239" s="1"/>
      <c r="NLS239" s="1"/>
      <c r="NLT239" s="1"/>
      <c r="NLU239" s="1"/>
      <c r="NLV239" s="1"/>
      <c r="NLW239" s="1"/>
      <c r="NLX239" s="1"/>
      <c r="NLY239" s="1"/>
      <c r="NLZ239" s="1"/>
      <c r="NMA239" s="1"/>
      <c r="NMB239" s="1"/>
      <c r="NMC239" s="1"/>
      <c r="NMD239" s="1"/>
      <c r="NME239" s="1"/>
      <c r="NMF239" s="1"/>
      <c r="NMG239" s="1"/>
      <c r="NMH239" s="1"/>
      <c r="NMI239" s="1"/>
      <c r="NMJ239" s="1"/>
      <c r="NMK239" s="1"/>
      <c r="NML239" s="1"/>
      <c r="NMM239" s="1"/>
      <c r="NMN239" s="1"/>
      <c r="NMO239" s="1"/>
      <c r="NMP239" s="1"/>
      <c r="NMQ239" s="1"/>
      <c r="NMR239" s="1"/>
      <c r="NMS239" s="1"/>
      <c r="NMT239" s="1"/>
      <c r="NMU239" s="1"/>
      <c r="NMV239" s="1"/>
      <c r="NMW239" s="1"/>
      <c r="NMX239" s="1"/>
      <c r="NMY239" s="1"/>
      <c r="NMZ239" s="1"/>
      <c r="NNA239" s="1"/>
      <c r="NNB239" s="1"/>
      <c r="NNC239" s="1"/>
      <c r="NND239" s="1"/>
      <c r="NNE239" s="1"/>
      <c r="NNF239" s="1"/>
      <c r="NNG239" s="1"/>
      <c r="NNH239" s="1"/>
      <c r="NNI239" s="1"/>
      <c r="NNJ239" s="1"/>
      <c r="NNK239" s="1"/>
      <c r="NNL239" s="1"/>
      <c r="NNM239" s="1"/>
      <c r="NNN239" s="1"/>
      <c r="NNO239" s="1"/>
      <c r="NNP239" s="1"/>
      <c r="NNQ239" s="1"/>
      <c r="NNR239" s="1"/>
      <c r="NNS239" s="1"/>
      <c r="NNT239" s="1"/>
      <c r="NNU239" s="1"/>
      <c r="NNV239" s="1"/>
      <c r="NNW239" s="1"/>
      <c r="NNX239" s="1"/>
      <c r="NNY239" s="1"/>
      <c r="NNZ239" s="1"/>
      <c r="NOA239" s="1"/>
      <c r="NOB239" s="1"/>
      <c r="NOC239" s="1"/>
      <c r="NOD239" s="1"/>
      <c r="NOE239" s="1"/>
      <c r="NOF239" s="1"/>
      <c r="NOG239" s="1"/>
      <c r="NOH239" s="1"/>
      <c r="NOI239" s="1"/>
      <c r="NOJ239" s="1"/>
      <c r="NOK239" s="1"/>
      <c r="NOL239" s="1"/>
      <c r="NOM239" s="1"/>
      <c r="NON239" s="1"/>
      <c r="NOO239" s="1"/>
      <c r="NOP239" s="1"/>
      <c r="NOQ239" s="1"/>
      <c r="NOR239" s="1"/>
      <c r="NOS239" s="1"/>
      <c r="NOT239" s="1"/>
      <c r="NOU239" s="1"/>
      <c r="NOV239" s="1"/>
      <c r="NOW239" s="1"/>
      <c r="NOX239" s="1"/>
      <c r="NOY239" s="1"/>
      <c r="NOZ239" s="1"/>
      <c r="NPA239" s="1"/>
      <c r="NPB239" s="1"/>
      <c r="NPC239" s="1"/>
      <c r="NPD239" s="1"/>
      <c r="NPE239" s="1"/>
      <c r="NPF239" s="1"/>
      <c r="NPG239" s="1"/>
      <c r="NPH239" s="1"/>
      <c r="NPI239" s="1"/>
      <c r="NPJ239" s="1"/>
      <c r="NPK239" s="1"/>
      <c r="NPL239" s="1"/>
      <c r="NPM239" s="1"/>
      <c r="NPN239" s="1"/>
      <c r="NPO239" s="1"/>
      <c r="NPP239" s="1"/>
      <c r="NPQ239" s="1"/>
      <c r="NPR239" s="1"/>
      <c r="NPS239" s="1"/>
      <c r="NPT239" s="1"/>
      <c r="NPU239" s="1"/>
      <c r="NPV239" s="1"/>
      <c r="NPW239" s="1"/>
      <c r="NPX239" s="1"/>
      <c r="NPY239" s="1"/>
      <c r="NPZ239" s="1"/>
      <c r="NQA239" s="1"/>
      <c r="NQB239" s="1"/>
      <c r="NQC239" s="1"/>
      <c r="NQD239" s="1"/>
      <c r="NQE239" s="1"/>
      <c r="NQF239" s="1"/>
      <c r="NQG239" s="1"/>
      <c r="NQH239" s="1"/>
      <c r="NQI239" s="1"/>
      <c r="NQJ239" s="1"/>
      <c r="NQK239" s="1"/>
      <c r="NQL239" s="1"/>
      <c r="NQM239" s="1"/>
      <c r="NQN239" s="1"/>
      <c r="NQO239" s="1"/>
      <c r="NQP239" s="1"/>
      <c r="NQQ239" s="1"/>
      <c r="NQR239" s="1"/>
      <c r="NQS239" s="1"/>
      <c r="NQT239" s="1"/>
      <c r="NQU239" s="1"/>
      <c r="NQV239" s="1"/>
      <c r="NQW239" s="1"/>
      <c r="NQX239" s="1"/>
      <c r="NQY239" s="1"/>
      <c r="NQZ239" s="1"/>
      <c r="NRA239" s="1"/>
      <c r="NRB239" s="1"/>
      <c r="NRC239" s="1"/>
      <c r="NRD239" s="1"/>
      <c r="NRE239" s="1"/>
      <c r="NRF239" s="1"/>
      <c r="NRG239" s="1"/>
      <c r="NRH239" s="1"/>
      <c r="NRI239" s="1"/>
      <c r="NRJ239" s="1"/>
      <c r="NRK239" s="1"/>
      <c r="NRL239" s="1"/>
      <c r="NRM239" s="1"/>
      <c r="NRN239" s="1"/>
      <c r="NRO239" s="1"/>
      <c r="NRP239" s="1"/>
      <c r="NRQ239" s="1"/>
      <c r="NRR239" s="1"/>
      <c r="NRS239" s="1"/>
      <c r="NRT239" s="1"/>
      <c r="NRU239" s="1"/>
      <c r="NRV239" s="1"/>
      <c r="NRW239" s="1"/>
      <c r="NRX239" s="1"/>
      <c r="NRY239" s="1"/>
      <c r="NRZ239" s="1"/>
      <c r="NSA239" s="1"/>
      <c r="NSB239" s="1"/>
      <c r="NSC239" s="1"/>
      <c r="NSD239" s="1"/>
      <c r="NSE239" s="1"/>
      <c r="NSF239" s="1"/>
      <c r="NSG239" s="1"/>
      <c r="NSH239" s="1"/>
      <c r="NSI239" s="1"/>
      <c r="NSJ239" s="1"/>
      <c r="NSK239" s="1"/>
      <c r="NSL239" s="1"/>
      <c r="NSM239" s="1"/>
      <c r="NSN239" s="1"/>
      <c r="NSO239" s="1"/>
      <c r="NSP239" s="1"/>
      <c r="NSQ239" s="1"/>
      <c r="NSR239" s="1"/>
      <c r="NSS239" s="1"/>
      <c r="NST239" s="1"/>
      <c r="NSU239" s="1"/>
      <c r="NSV239" s="1"/>
      <c r="NSW239" s="1"/>
      <c r="NSX239" s="1"/>
      <c r="NSY239" s="1"/>
      <c r="NSZ239" s="1"/>
      <c r="NTA239" s="1"/>
      <c r="NTB239" s="1"/>
      <c r="NTC239" s="1"/>
      <c r="NTD239" s="1"/>
      <c r="NTE239" s="1"/>
      <c r="NTF239" s="1"/>
      <c r="NTG239" s="1"/>
      <c r="NTH239" s="1"/>
      <c r="NTI239" s="1"/>
      <c r="NTJ239" s="1"/>
      <c r="NTK239" s="1"/>
      <c r="NTL239" s="1"/>
      <c r="NTM239" s="1"/>
      <c r="NTN239" s="1"/>
      <c r="NTO239" s="1"/>
      <c r="NTP239" s="1"/>
      <c r="NTQ239" s="1"/>
      <c r="NTR239" s="1"/>
      <c r="NTS239" s="1"/>
      <c r="NTT239" s="1"/>
      <c r="NTU239" s="1"/>
      <c r="NTV239" s="1"/>
      <c r="NTW239" s="1"/>
      <c r="NTX239" s="1"/>
      <c r="NTY239" s="1"/>
      <c r="NTZ239" s="1"/>
      <c r="NUA239" s="1"/>
      <c r="NUB239" s="1"/>
      <c r="NUC239" s="1"/>
      <c r="NUD239" s="1"/>
      <c r="NUE239" s="1"/>
      <c r="NUF239" s="1"/>
      <c r="NUG239" s="1"/>
      <c r="NUH239" s="1"/>
      <c r="NUI239" s="1"/>
      <c r="NUJ239" s="1"/>
      <c r="NUK239" s="1"/>
      <c r="NUL239" s="1"/>
      <c r="NUM239" s="1"/>
      <c r="NUN239" s="1"/>
      <c r="NUO239" s="1"/>
      <c r="NUP239" s="1"/>
      <c r="NUQ239" s="1"/>
      <c r="NUR239" s="1"/>
      <c r="NUS239" s="1"/>
      <c r="NUT239" s="1"/>
      <c r="NUU239" s="1"/>
      <c r="NUV239" s="1"/>
      <c r="NUW239" s="1"/>
      <c r="NUX239" s="1"/>
      <c r="NUY239" s="1"/>
      <c r="NUZ239" s="1"/>
      <c r="NVA239" s="1"/>
      <c r="NVB239" s="1"/>
      <c r="NVC239" s="1"/>
      <c r="NVD239" s="1"/>
      <c r="NVE239" s="1"/>
      <c r="NVF239" s="1"/>
      <c r="NVG239" s="1"/>
      <c r="NVH239" s="1"/>
      <c r="NVI239" s="1"/>
      <c r="NVJ239" s="1"/>
      <c r="NVK239" s="1"/>
      <c r="NVL239" s="1"/>
      <c r="NVM239" s="1"/>
      <c r="NVN239" s="1"/>
      <c r="NVO239" s="1"/>
      <c r="NVP239" s="1"/>
      <c r="NVQ239" s="1"/>
      <c r="NVR239" s="1"/>
      <c r="NVS239" s="1"/>
      <c r="NVT239" s="1"/>
      <c r="NVU239" s="1"/>
      <c r="NVV239" s="1"/>
      <c r="NVW239" s="1"/>
      <c r="NVX239" s="1"/>
      <c r="NVY239" s="1"/>
      <c r="NVZ239" s="1"/>
      <c r="NWA239" s="1"/>
      <c r="NWB239" s="1"/>
      <c r="NWC239" s="1"/>
      <c r="NWD239" s="1"/>
      <c r="NWE239" s="1"/>
      <c r="NWF239" s="1"/>
      <c r="NWG239" s="1"/>
      <c r="NWH239" s="1"/>
      <c r="NWI239" s="1"/>
      <c r="NWJ239" s="1"/>
      <c r="NWK239" s="1"/>
      <c r="NWL239" s="1"/>
      <c r="NWM239" s="1"/>
      <c r="NWN239" s="1"/>
      <c r="NWO239" s="1"/>
      <c r="NWP239" s="1"/>
      <c r="NWQ239" s="1"/>
      <c r="NWR239" s="1"/>
      <c r="NWS239" s="1"/>
      <c r="NWT239" s="1"/>
      <c r="NWU239" s="1"/>
      <c r="NWV239" s="1"/>
      <c r="NWW239" s="1"/>
      <c r="NWX239" s="1"/>
      <c r="NWY239" s="1"/>
      <c r="NWZ239" s="1"/>
      <c r="NXA239" s="1"/>
      <c r="NXB239" s="1"/>
      <c r="NXC239" s="1"/>
      <c r="NXD239" s="1"/>
      <c r="NXE239" s="1"/>
      <c r="NXF239" s="1"/>
      <c r="NXG239" s="1"/>
      <c r="NXH239" s="1"/>
      <c r="NXI239" s="1"/>
      <c r="NXJ239" s="1"/>
      <c r="NXK239" s="1"/>
      <c r="NXL239" s="1"/>
      <c r="NXM239" s="1"/>
      <c r="NXN239" s="1"/>
      <c r="NXO239" s="1"/>
      <c r="NXP239" s="1"/>
      <c r="NXQ239" s="1"/>
      <c r="NXR239" s="1"/>
      <c r="NXS239" s="1"/>
      <c r="NXT239" s="1"/>
      <c r="NXU239" s="1"/>
      <c r="NXV239" s="1"/>
      <c r="NXW239" s="1"/>
      <c r="NXX239" s="1"/>
      <c r="NXY239" s="1"/>
      <c r="NXZ239" s="1"/>
      <c r="NYA239" s="1"/>
      <c r="NYB239" s="1"/>
      <c r="NYC239" s="1"/>
      <c r="NYD239" s="1"/>
      <c r="NYE239" s="1"/>
      <c r="NYF239" s="1"/>
      <c r="NYG239" s="1"/>
      <c r="NYH239" s="1"/>
      <c r="NYI239" s="1"/>
      <c r="NYJ239" s="1"/>
      <c r="NYK239" s="1"/>
      <c r="NYL239" s="1"/>
      <c r="NYM239" s="1"/>
      <c r="NYN239" s="1"/>
      <c r="NYO239" s="1"/>
      <c r="NYP239" s="1"/>
      <c r="NYQ239" s="1"/>
      <c r="NYR239" s="1"/>
      <c r="NYS239" s="1"/>
      <c r="NYT239" s="1"/>
      <c r="NYU239" s="1"/>
      <c r="NYV239" s="1"/>
      <c r="NYW239" s="1"/>
      <c r="NYX239" s="1"/>
      <c r="NYY239" s="1"/>
      <c r="NYZ239" s="1"/>
      <c r="NZA239" s="1"/>
      <c r="NZB239" s="1"/>
      <c r="NZC239" s="1"/>
      <c r="NZD239" s="1"/>
      <c r="NZE239" s="1"/>
      <c r="NZF239" s="1"/>
      <c r="NZG239" s="1"/>
      <c r="NZH239" s="1"/>
      <c r="NZI239" s="1"/>
      <c r="NZJ239" s="1"/>
      <c r="NZK239" s="1"/>
      <c r="NZL239" s="1"/>
      <c r="NZM239" s="1"/>
      <c r="NZN239" s="1"/>
      <c r="NZO239" s="1"/>
      <c r="NZP239" s="1"/>
      <c r="NZQ239" s="1"/>
      <c r="NZR239" s="1"/>
      <c r="NZS239" s="1"/>
      <c r="NZT239" s="1"/>
      <c r="NZU239" s="1"/>
      <c r="NZV239" s="1"/>
      <c r="NZW239" s="1"/>
      <c r="NZX239" s="1"/>
      <c r="NZY239" s="1"/>
      <c r="NZZ239" s="1"/>
      <c r="OAA239" s="1"/>
      <c r="OAB239" s="1"/>
      <c r="OAC239" s="1"/>
      <c r="OAD239" s="1"/>
      <c r="OAE239" s="1"/>
      <c r="OAF239" s="1"/>
      <c r="OAG239" s="1"/>
      <c r="OAH239" s="1"/>
      <c r="OAI239" s="1"/>
      <c r="OAJ239" s="1"/>
      <c r="OAK239" s="1"/>
      <c r="OAL239" s="1"/>
      <c r="OAM239" s="1"/>
      <c r="OAN239" s="1"/>
      <c r="OAO239" s="1"/>
      <c r="OAP239" s="1"/>
      <c r="OAQ239" s="1"/>
      <c r="OAR239" s="1"/>
      <c r="OAS239" s="1"/>
      <c r="OAT239" s="1"/>
      <c r="OAU239" s="1"/>
      <c r="OAV239" s="1"/>
      <c r="OAW239" s="1"/>
      <c r="OAX239" s="1"/>
      <c r="OAY239" s="1"/>
      <c r="OAZ239" s="1"/>
      <c r="OBA239" s="1"/>
      <c r="OBB239" s="1"/>
      <c r="OBC239" s="1"/>
      <c r="OBD239" s="1"/>
      <c r="OBE239" s="1"/>
      <c r="OBF239" s="1"/>
      <c r="OBG239" s="1"/>
      <c r="OBH239" s="1"/>
      <c r="OBI239" s="1"/>
      <c r="OBJ239" s="1"/>
      <c r="OBK239" s="1"/>
      <c r="OBL239" s="1"/>
      <c r="OBM239" s="1"/>
      <c r="OBN239" s="1"/>
      <c r="OBO239" s="1"/>
      <c r="OBP239" s="1"/>
      <c r="OBQ239" s="1"/>
      <c r="OBR239" s="1"/>
      <c r="OBS239" s="1"/>
      <c r="OBT239" s="1"/>
      <c r="OBU239" s="1"/>
      <c r="OBV239" s="1"/>
      <c r="OBW239" s="1"/>
      <c r="OBX239" s="1"/>
      <c r="OBY239" s="1"/>
      <c r="OBZ239" s="1"/>
      <c r="OCA239" s="1"/>
      <c r="OCB239" s="1"/>
      <c r="OCC239" s="1"/>
      <c r="OCD239" s="1"/>
      <c r="OCE239" s="1"/>
      <c r="OCF239" s="1"/>
      <c r="OCG239" s="1"/>
      <c r="OCH239" s="1"/>
      <c r="OCI239" s="1"/>
      <c r="OCJ239" s="1"/>
      <c r="OCK239" s="1"/>
      <c r="OCL239" s="1"/>
      <c r="OCM239" s="1"/>
      <c r="OCN239" s="1"/>
      <c r="OCO239" s="1"/>
      <c r="OCP239" s="1"/>
      <c r="OCQ239" s="1"/>
      <c r="OCR239" s="1"/>
      <c r="OCS239" s="1"/>
      <c r="OCT239" s="1"/>
      <c r="OCU239" s="1"/>
      <c r="OCV239" s="1"/>
      <c r="OCW239" s="1"/>
      <c r="OCX239" s="1"/>
      <c r="OCY239" s="1"/>
      <c r="OCZ239" s="1"/>
      <c r="ODA239" s="1"/>
      <c r="ODB239" s="1"/>
      <c r="ODC239" s="1"/>
      <c r="ODD239" s="1"/>
      <c r="ODE239" s="1"/>
      <c r="ODF239" s="1"/>
      <c r="ODG239" s="1"/>
      <c r="ODH239" s="1"/>
      <c r="ODI239" s="1"/>
      <c r="ODJ239" s="1"/>
      <c r="ODK239" s="1"/>
      <c r="ODL239" s="1"/>
      <c r="ODM239" s="1"/>
      <c r="ODN239" s="1"/>
      <c r="ODO239" s="1"/>
      <c r="ODP239" s="1"/>
      <c r="ODQ239" s="1"/>
      <c r="ODR239" s="1"/>
      <c r="ODS239" s="1"/>
      <c r="ODT239" s="1"/>
      <c r="ODU239" s="1"/>
      <c r="ODV239" s="1"/>
      <c r="ODW239" s="1"/>
      <c r="ODX239" s="1"/>
      <c r="ODY239" s="1"/>
      <c r="ODZ239" s="1"/>
      <c r="OEA239" s="1"/>
      <c r="OEB239" s="1"/>
      <c r="OEC239" s="1"/>
      <c r="OED239" s="1"/>
      <c r="OEE239" s="1"/>
      <c r="OEF239" s="1"/>
      <c r="OEG239" s="1"/>
      <c r="OEH239" s="1"/>
      <c r="OEI239" s="1"/>
      <c r="OEJ239" s="1"/>
      <c r="OEK239" s="1"/>
      <c r="OEL239" s="1"/>
      <c r="OEM239" s="1"/>
      <c r="OEN239" s="1"/>
      <c r="OEO239" s="1"/>
      <c r="OEP239" s="1"/>
      <c r="OEQ239" s="1"/>
      <c r="OER239" s="1"/>
      <c r="OES239" s="1"/>
      <c r="OET239" s="1"/>
      <c r="OEU239" s="1"/>
      <c r="OEV239" s="1"/>
      <c r="OEW239" s="1"/>
      <c r="OEX239" s="1"/>
      <c r="OEY239" s="1"/>
      <c r="OEZ239" s="1"/>
      <c r="OFA239" s="1"/>
      <c r="OFB239" s="1"/>
      <c r="OFC239" s="1"/>
      <c r="OFD239" s="1"/>
      <c r="OFE239" s="1"/>
      <c r="OFF239" s="1"/>
      <c r="OFG239" s="1"/>
      <c r="OFH239" s="1"/>
      <c r="OFI239" s="1"/>
      <c r="OFJ239" s="1"/>
      <c r="OFK239" s="1"/>
      <c r="OFL239" s="1"/>
      <c r="OFM239" s="1"/>
      <c r="OFN239" s="1"/>
      <c r="OFO239" s="1"/>
      <c r="OFP239" s="1"/>
      <c r="OFQ239" s="1"/>
      <c r="OFR239" s="1"/>
      <c r="OFS239" s="1"/>
      <c r="OFT239" s="1"/>
      <c r="OFU239" s="1"/>
      <c r="OFV239" s="1"/>
      <c r="OFW239" s="1"/>
      <c r="OFX239" s="1"/>
      <c r="OFY239" s="1"/>
      <c r="OFZ239" s="1"/>
      <c r="OGA239" s="1"/>
      <c r="OGB239" s="1"/>
      <c r="OGC239" s="1"/>
      <c r="OGD239" s="1"/>
      <c r="OGE239" s="1"/>
      <c r="OGF239" s="1"/>
      <c r="OGG239" s="1"/>
      <c r="OGH239" s="1"/>
      <c r="OGI239" s="1"/>
      <c r="OGJ239" s="1"/>
      <c r="OGK239" s="1"/>
      <c r="OGL239" s="1"/>
      <c r="OGM239" s="1"/>
      <c r="OGN239" s="1"/>
      <c r="OGO239" s="1"/>
      <c r="OGP239" s="1"/>
      <c r="OGQ239" s="1"/>
      <c r="OGR239" s="1"/>
      <c r="OGS239" s="1"/>
      <c r="OGT239" s="1"/>
      <c r="OGU239" s="1"/>
      <c r="OGV239" s="1"/>
      <c r="OGW239" s="1"/>
      <c r="OGX239" s="1"/>
      <c r="OGY239" s="1"/>
      <c r="OGZ239" s="1"/>
      <c r="OHA239" s="1"/>
      <c r="OHB239" s="1"/>
      <c r="OHC239" s="1"/>
      <c r="OHD239" s="1"/>
      <c r="OHE239" s="1"/>
      <c r="OHF239" s="1"/>
      <c r="OHG239" s="1"/>
      <c r="OHH239" s="1"/>
      <c r="OHI239" s="1"/>
      <c r="OHJ239" s="1"/>
      <c r="OHK239" s="1"/>
      <c r="OHL239" s="1"/>
      <c r="OHM239" s="1"/>
      <c r="OHN239" s="1"/>
      <c r="OHO239" s="1"/>
      <c r="OHP239" s="1"/>
      <c r="OHQ239" s="1"/>
      <c r="OHR239" s="1"/>
      <c r="OHS239" s="1"/>
      <c r="OHT239" s="1"/>
      <c r="OHU239" s="1"/>
      <c r="OHV239" s="1"/>
      <c r="OHW239" s="1"/>
      <c r="OHX239" s="1"/>
      <c r="OHY239" s="1"/>
      <c r="OHZ239" s="1"/>
      <c r="OIA239" s="1"/>
      <c r="OIB239" s="1"/>
      <c r="OIC239" s="1"/>
      <c r="OID239" s="1"/>
      <c r="OIE239" s="1"/>
      <c r="OIF239" s="1"/>
      <c r="OIG239" s="1"/>
      <c r="OIH239" s="1"/>
      <c r="OII239" s="1"/>
      <c r="OIJ239" s="1"/>
      <c r="OIK239" s="1"/>
      <c r="OIL239" s="1"/>
      <c r="OIM239" s="1"/>
      <c r="OIN239" s="1"/>
      <c r="OIO239" s="1"/>
      <c r="OIP239" s="1"/>
      <c r="OIQ239" s="1"/>
      <c r="OIR239" s="1"/>
      <c r="OIS239" s="1"/>
      <c r="OIT239" s="1"/>
      <c r="OIU239" s="1"/>
      <c r="OIV239" s="1"/>
      <c r="OIW239" s="1"/>
      <c r="OIX239" s="1"/>
      <c r="OIY239" s="1"/>
      <c r="OIZ239" s="1"/>
      <c r="OJA239" s="1"/>
      <c r="OJB239" s="1"/>
      <c r="OJC239" s="1"/>
      <c r="OJD239" s="1"/>
      <c r="OJE239" s="1"/>
      <c r="OJF239" s="1"/>
      <c r="OJG239" s="1"/>
      <c r="OJH239" s="1"/>
      <c r="OJI239" s="1"/>
      <c r="OJJ239" s="1"/>
      <c r="OJK239" s="1"/>
      <c r="OJL239" s="1"/>
      <c r="OJM239" s="1"/>
      <c r="OJN239" s="1"/>
      <c r="OJO239" s="1"/>
      <c r="OJP239" s="1"/>
      <c r="OJQ239" s="1"/>
      <c r="OJR239" s="1"/>
      <c r="OJS239" s="1"/>
      <c r="OJT239" s="1"/>
      <c r="OJU239" s="1"/>
      <c r="OJV239" s="1"/>
      <c r="OJW239" s="1"/>
      <c r="OJX239" s="1"/>
      <c r="OJY239" s="1"/>
      <c r="OJZ239" s="1"/>
      <c r="OKA239" s="1"/>
      <c r="OKB239" s="1"/>
      <c r="OKC239" s="1"/>
      <c r="OKD239" s="1"/>
      <c r="OKE239" s="1"/>
      <c r="OKF239" s="1"/>
      <c r="OKG239" s="1"/>
      <c r="OKH239" s="1"/>
      <c r="OKI239" s="1"/>
      <c r="OKJ239" s="1"/>
      <c r="OKK239" s="1"/>
      <c r="OKL239" s="1"/>
      <c r="OKM239" s="1"/>
      <c r="OKN239" s="1"/>
      <c r="OKO239" s="1"/>
      <c r="OKP239" s="1"/>
      <c r="OKQ239" s="1"/>
      <c r="OKR239" s="1"/>
      <c r="OKS239" s="1"/>
      <c r="OKT239" s="1"/>
      <c r="OKU239" s="1"/>
      <c r="OKV239" s="1"/>
      <c r="OKW239" s="1"/>
      <c r="OKX239" s="1"/>
      <c r="OKY239" s="1"/>
      <c r="OKZ239" s="1"/>
      <c r="OLA239" s="1"/>
      <c r="OLB239" s="1"/>
      <c r="OLC239" s="1"/>
      <c r="OLD239" s="1"/>
      <c r="OLE239" s="1"/>
      <c r="OLF239" s="1"/>
      <c r="OLG239" s="1"/>
      <c r="OLH239" s="1"/>
      <c r="OLI239" s="1"/>
      <c r="OLJ239" s="1"/>
      <c r="OLK239" s="1"/>
      <c r="OLL239" s="1"/>
      <c r="OLM239" s="1"/>
      <c r="OLN239" s="1"/>
      <c r="OLO239" s="1"/>
      <c r="OLP239" s="1"/>
      <c r="OLQ239" s="1"/>
      <c r="OLR239" s="1"/>
      <c r="OLS239" s="1"/>
      <c r="OLT239" s="1"/>
      <c r="OLU239" s="1"/>
      <c r="OLV239" s="1"/>
      <c r="OLW239" s="1"/>
      <c r="OLX239" s="1"/>
      <c r="OLY239" s="1"/>
      <c r="OLZ239" s="1"/>
      <c r="OMA239" s="1"/>
      <c r="OMB239" s="1"/>
      <c r="OMC239" s="1"/>
      <c r="OMD239" s="1"/>
      <c r="OME239" s="1"/>
      <c r="OMF239" s="1"/>
      <c r="OMG239" s="1"/>
      <c r="OMH239" s="1"/>
      <c r="OMI239" s="1"/>
      <c r="OMJ239" s="1"/>
      <c r="OMK239" s="1"/>
      <c r="OML239" s="1"/>
      <c r="OMM239" s="1"/>
      <c r="OMN239" s="1"/>
      <c r="OMO239" s="1"/>
      <c r="OMP239" s="1"/>
      <c r="OMQ239" s="1"/>
      <c r="OMR239" s="1"/>
      <c r="OMS239" s="1"/>
      <c r="OMT239" s="1"/>
      <c r="OMU239" s="1"/>
      <c r="OMV239" s="1"/>
      <c r="OMW239" s="1"/>
      <c r="OMX239" s="1"/>
      <c r="OMY239" s="1"/>
      <c r="OMZ239" s="1"/>
      <c r="ONA239" s="1"/>
      <c r="ONB239" s="1"/>
      <c r="ONC239" s="1"/>
      <c r="OND239" s="1"/>
      <c r="ONE239" s="1"/>
      <c r="ONF239" s="1"/>
      <c r="ONG239" s="1"/>
      <c r="ONH239" s="1"/>
      <c r="ONI239" s="1"/>
      <c r="ONJ239" s="1"/>
      <c r="ONK239" s="1"/>
      <c r="ONL239" s="1"/>
      <c r="ONM239" s="1"/>
      <c r="ONN239" s="1"/>
      <c r="ONO239" s="1"/>
      <c r="ONP239" s="1"/>
      <c r="ONQ239" s="1"/>
      <c r="ONR239" s="1"/>
      <c r="ONS239" s="1"/>
      <c r="ONT239" s="1"/>
      <c r="ONU239" s="1"/>
      <c r="ONV239" s="1"/>
      <c r="ONW239" s="1"/>
      <c r="ONX239" s="1"/>
      <c r="ONY239" s="1"/>
      <c r="ONZ239" s="1"/>
      <c r="OOA239" s="1"/>
      <c r="OOB239" s="1"/>
      <c r="OOC239" s="1"/>
      <c r="OOD239" s="1"/>
      <c r="OOE239" s="1"/>
      <c r="OOF239" s="1"/>
      <c r="OOG239" s="1"/>
      <c r="OOH239" s="1"/>
      <c r="OOI239" s="1"/>
      <c r="OOJ239" s="1"/>
      <c r="OOK239" s="1"/>
      <c r="OOL239" s="1"/>
      <c r="OOM239" s="1"/>
      <c r="OON239" s="1"/>
      <c r="OOO239" s="1"/>
      <c r="OOP239" s="1"/>
      <c r="OOQ239" s="1"/>
      <c r="OOR239" s="1"/>
      <c r="OOS239" s="1"/>
      <c r="OOT239" s="1"/>
      <c r="OOU239" s="1"/>
      <c r="OOV239" s="1"/>
      <c r="OOW239" s="1"/>
      <c r="OOX239" s="1"/>
      <c r="OOY239" s="1"/>
      <c r="OOZ239" s="1"/>
      <c r="OPA239" s="1"/>
      <c r="OPB239" s="1"/>
      <c r="OPC239" s="1"/>
      <c r="OPD239" s="1"/>
      <c r="OPE239" s="1"/>
      <c r="OPF239" s="1"/>
      <c r="OPG239" s="1"/>
      <c r="OPH239" s="1"/>
      <c r="OPI239" s="1"/>
      <c r="OPJ239" s="1"/>
      <c r="OPK239" s="1"/>
      <c r="OPL239" s="1"/>
      <c r="OPM239" s="1"/>
      <c r="OPN239" s="1"/>
      <c r="OPO239" s="1"/>
      <c r="OPP239" s="1"/>
      <c r="OPQ239" s="1"/>
      <c r="OPR239" s="1"/>
      <c r="OPS239" s="1"/>
      <c r="OPT239" s="1"/>
      <c r="OPU239" s="1"/>
      <c r="OPV239" s="1"/>
      <c r="OPW239" s="1"/>
      <c r="OPX239" s="1"/>
      <c r="OPY239" s="1"/>
      <c r="OPZ239" s="1"/>
      <c r="OQA239" s="1"/>
      <c r="OQB239" s="1"/>
      <c r="OQC239" s="1"/>
      <c r="OQD239" s="1"/>
      <c r="OQE239" s="1"/>
      <c r="OQF239" s="1"/>
      <c r="OQG239" s="1"/>
      <c r="OQH239" s="1"/>
      <c r="OQI239" s="1"/>
      <c r="OQJ239" s="1"/>
      <c r="OQK239" s="1"/>
      <c r="OQL239" s="1"/>
      <c r="OQM239" s="1"/>
      <c r="OQN239" s="1"/>
      <c r="OQO239" s="1"/>
      <c r="OQP239" s="1"/>
      <c r="OQQ239" s="1"/>
      <c r="OQR239" s="1"/>
      <c r="OQS239" s="1"/>
      <c r="OQT239" s="1"/>
      <c r="OQU239" s="1"/>
      <c r="OQV239" s="1"/>
      <c r="OQW239" s="1"/>
      <c r="OQX239" s="1"/>
      <c r="OQY239" s="1"/>
      <c r="OQZ239" s="1"/>
      <c r="ORA239" s="1"/>
      <c r="ORB239" s="1"/>
      <c r="ORC239" s="1"/>
      <c r="ORD239" s="1"/>
      <c r="ORE239" s="1"/>
      <c r="ORF239" s="1"/>
      <c r="ORG239" s="1"/>
      <c r="ORH239" s="1"/>
      <c r="ORI239" s="1"/>
      <c r="ORJ239" s="1"/>
      <c r="ORK239" s="1"/>
      <c r="ORL239" s="1"/>
      <c r="ORM239" s="1"/>
      <c r="ORN239" s="1"/>
      <c r="ORO239" s="1"/>
      <c r="ORP239" s="1"/>
      <c r="ORQ239" s="1"/>
      <c r="ORR239" s="1"/>
      <c r="ORS239" s="1"/>
      <c r="ORT239" s="1"/>
      <c r="ORU239" s="1"/>
      <c r="ORV239" s="1"/>
      <c r="ORW239" s="1"/>
      <c r="ORX239" s="1"/>
      <c r="ORY239" s="1"/>
      <c r="ORZ239" s="1"/>
      <c r="OSA239" s="1"/>
      <c r="OSB239" s="1"/>
      <c r="OSC239" s="1"/>
      <c r="OSD239" s="1"/>
      <c r="OSE239" s="1"/>
      <c r="OSF239" s="1"/>
      <c r="OSG239" s="1"/>
      <c r="OSH239" s="1"/>
      <c r="OSI239" s="1"/>
      <c r="OSJ239" s="1"/>
      <c r="OSK239" s="1"/>
      <c r="OSL239" s="1"/>
      <c r="OSM239" s="1"/>
      <c r="OSN239" s="1"/>
      <c r="OSO239" s="1"/>
      <c r="OSP239" s="1"/>
      <c r="OSQ239" s="1"/>
      <c r="OSR239" s="1"/>
      <c r="OSS239" s="1"/>
      <c r="OST239" s="1"/>
      <c r="OSU239" s="1"/>
      <c r="OSV239" s="1"/>
      <c r="OSW239" s="1"/>
      <c r="OSX239" s="1"/>
      <c r="OSY239" s="1"/>
      <c r="OSZ239" s="1"/>
      <c r="OTA239" s="1"/>
      <c r="OTB239" s="1"/>
      <c r="OTC239" s="1"/>
      <c r="OTD239" s="1"/>
      <c r="OTE239" s="1"/>
      <c r="OTF239" s="1"/>
      <c r="OTG239" s="1"/>
      <c r="OTH239" s="1"/>
      <c r="OTI239" s="1"/>
      <c r="OTJ239" s="1"/>
      <c r="OTK239" s="1"/>
      <c r="OTL239" s="1"/>
      <c r="OTM239" s="1"/>
      <c r="OTN239" s="1"/>
      <c r="OTO239" s="1"/>
      <c r="OTP239" s="1"/>
      <c r="OTQ239" s="1"/>
      <c r="OTR239" s="1"/>
      <c r="OTS239" s="1"/>
      <c r="OTT239" s="1"/>
      <c r="OTU239" s="1"/>
      <c r="OTV239" s="1"/>
      <c r="OTW239" s="1"/>
      <c r="OTX239" s="1"/>
      <c r="OTY239" s="1"/>
      <c r="OTZ239" s="1"/>
      <c r="OUA239" s="1"/>
      <c r="OUB239" s="1"/>
      <c r="OUC239" s="1"/>
      <c r="OUD239" s="1"/>
      <c r="OUE239" s="1"/>
      <c r="OUF239" s="1"/>
      <c r="OUG239" s="1"/>
      <c r="OUH239" s="1"/>
      <c r="OUI239" s="1"/>
      <c r="OUJ239" s="1"/>
      <c r="OUK239" s="1"/>
      <c r="OUL239" s="1"/>
      <c r="OUM239" s="1"/>
      <c r="OUN239" s="1"/>
      <c r="OUO239" s="1"/>
      <c r="OUP239" s="1"/>
      <c r="OUQ239" s="1"/>
      <c r="OUR239" s="1"/>
      <c r="OUS239" s="1"/>
      <c r="OUT239" s="1"/>
      <c r="OUU239" s="1"/>
      <c r="OUV239" s="1"/>
      <c r="OUW239" s="1"/>
      <c r="OUX239" s="1"/>
      <c r="OUY239" s="1"/>
      <c r="OUZ239" s="1"/>
      <c r="OVA239" s="1"/>
      <c r="OVB239" s="1"/>
      <c r="OVC239" s="1"/>
      <c r="OVD239" s="1"/>
      <c r="OVE239" s="1"/>
      <c r="OVF239" s="1"/>
      <c r="OVG239" s="1"/>
      <c r="OVH239" s="1"/>
      <c r="OVI239" s="1"/>
      <c r="OVJ239" s="1"/>
      <c r="OVK239" s="1"/>
      <c r="OVL239" s="1"/>
      <c r="OVM239" s="1"/>
      <c r="OVN239" s="1"/>
      <c r="OVO239" s="1"/>
      <c r="OVP239" s="1"/>
      <c r="OVQ239" s="1"/>
      <c r="OVR239" s="1"/>
      <c r="OVS239" s="1"/>
      <c r="OVT239" s="1"/>
      <c r="OVU239" s="1"/>
      <c r="OVV239" s="1"/>
      <c r="OVW239" s="1"/>
      <c r="OVX239" s="1"/>
      <c r="OVY239" s="1"/>
      <c r="OVZ239" s="1"/>
      <c r="OWA239" s="1"/>
      <c r="OWB239" s="1"/>
      <c r="OWC239" s="1"/>
      <c r="OWD239" s="1"/>
      <c r="OWE239" s="1"/>
      <c r="OWF239" s="1"/>
      <c r="OWG239" s="1"/>
      <c r="OWH239" s="1"/>
      <c r="OWI239" s="1"/>
      <c r="OWJ239" s="1"/>
      <c r="OWK239" s="1"/>
      <c r="OWL239" s="1"/>
      <c r="OWM239" s="1"/>
      <c r="OWN239" s="1"/>
      <c r="OWO239" s="1"/>
      <c r="OWP239" s="1"/>
      <c r="OWQ239" s="1"/>
      <c r="OWR239" s="1"/>
      <c r="OWS239" s="1"/>
      <c r="OWT239" s="1"/>
      <c r="OWU239" s="1"/>
      <c r="OWV239" s="1"/>
      <c r="OWW239" s="1"/>
      <c r="OWX239" s="1"/>
      <c r="OWY239" s="1"/>
      <c r="OWZ239" s="1"/>
      <c r="OXA239" s="1"/>
      <c r="OXB239" s="1"/>
      <c r="OXC239" s="1"/>
      <c r="OXD239" s="1"/>
      <c r="OXE239" s="1"/>
      <c r="OXF239" s="1"/>
      <c r="OXG239" s="1"/>
      <c r="OXH239" s="1"/>
      <c r="OXI239" s="1"/>
      <c r="OXJ239" s="1"/>
      <c r="OXK239" s="1"/>
      <c r="OXL239" s="1"/>
      <c r="OXM239" s="1"/>
      <c r="OXN239" s="1"/>
      <c r="OXO239" s="1"/>
      <c r="OXP239" s="1"/>
      <c r="OXQ239" s="1"/>
      <c r="OXR239" s="1"/>
      <c r="OXS239" s="1"/>
      <c r="OXT239" s="1"/>
      <c r="OXU239" s="1"/>
      <c r="OXV239" s="1"/>
      <c r="OXW239" s="1"/>
      <c r="OXX239" s="1"/>
      <c r="OXY239" s="1"/>
      <c r="OXZ239" s="1"/>
      <c r="OYA239" s="1"/>
      <c r="OYB239" s="1"/>
      <c r="OYC239" s="1"/>
      <c r="OYD239" s="1"/>
      <c r="OYE239" s="1"/>
      <c r="OYF239" s="1"/>
      <c r="OYG239" s="1"/>
      <c r="OYH239" s="1"/>
      <c r="OYI239" s="1"/>
      <c r="OYJ239" s="1"/>
      <c r="OYK239" s="1"/>
      <c r="OYL239" s="1"/>
      <c r="OYM239" s="1"/>
      <c r="OYN239" s="1"/>
      <c r="OYO239" s="1"/>
      <c r="OYP239" s="1"/>
      <c r="OYQ239" s="1"/>
      <c r="OYR239" s="1"/>
      <c r="OYS239" s="1"/>
      <c r="OYT239" s="1"/>
      <c r="OYU239" s="1"/>
      <c r="OYV239" s="1"/>
      <c r="OYW239" s="1"/>
      <c r="OYX239" s="1"/>
      <c r="OYY239" s="1"/>
      <c r="OYZ239" s="1"/>
      <c r="OZA239" s="1"/>
      <c r="OZB239" s="1"/>
      <c r="OZC239" s="1"/>
      <c r="OZD239" s="1"/>
      <c r="OZE239" s="1"/>
      <c r="OZF239" s="1"/>
      <c r="OZG239" s="1"/>
      <c r="OZH239" s="1"/>
      <c r="OZI239" s="1"/>
      <c r="OZJ239" s="1"/>
      <c r="OZK239" s="1"/>
      <c r="OZL239" s="1"/>
      <c r="OZM239" s="1"/>
      <c r="OZN239" s="1"/>
      <c r="OZO239" s="1"/>
      <c r="OZP239" s="1"/>
      <c r="OZQ239" s="1"/>
      <c r="OZR239" s="1"/>
      <c r="OZS239" s="1"/>
      <c r="OZT239" s="1"/>
      <c r="OZU239" s="1"/>
      <c r="OZV239" s="1"/>
      <c r="OZW239" s="1"/>
      <c r="OZX239" s="1"/>
      <c r="OZY239" s="1"/>
      <c r="OZZ239" s="1"/>
      <c r="PAA239" s="1"/>
      <c r="PAB239" s="1"/>
      <c r="PAC239" s="1"/>
      <c r="PAD239" s="1"/>
      <c r="PAE239" s="1"/>
      <c r="PAF239" s="1"/>
      <c r="PAG239" s="1"/>
      <c r="PAH239" s="1"/>
      <c r="PAI239" s="1"/>
      <c r="PAJ239" s="1"/>
      <c r="PAK239" s="1"/>
      <c r="PAL239" s="1"/>
      <c r="PAM239" s="1"/>
      <c r="PAN239" s="1"/>
      <c r="PAO239" s="1"/>
      <c r="PAP239" s="1"/>
      <c r="PAQ239" s="1"/>
      <c r="PAR239" s="1"/>
      <c r="PAS239" s="1"/>
      <c r="PAT239" s="1"/>
      <c r="PAU239" s="1"/>
      <c r="PAV239" s="1"/>
      <c r="PAW239" s="1"/>
      <c r="PAX239" s="1"/>
      <c r="PAY239" s="1"/>
      <c r="PAZ239" s="1"/>
      <c r="PBA239" s="1"/>
      <c r="PBB239" s="1"/>
      <c r="PBC239" s="1"/>
      <c r="PBD239" s="1"/>
      <c r="PBE239" s="1"/>
      <c r="PBF239" s="1"/>
      <c r="PBG239" s="1"/>
      <c r="PBH239" s="1"/>
      <c r="PBI239" s="1"/>
      <c r="PBJ239" s="1"/>
      <c r="PBK239" s="1"/>
      <c r="PBL239" s="1"/>
      <c r="PBM239" s="1"/>
      <c r="PBN239" s="1"/>
      <c r="PBO239" s="1"/>
      <c r="PBP239" s="1"/>
      <c r="PBQ239" s="1"/>
      <c r="PBR239" s="1"/>
      <c r="PBS239" s="1"/>
      <c r="PBT239" s="1"/>
      <c r="PBU239" s="1"/>
      <c r="PBV239" s="1"/>
      <c r="PBW239" s="1"/>
      <c r="PBX239" s="1"/>
      <c r="PBY239" s="1"/>
      <c r="PBZ239" s="1"/>
      <c r="PCA239" s="1"/>
      <c r="PCB239" s="1"/>
      <c r="PCC239" s="1"/>
      <c r="PCD239" s="1"/>
      <c r="PCE239" s="1"/>
      <c r="PCF239" s="1"/>
      <c r="PCG239" s="1"/>
      <c r="PCH239" s="1"/>
      <c r="PCI239" s="1"/>
      <c r="PCJ239" s="1"/>
      <c r="PCK239" s="1"/>
      <c r="PCL239" s="1"/>
      <c r="PCM239" s="1"/>
      <c r="PCN239" s="1"/>
      <c r="PCO239" s="1"/>
      <c r="PCP239" s="1"/>
      <c r="PCQ239" s="1"/>
      <c r="PCR239" s="1"/>
      <c r="PCS239" s="1"/>
      <c r="PCT239" s="1"/>
      <c r="PCU239" s="1"/>
      <c r="PCV239" s="1"/>
      <c r="PCW239" s="1"/>
      <c r="PCX239" s="1"/>
      <c r="PCY239" s="1"/>
      <c r="PCZ239" s="1"/>
      <c r="PDA239" s="1"/>
      <c r="PDB239" s="1"/>
      <c r="PDC239" s="1"/>
      <c r="PDD239" s="1"/>
      <c r="PDE239" s="1"/>
      <c r="PDF239" s="1"/>
      <c r="PDG239" s="1"/>
      <c r="PDH239" s="1"/>
      <c r="PDI239" s="1"/>
      <c r="PDJ239" s="1"/>
      <c r="PDK239" s="1"/>
      <c r="PDL239" s="1"/>
      <c r="PDM239" s="1"/>
      <c r="PDN239" s="1"/>
      <c r="PDO239" s="1"/>
      <c r="PDP239" s="1"/>
      <c r="PDQ239" s="1"/>
      <c r="PDR239" s="1"/>
      <c r="PDS239" s="1"/>
      <c r="PDT239" s="1"/>
      <c r="PDU239" s="1"/>
      <c r="PDV239" s="1"/>
      <c r="PDW239" s="1"/>
      <c r="PDX239" s="1"/>
      <c r="PDY239" s="1"/>
      <c r="PDZ239" s="1"/>
      <c r="PEA239" s="1"/>
      <c r="PEB239" s="1"/>
      <c r="PEC239" s="1"/>
      <c r="PED239" s="1"/>
      <c r="PEE239" s="1"/>
      <c r="PEF239" s="1"/>
      <c r="PEG239" s="1"/>
      <c r="PEH239" s="1"/>
      <c r="PEI239" s="1"/>
      <c r="PEJ239" s="1"/>
      <c r="PEK239" s="1"/>
      <c r="PEL239" s="1"/>
      <c r="PEM239" s="1"/>
      <c r="PEN239" s="1"/>
      <c r="PEO239" s="1"/>
      <c r="PEP239" s="1"/>
      <c r="PEQ239" s="1"/>
      <c r="PER239" s="1"/>
      <c r="PES239" s="1"/>
      <c r="PET239" s="1"/>
      <c r="PEU239" s="1"/>
      <c r="PEV239" s="1"/>
      <c r="PEW239" s="1"/>
      <c r="PEX239" s="1"/>
      <c r="PEY239" s="1"/>
      <c r="PEZ239" s="1"/>
      <c r="PFA239" s="1"/>
      <c r="PFB239" s="1"/>
      <c r="PFC239" s="1"/>
      <c r="PFD239" s="1"/>
      <c r="PFE239" s="1"/>
      <c r="PFF239" s="1"/>
      <c r="PFG239" s="1"/>
      <c r="PFH239" s="1"/>
      <c r="PFI239" s="1"/>
      <c r="PFJ239" s="1"/>
      <c r="PFK239" s="1"/>
      <c r="PFL239" s="1"/>
      <c r="PFM239" s="1"/>
      <c r="PFN239" s="1"/>
      <c r="PFO239" s="1"/>
      <c r="PFP239" s="1"/>
      <c r="PFQ239" s="1"/>
      <c r="PFR239" s="1"/>
      <c r="PFS239" s="1"/>
      <c r="PFT239" s="1"/>
      <c r="PFU239" s="1"/>
      <c r="PFV239" s="1"/>
      <c r="PFW239" s="1"/>
      <c r="PFX239" s="1"/>
      <c r="PFY239" s="1"/>
      <c r="PFZ239" s="1"/>
      <c r="PGA239" s="1"/>
      <c r="PGB239" s="1"/>
      <c r="PGC239" s="1"/>
      <c r="PGD239" s="1"/>
      <c r="PGE239" s="1"/>
      <c r="PGF239" s="1"/>
      <c r="PGG239" s="1"/>
      <c r="PGH239" s="1"/>
      <c r="PGI239" s="1"/>
      <c r="PGJ239" s="1"/>
      <c r="PGK239" s="1"/>
      <c r="PGL239" s="1"/>
      <c r="PGM239" s="1"/>
      <c r="PGN239" s="1"/>
      <c r="PGO239" s="1"/>
      <c r="PGP239" s="1"/>
      <c r="PGQ239" s="1"/>
      <c r="PGR239" s="1"/>
      <c r="PGS239" s="1"/>
      <c r="PGT239" s="1"/>
      <c r="PGU239" s="1"/>
      <c r="PGV239" s="1"/>
      <c r="PGW239" s="1"/>
      <c r="PGX239" s="1"/>
      <c r="PGY239" s="1"/>
      <c r="PGZ239" s="1"/>
      <c r="PHA239" s="1"/>
      <c r="PHB239" s="1"/>
      <c r="PHC239" s="1"/>
      <c r="PHD239" s="1"/>
      <c r="PHE239" s="1"/>
      <c r="PHF239" s="1"/>
      <c r="PHG239" s="1"/>
      <c r="PHH239" s="1"/>
      <c r="PHI239" s="1"/>
      <c r="PHJ239" s="1"/>
      <c r="PHK239" s="1"/>
      <c r="PHL239" s="1"/>
      <c r="PHM239" s="1"/>
      <c r="PHN239" s="1"/>
      <c r="PHO239" s="1"/>
      <c r="PHP239" s="1"/>
      <c r="PHQ239" s="1"/>
      <c r="PHR239" s="1"/>
      <c r="PHS239" s="1"/>
      <c r="PHT239" s="1"/>
      <c r="PHU239" s="1"/>
      <c r="PHV239" s="1"/>
      <c r="PHW239" s="1"/>
      <c r="PHX239" s="1"/>
      <c r="PHY239" s="1"/>
      <c r="PHZ239" s="1"/>
      <c r="PIA239" s="1"/>
      <c r="PIB239" s="1"/>
      <c r="PIC239" s="1"/>
      <c r="PID239" s="1"/>
      <c r="PIE239" s="1"/>
      <c r="PIF239" s="1"/>
      <c r="PIG239" s="1"/>
      <c r="PIH239" s="1"/>
      <c r="PII239" s="1"/>
      <c r="PIJ239" s="1"/>
      <c r="PIK239" s="1"/>
      <c r="PIL239" s="1"/>
      <c r="PIM239" s="1"/>
      <c r="PIN239" s="1"/>
      <c r="PIO239" s="1"/>
      <c r="PIP239" s="1"/>
      <c r="PIQ239" s="1"/>
      <c r="PIR239" s="1"/>
      <c r="PIS239" s="1"/>
      <c r="PIT239" s="1"/>
      <c r="PIU239" s="1"/>
      <c r="PIV239" s="1"/>
      <c r="PIW239" s="1"/>
      <c r="PIX239" s="1"/>
      <c r="PIY239" s="1"/>
      <c r="PIZ239" s="1"/>
      <c r="PJA239" s="1"/>
      <c r="PJB239" s="1"/>
      <c r="PJC239" s="1"/>
      <c r="PJD239" s="1"/>
      <c r="PJE239" s="1"/>
      <c r="PJF239" s="1"/>
      <c r="PJG239" s="1"/>
      <c r="PJH239" s="1"/>
      <c r="PJI239" s="1"/>
      <c r="PJJ239" s="1"/>
      <c r="PJK239" s="1"/>
      <c r="PJL239" s="1"/>
      <c r="PJM239" s="1"/>
      <c r="PJN239" s="1"/>
      <c r="PJO239" s="1"/>
      <c r="PJP239" s="1"/>
      <c r="PJQ239" s="1"/>
      <c r="PJR239" s="1"/>
      <c r="PJS239" s="1"/>
      <c r="PJT239" s="1"/>
      <c r="PJU239" s="1"/>
      <c r="PJV239" s="1"/>
      <c r="PJW239" s="1"/>
      <c r="PJX239" s="1"/>
      <c r="PJY239" s="1"/>
      <c r="PJZ239" s="1"/>
      <c r="PKA239" s="1"/>
      <c r="PKB239" s="1"/>
      <c r="PKC239" s="1"/>
      <c r="PKD239" s="1"/>
      <c r="PKE239" s="1"/>
      <c r="PKF239" s="1"/>
      <c r="PKG239" s="1"/>
      <c r="PKH239" s="1"/>
      <c r="PKI239" s="1"/>
      <c r="PKJ239" s="1"/>
      <c r="PKK239" s="1"/>
      <c r="PKL239" s="1"/>
      <c r="PKM239" s="1"/>
      <c r="PKN239" s="1"/>
      <c r="PKO239" s="1"/>
      <c r="PKP239" s="1"/>
      <c r="PKQ239" s="1"/>
      <c r="PKR239" s="1"/>
      <c r="PKS239" s="1"/>
      <c r="PKT239" s="1"/>
      <c r="PKU239" s="1"/>
      <c r="PKV239" s="1"/>
      <c r="PKW239" s="1"/>
      <c r="PKX239" s="1"/>
      <c r="PKY239" s="1"/>
      <c r="PKZ239" s="1"/>
      <c r="PLA239" s="1"/>
      <c r="PLB239" s="1"/>
      <c r="PLC239" s="1"/>
      <c r="PLD239" s="1"/>
      <c r="PLE239" s="1"/>
      <c r="PLF239" s="1"/>
      <c r="PLG239" s="1"/>
      <c r="PLH239" s="1"/>
      <c r="PLI239" s="1"/>
      <c r="PLJ239" s="1"/>
      <c r="PLK239" s="1"/>
      <c r="PLL239" s="1"/>
      <c r="PLM239" s="1"/>
      <c r="PLN239" s="1"/>
      <c r="PLO239" s="1"/>
      <c r="PLP239" s="1"/>
      <c r="PLQ239" s="1"/>
      <c r="PLR239" s="1"/>
      <c r="PLS239" s="1"/>
      <c r="PLT239" s="1"/>
      <c r="PLU239" s="1"/>
      <c r="PLV239" s="1"/>
      <c r="PLW239" s="1"/>
      <c r="PLX239" s="1"/>
      <c r="PLY239" s="1"/>
      <c r="PLZ239" s="1"/>
      <c r="PMA239" s="1"/>
      <c r="PMB239" s="1"/>
      <c r="PMC239" s="1"/>
      <c r="PMD239" s="1"/>
      <c r="PME239" s="1"/>
      <c r="PMF239" s="1"/>
      <c r="PMG239" s="1"/>
      <c r="PMH239" s="1"/>
      <c r="PMI239" s="1"/>
      <c r="PMJ239" s="1"/>
      <c r="PMK239" s="1"/>
      <c r="PML239" s="1"/>
      <c r="PMM239" s="1"/>
      <c r="PMN239" s="1"/>
      <c r="PMO239" s="1"/>
      <c r="PMP239" s="1"/>
      <c r="PMQ239" s="1"/>
      <c r="PMR239" s="1"/>
      <c r="PMS239" s="1"/>
      <c r="PMT239" s="1"/>
      <c r="PMU239" s="1"/>
      <c r="PMV239" s="1"/>
      <c r="PMW239" s="1"/>
      <c r="PMX239" s="1"/>
      <c r="PMY239" s="1"/>
      <c r="PMZ239" s="1"/>
      <c r="PNA239" s="1"/>
      <c r="PNB239" s="1"/>
      <c r="PNC239" s="1"/>
      <c r="PND239" s="1"/>
      <c r="PNE239" s="1"/>
      <c r="PNF239" s="1"/>
      <c r="PNG239" s="1"/>
      <c r="PNH239" s="1"/>
      <c r="PNI239" s="1"/>
      <c r="PNJ239" s="1"/>
      <c r="PNK239" s="1"/>
      <c r="PNL239" s="1"/>
      <c r="PNM239" s="1"/>
      <c r="PNN239" s="1"/>
      <c r="PNO239" s="1"/>
      <c r="PNP239" s="1"/>
      <c r="PNQ239" s="1"/>
      <c r="PNR239" s="1"/>
      <c r="PNS239" s="1"/>
      <c r="PNT239" s="1"/>
      <c r="PNU239" s="1"/>
      <c r="PNV239" s="1"/>
      <c r="PNW239" s="1"/>
      <c r="PNX239" s="1"/>
      <c r="PNY239" s="1"/>
      <c r="PNZ239" s="1"/>
      <c r="POA239" s="1"/>
      <c r="POB239" s="1"/>
      <c r="POC239" s="1"/>
      <c r="POD239" s="1"/>
      <c r="POE239" s="1"/>
      <c r="POF239" s="1"/>
      <c r="POG239" s="1"/>
      <c r="POH239" s="1"/>
      <c r="POI239" s="1"/>
      <c r="POJ239" s="1"/>
      <c r="POK239" s="1"/>
      <c r="POL239" s="1"/>
      <c r="POM239" s="1"/>
      <c r="PON239" s="1"/>
      <c r="POO239" s="1"/>
      <c r="POP239" s="1"/>
      <c r="POQ239" s="1"/>
      <c r="POR239" s="1"/>
      <c r="POS239" s="1"/>
      <c r="POT239" s="1"/>
      <c r="POU239" s="1"/>
      <c r="POV239" s="1"/>
      <c r="POW239" s="1"/>
      <c r="POX239" s="1"/>
      <c r="POY239" s="1"/>
      <c r="POZ239" s="1"/>
      <c r="PPA239" s="1"/>
      <c r="PPB239" s="1"/>
      <c r="PPC239" s="1"/>
      <c r="PPD239" s="1"/>
      <c r="PPE239" s="1"/>
      <c r="PPF239" s="1"/>
      <c r="PPG239" s="1"/>
      <c r="PPH239" s="1"/>
      <c r="PPI239" s="1"/>
      <c r="PPJ239" s="1"/>
      <c r="PPK239" s="1"/>
      <c r="PPL239" s="1"/>
      <c r="PPM239" s="1"/>
      <c r="PPN239" s="1"/>
      <c r="PPO239" s="1"/>
      <c r="PPP239" s="1"/>
      <c r="PPQ239" s="1"/>
      <c r="PPR239" s="1"/>
      <c r="PPS239" s="1"/>
      <c r="PPT239" s="1"/>
      <c r="PPU239" s="1"/>
      <c r="PPV239" s="1"/>
      <c r="PPW239" s="1"/>
      <c r="PPX239" s="1"/>
      <c r="PPY239" s="1"/>
      <c r="PPZ239" s="1"/>
      <c r="PQA239" s="1"/>
      <c r="PQB239" s="1"/>
      <c r="PQC239" s="1"/>
      <c r="PQD239" s="1"/>
      <c r="PQE239" s="1"/>
      <c r="PQF239" s="1"/>
      <c r="PQG239" s="1"/>
      <c r="PQH239" s="1"/>
      <c r="PQI239" s="1"/>
      <c r="PQJ239" s="1"/>
      <c r="PQK239" s="1"/>
      <c r="PQL239" s="1"/>
      <c r="PQM239" s="1"/>
      <c r="PQN239" s="1"/>
      <c r="PQO239" s="1"/>
      <c r="PQP239" s="1"/>
      <c r="PQQ239" s="1"/>
      <c r="PQR239" s="1"/>
      <c r="PQS239" s="1"/>
      <c r="PQT239" s="1"/>
      <c r="PQU239" s="1"/>
      <c r="PQV239" s="1"/>
      <c r="PQW239" s="1"/>
      <c r="PQX239" s="1"/>
      <c r="PQY239" s="1"/>
      <c r="PQZ239" s="1"/>
      <c r="PRA239" s="1"/>
      <c r="PRB239" s="1"/>
      <c r="PRC239" s="1"/>
      <c r="PRD239" s="1"/>
      <c r="PRE239" s="1"/>
      <c r="PRF239" s="1"/>
      <c r="PRG239" s="1"/>
      <c r="PRH239" s="1"/>
      <c r="PRI239" s="1"/>
      <c r="PRJ239" s="1"/>
      <c r="PRK239" s="1"/>
      <c r="PRL239" s="1"/>
      <c r="PRM239" s="1"/>
      <c r="PRN239" s="1"/>
      <c r="PRO239" s="1"/>
      <c r="PRP239" s="1"/>
      <c r="PRQ239" s="1"/>
      <c r="PRR239" s="1"/>
      <c r="PRS239" s="1"/>
      <c r="PRT239" s="1"/>
      <c r="PRU239" s="1"/>
      <c r="PRV239" s="1"/>
      <c r="PRW239" s="1"/>
      <c r="PRX239" s="1"/>
      <c r="PRY239" s="1"/>
      <c r="PRZ239" s="1"/>
      <c r="PSA239" s="1"/>
      <c r="PSB239" s="1"/>
      <c r="PSC239" s="1"/>
      <c r="PSD239" s="1"/>
      <c r="PSE239" s="1"/>
      <c r="PSF239" s="1"/>
      <c r="PSG239" s="1"/>
      <c r="PSH239" s="1"/>
      <c r="PSI239" s="1"/>
      <c r="PSJ239" s="1"/>
      <c r="PSK239" s="1"/>
      <c r="PSL239" s="1"/>
      <c r="PSM239" s="1"/>
      <c r="PSN239" s="1"/>
      <c r="PSO239" s="1"/>
      <c r="PSP239" s="1"/>
      <c r="PSQ239" s="1"/>
      <c r="PSR239" s="1"/>
      <c r="PSS239" s="1"/>
      <c r="PST239" s="1"/>
      <c r="PSU239" s="1"/>
      <c r="PSV239" s="1"/>
      <c r="PSW239" s="1"/>
      <c r="PSX239" s="1"/>
      <c r="PSY239" s="1"/>
      <c r="PSZ239" s="1"/>
      <c r="PTA239" s="1"/>
      <c r="PTB239" s="1"/>
      <c r="PTC239" s="1"/>
      <c r="PTD239" s="1"/>
      <c r="PTE239" s="1"/>
      <c r="PTF239" s="1"/>
      <c r="PTG239" s="1"/>
      <c r="PTH239" s="1"/>
      <c r="PTI239" s="1"/>
      <c r="PTJ239" s="1"/>
      <c r="PTK239" s="1"/>
      <c r="PTL239" s="1"/>
      <c r="PTM239" s="1"/>
      <c r="PTN239" s="1"/>
      <c r="PTO239" s="1"/>
      <c r="PTP239" s="1"/>
      <c r="PTQ239" s="1"/>
      <c r="PTR239" s="1"/>
      <c r="PTS239" s="1"/>
      <c r="PTT239" s="1"/>
      <c r="PTU239" s="1"/>
      <c r="PTV239" s="1"/>
      <c r="PTW239" s="1"/>
      <c r="PTX239" s="1"/>
      <c r="PTY239" s="1"/>
      <c r="PTZ239" s="1"/>
      <c r="PUA239" s="1"/>
      <c r="PUB239" s="1"/>
      <c r="PUC239" s="1"/>
      <c r="PUD239" s="1"/>
      <c r="PUE239" s="1"/>
      <c r="PUF239" s="1"/>
      <c r="PUG239" s="1"/>
      <c r="PUH239" s="1"/>
      <c r="PUI239" s="1"/>
      <c r="PUJ239" s="1"/>
      <c r="PUK239" s="1"/>
      <c r="PUL239" s="1"/>
      <c r="PUM239" s="1"/>
      <c r="PUN239" s="1"/>
      <c r="PUO239" s="1"/>
      <c r="PUP239" s="1"/>
      <c r="PUQ239" s="1"/>
      <c r="PUR239" s="1"/>
      <c r="PUS239" s="1"/>
      <c r="PUT239" s="1"/>
      <c r="PUU239" s="1"/>
      <c r="PUV239" s="1"/>
      <c r="PUW239" s="1"/>
      <c r="PUX239" s="1"/>
      <c r="PUY239" s="1"/>
      <c r="PUZ239" s="1"/>
      <c r="PVA239" s="1"/>
      <c r="PVB239" s="1"/>
      <c r="PVC239" s="1"/>
      <c r="PVD239" s="1"/>
      <c r="PVE239" s="1"/>
      <c r="PVF239" s="1"/>
      <c r="PVG239" s="1"/>
      <c r="PVH239" s="1"/>
      <c r="PVI239" s="1"/>
      <c r="PVJ239" s="1"/>
      <c r="PVK239" s="1"/>
      <c r="PVL239" s="1"/>
      <c r="PVM239" s="1"/>
      <c r="PVN239" s="1"/>
      <c r="PVO239" s="1"/>
      <c r="PVP239" s="1"/>
      <c r="PVQ239" s="1"/>
      <c r="PVR239" s="1"/>
      <c r="PVS239" s="1"/>
      <c r="PVT239" s="1"/>
      <c r="PVU239" s="1"/>
      <c r="PVV239" s="1"/>
      <c r="PVW239" s="1"/>
      <c r="PVX239" s="1"/>
      <c r="PVY239" s="1"/>
      <c r="PVZ239" s="1"/>
      <c r="PWA239" s="1"/>
      <c r="PWB239" s="1"/>
      <c r="PWC239" s="1"/>
      <c r="PWD239" s="1"/>
      <c r="PWE239" s="1"/>
      <c r="PWF239" s="1"/>
      <c r="PWG239" s="1"/>
      <c r="PWH239" s="1"/>
      <c r="PWI239" s="1"/>
      <c r="PWJ239" s="1"/>
      <c r="PWK239" s="1"/>
      <c r="PWL239" s="1"/>
      <c r="PWM239" s="1"/>
      <c r="PWN239" s="1"/>
      <c r="PWO239" s="1"/>
      <c r="PWP239" s="1"/>
      <c r="PWQ239" s="1"/>
      <c r="PWR239" s="1"/>
      <c r="PWS239" s="1"/>
      <c r="PWT239" s="1"/>
      <c r="PWU239" s="1"/>
      <c r="PWV239" s="1"/>
      <c r="PWW239" s="1"/>
      <c r="PWX239" s="1"/>
      <c r="PWY239" s="1"/>
      <c r="PWZ239" s="1"/>
      <c r="PXA239" s="1"/>
      <c r="PXB239" s="1"/>
      <c r="PXC239" s="1"/>
      <c r="PXD239" s="1"/>
      <c r="PXE239" s="1"/>
      <c r="PXF239" s="1"/>
      <c r="PXG239" s="1"/>
      <c r="PXH239" s="1"/>
      <c r="PXI239" s="1"/>
      <c r="PXJ239" s="1"/>
      <c r="PXK239" s="1"/>
      <c r="PXL239" s="1"/>
      <c r="PXM239" s="1"/>
      <c r="PXN239" s="1"/>
      <c r="PXO239" s="1"/>
      <c r="PXP239" s="1"/>
      <c r="PXQ239" s="1"/>
      <c r="PXR239" s="1"/>
      <c r="PXS239" s="1"/>
      <c r="PXT239" s="1"/>
      <c r="PXU239" s="1"/>
      <c r="PXV239" s="1"/>
      <c r="PXW239" s="1"/>
      <c r="PXX239" s="1"/>
      <c r="PXY239" s="1"/>
      <c r="PXZ239" s="1"/>
      <c r="PYA239" s="1"/>
      <c r="PYB239" s="1"/>
      <c r="PYC239" s="1"/>
      <c r="PYD239" s="1"/>
      <c r="PYE239" s="1"/>
      <c r="PYF239" s="1"/>
      <c r="PYG239" s="1"/>
      <c r="PYH239" s="1"/>
      <c r="PYI239" s="1"/>
      <c r="PYJ239" s="1"/>
      <c r="PYK239" s="1"/>
      <c r="PYL239" s="1"/>
      <c r="PYM239" s="1"/>
      <c r="PYN239" s="1"/>
      <c r="PYO239" s="1"/>
      <c r="PYP239" s="1"/>
      <c r="PYQ239" s="1"/>
      <c r="PYR239" s="1"/>
      <c r="PYS239" s="1"/>
      <c r="PYT239" s="1"/>
      <c r="PYU239" s="1"/>
      <c r="PYV239" s="1"/>
      <c r="PYW239" s="1"/>
      <c r="PYX239" s="1"/>
      <c r="PYY239" s="1"/>
      <c r="PYZ239" s="1"/>
      <c r="PZA239" s="1"/>
      <c r="PZB239" s="1"/>
      <c r="PZC239" s="1"/>
      <c r="PZD239" s="1"/>
      <c r="PZE239" s="1"/>
      <c r="PZF239" s="1"/>
      <c r="PZG239" s="1"/>
      <c r="PZH239" s="1"/>
      <c r="PZI239" s="1"/>
      <c r="PZJ239" s="1"/>
      <c r="PZK239" s="1"/>
      <c r="PZL239" s="1"/>
      <c r="PZM239" s="1"/>
      <c r="PZN239" s="1"/>
      <c r="PZO239" s="1"/>
      <c r="PZP239" s="1"/>
      <c r="PZQ239" s="1"/>
      <c r="PZR239" s="1"/>
      <c r="PZS239" s="1"/>
      <c r="PZT239" s="1"/>
      <c r="PZU239" s="1"/>
      <c r="PZV239" s="1"/>
      <c r="PZW239" s="1"/>
      <c r="PZX239" s="1"/>
      <c r="PZY239" s="1"/>
      <c r="PZZ239" s="1"/>
      <c r="QAA239" s="1"/>
      <c r="QAB239" s="1"/>
      <c r="QAC239" s="1"/>
      <c r="QAD239" s="1"/>
      <c r="QAE239" s="1"/>
      <c r="QAF239" s="1"/>
      <c r="QAG239" s="1"/>
      <c r="QAH239" s="1"/>
      <c r="QAI239" s="1"/>
      <c r="QAJ239" s="1"/>
      <c r="QAK239" s="1"/>
      <c r="QAL239" s="1"/>
      <c r="QAM239" s="1"/>
      <c r="QAN239" s="1"/>
      <c r="QAO239" s="1"/>
      <c r="QAP239" s="1"/>
      <c r="QAQ239" s="1"/>
      <c r="QAR239" s="1"/>
      <c r="QAS239" s="1"/>
      <c r="QAT239" s="1"/>
      <c r="QAU239" s="1"/>
      <c r="QAV239" s="1"/>
      <c r="QAW239" s="1"/>
      <c r="QAX239" s="1"/>
      <c r="QAY239" s="1"/>
      <c r="QAZ239" s="1"/>
      <c r="QBA239" s="1"/>
      <c r="QBB239" s="1"/>
      <c r="QBC239" s="1"/>
      <c r="QBD239" s="1"/>
      <c r="QBE239" s="1"/>
      <c r="QBF239" s="1"/>
      <c r="QBG239" s="1"/>
      <c r="QBH239" s="1"/>
      <c r="QBI239" s="1"/>
      <c r="QBJ239" s="1"/>
      <c r="QBK239" s="1"/>
      <c r="QBL239" s="1"/>
      <c r="QBM239" s="1"/>
      <c r="QBN239" s="1"/>
      <c r="QBO239" s="1"/>
      <c r="QBP239" s="1"/>
      <c r="QBQ239" s="1"/>
      <c r="QBR239" s="1"/>
      <c r="QBS239" s="1"/>
      <c r="QBT239" s="1"/>
      <c r="QBU239" s="1"/>
      <c r="QBV239" s="1"/>
      <c r="QBW239" s="1"/>
      <c r="QBX239" s="1"/>
      <c r="QBY239" s="1"/>
      <c r="QBZ239" s="1"/>
      <c r="QCA239" s="1"/>
      <c r="QCB239" s="1"/>
      <c r="QCC239" s="1"/>
      <c r="QCD239" s="1"/>
      <c r="QCE239" s="1"/>
      <c r="QCF239" s="1"/>
      <c r="QCG239" s="1"/>
      <c r="QCH239" s="1"/>
      <c r="QCI239" s="1"/>
      <c r="QCJ239" s="1"/>
      <c r="QCK239" s="1"/>
      <c r="QCL239" s="1"/>
      <c r="QCM239" s="1"/>
      <c r="QCN239" s="1"/>
      <c r="QCO239" s="1"/>
      <c r="QCP239" s="1"/>
      <c r="QCQ239" s="1"/>
      <c r="QCR239" s="1"/>
      <c r="QCS239" s="1"/>
      <c r="QCT239" s="1"/>
      <c r="QCU239" s="1"/>
      <c r="QCV239" s="1"/>
      <c r="QCW239" s="1"/>
      <c r="QCX239" s="1"/>
      <c r="QCY239" s="1"/>
      <c r="QCZ239" s="1"/>
      <c r="QDA239" s="1"/>
      <c r="QDB239" s="1"/>
      <c r="QDC239" s="1"/>
      <c r="QDD239" s="1"/>
      <c r="QDE239" s="1"/>
      <c r="QDF239" s="1"/>
      <c r="QDG239" s="1"/>
      <c r="QDH239" s="1"/>
      <c r="QDI239" s="1"/>
      <c r="QDJ239" s="1"/>
      <c r="QDK239" s="1"/>
      <c r="QDL239" s="1"/>
      <c r="QDM239" s="1"/>
      <c r="QDN239" s="1"/>
      <c r="QDO239" s="1"/>
      <c r="QDP239" s="1"/>
      <c r="QDQ239" s="1"/>
      <c r="QDR239" s="1"/>
      <c r="QDS239" s="1"/>
      <c r="QDT239" s="1"/>
      <c r="QDU239" s="1"/>
      <c r="QDV239" s="1"/>
      <c r="QDW239" s="1"/>
      <c r="QDX239" s="1"/>
      <c r="QDY239" s="1"/>
      <c r="QDZ239" s="1"/>
      <c r="QEA239" s="1"/>
      <c r="QEB239" s="1"/>
      <c r="QEC239" s="1"/>
      <c r="QED239" s="1"/>
      <c r="QEE239" s="1"/>
      <c r="QEF239" s="1"/>
      <c r="QEG239" s="1"/>
      <c r="QEH239" s="1"/>
      <c r="QEI239" s="1"/>
      <c r="QEJ239" s="1"/>
      <c r="QEK239" s="1"/>
      <c r="QEL239" s="1"/>
      <c r="QEM239" s="1"/>
      <c r="QEN239" s="1"/>
      <c r="QEO239" s="1"/>
      <c r="QEP239" s="1"/>
      <c r="QEQ239" s="1"/>
      <c r="QER239" s="1"/>
      <c r="QES239" s="1"/>
      <c r="QET239" s="1"/>
      <c r="QEU239" s="1"/>
      <c r="QEV239" s="1"/>
      <c r="QEW239" s="1"/>
      <c r="QEX239" s="1"/>
      <c r="QEY239" s="1"/>
      <c r="QEZ239" s="1"/>
      <c r="QFA239" s="1"/>
      <c r="QFB239" s="1"/>
      <c r="QFC239" s="1"/>
      <c r="QFD239" s="1"/>
      <c r="QFE239" s="1"/>
      <c r="QFF239" s="1"/>
      <c r="QFG239" s="1"/>
      <c r="QFH239" s="1"/>
      <c r="QFI239" s="1"/>
      <c r="QFJ239" s="1"/>
      <c r="QFK239" s="1"/>
      <c r="QFL239" s="1"/>
      <c r="QFM239" s="1"/>
      <c r="QFN239" s="1"/>
      <c r="QFO239" s="1"/>
      <c r="QFP239" s="1"/>
      <c r="QFQ239" s="1"/>
      <c r="QFR239" s="1"/>
      <c r="QFS239" s="1"/>
      <c r="QFT239" s="1"/>
      <c r="QFU239" s="1"/>
      <c r="QFV239" s="1"/>
      <c r="QFW239" s="1"/>
      <c r="QFX239" s="1"/>
      <c r="QFY239" s="1"/>
      <c r="QFZ239" s="1"/>
      <c r="QGA239" s="1"/>
      <c r="QGB239" s="1"/>
      <c r="QGC239" s="1"/>
      <c r="QGD239" s="1"/>
      <c r="QGE239" s="1"/>
      <c r="QGF239" s="1"/>
      <c r="QGG239" s="1"/>
      <c r="QGH239" s="1"/>
      <c r="QGI239" s="1"/>
      <c r="QGJ239" s="1"/>
      <c r="QGK239" s="1"/>
      <c r="QGL239" s="1"/>
      <c r="QGM239" s="1"/>
      <c r="QGN239" s="1"/>
      <c r="QGO239" s="1"/>
      <c r="QGP239" s="1"/>
      <c r="QGQ239" s="1"/>
      <c r="QGR239" s="1"/>
      <c r="QGS239" s="1"/>
      <c r="QGT239" s="1"/>
      <c r="QGU239" s="1"/>
      <c r="QGV239" s="1"/>
      <c r="QGW239" s="1"/>
      <c r="QGX239" s="1"/>
      <c r="QGY239" s="1"/>
      <c r="QGZ239" s="1"/>
      <c r="QHA239" s="1"/>
      <c r="QHB239" s="1"/>
      <c r="QHC239" s="1"/>
      <c r="QHD239" s="1"/>
      <c r="QHE239" s="1"/>
      <c r="QHF239" s="1"/>
      <c r="QHG239" s="1"/>
      <c r="QHH239" s="1"/>
      <c r="QHI239" s="1"/>
      <c r="QHJ239" s="1"/>
      <c r="QHK239" s="1"/>
      <c r="QHL239" s="1"/>
      <c r="QHM239" s="1"/>
      <c r="QHN239" s="1"/>
      <c r="QHO239" s="1"/>
      <c r="QHP239" s="1"/>
      <c r="QHQ239" s="1"/>
      <c r="QHR239" s="1"/>
      <c r="QHS239" s="1"/>
      <c r="QHT239" s="1"/>
      <c r="QHU239" s="1"/>
      <c r="QHV239" s="1"/>
      <c r="QHW239" s="1"/>
      <c r="QHX239" s="1"/>
      <c r="QHY239" s="1"/>
      <c r="QHZ239" s="1"/>
      <c r="QIA239" s="1"/>
      <c r="QIB239" s="1"/>
      <c r="QIC239" s="1"/>
      <c r="QID239" s="1"/>
      <c r="QIE239" s="1"/>
      <c r="QIF239" s="1"/>
      <c r="QIG239" s="1"/>
      <c r="QIH239" s="1"/>
      <c r="QII239" s="1"/>
      <c r="QIJ239" s="1"/>
      <c r="QIK239" s="1"/>
      <c r="QIL239" s="1"/>
      <c r="QIM239" s="1"/>
      <c r="QIN239" s="1"/>
      <c r="QIO239" s="1"/>
      <c r="QIP239" s="1"/>
      <c r="QIQ239" s="1"/>
      <c r="QIR239" s="1"/>
      <c r="QIS239" s="1"/>
      <c r="QIT239" s="1"/>
      <c r="QIU239" s="1"/>
      <c r="QIV239" s="1"/>
      <c r="QIW239" s="1"/>
      <c r="QIX239" s="1"/>
      <c r="QIY239" s="1"/>
      <c r="QIZ239" s="1"/>
      <c r="QJA239" s="1"/>
      <c r="QJB239" s="1"/>
      <c r="QJC239" s="1"/>
      <c r="QJD239" s="1"/>
      <c r="QJE239" s="1"/>
      <c r="QJF239" s="1"/>
      <c r="QJG239" s="1"/>
      <c r="QJH239" s="1"/>
      <c r="QJI239" s="1"/>
      <c r="QJJ239" s="1"/>
      <c r="QJK239" s="1"/>
      <c r="QJL239" s="1"/>
      <c r="QJM239" s="1"/>
      <c r="QJN239" s="1"/>
      <c r="QJO239" s="1"/>
      <c r="QJP239" s="1"/>
      <c r="QJQ239" s="1"/>
      <c r="QJR239" s="1"/>
      <c r="QJS239" s="1"/>
      <c r="QJT239" s="1"/>
      <c r="QJU239" s="1"/>
      <c r="QJV239" s="1"/>
      <c r="QJW239" s="1"/>
      <c r="QJX239" s="1"/>
      <c r="QJY239" s="1"/>
      <c r="QJZ239" s="1"/>
      <c r="QKA239" s="1"/>
      <c r="QKB239" s="1"/>
      <c r="QKC239" s="1"/>
      <c r="QKD239" s="1"/>
      <c r="QKE239" s="1"/>
      <c r="QKF239" s="1"/>
      <c r="QKG239" s="1"/>
      <c r="QKH239" s="1"/>
      <c r="QKI239" s="1"/>
      <c r="QKJ239" s="1"/>
      <c r="QKK239" s="1"/>
      <c r="QKL239" s="1"/>
      <c r="QKM239" s="1"/>
      <c r="QKN239" s="1"/>
      <c r="QKO239" s="1"/>
      <c r="QKP239" s="1"/>
      <c r="QKQ239" s="1"/>
      <c r="QKR239" s="1"/>
      <c r="QKS239" s="1"/>
      <c r="QKT239" s="1"/>
      <c r="QKU239" s="1"/>
      <c r="QKV239" s="1"/>
      <c r="QKW239" s="1"/>
      <c r="QKX239" s="1"/>
      <c r="QKY239" s="1"/>
      <c r="QKZ239" s="1"/>
      <c r="QLA239" s="1"/>
      <c r="QLB239" s="1"/>
      <c r="QLC239" s="1"/>
      <c r="QLD239" s="1"/>
      <c r="QLE239" s="1"/>
      <c r="QLF239" s="1"/>
      <c r="QLG239" s="1"/>
      <c r="QLH239" s="1"/>
      <c r="QLI239" s="1"/>
      <c r="QLJ239" s="1"/>
      <c r="QLK239" s="1"/>
      <c r="QLL239" s="1"/>
      <c r="QLM239" s="1"/>
      <c r="QLN239" s="1"/>
      <c r="QLO239" s="1"/>
      <c r="QLP239" s="1"/>
      <c r="QLQ239" s="1"/>
      <c r="QLR239" s="1"/>
      <c r="QLS239" s="1"/>
      <c r="QLT239" s="1"/>
      <c r="QLU239" s="1"/>
      <c r="QLV239" s="1"/>
      <c r="QLW239" s="1"/>
      <c r="QLX239" s="1"/>
      <c r="QLY239" s="1"/>
      <c r="QLZ239" s="1"/>
      <c r="QMA239" s="1"/>
      <c r="QMB239" s="1"/>
      <c r="QMC239" s="1"/>
      <c r="QMD239" s="1"/>
      <c r="QME239" s="1"/>
      <c r="QMF239" s="1"/>
      <c r="QMG239" s="1"/>
      <c r="QMH239" s="1"/>
      <c r="QMI239" s="1"/>
      <c r="QMJ239" s="1"/>
      <c r="QMK239" s="1"/>
      <c r="QML239" s="1"/>
      <c r="QMM239" s="1"/>
      <c r="QMN239" s="1"/>
      <c r="QMO239" s="1"/>
      <c r="QMP239" s="1"/>
      <c r="QMQ239" s="1"/>
      <c r="QMR239" s="1"/>
      <c r="QMS239" s="1"/>
      <c r="QMT239" s="1"/>
      <c r="QMU239" s="1"/>
      <c r="QMV239" s="1"/>
      <c r="QMW239" s="1"/>
      <c r="QMX239" s="1"/>
      <c r="QMY239" s="1"/>
      <c r="QMZ239" s="1"/>
      <c r="QNA239" s="1"/>
      <c r="QNB239" s="1"/>
      <c r="QNC239" s="1"/>
      <c r="QND239" s="1"/>
      <c r="QNE239" s="1"/>
      <c r="QNF239" s="1"/>
      <c r="QNG239" s="1"/>
      <c r="QNH239" s="1"/>
      <c r="QNI239" s="1"/>
      <c r="QNJ239" s="1"/>
      <c r="QNK239" s="1"/>
      <c r="QNL239" s="1"/>
      <c r="QNM239" s="1"/>
      <c r="QNN239" s="1"/>
      <c r="QNO239" s="1"/>
      <c r="QNP239" s="1"/>
      <c r="QNQ239" s="1"/>
      <c r="QNR239" s="1"/>
      <c r="QNS239" s="1"/>
      <c r="QNT239" s="1"/>
      <c r="QNU239" s="1"/>
      <c r="QNV239" s="1"/>
      <c r="QNW239" s="1"/>
      <c r="QNX239" s="1"/>
      <c r="QNY239" s="1"/>
      <c r="QNZ239" s="1"/>
      <c r="QOA239" s="1"/>
      <c r="QOB239" s="1"/>
      <c r="QOC239" s="1"/>
      <c r="QOD239" s="1"/>
      <c r="QOE239" s="1"/>
      <c r="QOF239" s="1"/>
      <c r="QOG239" s="1"/>
      <c r="QOH239" s="1"/>
      <c r="QOI239" s="1"/>
      <c r="QOJ239" s="1"/>
      <c r="QOK239" s="1"/>
      <c r="QOL239" s="1"/>
      <c r="QOM239" s="1"/>
      <c r="QON239" s="1"/>
      <c r="QOO239" s="1"/>
      <c r="QOP239" s="1"/>
      <c r="QOQ239" s="1"/>
      <c r="QOR239" s="1"/>
      <c r="QOS239" s="1"/>
      <c r="QOT239" s="1"/>
      <c r="QOU239" s="1"/>
      <c r="QOV239" s="1"/>
      <c r="QOW239" s="1"/>
      <c r="QOX239" s="1"/>
      <c r="QOY239" s="1"/>
      <c r="QOZ239" s="1"/>
      <c r="QPA239" s="1"/>
      <c r="QPB239" s="1"/>
      <c r="QPC239" s="1"/>
      <c r="QPD239" s="1"/>
      <c r="QPE239" s="1"/>
      <c r="QPF239" s="1"/>
      <c r="QPG239" s="1"/>
      <c r="QPH239" s="1"/>
      <c r="QPI239" s="1"/>
      <c r="QPJ239" s="1"/>
      <c r="QPK239" s="1"/>
      <c r="QPL239" s="1"/>
      <c r="QPM239" s="1"/>
      <c r="QPN239" s="1"/>
      <c r="QPO239" s="1"/>
      <c r="QPP239" s="1"/>
      <c r="QPQ239" s="1"/>
      <c r="QPR239" s="1"/>
      <c r="QPS239" s="1"/>
      <c r="QPT239" s="1"/>
      <c r="QPU239" s="1"/>
      <c r="QPV239" s="1"/>
      <c r="QPW239" s="1"/>
      <c r="QPX239" s="1"/>
      <c r="QPY239" s="1"/>
      <c r="QPZ239" s="1"/>
      <c r="QQA239" s="1"/>
      <c r="QQB239" s="1"/>
      <c r="QQC239" s="1"/>
      <c r="QQD239" s="1"/>
      <c r="QQE239" s="1"/>
      <c r="QQF239" s="1"/>
      <c r="QQG239" s="1"/>
      <c r="QQH239" s="1"/>
      <c r="QQI239" s="1"/>
      <c r="QQJ239" s="1"/>
      <c r="QQK239" s="1"/>
      <c r="QQL239" s="1"/>
      <c r="QQM239" s="1"/>
      <c r="QQN239" s="1"/>
      <c r="QQO239" s="1"/>
      <c r="QQP239" s="1"/>
      <c r="QQQ239" s="1"/>
      <c r="QQR239" s="1"/>
      <c r="QQS239" s="1"/>
      <c r="QQT239" s="1"/>
      <c r="QQU239" s="1"/>
      <c r="QQV239" s="1"/>
      <c r="QQW239" s="1"/>
      <c r="QQX239" s="1"/>
      <c r="QQY239" s="1"/>
      <c r="QQZ239" s="1"/>
      <c r="QRA239" s="1"/>
      <c r="QRB239" s="1"/>
      <c r="QRC239" s="1"/>
      <c r="QRD239" s="1"/>
      <c r="QRE239" s="1"/>
      <c r="QRF239" s="1"/>
      <c r="QRG239" s="1"/>
      <c r="QRH239" s="1"/>
      <c r="QRI239" s="1"/>
      <c r="QRJ239" s="1"/>
      <c r="QRK239" s="1"/>
      <c r="QRL239" s="1"/>
      <c r="QRM239" s="1"/>
      <c r="QRN239" s="1"/>
      <c r="QRO239" s="1"/>
      <c r="QRP239" s="1"/>
      <c r="QRQ239" s="1"/>
      <c r="QRR239" s="1"/>
      <c r="QRS239" s="1"/>
      <c r="QRT239" s="1"/>
      <c r="QRU239" s="1"/>
      <c r="QRV239" s="1"/>
      <c r="QRW239" s="1"/>
      <c r="QRX239" s="1"/>
      <c r="QRY239" s="1"/>
      <c r="QRZ239" s="1"/>
      <c r="QSA239" s="1"/>
      <c r="QSB239" s="1"/>
      <c r="QSC239" s="1"/>
      <c r="QSD239" s="1"/>
      <c r="QSE239" s="1"/>
      <c r="QSF239" s="1"/>
      <c r="QSG239" s="1"/>
      <c r="QSH239" s="1"/>
      <c r="QSI239" s="1"/>
      <c r="QSJ239" s="1"/>
      <c r="QSK239" s="1"/>
      <c r="QSL239" s="1"/>
      <c r="QSM239" s="1"/>
      <c r="QSN239" s="1"/>
      <c r="QSO239" s="1"/>
      <c r="QSP239" s="1"/>
      <c r="QSQ239" s="1"/>
      <c r="QSR239" s="1"/>
      <c r="QSS239" s="1"/>
      <c r="QST239" s="1"/>
      <c r="QSU239" s="1"/>
      <c r="QSV239" s="1"/>
      <c r="QSW239" s="1"/>
      <c r="QSX239" s="1"/>
      <c r="QSY239" s="1"/>
      <c r="QSZ239" s="1"/>
      <c r="QTA239" s="1"/>
      <c r="QTB239" s="1"/>
      <c r="QTC239" s="1"/>
      <c r="QTD239" s="1"/>
      <c r="QTE239" s="1"/>
      <c r="QTF239" s="1"/>
      <c r="QTG239" s="1"/>
      <c r="QTH239" s="1"/>
      <c r="QTI239" s="1"/>
      <c r="QTJ239" s="1"/>
      <c r="QTK239" s="1"/>
      <c r="QTL239" s="1"/>
      <c r="QTM239" s="1"/>
      <c r="QTN239" s="1"/>
      <c r="QTO239" s="1"/>
      <c r="QTP239" s="1"/>
      <c r="QTQ239" s="1"/>
      <c r="QTR239" s="1"/>
      <c r="QTS239" s="1"/>
      <c r="QTT239" s="1"/>
      <c r="QTU239" s="1"/>
      <c r="QTV239" s="1"/>
      <c r="QTW239" s="1"/>
      <c r="QTX239" s="1"/>
      <c r="QTY239" s="1"/>
      <c r="QTZ239" s="1"/>
      <c r="QUA239" s="1"/>
      <c r="QUB239" s="1"/>
      <c r="QUC239" s="1"/>
      <c r="QUD239" s="1"/>
      <c r="QUE239" s="1"/>
      <c r="QUF239" s="1"/>
      <c r="QUG239" s="1"/>
      <c r="QUH239" s="1"/>
      <c r="QUI239" s="1"/>
      <c r="QUJ239" s="1"/>
      <c r="QUK239" s="1"/>
      <c r="QUL239" s="1"/>
      <c r="QUM239" s="1"/>
      <c r="QUN239" s="1"/>
      <c r="QUO239" s="1"/>
      <c r="QUP239" s="1"/>
      <c r="QUQ239" s="1"/>
      <c r="QUR239" s="1"/>
      <c r="QUS239" s="1"/>
      <c r="QUT239" s="1"/>
      <c r="QUU239" s="1"/>
      <c r="QUV239" s="1"/>
      <c r="QUW239" s="1"/>
      <c r="QUX239" s="1"/>
      <c r="QUY239" s="1"/>
      <c r="QUZ239" s="1"/>
      <c r="QVA239" s="1"/>
      <c r="QVB239" s="1"/>
      <c r="QVC239" s="1"/>
      <c r="QVD239" s="1"/>
      <c r="QVE239" s="1"/>
      <c r="QVF239" s="1"/>
      <c r="QVG239" s="1"/>
      <c r="QVH239" s="1"/>
      <c r="QVI239" s="1"/>
      <c r="QVJ239" s="1"/>
      <c r="QVK239" s="1"/>
      <c r="QVL239" s="1"/>
      <c r="QVM239" s="1"/>
      <c r="QVN239" s="1"/>
      <c r="QVO239" s="1"/>
      <c r="QVP239" s="1"/>
      <c r="QVQ239" s="1"/>
      <c r="QVR239" s="1"/>
      <c r="QVS239" s="1"/>
      <c r="QVT239" s="1"/>
      <c r="QVU239" s="1"/>
      <c r="QVV239" s="1"/>
      <c r="QVW239" s="1"/>
      <c r="QVX239" s="1"/>
      <c r="QVY239" s="1"/>
      <c r="QVZ239" s="1"/>
      <c r="QWA239" s="1"/>
      <c r="QWB239" s="1"/>
      <c r="QWC239" s="1"/>
      <c r="QWD239" s="1"/>
      <c r="QWE239" s="1"/>
      <c r="QWF239" s="1"/>
      <c r="QWG239" s="1"/>
      <c r="QWH239" s="1"/>
      <c r="QWI239" s="1"/>
      <c r="QWJ239" s="1"/>
      <c r="QWK239" s="1"/>
      <c r="QWL239" s="1"/>
      <c r="QWM239" s="1"/>
      <c r="QWN239" s="1"/>
      <c r="QWO239" s="1"/>
      <c r="QWP239" s="1"/>
      <c r="QWQ239" s="1"/>
      <c r="QWR239" s="1"/>
      <c r="QWS239" s="1"/>
      <c r="QWT239" s="1"/>
      <c r="QWU239" s="1"/>
      <c r="QWV239" s="1"/>
      <c r="QWW239" s="1"/>
      <c r="QWX239" s="1"/>
      <c r="QWY239" s="1"/>
      <c r="QWZ239" s="1"/>
      <c r="QXA239" s="1"/>
      <c r="QXB239" s="1"/>
      <c r="QXC239" s="1"/>
      <c r="QXD239" s="1"/>
      <c r="QXE239" s="1"/>
      <c r="QXF239" s="1"/>
      <c r="QXG239" s="1"/>
      <c r="QXH239" s="1"/>
      <c r="QXI239" s="1"/>
      <c r="QXJ239" s="1"/>
      <c r="QXK239" s="1"/>
      <c r="QXL239" s="1"/>
      <c r="QXM239" s="1"/>
      <c r="QXN239" s="1"/>
      <c r="QXO239" s="1"/>
      <c r="QXP239" s="1"/>
      <c r="QXQ239" s="1"/>
      <c r="QXR239" s="1"/>
      <c r="QXS239" s="1"/>
      <c r="QXT239" s="1"/>
      <c r="QXU239" s="1"/>
      <c r="QXV239" s="1"/>
      <c r="QXW239" s="1"/>
      <c r="QXX239" s="1"/>
      <c r="QXY239" s="1"/>
      <c r="QXZ239" s="1"/>
      <c r="QYA239" s="1"/>
      <c r="QYB239" s="1"/>
      <c r="QYC239" s="1"/>
      <c r="QYD239" s="1"/>
      <c r="QYE239" s="1"/>
      <c r="QYF239" s="1"/>
      <c r="QYG239" s="1"/>
      <c r="QYH239" s="1"/>
      <c r="QYI239" s="1"/>
      <c r="QYJ239" s="1"/>
      <c r="QYK239" s="1"/>
      <c r="QYL239" s="1"/>
      <c r="QYM239" s="1"/>
      <c r="QYN239" s="1"/>
      <c r="QYO239" s="1"/>
      <c r="QYP239" s="1"/>
      <c r="QYQ239" s="1"/>
      <c r="QYR239" s="1"/>
      <c r="QYS239" s="1"/>
      <c r="QYT239" s="1"/>
      <c r="QYU239" s="1"/>
      <c r="QYV239" s="1"/>
      <c r="QYW239" s="1"/>
      <c r="QYX239" s="1"/>
      <c r="QYY239" s="1"/>
      <c r="QYZ239" s="1"/>
      <c r="QZA239" s="1"/>
      <c r="QZB239" s="1"/>
      <c r="QZC239" s="1"/>
      <c r="QZD239" s="1"/>
      <c r="QZE239" s="1"/>
      <c r="QZF239" s="1"/>
      <c r="QZG239" s="1"/>
      <c r="QZH239" s="1"/>
      <c r="QZI239" s="1"/>
      <c r="QZJ239" s="1"/>
      <c r="QZK239" s="1"/>
      <c r="QZL239" s="1"/>
      <c r="QZM239" s="1"/>
      <c r="QZN239" s="1"/>
      <c r="QZO239" s="1"/>
      <c r="QZP239" s="1"/>
      <c r="QZQ239" s="1"/>
      <c r="QZR239" s="1"/>
      <c r="QZS239" s="1"/>
      <c r="QZT239" s="1"/>
      <c r="QZU239" s="1"/>
      <c r="QZV239" s="1"/>
      <c r="QZW239" s="1"/>
      <c r="QZX239" s="1"/>
      <c r="QZY239" s="1"/>
      <c r="QZZ239" s="1"/>
      <c r="RAA239" s="1"/>
      <c r="RAB239" s="1"/>
      <c r="RAC239" s="1"/>
      <c r="RAD239" s="1"/>
      <c r="RAE239" s="1"/>
      <c r="RAF239" s="1"/>
      <c r="RAG239" s="1"/>
      <c r="RAH239" s="1"/>
      <c r="RAI239" s="1"/>
      <c r="RAJ239" s="1"/>
      <c r="RAK239" s="1"/>
      <c r="RAL239" s="1"/>
      <c r="RAM239" s="1"/>
      <c r="RAN239" s="1"/>
      <c r="RAO239" s="1"/>
      <c r="RAP239" s="1"/>
      <c r="RAQ239" s="1"/>
      <c r="RAR239" s="1"/>
      <c r="RAS239" s="1"/>
      <c r="RAT239" s="1"/>
      <c r="RAU239" s="1"/>
      <c r="RAV239" s="1"/>
      <c r="RAW239" s="1"/>
      <c r="RAX239" s="1"/>
      <c r="RAY239" s="1"/>
      <c r="RAZ239" s="1"/>
      <c r="RBA239" s="1"/>
      <c r="RBB239" s="1"/>
      <c r="RBC239" s="1"/>
      <c r="RBD239" s="1"/>
      <c r="RBE239" s="1"/>
      <c r="RBF239" s="1"/>
      <c r="RBG239" s="1"/>
      <c r="RBH239" s="1"/>
      <c r="RBI239" s="1"/>
      <c r="RBJ239" s="1"/>
      <c r="RBK239" s="1"/>
      <c r="RBL239" s="1"/>
      <c r="RBM239" s="1"/>
      <c r="RBN239" s="1"/>
      <c r="RBO239" s="1"/>
      <c r="RBP239" s="1"/>
      <c r="RBQ239" s="1"/>
      <c r="RBR239" s="1"/>
      <c r="RBS239" s="1"/>
      <c r="RBT239" s="1"/>
      <c r="RBU239" s="1"/>
      <c r="RBV239" s="1"/>
      <c r="RBW239" s="1"/>
      <c r="RBX239" s="1"/>
      <c r="RBY239" s="1"/>
      <c r="RBZ239" s="1"/>
      <c r="RCA239" s="1"/>
      <c r="RCB239" s="1"/>
      <c r="RCC239" s="1"/>
      <c r="RCD239" s="1"/>
      <c r="RCE239" s="1"/>
      <c r="RCF239" s="1"/>
      <c r="RCG239" s="1"/>
      <c r="RCH239" s="1"/>
      <c r="RCI239" s="1"/>
      <c r="RCJ239" s="1"/>
      <c r="RCK239" s="1"/>
      <c r="RCL239" s="1"/>
      <c r="RCM239" s="1"/>
      <c r="RCN239" s="1"/>
      <c r="RCO239" s="1"/>
      <c r="RCP239" s="1"/>
      <c r="RCQ239" s="1"/>
      <c r="RCR239" s="1"/>
      <c r="RCS239" s="1"/>
      <c r="RCT239" s="1"/>
      <c r="RCU239" s="1"/>
      <c r="RCV239" s="1"/>
      <c r="RCW239" s="1"/>
      <c r="RCX239" s="1"/>
      <c r="RCY239" s="1"/>
      <c r="RCZ239" s="1"/>
      <c r="RDA239" s="1"/>
      <c r="RDB239" s="1"/>
      <c r="RDC239" s="1"/>
      <c r="RDD239" s="1"/>
      <c r="RDE239" s="1"/>
      <c r="RDF239" s="1"/>
      <c r="RDG239" s="1"/>
      <c r="RDH239" s="1"/>
      <c r="RDI239" s="1"/>
      <c r="RDJ239" s="1"/>
      <c r="RDK239" s="1"/>
      <c r="RDL239" s="1"/>
      <c r="RDM239" s="1"/>
      <c r="RDN239" s="1"/>
      <c r="RDO239" s="1"/>
      <c r="RDP239" s="1"/>
      <c r="RDQ239" s="1"/>
      <c r="RDR239" s="1"/>
      <c r="RDS239" s="1"/>
      <c r="RDT239" s="1"/>
      <c r="RDU239" s="1"/>
      <c r="RDV239" s="1"/>
      <c r="RDW239" s="1"/>
      <c r="RDX239" s="1"/>
      <c r="RDY239" s="1"/>
      <c r="RDZ239" s="1"/>
      <c r="REA239" s="1"/>
      <c r="REB239" s="1"/>
      <c r="REC239" s="1"/>
      <c r="RED239" s="1"/>
      <c r="REE239" s="1"/>
      <c r="REF239" s="1"/>
      <c r="REG239" s="1"/>
      <c r="REH239" s="1"/>
      <c r="REI239" s="1"/>
      <c r="REJ239" s="1"/>
      <c r="REK239" s="1"/>
      <c r="REL239" s="1"/>
      <c r="REM239" s="1"/>
      <c r="REN239" s="1"/>
      <c r="REO239" s="1"/>
      <c r="REP239" s="1"/>
      <c r="REQ239" s="1"/>
      <c r="RER239" s="1"/>
      <c r="RES239" s="1"/>
      <c r="RET239" s="1"/>
      <c r="REU239" s="1"/>
      <c r="REV239" s="1"/>
      <c r="REW239" s="1"/>
      <c r="REX239" s="1"/>
      <c r="REY239" s="1"/>
      <c r="REZ239" s="1"/>
      <c r="RFA239" s="1"/>
      <c r="RFB239" s="1"/>
      <c r="RFC239" s="1"/>
      <c r="RFD239" s="1"/>
      <c r="RFE239" s="1"/>
      <c r="RFF239" s="1"/>
      <c r="RFG239" s="1"/>
      <c r="RFH239" s="1"/>
      <c r="RFI239" s="1"/>
      <c r="RFJ239" s="1"/>
      <c r="RFK239" s="1"/>
      <c r="RFL239" s="1"/>
      <c r="RFM239" s="1"/>
      <c r="RFN239" s="1"/>
      <c r="RFO239" s="1"/>
      <c r="RFP239" s="1"/>
      <c r="RFQ239" s="1"/>
      <c r="RFR239" s="1"/>
      <c r="RFS239" s="1"/>
      <c r="RFT239" s="1"/>
      <c r="RFU239" s="1"/>
      <c r="RFV239" s="1"/>
      <c r="RFW239" s="1"/>
      <c r="RFX239" s="1"/>
      <c r="RFY239" s="1"/>
      <c r="RFZ239" s="1"/>
      <c r="RGA239" s="1"/>
      <c r="RGB239" s="1"/>
      <c r="RGC239" s="1"/>
      <c r="RGD239" s="1"/>
      <c r="RGE239" s="1"/>
      <c r="RGF239" s="1"/>
      <c r="RGG239" s="1"/>
      <c r="RGH239" s="1"/>
      <c r="RGI239" s="1"/>
      <c r="RGJ239" s="1"/>
      <c r="RGK239" s="1"/>
      <c r="RGL239" s="1"/>
      <c r="RGM239" s="1"/>
      <c r="RGN239" s="1"/>
      <c r="RGO239" s="1"/>
      <c r="RGP239" s="1"/>
      <c r="RGQ239" s="1"/>
      <c r="RGR239" s="1"/>
      <c r="RGS239" s="1"/>
      <c r="RGT239" s="1"/>
      <c r="RGU239" s="1"/>
      <c r="RGV239" s="1"/>
      <c r="RGW239" s="1"/>
      <c r="RGX239" s="1"/>
      <c r="RGY239" s="1"/>
      <c r="RGZ239" s="1"/>
      <c r="RHA239" s="1"/>
      <c r="RHB239" s="1"/>
      <c r="RHC239" s="1"/>
      <c r="RHD239" s="1"/>
      <c r="RHE239" s="1"/>
      <c r="RHF239" s="1"/>
      <c r="RHG239" s="1"/>
      <c r="RHH239" s="1"/>
      <c r="RHI239" s="1"/>
      <c r="RHJ239" s="1"/>
      <c r="RHK239" s="1"/>
      <c r="RHL239" s="1"/>
      <c r="RHM239" s="1"/>
      <c r="RHN239" s="1"/>
      <c r="RHO239" s="1"/>
      <c r="RHP239" s="1"/>
      <c r="RHQ239" s="1"/>
      <c r="RHR239" s="1"/>
      <c r="RHS239" s="1"/>
      <c r="RHT239" s="1"/>
      <c r="RHU239" s="1"/>
      <c r="RHV239" s="1"/>
      <c r="RHW239" s="1"/>
      <c r="RHX239" s="1"/>
      <c r="RHY239" s="1"/>
      <c r="RHZ239" s="1"/>
      <c r="RIA239" s="1"/>
      <c r="RIB239" s="1"/>
      <c r="RIC239" s="1"/>
      <c r="RID239" s="1"/>
      <c r="RIE239" s="1"/>
      <c r="RIF239" s="1"/>
      <c r="RIG239" s="1"/>
      <c r="RIH239" s="1"/>
      <c r="RII239" s="1"/>
      <c r="RIJ239" s="1"/>
      <c r="RIK239" s="1"/>
      <c r="RIL239" s="1"/>
      <c r="RIM239" s="1"/>
      <c r="RIN239" s="1"/>
      <c r="RIO239" s="1"/>
      <c r="RIP239" s="1"/>
      <c r="RIQ239" s="1"/>
      <c r="RIR239" s="1"/>
      <c r="RIS239" s="1"/>
      <c r="RIT239" s="1"/>
      <c r="RIU239" s="1"/>
      <c r="RIV239" s="1"/>
      <c r="RIW239" s="1"/>
      <c r="RIX239" s="1"/>
      <c r="RIY239" s="1"/>
      <c r="RIZ239" s="1"/>
      <c r="RJA239" s="1"/>
      <c r="RJB239" s="1"/>
      <c r="RJC239" s="1"/>
      <c r="RJD239" s="1"/>
      <c r="RJE239" s="1"/>
      <c r="RJF239" s="1"/>
      <c r="RJG239" s="1"/>
      <c r="RJH239" s="1"/>
      <c r="RJI239" s="1"/>
      <c r="RJJ239" s="1"/>
      <c r="RJK239" s="1"/>
      <c r="RJL239" s="1"/>
      <c r="RJM239" s="1"/>
      <c r="RJN239" s="1"/>
      <c r="RJO239" s="1"/>
      <c r="RJP239" s="1"/>
      <c r="RJQ239" s="1"/>
      <c r="RJR239" s="1"/>
      <c r="RJS239" s="1"/>
      <c r="RJT239" s="1"/>
      <c r="RJU239" s="1"/>
      <c r="RJV239" s="1"/>
      <c r="RJW239" s="1"/>
      <c r="RJX239" s="1"/>
      <c r="RJY239" s="1"/>
      <c r="RJZ239" s="1"/>
      <c r="RKA239" s="1"/>
      <c r="RKB239" s="1"/>
      <c r="RKC239" s="1"/>
      <c r="RKD239" s="1"/>
      <c r="RKE239" s="1"/>
      <c r="RKF239" s="1"/>
      <c r="RKG239" s="1"/>
      <c r="RKH239" s="1"/>
      <c r="RKI239" s="1"/>
      <c r="RKJ239" s="1"/>
      <c r="RKK239" s="1"/>
      <c r="RKL239" s="1"/>
      <c r="RKM239" s="1"/>
      <c r="RKN239" s="1"/>
      <c r="RKO239" s="1"/>
      <c r="RKP239" s="1"/>
      <c r="RKQ239" s="1"/>
      <c r="RKR239" s="1"/>
      <c r="RKS239" s="1"/>
      <c r="RKT239" s="1"/>
      <c r="RKU239" s="1"/>
      <c r="RKV239" s="1"/>
      <c r="RKW239" s="1"/>
      <c r="RKX239" s="1"/>
      <c r="RKY239" s="1"/>
      <c r="RKZ239" s="1"/>
      <c r="RLA239" s="1"/>
      <c r="RLB239" s="1"/>
      <c r="RLC239" s="1"/>
      <c r="RLD239" s="1"/>
      <c r="RLE239" s="1"/>
      <c r="RLF239" s="1"/>
      <c r="RLG239" s="1"/>
      <c r="RLH239" s="1"/>
      <c r="RLI239" s="1"/>
      <c r="RLJ239" s="1"/>
      <c r="RLK239" s="1"/>
      <c r="RLL239" s="1"/>
      <c r="RLM239" s="1"/>
      <c r="RLN239" s="1"/>
      <c r="RLO239" s="1"/>
      <c r="RLP239" s="1"/>
      <c r="RLQ239" s="1"/>
      <c r="RLR239" s="1"/>
      <c r="RLS239" s="1"/>
      <c r="RLT239" s="1"/>
      <c r="RLU239" s="1"/>
      <c r="RLV239" s="1"/>
      <c r="RLW239" s="1"/>
      <c r="RLX239" s="1"/>
      <c r="RLY239" s="1"/>
      <c r="RLZ239" s="1"/>
      <c r="RMA239" s="1"/>
      <c r="RMB239" s="1"/>
      <c r="RMC239" s="1"/>
      <c r="RMD239" s="1"/>
      <c r="RME239" s="1"/>
      <c r="RMF239" s="1"/>
      <c r="RMG239" s="1"/>
      <c r="RMH239" s="1"/>
      <c r="RMI239" s="1"/>
      <c r="RMJ239" s="1"/>
      <c r="RMK239" s="1"/>
      <c r="RML239" s="1"/>
      <c r="RMM239" s="1"/>
      <c r="RMN239" s="1"/>
      <c r="RMO239" s="1"/>
      <c r="RMP239" s="1"/>
      <c r="RMQ239" s="1"/>
      <c r="RMR239" s="1"/>
      <c r="RMS239" s="1"/>
      <c r="RMT239" s="1"/>
      <c r="RMU239" s="1"/>
      <c r="RMV239" s="1"/>
      <c r="RMW239" s="1"/>
      <c r="RMX239" s="1"/>
      <c r="RMY239" s="1"/>
      <c r="RMZ239" s="1"/>
      <c r="RNA239" s="1"/>
      <c r="RNB239" s="1"/>
      <c r="RNC239" s="1"/>
      <c r="RND239" s="1"/>
      <c r="RNE239" s="1"/>
      <c r="RNF239" s="1"/>
      <c r="RNG239" s="1"/>
      <c r="RNH239" s="1"/>
      <c r="RNI239" s="1"/>
      <c r="RNJ239" s="1"/>
      <c r="RNK239" s="1"/>
      <c r="RNL239" s="1"/>
      <c r="RNM239" s="1"/>
      <c r="RNN239" s="1"/>
      <c r="RNO239" s="1"/>
      <c r="RNP239" s="1"/>
      <c r="RNQ239" s="1"/>
      <c r="RNR239" s="1"/>
      <c r="RNS239" s="1"/>
      <c r="RNT239" s="1"/>
      <c r="RNU239" s="1"/>
      <c r="RNV239" s="1"/>
      <c r="RNW239" s="1"/>
      <c r="RNX239" s="1"/>
      <c r="RNY239" s="1"/>
      <c r="RNZ239" s="1"/>
      <c r="ROA239" s="1"/>
      <c r="ROB239" s="1"/>
      <c r="ROC239" s="1"/>
      <c r="ROD239" s="1"/>
      <c r="ROE239" s="1"/>
      <c r="ROF239" s="1"/>
      <c r="ROG239" s="1"/>
      <c r="ROH239" s="1"/>
      <c r="ROI239" s="1"/>
      <c r="ROJ239" s="1"/>
      <c r="ROK239" s="1"/>
      <c r="ROL239" s="1"/>
      <c r="ROM239" s="1"/>
      <c r="RON239" s="1"/>
      <c r="ROO239" s="1"/>
      <c r="ROP239" s="1"/>
      <c r="ROQ239" s="1"/>
      <c r="ROR239" s="1"/>
      <c r="ROS239" s="1"/>
      <c r="ROT239" s="1"/>
      <c r="ROU239" s="1"/>
      <c r="ROV239" s="1"/>
      <c r="ROW239" s="1"/>
      <c r="ROX239" s="1"/>
      <c r="ROY239" s="1"/>
      <c r="ROZ239" s="1"/>
      <c r="RPA239" s="1"/>
      <c r="RPB239" s="1"/>
      <c r="RPC239" s="1"/>
      <c r="RPD239" s="1"/>
      <c r="RPE239" s="1"/>
      <c r="RPF239" s="1"/>
      <c r="RPG239" s="1"/>
      <c r="RPH239" s="1"/>
      <c r="RPI239" s="1"/>
      <c r="RPJ239" s="1"/>
      <c r="RPK239" s="1"/>
      <c r="RPL239" s="1"/>
      <c r="RPM239" s="1"/>
      <c r="RPN239" s="1"/>
      <c r="RPO239" s="1"/>
      <c r="RPP239" s="1"/>
      <c r="RPQ239" s="1"/>
      <c r="RPR239" s="1"/>
      <c r="RPS239" s="1"/>
      <c r="RPT239" s="1"/>
      <c r="RPU239" s="1"/>
      <c r="RPV239" s="1"/>
      <c r="RPW239" s="1"/>
      <c r="RPX239" s="1"/>
      <c r="RPY239" s="1"/>
      <c r="RPZ239" s="1"/>
      <c r="RQA239" s="1"/>
      <c r="RQB239" s="1"/>
      <c r="RQC239" s="1"/>
      <c r="RQD239" s="1"/>
      <c r="RQE239" s="1"/>
      <c r="RQF239" s="1"/>
      <c r="RQG239" s="1"/>
      <c r="RQH239" s="1"/>
      <c r="RQI239" s="1"/>
      <c r="RQJ239" s="1"/>
      <c r="RQK239" s="1"/>
      <c r="RQL239" s="1"/>
      <c r="RQM239" s="1"/>
      <c r="RQN239" s="1"/>
      <c r="RQO239" s="1"/>
      <c r="RQP239" s="1"/>
      <c r="RQQ239" s="1"/>
      <c r="RQR239" s="1"/>
      <c r="RQS239" s="1"/>
      <c r="RQT239" s="1"/>
      <c r="RQU239" s="1"/>
      <c r="RQV239" s="1"/>
      <c r="RQW239" s="1"/>
      <c r="RQX239" s="1"/>
      <c r="RQY239" s="1"/>
      <c r="RQZ239" s="1"/>
      <c r="RRA239" s="1"/>
      <c r="RRB239" s="1"/>
      <c r="RRC239" s="1"/>
      <c r="RRD239" s="1"/>
      <c r="RRE239" s="1"/>
      <c r="RRF239" s="1"/>
      <c r="RRG239" s="1"/>
      <c r="RRH239" s="1"/>
      <c r="RRI239" s="1"/>
      <c r="RRJ239" s="1"/>
      <c r="RRK239" s="1"/>
      <c r="RRL239" s="1"/>
      <c r="RRM239" s="1"/>
      <c r="RRN239" s="1"/>
      <c r="RRO239" s="1"/>
      <c r="RRP239" s="1"/>
      <c r="RRQ239" s="1"/>
      <c r="RRR239" s="1"/>
      <c r="RRS239" s="1"/>
      <c r="RRT239" s="1"/>
      <c r="RRU239" s="1"/>
      <c r="RRV239" s="1"/>
      <c r="RRW239" s="1"/>
      <c r="RRX239" s="1"/>
      <c r="RRY239" s="1"/>
      <c r="RRZ239" s="1"/>
      <c r="RSA239" s="1"/>
      <c r="RSB239" s="1"/>
      <c r="RSC239" s="1"/>
      <c r="RSD239" s="1"/>
      <c r="RSE239" s="1"/>
      <c r="RSF239" s="1"/>
      <c r="RSG239" s="1"/>
      <c r="RSH239" s="1"/>
      <c r="RSI239" s="1"/>
      <c r="RSJ239" s="1"/>
      <c r="RSK239" s="1"/>
      <c r="RSL239" s="1"/>
      <c r="RSM239" s="1"/>
      <c r="RSN239" s="1"/>
      <c r="RSO239" s="1"/>
      <c r="RSP239" s="1"/>
      <c r="RSQ239" s="1"/>
      <c r="RSR239" s="1"/>
      <c r="RSS239" s="1"/>
      <c r="RST239" s="1"/>
      <c r="RSU239" s="1"/>
      <c r="RSV239" s="1"/>
      <c r="RSW239" s="1"/>
      <c r="RSX239" s="1"/>
      <c r="RSY239" s="1"/>
      <c r="RSZ239" s="1"/>
      <c r="RTA239" s="1"/>
      <c r="RTB239" s="1"/>
      <c r="RTC239" s="1"/>
      <c r="RTD239" s="1"/>
      <c r="RTE239" s="1"/>
      <c r="RTF239" s="1"/>
      <c r="RTG239" s="1"/>
      <c r="RTH239" s="1"/>
      <c r="RTI239" s="1"/>
      <c r="RTJ239" s="1"/>
      <c r="RTK239" s="1"/>
      <c r="RTL239" s="1"/>
      <c r="RTM239" s="1"/>
      <c r="RTN239" s="1"/>
      <c r="RTO239" s="1"/>
      <c r="RTP239" s="1"/>
      <c r="RTQ239" s="1"/>
      <c r="RTR239" s="1"/>
      <c r="RTS239" s="1"/>
      <c r="RTT239" s="1"/>
      <c r="RTU239" s="1"/>
      <c r="RTV239" s="1"/>
      <c r="RTW239" s="1"/>
      <c r="RTX239" s="1"/>
      <c r="RTY239" s="1"/>
      <c r="RTZ239" s="1"/>
      <c r="RUA239" s="1"/>
      <c r="RUB239" s="1"/>
      <c r="RUC239" s="1"/>
      <c r="RUD239" s="1"/>
      <c r="RUE239" s="1"/>
      <c r="RUF239" s="1"/>
      <c r="RUG239" s="1"/>
      <c r="RUH239" s="1"/>
      <c r="RUI239" s="1"/>
      <c r="RUJ239" s="1"/>
      <c r="RUK239" s="1"/>
      <c r="RUL239" s="1"/>
      <c r="RUM239" s="1"/>
      <c r="RUN239" s="1"/>
      <c r="RUO239" s="1"/>
      <c r="RUP239" s="1"/>
      <c r="RUQ239" s="1"/>
      <c r="RUR239" s="1"/>
      <c r="RUS239" s="1"/>
      <c r="RUT239" s="1"/>
      <c r="RUU239" s="1"/>
      <c r="RUV239" s="1"/>
      <c r="RUW239" s="1"/>
      <c r="RUX239" s="1"/>
      <c r="RUY239" s="1"/>
      <c r="RUZ239" s="1"/>
      <c r="RVA239" s="1"/>
      <c r="RVB239" s="1"/>
      <c r="RVC239" s="1"/>
      <c r="RVD239" s="1"/>
      <c r="RVE239" s="1"/>
      <c r="RVF239" s="1"/>
      <c r="RVG239" s="1"/>
      <c r="RVH239" s="1"/>
      <c r="RVI239" s="1"/>
      <c r="RVJ239" s="1"/>
      <c r="RVK239" s="1"/>
      <c r="RVL239" s="1"/>
      <c r="RVM239" s="1"/>
      <c r="RVN239" s="1"/>
      <c r="RVO239" s="1"/>
      <c r="RVP239" s="1"/>
      <c r="RVQ239" s="1"/>
      <c r="RVR239" s="1"/>
      <c r="RVS239" s="1"/>
      <c r="RVT239" s="1"/>
      <c r="RVU239" s="1"/>
      <c r="RVV239" s="1"/>
      <c r="RVW239" s="1"/>
      <c r="RVX239" s="1"/>
      <c r="RVY239" s="1"/>
      <c r="RVZ239" s="1"/>
      <c r="RWA239" s="1"/>
      <c r="RWB239" s="1"/>
      <c r="RWC239" s="1"/>
      <c r="RWD239" s="1"/>
      <c r="RWE239" s="1"/>
      <c r="RWF239" s="1"/>
      <c r="RWG239" s="1"/>
      <c r="RWH239" s="1"/>
      <c r="RWI239" s="1"/>
      <c r="RWJ239" s="1"/>
      <c r="RWK239" s="1"/>
      <c r="RWL239" s="1"/>
      <c r="RWM239" s="1"/>
      <c r="RWN239" s="1"/>
      <c r="RWO239" s="1"/>
      <c r="RWP239" s="1"/>
      <c r="RWQ239" s="1"/>
      <c r="RWR239" s="1"/>
      <c r="RWS239" s="1"/>
      <c r="RWT239" s="1"/>
      <c r="RWU239" s="1"/>
      <c r="RWV239" s="1"/>
      <c r="RWW239" s="1"/>
      <c r="RWX239" s="1"/>
      <c r="RWY239" s="1"/>
      <c r="RWZ239" s="1"/>
      <c r="RXA239" s="1"/>
      <c r="RXB239" s="1"/>
      <c r="RXC239" s="1"/>
      <c r="RXD239" s="1"/>
      <c r="RXE239" s="1"/>
      <c r="RXF239" s="1"/>
      <c r="RXG239" s="1"/>
      <c r="RXH239" s="1"/>
      <c r="RXI239" s="1"/>
      <c r="RXJ239" s="1"/>
      <c r="RXK239" s="1"/>
      <c r="RXL239" s="1"/>
      <c r="RXM239" s="1"/>
      <c r="RXN239" s="1"/>
      <c r="RXO239" s="1"/>
      <c r="RXP239" s="1"/>
      <c r="RXQ239" s="1"/>
      <c r="RXR239" s="1"/>
      <c r="RXS239" s="1"/>
      <c r="RXT239" s="1"/>
      <c r="RXU239" s="1"/>
      <c r="RXV239" s="1"/>
      <c r="RXW239" s="1"/>
      <c r="RXX239" s="1"/>
      <c r="RXY239" s="1"/>
      <c r="RXZ239" s="1"/>
      <c r="RYA239" s="1"/>
      <c r="RYB239" s="1"/>
      <c r="RYC239" s="1"/>
      <c r="RYD239" s="1"/>
      <c r="RYE239" s="1"/>
      <c r="RYF239" s="1"/>
      <c r="RYG239" s="1"/>
      <c r="RYH239" s="1"/>
      <c r="RYI239" s="1"/>
      <c r="RYJ239" s="1"/>
      <c r="RYK239" s="1"/>
      <c r="RYL239" s="1"/>
      <c r="RYM239" s="1"/>
      <c r="RYN239" s="1"/>
      <c r="RYO239" s="1"/>
      <c r="RYP239" s="1"/>
      <c r="RYQ239" s="1"/>
      <c r="RYR239" s="1"/>
      <c r="RYS239" s="1"/>
      <c r="RYT239" s="1"/>
      <c r="RYU239" s="1"/>
      <c r="RYV239" s="1"/>
      <c r="RYW239" s="1"/>
      <c r="RYX239" s="1"/>
      <c r="RYY239" s="1"/>
      <c r="RYZ239" s="1"/>
      <c r="RZA239" s="1"/>
      <c r="RZB239" s="1"/>
      <c r="RZC239" s="1"/>
      <c r="RZD239" s="1"/>
      <c r="RZE239" s="1"/>
      <c r="RZF239" s="1"/>
      <c r="RZG239" s="1"/>
      <c r="RZH239" s="1"/>
      <c r="RZI239" s="1"/>
      <c r="RZJ239" s="1"/>
      <c r="RZK239" s="1"/>
      <c r="RZL239" s="1"/>
      <c r="RZM239" s="1"/>
      <c r="RZN239" s="1"/>
      <c r="RZO239" s="1"/>
      <c r="RZP239" s="1"/>
      <c r="RZQ239" s="1"/>
      <c r="RZR239" s="1"/>
      <c r="RZS239" s="1"/>
      <c r="RZT239" s="1"/>
      <c r="RZU239" s="1"/>
      <c r="RZV239" s="1"/>
      <c r="RZW239" s="1"/>
      <c r="RZX239" s="1"/>
      <c r="RZY239" s="1"/>
      <c r="RZZ239" s="1"/>
      <c r="SAA239" s="1"/>
      <c r="SAB239" s="1"/>
      <c r="SAC239" s="1"/>
      <c r="SAD239" s="1"/>
      <c r="SAE239" s="1"/>
      <c r="SAF239" s="1"/>
      <c r="SAG239" s="1"/>
      <c r="SAH239" s="1"/>
      <c r="SAI239" s="1"/>
      <c r="SAJ239" s="1"/>
      <c r="SAK239" s="1"/>
      <c r="SAL239" s="1"/>
      <c r="SAM239" s="1"/>
      <c r="SAN239" s="1"/>
      <c r="SAO239" s="1"/>
      <c r="SAP239" s="1"/>
      <c r="SAQ239" s="1"/>
      <c r="SAR239" s="1"/>
      <c r="SAS239" s="1"/>
      <c r="SAT239" s="1"/>
      <c r="SAU239" s="1"/>
      <c r="SAV239" s="1"/>
      <c r="SAW239" s="1"/>
      <c r="SAX239" s="1"/>
      <c r="SAY239" s="1"/>
      <c r="SAZ239" s="1"/>
      <c r="SBA239" s="1"/>
      <c r="SBB239" s="1"/>
      <c r="SBC239" s="1"/>
      <c r="SBD239" s="1"/>
      <c r="SBE239" s="1"/>
      <c r="SBF239" s="1"/>
      <c r="SBG239" s="1"/>
      <c r="SBH239" s="1"/>
      <c r="SBI239" s="1"/>
      <c r="SBJ239" s="1"/>
      <c r="SBK239" s="1"/>
      <c r="SBL239" s="1"/>
      <c r="SBM239" s="1"/>
      <c r="SBN239" s="1"/>
      <c r="SBO239" s="1"/>
      <c r="SBP239" s="1"/>
      <c r="SBQ239" s="1"/>
      <c r="SBR239" s="1"/>
      <c r="SBS239" s="1"/>
      <c r="SBT239" s="1"/>
      <c r="SBU239" s="1"/>
      <c r="SBV239" s="1"/>
      <c r="SBW239" s="1"/>
      <c r="SBX239" s="1"/>
      <c r="SBY239" s="1"/>
      <c r="SBZ239" s="1"/>
      <c r="SCA239" s="1"/>
      <c r="SCB239" s="1"/>
      <c r="SCC239" s="1"/>
      <c r="SCD239" s="1"/>
      <c r="SCE239" s="1"/>
      <c r="SCF239" s="1"/>
      <c r="SCG239" s="1"/>
      <c r="SCH239" s="1"/>
      <c r="SCI239" s="1"/>
      <c r="SCJ239" s="1"/>
      <c r="SCK239" s="1"/>
      <c r="SCL239" s="1"/>
      <c r="SCM239" s="1"/>
      <c r="SCN239" s="1"/>
      <c r="SCO239" s="1"/>
      <c r="SCP239" s="1"/>
      <c r="SCQ239" s="1"/>
      <c r="SCR239" s="1"/>
      <c r="SCS239" s="1"/>
      <c r="SCT239" s="1"/>
      <c r="SCU239" s="1"/>
      <c r="SCV239" s="1"/>
      <c r="SCW239" s="1"/>
      <c r="SCX239" s="1"/>
      <c r="SCY239" s="1"/>
      <c r="SCZ239" s="1"/>
      <c r="SDA239" s="1"/>
      <c r="SDB239" s="1"/>
      <c r="SDC239" s="1"/>
      <c r="SDD239" s="1"/>
      <c r="SDE239" s="1"/>
      <c r="SDF239" s="1"/>
      <c r="SDG239" s="1"/>
      <c r="SDH239" s="1"/>
      <c r="SDI239" s="1"/>
      <c r="SDJ239" s="1"/>
      <c r="SDK239" s="1"/>
      <c r="SDL239" s="1"/>
      <c r="SDM239" s="1"/>
      <c r="SDN239" s="1"/>
      <c r="SDO239" s="1"/>
      <c r="SDP239" s="1"/>
      <c r="SDQ239" s="1"/>
      <c r="SDR239" s="1"/>
      <c r="SDS239" s="1"/>
      <c r="SDT239" s="1"/>
      <c r="SDU239" s="1"/>
      <c r="SDV239" s="1"/>
      <c r="SDW239" s="1"/>
      <c r="SDX239" s="1"/>
      <c r="SDY239" s="1"/>
      <c r="SDZ239" s="1"/>
      <c r="SEA239" s="1"/>
      <c r="SEB239" s="1"/>
      <c r="SEC239" s="1"/>
      <c r="SED239" s="1"/>
      <c r="SEE239" s="1"/>
      <c r="SEF239" s="1"/>
      <c r="SEG239" s="1"/>
      <c r="SEH239" s="1"/>
      <c r="SEI239" s="1"/>
      <c r="SEJ239" s="1"/>
      <c r="SEK239" s="1"/>
      <c r="SEL239" s="1"/>
      <c r="SEM239" s="1"/>
      <c r="SEN239" s="1"/>
      <c r="SEO239" s="1"/>
      <c r="SEP239" s="1"/>
      <c r="SEQ239" s="1"/>
      <c r="SER239" s="1"/>
      <c r="SES239" s="1"/>
      <c r="SET239" s="1"/>
      <c r="SEU239" s="1"/>
      <c r="SEV239" s="1"/>
      <c r="SEW239" s="1"/>
      <c r="SEX239" s="1"/>
      <c r="SEY239" s="1"/>
      <c r="SEZ239" s="1"/>
      <c r="SFA239" s="1"/>
      <c r="SFB239" s="1"/>
      <c r="SFC239" s="1"/>
      <c r="SFD239" s="1"/>
      <c r="SFE239" s="1"/>
      <c r="SFF239" s="1"/>
      <c r="SFG239" s="1"/>
      <c r="SFH239" s="1"/>
      <c r="SFI239" s="1"/>
      <c r="SFJ239" s="1"/>
      <c r="SFK239" s="1"/>
      <c r="SFL239" s="1"/>
      <c r="SFM239" s="1"/>
      <c r="SFN239" s="1"/>
      <c r="SFO239" s="1"/>
      <c r="SFP239" s="1"/>
      <c r="SFQ239" s="1"/>
      <c r="SFR239" s="1"/>
      <c r="SFS239" s="1"/>
      <c r="SFT239" s="1"/>
      <c r="SFU239" s="1"/>
      <c r="SFV239" s="1"/>
      <c r="SFW239" s="1"/>
      <c r="SFX239" s="1"/>
      <c r="SFY239" s="1"/>
      <c r="SFZ239" s="1"/>
      <c r="SGA239" s="1"/>
      <c r="SGB239" s="1"/>
      <c r="SGC239" s="1"/>
      <c r="SGD239" s="1"/>
      <c r="SGE239" s="1"/>
      <c r="SGF239" s="1"/>
      <c r="SGG239" s="1"/>
      <c r="SGH239" s="1"/>
      <c r="SGI239" s="1"/>
      <c r="SGJ239" s="1"/>
      <c r="SGK239" s="1"/>
      <c r="SGL239" s="1"/>
      <c r="SGM239" s="1"/>
      <c r="SGN239" s="1"/>
      <c r="SGO239" s="1"/>
      <c r="SGP239" s="1"/>
      <c r="SGQ239" s="1"/>
      <c r="SGR239" s="1"/>
      <c r="SGS239" s="1"/>
      <c r="SGT239" s="1"/>
      <c r="SGU239" s="1"/>
      <c r="SGV239" s="1"/>
      <c r="SGW239" s="1"/>
      <c r="SGX239" s="1"/>
      <c r="SGY239" s="1"/>
      <c r="SGZ239" s="1"/>
      <c r="SHA239" s="1"/>
      <c r="SHB239" s="1"/>
      <c r="SHC239" s="1"/>
      <c r="SHD239" s="1"/>
      <c r="SHE239" s="1"/>
      <c r="SHF239" s="1"/>
      <c r="SHG239" s="1"/>
      <c r="SHH239" s="1"/>
      <c r="SHI239" s="1"/>
      <c r="SHJ239" s="1"/>
      <c r="SHK239" s="1"/>
      <c r="SHL239" s="1"/>
      <c r="SHM239" s="1"/>
      <c r="SHN239" s="1"/>
      <c r="SHO239" s="1"/>
      <c r="SHP239" s="1"/>
      <c r="SHQ239" s="1"/>
      <c r="SHR239" s="1"/>
      <c r="SHS239" s="1"/>
      <c r="SHT239" s="1"/>
      <c r="SHU239" s="1"/>
      <c r="SHV239" s="1"/>
      <c r="SHW239" s="1"/>
      <c r="SHX239" s="1"/>
      <c r="SHY239" s="1"/>
      <c r="SHZ239" s="1"/>
      <c r="SIA239" s="1"/>
      <c r="SIB239" s="1"/>
      <c r="SIC239" s="1"/>
      <c r="SID239" s="1"/>
      <c r="SIE239" s="1"/>
      <c r="SIF239" s="1"/>
      <c r="SIG239" s="1"/>
      <c r="SIH239" s="1"/>
      <c r="SII239" s="1"/>
      <c r="SIJ239" s="1"/>
      <c r="SIK239" s="1"/>
      <c r="SIL239" s="1"/>
      <c r="SIM239" s="1"/>
      <c r="SIN239" s="1"/>
      <c r="SIO239" s="1"/>
      <c r="SIP239" s="1"/>
      <c r="SIQ239" s="1"/>
      <c r="SIR239" s="1"/>
      <c r="SIS239" s="1"/>
      <c r="SIT239" s="1"/>
      <c r="SIU239" s="1"/>
      <c r="SIV239" s="1"/>
      <c r="SIW239" s="1"/>
      <c r="SIX239" s="1"/>
      <c r="SIY239" s="1"/>
      <c r="SIZ239" s="1"/>
      <c r="SJA239" s="1"/>
      <c r="SJB239" s="1"/>
      <c r="SJC239" s="1"/>
      <c r="SJD239" s="1"/>
      <c r="SJE239" s="1"/>
      <c r="SJF239" s="1"/>
      <c r="SJG239" s="1"/>
      <c r="SJH239" s="1"/>
      <c r="SJI239" s="1"/>
      <c r="SJJ239" s="1"/>
      <c r="SJK239" s="1"/>
      <c r="SJL239" s="1"/>
      <c r="SJM239" s="1"/>
      <c r="SJN239" s="1"/>
      <c r="SJO239" s="1"/>
      <c r="SJP239" s="1"/>
      <c r="SJQ239" s="1"/>
      <c r="SJR239" s="1"/>
      <c r="SJS239" s="1"/>
      <c r="SJT239" s="1"/>
      <c r="SJU239" s="1"/>
      <c r="SJV239" s="1"/>
      <c r="SJW239" s="1"/>
      <c r="SJX239" s="1"/>
      <c r="SJY239" s="1"/>
      <c r="SJZ239" s="1"/>
      <c r="SKA239" s="1"/>
      <c r="SKB239" s="1"/>
      <c r="SKC239" s="1"/>
      <c r="SKD239" s="1"/>
      <c r="SKE239" s="1"/>
      <c r="SKF239" s="1"/>
      <c r="SKG239" s="1"/>
      <c r="SKH239" s="1"/>
      <c r="SKI239" s="1"/>
      <c r="SKJ239" s="1"/>
      <c r="SKK239" s="1"/>
      <c r="SKL239" s="1"/>
      <c r="SKM239" s="1"/>
      <c r="SKN239" s="1"/>
      <c r="SKO239" s="1"/>
      <c r="SKP239" s="1"/>
      <c r="SKQ239" s="1"/>
      <c r="SKR239" s="1"/>
      <c r="SKS239" s="1"/>
      <c r="SKT239" s="1"/>
      <c r="SKU239" s="1"/>
      <c r="SKV239" s="1"/>
      <c r="SKW239" s="1"/>
      <c r="SKX239" s="1"/>
      <c r="SKY239" s="1"/>
      <c r="SKZ239" s="1"/>
      <c r="SLA239" s="1"/>
      <c r="SLB239" s="1"/>
      <c r="SLC239" s="1"/>
      <c r="SLD239" s="1"/>
      <c r="SLE239" s="1"/>
      <c r="SLF239" s="1"/>
      <c r="SLG239" s="1"/>
      <c r="SLH239" s="1"/>
      <c r="SLI239" s="1"/>
      <c r="SLJ239" s="1"/>
      <c r="SLK239" s="1"/>
      <c r="SLL239" s="1"/>
      <c r="SLM239" s="1"/>
      <c r="SLN239" s="1"/>
      <c r="SLO239" s="1"/>
      <c r="SLP239" s="1"/>
      <c r="SLQ239" s="1"/>
      <c r="SLR239" s="1"/>
      <c r="SLS239" s="1"/>
      <c r="SLT239" s="1"/>
      <c r="SLU239" s="1"/>
      <c r="SLV239" s="1"/>
      <c r="SLW239" s="1"/>
      <c r="SLX239" s="1"/>
      <c r="SLY239" s="1"/>
      <c r="SLZ239" s="1"/>
      <c r="SMA239" s="1"/>
      <c r="SMB239" s="1"/>
      <c r="SMC239" s="1"/>
      <c r="SMD239" s="1"/>
      <c r="SME239" s="1"/>
      <c r="SMF239" s="1"/>
      <c r="SMG239" s="1"/>
      <c r="SMH239" s="1"/>
      <c r="SMI239" s="1"/>
      <c r="SMJ239" s="1"/>
      <c r="SMK239" s="1"/>
      <c r="SML239" s="1"/>
      <c r="SMM239" s="1"/>
      <c r="SMN239" s="1"/>
      <c r="SMO239" s="1"/>
      <c r="SMP239" s="1"/>
      <c r="SMQ239" s="1"/>
      <c r="SMR239" s="1"/>
      <c r="SMS239" s="1"/>
      <c r="SMT239" s="1"/>
      <c r="SMU239" s="1"/>
      <c r="SMV239" s="1"/>
      <c r="SMW239" s="1"/>
      <c r="SMX239" s="1"/>
      <c r="SMY239" s="1"/>
      <c r="SMZ239" s="1"/>
      <c r="SNA239" s="1"/>
      <c r="SNB239" s="1"/>
      <c r="SNC239" s="1"/>
      <c r="SND239" s="1"/>
      <c r="SNE239" s="1"/>
      <c r="SNF239" s="1"/>
      <c r="SNG239" s="1"/>
      <c r="SNH239" s="1"/>
      <c r="SNI239" s="1"/>
      <c r="SNJ239" s="1"/>
      <c r="SNK239" s="1"/>
      <c r="SNL239" s="1"/>
      <c r="SNM239" s="1"/>
      <c r="SNN239" s="1"/>
      <c r="SNO239" s="1"/>
      <c r="SNP239" s="1"/>
      <c r="SNQ239" s="1"/>
      <c r="SNR239" s="1"/>
      <c r="SNS239" s="1"/>
      <c r="SNT239" s="1"/>
      <c r="SNU239" s="1"/>
      <c r="SNV239" s="1"/>
      <c r="SNW239" s="1"/>
      <c r="SNX239" s="1"/>
      <c r="SNY239" s="1"/>
      <c r="SNZ239" s="1"/>
      <c r="SOA239" s="1"/>
      <c r="SOB239" s="1"/>
      <c r="SOC239" s="1"/>
      <c r="SOD239" s="1"/>
      <c r="SOE239" s="1"/>
      <c r="SOF239" s="1"/>
      <c r="SOG239" s="1"/>
      <c r="SOH239" s="1"/>
      <c r="SOI239" s="1"/>
      <c r="SOJ239" s="1"/>
      <c r="SOK239" s="1"/>
      <c r="SOL239" s="1"/>
      <c r="SOM239" s="1"/>
      <c r="SON239" s="1"/>
      <c r="SOO239" s="1"/>
      <c r="SOP239" s="1"/>
      <c r="SOQ239" s="1"/>
      <c r="SOR239" s="1"/>
      <c r="SOS239" s="1"/>
      <c r="SOT239" s="1"/>
      <c r="SOU239" s="1"/>
      <c r="SOV239" s="1"/>
      <c r="SOW239" s="1"/>
      <c r="SOX239" s="1"/>
      <c r="SOY239" s="1"/>
      <c r="SOZ239" s="1"/>
      <c r="SPA239" s="1"/>
      <c r="SPB239" s="1"/>
      <c r="SPC239" s="1"/>
      <c r="SPD239" s="1"/>
      <c r="SPE239" s="1"/>
      <c r="SPF239" s="1"/>
      <c r="SPG239" s="1"/>
      <c r="SPH239" s="1"/>
      <c r="SPI239" s="1"/>
      <c r="SPJ239" s="1"/>
      <c r="SPK239" s="1"/>
      <c r="SPL239" s="1"/>
      <c r="SPM239" s="1"/>
      <c r="SPN239" s="1"/>
      <c r="SPO239" s="1"/>
      <c r="SPP239" s="1"/>
      <c r="SPQ239" s="1"/>
      <c r="SPR239" s="1"/>
      <c r="SPS239" s="1"/>
      <c r="SPT239" s="1"/>
      <c r="SPU239" s="1"/>
      <c r="SPV239" s="1"/>
      <c r="SPW239" s="1"/>
      <c r="SPX239" s="1"/>
      <c r="SPY239" s="1"/>
      <c r="SPZ239" s="1"/>
      <c r="SQA239" s="1"/>
      <c r="SQB239" s="1"/>
      <c r="SQC239" s="1"/>
      <c r="SQD239" s="1"/>
      <c r="SQE239" s="1"/>
      <c r="SQF239" s="1"/>
      <c r="SQG239" s="1"/>
      <c r="SQH239" s="1"/>
      <c r="SQI239" s="1"/>
      <c r="SQJ239" s="1"/>
      <c r="SQK239" s="1"/>
      <c r="SQL239" s="1"/>
      <c r="SQM239" s="1"/>
      <c r="SQN239" s="1"/>
      <c r="SQO239" s="1"/>
      <c r="SQP239" s="1"/>
      <c r="SQQ239" s="1"/>
      <c r="SQR239" s="1"/>
      <c r="SQS239" s="1"/>
      <c r="SQT239" s="1"/>
      <c r="SQU239" s="1"/>
      <c r="SQV239" s="1"/>
      <c r="SQW239" s="1"/>
      <c r="SQX239" s="1"/>
      <c r="SQY239" s="1"/>
      <c r="SQZ239" s="1"/>
      <c r="SRA239" s="1"/>
      <c r="SRB239" s="1"/>
      <c r="SRC239" s="1"/>
      <c r="SRD239" s="1"/>
      <c r="SRE239" s="1"/>
      <c r="SRF239" s="1"/>
      <c r="SRG239" s="1"/>
      <c r="SRH239" s="1"/>
      <c r="SRI239" s="1"/>
      <c r="SRJ239" s="1"/>
      <c r="SRK239" s="1"/>
      <c r="SRL239" s="1"/>
      <c r="SRM239" s="1"/>
      <c r="SRN239" s="1"/>
      <c r="SRO239" s="1"/>
      <c r="SRP239" s="1"/>
      <c r="SRQ239" s="1"/>
      <c r="SRR239" s="1"/>
      <c r="SRS239" s="1"/>
      <c r="SRT239" s="1"/>
      <c r="SRU239" s="1"/>
      <c r="SRV239" s="1"/>
      <c r="SRW239" s="1"/>
      <c r="SRX239" s="1"/>
      <c r="SRY239" s="1"/>
      <c r="SRZ239" s="1"/>
      <c r="SSA239" s="1"/>
      <c r="SSB239" s="1"/>
      <c r="SSC239" s="1"/>
      <c r="SSD239" s="1"/>
      <c r="SSE239" s="1"/>
      <c r="SSF239" s="1"/>
      <c r="SSG239" s="1"/>
      <c r="SSH239" s="1"/>
      <c r="SSI239" s="1"/>
      <c r="SSJ239" s="1"/>
      <c r="SSK239" s="1"/>
      <c r="SSL239" s="1"/>
      <c r="SSM239" s="1"/>
      <c r="SSN239" s="1"/>
      <c r="SSO239" s="1"/>
      <c r="SSP239" s="1"/>
      <c r="SSQ239" s="1"/>
      <c r="SSR239" s="1"/>
      <c r="SSS239" s="1"/>
      <c r="SST239" s="1"/>
      <c r="SSU239" s="1"/>
      <c r="SSV239" s="1"/>
      <c r="SSW239" s="1"/>
      <c r="SSX239" s="1"/>
      <c r="SSY239" s="1"/>
      <c r="SSZ239" s="1"/>
      <c r="STA239" s="1"/>
      <c r="STB239" s="1"/>
      <c r="STC239" s="1"/>
      <c r="STD239" s="1"/>
      <c r="STE239" s="1"/>
      <c r="STF239" s="1"/>
      <c r="STG239" s="1"/>
      <c r="STH239" s="1"/>
      <c r="STI239" s="1"/>
      <c r="STJ239" s="1"/>
      <c r="STK239" s="1"/>
      <c r="STL239" s="1"/>
      <c r="STM239" s="1"/>
      <c r="STN239" s="1"/>
      <c r="STO239" s="1"/>
      <c r="STP239" s="1"/>
      <c r="STQ239" s="1"/>
      <c r="STR239" s="1"/>
      <c r="STS239" s="1"/>
      <c r="STT239" s="1"/>
      <c r="STU239" s="1"/>
      <c r="STV239" s="1"/>
      <c r="STW239" s="1"/>
      <c r="STX239" s="1"/>
      <c r="STY239" s="1"/>
      <c r="STZ239" s="1"/>
      <c r="SUA239" s="1"/>
      <c r="SUB239" s="1"/>
      <c r="SUC239" s="1"/>
      <c r="SUD239" s="1"/>
      <c r="SUE239" s="1"/>
      <c r="SUF239" s="1"/>
      <c r="SUG239" s="1"/>
      <c r="SUH239" s="1"/>
      <c r="SUI239" s="1"/>
      <c r="SUJ239" s="1"/>
      <c r="SUK239" s="1"/>
      <c r="SUL239" s="1"/>
      <c r="SUM239" s="1"/>
      <c r="SUN239" s="1"/>
      <c r="SUO239" s="1"/>
      <c r="SUP239" s="1"/>
      <c r="SUQ239" s="1"/>
      <c r="SUR239" s="1"/>
      <c r="SUS239" s="1"/>
      <c r="SUT239" s="1"/>
      <c r="SUU239" s="1"/>
      <c r="SUV239" s="1"/>
      <c r="SUW239" s="1"/>
      <c r="SUX239" s="1"/>
      <c r="SUY239" s="1"/>
      <c r="SUZ239" s="1"/>
      <c r="SVA239" s="1"/>
      <c r="SVB239" s="1"/>
      <c r="SVC239" s="1"/>
      <c r="SVD239" s="1"/>
      <c r="SVE239" s="1"/>
      <c r="SVF239" s="1"/>
      <c r="SVG239" s="1"/>
      <c r="SVH239" s="1"/>
      <c r="SVI239" s="1"/>
      <c r="SVJ239" s="1"/>
      <c r="SVK239" s="1"/>
      <c r="SVL239" s="1"/>
      <c r="SVM239" s="1"/>
      <c r="SVN239" s="1"/>
      <c r="SVO239" s="1"/>
      <c r="SVP239" s="1"/>
      <c r="SVQ239" s="1"/>
      <c r="SVR239" s="1"/>
      <c r="SVS239" s="1"/>
      <c r="SVT239" s="1"/>
      <c r="SVU239" s="1"/>
      <c r="SVV239" s="1"/>
      <c r="SVW239" s="1"/>
      <c r="SVX239" s="1"/>
      <c r="SVY239" s="1"/>
      <c r="SVZ239" s="1"/>
      <c r="SWA239" s="1"/>
      <c r="SWB239" s="1"/>
      <c r="SWC239" s="1"/>
      <c r="SWD239" s="1"/>
      <c r="SWE239" s="1"/>
      <c r="SWF239" s="1"/>
      <c r="SWG239" s="1"/>
      <c r="SWH239" s="1"/>
      <c r="SWI239" s="1"/>
      <c r="SWJ239" s="1"/>
      <c r="SWK239" s="1"/>
      <c r="SWL239" s="1"/>
      <c r="SWM239" s="1"/>
      <c r="SWN239" s="1"/>
      <c r="SWO239" s="1"/>
      <c r="SWP239" s="1"/>
      <c r="SWQ239" s="1"/>
      <c r="SWR239" s="1"/>
      <c r="SWS239" s="1"/>
      <c r="SWT239" s="1"/>
      <c r="SWU239" s="1"/>
      <c r="SWV239" s="1"/>
      <c r="SWW239" s="1"/>
      <c r="SWX239" s="1"/>
      <c r="SWY239" s="1"/>
      <c r="SWZ239" s="1"/>
      <c r="SXA239" s="1"/>
      <c r="SXB239" s="1"/>
      <c r="SXC239" s="1"/>
      <c r="SXD239" s="1"/>
      <c r="SXE239" s="1"/>
      <c r="SXF239" s="1"/>
      <c r="SXG239" s="1"/>
      <c r="SXH239" s="1"/>
      <c r="SXI239" s="1"/>
      <c r="SXJ239" s="1"/>
      <c r="SXK239" s="1"/>
      <c r="SXL239" s="1"/>
      <c r="SXM239" s="1"/>
      <c r="SXN239" s="1"/>
      <c r="SXO239" s="1"/>
      <c r="SXP239" s="1"/>
      <c r="SXQ239" s="1"/>
      <c r="SXR239" s="1"/>
      <c r="SXS239" s="1"/>
      <c r="SXT239" s="1"/>
      <c r="SXU239" s="1"/>
      <c r="SXV239" s="1"/>
      <c r="SXW239" s="1"/>
      <c r="SXX239" s="1"/>
      <c r="SXY239" s="1"/>
      <c r="SXZ239" s="1"/>
      <c r="SYA239" s="1"/>
      <c r="SYB239" s="1"/>
      <c r="SYC239" s="1"/>
      <c r="SYD239" s="1"/>
      <c r="SYE239" s="1"/>
      <c r="SYF239" s="1"/>
      <c r="SYG239" s="1"/>
      <c r="SYH239" s="1"/>
      <c r="SYI239" s="1"/>
      <c r="SYJ239" s="1"/>
      <c r="SYK239" s="1"/>
      <c r="SYL239" s="1"/>
      <c r="SYM239" s="1"/>
      <c r="SYN239" s="1"/>
      <c r="SYO239" s="1"/>
      <c r="SYP239" s="1"/>
      <c r="SYQ239" s="1"/>
      <c r="SYR239" s="1"/>
      <c r="SYS239" s="1"/>
      <c r="SYT239" s="1"/>
      <c r="SYU239" s="1"/>
      <c r="SYV239" s="1"/>
      <c r="SYW239" s="1"/>
      <c r="SYX239" s="1"/>
      <c r="SYY239" s="1"/>
      <c r="SYZ239" s="1"/>
      <c r="SZA239" s="1"/>
      <c r="SZB239" s="1"/>
      <c r="SZC239" s="1"/>
      <c r="SZD239" s="1"/>
      <c r="SZE239" s="1"/>
      <c r="SZF239" s="1"/>
      <c r="SZG239" s="1"/>
      <c r="SZH239" s="1"/>
      <c r="SZI239" s="1"/>
      <c r="SZJ239" s="1"/>
      <c r="SZK239" s="1"/>
      <c r="SZL239" s="1"/>
      <c r="SZM239" s="1"/>
      <c r="SZN239" s="1"/>
      <c r="SZO239" s="1"/>
      <c r="SZP239" s="1"/>
      <c r="SZQ239" s="1"/>
      <c r="SZR239" s="1"/>
      <c r="SZS239" s="1"/>
      <c r="SZT239" s="1"/>
      <c r="SZU239" s="1"/>
      <c r="SZV239" s="1"/>
      <c r="SZW239" s="1"/>
      <c r="SZX239" s="1"/>
      <c r="SZY239" s="1"/>
      <c r="SZZ239" s="1"/>
      <c r="TAA239" s="1"/>
      <c r="TAB239" s="1"/>
      <c r="TAC239" s="1"/>
      <c r="TAD239" s="1"/>
      <c r="TAE239" s="1"/>
      <c r="TAF239" s="1"/>
      <c r="TAG239" s="1"/>
      <c r="TAH239" s="1"/>
      <c r="TAI239" s="1"/>
      <c r="TAJ239" s="1"/>
      <c r="TAK239" s="1"/>
      <c r="TAL239" s="1"/>
      <c r="TAM239" s="1"/>
      <c r="TAN239" s="1"/>
      <c r="TAO239" s="1"/>
      <c r="TAP239" s="1"/>
      <c r="TAQ239" s="1"/>
      <c r="TAR239" s="1"/>
      <c r="TAS239" s="1"/>
      <c r="TAT239" s="1"/>
      <c r="TAU239" s="1"/>
      <c r="TAV239" s="1"/>
      <c r="TAW239" s="1"/>
      <c r="TAX239" s="1"/>
      <c r="TAY239" s="1"/>
      <c r="TAZ239" s="1"/>
      <c r="TBA239" s="1"/>
      <c r="TBB239" s="1"/>
      <c r="TBC239" s="1"/>
      <c r="TBD239" s="1"/>
      <c r="TBE239" s="1"/>
      <c r="TBF239" s="1"/>
      <c r="TBG239" s="1"/>
      <c r="TBH239" s="1"/>
      <c r="TBI239" s="1"/>
      <c r="TBJ239" s="1"/>
      <c r="TBK239" s="1"/>
      <c r="TBL239" s="1"/>
      <c r="TBM239" s="1"/>
      <c r="TBN239" s="1"/>
      <c r="TBO239" s="1"/>
      <c r="TBP239" s="1"/>
      <c r="TBQ239" s="1"/>
      <c r="TBR239" s="1"/>
      <c r="TBS239" s="1"/>
      <c r="TBT239" s="1"/>
      <c r="TBU239" s="1"/>
      <c r="TBV239" s="1"/>
      <c r="TBW239" s="1"/>
      <c r="TBX239" s="1"/>
      <c r="TBY239" s="1"/>
      <c r="TBZ239" s="1"/>
      <c r="TCA239" s="1"/>
      <c r="TCB239" s="1"/>
      <c r="TCC239" s="1"/>
      <c r="TCD239" s="1"/>
      <c r="TCE239" s="1"/>
      <c r="TCF239" s="1"/>
      <c r="TCG239" s="1"/>
      <c r="TCH239" s="1"/>
      <c r="TCI239" s="1"/>
      <c r="TCJ239" s="1"/>
      <c r="TCK239" s="1"/>
      <c r="TCL239" s="1"/>
      <c r="TCM239" s="1"/>
      <c r="TCN239" s="1"/>
      <c r="TCO239" s="1"/>
      <c r="TCP239" s="1"/>
      <c r="TCQ239" s="1"/>
      <c r="TCR239" s="1"/>
      <c r="TCS239" s="1"/>
      <c r="TCT239" s="1"/>
      <c r="TCU239" s="1"/>
      <c r="TCV239" s="1"/>
      <c r="TCW239" s="1"/>
      <c r="TCX239" s="1"/>
      <c r="TCY239" s="1"/>
      <c r="TCZ239" s="1"/>
      <c r="TDA239" s="1"/>
      <c r="TDB239" s="1"/>
      <c r="TDC239" s="1"/>
      <c r="TDD239" s="1"/>
      <c r="TDE239" s="1"/>
      <c r="TDF239" s="1"/>
      <c r="TDG239" s="1"/>
      <c r="TDH239" s="1"/>
      <c r="TDI239" s="1"/>
      <c r="TDJ239" s="1"/>
      <c r="TDK239" s="1"/>
      <c r="TDL239" s="1"/>
      <c r="TDM239" s="1"/>
      <c r="TDN239" s="1"/>
      <c r="TDO239" s="1"/>
      <c r="TDP239" s="1"/>
      <c r="TDQ239" s="1"/>
      <c r="TDR239" s="1"/>
      <c r="TDS239" s="1"/>
      <c r="TDT239" s="1"/>
      <c r="TDU239" s="1"/>
      <c r="TDV239" s="1"/>
      <c r="TDW239" s="1"/>
      <c r="TDX239" s="1"/>
      <c r="TDY239" s="1"/>
      <c r="TDZ239" s="1"/>
      <c r="TEA239" s="1"/>
      <c r="TEB239" s="1"/>
      <c r="TEC239" s="1"/>
      <c r="TED239" s="1"/>
      <c r="TEE239" s="1"/>
      <c r="TEF239" s="1"/>
      <c r="TEG239" s="1"/>
      <c r="TEH239" s="1"/>
      <c r="TEI239" s="1"/>
      <c r="TEJ239" s="1"/>
      <c r="TEK239" s="1"/>
      <c r="TEL239" s="1"/>
      <c r="TEM239" s="1"/>
      <c r="TEN239" s="1"/>
      <c r="TEO239" s="1"/>
      <c r="TEP239" s="1"/>
      <c r="TEQ239" s="1"/>
      <c r="TER239" s="1"/>
      <c r="TES239" s="1"/>
      <c r="TET239" s="1"/>
      <c r="TEU239" s="1"/>
      <c r="TEV239" s="1"/>
      <c r="TEW239" s="1"/>
      <c r="TEX239" s="1"/>
      <c r="TEY239" s="1"/>
      <c r="TEZ239" s="1"/>
      <c r="TFA239" s="1"/>
      <c r="TFB239" s="1"/>
      <c r="TFC239" s="1"/>
      <c r="TFD239" s="1"/>
      <c r="TFE239" s="1"/>
      <c r="TFF239" s="1"/>
      <c r="TFG239" s="1"/>
      <c r="TFH239" s="1"/>
      <c r="TFI239" s="1"/>
      <c r="TFJ239" s="1"/>
      <c r="TFK239" s="1"/>
      <c r="TFL239" s="1"/>
      <c r="TFM239" s="1"/>
      <c r="TFN239" s="1"/>
      <c r="TFO239" s="1"/>
      <c r="TFP239" s="1"/>
      <c r="TFQ239" s="1"/>
      <c r="TFR239" s="1"/>
      <c r="TFS239" s="1"/>
      <c r="TFT239" s="1"/>
      <c r="TFU239" s="1"/>
      <c r="TFV239" s="1"/>
      <c r="TFW239" s="1"/>
      <c r="TFX239" s="1"/>
      <c r="TFY239" s="1"/>
      <c r="TFZ239" s="1"/>
      <c r="TGA239" s="1"/>
      <c r="TGB239" s="1"/>
      <c r="TGC239" s="1"/>
      <c r="TGD239" s="1"/>
      <c r="TGE239" s="1"/>
      <c r="TGF239" s="1"/>
      <c r="TGG239" s="1"/>
      <c r="TGH239" s="1"/>
      <c r="TGI239" s="1"/>
      <c r="TGJ239" s="1"/>
      <c r="TGK239" s="1"/>
      <c r="TGL239" s="1"/>
      <c r="TGM239" s="1"/>
      <c r="TGN239" s="1"/>
      <c r="TGO239" s="1"/>
      <c r="TGP239" s="1"/>
      <c r="TGQ239" s="1"/>
      <c r="TGR239" s="1"/>
      <c r="TGS239" s="1"/>
      <c r="TGT239" s="1"/>
      <c r="TGU239" s="1"/>
      <c r="TGV239" s="1"/>
      <c r="TGW239" s="1"/>
      <c r="TGX239" s="1"/>
      <c r="TGY239" s="1"/>
      <c r="TGZ239" s="1"/>
      <c r="THA239" s="1"/>
      <c r="THB239" s="1"/>
      <c r="THC239" s="1"/>
      <c r="THD239" s="1"/>
      <c r="THE239" s="1"/>
      <c r="THF239" s="1"/>
      <c r="THG239" s="1"/>
      <c r="THH239" s="1"/>
      <c r="THI239" s="1"/>
      <c r="THJ239" s="1"/>
      <c r="THK239" s="1"/>
      <c r="THL239" s="1"/>
      <c r="THM239" s="1"/>
      <c r="THN239" s="1"/>
      <c r="THO239" s="1"/>
      <c r="THP239" s="1"/>
      <c r="THQ239" s="1"/>
      <c r="THR239" s="1"/>
      <c r="THS239" s="1"/>
      <c r="THT239" s="1"/>
      <c r="THU239" s="1"/>
      <c r="THV239" s="1"/>
      <c r="THW239" s="1"/>
      <c r="THX239" s="1"/>
      <c r="THY239" s="1"/>
      <c r="THZ239" s="1"/>
      <c r="TIA239" s="1"/>
      <c r="TIB239" s="1"/>
      <c r="TIC239" s="1"/>
      <c r="TID239" s="1"/>
      <c r="TIE239" s="1"/>
      <c r="TIF239" s="1"/>
      <c r="TIG239" s="1"/>
      <c r="TIH239" s="1"/>
      <c r="TII239" s="1"/>
      <c r="TIJ239" s="1"/>
      <c r="TIK239" s="1"/>
      <c r="TIL239" s="1"/>
      <c r="TIM239" s="1"/>
      <c r="TIN239" s="1"/>
      <c r="TIO239" s="1"/>
      <c r="TIP239" s="1"/>
      <c r="TIQ239" s="1"/>
      <c r="TIR239" s="1"/>
      <c r="TIS239" s="1"/>
      <c r="TIT239" s="1"/>
      <c r="TIU239" s="1"/>
      <c r="TIV239" s="1"/>
      <c r="TIW239" s="1"/>
      <c r="TIX239" s="1"/>
      <c r="TIY239" s="1"/>
      <c r="TIZ239" s="1"/>
      <c r="TJA239" s="1"/>
      <c r="TJB239" s="1"/>
      <c r="TJC239" s="1"/>
      <c r="TJD239" s="1"/>
      <c r="TJE239" s="1"/>
      <c r="TJF239" s="1"/>
      <c r="TJG239" s="1"/>
      <c r="TJH239" s="1"/>
      <c r="TJI239" s="1"/>
      <c r="TJJ239" s="1"/>
      <c r="TJK239" s="1"/>
      <c r="TJL239" s="1"/>
      <c r="TJM239" s="1"/>
      <c r="TJN239" s="1"/>
      <c r="TJO239" s="1"/>
      <c r="TJP239" s="1"/>
      <c r="TJQ239" s="1"/>
      <c r="TJR239" s="1"/>
      <c r="TJS239" s="1"/>
      <c r="TJT239" s="1"/>
      <c r="TJU239" s="1"/>
      <c r="TJV239" s="1"/>
      <c r="TJW239" s="1"/>
      <c r="TJX239" s="1"/>
      <c r="TJY239" s="1"/>
      <c r="TJZ239" s="1"/>
      <c r="TKA239" s="1"/>
      <c r="TKB239" s="1"/>
      <c r="TKC239" s="1"/>
      <c r="TKD239" s="1"/>
      <c r="TKE239" s="1"/>
      <c r="TKF239" s="1"/>
      <c r="TKG239" s="1"/>
      <c r="TKH239" s="1"/>
      <c r="TKI239" s="1"/>
      <c r="TKJ239" s="1"/>
      <c r="TKK239" s="1"/>
      <c r="TKL239" s="1"/>
      <c r="TKM239" s="1"/>
      <c r="TKN239" s="1"/>
      <c r="TKO239" s="1"/>
      <c r="TKP239" s="1"/>
      <c r="TKQ239" s="1"/>
      <c r="TKR239" s="1"/>
      <c r="TKS239" s="1"/>
      <c r="TKT239" s="1"/>
      <c r="TKU239" s="1"/>
      <c r="TKV239" s="1"/>
      <c r="TKW239" s="1"/>
      <c r="TKX239" s="1"/>
      <c r="TKY239" s="1"/>
      <c r="TKZ239" s="1"/>
      <c r="TLA239" s="1"/>
      <c r="TLB239" s="1"/>
      <c r="TLC239" s="1"/>
      <c r="TLD239" s="1"/>
      <c r="TLE239" s="1"/>
      <c r="TLF239" s="1"/>
      <c r="TLG239" s="1"/>
      <c r="TLH239" s="1"/>
      <c r="TLI239" s="1"/>
      <c r="TLJ239" s="1"/>
      <c r="TLK239" s="1"/>
      <c r="TLL239" s="1"/>
      <c r="TLM239" s="1"/>
      <c r="TLN239" s="1"/>
      <c r="TLO239" s="1"/>
      <c r="TLP239" s="1"/>
      <c r="TLQ239" s="1"/>
      <c r="TLR239" s="1"/>
      <c r="TLS239" s="1"/>
      <c r="TLT239" s="1"/>
      <c r="TLU239" s="1"/>
      <c r="TLV239" s="1"/>
      <c r="TLW239" s="1"/>
      <c r="TLX239" s="1"/>
      <c r="TLY239" s="1"/>
      <c r="TLZ239" s="1"/>
      <c r="TMA239" s="1"/>
      <c r="TMB239" s="1"/>
      <c r="TMC239" s="1"/>
      <c r="TMD239" s="1"/>
      <c r="TME239" s="1"/>
      <c r="TMF239" s="1"/>
      <c r="TMG239" s="1"/>
      <c r="TMH239" s="1"/>
      <c r="TMI239" s="1"/>
      <c r="TMJ239" s="1"/>
      <c r="TMK239" s="1"/>
      <c r="TML239" s="1"/>
      <c r="TMM239" s="1"/>
      <c r="TMN239" s="1"/>
      <c r="TMO239" s="1"/>
      <c r="TMP239" s="1"/>
      <c r="TMQ239" s="1"/>
      <c r="TMR239" s="1"/>
      <c r="TMS239" s="1"/>
      <c r="TMT239" s="1"/>
      <c r="TMU239" s="1"/>
      <c r="TMV239" s="1"/>
      <c r="TMW239" s="1"/>
      <c r="TMX239" s="1"/>
      <c r="TMY239" s="1"/>
      <c r="TMZ239" s="1"/>
      <c r="TNA239" s="1"/>
      <c r="TNB239" s="1"/>
      <c r="TNC239" s="1"/>
      <c r="TND239" s="1"/>
      <c r="TNE239" s="1"/>
      <c r="TNF239" s="1"/>
      <c r="TNG239" s="1"/>
      <c r="TNH239" s="1"/>
      <c r="TNI239" s="1"/>
      <c r="TNJ239" s="1"/>
      <c r="TNK239" s="1"/>
      <c r="TNL239" s="1"/>
      <c r="TNM239" s="1"/>
      <c r="TNN239" s="1"/>
      <c r="TNO239" s="1"/>
      <c r="TNP239" s="1"/>
      <c r="TNQ239" s="1"/>
      <c r="TNR239" s="1"/>
      <c r="TNS239" s="1"/>
      <c r="TNT239" s="1"/>
      <c r="TNU239" s="1"/>
      <c r="TNV239" s="1"/>
      <c r="TNW239" s="1"/>
      <c r="TNX239" s="1"/>
      <c r="TNY239" s="1"/>
      <c r="TNZ239" s="1"/>
      <c r="TOA239" s="1"/>
      <c r="TOB239" s="1"/>
      <c r="TOC239" s="1"/>
      <c r="TOD239" s="1"/>
      <c r="TOE239" s="1"/>
      <c r="TOF239" s="1"/>
      <c r="TOG239" s="1"/>
      <c r="TOH239" s="1"/>
      <c r="TOI239" s="1"/>
      <c r="TOJ239" s="1"/>
      <c r="TOK239" s="1"/>
      <c r="TOL239" s="1"/>
      <c r="TOM239" s="1"/>
      <c r="TON239" s="1"/>
      <c r="TOO239" s="1"/>
      <c r="TOP239" s="1"/>
      <c r="TOQ239" s="1"/>
      <c r="TOR239" s="1"/>
      <c r="TOS239" s="1"/>
      <c r="TOT239" s="1"/>
      <c r="TOU239" s="1"/>
      <c r="TOV239" s="1"/>
      <c r="TOW239" s="1"/>
      <c r="TOX239" s="1"/>
      <c r="TOY239" s="1"/>
      <c r="TOZ239" s="1"/>
      <c r="TPA239" s="1"/>
      <c r="TPB239" s="1"/>
      <c r="TPC239" s="1"/>
      <c r="TPD239" s="1"/>
      <c r="TPE239" s="1"/>
      <c r="TPF239" s="1"/>
      <c r="TPG239" s="1"/>
      <c r="TPH239" s="1"/>
      <c r="TPI239" s="1"/>
      <c r="TPJ239" s="1"/>
      <c r="TPK239" s="1"/>
      <c r="TPL239" s="1"/>
      <c r="TPM239" s="1"/>
      <c r="TPN239" s="1"/>
      <c r="TPO239" s="1"/>
      <c r="TPP239" s="1"/>
      <c r="TPQ239" s="1"/>
      <c r="TPR239" s="1"/>
      <c r="TPS239" s="1"/>
      <c r="TPT239" s="1"/>
      <c r="TPU239" s="1"/>
      <c r="TPV239" s="1"/>
      <c r="TPW239" s="1"/>
      <c r="TPX239" s="1"/>
      <c r="TPY239" s="1"/>
      <c r="TPZ239" s="1"/>
      <c r="TQA239" s="1"/>
      <c r="TQB239" s="1"/>
      <c r="TQC239" s="1"/>
      <c r="TQD239" s="1"/>
      <c r="TQE239" s="1"/>
      <c r="TQF239" s="1"/>
      <c r="TQG239" s="1"/>
      <c r="TQH239" s="1"/>
      <c r="TQI239" s="1"/>
      <c r="TQJ239" s="1"/>
      <c r="TQK239" s="1"/>
      <c r="TQL239" s="1"/>
      <c r="TQM239" s="1"/>
      <c r="TQN239" s="1"/>
      <c r="TQO239" s="1"/>
      <c r="TQP239" s="1"/>
      <c r="TQQ239" s="1"/>
      <c r="TQR239" s="1"/>
      <c r="TQS239" s="1"/>
      <c r="TQT239" s="1"/>
      <c r="TQU239" s="1"/>
      <c r="TQV239" s="1"/>
      <c r="TQW239" s="1"/>
      <c r="TQX239" s="1"/>
      <c r="TQY239" s="1"/>
      <c r="TQZ239" s="1"/>
      <c r="TRA239" s="1"/>
      <c r="TRB239" s="1"/>
      <c r="TRC239" s="1"/>
      <c r="TRD239" s="1"/>
      <c r="TRE239" s="1"/>
      <c r="TRF239" s="1"/>
      <c r="TRG239" s="1"/>
      <c r="TRH239" s="1"/>
      <c r="TRI239" s="1"/>
      <c r="TRJ239" s="1"/>
      <c r="TRK239" s="1"/>
      <c r="TRL239" s="1"/>
      <c r="TRM239" s="1"/>
      <c r="TRN239" s="1"/>
      <c r="TRO239" s="1"/>
      <c r="TRP239" s="1"/>
      <c r="TRQ239" s="1"/>
      <c r="TRR239" s="1"/>
      <c r="TRS239" s="1"/>
      <c r="TRT239" s="1"/>
      <c r="TRU239" s="1"/>
      <c r="TRV239" s="1"/>
      <c r="TRW239" s="1"/>
      <c r="TRX239" s="1"/>
      <c r="TRY239" s="1"/>
      <c r="TRZ239" s="1"/>
      <c r="TSA239" s="1"/>
      <c r="TSB239" s="1"/>
      <c r="TSC239" s="1"/>
      <c r="TSD239" s="1"/>
      <c r="TSE239" s="1"/>
      <c r="TSF239" s="1"/>
      <c r="TSG239" s="1"/>
      <c r="TSH239" s="1"/>
      <c r="TSI239" s="1"/>
      <c r="TSJ239" s="1"/>
      <c r="TSK239" s="1"/>
      <c r="TSL239" s="1"/>
      <c r="TSM239" s="1"/>
      <c r="TSN239" s="1"/>
      <c r="TSO239" s="1"/>
      <c r="TSP239" s="1"/>
      <c r="TSQ239" s="1"/>
      <c r="TSR239" s="1"/>
      <c r="TSS239" s="1"/>
      <c r="TST239" s="1"/>
      <c r="TSU239" s="1"/>
      <c r="TSV239" s="1"/>
      <c r="TSW239" s="1"/>
      <c r="TSX239" s="1"/>
      <c r="TSY239" s="1"/>
      <c r="TSZ239" s="1"/>
      <c r="TTA239" s="1"/>
      <c r="TTB239" s="1"/>
      <c r="TTC239" s="1"/>
      <c r="TTD239" s="1"/>
      <c r="TTE239" s="1"/>
      <c r="TTF239" s="1"/>
      <c r="TTG239" s="1"/>
      <c r="TTH239" s="1"/>
      <c r="TTI239" s="1"/>
      <c r="TTJ239" s="1"/>
      <c r="TTK239" s="1"/>
      <c r="TTL239" s="1"/>
      <c r="TTM239" s="1"/>
      <c r="TTN239" s="1"/>
      <c r="TTO239" s="1"/>
      <c r="TTP239" s="1"/>
      <c r="TTQ239" s="1"/>
      <c r="TTR239" s="1"/>
      <c r="TTS239" s="1"/>
      <c r="TTT239" s="1"/>
      <c r="TTU239" s="1"/>
      <c r="TTV239" s="1"/>
      <c r="TTW239" s="1"/>
      <c r="TTX239" s="1"/>
      <c r="TTY239" s="1"/>
      <c r="TTZ239" s="1"/>
      <c r="TUA239" s="1"/>
      <c r="TUB239" s="1"/>
      <c r="TUC239" s="1"/>
      <c r="TUD239" s="1"/>
      <c r="TUE239" s="1"/>
      <c r="TUF239" s="1"/>
      <c r="TUG239" s="1"/>
      <c r="TUH239" s="1"/>
      <c r="TUI239" s="1"/>
      <c r="TUJ239" s="1"/>
      <c r="TUK239" s="1"/>
      <c r="TUL239" s="1"/>
      <c r="TUM239" s="1"/>
      <c r="TUN239" s="1"/>
      <c r="TUO239" s="1"/>
      <c r="TUP239" s="1"/>
      <c r="TUQ239" s="1"/>
      <c r="TUR239" s="1"/>
      <c r="TUS239" s="1"/>
      <c r="TUT239" s="1"/>
      <c r="TUU239" s="1"/>
      <c r="TUV239" s="1"/>
      <c r="TUW239" s="1"/>
      <c r="TUX239" s="1"/>
      <c r="TUY239" s="1"/>
      <c r="TUZ239" s="1"/>
      <c r="TVA239" s="1"/>
      <c r="TVB239" s="1"/>
      <c r="TVC239" s="1"/>
      <c r="TVD239" s="1"/>
      <c r="TVE239" s="1"/>
      <c r="TVF239" s="1"/>
      <c r="TVG239" s="1"/>
      <c r="TVH239" s="1"/>
      <c r="TVI239" s="1"/>
      <c r="TVJ239" s="1"/>
      <c r="TVK239" s="1"/>
      <c r="TVL239" s="1"/>
      <c r="TVM239" s="1"/>
      <c r="TVN239" s="1"/>
      <c r="TVO239" s="1"/>
      <c r="TVP239" s="1"/>
      <c r="TVQ239" s="1"/>
      <c r="TVR239" s="1"/>
      <c r="TVS239" s="1"/>
      <c r="TVT239" s="1"/>
      <c r="TVU239" s="1"/>
      <c r="TVV239" s="1"/>
      <c r="TVW239" s="1"/>
      <c r="TVX239" s="1"/>
      <c r="TVY239" s="1"/>
      <c r="TVZ239" s="1"/>
      <c r="TWA239" s="1"/>
      <c r="TWB239" s="1"/>
      <c r="TWC239" s="1"/>
      <c r="TWD239" s="1"/>
      <c r="TWE239" s="1"/>
      <c r="TWF239" s="1"/>
      <c r="TWG239" s="1"/>
      <c r="TWH239" s="1"/>
      <c r="TWI239" s="1"/>
      <c r="TWJ239" s="1"/>
      <c r="TWK239" s="1"/>
      <c r="TWL239" s="1"/>
      <c r="TWM239" s="1"/>
      <c r="TWN239" s="1"/>
      <c r="TWO239" s="1"/>
      <c r="TWP239" s="1"/>
      <c r="TWQ239" s="1"/>
      <c r="TWR239" s="1"/>
      <c r="TWS239" s="1"/>
      <c r="TWT239" s="1"/>
      <c r="TWU239" s="1"/>
      <c r="TWV239" s="1"/>
      <c r="TWW239" s="1"/>
      <c r="TWX239" s="1"/>
      <c r="TWY239" s="1"/>
      <c r="TWZ239" s="1"/>
      <c r="TXA239" s="1"/>
      <c r="TXB239" s="1"/>
      <c r="TXC239" s="1"/>
      <c r="TXD239" s="1"/>
      <c r="TXE239" s="1"/>
      <c r="TXF239" s="1"/>
      <c r="TXG239" s="1"/>
      <c r="TXH239" s="1"/>
      <c r="TXI239" s="1"/>
      <c r="TXJ239" s="1"/>
      <c r="TXK239" s="1"/>
      <c r="TXL239" s="1"/>
      <c r="TXM239" s="1"/>
      <c r="TXN239" s="1"/>
      <c r="TXO239" s="1"/>
      <c r="TXP239" s="1"/>
      <c r="TXQ239" s="1"/>
      <c r="TXR239" s="1"/>
      <c r="TXS239" s="1"/>
      <c r="TXT239" s="1"/>
      <c r="TXU239" s="1"/>
      <c r="TXV239" s="1"/>
      <c r="TXW239" s="1"/>
      <c r="TXX239" s="1"/>
      <c r="TXY239" s="1"/>
      <c r="TXZ239" s="1"/>
      <c r="TYA239" s="1"/>
      <c r="TYB239" s="1"/>
      <c r="TYC239" s="1"/>
      <c r="TYD239" s="1"/>
      <c r="TYE239" s="1"/>
      <c r="TYF239" s="1"/>
      <c r="TYG239" s="1"/>
      <c r="TYH239" s="1"/>
      <c r="TYI239" s="1"/>
      <c r="TYJ239" s="1"/>
      <c r="TYK239" s="1"/>
      <c r="TYL239" s="1"/>
      <c r="TYM239" s="1"/>
      <c r="TYN239" s="1"/>
      <c r="TYO239" s="1"/>
      <c r="TYP239" s="1"/>
      <c r="TYQ239" s="1"/>
      <c r="TYR239" s="1"/>
      <c r="TYS239" s="1"/>
      <c r="TYT239" s="1"/>
      <c r="TYU239" s="1"/>
      <c r="TYV239" s="1"/>
      <c r="TYW239" s="1"/>
      <c r="TYX239" s="1"/>
      <c r="TYY239" s="1"/>
      <c r="TYZ239" s="1"/>
      <c r="TZA239" s="1"/>
      <c r="TZB239" s="1"/>
      <c r="TZC239" s="1"/>
      <c r="TZD239" s="1"/>
      <c r="TZE239" s="1"/>
      <c r="TZF239" s="1"/>
      <c r="TZG239" s="1"/>
      <c r="TZH239" s="1"/>
      <c r="TZI239" s="1"/>
      <c r="TZJ239" s="1"/>
      <c r="TZK239" s="1"/>
      <c r="TZL239" s="1"/>
      <c r="TZM239" s="1"/>
      <c r="TZN239" s="1"/>
      <c r="TZO239" s="1"/>
      <c r="TZP239" s="1"/>
      <c r="TZQ239" s="1"/>
      <c r="TZR239" s="1"/>
      <c r="TZS239" s="1"/>
      <c r="TZT239" s="1"/>
      <c r="TZU239" s="1"/>
      <c r="TZV239" s="1"/>
      <c r="TZW239" s="1"/>
      <c r="TZX239" s="1"/>
      <c r="TZY239" s="1"/>
      <c r="TZZ239" s="1"/>
      <c r="UAA239" s="1"/>
      <c r="UAB239" s="1"/>
      <c r="UAC239" s="1"/>
      <c r="UAD239" s="1"/>
      <c r="UAE239" s="1"/>
      <c r="UAF239" s="1"/>
      <c r="UAG239" s="1"/>
      <c r="UAH239" s="1"/>
      <c r="UAI239" s="1"/>
      <c r="UAJ239" s="1"/>
      <c r="UAK239" s="1"/>
      <c r="UAL239" s="1"/>
      <c r="UAM239" s="1"/>
      <c r="UAN239" s="1"/>
      <c r="UAO239" s="1"/>
      <c r="UAP239" s="1"/>
      <c r="UAQ239" s="1"/>
      <c r="UAR239" s="1"/>
      <c r="UAS239" s="1"/>
      <c r="UAT239" s="1"/>
      <c r="UAU239" s="1"/>
      <c r="UAV239" s="1"/>
      <c r="UAW239" s="1"/>
      <c r="UAX239" s="1"/>
      <c r="UAY239" s="1"/>
      <c r="UAZ239" s="1"/>
      <c r="UBA239" s="1"/>
      <c r="UBB239" s="1"/>
      <c r="UBC239" s="1"/>
      <c r="UBD239" s="1"/>
      <c r="UBE239" s="1"/>
      <c r="UBF239" s="1"/>
      <c r="UBG239" s="1"/>
      <c r="UBH239" s="1"/>
      <c r="UBI239" s="1"/>
      <c r="UBJ239" s="1"/>
      <c r="UBK239" s="1"/>
      <c r="UBL239" s="1"/>
      <c r="UBM239" s="1"/>
      <c r="UBN239" s="1"/>
      <c r="UBO239" s="1"/>
      <c r="UBP239" s="1"/>
      <c r="UBQ239" s="1"/>
      <c r="UBR239" s="1"/>
      <c r="UBS239" s="1"/>
      <c r="UBT239" s="1"/>
      <c r="UBU239" s="1"/>
      <c r="UBV239" s="1"/>
      <c r="UBW239" s="1"/>
      <c r="UBX239" s="1"/>
      <c r="UBY239" s="1"/>
      <c r="UBZ239" s="1"/>
      <c r="UCA239" s="1"/>
      <c r="UCB239" s="1"/>
      <c r="UCC239" s="1"/>
      <c r="UCD239" s="1"/>
      <c r="UCE239" s="1"/>
      <c r="UCF239" s="1"/>
      <c r="UCG239" s="1"/>
      <c r="UCH239" s="1"/>
      <c r="UCI239" s="1"/>
      <c r="UCJ239" s="1"/>
      <c r="UCK239" s="1"/>
      <c r="UCL239" s="1"/>
      <c r="UCM239" s="1"/>
      <c r="UCN239" s="1"/>
      <c r="UCO239" s="1"/>
      <c r="UCP239" s="1"/>
      <c r="UCQ239" s="1"/>
      <c r="UCR239" s="1"/>
      <c r="UCS239" s="1"/>
      <c r="UCT239" s="1"/>
      <c r="UCU239" s="1"/>
      <c r="UCV239" s="1"/>
      <c r="UCW239" s="1"/>
      <c r="UCX239" s="1"/>
      <c r="UCY239" s="1"/>
      <c r="UCZ239" s="1"/>
      <c r="UDA239" s="1"/>
      <c r="UDB239" s="1"/>
      <c r="UDC239" s="1"/>
      <c r="UDD239" s="1"/>
      <c r="UDE239" s="1"/>
      <c r="UDF239" s="1"/>
      <c r="UDG239" s="1"/>
      <c r="UDH239" s="1"/>
      <c r="UDI239" s="1"/>
      <c r="UDJ239" s="1"/>
      <c r="UDK239" s="1"/>
      <c r="UDL239" s="1"/>
      <c r="UDM239" s="1"/>
      <c r="UDN239" s="1"/>
      <c r="UDO239" s="1"/>
      <c r="UDP239" s="1"/>
      <c r="UDQ239" s="1"/>
      <c r="UDR239" s="1"/>
      <c r="UDS239" s="1"/>
      <c r="UDT239" s="1"/>
      <c r="UDU239" s="1"/>
      <c r="UDV239" s="1"/>
      <c r="UDW239" s="1"/>
      <c r="UDX239" s="1"/>
      <c r="UDY239" s="1"/>
      <c r="UDZ239" s="1"/>
      <c r="UEA239" s="1"/>
      <c r="UEB239" s="1"/>
      <c r="UEC239" s="1"/>
      <c r="UED239" s="1"/>
      <c r="UEE239" s="1"/>
      <c r="UEF239" s="1"/>
      <c r="UEG239" s="1"/>
      <c r="UEH239" s="1"/>
      <c r="UEI239" s="1"/>
      <c r="UEJ239" s="1"/>
      <c r="UEK239" s="1"/>
      <c r="UEL239" s="1"/>
      <c r="UEM239" s="1"/>
      <c r="UEN239" s="1"/>
      <c r="UEO239" s="1"/>
      <c r="UEP239" s="1"/>
      <c r="UEQ239" s="1"/>
      <c r="UER239" s="1"/>
      <c r="UES239" s="1"/>
      <c r="UET239" s="1"/>
      <c r="UEU239" s="1"/>
      <c r="UEV239" s="1"/>
      <c r="UEW239" s="1"/>
      <c r="UEX239" s="1"/>
      <c r="UEY239" s="1"/>
      <c r="UEZ239" s="1"/>
      <c r="UFA239" s="1"/>
      <c r="UFB239" s="1"/>
      <c r="UFC239" s="1"/>
      <c r="UFD239" s="1"/>
      <c r="UFE239" s="1"/>
      <c r="UFF239" s="1"/>
      <c r="UFG239" s="1"/>
      <c r="UFH239" s="1"/>
      <c r="UFI239" s="1"/>
      <c r="UFJ239" s="1"/>
      <c r="UFK239" s="1"/>
      <c r="UFL239" s="1"/>
      <c r="UFM239" s="1"/>
      <c r="UFN239" s="1"/>
      <c r="UFO239" s="1"/>
      <c r="UFP239" s="1"/>
      <c r="UFQ239" s="1"/>
      <c r="UFR239" s="1"/>
      <c r="UFS239" s="1"/>
      <c r="UFT239" s="1"/>
      <c r="UFU239" s="1"/>
      <c r="UFV239" s="1"/>
      <c r="UFW239" s="1"/>
      <c r="UFX239" s="1"/>
      <c r="UFY239" s="1"/>
      <c r="UFZ239" s="1"/>
      <c r="UGA239" s="1"/>
      <c r="UGB239" s="1"/>
      <c r="UGC239" s="1"/>
      <c r="UGD239" s="1"/>
      <c r="UGE239" s="1"/>
      <c r="UGF239" s="1"/>
      <c r="UGG239" s="1"/>
      <c r="UGH239" s="1"/>
      <c r="UGI239" s="1"/>
      <c r="UGJ239" s="1"/>
      <c r="UGK239" s="1"/>
      <c r="UGL239" s="1"/>
      <c r="UGM239" s="1"/>
      <c r="UGN239" s="1"/>
      <c r="UGO239" s="1"/>
      <c r="UGP239" s="1"/>
      <c r="UGQ239" s="1"/>
      <c r="UGR239" s="1"/>
      <c r="UGS239" s="1"/>
      <c r="UGT239" s="1"/>
      <c r="UGU239" s="1"/>
      <c r="UGV239" s="1"/>
      <c r="UGW239" s="1"/>
      <c r="UGX239" s="1"/>
      <c r="UGY239" s="1"/>
      <c r="UGZ239" s="1"/>
      <c r="UHA239" s="1"/>
      <c r="UHB239" s="1"/>
      <c r="UHC239" s="1"/>
      <c r="UHD239" s="1"/>
      <c r="UHE239" s="1"/>
      <c r="UHF239" s="1"/>
      <c r="UHG239" s="1"/>
      <c r="UHH239" s="1"/>
      <c r="UHI239" s="1"/>
      <c r="UHJ239" s="1"/>
      <c r="UHK239" s="1"/>
      <c r="UHL239" s="1"/>
      <c r="UHM239" s="1"/>
      <c r="UHN239" s="1"/>
      <c r="UHO239" s="1"/>
      <c r="UHP239" s="1"/>
      <c r="UHQ239" s="1"/>
      <c r="UHR239" s="1"/>
      <c r="UHS239" s="1"/>
      <c r="UHT239" s="1"/>
      <c r="UHU239" s="1"/>
      <c r="UHV239" s="1"/>
      <c r="UHW239" s="1"/>
      <c r="UHX239" s="1"/>
      <c r="UHY239" s="1"/>
      <c r="UHZ239" s="1"/>
      <c r="UIA239" s="1"/>
      <c r="UIB239" s="1"/>
      <c r="UIC239" s="1"/>
      <c r="UID239" s="1"/>
      <c r="UIE239" s="1"/>
      <c r="UIF239" s="1"/>
      <c r="UIG239" s="1"/>
      <c r="UIH239" s="1"/>
      <c r="UII239" s="1"/>
      <c r="UIJ239" s="1"/>
      <c r="UIK239" s="1"/>
      <c r="UIL239" s="1"/>
      <c r="UIM239" s="1"/>
      <c r="UIN239" s="1"/>
      <c r="UIO239" s="1"/>
      <c r="UIP239" s="1"/>
      <c r="UIQ239" s="1"/>
      <c r="UIR239" s="1"/>
      <c r="UIS239" s="1"/>
      <c r="UIT239" s="1"/>
      <c r="UIU239" s="1"/>
      <c r="UIV239" s="1"/>
      <c r="UIW239" s="1"/>
      <c r="UIX239" s="1"/>
      <c r="UIY239" s="1"/>
      <c r="UIZ239" s="1"/>
      <c r="UJA239" s="1"/>
      <c r="UJB239" s="1"/>
      <c r="UJC239" s="1"/>
      <c r="UJD239" s="1"/>
      <c r="UJE239" s="1"/>
      <c r="UJF239" s="1"/>
      <c r="UJG239" s="1"/>
      <c r="UJH239" s="1"/>
      <c r="UJI239" s="1"/>
      <c r="UJJ239" s="1"/>
      <c r="UJK239" s="1"/>
      <c r="UJL239" s="1"/>
      <c r="UJM239" s="1"/>
      <c r="UJN239" s="1"/>
      <c r="UJO239" s="1"/>
      <c r="UJP239" s="1"/>
      <c r="UJQ239" s="1"/>
      <c r="UJR239" s="1"/>
      <c r="UJS239" s="1"/>
      <c r="UJT239" s="1"/>
      <c r="UJU239" s="1"/>
      <c r="UJV239" s="1"/>
      <c r="UJW239" s="1"/>
      <c r="UJX239" s="1"/>
      <c r="UJY239" s="1"/>
      <c r="UJZ239" s="1"/>
      <c r="UKA239" s="1"/>
      <c r="UKB239" s="1"/>
      <c r="UKC239" s="1"/>
      <c r="UKD239" s="1"/>
      <c r="UKE239" s="1"/>
      <c r="UKF239" s="1"/>
      <c r="UKG239" s="1"/>
      <c r="UKH239" s="1"/>
      <c r="UKI239" s="1"/>
      <c r="UKJ239" s="1"/>
      <c r="UKK239" s="1"/>
      <c r="UKL239" s="1"/>
      <c r="UKM239" s="1"/>
      <c r="UKN239" s="1"/>
      <c r="UKO239" s="1"/>
      <c r="UKP239" s="1"/>
      <c r="UKQ239" s="1"/>
      <c r="UKR239" s="1"/>
      <c r="UKS239" s="1"/>
      <c r="UKT239" s="1"/>
      <c r="UKU239" s="1"/>
      <c r="UKV239" s="1"/>
      <c r="UKW239" s="1"/>
      <c r="UKX239" s="1"/>
      <c r="UKY239" s="1"/>
      <c r="UKZ239" s="1"/>
      <c r="ULA239" s="1"/>
      <c r="ULB239" s="1"/>
      <c r="ULC239" s="1"/>
      <c r="ULD239" s="1"/>
      <c r="ULE239" s="1"/>
      <c r="ULF239" s="1"/>
      <c r="ULG239" s="1"/>
      <c r="ULH239" s="1"/>
      <c r="ULI239" s="1"/>
      <c r="ULJ239" s="1"/>
      <c r="ULK239" s="1"/>
      <c r="ULL239" s="1"/>
      <c r="ULM239" s="1"/>
      <c r="ULN239" s="1"/>
      <c r="ULO239" s="1"/>
      <c r="ULP239" s="1"/>
      <c r="ULQ239" s="1"/>
      <c r="ULR239" s="1"/>
      <c r="ULS239" s="1"/>
      <c r="ULT239" s="1"/>
      <c r="ULU239" s="1"/>
      <c r="ULV239" s="1"/>
      <c r="ULW239" s="1"/>
      <c r="ULX239" s="1"/>
      <c r="ULY239" s="1"/>
      <c r="ULZ239" s="1"/>
      <c r="UMA239" s="1"/>
      <c r="UMB239" s="1"/>
      <c r="UMC239" s="1"/>
      <c r="UMD239" s="1"/>
      <c r="UME239" s="1"/>
      <c r="UMF239" s="1"/>
      <c r="UMG239" s="1"/>
      <c r="UMH239" s="1"/>
      <c r="UMI239" s="1"/>
      <c r="UMJ239" s="1"/>
      <c r="UMK239" s="1"/>
      <c r="UML239" s="1"/>
      <c r="UMM239" s="1"/>
      <c r="UMN239" s="1"/>
      <c r="UMO239" s="1"/>
      <c r="UMP239" s="1"/>
      <c r="UMQ239" s="1"/>
      <c r="UMR239" s="1"/>
      <c r="UMS239" s="1"/>
      <c r="UMT239" s="1"/>
      <c r="UMU239" s="1"/>
      <c r="UMV239" s="1"/>
      <c r="UMW239" s="1"/>
      <c r="UMX239" s="1"/>
      <c r="UMY239" s="1"/>
      <c r="UMZ239" s="1"/>
      <c r="UNA239" s="1"/>
      <c r="UNB239" s="1"/>
      <c r="UNC239" s="1"/>
      <c r="UND239" s="1"/>
      <c r="UNE239" s="1"/>
      <c r="UNF239" s="1"/>
      <c r="UNG239" s="1"/>
      <c r="UNH239" s="1"/>
      <c r="UNI239" s="1"/>
      <c r="UNJ239" s="1"/>
      <c r="UNK239" s="1"/>
      <c r="UNL239" s="1"/>
      <c r="UNM239" s="1"/>
      <c r="UNN239" s="1"/>
      <c r="UNO239" s="1"/>
      <c r="UNP239" s="1"/>
      <c r="UNQ239" s="1"/>
      <c r="UNR239" s="1"/>
      <c r="UNS239" s="1"/>
      <c r="UNT239" s="1"/>
      <c r="UNU239" s="1"/>
      <c r="UNV239" s="1"/>
      <c r="UNW239" s="1"/>
      <c r="UNX239" s="1"/>
      <c r="UNY239" s="1"/>
      <c r="UNZ239" s="1"/>
      <c r="UOA239" s="1"/>
      <c r="UOB239" s="1"/>
      <c r="UOC239" s="1"/>
      <c r="UOD239" s="1"/>
      <c r="UOE239" s="1"/>
      <c r="UOF239" s="1"/>
      <c r="UOG239" s="1"/>
      <c r="UOH239" s="1"/>
      <c r="UOI239" s="1"/>
      <c r="UOJ239" s="1"/>
      <c r="UOK239" s="1"/>
      <c r="UOL239" s="1"/>
      <c r="UOM239" s="1"/>
      <c r="UON239" s="1"/>
      <c r="UOO239" s="1"/>
      <c r="UOP239" s="1"/>
      <c r="UOQ239" s="1"/>
      <c r="UOR239" s="1"/>
      <c r="UOS239" s="1"/>
      <c r="UOT239" s="1"/>
      <c r="UOU239" s="1"/>
      <c r="UOV239" s="1"/>
      <c r="UOW239" s="1"/>
      <c r="UOX239" s="1"/>
      <c r="UOY239" s="1"/>
      <c r="UOZ239" s="1"/>
      <c r="UPA239" s="1"/>
      <c r="UPB239" s="1"/>
      <c r="UPC239" s="1"/>
      <c r="UPD239" s="1"/>
      <c r="UPE239" s="1"/>
      <c r="UPF239" s="1"/>
      <c r="UPG239" s="1"/>
      <c r="UPH239" s="1"/>
      <c r="UPI239" s="1"/>
      <c r="UPJ239" s="1"/>
      <c r="UPK239" s="1"/>
      <c r="UPL239" s="1"/>
      <c r="UPM239" s="1"/>
      <c r="UPN239" s="1"/>
      <c r="UPO239" s="1"/>
      <c r="UPP239" s="1"/>
      <c r="UPQ239" s="1"/>
      <c r="UPR239" s="1"/>
      <c r="UPS239" s="1"/>
      <c r="UPT239" s="1"/>
      <c r="UPU239" s="1"/>
      <c r="UPV239" s="1"/>
      <c r="UPW239" s="1"/>
      <c r="UPX239" s="1"/>
      <c r="UPY239" s="1"/>
      <c r="UPZ239" s="1"/>
      <c r="UQA239" s="1"/>
      <c r="UQB239" s="1"/>
      <c r="UQC239" s="1"/>
      <c r="UQD239" s="1"/>
      <c r="UQE239" s="1"/>
      <c r="UQF239" s="1"/>
      <c r="UQG239" s="1"/>
      <c r="UQH239" s="1"/>
      <c r="UQI239" s="1"/>
      <c r="UQJ239" s="1"/>
      <c r="UQK239" s="1"/>
      <c r="UQL239" s="1"/>
      <c r="UQM239" s="1"/>
      <c r="UQN239" s="1"/>
      <c r="UQO239" s="1"/>
      <c r="UQP239" s="1"/>
      <c r="UQQ239" s="1"/>
      <c r="UQR239" s="1"/>
      <c r="UQS239" s="1"/>
      <c r="UQT239" s="1"/>
      <c r="UQU239" s="1"/>
      <c r="UQV239" s="1"/>
      <c r="UQW239" s="1"/>
      <c r="UQX239" s="1"/>
      <c r="UQY239" s="1"/>
      <c r="UQZ239" s="1"/>
      <c r="URA239" s="1"/>
      <c r="URB239" s="1"/>
      <c r="URC239" s="1"/>
      <c r="URD239" s="1"/>
      <c r="URE239" s="1"/>
      <c r="URF239" s="1"/>
      <c r="URG239" s="1"/>
      <c r="URH239" s="1"/>
      <c r="URI239" s="1"/>
      <c r="URJ239" s="1"/>
      <c r="URK239" s="1"/>
      <c r="URL239" s="1"/>
      <c r="URM239" s="1"/>
      <c r="URN239" s="1"/>
      <c r="URO239" s="1"/>
      <c r="URP239" s="1"/>
      <c r="URQ239" s="1"/>
      <c r="URR239" s="1"/>
      <c r="URS239" s="1"/>
      <c r="URT239" s="1"/>
      <c r="URU239" s="1"/>
      <c r="URV239" s="1"/>
      <c r="URW239" s="1"/>
      <c r="URX239" s="1"/>
      <c r="URY239" s="1"/>
      <c r="URZ239" s="1"/>
      <c r="USA239" s="1"/>
      <c r="USB239" s="1"/>
      <c r="USC239" s="1"/>
      <c r="USD239" s="1"/>
      <c r="USE239" s="1"/>
      <c r="USF239" s="1"/>
      <c r="USG239" s="1"/>
      <c r="USH239" s="1"/>
      <c r="USI239" s="1"/>
      <c r="USJ239" s="1"/>
      <c r="USK239" s="1"/>
      <c r="USL239" s="1"/>
      <c r="USM239" s="1"/>
      <c r="USN239" s="1"/>
      <c r="USO239" s="1"/>
      <c r="USP239" s="1"/>
      <c r="USQ239" s="1"/>
      <c r="USR239" s="1"/>
      <c r="USS239" s="1"/>
      <c r="UST239" s="1"/>
      <c r="USU239" s="1"/>
      <c r="USV239" s="1"/>
      <c r="USW239" s="1"/>
      <c r="USX239" s="1"/>
      <c r="USY239" s="1"/>
      <c r="USZ239" s="1"/>
      <c r="UTA239" s="1"/>
      <c r="UTB239" s="1"/>
      <c r="UTC239" s="1"/>
      <c r="UTD239" s="1"/>
      <c r="UTE239" s="1"/>
      <c r="UTF239" s="1"/>
      <c r="UTG239" s="1"/>
      <c r="UTH239" s="1"/>
      <c r="UTI239" s="1"/>
      <c r="UTJ239" s="1"/>
      <c r="UTK239" s="1"/>
      <c r="UTL239" s="1"/>
      <c r="UTM239" s="1"/>
      <c r="UTN239" s="1"/>
      <c r="UTO239" s="1"/>
      <c r="UTP239" s="1"/>
      <c r="UTQ239" s="1"/>
      <c r="UTR239" s="1"/>
      <c r="UTS239" s="1"/>
      <c r="UTT239" s="1"/>
      <c r="UTU239" s="1"/>
      <c r="UTV239" s="1"/>
      <c r="UTW239" s="1"/>
      <c r="UTX239" s="1"/>
      <c r="UTY239" s="1"/>
      <c r="UTZ239" s="1"/>
      <c r="UUA239" s="1"/>
      <c r="UUB239" s="1"/>
      <c r="UUC239" s="1"/>
      <c r="UUD239" s="1"/>
      <c r="UUE239" s="1"/>
      <c r="UUF239" s="1"/>
      <c r="UUG239" s="1"/>
      <c r="UUH239" s="1"/>
      <c r="UUI239" s="1"/>
      <c r="UUJ239" s="1"/>
      <c r="UUK239" s="1"/>
      <c r="UUL239" s="1"/>
      <c r="UUM239" s="1"/>
      <c r="UUN239" s="1"/>
      <c r="UUO239" s="1"/>
      <c r="UUP239" s="1"/>
      <c r="UUQ239" s="1"/>
      <c r="UUR239" s="1"/>
      <c r="UUS239" s="1"/>
      <c r="UUT239" s="1"/>
      <c r="UUU239" s="1"/>
      <c r="UUV239" s="1"/>
      <c r="UUW239" s="1"/>
      <c r="UUX239" s="1"/>
      <c r="UUY239" s="1"/>
      <c r="UUZ239" s="1"/>
      <c r="UVA239" s="1"/>
      <c r="UVB239" s="1"/>
      <c r="UVC239" s="1"/>
      <c r="UVD239" s="1"/>
      <c r="UVE239" s="1"/>
      <c r="UVF239" s="1"/>
      <c r="UVG239" s="1"/>
      <c r="UVH239" s="1"/>
      <c r="UVI239" s="1"/>
      <c r="UVJ239" s="1"/>
      <c r="UVK239" s="1"/>
      <c r="UVL239" s="1"/>
      <c r="UVM239" s="1"/>
      <c r="UVN239" s="1"/>
      <c r="UVO239" s="1"/>
      <c r="UVP239" s="1"/>
      <c r="UVQ239" s="1"/>
      <c r="UVR239" s="1"/>
      <c r="UVS239" s="1"/>
      <c r="UVT239" s="1"/>
      <c r="UVU239" s="1"/>
      <c r="UVV239" s="1"/>
      <c r="UVW239" s="1"/>
      <c r="UVX239" s="1"/>
      <c r="UVY239" s="1"/>
      <c r="UVZ239" s="1"/>
      <c r="UWA239" s="1"/>
      <c r="UWB239" s="1"/>
      <c r="UWC239" s="1"/>
      <c r="UWD239" s="1"/>
      <c r="UWE239" s="1"/>
      <c r="UWF239" s="1"/>
      <c r="UWG239" s="1"/>
      <c r="UWH239" s="1"/>
      <c r="UWI239" s="1"/>
      <c r="UWJ239" s="1"/>
      <c r="UWK239" s="1"/>
      <c r="UWL239" s="1"/>
      <c r="UWM239" s="1"/>
      <c r="UWN239" s="1"/>
      <c r="UWO239" s="1"/>
      <c r="UWP239" s="1"/>
      <c r="UWQ239" s="1"/>
      <c r="UWR239" s="1"/>
      <c r="UWS239" s="1"/>
      <c r="UWT239" s="1"/>
      <c r="UWU239" s="1"/>
      <c r="UWV239" s="1"/>
      <c r="UWW239" s="1"/>
      <c r="UWX239" s="1"/>
      <c r="UWY239" s="1"/>
      <c r="UWZ239" s="1"/>
      <c r="UXA239" s="1"/>
      <c r="UXB239" s="1"/>
      <c r="UXC239" s="1"/>
      <c r="UXD239" s="1"/>
      <c r="UXE239" s="1"/>
      <c r="UXF239" s="1"/>
      <c r="UXG239" s="1"/>
      <c r="UXH239" s="1"/>
      <c r="UXI239" s="1"/>
      <c r="UXJ239" s="1"/>
      <c r="UXK239" s="1"/>
      <c r="UXL239" s="1"/>
      <c r="UXM239" s="1"/>
      <c r="UXN239" s="1"/>
      <c r="UXO239" s="1"/>
      <c r="UXP239" s="1"/>
      <c r="UXQ239" s="1"/>
      <c r="UXR239" s="1"/>
      <c r="UXS239" s="1"/>
      <c r="UXT239" s="1"/>
      <c r="UXU239" s="1"/>
      <c r="UXV239" s="1"/>
      <c r="UXW239" s="1"/>
      <c r="UXX239" s="1"/>
      <c r="UXY239" s="1"/>
      <c r="UXZ239" s="1"/>
      <c r="UYA239" s="1"/>
      <c r="UYB239" s="1"/>
      <c r="UYC239" s="1"/>
      <c r="UYD239" s="1"/>
      <c r="UYE239" s="1"/>
      <c r="UYF239" s="1"/>
      <c r="UYG239" s="1"/>
      <c r="UYH239" s="1"/>
      <c r="UYI239" s="1"/>
      <c r="UYJ239" s="1"/>
      <c r="UYK239" s="1"/>
      <c r="UYL239" s="1"/>
      <c r="UYM239" s="1"/>
      <c r="UYN239" s="1"/>
      <c r="UYO239" s="1"/>
      <c r="UYP239" s="1"/>
      <c r="UYQ239" s="1"/>
      <c r="UYR239" s="1"/>
      <c r="UYS239" s="1"/>
      <c r="UYT239" s="1"/>
      <c r="UYU239" s="1"/>
      <c r="UYV239" s="1"/>
      <c r="UYW239" s="1"/>
      <c r="UYX239" s="1"/>
      <c r="UYY239" s="1"/>
      <c r="UYZ239" s="1"/>
      <c r="UZA239" s="1"/>
      <c r="UZB239" s="1"/>
      <c r="UZC239" s="1"/>
      <c r="UZD239" s="1"/>
      <c r="UZE239" s="1"/>
      <c r="UZF239" s="1"/>
      <c r="UZG239" s="1"/>
      <c r="UZH239" s="1"/>
      <c r="UZI239" s="1"/>
      <c r="UZJ239" s="1"/>
      <c r="UZK239" s="1"/>
      <c r="UZL239" s="1"/>
      <c r="UZM239" s="1"/>
      <c r="UZN239" s="1"/>
      <c r="UZO239" s="1"/>
      <c r="UZP239" s="1"/>
      <c r="UZQ239" s="1"/>
      <c r="UZR239" s="1"/>
      <c r="UZS239" s="1"/>
      <c r="UZT239" s="1"/>
      <c r="UZU239" s="1"/>
      <c r="UZV239" s="1"/>
      <c r="UZW239" s="1"/>
      <c r="UZX239" s="1"/>
      <c r="UZY239" s="1"/>
      <c r="UZZ239" s="1"/>
      <c r="VAA239" s="1"/>
      <c r="VAB239" s="1"/>
      <c r="VAC239" s="1"/>
      <c r="VAD239" s="1"/>
      <c r="VAE239" s="1"/>
      <c r="VAF239" s="1"/>
      <c r="VAG239" s="1"/>
      <c r="VAH239" s="1"/>
      <c r="VAI239" s="1"/>
      <c r="VAJ239" s="1"/>
      <c r="VAK239" s="1"/>
      <c r="VAL239" s="1"/>
      <c r="VAM239" s="1"/>
      <c r="VAN239" s="1"/>
      <c r="VAO239" s="1"/>
      <c r="VAP239" s="1"/>
      <c r="VAQ239" s="1"/>
      <c r="VAR239" s="1"/>
      <c r="VAS239" s="1"/>
      <c r="VAT239" s="1"/>
      <c r="VAU239" s="1"/>
      <c r="VAV239" s="1"/>
      <c r="VAW239" s="1"/>
      <c r="VAX239" s="1"/>
      <c r="VAY239" s="1"/>
      <c r="VAZ239" s="1"/>
      <c r="VBA239" s="1"/>
      <c r="VBB239" s="1"/>
      <c r="VBC239" s="1"/>
      <c r="VBD239" s="1"/>
      <c r="VBE239" s="1"/>
      <c r="VBF239" s="1"/>
      <c r="VBG239" s="1"/>
      <c r="VBH239" s="1"/>
      <c r="VBI239" s="1"/>
      <c r="VBJ239" s="1"/>
      <c r="VBK239" s="1"/>
      <c r="VBL239" s="1"/>
      <c r="VBM239" s="1"/>
      <c r="VBN239" s="1"/>
      <c r="VBO239" s="1"/>
      <c r="VBP239" s="1"/>
      <c r="VBQ239" s="1"/>
      <c r="VBR239" s="1"/>
      <c r="VBS239" s="1"/>
      <c r="VBT239" s="1"/>
      <c r="VBU239" s="1"/>
      <c r="VBV239" s="1"/>
      <c r="VBW239" s="1"/>
      <c r="VBX239" s="1"/>
      <c r="VBY239" s="1"/>
      <c r="VBZ239" s="1"/>
      <c r="VCA239" s="1"/>
      <c r="VCB239" s="1"/>
      <c r="VCC239" s="1"/>
      <c r="VCD239" s="1"/>
      <c r="VCE239" s="1"/>
      <c r="VCF239" s="1"/>
      <c r="VCG239" s="1"/>
      <c r="VCH239" s="1"/>
      <c r="VCI239" s="1"/>
      <c r="VCJ239" s="1"/>
      <c r="VCK239" s="1"/>
      <c r="VCL239" s="1"/>
      <c r="VCM239" s="1"/>
      <c r="VCN239" s="1"/>
      <c r="VCO239" s="1"/>
      <c r="VCP239" s="1"/>
      <c r="VCQ239" s="1"/>
      <c r="VCR239" s="1"/>
      <c r="VCS239" s="1"/>
    </row>
    <row r="240" spans="1:14969" s="2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5"/>
      <c r="AL240" s="1"/>
      <c r="AM240" s="1"/>
      <c r="AN240" s="1"/>
      <c r="AP240" s="3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  <c r="ALN240" s="1"/>
      <c r="ALO240" s="1"/>
      <c r="ALP240" s="1"/>
      <c r="ALQ240" s="1"/>
      <c r="ALR240" s="1"/>
      <c r="ALS240" s="1"/>
      <c r="ALT240" s="1"/>
      <c r="ALU240" s="1"/>
      <c r="ALV240" s="1"/>
      <c r="ALW240" s="1"/>
      <c r="ALX240" s="1"/>
      <c r="ALY240" s="1"/>
      <c r="ALZ240" s="1"/>
      <c r="AMA240" s="1"/>
      <c r="AMB240" s="1"/>
      <c r="AMC240" s="1"/>
      <c r="AMD240" s="1"/>
      <c r="AME240" s="1"/>
      <c r="AMF240" s="1"/>
      <c r="AMG240" s="1"/>
      <c r="AMH240" s="1"/>
      <c r="AMI240" s="1"/>
      <c r="AMJ240" s="1"/>
      <c r="AMK240" s="1"/>
      <c r="AML240" s="1"/>
      <c r="AMM240" s="1"/>
      <c r="AMN240" s="1"/>
      <c r="AMO240" s="1"/>
      <c r="AMP240" s="1"/>
      <c r="AMQ240" s="1"/>
      <c r="AMR240" s="1"/>
      <c r="AMS240" s="1"/>
      <c r="AMT240" s="1"/>
      <c r="AMU240" s="1"/>
      <c r="AMV240" s="1"/>
      <c r="AMW240" s="1"/>
      <c r="AMX240" s="1"/>
      <c r="AMY240" s="1"/>
      <c r="AMZ240" s="1"/>
      <c r="ANA240" s="1"/>
      <c r="ANB240" s="1"/>
      <c r="ANC240" s="1"/>
      <c r="AND240" s="1"/>
      <c r="ANE240" s="1"/>
      <c r="ANF240" s="1"/>
      <c r="ANG240" s="1"/>
      <c r="ANH240" s="1"/>
      <c r="ANI240" s="1"/>
      <c r="ANJ240" s="1"/>
      <c r="ANK240" s="1"/>
      <c r="ANL240" s="1"/>
      <c r="ANM240" s="1"/>
      <c r="ANN240" s="1"/>
      <c r="ANO240" s="1"/>
      <c r="ANP240" s="1"/>
      <c r="ANQ240" s="1"/>
      <c r="ANR240" s="1"/>
      <c r="ANS240" s="1"/>
      <c r="ANT240" s="1"/>
      <c r="ANU240" s="1"/>
      <c r="ANV240" s="1"/>
      <c r="ANW240" s="1"/>
      <c r="ANX240" s="1"/>
      <c r="ANY240" s="1"/>
      <c r="ANZ240" s="1"/>
      <c r="AOA240" s="1"/>
      <c r="AOB240" s="1"/>
      <c r="AOC240" s="1"/>
      <c r="AOD240" s="1"/>
      <c r="AOE240" s="1"/>
      <c r="AOF240" s="1"/>
      <c r="AOG240" s="1"/>
      <c r="AOH240" s="1"/>
      <c r="AOI240" s="1"/>
      <c r="AOJ240" s="1"/>
      <c r="AOK240" s="1"/>
      <c r="AOL240" s="1"/>
      <c r="AOM240" s="1"/>
      <c r="AON240" s="1"/>
      <c r="AOO240" s="1"/>
      <c r="AOP240" s="1"/>
      <c r="AOQ240" s="1"/>
      <c r="AOR240" s="1"/>
      <c r="AOS240" s="1"/>
      <c r="AOT240" s="1"/>
      <c r="AOU240" s="1"/>
      <c r="AOV240" s="1"/>
      <c r="AOW240" s="1"/>
      <c r="AOX240" s="1"/>
      <c r="AOY240" s="1"/>
      <c r="AOZ240" s="1"/>
      <c r="APA240" s="1"/>
      <c r="APB240" s="1"/>
      <c r="APC240" s="1"/>
      <c r="APD240" s="1"/>
      <c r="APE240" s="1"/>
      <c r="APF240" s="1"/>
      <c r="APG240" s="1"/>
      <c r="APH240" s="1"/>
      <c r="API240" s="1"/>
      <c r="APJ240" s="1"/>
      <c r="APK240" s="1"/>
      <c r="APL240" s="1"/>
      <c r="APM240" s="1"/>
      <c r="APN240" s="1"/>
      <c r="APO240" s="1"/>
      <c r="APP240" s="1"/>
      <c r="APQ240" s="1"/>
      <c r="APR240" s="1"/>
      <c r="APS240" s="1"/>
      <c r="APT240" s="1"/>
      <c r="APU240" s="1"/>
      <c r="APV240" s="1"/>
      <c r="APW240" s="1"/>
      <c r="APX240" s="1"/>
      <c r="APY240" s="1"/>
      <c r="APZ240" s="1"/>
      <c r="AQA240" s="1"/>
      <c r="AQB240" s="1"/>
      <c r="AQC240" s="1"/>
      <c r="AQD240" s="1"/>
      <c r="AQE240" s="1"/>
      <c r="AQF240" s="1"/>
      <c r="AQG240" s="1"/>
      <c r="AQH240" s="1"/>
      <c r="AQI240" s="1"/>
      <c r="AQJ240" s="1"/>
      <c r="AQK240" s="1"/>
      <c r="AQL240" s="1"/>
      <c r="AQM240" s="1"/>
      <c r="AQN240" s="1"/>
      <c r="AQO240" s="1"/>
      <c r="AQP240" s="1"/>
      <c r="AQQ240" s="1"/>
      <c r="AQR240" s="1"/>
      <c r="AQS240" s="1"/>
      <c r="AQT240" s="1"/>
      <c r="AQU240" s="1"/>
      <c r="AQV240" s="1"/>
      <c r="AQW240" s="1"/>
      <c r="AQX240" s="1"/>
      <c r="AQY240" s="1"/>
      <c r="AQZ240" s="1"/>
      <c r="ARA240" s="1"/>
      <c r="ARB240" s="1"/>
      <c r="ARC240" s="1"/>
      <c r="ARD240" s="1"/>
      <c r="ARE240" s="1"/>
      <c r="ARF240" s="1"/>
      <c r="ARG240" s="1"/>
      <c r="ARH240" s="1"/>
      <c r="ARI240" s="1"/>
      <c r="ARJ240" s="1"/>
      <c r="ARK240" s="1"/>
      <c r="ARL240" s="1"/>
      <c r="ARM240" s="1"/>
      <c r="ARN240" s="1"/>
      <c r="ARO240" s="1"/>
      <c r="ARP240" s="1"/>
      <c r="ARQ240" s="1"/>
      <c r="ARR240" s="1"/>
      <c r="ARS240" s="1"/>
      <c r="ART240" s="1"/>
      <c r="ARU240" s="1"/>
      <c r="ARV240" s="1"/>
      <c r="ARW240" s="1"/>
      <c r="ARX240" s="1"/>
      <c r="ARY240" s="1"/>
      <c r="ARZ240" s="1"/>
      <c r="ASA240" s="1"/>
      <c r="ASB240" s="1"/>
      <c r="ASC240" s="1"/>
      <c r="ASD240" s="1"/>
      <c r="ASE240" s="1"/>
      <c r="ASF240" s="1"/>
      <c r="ASG240" s="1"/>
      <c r="ASH240" s="1"/>
      <c r="ASI240" s="1"/>
      <c r="ASJ240" s="1"/>
      <c r="ASK240" s="1"/>
      <c r="ASL240" s="1"/>
      <c r="ASM240" s="1"/>
      <c r="ASN240" s="1"/>
      <c r="ASO240" s="1"/>
      <c r="ASP240" s="1"/>
      <c r="ASQ240" s="1"/>
      <c r="ASR240" s="1"/>
      <c r="ASS240" s="1"/>
      <c r="AST240" s="1"/>
      <c r="ASU240" s="1"/>
      <c r="ASV240" s="1"/>
      <c r="ASW240" s="1"/>
      <c r="ASX240" s="1"/>
      <c r="ASY240" s="1"/>
      <c r="ASZ240" s="1"/>
      <c r="ATA240" s="1"/>
      <c r="ATB240" s="1"/>
      <c r="ATC240" s="1"/>
      <c r="ATD240" s="1"/>
      <c r="ATE240" s="1"/>
      <c r="ATF240" s="1"/>
      <c r="ATG240" s="1"/>
      <c r="ATH240" s="1"/>
      <c r="ATI240" s="1"/>
      <c r="ATJ240" s="1"/>
      <c r="ATK240" s="1"/>
      <c r="ATL240" s="1"/>
      <c r="ATM240" s="1"/>
      <c r="ATN240" s="1"/>
      <c r="ATO240" s="1"/>
      <c r="ATP240" s="1"/>
      <c r="ATQ240" s="1"/>
      <c r="ATR240" s="1"/>
      <c r="ATS240" s="1"/>
      <c r="ATT240" s="1"/>
      <c r="ATU240" s="1"/>
      <c r="ATV240" s="1"/>
      <c r="ATW240" s="1"/>
      <c r="ATX240" s="1"/>
      <c r="ATY240" s="1"/>
      <c r="ATZ240" s="1"/>
      <c r="AUA240" s="1"/>
      <c r="AUB240" s="1"/>
      <c r="AUC240" s="1"/>
      <c r="AUD240" s="1"/>
      <c r="AUE240" s="1"/>
      <c r="AUF240" s="1"/>
      <c r="AUG240" s="1"/>
      <c r="AUH240" s="1"/>
      <c r="AUI240" s="1"/>
      <c r="AUJ240" s="1"/>
      <c r="AUK240" s="1"/>
      <c r="AUL240" s="1"/>
      <c r="AUM240" s="1"/>
      <c r="AUN240" s="1"/>
      <c r="AUO240" s="1"/>
      <c r="AUP240" s="1"/>
      <c r="AUQ240" s="1"/>
      <c r="AUR240" s="1"/>
      <c r="AUS240" s="1"/>
      <c r="AUT240" s="1"/>
      <c r="AUU240" s="1"/>
      <c r="AUV240" s="1"/>
      <c r="AUW240" s="1"/>
      <c r="AUX240" s="1"/>
      <c r="AUY240" s="1"/>
      <c r="AUZ240" s="1"/>
      <c r="AVA240" s="1"/>
      <c r="AVB240" s="1"/>
      <c r="AVC240" s="1"/>
      <c r="AVD240" s="1"/>
      <c r="AVE240" s="1"/>
      <c r="AVF240" s="1"/>
      <c r="AVG240" s="1"/>
      <c r="AVH240" s="1"/>
      <c r="AVI240" s="1"/>
      <c r="AVJ240" s="1"/>
      <c r="AVK240" s="1"/>
      <c r="AVL240" s="1"/>
      <c r="AVM240" s="1"/>
      <c r="AVN240" s="1"/>
      <c r="AVO240" s="1"/>
      <c r="AVP240" s="1"/>
      <c r="AVQ240" s="1"/>
      <c r="AVR240" s="1"/>
      <c r="AVS240" s="1"/>
      <c r="AVT240" s="1"/>
      <c r="AVU240" s="1"/>
      <c r="AVV240" s="1"/>
      <c r="AVW240" s="1"/>
      <c r="AVX240" s="1"/>
      <c r="AVY240" s="1"/>
      <c r="AVZ240" s="1"/>
      <c r="AWA240" s="1"/>
      <c r="AWB240" s="1"/>
      <c r="AWC240" s="1"/>
      <c r="AWD240" s="1"/>
      <c r="AWE240" s="1"/>
      <c r="AWF240" s="1"/>
      <c r="AWG240" s="1"/>
      <c r="AWH240" s="1"/>
      <c r="AWI240" s="1"/>
      <c r="AWJ240" s="1"/>
      <c r="AWK240" s="1"/>
      <c r="AWL240" s="1"/>
      <c r="AWM240" s="1"/>
      <c r="AWN240" s="1"/>
      <c r="AWO240" s="1"/>
      <c r="AWP240" s="1"/>
      <c r="AWQ240" s="1"/>
      <c r="AWR240" s="1"/>
      <c r="AWS240" s="1"/>
      <c r="AWT240" s="1"/>
      <c r="AWU240" s="1"/>
      <c r="AWV240" s="1"/>
      <c r="AWW240" s="1"/>
      <c r="AWX240" s="1"/>
      <c r="AWY240" s="1"/>
      <c r="AWZ240" s="1"/>
      <c r="AXA240" s="1"/>
      <c r="AXB240" s="1"/>
      <c r="AXC240" s="1"/>
      <c r="AXD240" s="1"/>
      <c r="AXE240" s="1"/>
      <c r="AXF240" s="1"/>
      <c r="AXG240" s="1"/>
      <c r="AXH240" s="1"/>
      <c r="AXI240" s="1"/>
      <c r="AXJ240" s="1"/>
      <c r="AXK240" s="1"/>
      <c r="AXL240" s="1"/>
      <c r="AXM240" s="1"/>
      <c r="AXN240" s="1"/>
      <c r="AXO240" s="1"/>
      <c r="AXP240" s="1"/>
      <c r="AXQ240" s="1"/>
      <c r="AXR240" s="1"/>
      <c r="AXS240" s="1"/>
      <c r="AXT240" s="1"/>
      <c r="AXU240" s="1"/>
      <c r="AXV240" s="1"/>
      <c r="AXW240" s="1"/>
      <c r="AXX240" s="1"/>
      <c r="AXY240" s="1"/>
      <c r="AXZ240" s="1"/>
      <c r="AYA240" s="1"/>
      <c r="AYB240" s="1"/>
      <c r="AYC240" s="1"/>
      <c r="AYD240" s="1"/>
      <c r="AYE240" s="1"/>
      <c r="AYF240" s="1"/>
      <c r="AYG240" s="1"/>
      <c r="AYH240" s="1"/>
      <c r="AYI240" s="1"/>
      <c r="AYJ240" s="1"/>
      <c r="AYK240" s="1"/>
      <c r="AYL240" s="1"/>
      <c r="AYM240" s="1"/>
      <c r="AYN240" s="1"/>
      <c r="AYO240" s="1"/>
      <c r="AYP240" s="1"/>
      <c r="AYQ240" s="1"/>
      <c r="AYR240" s="1"/>
      <c r="AYS240" s="1"/>
      <c r="AYT240" s="1"/>
      <c r="AYU240" s="1"/>
      <c r="AYV240" s="1"/>
      <c r="AYW240" s="1"/>
      <c r="AYX240" s="1"/>
      <c r="AYY240" s="1"/>
      <c r="AYZ240" s="1"/>
      <c r="AZA240" s="1"/>
      <c r="AZB240" s="1"/>
      <c r="AZC240" s="1"/>
      <c r="AZD240" s="1"/>
      <c r="AZE240" s="1"/>
      <c r="AZF240" s="1"/>
      <c r="AZG240" s="1"/>
      <c r="AZH240" s="1"/>
      <c r="AZI240" s="1"/>
      <c r="AZJ240" s="1"/>
      <c r="AZK240" s="1"/>
      <c r="AZL240" s="1"/>
      <c r="AZM240" s="1"/>
      <c r="AZN240" s="1"/>
      <c r="AZO240" s="1"/>
      <c r="AZP240" s="1"/>
      <c r="AZQ240" s="1"/>
      <c r="AZR240" s="1"/>
      <c r="AZS240" s="1"/>
      <c r="AZT240" s="1"/>
      <c r="AZU240" s="1"/>
      <c r="AZV240" s="1"/>
      <c r="AZW240" s="1"/>
      <c r="AZX240" s="1"/>
      <c r="AZY240" s="1"/>
      <c r="AZZ240" s="1"/>
      <c r="BAA240" s="1"/>
      <c r="BAB240" s="1"/>
      <c r="BAC240" s="1"/>
      <c r="BAD240" s="1"/>
      <c r="BAE240" s="1"/>
      <c r="BAF240" s="1"/>
      <c r="BAG240" s="1"/>
      <c r="BAH240" s="1"/>
      <c r="BAI240" s="1"/>
      <c r="BAJ240" s="1"/>
      <c r="BAK240" s="1"/>
      <c r="BAL240" s="1"/>
      <c r="BAM240" s="1"/>
      <c r="BAN240" s="1"/>
      <c r="BAO240" s="1"/>
      <c r="BAP240" s="1"/>
      <c r="BAQ240" s="1"/>
      <c r="BAR240" s="1"/>
      <c r="BAS240" s="1"/>
      <c r="BAT240" s="1"/>
      <c r="BAU240" s="1"/>
      <c r="BAV240" s="1"/>
      <c r="BAW240" s="1"/>
      <c r="BAX240" s="1"/>
      <c r="BAY240" s="1"/>
      <c r="BAZ240" s="1"/>
      <c r="BBA240" s="1"/>
      <c r="BBB240" s="1"/>
      <c r="BBC240" s="1"/>
      <c r="BBD240" s="1"/>
      <c r="BBE240" s="1"/>
      <c r="BBF240" s="1"/>
      <c r="BBG240" s="1"/>
      <c r="BBH240" s="1"/>
      <c r="BBI240" s="1"/>
      <c r="BBJ240" s="1"/>
      <c r="BBK240" s="1"/>
      <c r="BBL240" s="1"/>
      <c r="BBM240" s="1"/>
      <c r="BBN240" s="1"/>
      <c r="BBO240" s="1"/>
      <c r="BBP240" s="1"/>
      <c r="BBQ240" s="1"/>
      <c r="BBR240" s="1"/>
      <c r="BBS240" s="1"/>
      <c r="BBT240" s="1"/>
      <c r="BBU240" s="1"/>
      <c r="BBV240" s="1"/>
      <c r="BBW240" s="1"/>
      <c r="BBX240" s="1"/>
      <c r="BBY240" s="1"/>
      <c r="BBZ240" s="1"/>
      <c r="BCA240" s="1"/>
      <c r="BCB240" s="1"/>
      <c r="BCC240" s="1"/>
      <c r="BCD240" s="1"/>
      <c r="BCE240" s="1"/>
      <c r="BCF240" s="1"/>
      <c r="BCG240" s="1"/>
      <c r="BCH240" s="1"/>
      <c r="BCI240" s="1"/>
      <c r="BCJ240" s="1"/>
      <c r="BCK240" s="1"/>
      <c r="BCL240" s="1"/>
      <c r="BCM240" s="1"/>
      <c r="BCN240" s="1"/>
      <c r="BCO240" s="1"/>
      <c r="BCP240" s="1"/>
      <c r="BCQ240" s="1"/>
      <c r="BCR240" s="1"/>
      <c r="BCS240" s="1"/>
      <c r="BCT240" s="1"/>
      <c r="BCU240" s="1"/>
      <c r="BCV240" s="1"/>
      <c r="BCW240" s="1"/>
      <c r="BCX240" s="1"/>
      <c r="BCY240" s="1"/>
      <c r="BCZ240" s="1"/>
      <c r="BDA240" s="1"/>
      <c r="BDB240" s="1"/>
      <c r="BDC240" s="1"/>
      <c r="BDD240" s="1"/>
      <c r="BDE240" s="1"/>
      <c r="BDF240" s="1"/>
      <c r="BDG240" s="1"/>
      <c r="BDH240" s="1"/>
      <c r="BDI240" s="1"/>
      <c r="BDJ240" s="1"/>
      <c r="BDK240" s="1"/>
      <c r="BDL240" s="1"/>
      <c r="BDM240" s="1"/>
      <c r="BDN240" s="1"/>
      <c r="BDO240" s="1"/>
      <c r="BDP240" s="1"/>
      <c r="BDQ240" s="1"/>
      <c r="BDR240" s="1"/>
      <c r="BDS240" s="1"/>
      <c r="BDT240" s="1"/>
      <c r="BDU240" s="1"/>
      <c r="BDV240" s="1"/>
      <c r="BDW240" s="1"/>
      <c r="BDX240" s="1"/>
      <c r="BDY240" s="1"/>
      <c r="BDZ240" s="1"/>
      <c r="BEA240" s="1"/>
      <c r="BEB240" s="1"/>
      <c r="BEC240" s="1"/>
      <c r="BED240" s="1"/>
      <c r="BEE240" s="1"/>
      <c r="BEF240" s="1"/>
      <c r="BEG240" s="1"/>
      <c r="BEH240" s="1"/>
      <c r="BEI240" s="1"/>
      <c r="BEJ240" s="1"/>
      <c r="BEK240" s="1"/>
      <c r="BEL240" s="1"/>
      <c r="BEM240" s="1"/>
      <c r="BEN240" s="1"/>
      <c r="BEO240" s="1"/>
      <c r="BEP240" s="1"/>
      <c r="BEQ240" s="1"/>
      <c r="BER240" s="1"/>
      <c r="BES240" s="1"/>
      <c r="BET240" s="1"/>
      <c r="BEU240" s="1"/>
      <c r="BEV240" s="1"/>
      <c r="BEW240" s="1"/>
      <c r="BEX240" s="1"/>
      <c r="BEY240" s="1"/>
      <c r="BEZ240" s="1"/>
      <c r="BFA240" s="1"/>
      <c r="BFB240" s="1"/>
      <c r="BFC240" s="1"/>
      <c r="BFD240" s="1"/>
      <c r="BFE240" s="1"/>
      <c r="BFF240" s="1"/>
      <c r="BFG240" s="1"/>
      <c r="BFH240" s="1"/>
      <c r="BFI240" s="1"/>
      <c r="BFJ240" s="1"/>
      <c r="BFK240" s="1"/>
      <c r="BFL240" s="1"/>
      <c r="BFM240" s="1"/>
      <c r="BFN240" s="1"/>
      <c r="BFO240" s="1"/>
      <c r="BFP240" s="1"/>
      <c r="BFQ240" s="1"/>
      <c r="BFR240" s="1"/>
      <c r="BFS240" s="1"/>
      <c r="BFT240" s="1"/>
      <c r="BFU240" s="1"/>
      <c r="BFV240" s="1"/>
      <c r="BFW240" s="1"/>
      <c r="BFX240" s="1"/>
      <c r="BFY240" s="1"/>
      <c r="BFZ240" s="1"/>
      <c r="BGA240" s="1"/>
      <c r="BGB240" s="1"/>
      <c r="BGC240" s="1"/>
      <c r="BGD240" s="1"/>
      <c r="BGE240" s="1"/>
      <c r="BGF240" s="1"/>
      <c r="BGG240" s="1"/>
      <c r="BGH240" s="1"/>
      <c r="BGI240" s="1"/>
      <c r="BGJ240" s="1"/>
      <c r="BGK240" s="1"/>
      <c r="BGL240" s="1"/>
      <c r="BGM240" s="1"/>
      <c r="BGN240" s="1"/>
      <c r="BGO240" s="1"/>
      <c r="BGP240" s="1"/>
      <c r="BGQ240" s="1"/>
      <c r="BGR240" s="1"/>
      <c r="BGS240" s="1"/>
      <c r="BGT240" s="1"/>
      <c r="BGU240" s="1"/>
      <c r="BGV240" s="1"/>
      <c r="BGW240" s="1"/>
      <c r="BGX240" s="1"/>
      <c r="BGY240" s="1"/>
      <c r="BGZ240" s="1"/>
      <c r="BHA240" s="1"/>
      <c r="BHB240" s="1"/>
      <c r="BHC240" s="1"/>
      <c r="BHD240" s="1"/>
      <c r="BHE240" s="1"/>
      <c r="BHF240" s="1"/>
      <c r="BHG240" s="1"/>
      <c r="BHH240" s="1"/>
      <c r="BHI240" s="1"/>
      <c r="BHJ240" s="1"/>
      <c r="BHK240" s="1"/>
      <c r="BHL240" s="1"/>
      <c r="BHM240" s="1"/>
      <c r="BHN240" s="1"/>
      <c r="BHO240" s="1"/>
      <c r="BHP240" s="1"/>
      <c r="BHQ240" s="1"/>
      <c r="BHR240" s="1"/>
      <c r="BHS240" s="1"/>
      <c r="BHT240" s="1"/>
      <c r="BHU240" s="1"/>
      <c r="BHV240" s="1"/>
      <c r="BHW240" s="1"/>
      <c r="BHX240" s="1"/>
      <c r="BHY240" s="1"/>
      <c r="BHZ240" s="1"/>
      <c r="BIA240" s="1"/>
      <c r="BIB240" s="1"/>
      <c r="BIC240" s="1"/>
      <c r="BID240" s="1"/>
      <c r="BIE240" s="1"/>
      <c r="BIF240" s="1"/>
      <c r="BIG240" s="1"/>
      <c r="BIH240" s="1"/>
      <c r="BII240" s="1"/>
      <c r="BIJ240" s="1"/>
      <c r="BIK240" s="1"/>
      <c r="BIL240" s="1"/>
      <c r="BIM240" s="1"/>
      <c r="BIN240" s="1"/>
      <c r="BIO240" s="1"/>
      <c r="BIP240" s="1"/>
      <c r="BIQ240" s="1"/>
      <c r="BIR240" s="1"/>
      <c r="BIS240" s="1"/>
      <c r="BIT240" s="1"/>
      <c r="BIU240" s="1"/>
      <c r="BIV240" s="1"/>
      <c r="BIW240" s="1"/>
      <c r="BIX240" s="1"/>
      <c r="BIY240" s="1"/>
      <c r="BIZ240" s="1"/>
      <c r="BJA240" s="1"/>
      <c r="BJB240" s="1"/>
      <c r="BJC240" s="1"/>
      <c r="BJD240" s="1"/>
      <c r="BJE240" s="1"/>
      <c r="BJF240" s="1"/>
      <c r="BJG240" s="1"/>
      <c r="BJH240" s="1"/>
      <c r="BJI240" s="1"/>
      <c r="BJJ240" s="1"/>
      <c r="BJK240" s="1"/>
      <c r="BJL240" s="1"/>
      <c r="BJM240" s="1"/>
      <c r="BJN240" s="1"/>
      <c r="BJO240" s="1"/>
      <c r="BJP240" s="1"/>
      <c r="BJQ240" s="1"/>
      <c r="BJR240" s="1"/>
      <c r="BJS240" s="1"/>
      <c r="BJT240" s="1"/>
      <c r="BJU240" s="1"/>
      <c r="BJV240" s="1"/>
      <c r="BJW240" s="1"/>
      <c r="BJX240" s="1"/>
      <c r="BJY240" s="1"/>
      <c r="BJZ240" s="1"/>
      <c r="BKA240" s="1"/>
      <c r="BKB240" s="1"/>
      <c r="BKC240" s="1"/>
      <c r="BKD240" s="1"/>
      <c r="BKE240" s="1"/>
      <c r="BKF240" s="1"/>
      <c r="BKG240" s="1"/>
      <c r="BKH240" s="1"/>
      <c r="BKI240" s="1"/>
      <c r="BKJ240" s="1"/>
      <c r="BKK240" s="1"/>
      <c r="BKL240" s="1"/>
      <c r="BKM240" s="1"/>
      <c r="BKN240" s="1"/>
      <c r="BKO240" s="1"/>
      <c r="BKP240" s="1"/>
      <c r="BKQ240" s="1"/>
      <c r="BKR240" s="1"/>
      <c r="BKS240" s="1"/>
      <c r="BKT240" s="1"/>
      <c r="BKU240" s="1"/>
      <c r="BKV240" s="1"/>
      <c r="BKW240" s="1"/>
      <c r="BKX240" s="1"/>
      <c r="BKY240" s="1"/>
      <c r="BKZ240" s="1"/>
      <c r="BLA240" s="1"/>
      <c r="BLB240" s="1"/>
      <c r="BLC240" s="1"/>
      <c r="BLD240" s="1"/>
      <c r="BLE240" s="1"/>
      <c r="BLF240" s="1"/>
      <c r="BLG240" s="1"/>
      <c r="BLH240" s="1"/>
      <c r="BLI240" s="1"/>
      <c r="BLJ240" s="1"/>
      <c r="BLK240" s="1"/>
      <c r="BLL240" s="1"/>
      <c r="BLM240" s="1"/>
      <c r="BLN240" s="1"/>
      <c r="BLO240" s="1"/>
      <c r="BLP240" s="1"/>
      <c r="BLQ240" s="1"/>
      <c r="BLR240" s="1"/>
      <c r="BLS240" s="1"/>
      <c r="BLT240" s="1"/>
      <c r="BLU240" s="1"/>
      <c r="BLV240" s="1"/>
      <c r="BLW240" s="1"/>
      <c r="BLX240" s="1"/>
      <c r="BLY240" s="1"/>
      <c r="BLZ240" s="1"/>
      <c r="BMA240" s="1"/>
      <c r="BMB240" s="1"/>
      <c r="BMC240" s="1"/>
      <c r="BMD240" s="1"/>
      <c r="BME240" s="1"/>
      <c r="BMF240" s="1"/>
      <c r="BMG240" s="1"/>
      <c r="BMH240" s="1"/>
      <c r="BMI240" s="1"/>
      <c r="BMJ240" s="1"/>
      <c r="BMK240" s="1"/>
      <c r="BML240" s="1"/>
      <c r="BMM240" s="1"/>
      <c r="BMN240" s="1"/>
      <c r="BMO240" s="1"/>
      <c r="BMP240" s="1"/>
      <c r="BMQ240" s="1"/>
      <c r="BMR240" s="1"/>
      <c r="BMS240" s="1"/>
      <c r="BMT240" s="1"/>
      <c r="BMU240" s="1"/>
      <c r="BMV240" s="1"/>
      <c r="BMW240" s="1"/>
      <c r="BMX240" s="1"/>
      <c r="BMY240" s="1"/>
      <c r="BMZ240" s="1"/>
      <c r="BNA240" s="1"/>
      <c r="BNB240" s="1"/>
      <c r="BNC240" s="1"/>
      <c r="BND240" s="1"/>
      <c r="BNE240" s="1"/>
      <c r="BNF240" s="1"/>
      <c r="BNG240" s="1"/>
      <c r="BNH240" s="1"/>
      <c r="BNI240" s="1"/>
      <c r="BNJ240" s="1"/>
      <c r="BNK240" s="1"/>
      <c r="BNL240" s="1"/>
      <c r="BNM240" s="1"/>
      <c r="BNN240" s="1"/>
      <c r="BNO240" s="1"/>
      <c r="BNP240" s="1"/>
      <c r="BNQ240" s="1"/>
      <c r="BNR240" s="1"/>
      <c r="BNS240" s="1"/>
      <c r="BNT240" s="1"/>
      <c r="BNU240" s="1"/>
      <c r="BNV240" s="1"/>
      <c r="BNW240" s="1"/>
      <c r="BNX240" s="1"/>
      <c r="BNY240" s="1"/>
      <c r="BNZ240" s="1"/>
      <c r="BOA240" s="1"/>
      <c r="BOB240" s="1"/>
      <c r="BOC240" s="1"/>
      <c r="BOD240" s="1"/>
      <c r="BOE240" s="1"/>
      <c r="BOF240" s="1"/>
      <c r="BOG240" s="1"/>
      <c r="BOH240" s="1"/>
      <c r="BOI240" s="1"/>
      <c r="BOJ240" s="1"/>
      <c r="BOK240" s="1"/>
      <c r="BOL240" s="1"/>
      <c r="BOM240" s="1"/>
      <c r="BON240" s="1"/>
      <c r="BOO240" s="1"/>
      <c r="BOP240" s="1"/>
      <c r="BOQ240" s="1"/>
      <c r="BOR240" s="1"/>
      <c r="BOS240" s="1"/>
      <c r="BOT240" s="1"/>
      <c r="BOU240" s="1"/>
      <c r="BOV240" s="1"/>
      <c r="BOW240" s="1"/>
      <c r="BOX240" s="1"/>
      <c r="BOY240" s="1"/>
      <c r="BOZ240" s="1"/>
      <c r="BPA240" s="1"/>
      <c r="BPB240" s="1"/>
      <c r="BPC240" s="1"/>
      <c r="BPD240" s="1"/>
      <c r="BPE240" s="1"/>
      <c r="BPF240" s="1"/>
      <c r="BPG240" s="1"/>
      <c r="BPH240" s="1"/>
      <c r="BPI240" s="1"/>
      <c r="BPJ240" s="1"/>
      <c r="BPK240" s="1"/>
      <c r="BPL240" s="1"/>
      <c r="BPM240" s="1"/>
      <c r="BPN240" s="1"/>
      <c r="BPO240" s="1"/>
      <c r="BPP240" s="1"/>
      <c r="BPQ240" s="1"/>
      <c r="BPR240" s="1"/>
      <c r="BPS240" s="1"/>
      <c r="BPT240" s="1"/>
      <c r="BPU240" s="1"/>
      <c r="BPV240" s="1"/>
      <c r="BPW240" s="1"/>
      <c r="BPX240" s="1"/>
      <c r="BPY240" s="1"/>
      <c r="BPZ240" s="1"/>
      <c r="BQA240" s="1"/>
      <c r="BQB240" s="1"/>
      <c r="BQC240" s="1"/>
      <c r="BQD240" s="1"/>
      <c r="BQE240" s="1"/>
      <c r="BQF240" s="1"/>
      <c r="BQG240" s="1"/>
      <c r="BQH240" s="1"/>
      <c r="BQI240" s="1"/>
      <c r="BQJ240" s="1"/>
      <c r="BQK240" s="1"/>
      <c r="BQL240" s="1"/>
      <c r="BQM240" s="1"/>
      <c r="BQN240" s="1"/>
      <c r="BQO240" s="1"/>
      <c r="BQP240" s="1"/>
      <c r="BQQ240" s="1"/>
      <c r="BQR240" s="1"/>
      <c r="BQS240" s="1"/>
      <c r="BQT240" s="1"/>
      <c r="BQU240" s="1"/>
      <c r="BQV240" s="1"/>
      <c r="BQW240" s="1"/>
      <c r="BQX240" s="1"/>
      <c r="BQY240" s="1"/>
      <c r="BQZ240" s="1"/>
      <c r="BRA240" s="1"/>
      <c r="BRB240" s="1"/>
      <c r="BRC240" s="1"/>
      <c r="BRD240" s="1"/>
      <c r="BRE240" s="1"/>
      <c r="BRF240" s="1"/>
      <c r="BRG240" s="1"/>
      <c r="BRH240" s="1"/>
      <c r="BRI240" s="1"/>
      <c r="BRJ240" s="1"/>
      <c r="BRK240" s="1"/>
      <c r="BRL240" s="1"/>
      <c r="BRM240" s="1"/>
      <c r="BRN240" s="1"/>
      <c r="BRO240" s="1"/>
      <c r="BRP240" s="1"/>
      <c r="BRQ240" s="1"/>
      <c r="BRR240" s="1"/>
      <c r="BRS240" s="1"/>
      <c r="BRT240" s="1"/>
      <c r="BRU240" s="1"/>
      <c r="BRV240" s="1"/>
      <c r="BRW240" s="1"/>
      <c r="BRX240" s="1"/>
      <c r="BRY240" s="1"/>
      <c r="BRZ240" s="1"/>
      <c r="BSA240" s="1"/>
      <c r="BSB240" s="1"/>
      <c r="BSC240" s="1"/>
      <c r="BSD240" s="1"/>
      <c r="BSE240" s="1"/>
      <c r="BSF240" s="1"/>
      <c r="BSG240" s="1"/>
      <c r="BSH240" s="1"/>
      <c r="BSI240" s="1"/>
      <c r="BSJ240" s="1"/>
      <c r="BSK240" s="1"/>
      <c r="BSL240" s="1"/>
      <c r="BSM240" s="1"/>
      <c r="BSN240" s="1"/>
      <c r="BSO240" s="1"/>
      <c r="BSP240" s="1"/>
      <c r="BSQ240" s="1"/>
      <c r="BSR240" s="1"/>
      <c r="BSS240" s="1"/>
      <c r="BST240" s="1"/>
      <c r="BSU240" s="1"/>
      <c r="BSV240" s="1"/>
      <c r="BSW240" s="1"/>
      <c r="BSX240" s="1"/>
      <c r="BSY240" s="1"/>
      <c r="BSZ240" s="1"/>
      <c r="BTA240" s="1"/>
      <c r="BTB240" s="1"/>
      <c r="BTC240" s="1"/>
      <c r="BTD240" s="1"/>
      <c r="BTE240" s="1"/>
      <c r="BTF240" s="1"/>
      <c r="BTG240" s="1"/>
      <c r="BTH240" s="1"/>
      <c r="BTI240" s="1"/>
      <c r="BTJ240" s="1"/>
      <c r="BTK240" s="1"/>
      <c r="BTL240" s="1"/>
      <c r="BTM240" s="1"/>
      <c r="BTN240" s="1"/>
      <c r="BTO240" s="1"/>
      <c r="BTP240" s="1"/>
      <c r="BTQ240" s="1"/>
      <c r="BTR240" s="1"/>
      <c r="BTS240" s="1"/>
      <c r="BTT240" s="1"/>
      <c r="BTU240" s="1"/>
      <c r="BTV240" s="1"/>
      <c r="BTW240" s="1"/>
      <c r="BTX240" s="1"/>
      <c r="BTY240" s="1"/>
      <c r="BTZ240" s="1"/>
      <c r="BUA240" s="1"/>
      <c r="BUB240" s="1"/>
      <c r="BUC240" s="1"/>
      <c r="BUD240" s="1"/>
      <c r="BUE240" s="1"/>
      <c r="BUF240" s="1"/>
      <c r="BUG240" s="1"/>
      <c r="BUH240" s="1"/>
      <c r="BUI240" s="1"/>
      <c r="BUJ240" s="1"/>
      <c r="BUK240" s="1"/>
      <c r="BUL240" s="1"/>
      <c r="BUM240" s="1"/>
      <c r="BUN240" s="1"/>
      <c r="BUO240" s="1"/>
      <c r="BUP240" s="1"/>
      <c r="BUQ240" s="1"/>
      <c r="BUR240" s="1"/>
      <c r="BUS240" s="1"/>
      <c r="BUT240" s="1"/>
      <c r="BUU240" s="1"/>
      <c r="BUV240" s="1"/>
      <c r="BUW240" s="1"/>
      <c r="BUX240" s="1"/>
      <c r="BUY240" s="1"/>
      <c r="BUZ240" s="1"/>
      <c r="BVA240" s="1"/>
      <c r="BVB240" s="1"/>
      <c r="BVC240" s="1"/>
      <c r="BVD240" s="1"/>
      <c r="BVE240" s="1"/>
      <c r="BVF240" s="1"/>
      <c r="BVG240" s="1"/>
      <c r="BVH240" s="1"/>
      <c r="BVI240" s="1"/>
      <c r="BVJ240" s="1"/>
      <c r="BVK240" s="1"/>
      <c r="BVL240" s="1"/>
      <c r="BVM240" s="1"/>
      <c r="BVN240" s="1"/>
      <c r="BVO240" s="1"/>
      <c r="BVP240" s="1"/>
      <c r="BVQ240" s="1"/>
      <c r="BVR240" s="1"/>
      <c r="BVS240" s="1"/>
      <c r="BVT240" s="1"/>
      <c r="BVU240" s="1"/>
      <c r="BVV240" s="1"/>
      <c r="BVW240" s="1"/>
      <c r="BVX240" s="1"/>
      <c r="BVY240" s="1"/>
      <c r="BVZ240" s="1"/>
      <c r="BWA240" s="1"/>
      <c r="BWB240" s="1"/>
      <c r="BWC240" s="1"/>
      <c r="BWD240" s="1"/>
      <c r="BWE240" s="1"/>
      <c r="BWF240" s="1"/>
      <c r="BWG240" s="1"/>
      <c r="BWH240" s="1"/>
      <c r="BWI240" s="1"/>
      <c r="BWJ240" s="1"/>
      <c r="BWK240" s="1"/>
      <c r="BWL240" s="1"/>
      <c r="BWM240" s="1"/>
      <c r="BWN240" s="1"/>
      <c r="BWO240" s="1"/>
      <c r="BWP240" s="1"/>
      <c r="BWQ240" s="1"/>
      <c r="BWR240" s="1"/>
      <c r="BWS240" s="1"/>
      <c r="BWT240" s="1"/>
      <c r="BWU240" s="1"/>
      <c r="BWV240" s="1"/>
      <c r="BWW240" s="1"/>
      <c r="BWX240" s="1"/>
      <c r="BWY240" s="1"/>
      <c r="BWZ240" s="1"/>
      <c r="BXA240" s="1"/>
      <c r="BXB240" s="1"/>
      <c r="BXC240" s="1"/>
      <c r="BXD240" s="1"/>
      <c r="BXE240" s="1"/>
      <c r="BXF240" s="1"/>
      <c r="BXG240" s="1"/>
      <c r="BXH240" s="1"/>
      <c r="BXI240" s="1"/>
      <c r="BXJ240" s="1"/>
      <c r="BXK240" s="1"/>
      <c r="BXL240" s="1"/>
      <c r="BXM240" s="1"/>
      <c r="BXN240" s="1"/>
      <c r="BXO240" s="1"/>
      <c r="BXP240" s="1"/>
      <c r="BXQ240" s="1"/>
      <c r="BXR240" s="1"/>
      <c r="BXS240" s="1"/>
      <c r="BXT240" s="1"/>
      <c r="BXU240" s="1"/>
      <c r="BXV240" s="1"/>
      <c r="BXW240" s="1"/>
      <c r="BXX240" s="1"/>
      <c r="BXY240" s="1"/>
      <c r="BXZ240" s="1"/>
      <c r="BYA240" s="1"/>
      <c r="BYB240" s="1"/>
      <c r="BYC240" s="1"/>
      <c r="BYD240" s="1"/>
      <c r="BYE240" s="1"/>
      <c r="BYF240" s="1"/>
      <c r="BYG240" s="1"/>
      <c r="BYH240" s="1"/>
      <c r="BYI240" s="1"/>
      <c r="BYJ240" s="1"/>
      <c r="BYK240" s="1"/>
      <c r="BYL240" s="1"/>
      <c r="BYM240" s="1"/>
      <c r="BYN240" s="1"/>
      <c r="BYO240" s="1"/>
      <c r="BYP240" s="1"/>
      <c r="BYQ240" s="1"/>
      <c r="BYR240" s="1"/>
      <c r="BYS240" s="1"/>
      <c r="BYT240" s="1"/>
      <c r="BYU240" s="1"/>
      <c r="BYV240" s="1"/>
      <c r="BYW240" s="1"/>
      <c r="BYX240" s="1"/>
      <c r="BYY240" s="1"/>
      <c r="BYZ240" s="1"/>
      <c r="BZA240" s="1"/>
      <c r="BZB240" s="1"/>
      <c r="BZC240" s="1"/>
      <c r="BZD240" s="1"/>
      <c r="BZE240" s="1"/>
      <c r="BZF240" s="1"/>
      <c r="BZG240" s="1"/>
      <c r="BZH240" s="1"/>
      <c r="BZI240" s="1"/>
      <c r="BZJ240" s="1"/>
      <c r="BZK240" s="1"/>
      <c r="BZL240" s="1"/>
      <c r="BZM240" s="1"/>
      <c r="BZN240" s="1"/>
      <c r="BZO240" s="1"/>
      <c r="BZP240" s="1"/>
      <c r="BZQ240" s="1"/>
      <c r="BZR240" s="1"/>
      <c r="BZS240" s="1"/>
      <c r="BZT240" s="1"/>
      <c r="BZU240" s="1"/>
      <c r="BZV240" s="1"/>
      <c r="BZW240" s="1"/>
      <c r="BZX240" s="1"/>
      <c r="BZY240" s="1"/>
      <c r="BZZ240" s="1"/>
      <c r="CAA240" s="1"/>
      <c r="CAB240" s="1"/>
      <c r="CAC240" s="1"/>
      <c r="CAD240" s="1"/>
      <c r="CAE240" s="1"/>
      <c r="CAF240" s="1"/>
      <c r="CAG240" s="1"/>
      <c r="CAH240" s="1"/>
      <c r="CAI240" s="1"/>
      <c r="CAJ240" s="1"/>
      <c r="CAK240" s="1"/>
      <c r="CAL240" s="1"/>
      <c r="CAM240" s="1"/>
      <c r="CAN240" s="1"/>
      <c r="CAO240" s="1"/>
      <c r="CAP240" s="1"/>
      <c r="CAQ240" s="1"/>
      <c r="CAR240" s="1"/>
      <c r="CAS240" s="1"/>
      <c r="CAT240" s="1"/>
      <c r="CAU240" s="1"/>
      <c r="CAV240" s="1"/>
      <c r="CAW240" s="1"/>
      <c r="CAX240" s="1"/>
      <c r="CAY240" s="1"/>
      <c r="CAZ240" s="1"/>
      <c r="CBA240" s="1"/>
      <c r="CBB240" s="1"/>
      <c r="CBC240" s="1"/>
      <c r="CBD240" s="1"/>
      <c r="CBE240" s="1"/>
      <c r="CBF240" s="1"/>
      <c r="CBG240" s="1"/>
      <c r="CBH240" s="1"/>
      <c r="CBI240" s="1"/>
      <c r="CBJ240" s="1"/>
      <c r="CBK240" s="1"/>
      <c r="CBL240" s="1"/>
      <c r="CBM240" s="1"/>
      <c r="CBN240" s="1"/>
      <c r="CBO240" s="1"/>
      <c r="CBP240" s="1"/>
      <c r="CBQ240" s="1"/>
      <c r="CBR240" s="1"/>
      <c r="CBS240" s="1"/>
      <c r="CBT240" s="1"/>
      <c r="CBU240" s="1"/>
      <c r="CBV240" s="1"/>
      <c r="CBW240" s="1"/>
      <c r="CBX240" s="1"/>
      <c r="CBY240" s="1"/>
      <c r="CBZ240" s="1"/>
      <c r="CCA240" s="1"/>
      <c r="CCB240" s="1"/>
      <c r="CCC240" s="1"/>
      <c r="CCD240" s="1"/>
      <c r="CCE240" s="1"/>
      <c r="CCF240" s="1"/>
      <c r="CCG240" s="1"/>
      <c r="CCH240" s="1"/>
      <c r="CCI240" s="1"/>
      <c r="CCJ240" s="1"/>
      <c r="CCK240" s="1"/>
      <c r="CCL240" s="1"/>
      <c r="CCM240" s="1"/>
      <c r="CCN240" s="1"/>
      <c r="CCO240" s="1"/>
      <c r="CCP240" s="1"/>
      <c r="CCQ240" s="1"/>
      <c r="CCR240" s="1"/>
      <c r="CCS240" s="1"/>
      <c r="CCT240" s="1"/>
      <c r="CCU240" s="1"/>
      <c r="CCV240" s="1"/>
      <c r="CCW240" s="1"/>
      <c r="CCX240" s="1"/>
      <c r="CCY240" s="1"/>
      <c r="CCZ240" s="1"/>
      <c r="CDA240" s="1"/>
      <c r="CDB240" s="1"/>
      <c r="CDC240" s="1"/>
      <c r="CDD240" s="1"/>
      <c r="CDE240" s="1"/>
      <c r="CDF240" s="1"/>
      <c r="CDG240" s="1"/>
      <c r="CDH240" s="1"/>
      <c r="CDI240" s="1"/>
      <c r="CDJ240" s="1"/>
      <c r="CDK240" s="1"/>
      <c r="CDL240" s="1"/>
      <c r="CDM240" s="1"/>
      <c r="CDN240" s="1"/>
      <c r="CDO240" s="1"/>
      <c r="CDP240" s="1"/>
      <c r="CDQ240" s="1"/>
      <c r="CDR240" s="1"/>
      <c r="CDS240" s="1"/>
      <c r="CDT240" s="1"/>
      <c r="CDU240" s="1"/>
      <c r="CDV240" s="1"/>
      <c r="CDW240" s="1"/>
      <c r="CDX240" s="1"/>
      <c r="CDY240" s="1"/>
      <c r="CDZ240" s="1"/>
      <c r="CEA240" s="1"/>
      <c r="CEB240" s="1"/>
      <c r="CEC240" s="1"/>
      <c r="CED240" s="1"/>
      <c r="CEE240" s="1"/>
      <c r="CEF240" s="1"/>
      <c r="CEG240" s="1"/>
      <c r="CEH240" s="1"/>
      <c r="CEI240" s="1"/>
      <c r="CEJ240" s="1"/>
      <c r="CEK240" s="1"/>
      <c r="CEL240" s="1"/>
      <c r="CEM240" s="1"/>
      <c r="CEN240" s="1"/>
      <c r="CEO240" s="1"/>
      <c r="CEP240" s="1"/>
      <c r="CEQ240" s="1"/>
      <c r="CER240" s="1"/>
      <c r="CES240" s="1"/>
      <c r="CET240" s="1"/>
      <c r="CEU240" s="1"/>
      <c r="CEV240" s="1"/>
      <c r="CEW240" s="1"/>
      <c r="CEX240" s="1"/>
      <c r="CEY240" s="1"/>
      <c r="CEZ240" s="1"/>
      <c r="CFA240" s="1"/>
      <c r="CFB240" s="1"/>
      <c r="CFC240" s="1"/>
      <c r="CFD240" s="1"/>
      <c r="CFE240" s="1"/>
      <c r="CFF240" s="1"/>
      <c r="CFG240" s="1"/>
      <c r="CFH240" s="1"/>
      <c r="CFI240" s="1"/>
      <c r="CFJ240" s="1"/>
      <c r="CFK240" s="1"/>
      <c r="CFL240" s="1"/>
      <c r="CFM240" s="1"/>
      <c r="CFN240" s="1"/>
      <c r="CFO240" s="1"/>
      <c r="CFP240" s="1"/>
      <c r="CFQ240" s="1"/>
      <c r="CFR240" s="1"/>
      <c r="CFS240" s="1"/>
      <c r="CFT240" s="1"/>
      <c r="CFU240" s="1"/>
      <c r="CFV240" s="1"/>
      <c r="CFW240" s="1"/>
      <c r="CFX240" s="1"/>
      <c r="CFY240" s="1"/>
      <c r="CFZ240" s="1"/>
      <c r="CGA240" s="1"/>
      <c r="CGB240" s="1"/>
      <c r="CGC240" s="1"/>
      <c r="CGD240" s="1"/>
      <c r="CGE240" s="1"/>
      <c r="CGF240" s="1"/>
      <c r="CGG240" s="1"/>
      <c r="CGH240" s="1"/>
      <c r="CGI240" s="1"/>
      <c r="CGJ240" s="1"/>
      <c r="CGK240" s="1"/>
      <c r="CGL240" s="1"/>
      <c r="CGM240" s="1"/>
      <c r="CGN240" s="1"/>
      <c r="CGO240" s="1"/>
      <c r="CGP240" s="1"/>
      <c r="CGQ240" s="1"/>
      <c r="CGR240" s="1"/>
      <c r="CGS240" s="1"/>
      <c r="CGT240" s="1"/>
      <c r="CGU240" s="1"/>
      <c r="CGV240" s="1"/>
      <c r="CGW240" s="1"/>
      <c r="CGX240" s="1"/>
      <c r="CGY240" s="1"/>
      <c r="CGZ240" s="1"/>
      <c r="CHA240" s="1"/>
      <c r="CHB240" s="1"/>
      <c r="CHC240" s="1"/>
      <c r="CHD240" s="1"/>
      <c r="CHE240" s="1"/>
      <c r="CHF240" s="1"/>
      <c r="CHG240" s="1"/>
      <c r="CHH240" s="1"/>
      <c r="CHI240" s="1"/>
      <c r="CHJ240" s="1"/>
      <c r="CHK240" s="1"/>
      <c r="CHL240" s="1"/>
      <c r="CHM240" s="1"/>
      <c r="CHN240" s="1"/>
      <c r="CHO240" s="1"/>
      <c r="CHP240" s="1"/>
      <c r="CHQ240" s="1"/>
      <c r="CHR240" s="1"/>
      <c r="CHS240" s="1"/>
      <c r="CHT240" s="1"/>
      <c r="CHU240" s="1"/>
      <c r="CHV240" s="1"/>
      <c r="CHW240" s="1"/>
      <c r="CHX240" s="1"/>
      <c r="CHY240" s="1"/>
      <c r="CHZ240" s="1"/>
      <c r="CIA240" s="1"/>
      <c r="CIB240" s="1"/>
      <c r="CIC240" s="1"/>
      <c r="CID240" s="1"/>
      <c r="CIE240" s="1"/>
      <c r="CIF240" s="1"/>
      <c r="CIG240" s="1"/>
      <c r="CIH240" s="1"/>
      <c r="CII240" s="1"/>
      <c r="CIJ240" s="1"/>
      <c r="CIK240" s="1"/>
      <c r="CIL240" s="1"/>
      <c r="CIM240" s="1"/>
      <c r="CIN240" s="1"/>
      <c r="CIO240" s="1"/>
      <c r="CIP240" s="1"/>
      <c r="CIQ240" s="1"/>
      <c r="CIR240" s="1"/>
      <c r="CIS240" s="1"/>
      <c r="CIT240" s="1"/>
      <c r="CIU240" s="1"/>
      <c r="CIV240" s="1"/>
      <c r="CIW240" s="1"/>
      <c r="CIX240" s="1"/>
      <c r="CIY240" s="1"/>
      <c r="CIZ240" s="1"/>
      <c r="CJA240" s="1"/>
      <c r="CJB240" s="1"/>
      <c r="CJC240" s="1"/>
      <c r="CJD240" s="1"/>
      <c r="CJE240" s="1"/>
      <c r="CJF240" s="1"/>
      <c r="CJG240" s="1"/>
      <c r="CJH240" s="1"/>
      <c r="CJI240" s="1"/>
      <c r="CJJ240" s="1"/>
      <c r="CJK240" s="1"/>
      <c r="CJL240" s="1"/>
      <c r="CJM240" s="1"/>
      <c r="CJN240" s="1"/>
      <c r="CJO240" s="1"/>
      <c r="CJP240" s="1"/>
      <c r="CJQ240" s="1"/>
      <c r="CJR240" s="1"/>
      <c r="CJS240" s="1"/>
      <c r="CJT240" s="1"/>
      <c r="CJU240" s="1"/>
      <c r="CJV240" s="1"/>
      <c r="CJW240" s="1"/>
      <c r="CJX240" s="1"/>
      <c r="CJY240" s="1"/>
      <c r="CJZ240" s="1"/>
      <c r="CKA240" s="1"/>
      <c r="CKB240" s="1"/>
      <c r="CKC240" s="1"/>
      <c r="CKD240" s="1"/>
      <c r="CKE240" s="1"/>
      <c r="CKF240" s="1"/>
      <c r="CKG240" s="1"/>
      <c r="CKH240" s="1"/>
      <c r="CKI240" s="1"/>
      <c r="CKJ240" s="1"/>
      <c r="CKK240" s="1"/>
      <c r="CKL240" s="1"/>
      <c r="CKM240" s="1"/>
      <c r="CKN240" s="1"/>
      <c r="CKO240" s="1"/>
      <c r="CKP240" s="1"/>
      <c r="CKQ240" s="1"/>
      <c r="CKR240" s="1"/>
      <c r="CKS240" s="1"/>
      <c r="CKT240" s="1"/>
      <c r="CKU240" s="1"/>
      <c r="CKV240" s="1"/>
      <c r="CKW240" s="1"/>
      <c r="CKX240" s="1"/>
      <c r="CKY240" s="1"/>
      <c r="CKZ240" s="1"/>
      <c r="CLA240" s="1"/>
      <c r="CLB240" s="1"/>
      <c r="CLC240" s="1"/>
      <c r="CLD240" s="1"/>
      <c r="CLE240" s="1"/>
      <c r="CLF240" s="1"/>
      <c r="CLG240" s="1"/>
      <c r="CLH240" s="1"/>
      <c r="CLI240" s="1"/>
      <c r="CLJ240" s="1"/>
      <c r="CLK240" s="1"/>
      <c r="CLL240" s="1"/>
      <c r="CLM240" s="1"/>
      <c r="CLN240" s="1"/>
      <c r="CLO240" s="1"/>
      <c r="CLP240" s="1"/>
      <c r="CLQ240" s="1"/>
      <c r="CLR240" s="1"/>
      <c r="CLS240" s="1"/>
      <c r="CLT240" s="1"/>
      <c r="CLU240" s="1"/>
      <c r="CLV240" s="1"/>
      <c r="CLW240" s="1"/>
      <c r="CLX240" s="1"/>
      <c r="CLY240" s="1"/>
      <c r="CLZ240" s="1"/>
      <c r="CMA240" s="1"/>
      <c r="CMB240" s="1"/>
      <c r="CMC240" s="1"/>
      <c r="CMD240" s="1"/>
      <c r="CME240" s="1"/>
      <c r="CMF240" s="1"/>
      <c r="CMG240" s="1"/>
      <c r="CMH240" s="1"/>
      <c r="CMI240" s="1"/>
      <c r="CMJ240" s="1"/>
      <c r="CMK240" s="1"/>
      <c r="CML240" s="1"/>
      <c r="CMM240" s="1"/>
      <c r="CMN240" s="1"/>
      <c r="CMO240" s="1"/>
      <c r="CMP240" s="1"/>
      <c r="CMQ240" s="1"/>
      <c r="CMR240" s="1"/>
      <c r="CMS240" s="1"/>
      <c r="CMT240" s="1"/>
      <c r="CMU240" s="1"/>
      <c r="CMV240" s="1"/>
      <c r="CMW240" s="1"/>
      <c r="CMX240" s="1"/>
      <c r="CMY240" s="1"/>
      <c r="CMZ240" s="1"/>
      <c r="CNA240" s="1"/>
      <c r="CNB240" s="1"/>
      <c r="CNC240" s="1"/>
      <c r="CND240" s="1"/>
      <c r="CNE240" s="1"/>
      <c r="CNF240" s="1"/>
      <c r="CNG240" s="1"/>
      <c r="CNH240" s="1"/>
      <c r="CNI240" s="1"/>
      <c r="CNJ240" s="1"/>
      <c r="CNK240" s="1"/>
      <c r="CNL240" s="1"/>
      <c r="CNM240" s="1"/>
      <c r="CNN240" s="1"/>
      <c r="CNO240" s="1"/>
      <c r="CNP240" s="1"/>
      <c r="CNQ240" s="1"/>
      <c r="CNR240" s="1"/>
      <c r="CNS240" s="1"/>
      <c r="CNT240" s="1"/>
      <c r="CNU240" s="1"/>
      <c r="CNV240" s="1"/>
      <c r="CNW240" s="1"/>
      <c r="CNX240" s="1"/>
      <c r="CNY240" s="1"/>
      <c r="CNZ240" s="1"/>
      <c r="COA240" s="1"/>
      <c r="COB240" s="1"/>
      <c r="COC240" s="1"/>
      <c r="COD240" s="1"/>
      <c r="COE240" s="1"/>
      <c r="COF240" s="1"/>
      <c r="COG240" s="1"/>
      <c r="COH240" s="1"/>
      <c r="COI240" s="1"/>
      <c r="COJ240" s="1"/>
      <c r="COK240" s="1"/>
      <c r="COL240" s="1"/>
      <c r="COM240" s="1"/>
      <c r="CON240" s="1"/>
      <c r="COO240" s="1"/>
      <c r="COP240" s="1"/>
      <c r="COQ240" s="1"/>
      <c r="COR240" s="1"/>
      <c r="COS240" s="1"/>
      <c r="COT240" s="1"/>
      <c r="COU240" s="1"/>
      <c r="COV240" s="1"/>
      <c r="COW240" s="1"/>
      <c r="COX240" s="1"/>
      <c r="COY240" s="1"/>
      <c r="COZ240" s="1"/>
      <c r="CPA240" s="1"/>
      <c r="CPB240" s="1"/>
      <c r="CPC240" s="1"/>
      <c r="CPD240" s="1"/>
      <c r="CPE240" s="1"/>
      <c r="CPF240" s="1"/>
      <c r="CPG240" s="1"/>
      <c r="CPH240" s="1"/>
      <c r="CPI240" s="1"/>
      <c r="CPJ240" s="1"/>
      <c r="CPK240" s="1"/>
      <c r="CPL240" s="1"/>
      <c r="CPM240" s="1"/>
      <c r="CPN240" s="1"/>
      <c r="CPO240" s="1"/>
      <c r="CPP240" s="1"/>
      <c r="CPQ240" s="1"/>
      <c r="CPR240" s="1"/>
      <c r="CPS240" s="1"/>
      <c r="CPT240" s="1"/>
      <c r="CPU240" s="1"/>
      <c r="CPV240" s="1"/>
      <c r="CPW240" s="1"/>
      <c r="CPX240" s="1"/>
      <c r="CPY240" s="1"/>
      <c r="CPZ240" s="1"/>
      <c r="CQA240" s="1"/>
      <c r="CQB240" s="1"/>
      <c r="CQC240" s="1"/>
      <c r="CQD240" s="1"/>
      <c r="CQE240" s="1"/>
      <c r="CQF240" s="1"/>
      <c r="CQG240" s="1"/>
      <c r="CQH240" s="1"/>
      <c r="CQI240" s="1"/>
      <c r="CQJ240" s="1"/>
      <c r="CQK240" s="1"/>
      <c r="CQL240" s="1"/>
      <c r="CQM240" s="1"/>
      <c r="CQN240" s="1"/>
      <c r="CQO240" s="1"/>
      <c r="CQP240" s="1"/>
      <c r="CQQ240" s="1"/>
      <c r="CQR240" s="1"/>
      <c r="CQS240" s="1"/>
      <c r="CQT240" s="1"/>
      <c r="CQU240" s="1"/>
      <c r="CQV240" s="1"/>
      <c r="CQW240" s="1"/>
      <c r="CQX240" s="1"/>
      <c r="CQY240" s="1"/>
      <c r="CQZ240" s="1"/>
      <c r="CRA240" s="1"/>
      <c r="CRB240" s="1"/>
      <c r="CRC240" s="1"/>
      <c r="CRD240" s="1"/>
      <c r="CRE240" s="1"/>
      <c r="CRF240" s="1"/>
      <c r="CRG240" s="1"/>
      <c r="CRH240" s="1"/>
      <c r="CRI240" s="1"/>
      <c r="CRJ240" s="1"/>
      <c r="CRK240" s="1"/>
      <c r="CRL240" s="1"/>
      <c r="CRM240" s="1"/>
      <c r="CRN240" s="1"/>
      <c r="CRO240" s="1"/>
      <c r="CRP240" s="1"/>
      <c r="CRQ240" s="1"/>
      <c r="CRR240" s="1"/>
      <c r="CRS240" s="1"/>
      <c r="CRT240" s="1"/>
      <c r="CRU240" s="1"/>
      <c r="CRV240" s="1"/>
      <c r="CRW240" s="1"/>
      <c r="CRX240" s="1"/>
      <c r="CRY240" s="1"/>
      <c r="CRZ240" s="1"/>
      <c r="CSA240" s="1"/>
      <c r="CSB240" s="1"/>
      <c r="CSC240" s="1"/>
      <c r="CSD240" s="1"/>
      <c r="CSE240" s="1"/>
      <c r="CSF240" s="1"/>
      <c r="CSG240" s="1"/>
      <c r="CSH240" s="1"/>
      <c r="CSI240" s="1"/>
      <c r="CSJ240" s="1"/>
      <c r="CSK240" s="1"/>
      <c r="CSL240" s="1"/>
      <c r="CSM240" s="1"/>
      <c r="CSN240" s="1"/>
      <c r="CSO240" s="1"/>
      <c r="CSP240" s="1"/>
      <c r="CSQ240" s="1"/>
      <c r="CSR240" s="1"/>
      <c r="CSS240" s="1"/>
      <c r="CST240" s="1"/>
      <c r="CSU240" s="1"/>
      <c r="CSV240" s="1"/>
      <c r="CSW240" s="1"/>
      <c r="CSX240" s="1"/>
      <c r="CSY240" s="1"/>
      <c r="CSZ240" s="1"/>
      <c r="CTA240" s="1"/>
      <c r="CTB240" s="1"/>
      <c r="CTC240" s="1"/>
      <c r="CTD240" s="1"/>
      <c r="CTE240" s="1"/>
      <c r="CTF240" s="1"/>
      <c r="CTG240" s="1"/>
      <c r="CTH240" s="1"/>
      <c r="CTI240" s="1"/>
      <c r="CTJ240" s="1"/>
      <c r="CTK240" s="1"/>
      <c r="CTL240" s="1"/>
      <c r="CTM240" s="1"/>
      <c r="CTN240" s="1"/>
      <c r="CTO240" s="1"/>
      <c r="CTP240" s="1"/>
      <c r="CTQ240" s="1"/>
      <c r="CTR240" s="1"/>
      <c r="CTS240" s="1"/>
      <c r="CTT240" s="1"/>
      <c r="CTU240" s="1"/>
      <c r="CTV240" s="1"/>
      <c r="CTW240" s="1"/>
      <c r="CTX240" s="1"/>
      <c r="CTY240" s="1"/>
      <c r="CTZ240" s="1"/>
      <c r="CUA240" s="1"/>
      <c r="CUB240" s="1"/>
      <c r="CUC240" s="1"/>
      <c r="CUD240" s="1"/>
      <c r="CUE240" s="1"/>
      <c r="CUF240" s="1"/>
      <c r="CUG240" s="1"/>
      <c r="CUH240" s="1"/>
      <c r="CUI240" s="1"/>
      <c r="CUJ240" s="1"/>
      <c r="CUK240" s="1"/>
      <c r="CUL240" s="1"/>
      <c r="CUM240" s="1"/>
      <c r="CUN240" s="1"/>
      <c r="CUO240" s="1"/>
      <c r="CUP240" s="1"/>
      <c r="CUQ240" s="1"/>
      <c r="CUR240" s="1"/>
      <c r="CUS240" s="1"/>
      <c r="CUT240" s="1"/>
      <c r="CUU240" s="1"/>
      <c r="CUV240" s="1"/>
      <c r="CUW240" s="1"/>
      <c r="CUX240" s="1"/>
      <c r="CUY240" s="1"/>
      <c r="CUZ240" s="1"/>
      <c r="CVA240" s="1"/>
      <c r="CVB240" s="1"/>
      <c r="CVC240" s="1"/>
      <c r="CVD240" s="1"/>
      <c r="CVE240" s="1"/>
      <c r="CVF240" s="1"/>
      <c r="CVG240" s="1"/>
      <c r="CVH240" s="1"/>
      <c r="CVI240" s="1"/>
      <c r="CVJ240" s="1"/>
      <c r="CVK240" s="1"/>
      <c r="CVL240" s="1"/>
      <c r="CVM240" s="1"/>
      <c r="CVN240" s="1"/>
      <c r="CVO240" s="1"/>
      <c r="CVP240" s="1"/>
      <c r="CVQ240" s="1"/>
      <c r="CVR240" s="1"/>
      <c r="CVS240" s="1"/>
      <c r="CVT240" s="1"/>
      <c r="CVU240" s="1"/>
      <c r="CVV240" s="1"/>
      <c r="CVW240" s="1"/>
      <c r="CVX240" s="1"/>
      <c r="CVY240" s="1"/>
      <c r="CVZ240" s="1"/>
      <c r="CWA240" s="1"/>
      <c r="CWB240" s="1"/>
      <c r="CWC240" s="1"/>
      <c r="CWD240" s="1"/>
      <c r="CWE240" s="1"/>
      <c r="CWF240" s="1"/>
      <c r="CWG240" s="1"/>
      <c r="CWH240" s="1"/>
      <c r="CWI240" s="1"/>
      <c r="CWJ240" s="1"/>
      <c r="CWK240" s="1"/>
      <c r="CWL240" s="1"/>
      <c r="CWM240" s="1"/>
      <c r="CWN240" s="1"/>
      <c r="CWO240" s="1"/>
      <c r="CWP240" s="1"/>
      <c r="CWQ240" s="1"/>
      <c r="CWR240" s="1"/>
      <c r="CWS240" s="1"/>
      <c r="CWT240" s="1"/>
      <c r="CWU240" s="1"/>
      <c r="CWV240" s="1"/>
      <c r="CWW240" s="1"/>
      <c r="CWX240" s="1"/>
      <c r="CWY240" s="1"/>
      <c r="CWZ240" s="1"/>
      <c r="CXA240" s="1"/>
      <c r="CXB240" s="1"/>
      <c r="CXC240" s="1"/>
      <c r="CXD240" s="1"/>
      <c r="CXE240" s="1"/>
      <c r="CXF240" s="1"/>
      <c r="CXG240" s="1"/>
      <c r="CXH240" s="1"/>
      <c r="CXI240" s="1"/>
      <c r="CXJ240" s="1"/>
      <c r="CXK240" s="1"/>
      <c r="CXL240" s="1"/>
      <c r="CXM240" s="1"/>
      <c r="CXN240" s="1"/>
      <c r="CXO240" s="1"/>
      <c r="CXP240" s="1"/>
      <c r="CXQ240" s="1"/>
      <c r="CXR240" s="1"/>
      <c r="CXS240" s="1"/>
      <c r="CXT240" s="1"/>
      <c r="CXU240" s="1"/>
      <c r="CXV240" s="1"/>
      <c r="CXW240" s="1"/>
      <c r="CXX240" s="1"/>
      <c r="CXY240" s="1"/>
      <c r="CXZ240" s="1"/>
      <c r="CYA240" s="1"/>
      <c r="CYB240" s="1"/>
      <c r="CYC240" s="1"/>
      <c r="CYD240" s="1"/>
      <c r="CYE240" s="1"/>
      <c r="CYF240" s="1"/>
      <c r="CYG240" s="1"/>
      <c r="CYH240" s="1"/>
      <c r="CYI240" s="1"/>
      <c r="CYJ240" s="1"/>
      <c r="CYK240" s="1"/>
      <c r="CYL240" s="1"/>
      <c r="CYM240" s="1"/>
      <c r="CYN240" s="1"/>
      <c r="CYO240" s="1"/>
      <c r="CYP240" s="1"/>
      <c r="CYQ240" s="1"/>
      <c r="CYR240" s="1"/>
      <c r="CYS240" s="1"/>
      <c r="CYT240" s="1"/>
      <c r="CYU240" s="1"/>
      <c r="CYV240" s="1"/>
      <c r="CYW240" s="1"/>
      <c r="CYX240" s="1"/>
      <c r="CYY240" s="1"/>
      <c r="CYZ240" s="1"/>
      <c r="CZA240" s="1"/>
      <c r="CZB240" s="1"/>
      <c r="CZC240" s="1"/>
      <c r="CZD240" s="1"/>
      <c r="CZE240" s="1"/>
      <c r="CZF240" s="1"/>
      <c r="CZG240" s="1"/>
      <c r="CZH240" s="1"/>
      <c r="CZI240" s="1"/>
      <c r="CZJ240" s="1"/>
      <c r="CZK240" s="1"/>
      <c r="CZL240" s="1"/>
      <c r="CZM240" s="1"/>
      <c r="CZN240" s="1"/>
      <c r="CZO240" s="1"/>
      <c r="CZP240" s="1"/>
      <c r="CZQ240" s="1"/>
      <c r="CZR240" s="1"/>
      <c r="CZS240" s="1"/>
      <c r="CZT240" s="1"/>
      <c r="CZU240" s="1"/>
      <c r="CZV240" s="1"/>
      <c r="CZW240" s="1"/>
      <c r="CZX240" s="1"/>
      <c r="CZY240" s="1"/>
      <c r="CZZ240" s="1"/>
      <c r="DAA240" s="1"/>
      <c r="DAB240" s="1"/>
      <c r="DAC240" s="1"/>
      <c r="DAD240" s="1"/>
      <c r="DAE240" s="1"/>
      <c r="DAF240" s="1"/>
      <c r="DAG240" s="1"/>
      <c r="DAH240" s="1"/>
      <c r="DAI240" s="1"/>
      <c r="DAJ240" s="1"/>
      <c r="DAK240" s="1"/>
      <c r="DAL240" s="1"/>
      <c r="DAM240" s="1"/>
      <c r="DAN240" s="1"/>
      <c r="DAO240" s="1"/>
      <c r="DAP240" s="1"/>
      <c r="DAQ240" s="1"/>
      <c r="DAR240" s="1"/>
      <c r="DAS240" s="1"/>
      <c r="DAT240" s="1"/>
      <c r="DAU240" s="1"/>
      <c r="DAV240" s="1"/>
      <c r="DAW240" s="1"/>
      <c r="DAX240" s="1"/>
      <c r="DAY240" s="1"/>
      <c r="DAZ240" s="1"/>
      <c r="DBA240" s="1"/>
      <c r="DBB240" s="1"/>
      <c r="DBC240" s="1"/>
      <c r="DBD240" s="1"/>
      <c r="DBE240" s="1"/>
      <c r="DBF240" s="1"/>
      <c r="DBG240" s="1"/>
      <c r="DBH240" s="1"/>
      <c r="DBI240" s="1"/>
      <c r="DBJ240" s="1"/>
      <c r="DBK240" s="1"/>
      <c r="DBL240" s="1"/>
      <c r="DBM240" s="1"/>
      <c r="DBN240" s="1"/>
      <c r="DBO240" s="1"/>
      <c r="DBP240" s="1"/>
      <c r="DBQ240" s="1"/>
      <c r="DBR240" s="1"/>
      <c r="DBS240" s="1"/>
      <c r="DBT240" s="1"/>
      <c r="DBU240" s="1"/>
      <c r="DBV240" s="1"/>
      <c r="DBW240" s="1"/>
      <c r="DBX240" s="1"/>
      <c r="DBY240" s="1"/>
      <c r="DBZ240" s="1"/>
      <c r="DCA240" s="1"/>
      <c r="DCB240" s="1"/>
      <c r="DCC240" s="1"/>
      <c r="DCD240" s="1"/>
      <c r="DCE240" s="1"/>
      <c r="DCF240" s="1"/>
      <c r="DCG240" s="1"/>
      <c r="DCH240" s="1"/>
      <c r="DCI240" s="1"/>
      <c r="DCJ240" s="1"/>
      <c r="DCK240" s="1"/>
      <c r="DCL240" s="1"/>
      <c r="DCM240" s="1"/>
      <c r="DCN240" s="1"/>
      <c r="DCO240" s="1"/>
      <c r="DCP240" s="1"/>
      <c r="DCQ240" s="1"/>
      <c r="DCR240" s="1"/>
      <c r="DCS240" s="1"/>
      <c r="DCT240" s="1"/>
      <c r="DCU240" s="1"/>
      <c r="DCV240" s="1"/>
      <c r="DCW240" s="1"/>
      <c r="DCX240" s="1"/>
      <c r="DCY240" s="1"/>
      <c r="DCZ240" s="1"/>
      <c r="DDA240" s="1"/>
      <c r="DDB240" s="1"/>
      <c r="DDC240" s="1"/>
      <c r="DDD240" s="1"/>
      <c r="DDE240" s="1"/>
      <c r="DDF240" s="1"/>
      <c r="DDG240" s="1"/>
      <c r="DDH240" s="1"/>
      <c r="DDI240" s="1"/>
      <c r="DDJ240" s="1"/>
      <c r="DDK240" s="1"/>
      <c r="DDL240" s="1"/>
      <c r="DDM240" s="1"/>
      <c r="DDN240" s="1"/>
      <c r="DDO240" s="1"/>
      <c r="DDP240" s="1"/>
      <c r="DDQ240" s="1"/>
      <c r="DDR240" s="1"/>
      <c r="DDS240" s="1"/>
      <c r="DDT240" s="1"/>
      <c r="DDU240" s="1"/>
      <c r="DDV240" s="1"/>
      <c r="DDW240" s="1"/>
      <c r="DDX240" s="1"/>
      <c r="DDY240" s="1"/>
      <c r="DDZ240" s="1"/>
      <c r="DEA240" s="1"/>
      <c r="DEB240" s="1"/>
      <c r="DEC240" s="1"/>
      <c r="DED240" s="1"/>
      <c r="DEE240" s="1"/>
      <c r="DEF240" s="1"/>
      <c r="DEG240" s="1"/>
      <c r="DEH240" s="1"/>
      <c r="DEI240" s="1"/>
      <c r="DEJ240" s="1"/>
      <c r="DEK240" s="1"/>
      <c r="DEL240" s="1"/>
      <c r="DEM240" s="1"/>
      <c r="DEN240" s="1"/>
      <c r="DEO240" s="1"/>
      <c r="DEP240" s="1"/>
      <c r="DEQ240" s="1"/>
      <c r="DER240" s="1"/>
      <c r="DES240" s="1"/>
      <c r="DET240" s="1"/>
      <c r="DEU240" s="1"/>
      <c r="DEV240" s="1"/>
      <c r="DEW240" s="1"/>
      <c r="DEX240" s="1"/>
      <c r="DEY240" s="1"/>
      <c r="DEZ240" s="1"/>
      <c r="DFA240" s="1"/>
      <c r="DFB240" s="1"/>
      <c r="DFC240" s="1"/>
      <c r="DFD240" s="1"/>
      <c r="DFE240" s="1"/>
      <c r="DFF240" s="1"/>
      <c r="DFG240" s="1"/>
      <c r="DFH240" s="1"/>
      <c r="DFI240" s="1"/>
      <c r="DFJ240" s="1"/>
      <c r="DFK240" s="1"/>
      <c r="DFL240" s="1"/>
      <c r="DFM240" s="1"/>
      <c r="DFN240" s="1"/>
      <c r="DFO240" s="1"/>
      <c r="DFP240" s="1"/>
      <c r="DFQ240" s="1"/>
      <c r="DFR240" s="1"/>
      <c r="DFS240" s="1"/>
      <c r="DFT240" s="1"/>
      <c r="DFU240" s="1"/>
      <c r="DFV240" s="1"/>
      <c r="DFW240" s="1"/>
      <c r="DFX240" s="1"/>
      <c r="DFY240" s="1"/>
      <c r="DFZ240" s="1"/>
      <c r="DGA240" s="1"/>
      <c r="DGB240" s="1"/>
      <c r="DGC240" s="1"/>
      <c r="DGD240" s="1"/>
      <c r="DGE240" s="1"/>
      <c r="DGF240" s="1"/>
      <c r="DGG240" s="1"/>
      <c r="DGH240" s="1"/>
      <c r="DGI240" s="1"/>
      <c r="DGJ240" s="1"/>
      <c r="DGK240" s="1"/>
      <c r="DGL240" s="1"/>
      <c r="DGM240" s="1"/>
      <c r="DGN240" s="1"/>
      <c r="DGO240" s="1"/>
      <c r="DGP240" s="1"/>
      <c r="DGQ240" s="1"/>
      <c r="DGR240" s="1"/>
      <c r="DGS240" s="1"/>
      <c r="DGT240" s="1"/>
      <c r="DGU240" s="1"/>
      <c r="DGV240" s="1"/>
      <c r="DGW240" s="1"/>
      <c r="DGX240" s="1"/>
      <c r="DGY240" s="1"/>
      <c r="DGZ240" s="1"/>
      <c r="DHA240" s="1"/>
      <c r="DHB240" s="1"/>
      <c r="DHC240" s="1"/>
      <c r="DHD240" s="1"/>
      <c r="DHE240" s="1"/>
      <c r="DHF240" s="1"/>
      <c r="DHG240" s="1"/>
      <c r="DHH240" s="1"/>
      <c r="DHI240" s="1"/>
      <c r="DHJ240" s="1"/>
      <c r="DHK240" s="1"/>
      <c r="DHL240" s="1"/>
      <c r="DHM240" s="1"/>
      <c r="DHN240" s="1"/>
      <c r="DHO240" s="1"/>
      <c r="DHP240" s="1"/>
      <c r="DHQ240" s="1"/>
      <c r="DHR240" s="1"/>
      <c r="DHS240" s="1"/>
      <c r="DHT240" s="1"/>
      <c r="DHU240" s="1"/>
      <c r="DHV240" s="1"/>
      <c r="DHW240" s="1"/>
      <c r="DHX240" s="1"/>
      <c r="DHY240" s="1"/>
      <c r="DHZ240" s="1"/>
      <c r="DIA240" s="1"/>
      <c r="DIB240" s="1"/>
      <c r="DIC240" s="1"/>
      <c r="DID240" s="1"/>
      <c r="DIE240" s="1"/>
      <c r="DIF240" s="1"/>
      <c r="DIG240" s="1"/>
      <c r="DIH240" s="1"/>
      <c r="DII240" s="1"/>
      <c r="DIJ240" s="1"/>
      <c r="DIK240" s="1"/>
      <c r="DIL240" s="1"/>
      <c r="DIM240" s="1"/>
      <c r="DIN240" s="1"/>
      <c r="DIO240" s="1"/>
      <c r="DIP240" s="1"/>
      <c r="DIQ240" s="1"/>
      <c r="DIR240" s="1"/>
      <c r="DIS240" s="1"/>
      <c r="DIT240" s="1"/>
      <c r="DIU240" s="1"/>
      <c r="DIV240" s="1"/>
      <c r="DIW240" s="1"/>
      <c r="DIX240" s="1"/>
      <c r="DIY240" s="1"/>
      <c r="DIZ240" s="1"/>
      <c r="DJA240" s="1"/>
      <c r="DJB240" s="1"/>
      <c r="DJC240" s="1"/>
      <c r="DJD240" s="1"/>
      <c r="DJE240" s="1"/>
      <c r="DJF240" s="1"/>
      <c r="DJG240" s="1"/>
      <c r="DJH240" s="1"/>
      <c r="DJI240" s="1"/>
      <c r="DJJ240" s="1"/>
      <c r="DJK240" s="1"/>
      <c r="DJL240" s="1"/>
      <c r="DJM240" s="1"/>
      <c r="DJN240" s="1"/>
      <c r="DJO240" s="1"/>
      <c r="DJP240" s="1"/>
      <c r="DJQ240" s="1"/>
      <c r="DJR240" s="1"/>
      <c r="DJS240" s="1"/>
      <c r="DJT240" s="1"/>
      <c r="DJU240" s="1"/>
      <c r="DJV240" s="1"/>
      <c r="DJW240" s="1"/>
      <c r="DJX240" s="1"/>
      <c r="DJY240" s="1"/>
      <c r="DJZ240" s="1"/>
      <c r="DKA240" s="1"/>
      <c r="DKB240" s="1"/>
      <c r="DKC240" s="1"/>
      <c r="DKD240" s="1"/>
      <c r="DKE240" s="1"/>
      <c r="DKF240" s="1"/>
      <c r="DKG240" s="1"/>
      <c r="DKH240" s="1"/>
      <c r="DKI240" s="1"/>
      <c r="DKJ240" s="1"/>
      <c r="DKK240" s="1"/>
      <c r="DKL240" s="1"/>
      <c r="DKM240" s="1"/>
      <c r="DKN240" s="1"/>
      <c r="DKO240" s="1"/>
      <c r="DKP240" s="1"/>
      <c r="DKQ240" s="1"/>
      <c r="DKR240" s="1"/>
      <c r="DKS240" s="1"/>
      <c r="DKT240" s="1"/>
      <c r="DKU240" s="1"/>
      <c r="DKV240" s="1"/>
      <c r="DKW240" s="1"/>
      <c r="DKX240" s="1"/>
      <c r="DKY240" s="1"/>
      <c r="DKZ240" s="1"/>
      <c r="DLA240" s="1"/>
      <c r="DLB240" s="1"/>
      <c r="DLC240" s="1"/>
      <c r="DLD240" s="1"/>
      <c r="DLE240" s="1"/>
      <c r="DLF240" s="1"/>
      <c r="DLG240" s="1"/>
      <c r="DLH240" s="1"/>
      <c r="DLI240" s="1"/>
      <c r="DLJ240" s="1"/>
      <c r="DLK240" s="1"/>
      <c r="DLL240" s="1"/>
      <c r="DLM240" s="1"/>
      <c r="DLN240" s="1"/>
      <c r="DLO240" s="1"/>
      <c r="DLP240" s="1"/>
      <c r="DLQ240" s="1"/>
      <c r="DLR240" s="1"/>
      <c r="DLS240" s="1"/>
      <c r="DLT240" s="1"/>
      <c r="DLU240" s="1"/>
      <c r="DLV240" s="1"/>
      <c r="DLW240" s="1"/>
      <c r="DLX240" s="1"/>
      <c r="DLY240" s="1"/>
      <c r="DLZ240" s="1"/>
      <c r="DMA240" s="1"/>
      <c r="DMB240" s="1"/>
      <c r="DMC240" s="1"/>
      <c r="DMD240" s="1"/>
      <c r="DME240" s="1"/>
      <c r="DMF240" s="1"/>
      <c r="DMG240" s="1"/>
      <c r="DMH240" s="1"/>
      <c r="DMI240" s="1"/>
      <c r="DMJ240" s="1"/>
      <c r="DMK240" s="1"/>
      <c r="DML240" s="1"/>
      <c r="DMM240" s="1"/>
      <c r="DMN240" s="1"/>
      <c r="DMO240" s="1"/>
      <c r="DMP240" s="1"/>
      <c r="DMQ240" s="1"/>
      <c r="DMR240" s="1"/>
      <c r="DMS240" s="1"/>
      <c r="DMT240" s="1"/>
      <c r="DMU240" s="1"/>
      <c r="DMV240" s="1"/>
      <c r="DMW240" s="1"/>
      <c r="DMX240" s="1"/>
      <c r="DMY240" s="1"/>
      <c r="DMZ240" s="1"/>
      <c r="DNA240" s="1"/>
      <c r="DNB240" s="1"/>
      <c r="DNC240" s="1"/>
      <c r="DND240" s="1"/>
      <c r="DNE240" s="1"/>
      <c r="DNF240" s="1"/>
      <c r="DNG240" s="1"/>
      <c r="DNH240" s="1"/>
      <c r="DNI240" s="1"/>
      <c r="DNJ240" s="1"/>
      <c r="DNK240" s="1"/>
      <c r="DNL240" s="1"/>
      <c r="DNM240" s="1"/>
      <c r="DNN240" s="1"/>
      <c r="DNO240" s="1"/>
      <c r="DNP240" s="1"/>
      <c r="DNQ240" s="1"/>
      <c r="DNR240" s="1"/>
      <c r="DNS240" s="1"/>
      <c r="DNT240" s="1"/>
      <c r="DNU240" s="1"/>
      <c r="DNV240" s="1"/>
      <c r="DNW240" s="1"/>
      <c r="DNX240" s="1"/>
      <c r="DNY240" s="1"/>
      <c r="DNZ240" s="1"/>
      <c r="DOA240" s="1"/>
      <c r="DOB240" s="1"/>
      <c r="DOC240" s="1"/>
      <c r="DOD240" s="1"/>
      <c r="DOE240" s="1"/>
      <c r="DOF240" s="1"/>
      <c r="DOG240" s="1"/>
      <c r="DOH240" s="1"/>
      <c r="DOI240" s="1"/>
      <c r="DOJ240" s="1"/>
      <c r="DOK240" s="1"/>
      <c r="DOL240" s="1"/>
      <c r="DOM240" s="1"/>
      <c r="DON240" s="1"/>
      <c r="DOO240" s="1"/>
      <c r="DOP240" s="1"/>
      <c r="DOQ240" s="1"/>
      <c r="DOR240" s="1"/>
      <c r="DOS240" s="1"/>
      <c r="DOT240" s="1"/>
      <c r="DOU240" s="1"/>
      <c r="DOV240" s="1"/>
      <c r="DOW240" s="1"/>
      <c r="DOX240" s="1"/>
      <c r="DOY240" s="1"/>
      <c r="DOZ240" s="1"/>
      <c r="DPA240" s="1"/>
      <c r="DPB240" s="1"/>
      <c r="DPC240" s="1"/>
      <c r="DPD240" s="1"/>
      <c r="DPE240" s="1"/>
      <c r="DPF240" s="1"/>
      <c r="DPG240" s="1"/>
      <c r="DPH240" s="1"/>
      <c r="DPI240" s="1"/>
      <c r="DPJ240" s="1"/>
      <c r="DPK240" s="1"/>
      <c r="DPL240" s="1"/>
      <c r="DPM240" s="1"/>
      <c r="DPN240" s="1"/>
      <c r="DPO240" s="1"/>
      <c r="DPP240" s="1"/>
      <c r="DPQ240" s="1"/>
      <c r="DPR240" s="1"/>
      <c r="DPS240" s="1"/>
      <c r="DPT240" s="1"/>
      <c r="DPU240" s="1"/>
      <c r="DPV240" s="1"/>
      <c r="DPW240" s="1"/>
      <c r="DPX240" s="1"/>
      <c r="DPY240" s="1"/>
      <c r="DPZ240" s="1"/>
      <c r="DQA240" s="1"/>
      <c r="DQB240" s="1"/>
      <c r="DQC240" s="1"/>
      <c r="DQD240" s="1"/>
      <c r="DQE240" s="1"/>
      <c r="DQF240" s="1"/>
      <c r="DQG240" s="1"/>
      <c r="DQH240" s="1"/>
      <c r="DQI240" s="1"/>
      <c r="DQJ240" s="1"/>
      <c r="DQK240" s="1"/>
      <c r="DQL240" s="1"/>
      <c r="DQM240" s="1"/>
      <c r="DQN240" s="1"/>
      <c r="DQO240" s="1"/>
      <c r="DQP240" s="1"/>
      <c r="DQQ240" s="1"/>
      <c r="DQR240" s="1"/>
      <c r="DQS240" s="1"/>
      <c r="DQT240" s="1"/>
      <c r="DQU240" s="1"/>
      <c r="DQV240" s="1"/>
      <c r="DQW240" s="1"/>
      <c r="DQX240" s="1"/>
      <c r="DQY240" s="1"/>
      <c r="DQZ240" s="1"/>
      <c r="DRA240" s="1"/>
      <c r="DRB240" s="1"/>
      <c r="DRC240" s="1"/>
      <c r="DRD240" s="1"/>
      <c r="DRE240" s="1"/>
      <c r="DRF240" s="1"/>
      <c r="DRG240" s="1"/>
      <c r="DRH240" s="1"/>
      <c r="DRI240" s="1"/>
      <c r="DRJ240" s="1"/>
      <c r="DRK240" s="1"/>
      <c r="DRL240" s="1"/>
      <c r="DRM240" s="1"/>
      <c r="DRN240" s="1"/>
      <c r="DRO240" s="1"/>
      <c r="DRP240" s="1"/>
      <c r="DRQ240" s="1"/>
      <c r="DRR240" s="1"/>
      <c r="DRS240" s="1"/>
      <c r="DRT240" s="1"/>
      <c r="DRU240" s="1"/>
      <c r="DRV240" s="1"/>
      <c r="DRW240" s="1"/>
      <c r="DRX240" s="1"/>
      <c r="DRY240" s="1"/>
      <c r="DRZ240" s="1"/>
      <c r="DSA240" s="1"/>
      <c r="DSB240" s="1"/>
      <c r="DSC240" s="1"/>
      <c r="DSD240" s="1"/>
      <c r="DSE240" s="1"/>
      <c r="DSF240" s="1"/>
      <c r="DSG240" s="1"/>
      <c r="DSH240" s="1"/>
      <c r="DSI240" s="1"/>
      <c r="DSJ240" s="1"/>
      <c r="DSK240" s="1"/>
      <c r="DSL240" s="1"/>
      <c r="DSM240" s="1"/>
      <c r="DSN240" s="1"/>
      <c r="DSO240" s="1"/>
      <c r="DSP240" s="1"/>
      <c r="DSQ240" s="1"/>
      <c r="DSR240" s="1"/>
      <c r="DSS240" s="1"/>
      <c r="DST240" s="1"/>
      <c r="DSU240" s="1"/>
      <c r="DSV240" s="1"/>
      <c r="DSW240" s="1"/>
      <c r="DSX240" s="1"/>
      <c r="DSY240" s="1"/>
      <c r="DSZ240" s="1"/>
      <c r="DTA240" s="1"/>
      <c r="DTB240" s="1"/>
      <c r="DTC240" s="1"/>
      <c r="DTD240" s="1"/>
      <c r="DTE240" s="1"/>
      <c r="DTF240" s="1"/>
      <c r="DTG240" s="1"/>
      <c r="DTH240" s="1"/>
      <c r="DTI240" s="1"/>
      <c r="DTJ240" s="1"/>
      <c r="DTK240" s="1"/>
      <c r="DTL240" s="1"/>
      <c r="DTM240" s="1"/>
      <c r="DTN240" s="1"/>
      <c r="DTO240" s="1"/>
      <c r="DTP240" s="1"/>
      <c r="DTQ240" s="1"/>
      <c r="DTR240" s="1"/>
      <c r="DTS240" s="1"/>
      <c r="DTT240" s="1"/>
      <c r="DTU240" s="1"/>
      <c r="DTV240" s="1"/>
      <c r="DTW240" s="1"/>
      <c r="DTX240" s="1"/>
      <c r="DTY240" s="1"/>
      <c r="DTZ240" s="1"/>
      <c r="DUA240" s="1"/>
      <c r="DUB240" s="1"/>
      <c r="DUC240" s="1"/>
      <c r="DUD240" s="1"/>
      <c r="DUE240" s="1"/>
      <c r="DUF240" s="1"/>
      <c r="DUG240" s="1"/>
      <c r="DUH240" s="1"/>
      <c r="DUI240" s="1"/>
      <c r="DUJ240" s="1"/>
      <c r="DUK240" s="1"/>
      <c r="DUL240" s="1"/>
      <c r="DUM240" s="1"/>
      <c r="DUN240" s="1"/>
      <c r="DUO240" s="1"/>
      <c r="DUP240" s="1"/>
      <c r="DUQ240" s="1"/>
      <c r="DUR240" s="1"/>
      <c r="DUS240" s="1"/>
      <c r="DUT240" s="1"/>
      <c r="DUU240" s="1"/>
      <c r="DUV240" s="1"/>
      <c r="DUW240" s="1"/>
      <c r="DUX240" s="1"/>
      <c r="DUY240" s="1"/>
      <c r="DUZ240" s="1"/>
      <c r="DVA240" s="1"/>
      <c r="DVB240" s="1"/>
      <c r="DVC240" s="1"/>
      <c r="DVD240" s="1"/>
      <c r="DVE240" s="1"/>
      <c r="DVF240" s="1"/>
      <c r="DVG240" s="1"/>
      <c r="DVH240" s="1"/>
      <c r="DVI240" s="1"/>
      <c r="DVJ240" s="1"/>
      <c r="DVK240" s="1"/>
      <c r="DVL240" s="1"/>
      <c r="DVM240" s="1"/>
      <c r="DVN240" s="1"/>
      <c r="DVO240" s="1"/>
      <c r="DVP240" s="1"/>
      <c r="DVQ240" s="1"/>
      <c r="DVR240" s="1"/>
      <c r="DVS240" s="1"/>
      <c r="DVT240" s="1"/>
      <c r="DVU240" s="1"/>
      <c r="DVV240" s="1"/>
      <c r="DVW240" s="1"/>
      <c r="DVX240" s="1"/>
      <c r="DVY240" s="1"/>
      <c r="DVZ240" s="1"/>
      <c r="DWA240" s="1"/>
      <c r="DWB240" s="1"/>
      <c r="DWC240" s="1"/>
      <c r="DWD240" s="1"/>
      <c r="DWE240" s="1"/>
      <c r="DWF240" s="1"/>
      <c r="DWG240" s="1"/>
      <c r="DWH240" s="1"/>
      <c r="DWI240" s="1"/>
      <c r="DWJ240" s="1"/>
      <c r="DWK240" s="1"/>
      <c r="DWL240" s="1"/>
      <c r="DWM240" s="1"/>
      <c r="DWN240" s="1"/>
      <c r="DWO240" s="1"/>
      <c r="DWP240" s="1"/>
      <c r="DWQ240" s="1"/>
      <c r="DWR240" s="1"/>
      <c r="DWS240" s="1"/>
      <c r="DWT240" s="1"/>
      <c r="DWU240" s="1"/>
      <c r="DWV240" s="1"/>
      <c r="DWW240" s="1"/>
      <c r="DWX240" s="1"/>
      <c r="DWY240" s="1"/>
      <c r="DWZ240" s="1"/>
      <c r="DXA240" s="1"/>
      <c r="DXB240" s="1"/>
      <c r="DXC240" s="1"/>
      <c r="DXD240" s="1"/>
      <c r="DXE240" s="1"/>
      <c r="DXF240" s="1"/>
      <c r="DXG240" s="1"/>
      <c r="DXH240" s="1"/>
      <c r="DXI240" s="1"/>
      <c r="DXJ240" s="1"/>
      <c r="DXK240" s="1"/>
      <c r="DXL240" s="1"/>
      <c r="DXM240" s="1"/>
      <c r="DXN240" s="1"/>
      <c r="DXO240" s="1"/>
      <c r="DXP240" s="1"/>
      <c r="DXQ240" s="1"/>
      <c r="DXR240" s="1"/>
      <c r="DXS240" s="1"/>
      <c r="DXT240" s="1"/>
      <c r="DXU240" s="1"/>
      <c r="DXV240" s="1"/>
      <c r="DXW240" s="1"/>
      <c r="DXX240" s="1"/>
      <c r="DXY240" s="1"/>
      <c r="DXZ240" s="1"/>
      <c r="DYA240" s="1"/>
      <c r="DYB240" s="1"/>
      <c r="DYC240" s="1"/>
      <c r="DYD240" s="1"/>
      <c r="DYE240" s="1"/>
      <c r="DYF240" s="1"/>
      <c r="DYG240" s="1"/>
      <c r="DYH240" s="1"/>
      <c r="DYI240" s="1"/>
      <c r="DYJ240" s="1"/>
      <c r="DYK240" s="1"/>
      <c r="DYL240" s="1"/>
      <c r="DYM240" s="1"/>
      <c r="DYN240" s="1"/>
      <c r="DYO240" s="1"/>
      <c r="DYP240" s="1"/>
      <c r="DYQ240" s="1"/>
      <c r="DYR240" s="1"/>
      <c r="DYS240" s="1"/>
      <c r="DYT240" s="1"/>
      <c r="DYU240" s="1"/>
      <c r="DYV240" s="1"/>
      <c r="DYW240" s="1"/>
      <c r="DYX240" s="1"/>
      <c r="DYY240" s="1"/>
      <c r="DYZ240" s="1"/>
      <c r="DZA240" s="1"/>
      <c r="DZB240" s="1"/>
      <c r="DZC240" s="1"/>
      <c r="DZD240" s="1"/>
      <c r="DZE240" s="1"/>
      <c r="DZF240" s="1"/>
      <c r="DZG240" s="1"/>
      <c r="DZH240" s="1"/>
      <c r="DZI240" s="1"/>
      <c r="DZJ240" s="1"/>
      <c r="DZK240" s="1"/>
      <c r="DZL240" s="1"/>
      <c r="DZM240" s="1"/>
      <c r="DZN240" s="1"/>
      <c r="DZO240" s="1"/>
      <c r="DZP240" s="1"/>
      <c r="DZQ240" s="1"/>
      <c r="DZR240" s="1"/>
      <c r="DZS240" s="1"/>
      <c r="DZT240" s="1"/>
      <c r="DZU240" s="1"/>
      <c r="DZV240" s="1"/>
      <c r="DZW240" s="1"/>
      <c r="DZX240" s="1"/>
      <c r="DZY240" s="1"/>
      <c r="DZZ240" s="1"/>
      <c r="EAA240" s="1"/>
      <c r="EAB240" s="1"/>
      <c r="EAC240" s="1"/>
      <c r="EAD240" s="1"/>
      <c r="EAE240" s="1"/>
      <c r="EAF240" s="1"/>
      <c r="EAG240" s="1"/>
      <c r="EAH240" s="1"/>
      <c r="EAI240" s="1"/>
      <c r="EAJ240" s="1"/>
      <c r="EAK240" s="1"/>
      <c r="EAL240" s="1"/>
      <c r="EAM240" s="1"/>
      <c r="EAN240" s="1"/>
      <c r="EAO240" s="1"/>
      <c r="EAP240" s="1"/>
      <c r="EAQ240" s="1"/>
      <c r="EAR240" s="1"/>
      <c r="EAS240" s="1"/>
      <c r="EAT240" s="1"/>
      <c r="EAU240" s="1"/>
      <c r="EAV240" s="1"/>
      <c r="EAW240" s="1"/>
      <c r="EAX240" s="1"/>
      <c r="EAY240" s="1"/>
      <c r="EAZ240" s="1"/>
      <c r="EBA240" s="1"/>
      <c r="EBB240" s="1"/>
      <c r="EBC240" s="1"/>
      <c r="EBD240" s="1"/>
      <c r="EBE240" s="1"/>
      <c r="EBF240" s="1"/>
      <c r="EBG240" s="1"/>
      <c r="EBH240" s="1"/>
      <c r="EBI240" s="1"/>
      <c r="EBJ240" s="1"/>
      <c r="EBK240" s="1"/>
      <c r="EBL240" s="1"/>
      <c r="EBM240" s="1"/>
      <c r="EBN240" s="1"/>
      <c r="EBO240" s="1"/>
      <c r="EBP240" s="1"/>
      <c r="EBQ240" s="1"/>
      <c r="EBR240" s="1"/>
      <c r="EBS240" s="1"/>
      <c r="EBT240" s="1"/>
      <c r="EBU240" s="1"/>
      <c r="EBV240" s="1"/>
      <c r="EBW240" s="1"/>
      <c r="EBX240" s="1"/>
      <c r="EBY240" s="1"/>
      <c r="EBZ240" s="1"/>
      <c r="ECA240" s="1"/>
      <c r="ECB240" s="1"/>
      <c r="ECC240" s="1"/>
      <c r="ECD240" s="1"/>
      <c r="ECE240" s="1"/>
      <c r="ECF240" s="1"/>
      <c r="ECG240" s="1"/>
      <c r="ECH240" s="1"/>
      <c r="ECI240" s="1"/>
      <c r="ECJ240" s="1"/>
      <c r="ECK240" s="1"/>
      <c r="ECL240" s="1"/>
      <c r="ECM240" s="1"/>
      <c r="ECN240" s="1"/>
      <c r="ECO240" s="1"/>
      <c r="ECP240" s="1"/>
      <c r="ECQ240" s="1"/>
      <c r="ECR240" s="1"/>
      <c r="ECS240" s="1"/>
      <c r="ECT240" s="1"/>
      <c r="ECU240" s="1"/>
      <c r="ECV240" s="1"/>
      <c r="ECW240" s="1"/>
      <c r="ECX240" s="1"/>
      <c r="ECY240" s="1"/>
      <c r="ECZ240" s="1"/>
      <c r="EDA240" s="1"/>
      <c r="EDB240" s="1"/>
      <c r="EDC240" s="1"/>
      <c r="EDD240" s="1"/>
      <c r="EDE240" s="1"/>
      <c r="EDF240" s="1"/>
      <c r="EDG240" s="1"/>
      <c r="EDH240" s="1"/>
      <c r="EDI240" s="1"/>
      <c r="EDJ240" s="1"/>
      <c r="EDK240" s="1"/>
      <c r="EDL240" s="1"/>
      <c r="EDM240" s="1"/>
      <c r="EDN240" s="1"/>
      <c r="EDO240" s="1"/>
      <c r="EDP240" s="1"/>
      <c r="EDQ240" s="1"/>
      <c r="EDR240" s="1"/>
      <c r="EDS240" s="1"/>
      <c r="EDT240" s="1"/>
      <c r="EDU240" s="1"/>
      <c r="EDV240" s="1"/>
      <c r="EDW240" s="1"/>
      <c r="EDX240" s="1"/>
      <c r="EDY240" s="1"/>
      <c r="EDZ240" s="1"/>
      <c r="EEA240" s="1"/>
      <c r="EEB240" s="1"/>
      <c r="EEC240" s="1"/>
      <c r="EED240" s="1"/>
      <c r="EEE240" s="1"/>
      <c r="EEF240" s="1"/>
      <c r="EEG240" s="1"/>
      <c r="EEH240" s="1"/>
      <c r="EEI240" s="1"/>
      <c r="EEJ240" s="1"/>
      <c r="EEK240" s="1"/>
      <c r="EEL240" s="1"/>
      <c r="EEM240" s="1"/>
      <c r="EEN240" s="1"/>
      <c r="EEO240" s="1"/>
      <c r="EEP240" s="1"/>
      <c r="EEQ240" s="1"/>
      <c r="EER240" s="1"/>
      <c r="EES240" s="1"/>
      <c r="EET240" s="1"/>
      <c r="EEU240" s="1"/>
      <c r="EEV240" s="1"/>
      <c r="EEW240" s="1"/>
      <c r="EEX240" s="1"/>
      <c r="EEY240" s="1"/>
      <c r="EEZ240" s="1"/>
      <c r="EFA240" s="1"/>
      <c r="EFB240" s="1"/>
      <c r="EFC240" s="1"/>
      <c r="EFD240" s="1"/>
      <c r="EFE240" s="1"/>
      <c r="EFF240" s="1"/>
      <c r="EFG240" s="1"/>
      <c r="EFH240" s="1"/>
      <c r="EFI240" s="1"/>
      <c r="EFJ240" s="1"/>
      <c r="EFK240" s="1"/>
      <c r="EFL240" s="1"/>
      <c r="EFM240" s="1"/>
      <c r="EFN240" s="1"/>
      <c r="EFO240" s="1"/>
      <c r="EFP240" s="1"/>
      <c r="EFQ240" s="1"/>
      <c r="EFR240" s="1"/>
      <c r="EFS240" s="1"/>
      <c r="EFT240" s="1"/>
      <c r="EFU240" s="1"/>
      <c r="EFV240" s="1"/>
      <c r="EFW240" s="1"/>
      <c r="EFX240" s="1"/>
      <c r="EFY240" s="1"/>
      <c r="EFZ240" s="1"/>
      <c r="EGA240" s="1"/>
      <c r="EGB240" s="1"/>
      <c r="EGC240" s="1"/>
      <c r="EGD240" s="1"/>
      <c r="EGE240" s="1"/>
      <c r="EGF240" s="1"/>
      <c r="EGG240" s="1"/>
      <c r="EGH240" s="1"/>
      <c r="EGI240" s="1"/>
      <c r="EGJ240" s="1"/>
      <c r="EGK240" s="1"/>
      <c r="EGL240" s="1"/>
      <c r="EGM240" s="1"/>
      <c r="EGN240" s="1"/>
      <c r="EGO240" s="1"/>
      <c r="EGP240" s="1"/>
      <c r="EGQ240" s="1"/>
      <c r="EGR240" s="1"/>
      <c r="EGS240" s="1"/>
      <c r="EGT240" s="1"/>
      <c r="EGU240" s="1"/>
      <c r="EGV240" s="1"/>
      <c r="EGW240" s="1"/>
      <c r="EGX240" s="1"/>
      <c r="EGY240" s="1"/>
      <c r="EGZ240" s="1"/>
      <c r="EHA240" s="1"/>
      <c r="EHB240" s="1"/>
      <c r="EHC240" s="1"/>
      <c r="EHD240" s="1"/>
      <c r="EHE240" s="1"/>
      <c r="EHF240" s="1"/>
      <c r="EHG240" s="1"/>
      <c r="EHH240" s="1"/>
      <c r="EHI240" s="1"/>
      <c r="EHJ240" s="1"/>
      <c r="EHK240" s="1"/>
      <c r="EHL240" s="1"/>
      <c r="EHM240" s="1"/>
      <c r="EHN240" s="1"/>
      <c r="EHO240" s="1"/>
      <c r="EHP240" s="1"/>
      <c r="EHQ240" s="1"/>
      <c r="EHR240" s="1"/>
      <c r="EHS240" s="1"/>
      <c r="EHT240" s="1"/>
      <c r="EHU240" s="1"/>
      <c r="EHV240" s="1"/>
      <c r="EHW240" s="1"/>
      <c r="EHX240" s="1"/>
      <c r="EHY240" s="1"/>
      <c r="EHZ240" s="1"/>
      <c r="EIA240" s="1"/>
      <c r="EIB240" s="1"/>
      <c r="EIC240" s="1"/>
      <c r="EID240" s="1"/>
      <c r="EIE240" s="1"/>
      <c r="EIF240" s="1"/>
      <c r="EIG240" s="1"/>
      <c r="EIH240" s="1"/>
      <c r="EII240" s="1"/>
      <c r="EIJ240" s="1"/>
      <c r="EIK240" s="1"/>
      <c r="EIL240" s="1"/>
      <c r="EIM240" s="1"/>
      <c r="EIN240" s="1"/>
      <c r="EIO240" s="1"/>
      <c r="EIP240" s="1"/>
      <c r="EIQ240" s="1"/>
      <c r="EIR240" s="1"/>
      <c r="EIS240" s="1"/>
      <c r="EIT240" s="1"/>
      <c r="EIU240" s="1"/>
      <c r="EIV240" s="1"/>
      <c r="EIW240" s="1"/>
      <c r="EIX240" s="1"/>
      <c r="EIY240" s="1"/>
      <c r="EIZ240" s="1"/>
      <c r="EJA240" s="1"/>
      <c r="EJB240" s="1"/>
      <c r="EJC240" s="1"/>
      <c r="EJD240" s="1"/>
      <c r="EJE240" s="1"/>
      <c r="EJF240" s="1"/>
      <c r="EJG240" s="1"/>
      <c r="EJH240" s="1"/>
      <c r="EJI240" s="1"/>
      <c r="EJJ240" s="1"/>
      <c r="EJK240" s="1"/>
      <c r="EJL240" s="1"/>
      <c r="EJM240" s="1"/>
      <c r="EJN240" s="1"/>
      <c r="EJO240" s="1"/>
      <c r="EJP240" s="1"/>
      <c r="EJQ240" s="1"/>
      <c r="EJR240" s="1"/>
      <c r="EJS240" s="1"/>
      <c r="EJT240" s="1"/>
      <c r="EJU240" s="1"/>
      <c r="EJV240" s="1"/>
      <c r="EJW240" s="1"/>
      <c r="EJX240" s="1"/>
      <c r="EJY240" s="1"/>
      <c r="EJZ240" s="1"/>
      <c r="EKA240" s="1"/>
      <c r="EKB240" s="1"/>
      <c r="EKC240" s="1"/>
      <c r="EKD240" s="1"/>
      <c r="EKE240" s="1"/>
      <c r="EKF240" s="1"/>
      <c r="EKG240" s="1"/>
      <c r="EKH240" s="1"/>
      <c r="EKI240" s="1"/>
      <c r="EKJ240" s="1"/>
      <c r="EKK240" s="1"/>
      <c r="EKL240" s="1"/>
      <c r="EKM240" s="1"/>
      <c r="EKN240" s="1"/>
      <c r="EKO240" s="1"/>
      <c r="EKP240" s="1"/>
      <c r="EKQ240" s="1"/>
      <c r="EKR240" s="1"/>
      <c r="EKS240" s="1"/>
      <c r="EKT240" s="1"/>
      <c r="EKU240" s="1"/>
      <c r="EKV240" s="1"/>
      <c r="EKW240" s="1"/>
      <c r="EKX240" s="1"/>
      <c r="EKY240" s="1"/>
      <c r="EKZ240" s="1"/>
      <c r="ELA240" s="1"/>
      <c r="ELB240" s="1"/>
      <c r="ELC240" s="1"/>
      <c r="ELD240" s="1"/>
      <c r="ELE240" s="1"/>
      <c r="ELF240" s="1"/>
      <c r="ELG240" s="1"/>
      <c r="ELH240" s="1"/>
      <c r="ELI240" s="1"/>
      <c r="ELJ240" s="1"/>
      <c r="ELK240" s="1"/>
      <c r="ELL240" s="1"/>
      <c r="ELM240" s="1"/>
      <c r="ELN240" s="1"/>
      <c r="ELO240" s="1"/>
      <c r="ELP240" s="1"/>
      <c r="ELQ240" s="1"/>
      <c r="ELR240" s="1"/>
      <c r="ELS240" s="1"/>
      <c r="ELT240" s="1"/>
      <c r="ELU240" s="1"/>
      <c r="ELV240" s="1"/>
      <c r="ELW240" s="1"/>
      <c r="ELX240" s="1"/>
      <c r="ELY240" s="1"/>
      <c r="ELZ240" s="1"/>
      <c r="EMA240" s="1"/>
      <c r="EMB240" s="1"/>
      <c r="EMC240" s="1"/>
      <c r="EMD240" s="1"/>
      <c r="EME240" s="1"/>
      <c r="EMF240" s="1"/>
      <c r="EMG240" s="1"/>
      <c r="EMH240" s="1"/>
      <c r="EMI240" s="1"/>
      <c r="EMJ240" s="1"/>
      <c r="EMK240" s="1"/>
      <c r="EML240" s="1"/>
      <c r="EMM240" s="1"/>
      <c r="EMN240" s="1"/>
      <c r="EMO240" s="1"/>
      <c r="EMP240" s="1"/>
      <c r="EMQ240" s="1"/>
      <c r="EMR240" s="1"/>
      <c r="EMS240" s="1"/>
      <c r="EMT240" s="1"/>
      <c r="EMU240" s="1"/>
      <c r="EMV240" s="1"/>
      <c r="EMW240" s="1"/>
      <c r="EMX240" s="1"/>
      <c r="EMY240" s="1"/>
      <c r="EMZ240" s="1"/>
      <c r="ENA240" s="1"/>
      <c r="ENB240" s="1"/>
      <c r="ENC240" s="1"/>
      <c r="END240" s="1"/>
      <c r="ENE240" s="1"/>
      <c r="ENF240" s="1"/>
      <c r="ENG240" s="1"/>
      <c r="ENH240" s="1"/>
      <c r="ENI240" s="1"/>
      <c r="ENJ240" s="1"/>
      <c r="ENK240" s="1"/>
      <c r="ENL240" s="1"/>
      <c r="ENM240" s="1"/>
      <c r="ENN240" s="1"/>
      <c r="ENO240" s="1"/>
      <c r="ENP240" s="1"/>
      <c r="ENQ240" s="1"/>
      <c r="ENR240" s="1"/>
      <c r="ENS240" s="1"/>
      <c r="ENT240" s="1"/>
      <c r="ENU240" s="1"/>
      <c r="ENV240" s="1"/>
      <c r="ENW240" s="1"/>
      <c r="ENX240" s="1"/>
      <c r="ENY240" s="1"/>
      <c r="ENZ240" s="1"/>
      <c r="EOA240" s="1"/>
      <c r="EOB240" s="1"/>
      <c r="EOC240" s="1"/>
      <c r="EOD240" s="1"/>
      <c r="EOE240" s="1"/>
      <c r="EOF240" s="1"/>
      <c r="EOG240" s="1"/>
      <c r="EOH240" s="1"/>
      <c r="EOI240" s="1"/>
      <c r="EOJ240" s="1"/>
      <c r="EOK240" s="1"/>
      <c r="EOL240" s="1"/>
      <c r="EOM240" s="1"/>
      <c r="EON240" s="1"/>
      <c r="EOO240" s="1"/>
      <c r="EOP240" s="1"/>
      <c r="EOQ240" s="1"/>
      <c r="EOR240" s="1"/>
      <c r="EOS240" s="1"/>
      <c r="EOT240" s="1"/>
      <c r="EOU240" s="1"/>
      <c r="EOV240" s="1"/>
      <c r="EOW240" s="1"/>
      <c r="EOX240" s="1"/>
      <c r="EOY240" s="1"/>
      <c r="EOZ240" s="1"/>
      <c r="EPA240" s="1"/>
      <c r="EPB240" s="1"/>
      <c r="EPC240" s="1"/>
      <c r="EPD240" s="1"/>
      <c r="EPE240" s="1"/>
      <c r="EPF240" s="1"/>
      <c r="EPG240" s="1"/>
      <c r="EPH240" s="1"/>
      <c r="EPI240" s="1"/>
      <c r="EPJ240" s="1"/>
      <c r="EPK240" s="1"/>
      <c r="EPL240" s="1"/>
      <c r="EPM240" s="1"/>
      <c r="EPN240" s="1"/>
      <c r="EPO240" s="1"/>
      <c r="EPP240" s="1"/>
      <c r="EPQ240" s="1"/>
      <c r="EPR240" s="1"/>
      <c r="EPS240" s="1"/>
      <c r="EPT240" s="1"/>
      <c r="EPU240" s="1"/>
      <c r="EPV240" s="1"/>
      <c r="EPW240" s="1"/>
      <c r="EPX240" s="1"/>
      <c r="EPY240" s="1"/>
      <c r="EPZ240" s="1"/>
      <c r="EQA240" s="1"/>
      <c r="EQB240" s="1"/>
      <c r="EQC240" s="1"/>
      <c r="EQD240" s="1"/>
      <c r="EQE240" s="1"/>
      <c r="EQF240" s="1"/>
      <c r="EQG240" s="1"/>
      <c r="EQH240" s="1"/>
      <c r="EQI240" s="1"/>
      <c r="EQJ240" s="1"/>
      <c r="EQK240" s="1"/>
      <c r="EQL240" s="1"/>
      <c r="EQM240" s="1"/>
      <c r="EQN240" s="1"/>
      <c r="EQO240" s="1"/>
      <c r="EQP240" s="1"/>
      <c r="EQQ240" s="1"/>
      <c r="EQR240" s="1"/>
      <c r="EQS240" s="1"/>
      <c r="EQT240" s="1"/>
      <c r="EQU240" s="1"/>
      <c r="EQV240" s="1"/>
      <c r="EQW240" s="1"/>
      <c r="EQX240" s="1"/>
      <c r="EQY240" s="1"/>
      <c r="EQZ240" s="1"/>
      <c r="ERA240" s="1"/>
      <c r="ERB240" s="1"/>
      <c r="ERC240" s="1"/>
      <c r="ERD240" s="1"/>
      <c r="ERE240" s="1"/>
      <c r="ERF240" s="1"/>
      <c r="ERG240" s="1"/>
      <c r="ERH240" s="1"/>
      <c r="ERI240" s="1"/>
      <c r="ERJ240" s="1"/>
      <c r="ERK240" s="1"/>
      <c r="ERL240" s="1"/>
      <c r="ERM240" s="1"/>
      <c r="ERN240" s="1"/>
      <c r="ERO240" s="1"/>
      <c r="ERP240" s="1"/>
      <c r="ERQ240" s="1"/>
      <c r="ERR240" s="1"/>
      <c r="ERS240" s="1"/>
      <c r="ERT240" s="1"/>
      <c r="ERU240" s="1"/>
      <c r="ERV240" s="1"/>
      <c r="ERW240" s="1"/>
      <c r="ERX240" s="1"/>
      <c r="ERY240" s="1"/>
      <c r="ERZ240" s="1"/>
      <c r="ESA240" s="1"/>
      <c r="ESB240" s="1"/>
      <c r="ESC240" s="1"/>
      <c r="ESD240" s="1"/>
      <c r="ESE240" s="1"/>
      <c r="ESF240" s="1"/>
      <c r="ESG240" s="1"/>
      <c r="ESH240" s="1"/>
      <c r="ESI240" s="1"/>
      <c r="ESJ240" s="1"/>
      <c r="ESK240" s="1"/>
      <c r="ESL240" s="1"/>
      <c r="ESM240" s="1"/>
      <c r="ESN240" s="1"/>
      <c r="ESO240" s="1"/>
      <c r="ESP240" s="1"/>
      <c r="ESQ240" s="1"/>
      <c r="ESR240" s="1"/>
      <c r="ESS240" s="1"/>
      <c r="EST240" s="1"/>
      <c r="ESU240" s="1"/>
      <c r="ESV240" s="1"/>
      <c r="ESW240" s="1"/>
      <c r="ESX240" s="1"/>
      <c r="ESY240" s="1"/>
      <c r="ESZ240" s="1"/>
      <c r="ETA240" s="1"/>
      <c r="ETB240" s="1"/>
      <c r="ETC240" s="1"/>
      <c r="ETD240" s="1"/>
      <c r="ETE240" s="1"/>
      <c r="ETF240" s="1"/>
      <c r="ETG240" s="1"/>
      <c r="ETH240" s="1"/>
      <c r="ETI240" s="1"/>
      <c r="ETJ240" s="1"/>
      <c r="ETK240" s="1"/>
      <c r="ETL240" s="1"/>
      <c r="ETM240" s="1"/>
      <c r="ETN240" s="1"/>
      <c r="ETO240" s="1"/>
      <c r="ETP240" s="1"/>
      <c r="ETQ240" s="1"/>
      <c r="ETR240" s="1"/>
      <c r="ETS240" s="1"/>
      <c r="ETT240" s="1"/>
      <c r="ETU240" s="1"/>
      <c r="ETV240" s="1"/>
      <c r="ETW240" s="1"/>
      <c r="ETX240" s="1"/>
      <c r="ETY240" s="1"/>
      <c r="ETZ240" s="1"/>
      <c r="EUA240" s="1"/>
      <c r="EUB240" s="1"/>
      <c r="EUC240" s="1"/>
      <c r="EUD240" s="1"/>
      <c r="EUE240" s="1"/>
      <c r="EUF240" s="1"/>
      <c r="EUG240" s="1"/>
      <c r="EUH240" s="1"/>
      <c r="EUI240" s="1"/>
      <c r="EUJ240" s="1"/>
      <c r="EUK240" s="1"/>
      <c r="EUL240" s="1"/>
      <c r="EUM240" s="1"/>
      <c r="EUN240" s="1"/>
      <c r="EUO240" s="1"/>
      <c r="EUP240" s="1"/>
      <c r="EUQ240" s="1"/>
      <c r="EUR240" s="1"/>
      <c r="EUS240" s="1"/>
      <c r="EUT240" s="1"/>
      <c r="EUU240" s="1"/>
      <c r="EUV240" s="1"/>
      <c r="EUW240" s="1"/>
      <c r="EUX240" s="1"/>
      <c r="EUY240" s="1"/>
      <c r="EUZ240" s="1"/>
      <c r="EVA240" s="1"/>
      <c r="EVB240" s="1"/>
      <c r="EVC240" s="1"/>
      <c r="EVD240" s="1"/>
      <c r="EVE240" s="1"/>
      <c r="EVF240" s="1"/>
      <c r="EVG240" s="1"/>
      <c r="EVH240" s="1"/>
      <c r="EVI240" s="1"/>
      <c r="EVJ240" s="1"/>
      <c r="EVK240" s="1"/>
      <c r="EVL240" s="1"/>
      <c r="EVM240" s="1"/>
      <c r="EVN240" s="1"/>
      <c r="EVO240" s="1"/>
      <c r="EVP240" s="1"/>
      <c r="EVQ240" s="1"/>
      <c r="EVR240" s="1"/>
      <c r="EVS240" s="1"/>
      <c r="EVT240" s="1"/>
      <c r="EVU240" s="1"/>
      <c r="EVV240" s="1"/>
      <c r="EVW240" s="1"/>
      <c r="EVX240" s="1"/>
      <c r="EVY240" s="1"/>
      <c r="EVZ240" s="1"/>
      <c r="EWA240" s="1"/>
      <c r="EWB240" s="1"/>
      <c r="EWC240" s="1"/>
      <c r="EWD240" s="1"/>
      <c r="EWE240" s="1"/>
      <c r="EWF240" s="1"/>
      <c r="EWG240" s="1"/>
      <c r="EWH240" s="1"/>
      <c r="EWI240" s="1"/>
      <c r="EWJ240" s="1"/>
      <c r="EWK240" s="1"/>
      <c r="EWL240" s="1"/>
      <c r="EWM240" s="1"/>
      <c r="EWN240" s="1"/>
      <c r="EWO240" s="1"/>
      <c r="EWP240" s="1"/>
      <c r="EWQ240" s="1"/>
      <c r="EWR240" s="1"/>
      <c r="EWS240" s="1"/>
      <c r="EWT240" s="1"/>
      <c r="EWU240" s="1"/>
      <c r="EWV240" s="1"/>
      <c r="EWW240" s="1"/>
      <c r="EWX240" s="1"/>
      <c r="EWY240" s="1"/>
      <c r="EWZ240" s="1"/>
      <c r="EXA240" s="1"/>
      <c r="EXB240" s="1"/>
      <c r="EXC240" s="1"/>
      <c r="EXD240" s="1"/>
      <c r="EXE240" s="1"/>
      <c r="EXF240" s="1"/>
      <c r="EXG240" s="1"/>
      <c r="EXH240" s="1"/>
      <c r="EXI240" s="1"/>
      <c r="EXJ240" s="1"/>
      <c r="EXK240" s="1"/>
      <c r="EXL240" s="1"/>
      <c r="EXM240" s="1"/>
      <c r="EXN240" s="1"/>
      <c r="EXO240" s="1"/>
      <c r="EXP240" s="1"/>
      <c r="EXQ240" s="1"/>
      <c r="EXR240" s="1"/>
      <c r="EXS240" s="1"/>
      <c r="EXT240" s="1"/>
      <c r="EXU240" s="1"/>
      <c r="EXV240" s="1"/>
      <c r="EXW240" s="1"/>
      <c r="EXX240" s="1"/>
      <c r="EXY240" s="1"/>
      <c r="EXZ240" s="1"/>
      <c r="EYA240" s="1"/>
      <c r="EYB240" s="1"/>
      <c r="EYC240" s="1"/>
      <c r="EYD240" s="1"/>
      <c r="EYE240" s="1"/>
      <c r="EYF240" s="1"/>
      <c r="EYG240" s="1"/>
      <c r="EYH240" s="1"/>
      <c r="EYI240" s="1"/>
      <c r="EYJ240" s="1"/>
      <c r="EYK240" s="1"/>
      <c r="EYL240" s="1"/>
      <c r="EYM240" s="1"/>
      <c r="EYN240" s="1"/>
      <c r="EYO240" s="1"/>
      <c r="EYP240" s="1"/>
      <c r="EYQ240" s="1"/>
      <c r="EYR240" s="1"/>
      <c r="EYS240" s="1"/>
      <c r="EYT240" s="1"/>
      <c r="EYU240" s="1"/>
      <c r="EYV240" s="1"/>
      <c r="EYW240" s="1"/>
      <c r="EYX240" s="1"/>
      <c r="EYY240" s="1"/>
      <c r="EYZ240" s="1"/>
      <c r="EZA240" s="1"/>
      <c r="EZB240" s="1"/>
      <c r="EZC240" s="1"/>
      <c r="EZD240" s="1"/>
      <c r="EZE240" s="1"/>
      <c r="EZF240" s="1"/>
      <c r="EZG240" s="1"/>
      <c r="EZH240" s="1"/>
      <c r="EZI240" s="1"/>
      <c r="EZJ240" s="1"/>
      <c r="EZK240" s="1"/>
      <c r="EZL240" s="1"/>
      <c r="EZM240" s="1"/>
      <c r="EZN240" s="1"/>
      <c r="EZO240" s="1"/>
      <c r="EZP240" s="1"/>
      <c r="EZQ240" s="1"/>
      <c r="EZR240" s="1"/>
      <c r="EZS240" s="1"/>
      <c r="EZT240" s="1"/>
      <c r="EZU240" s="1"/>
      <c r="EZV240" s="1"/>
      <c r="EZW240" s="1"/>
      <c r="EZX240" s="1"/>
      <c r="EZY240" s="1"/>
      <c r="EZZ240" s="1"/>
      <c r="FAA240" s="1"/>
      <c r="FAB240" s="1"/>
      <c r="FAC240" s="1"/>
      <c r="FAD240" s="1"/>
      <c r="FAE240" s="1"/>
      <c r="FAF240" s="1"/>
      <c r="FAG240" s="1"/>
      <c r="FAH240" s="1"/>
      <c r="FAI240" s="1"/>
      <c r="FAJ240" s="1"/>
      <c r="FAK240" s="1"/>
      <c r="FAL240" s="1"/>
      <c r="FAM240" s="1"/>
      <c r="FAN240" s="1"/>
      <c r="FAO240" s="1"/>
      <c r="FAP240" s="1"/>
      <c r="FAQ240" s="1"/>
      <c r="FAR240" s="1"/>
      <c r="FAS240" s="1"/>
      <c r="FAT240" s="1"/>
      <c r="FAU240" s="1"/>
      <c r="FAV240" s="1"/>
      <c r="FAW240" s="1"/>
      <c r="FAX240" s="1"/>
      <c r="FAY240" s="1"/>
      <c r="FAZ240" s="1"/>
      <c r="FBA240" s="1"/>
      <c r="FBB240" s="1"/>
      <c r="FBC240" s="1"/>
      <c r="FBD240" s="1"/>
      <c r="FBE240" s="1"/>
      <c r="FBF240" s="1"/>
      <c r="FBG240" s="1"/>
      <c r="FBH240" s="1"/>
      <c r="FBI240" s="1"/>
      <c r="FBJ240" s="1"/>
      <c r="FBK240" s="1"/>
      <c r="FBL240" s="1"/>
      <c r="FBM240" s="1"/>
      <c r="FBN240" s="1"/>
      <c r="FBO240" s="1"/>
      <c r="FBP240" s="1"/>
      <c r="FBQ240" s="1"/>
      <c r="FBR240" s="1"/>
      <c r="FBS240" s="1"/>
      <c r="FBT240" s="1"/>
      <c r="FBU240" s="1"/>
      <c r="FBV240" s="1"/>
      <c r="FBW240" s="1"/>
      <c r="FBX240" s="1"/>
      <c r="FBY240" s="1"/>
      <c r="FBZ240" s="1"/>
      <c r="FCA240" s="1"/>
      <c r="FCB240" s="1"/>
      <c r="FCC240" s="1"/>
      <c r="FCD240" s="1"/>
      <c r="FCE240" s="1"/>
      <c r="FCF240" s="1"/>
      <c r="FCG240" s="1"/>
      <c r="FCH240" s="1"/>
      <c r="FCI240" s="1"/>
      <c r="FCJ240" s="1"/>
      <c r="FCK240" s="1"/>
      <c r="FCL240" s="1"/>
      <c r="FCM240" s="1"/>
      <c r="FCN240" s="1"/>
      <c r="FCO240" s="1"/>
      <c r="FCP240" s="1"/>
      <c r="FCQ240" s="1"/>
      <c r="FCR240" s="1"/>
      <c r="FCS240" s="1"/>
      <c r="FCT240" s="1"/>
      <c r="FCU240" s="1"/>
      <c r="FCV240" s="1"/>
      <c r="FCW240" s="1"/>
      <c r="FCX240" s="1"/>
      <c r="FCY240" s="1"/>
      <c r="FCZ240" s="1"/>
      <c r="FDA240" s="1"/>
      <c r="FDB240" s="1"/>
      <c r="FDC240" s="1"/>
      <c r="FDD240" s="1"/>
      <c r="FDE240" s="1"/>
      <c r="FDF240" s="1"/>
      <c r="FDG240" s="1"/>
      <c r="FDH240" s="1"/>
      <c r="FDI240" s="1"/>
      <c r="FDJ240" s="1"/>
      <c r="FDK240" s="1"/>
      <c r="FDL240" s="1"/>
      <c r="FDM240" s="1"/>
      <c r="FDN240" s="1"/>
      <c r="FDO240" s="1"/>
      <c r="FDP240" s="1"/>
      <c r="FDQ240" s="1"/>
      <c r="FDR240" s="1"/>
      <c r="FDS240" s="1"/>
      <c r="FDT240" s="1"/>
      <c r="FDU240" s="1"/>
      <c r="FDV240" s="1"/>
      <c r="FDW240" s="1"/>
      <c r="FDX240" s="1"/>
      <c r="FDY240" s="1"/>
      <c r="FDZ240" s="1"/>
      <c r="FEA240" s="1"/>
      <c r="FEB240" s="1"/>
      <c r="FEC240" s="1"/>
      <c r="FED240" s="1"/>
      <c r="FEE240" s="1"/>
      <c r="FEF240" s="1"/>
      <c r="FEG240" s="1"/>
      <c r="FEH240" s="1"/>
      <c r="FEI240" s="1"/>
      <c r="FEJ240" s="1"/>
      <c r="FEK240" s="1"/>
      <c r="FEL240" s="1"/>
      <c r="FEM240" s="1"/>
      <c r="FEN240" s="1"/>
      <c r="FEO240" s="1"/>
      <c r="FEP240" s="1"/>
      <c r="FEQ240" s="1"/>
      <c r="FER240" s="1"/>
      <c r="FES240" s="1"/>
      <c r="FET240" s="1"/>
      <c r="FEU240" s="1"/>
      <c r="FEV240" s="1"/>
      <c r="FEW240" s="1"/>
      <c r="FEX240" s="1"/>
      <c r="FEY240" s="1"/>
      <c r="FEZ240" s="1"/>
      <c r="FFA240" s="1"/>
      <c r="FFB240" s="1"/>
      <c r="FFC240" s="1"/>
      <c r="FFD240" s="1"/>
      <c r="FFE240" s="1"/>
      <c r="FFF240" s="1"/>
      <c r="FFG240" s="1"/>
      <c r="FFH240" s="1"/>
      <c r="FFI240" s="1"/>
      <c r="FFJ240" s="1"/>
      <c r="FFK240" s="1"/>
      <c r="FFL240" s="1"/>
      <c r="FFM240" s="1"/>
      <c r="FFN240" s="1"/>
      <c r="FFO240" s="1"/>
      <c r="FFP240" s="1"/>
      <c r="FFQ240" s="1"/>
      <c r="FFR240" s="1"/>
      <c r="FFS240" s="1"/>
      <c r="FFT240" s="1"/>
      <c r="FFU240" s="1"/>
      <c r="FFV240" s="1"/>
      <c r="FFW240" s="1"/>
      <c r="FFX240" s="1"/>
      <c r="FFY240" s="1"/>
      <c r="FFZ240" s="1"/>
      <c r="FGA240" s="1"/>
      <c r="FGB240" s="1"/>
      <c r="FGC240" s="1"/>
      <c r="FGD240" s="1"/>
      <c r="FGE240" s="1"/>
      <c r="FGF240" s="1"/>
      <c r="FGG240" s="1"/>
      <c r="FGH240" s="1"/>
      <c r="FGI240" s="1"/>
      <c r="FGJ240" s="1"/>
      <c r="FGK240" s="1"/>
      <c r="FGL240" s="1"/>
      <c r="FGM240" s="1"/>
      <c r="FGN240" s="1"/>
      <c r="FGO240" s="1"/>
      <c r="FGP240" s="1"/>
      <c r="FGQ240" s="1"/>
      <c r="FGR240" s="1"/>
      <c r="FGS240" s="1"/>
      <c r="FGT240" s="1"/>
      <c r="FGU240" s="1"/>
      <c r="FGV240" s="1"/>
      <c r="FGW240" s="1"/>
      <c r="FGX240" s="1"/>
      <c r="FGY240" s="1"/>
      <c r="FGZ240" s="1"/>
      <c r="FHA240" s="1"/>
      <c r="FHB240" s="1"/>
      <c r="FHC240" s="1"/>
      <c r="FHD240" s="1"/>
      <c r="FHE240" s="1"/>
      <c r="FHF240" s="1"/>
      <c r="FHG240" s="1"/>
      <c r="FHH240" s="1"/>
      <c r="FHI240" s="1"/>
      <c r="FHJ240" s="1"/>
      <c r="FHK240" s="1"/>
      <c r="FHL240" s="1"/>
      <c r="FHM240" s="1"/>
      <c r="FHN240" s="1"/>
      <c r="FHO240" s="1"/>
      <c r="FHP240" s="1"/>
      <c r="FHQ240" s="1"/>
      <c r="FHR240" s="1"/>
      <c r="FHS240" s="1"/>
      <c r="FHT240" s="1"/>
      <c r="FHU240" s="1"/>
      <c r="FHV240" s="1"/>
      <c r="FHW240" s="1"/>
      <c r="FHX240" s="1"/>
      <c r="FHY240" s="1"/>
      <c r="FHZ240" s="1"/>
      <c r="FIA240" s="1"/>
      <c r="FIB240" s="1"/>
      <c r="FIC240" s="1"/>
      <c r="FID240" s="1"/>
      <c r="FIE240" s="1"/>
      <c r="FIF240" s="1"/>
      <c r="FIG240" s="1"/>
      <c r="FIH240" s="1"/>
      <c r="FII240" s="1"/>
      <c r="FIJ240" s="1"/>
      <c r="FIK240" s="1"/>
      <c r="FIL240" s="1"/>
      <c r="FIM240" s="1"/>
      <c r="FIN240" s="1"/>
      <c r="FIO240" s="1"/>
      <c r="FIP240" s="1"/>
      <c r="FIQ240" s="1"/>
      <c r="FIR240" s="1"/>
      <c r="FIS240" s="1"/>
      <c r="FIT240" s="1"/>
      <c r="FIU240" s="1"/>
      <c r="FIV240" s="1"/>
      <c r="FIW240" s="1"/>
      <c r="FIX240" s="1"/>
      <c r="FIY240" s="1"/>
      <c r="FIZ240" s="1"/>
      <c r="FJA240" s="1"/>
      <c r="FJB240" s="1"/>
      <c r="FJC240" s="1"/>
      <c r="FJD240" s="1"/>
      <c r="FJE240" s="1"/>
      <c r="FJF240" s="1"/>
      <c r="FJG240" s="1"/>
      <c r="FJH240" s="1"/>
      <c r="FJI240" s="1"/>
      <c r="FJJ240" s="1"/>
      <c r="FJK240" s="1"/>
      <c r="FJL240" s="1"/>
      <c r="FJM240" s="1"/>
      <c r="FJN240" s="1"/>
      <c r="FJO240" s="1"/>
      <c r="FJP240" s="1"/>
      <c r="FJQ240" s="1"/>
      <c r="FJR240" s="1"/>
      <c r="FJS240" s="1"/>
      <c r="FJT240" s="1"/>
      <c r="FJU240" s="1"/>
      <c r="FJV240" s="1"/>
      <c r="FJW240" s="1"/>
      <c r="FJX240" s="1"/>
      <c r="FJY240" s="1"/>
      <c r="FJZ240" s="1"/>
      <c r="FKA240" s="1"/>
      <c r="FKB240" s="1"/>
      <c r="FKC240" s="1"/>
      <c r="FKD240" s="1"/>
      <c r="FKE240" s="1"/>
      <c r="FKF240" s="1"/>
      <c r="FKG240" s="1"/>
      <c r="FKH240" s="1"/>
      <c r="FKI240" s="1"/>
      <c r="FKJ240" s="1"/>
      <c r="FKK240" s="1"/>
      <c r="FKL240" s="1"/>
      <c r="FKM240" s="1"/>
      <c r="FKN240" s="1"/>
      <c r="FKO240" s="1"/>
      <c r="FKP240" s="1"/>
      <c r="FKQ240" s="1"/>
      <c r="FKR240" s="1"/>
      <c r="FKS240" s="1"/>
      <c r="FKT240" s="1"/>
      <c r="FKU240" s="1"/>
      <c r="FKV240" s="1"/>
      <c r="FKW240" s="1"/>
      <c r="FKX240" s="1"/>
      <c r="FKY240" s="1"/>
      <c r="FKZ240" s="1"/>
      <c r="FLA240" s="1"/>
      <c r="FLB240" s="1"/>
      <c r="FLC240" s="1"/>
      <c r="FLD240" s="1"/>
      <c r="FLE240" s="1"/>
      <c r="FLF240" s="1"/>
      <c r="FLG240" s="1"/>
      <c r="FLH240" s="1"/>
      <c r="FLI240" s="1"/>
      <c r="FLJ240" s="1"/>
      <c r="FLK240" s="1"/>
      <c r="FLL240" s="1"/>
      <c r="FLM240" s="1"/>
      <c r="FLN240" s="1"/>
      <c r="FLO240" s="1"/>
      <c r="FLP240" s="1"/>
      <c r="FLQ240" s="1"/>
      <c r="FLR240" s="1"/>
      <c r="FLS240" s="1"/>
      <c r="FLT240" s="1"/>
      <c r="FLU240" s="1"/>
      <c r="FLV240" s="1"/>
      <c r="FLW240" s="1"/>
      <c r="FLX240" s="1"/>
      <c r="FLY240" s="1"/>
      <c r="FLZ240" s="1"/>
      <c r="FMA240" s="1"/>
      <c r="FMB240" s="1"/>
      <c r="FMC240" s="1"/>
      <c r="FMD240" s="1"/>
      <c r="FME240" s="1"/>
      <c r="FMF240" s="1"/>
      <c r="FMG240" s="1"/>
      <c r="FMH240" s="1"/>
      <c r="FMI240" s="1"/>
      <c r="FMJ240" s="1"/>
      <c r="FMK240" s="1"/>
      <c r="FML240" s="1"/>
      <c r="FMM240" s="1"/>
      <c r="FMN240" s="1"/>
      <c r="FMO240" s="1"/>
      <c r="FMP240" s="1"/>
      <c r="FMQ240" s="1"/>
      <c r="FMR240" s="1"/>
      <c r="FMS240" s="1"/>
      <c r="FMT240" s="1"/>
      <c r="FMU240" s="1"/>
      <c r="FMV240" s="1"/>
      <c r="FMW240" s="1"/>
      <c r="FMX240" s="1"/>
      <c r="FMY240" s="1"/>
      <c r="FMZ240" s="1"/>
      <c r="FNA240" s="1"/>
      <c r="FNB240" s="1"/>
      <c r="FNC240" s="1"/>
      <c r="FND240" s="1"/>
      <c r="FNE240" s="1"/>
      <c r="FNF240" s="1"/>
      <c r="FNG240" s="1"/>
      <c r="FNH240" s="1"/>
      <c r="FNI240" s="1"/>
      <c r="FNJ240" s="1"/>
      <c r="FNK240" s="1"/>
      <c r="FNL240" s="1"/>
      <c r="FNM240" s="1"/>
      <c r="FNN240" s="1"/>
      <c r="FNO240" s="1"/>
      <c r="FNP240" s="1"/>
      <c r="FNQ240" s="1"/>
      <c r="FNR240" s="1"/>
      <c r="FNS240" s="1"/>
      <c r="FNT240" s="1"/>
      <c r="FNU240" s="1"/>
      <c r="FNV240" s="1"/>
      <c r="FNW240" s="1"/>
      <c r="FNX240" s="1"/>
      <c r="FNY240" s="1"/>
      <c r="FNZ240" s="1"/>
      <c r="FOA240" s="1"/>
      <c r="FOB240" s="1"/>
      <c r="FOC240" s="1"/>
      <c r="FOD240" s="1"/>
      <c r="FOE240" s="1"/>
      <c r="FOF240" s="1"/>
      <c r="FOG240" s="1"/>
      <c r="FOH240" s="1"/>
      <c r="FOI240" s="1"/>
      <c r="FOJ240" s="1"/>
      <c r="FOK240" s="1"/>
      <c r="FOL240" s="1"/>
      <c r="FOM240" s="1"/>
      <c r="FON240" s="1"/>
      <c r="FOO240" s="1"/>
      <c r="FOP240" s="1"/>
      <c r="FOQ240" s="1"/>
      <c r="FOR240" s="1"/>
      <c r="FOS240" s="1"/>
      <c r="FOT240" s="1"/>
      <c r="FOU240" s="1"/>
      <c r="FOV240" s="1"/>
      <c r="FOW240" s="1"/>
      <c r="FOX240" s="1"/>
      <c r="FOY240" s="1"/>
      <c r="FOZ240" s="1"/>
      <c r="FPA240" s="1"/>
      <c r="FPB240" s="1"/>
      <c r="FPC240" s="1"/>
      <c r="FPD240" s="1"/>
      <c r="FPE240" s="1"/>
      <c r="FPF240" s="1"/>
      <c r="FPG240" s="1"/>
      <c r="FPH240" s="1"/>
      <c r="FPI240" s="1"/>
      <c r="FPJ240" s="1"/>
      <c r="FPK240" s="1"/>
      <c r="FPL240" s="1"/>
      <c r="FPM240" s="1"/>
      <c r="FPN240" s="1"/>
      <c r="FPO240" s="1"/>
      <c r="FPP240" s="1"/>
      <c r="FPQ240" s="1"/>
      <c r="FPR240" s="1"/>
      <c r="FPS240" s="1"/>
      <c r="FPT240" s="1"/>
      <c r="FPU240" s="1"/>
      <c r="FPV240" s="1"/>
      <c r="FPW240" s="1"/>
      <c r="FPX240" s="1"/>
      <c r="FPY240" s="1"/>
      <c r="FPZ240" s="1"/>
      <c r="FQA240" s="1"/>
      <c r="FQB240" s="1"/>
      <c r="FQC240" s="1"/>
      <c r="FQD240" s="1"/>
      <c r="FQE240" s="1"/>
      <c r="FQF240" s="1"/>
      <c r="FQG240" s="1"/>
      <c r="FQH240" s="1"/>
      <c r="FQI240" s="1"/>
      <c r="FQJ240" s="1"/>
      <c r="FQK240" s="1"/>
      <c r="FQL240" s="1"/>
      <c r="FQM240" s="1"/>
      <c r="FQN240" s="1"/>
      <c r="FQO240" s="1"/>
      <c r="FQP240" s="1"/>
      <c r="FQQ240" s="1"/>
      <c r="FQR240" s="1"/>
      <c r="FQS240" s="1"/>
      <c r="FQT240" s="1"/>
      <c r="FQU240" s="1"/>
      <c r="FQV240" s="1"/>
      <c r="FQW240" s="1"/>
      <c r="FQX240" s="1"/>
      <c r="FQY240" s="1"/>
      <c r="FQZ240" s="1"/>
      <c r="FRA240" s="1"/>
      <c r="FRB240" s="1"/>
      <c r="FRC240" s="1"/>
      <c r="FRD240" s="1"/>
      <c r="FRE240" s="1"/>
      <c r="FRF240" s="1"/>
      <c r="FRG240" s="1"/>
      <c r="FRH240" s="1"/>
      <c r="FRI240" s="1"/>
      <c r="FRJ240" s="1"/>
      <c r="FRK240" s="1"/>
      <c r="FRL240" s="1"/>
      <c r="FRM240" s="1"/>
      <c r="FRN240" s="1"/>
      <c r="FRO240" s="1"/>
      <c r="FRP240" s="1"/>
      <c r="FRQ240" s="1"/>
      <c r="FRR240" s="1"/>
      <c r="FRS240" s="1"/>
      <c r="FRT240" s="1"/>
      <c r="FRU240" s="1"/>
      <c r="FRV240" s="1"/>
      <c r="FRW240" s="1"/>
      <c r="FRX240" s="1"/>
      <c r="FRY240" s="1"/>
      <c r="FRZ240" s="1"/>
      <c r="FSA240" s="1"/>
      <c r="FSB240" s="1"/>
      <c r="FSC240" s="1"/>
      <c r="FSD240" s="1"/>
      <c r="FSE240" s="1"/>
      <c r="FSF240" s="1"/>
      <c r="FSG240" s="1"/>
      <c r="FSH240" s="1"/>
      <c r="FSI240" s="1"/>
      <c r="FSJ240" s="1"/>
      <c r="FSK240" s="1"/>
      <c r="FSL240" s="1"/>
      <c r="FSM240" s="1"/>
      <c r="FSN240" s="1"/>
      <c r="FSO240" s="1"/>
      <c r="FSP240" s="1"/>
      <c r="FSQ240" s="1"/>
      <c r="FSR240" s="1"/>
      <c r="FSS240" s="1"/>
      <c r="FST240" s="1"/>
      <c r="FSU240" s="1"/>
      <c r="FSV240" s="1"/>
      <c r="FSW240" s="1"/>
      <c r="FSX240" s="1"/>
      <c r="FSY240" s="1"/>
      <c r="FSZ240" s="1"/>
      <c r="FTA240" s="1"/>
      <c r="FTB240" s="1"/>
      <c r="FTC240" s="1"/>
      <c r="FTD240" s="1"/>
      <c r="FTE240" s="1"/>
      <c r="FTF240" s="1"/>
      <c r="FTG240" s="1"/>
      <c r="FTH240" s="1"/>
      <c r="FTI240" s="1"/>
      <c r="FTJ240" s="1"/>
      <c r="FTK240" s="1"/>
      <c r="FTL240" s="1"/>
      <c r="FTM240" s="1"/>
      <c r="FTN240" s="1"/>
      <c r="FTO240" s="1"/>
      <c r="FTP240" s="1"/>
      <c r="FTQ240" s="1"/>
      <c r="FTR240" s="1"/>
      <c r="FTS240" s="1"/>
      <c r="FTT240" s="1"/>
      <c r="FTU240" s="1"/>
      <c r="FTV240" s="1"/>
      <c r="FTW240" s="1"/>
      <c r="FTX240" s="1"/>
      <c r="FTY240" s="1"/>
      <c r="FTZ240" s="1"/>
      <c r="FUA240" s="1"/>
      <c r="FUB240" s="1"/>
      <c r="FUC240" s="1"/>
      <c r="FUD240" s="1"/>
      <c r="FUE240" s="1"/>
      <c r="FUF240" s="1"/>
      <c r="FUG240" s="1"/>
      <c r="FUH240" s="1"/>
      <c r="FUI240" s="1"/>
      <c r="FUJ240" s="1"/>
      <c r="FUK240" s="1"/>
      <c r="FUL240" s="1"/>
      <c r="FUM240" s="1"/>
      <c r="FUN240" s="1"/>
      <c r="FUO240" s="1"/>
      <c r="FUP240" s="1"/>
      <c r="FUQ240" s="1"/>
      <c r="FUR240" s="1"/>
      <c r="FUS240" s="1"/>
      <c r="FUT240" s="1"/>
      <c r="FUU240" s="1"/>
      <c r="FUV240" s="1"/>
      <c r="FUW240" s="1"/>
      <c r="FUX240" s="1"/>
      <c r="FUY240" s="1"/>
      <c r="FUZ240" s="1"/>
      <c r="FVA240" s="1"/>
      <c r="FVB240" s="1"/>
      <c r="FVC240" s="1"/>
      <c r="FVD240" s="1"/>
      <c r="FVE240" s="1"/>
      <c r="FVF240" s="1"/>
      <c r="FVG240" s="1"/>
      <c r="FVH240" s="1"/>
      <c r="FVI240" s="1"/>
      <c r="FVJ240" s="1"/>
      <c r="FVK240" s="1"/>
      <c r="FVL240" s="1"/>
      <c r="FVM240" s="1"/>
      <c r="FVN240" s="1"/>
      <c r="FVO240" s="1"/>
      <c r="FVP240" s="1"/>
      <c r="FVQ240" s="1"/>
      <c r="FVR240" s="1"/>
      <c r="FVS240" s="1"/>
      <c r="FVT240" s="1"/>
      <c r="FVU240" s="1"/>
      <c r="FVV240" s="1"/>
      <c r="FVW240" s="1"/>
      <c r="FVX240" s="1"/>
      <c r="FVY240" s="1"/>
      <c r="FVZ240" s="1"/>
      <c r="FWA240" s="1"/>
      <c r="FWB240" s="1"/>
      <c r="FWC240" s="1"/>
      <c r="FWD240" s="1"/>
      <c r="FWE240" s="1"/>
      <c r="FWF240" s="1"/>
      <c r="FWG240" s="1"/>
      <c r="FWH240" s="1"/>
      <c r="FWI240" s="1"/>
      <c r="FWJ240" s="1"/>
      <c r="FWK240" s="1"/>
      <c r="FWL240" s="1"/>
      <c r="FWM240" s="1"/>
      <c r="FWN240" s="1"/>
      <c r="FWO240" s="1"/>
      <c r="FWP240" s="1"/>
      <c r="FWQ240" s="1"/>
      <c r="FWR240" s="1"/>
      <c r="FWS240" s="1"/>
      <c r="FWT240" s="1"/>
      <c r="FWU240" s="1"/>
      <c r="FWV240" s="1"/>
      <c r="FWW240" s="1"/>
      <c r="FWX240" s="1"/>
      <c r="FWY240" s="1"/>
      <c r="FWZ240" s="1"/>
      <c r="FXA240" s="1"/>
      <c r="FXB240" s="1"/>
      <c r="FXC240" s="1"/>
      <c r="FXD240" s="1"/>
      <c r="FXE240" s="1"/>
      <c r="FXF240" s="1"/>
      <c r="FXG240" s="1"/>
      <c r="FXH240" s="1"/>
      <c r="FXI240" s="1"/>
      <c r="FXJ240" s="1"/>
      <c r="FXK240" s="1"/>
      <c r="FXL240" s="1"/>
      <c r="FXM240" s="1"/>
      <c r="FXN240" s="1"/>
      <c r="FXO240" s="1"/>
      <c r="FXP240" s="1"/>
      <c r="FXQ240" s="1"/>
      <c r="FXR240" s="1"/>
      <c r="FXS240" s="1"/>
      <c r="FXT240" s="1"/>
      <c r="FXU240" s="1"/>
      <c r="FXV240" s="1"/>
      <c r="FXW240" s="1"/>
      <c r="FXX240" s="1"/>
      <c r="FXY240" s="1"/>
      <c r="FXZ240" s="1"/>
      <c r="FYA240" s="1"/>
      <c r="FYB240" s="1"/>
      <c r="FYC240" s="1"/>
      <c r="FYD240" s="1"/>
      <c r="FYE240" s="1"/>
      <c r="FYF240" s="1"/>
      <c r="FYG240" s="1"/>
      <c r="FYH240" s="1"/>
      <c r="FYI240" s="1"/>
      <c r="FYJ240" s="1"/>
      <c r="FYK240" s="1"/>
      <c r="FYL240" s="1"/>
      <c r="FYM240" s="1"/>
      <c r="FYN240" s="1"/>
      <c r="FYO240" s="1"/>
      <c r="FYP240" s="1"/>
      <c r="FYQ240" s="1"/>
      <c r="FYR240" s="1"/>
      <c r="FYS240" s="1"/>
      <c r="FYT240" s="1"/>
      <c r="FYU240" s="1"/>
      <c r="FYV240" s="1"/>
      <c r="FYW240" s="1"/>
      <c r="FYX240" s="1"/>
      <c r="FYY240" s="1"/>
      <c r="FYZ240" s="1"/>
      <c r="FZA240" s="1"/>
      <c r="FZB240" s="1"/>
      <c r="FZC240" s="1"/>
      <c r="FZD240" s="1"/>
      <c r="FZE240" s="1"/>
      <c r="FZF240" s="1"/>
      <c r="FZG240" s="1"/>
      <c r="FZH240" s="1"/>
      <c r="FZI240" s="1"/>
      <c r="FZJ240" s="1"/>
      <c r="FZK240" s="1"/>
      <c r="FZL240" s="1"/>
      <c r="FZM240" s="1"/>
      <c r="FZN240" s="1"/>
      <c r="FZO240" s="1"/>
      <c r="FZP240" s="1"/>
      <c r="FZQ240" s="1"/>
      <c r="FZR240" s="1"/>
      <c r="FZS240" s="1"/>
      <c r="FZT240" s="1"/>
      <c r="FZU240" s="1"/>
      <c r="FZV240" s="1"/>
      <c r="FZW240" s="1"/>
      <c r="FZX240" s="1"/>
      <c r="FZY240" s="1"/>
      <c r="FZZ240" s="1"/>
      <c r="GAA240" s="1"/>
      <c r="GAB240" s="1"/>
      <c r="GAC240" s="1"/>
      <c r="GAD240" s="1"/>
      <c r="GAE240" s="1"/>
      <c r="GAF240" s="1"/>
      <c r="GAG240" s="1"/>
      <c r="GAH240" s="1"/>
      <c r="GAI240" s="1"/>
      <c r="GAJ240" s="1"/>
      <c r="GAK240" s="1"/>
      <c r="GAL240" s="1"/>
      <c r="GAM240" s="1"/>
      <c r="GAN240" s="1"/>
      <c r="GAO240" s="1"/>
      <c r="GAP240" s="1"/>
      <c r="GAQ240" s="1"/>
      <c r="GAR240" s="1"/>
      <c r="GAS240" s="1"/>
      <c r="GAT240" s="1"/>
      <c r="GAU240" s="1"/>
      <c r="GAV240" s="1"/>
      <c r="GAW240" s="1"/>
      <c r="GAX240" s="1"/>
      <c r="GAY240" s="1"/>
      <c r="GAZ240" s="1"/>
      <c r="GBA240" s="1"/>
      <c r="GBB240" s="1"/>
      <c r="GBC240" s="1"/>
      <c r="GBD240" s="1"/>
      <c r="GBE240" s="1"/>
      <c r="GBF240" s="1"/>
      <c r="GBG240" s="1"/>
      <c r="GBH240" s="1"/>
      <c r="GBI240" s="1"/>
      <c r="GBJ240" s="1"/>
      <c r="GBK240" s="1"/>
      <c r="GBL240" s="1"/>
      <c r="GBM240" s="1"/>
      <c r="GBN240" s="1"/>
      <c r="GBO240" s="1"/>
      <c r="GBP240" s="1"/>
      <c r="GBQ240" s="1"/>
      <c r="GBR240" s="1"/>
      <c r="GBS240" s="1"/>
      <c r="GBT240" s="1"/>
      <c r="GBU240" s="1"/>
      <c r="GBV240" s="1"/>
      <c r="GBW240" s="1"/>
      <c r="GBX240" s="1"/>
      <c r="GBY240" s="1"/>
      <c r="GBZ240" s="1"/>
      <c r="GCA240" s="1"/>
      <c r="GCB240" s="1"/>
      <c r="GCC240" s="1"/>
      <c r="GCD240" s="1"/>
      <c r="GCE240" s="1"/>
      <c r="GCF240" s="1"/>
      <c r="GCG240" s="1"/>
      <c r="GCH240" s="1"/>
      <c r="GCI240" s="1"/>
      <c r="GCJ240" s="1"/>
      <c r="GCK240" s="1"/>
      <c r="GCL240" s="1"/>
      <c r="GCM240" s="1"/>
      <c r="GCN240" s="1"/>
      <c r="GCO240" s="1"/>
      <c r="GCP240" s="1"/>
      <c r="GCQ240" s="1"/>
      <c r="GCR240" s="1"/>
      <c r="GCS240" s="1"/>
      <c r="GCT240" s="1"/>
      <c r="GCU240" s="1"/>
      <c r="GCV240" s="1"/>
      <c r="GCW240" s="1"/>
      <c r="GCX240" s="1"/>
      <c r="GCY240" s="1"/>
      <c r="GCZ240" s="1"/>
      <c r="GDA240" s="1"/>
      <c r="GDB240" s="1"/>
      <c r="GDC240" s="1"/>
      <c r="GDD240" s="1"/>
      <c r="GDE240" s="1"/>
      <c r="GDF240" s="1"/>
      <c r="GDG240" s="1"/>
      <c r="GDH240" s="1"/>
      <c r="GDI240" s="1"/>
      <c r="GDJ240" s="1"/>
      <c r="GDK240" s="1"/>
      <c r="GDL240" s="1"/>
      <c r="GDM240" s="1"/>
      <c r="GDN240" s="1"/>
      <c r="GDO240" s="1"/>
      <c r="GDP240" s="1"/>
      <c r="GDQ240" s="1"/>
      <c r="GDR240" s="1"/>
      <c r="GDS240" s="1"/>
      <c r="GDT240" s="1"/>
      <c r="GDU240" s="1"/>
      <c r="GDV240" s="1"/>
      <c r="GDW240" s="1"/>
      <c r="GDX240" s="1"/>
      <c r="GDY240" s="1"/>
      <c r="GDZ240" s="1"/>
      <c r="GEA240" s="1"/>
      <c r="GEB240" s="1"/>
      <c r="GEC240" s="1"/>
      <c r="GED240" s="1"/>
      <c r="GEE240" s="1"/>
      <c r="GEF240" s="1"/>
      <c r="GEG240" s="1"/>
      <c r="GEH240" s="1"/>
      <c r="GEI240" s="1"/>
      <c r="GEJ240" s="1"/>
      <c r="GEK240" s="1"/>
      <c r="GEL240" s="1"/>
      <c r="GEM240" s="1"/>
      <c r="GEN240" s="1"/>
      <c r="GEO240" s="1"/>
      <c r="GEP240" s="1"/>
      <c r="GEQ240" s="1"/>
      <c r="GER240" s="1"/>
      <c r="GES240" s="1"/>
      <c r="GET240" s="1"/>
      <c r="GEU240" s="1"/>
      <c r="GEV240" s="1"/>
      <c r="GEW240" s="1"/>
      <c r="GEX240" s="1"/>
      <c r="GEY240" s="1"/>
      <c r="GEZ240" s="1"/>
      <c r="GFA240" s="1"/>
      <c r="GFB240" s="1"/>
      <c r="GFC240" s="1"/>
      <c r="GFD240" s="1"/>
      <c r="GFE240" s="1"/>
      <c r="GFF240" s="1"/>
      <c r="GFG240" s="1"/>
      <c r="GFH240" s="1"/>
      <c r="GFI240" s="1"/>
      <c r="GFJ240" s="1"/>
      <c r="GFK240" s="1"/>
      <c r="GFL240" s="1"/>
      <c r="GFM240" s="1"/>
      <c r="GFN240" s="1"/>
      <c r="GFO240" s="1"/>
      <c r="GFP240" s="1"/>
      <c r="GFQ240" s="1"/>
      <c r="GFR240" s="1"/>
      <c r="GFS240" s="1"/>
      <c r="GFT240" s="1"/>
      <c r="GFU240" s="1"/>
      <c r="GFV240" s="1"/>
      <c r="GFW240" s="1"/>
      <c r="GFX240" s="1"/>
      <c r="GFY240" s="1"/>
      <c r="GFZ240" s="1"/>
      <c r="GGA240" s="1"/>
      <c r="GGB240" s="1"/>
      <c r="GGC240" s="1"/>
      <c r="GGD240" s="1"/>
      <c r="GGE240" s="1"/>
      <c r="GGF240" s="1"/>
      <c r="GGG240" s="1"/>
      <c r="GGH240" s="1"/>
      <c r="GGI240" s="1"/>
      <c r="GGJ240" s="1"/>
      <c r="GGK240" s="1"/>
      <c r="GGL240" s="1"/>
      <c r="GGM240" s="1"/>
      <c r="GGN240" s="1"/>
      <c r="GGO240" s="1"/>
      <c r="GGP240" s="1"/>
      <c r="GGQ240" s="1"/>
      <c r="GGR240" s="1"/>
      <c r="GGS240" s="1"/>
      <c r="GGT240" s="1"/>
      <c r="GGU240" s="1"/>
      <c r="GGV240" s="1"/>
      <c r="GGW240" s="1"/>
      <c r="GGX240" s="1"/>
      <c r="GGY240" s="1"/>
      <c r="GGZ240" s="1"/>
      <c r="GHA240" s="1"/>
      <c r="GHB240" s="1"/>
      <c r="GHC240" s="1"/>
      <c r="GHD240" s="1"/>
      <c r="GHE240" s="1"/>
      <c r="GHF240" s="1"/>
      <c r="GHG240" s="1"/>
      <c r="GHH240" s="1"/>
      <c r="GHI240" s="1"/>
      <c r="GHJ240" s="1"/>
      <c r="GHK240" s="1"/>
      <c r="GHL240" s="1"/>
      <c r="GHM240" s="1"/>
      <c r="GHN240" s="1"/>
      <c r="GHO240" s="1"/>
      <c r="GHP240" s="1"/>
      <c r="GHQ240" s="1"/>
      <c r="GHR240" s="1"/>
      <c r="GHS240" s="1"/>
      <c r="GHT240" s="1"/>
      <c r="GHU240" s="1"/>
      <c r="GHV240" s="1"/>
      <c r="GHW240" s="1"/>
      <c r="GHX240" s="1"/>
      <c r="GHY240" s="1"/>
      <c r="GHZ240" s="1"/>
      <c r="GIA240" s="1"/>
      <c r="GIB240" s="1"/>
      <c r="GIC240" s="1"/>
      <c r="GID240" s="1"/>
      <c r="GIE240" s="1"/>
      <c r="GIF240" s="1"/>
      <c r="GIG240" s="1"/>
      <c r="GIH240" s="1"/>
      <c r="GII240" s="1"/>
      <c r="GIJ240" s="1"/>
      <c r="GIK240" s="1"/>
      <c r="GIL240" s="1"/>
      <c r="GIM240" s="1"/>
      <c r="GIN240" s="1"/>
      <c r="GIO240" s="1"/>
      <c r="GIP240" s="1"/>
      <c r="GIQ240" s="1"/>
      <c r="GIR240" s="1"/>
      <c r="GIS240" s="1"/>
      <c r="GIT240" s="1"/>
      <c r="GIU240" s="1"/>
      <c r="GIV240" s="1"/>
      <c r="GIW240" s="1"/>
      <c r="GIX240" s="1"/>
      <c r="GIY240" s="1"/>
      <c r="GIZ240" s="1"/>
      <c r="GJA240" s="1"/>
      <c r="GJB240" s="1"/>
      <c r="GJC240" s="1"/>
      <c r="GJD240" s="1"/>
      <c r="GJE240" s="1"/>
      <c r="GJF240" s="1"/>
      <c r="GJG240" s="1"/>
      <c r="GJH240" s="1"/>
      <c r="GJI240" s="1"/>
      <c r="GJJ240" s="1"/>
      <c r="GJK240" s="1"/>
      <c r="GJL240" s="1"/>
      <c r="GJM240" s="1"/>
      <c r="GJN240" s="1"/>
      <c r="GJO240" s="1"/>
      <c r="GJP240" s="1"/>
      <c r="GJQ240" s="1"/>
      <c r="GJR240" s="1"/>
      <c r="GJS240" s="1"/>
      <c r="GJT240" s="1"/>
      <c r="GJU240" s="1"/>
      <c r="GJV240" s="1"/>
      <c r="GJW240" s="1"/>
      <c r="GJX240" s="1"/>
      <c r="GJY240" s="1"/>
      <c r="GJZ240" s="1"/>
      <c r="GKA240" s="1"/>
      <c r="GKB240" s="1"/>
      <c r="GKC240" s="1"/>
      <c r="GKD240" s="1"/>
      <c r="GKE240" s="1"/>
      <c r="GKF240" s="1"/>
      <c r="GKG240" s="1"/>
      <c r="GKH240" s="1"/>
      <c r="GKI240" s="1"/>
      <c r="GKJ240" s="1"/>
      <c r="GKK240" s="1"/>
      <c r="GKL240" s="1"/>
      <c r="GKM240" s="1"/>
      <c r="GKN240" s="1"/>
      <c r="GKO240" s="1"/>
      <c r="GKP240" s="1"/>
      <c r="GKQ240" s="1"/>
      <c r="GKR240" s="1"/>
      <c r="GKS240" s="1"/>
      <c r="GKT240" s="1"/>
      <c r="GKU240" s="1"/>
      <c r="GKV240" s="1"/>
      <c r="GKW240" s="1"/>
      <c r="GKX240" s="1"/>
      <c r="GKY240" s="1"/>
      <c r="GKZ240" s="1"/>
      <c r="GLA240" s="1"/>
      <c r="GLB240" s="1"/>
      <c r="GLC240" s="1"/>
      <c r="GLD240" s="1"/>
      <c r="GLE240" s="1"/>
      <c r="GLF240" s="1"/>
      <c r="GLG240" s="1"/>
      <c r="GLH240" s="1"/>
      <c r="GLI240" s="1"/>
      <c r="GLJ240" s="1"/>
      <c r="GLK240" s="1"/>
      <c r="GLL240" s="1"/>
      <c r="GLM240" s="1"/>
      <c r="GLN240" s="1"/>
      <c r="GLO240" s="1"/>
      <c r="GLP240" s="1"/>
      <c r="GLQ240" s="1"/>
      <c r="GLR240" s="1"/>
      <c r="GLS240" s="1"/>
      <c r="GLT240" s="1"/>
      <c r="GLU240" s="1"/>
      <c r="GLV240" s="1"/>
      <c r="GLW240" s="1"/>
      <c r="GLX240" s="1"/>
      <c r="GLY240" s="1"/>
      <c r="GLZ240" s="1"/>
      <c r="GMA240" s="1"/>
      <c r="GMB240" s="1"/>
      <c r="GMC240" s="1"/>
      <c r="GMD240" s="1"/>
      <c r="GME240" s="1"/>
      <c r="GMF240" s="1"/>
      <c r="GMG240" s="1"/>
      <c r="GMH240" s="1"/>
      <c r="GMI240" s="1"/>
      <c r="GMJ240" s="1"/>
      <c r="GMK240" s="1"/>
      <c r="GML240" s="1"/>
      <c r="GMM240" s="1"/>
      <c r="GMN240" s="1"/>
      <c r="GMO240" s="1"/>
      <c r="GMP240" s="1"/>
      <c r="GMQ240" s="1"/>
      <c r="GMR240" s="1"/>
      <c r="GMS240" s="1"/>
      <c r="GMT240" s="1"/>
      <c r="GMU240" s="1"/>
      <c r="GMV240" s="1"/>
      <c r="GMW240" s="1"/>
      <c r="GMX240" s="1"/>
      <c r="GMY240" s="1"/>
      <c r="GMZ240" s="1"/>
      <c r="GNA240" s="1"/>
      <c r="GNB240" s="1"/>
      <c r="GNC240" s="1"/>
      <c r="GND240" s="1"/>
      <c r="GNE240" s="1"/>
      <c r="GNF240" s="1"/>
      <c r="GNG240" s="1"/>
      <c r="GNH240" s="1"/>
      <c r="GNI240" s="1"/>
      <c r="GNJ240" s="1"/>
      <c r="GNK240" s="1"/>
      <c r="GNL240" s="1"/>
      <c r="GNM240" s="1"/>
      <c r="GNN240" s="1"/>
      <c r="GNO240" s="1"/>
      <c r="GNP240" s="1"/>
      <c r="GNQ240" s="1"/>
      <c r="GNR240" s="1"/>
      <c r="GNS240" s="1"/>
      <c r="GNT240" s="1"/>
      <c r="GNU240" s="1"/>
      <c r="GNV240" s="1"/>
      <c r="GNW240" s="1"/>
      <c r="GNX240" s="1"/>
      <c r="GNY240" s="1"/>
      <c r="GNZ240" s="1"/>
      <c r="GOA240" s="1"/>
      <c r="GOB240" s="1"/>
      <c r="GOC240" s="1"/>
      <c r="GOD240" s="1"/>
      <c r="GOE240" s="1"/>
      <c r="GOF240" s="1"/>
      <c r="GOG240" s="1"/>
      <c r="GOH240" s="1"/>
      <c r="GOI240" s="1"/>
      <c r="GOJ240" s="1"/>
      <c r="GOK240" s="1"/>
      <c r="GOL240" s="1"/>
      <c r="GOM240" s="1"/>
      <c r="GON240" s="1"/>
      <c r="GOO240" s="1"/>
      <c r="GOP240" s="1"/>
      <c r="GOQ240" s="1"/>
      <c r="GOR240" s="1"/>
      <c r="GOS240" s="1"/>
      <c r="GOT240" s="1"/>
      <c r="GOU240" s="1"/>
      <c r="GOV240" s="1"/>
      <c r="GOW240" s="1"/>
      <c r="GOX240" s="1"/>
      <c r="GOY240" s="1"/>
      <c r="GOZ240" s="1"/>
      <c r="GPA240" s="1"/>
      <c r="GPB240" s="1"/>
      <c r="GPC240" s="1"/>
      <c r="GPD240" s="1"/>
      <c r="GPE240" s="1"/>
      <c r="GPF240" s="1"/>
      <c r="GPG240" s="1"/>
      <c r="GPH240" s="1"/>
      <c r="GPI240" s="1"/>
      <c r="GPJ240" s="1"/>
      <c r="GPK240" s="1"/>
      <c r="GPL240" s="1"/>
      <c r="GPM240" s="1"/>
      <c r="GPN240" s="1"/>
      <c r="GPO240" s="1"/>
      <c r="GPP240" s="1"/>
      <c r="GPQ240" s="1"/>
      <c r="GPR240" s="1"/>
      <c r="GPS240" s="1"/>
      <c r="GPT240" s="1"/>
      <c r="GPU240" s="1"/>
      <c r="GPV240" s="1"/>
      <c r="GPW240" s="1"/>
      <c r="GPX240" s="1"/>
      <c r="GPY240" s="1"/>
      <c r="GPZ240" s="1"/>
      <c r="GQA240" s="1"/>
      <c r="GQB240" s="1"/>
      <c r="GQC240" s="1"/>
      <c r="GQD240" s="1"/>
      <c r="GQE240" s="1"/>
      <c r="GQF240" s="1"/>
      <c r="GQG240" s="1"/>
      <c r="GQH240" s="1"/>
      <c r="GQI240" s="1"/>
      <c r="GQJ240" s="1"/>
      <c r="GQK240" s="1"/>
      <c r="GQL240" s="1"/>
      <c r="GQM240" s="1"/>
      <c r="GQN240" s="1"/>
      <c r="GQO240" s="1"/>
      <c r="GQP240" s="1"/>
      <c r="GQQ240" s="1"/>
      <c r="GQR240" s="1"/>
      <c r="GQS240" s="1"/>
      <c r="GQT240" s="1"/>
      <c r="GQU240" s="1"/>
      <c r="GQV240" s="1"/>
      <c r="GQW240" s="1"/>
      <c r="GQX240" s="1"/>
      <c r="GQY240" s="1"/>
      <c r="GQZ240" s="1"/>
      <c r="GRA240" s="1"/>
      <c r="GRB240" s="1"/>
      <c r="GRC240" s="1"/>
      <c r="GRD240" s="1"/>
      <c r="GRE240" s="1"/>
      <c r="GRF240" s="1"/>
      <c r="GRG240" s="1"/>
      <c r="GRH240" s="1"/>
      <c r="GRI240" s="1"/>
      <c r="GRJ240" s="1"/>
      <c r="GRK240" s="1"/>
      <c r="GRL240" s="1"/>
      <c r="GRM240" s="1"/>
      <c r="GRN240" s="1"/>
      <c r="GRO240" s="1"/>
      <c r="GRP240" s="1"/>
      <c r="GRQ240" s="1"/>
      <c r="GRR240" s="1"/>
      <c r="GRS240" s="1"/>
      <c r="GRT240" s="1"/>
      <c r="GRU240" s="1"/>
      <c r="GRV240" s="1"/>
      <c r="GRW240" s="1"/>
      <c r="GRX240" s="1"/>
      <c r="GRY240" s="1"/>
      <c r="GRZ240" s="1"/>
      <c r="GSA240" s="1"/>
      <c r="GSB240" s="1"/>
      <c r="GSC240" s="1"/>
      <c r="GSD240" s="1"/>
      <c r="GSE240" s="1"/>
      <c r="GSF240" s="1"/>
      <c r="GSG240" s="1"/>
      <c r="GSH240" s="1"/>
      <c r="GSI240" s="1"/>
      <c r="GSJ240" s="1"/>
      <c r="GSK240" s="1"/>
      <c r="GSL240" s="1"/>
      <c r="GSM240" s="1"/>
      <c r="GSN240" s="1"/>
      <c r="GSO240" s="1"/>
      <c r="GSP240" s="1"/>
      <c r="GSQ240" s="1"/>
      <c r="GSR240" s="1"/>
      <c r="GSS240" s="1"/>
      <c r="GST240" s="1"/>
      <c r="GSU240" s="1"/>
      <c r="GSV240" s="1"/>
      <c r="GSW240" s="1"/>
      <c r="GSX240" s="1"/>
      <c r="GSY240" s="1"/>
      <c r="GSZ240" s="1"/>
      <c r="GTA240" s="1"/>
      <c r="GTB240" s="1"/>
      <c r="GTC240" s="1"/>
      <c r="GTD240" s="1"/>
      <c r="GTE240" s="1"/>
      <c r="GTF240" s="1"/>
      <c r="GTG240" s="1"/>
      <c r="GTH240" s="1"/>
      <c r="GTI240" s="1"/>
      <c r="GTJ240" s="1"/>
      <c r="GTK240" s="1"/>
      <c r="GTL240" s="1"/>
      <c r="GTM240" s="1"/>
      <c r="GTN240" s="1"/>
      <c r="GTO240" s="1"/>
      <c r="GTP240" s="1"/>
      <c r="GTQ240" s="1"/>
      <c r="GTR240" s="1"/>
      <c r="GTS240" s="1"/>
      <c r="GTT240" s="1"/>
      <c r="GTU240" s="1"/>
      <c r="GTV240" s="1"/>
      <c r="GTW240" s="1"/>
      <c r="GTX240" s="1"/>
      <c r="GTY240" s="1"/>
      <c r="GTZ240" s="1"/>
      <c r="GUA240" s="1"/>
      <c r="GUB240" s="1"/>
      <c r="GUC240" s="1"/>
      <c r="GUD240" s="1"/>
      <c r="GUE240" s="1"/>
      <c r="GUF240" s="1"/>
      <c r="GUG240" s="1"/>
      <c r="GUH240" s="1"/>
      <c r="GUI240" s="1"/>
      <c r="GUJ240" s="1"/>
      <c r="GUK240" s="1"/>
      <c r="GUL240" s="1"/>
      <c r="GUM240" s="1"/>
      <c r="GUN240" s="1"/>
      <c r="GUO240" s="1"/>
      <c r="GUP240" s="1"/>
      <c r="GUQ240" s="1"/>
      <c r="GUR240" s="1"/>
      <c r="GUS240" s="1"/>
      <c r="GUT240" s="1"/>
      <c r="GUU240" s="1"/>
      <c r="GUV240" s="1"/>
      <c r="GUW240" s="1"/>
      <c r="GUX240" s="1"/>
      <c r="GUY240" s="1"/>
      <c r="GUZ240" s="1"/>
      <c r="GVA240" s="1"/>
      <c r="GVB240" s="1"/>
      <c r="GVC240" s="1"/>
      <c r="GVD240" s="1"/>
      <c r="GVE240" s="1"/>
      <c r="GVF240" s="1"/>
      <c r="GVG240" s="1"/>
      <c r="GVH240" s="1"/>
      <c r="GVI240" s="1"/>
      <c r="GVJ240" s="1"/>
      <c r="GVK240" s="1"/>
      <c r="GVL240" s="1"/>
      <c r="GVM240" s="1"/>
      <c r="GVN240" s="1"/>
      <c r="GVO240" s="1"/>
      <c r="GVP240" s="1"/>
      <c r="GVQ240" s="1"/>
      <c r="GVR240" s="1"/>
      <c r="GVS240" s="1"/>
      <c r="GVT240" s="1"/>
      <c r="GVU240" s="1"/>
      <c r="GVV240" s="1"/>
      <c r="GVW240" s="1"/>
      <c r="GVX240" s="1"/>
      <c r="GVY240" s="1"/>
      <c r="GVZ240" s="1"/>
      <c r="GWA240" s="1"/>
      <c r="GWB240" s="1"/>
      <c r="GWC240" s="1"/>
      <c r="GWD240" s="1"/>
      <c r="GWE240" s="1"/>
      <c r="GWF240" s="1"/>
      <c r="GWG240" s="1"/>
      <c r="GWH240" s="1"/>
      <c r="GWI240" s="1"/>
      <c r="GWJ240" s="1"/>
      <c r="GWK240" s="1"/>
      <c r="GWL240" s="1"/>
      <c r="GWM240" s="1"/>
      <c r="GWN240" s="1"/>
      <c r="GWO240" s="1"/>
      <c r="GWP240" s="1"/>
      <c r="GWQ240" s="1"/>
      <c r="GWR240" s="1"/>
      <c r="GWS240" s="1"/>
      <c r="GWT240" s="1"/>
      <c r="GWU240" s="1"/>
      <c r="GWV240" s="1"/>
      <c r="GWW240" s="1"/>
      <c r="GWX240" s="1"/>
      <c r="GWY240" s="1"/>
      <c r="GWZ240" s="1"/>
      <c r="GXA240" s="1"/>
      <c r="GXB240" s="1"/>
      <c r="GXC240" s="1"/>
      <c r="GXD240" s="1"/>
      <c r="GXE240" s="1"/>
      <c r="GXF240" s="1"/>
      <c r="GXG240" s="1"/>
      <c r="GXH240" s="1"/>
      <c r="GXI240" s="1"/>
      <c r="GXJ240" s="1"/>
      <c r="GXK240" s="1"/>
      <c r="GXL240" s="1"/>
      <c r="GXM240" s="1"/>
      <c r="GXN240" s="1"/>
      <c r="GXO240" s="1"/>
      <c r="GXP240" s="1"/>
      <c r="GXQ240" s="1"/>
      <c r="GXR240" s="1"/>
      <c r="GXS240" s="1"/>
      <c r="GXT240" s="1"/>
      <c r="GXU240" s="1"/>
      <c r="GXV240" s="1"/>
      <c r="GXW240" s="1"/>
      <c r="GXX240" s="1"/>
      <c r="GXY240" s="1"/>
      <c r="GXZ240" s="1"/>
      <c r="GYA240" s="1"/>
      <c r="GYB240" s="1"/>
      <c r="GYC240" s="1"/>
      <c r="GYD240" s="1"/>
      <c r="GYE240" s="1"/>
      <c r="GYF240" s="1"/>
      <c r="GYG240" s="1"/>
      <c r="GYH240" s="1"/>
      <c r="GYI240" s="1"/>
      <c r="GYJ240" s="1"/>
      <c r="GYK240" s="1"/>
      <c r="GYL240" s="1"/>
      <c r="GYM240" s="1"/>
      <c r="GYN240" s="1"/>
      <c r="GYO240" s="1"/>
      <c r="GYP240" s="1"/>
      <c r="GYQ240" s="1"/>
      <c r="GYR240" s="1"/>
      <c r="GYS240" s="1"/>
      <c r="GYT240" s="1"/>
      <c r="GYU240" s="1"/>
      <c r="GYV240" s="1"/>
      <c r="GYW240" s="1"/>
      <c r="GYX240" s="1"/>
      <c r="GYY240" s="1"/>
      <c r="GYZ240" s="1"/>
      <c r="GZA240" s="1"/>
      <c r="GZB240" s="1"/>
      <c r="GZC240" s="1"/>
      <c r="GZD240" s="1"/>
      <c r="GZE240" s="1"/>
      <c r="GZF240" s="1"/>
      <c r="GZG240" s="1"/>
      <c r="GZH240" s="1"/>
      <c r="GZI240" s="1"/>
      <c r="GZJ240" s="1"/>
      <c r="GZK240" s="1"/>
      <c r="GZL240" s="1"/>
      <c r="GZM240" s="1"/>
      <c r="GZN240" s="1"/>
      <c r="GZO240" s="1"/>
      <c r="GZP240" s="1"/>
      <c r="GZQ240" s="1"/>
      <c r="GZR240" s="1"/>
      <c r="GZS240" s="1"/>
      <c r="GZT240" s="1"/>
      <c r="GZU240" s="1"/>
      <c r="GZV240" s="1"/>
      <c r="GZW240" s="1"/>
      <c r="GZX240" s="1"/>
      <c r="GZY240" s="1"/>
      <c r="GZZ240" s="1"/>
      <c r="HAA240" s="1"/>
      <c r="HAB240" s="1"/>
      <c r="HAC240" s="1"/>
      <c r="HAD240" s="1"/>
      <c r="HAE240" s="1"/>
      <c r="HAF240" s="1"/>
      <c r="HAG240" s="1"/>
      <c r="HAH240" s="1"/>
      <c r="HAI240" s="1"/>
      <c r="HAJ240" s="1"/>
      <c r="HAK240" s="1"/>
      <c r="HAL240" s="1"/>
      <c r="HAM240" s="1"/>
      <c r="HAN240" s="1"/>
      <c r="HAO240" s="1"/>
      <c r="HAP240" s="1"/>
      <c r="HAQ240" s="1"/>
      <c r="HAR240" s="1"/>
      <c r="HAS240" s="1"/>
      <c r="HAT240" s="1"/>
      <c r="HAU240" s="1"/>
      <c r="HAV240" s="1"/>
      <c r="HAW240" s="1"/>
      <c r="HAX240" s="1"/>
      <c r="HAY240" s="1"/>
      <c r="HAZ240" s="1"/>
      <c r="HBA240" s="1"/>
      <c r="HBB240" s="1"/>
      <c r="HBC240" s="1"/>
      <c r="HBD240" s="1"/>
      <c r="HBE240" s="1"/>
      <c r="HBF240" s="1"/>
      <c r="HBG240" s="1"/>
      <c r="HBH240" s="1"/>
      <c r="HBI240" s="1"/>
      <c r="HBJ240" s="1"/>
      <c r="HBK240" s="1"/>
      <c r="HBL240" s="1"/>
      <c r="HBM240" s="1"/>
      <c r="HBN240" s="1"/>
      <c r="HBO240" s="1"/>
      <c r="HBP240" s="1"/>
      <c r="HBQ240" s="1"/>
      <c r="HBR240" s="1"/>
      <c r="HBS240" s="1"/>
      <c r="HBT240" s="1"/>
      <c r="HBU240" s="1"/>
      <c r="HBV240" s="1"/>
      <c r="HBW240" s="1"/>
      <c r="HBX240" s="1"/>
      <c r="HBY240" s="1"/>
      <c r="HBZ240" s="1"/>
      <c r="HCA240" s="1"/>
      <c r="HCB240" s="1"/>
      <c r="HCC240" s="1"/>
      <c r="HCD240" s="1"/>
      <c r="HCE240" s="1"/>
      <c r="HCF240" s="1"/>
      <c r="HCG240" s="1"/>
      <c r="HCH240" s="1"/>
      <c r="HCI240" s="1"/>
      <c r="HCJ240" s="1"/>
      <c r="HCK240" s="1"/>
      <c r="HCL240" s="1"/>
      <c r="HCM240" s="1"/>
      <c r="HCN240" s="1"/>
      <c r="HCO240" s="1"/>
      <c r="HCP240" s="1"/>
      <c r="HCQ240" s="1"/>
      <c r="HCR240" s="1"/>
      <c r="HCS240" s="1"/>
      <c r="HCT240" s="1"/>
      <c r="HCU240" s="1"/>
      <c r="HCV240" s="1"/>
      <c r="HCW240" s="1"/>
      <c r="HCX240" s="1"/>
      <c r="HCY240" s="1"/>
      <c r="HCZ240" s="1"/>
      <c r="HDA240" s="1"/>
      <c r="HDB240" s="1"/>
      <c r="HDC240" s="1"/>
      <c r="HDD240" s="1"/>
      <c r="HDE240" s="1"/>
      <c r="HDF240" s="1"/>
      <c r="HDG240" s="1"/>
      <c r="HDH240" s="1"/>
      <c r="HDI240" s="1"/>
      <c r="HDJ240" s="1"/>
      <c r="HDK240" s="1"/>
      <c r="HDL240" s="1"/>
      <c r="HDM240" s="1"/>
      <c r="HDN240" s="1"/>
      <c r="HDO240" s="1"/>
      <c r="HDP240" s="1"/>
      <c r="HDQ240" s="1"/>
      <c r="HDR240" s="1"/>
      <c r="HDS240" s="1"/>
      <c r="HDT240" s="1"/>
      <c r="HDU240" s="1"/>
      <c r="HDV240" s="1"/>
      <c r="HDW240" s="1"/>
      <c r="HDX240" s="1"/>
      <c r="HDY240" s="1"/>
      <c r="HDZ240" s="1"/>
      <c r="HEA240" s="1"/>
      <c r="HEB240" s="1"/>
      <c r="HEC240" s="1"/>
      <c r="HED240" s="1"/>
      <c r="HEE240" s="1"/>
      <c r="HEF240" s="1"/>
      <c r="HEG240" s="1"/>
      <c r="HEH240" s="1"/>
      <c r="HEI240" s="1"/>
      <c r="HEJ240" s="1"/>
      <c r="HEK240" s="1"/>
      <c r="HEL240" s="1"/>
      <c r="HEM240" s="1"/>
      <c r="HEN240" s="1"/>
      <c r="HEO240" s="1"/>
      <c r="HEP240" s="1"/>
      <c r="HEQ240" s="1"/>
      <c r="HER240" s="1"/>
      <c r="HES240" s="1"/>
      <c r="HET240" s="1"/>
      <c r="HEU240" s="1"/>
      <c r="HEV240" s="1"/>
      <c r="HEW240" s="1"/>
      <c r="HEX240" s="1"/>
      <c r="HEY240" s="1"/>
      <c r="HEZ240" s="1"/>
      <c r="HFA240" s="1"/>
      <c r="HFB240" s="1"/>
      <c r="HFC240" s="1"/>
      <c r="HFD240" s="1"/>
      <c r="HFE240" s="1"/>
      <c r="HFF240" s="1"/>
      <c r="HFG240" s="1"/>
      <c r="HFH240" s="1"/>
      <c r="HFI240" s="1"/>
      <c r="HFJ240" s="1"/>
      <c r="HFK240" s="1"/>
      <c r="HFL240" s="1"/>
      <c r="HFM240" s="1"/>
      <c r="HFN240" s="1"/>
      <c r="HFO240" s="1"/>
      <c r="HFP240" s="1"/>
      <c r="HFQ240" s="1"/>
      <c r="HFR240" s="1"/>
      <c r="HFS240" s="1"/>
      <c r="HFT240" s="1"/>
      <c r="HFU240" s="1"/>
      <c r="HFV240" s="1"/>
      <c r="HFW240" s="1"/>
      <c r="HFX240" s="1"/>
      <c r="HFY240" s="1"/>
      <c r="HFZ240" s="1"/>
      <c r="HGA240" s="1"/>
      <c r="HGB240" s="1"/>
      <c r="HGC240" s="1"/>
      <c r="HGD240" s="1"/>
      <c r="HGE240" s="1"/>
      <c r="HGF240" s="1"/>
      <c r="HGG240" s="1"/>
      <c r="HGH240" s="1"/>
      <c r="HGI240" s="1"/>
      <c r="HGJ240" s="1"/>
      <c r="HGK240" s="1"/>
      <c r="HGL240" s="1"/>
      <c r="HGM240" s="1"/>
      <c r="HGN240" s="1"/>
      <c r="HGO240" s="1"/>
      <c r="HGP240" s="1"/>
      <c r="HGQ240" s="1"/>
      <c r="HGR240" s="1"/>
      <c r="HGS240" s="1"/>
      <c r="HGT240" s="1"/>
      <c r="HGU240" s="1"/>
      <c r="HGV240" s="1"/>
      <c r="HGW240" s="1"/>
      <c r="HGX240" s="1"/>
      <c r="HGY240" s="1"/>
      <c r="HGZ240" s="1"/>
      <c r="HHA240" s="1"/>
      <c r="HHB240" s="1"/>
      <c r="HHC240" s="1"/>
      <c r="HHD240" s="1"/>
      <c r="HHE240" s="1"/>
      <c r="HHF240" s="1"/>
      <c r="HHG240" s="1"/>
      <c r="HHH240" s="1"/>
      <c r="HHI240" s="1"/>
      <c r="HHJ240" s="1"/>
      <c r="HHK240" s="1"/>
      <c r="HHL240" s="1"/>
      <c r="HHM240" s="1"/>
      <c r="HHN240" s="1"/>
      <c r="HHO240" s="1"/>
      <c r="HHP240" s="1"/>
      <c r="HHQ240" s="1"/>
      <c r="HHR240" s="1"/>
      <c r="HHS240" s="1"/>
      <c r="HHT240" s="1"/>
      <c r="HHU240" s="1"/>
      <c r="HHV240" s="1"/>
      <c r="HHW240" s="1"/>
      <c r="HHX240" s="1"/>
      <c r="HHY240" s="1"/>
      <c r="HHZ240" s="1"/>
      <c r="HIA240" s="1"/>
      <c r="HIB240" s="1"/>
      <c r="HIC240" s="1"/>
      <c r="HID240" s="1"/>
      <c r="HIE240" s="1"/>
      <c r="HIF240" s="1"/>
      <c r="HIG240" s="1"/>
      <c r="HIH240" s="1"/>
      <c r="HII240" s="1"/>
      <c r="HIJ240" s="1"/>
      <c r="HIK240" s="1"/>
      <c r="HIL240" s="1"/>
      <c r="HIM240" s="1"/>
      <c r="HIN240" s="1"/>
      <c r="HIO240" s="1"/>
      <c r="HIP240" s="1"/>
      <c r="HIQ240" s="1"/>
      <c r="HIR240" s="1"/>
      <c r="HIS240" s="1"/>
      <c r="HIT240" s="1"/>
      <c r="HIU240" s="1"/>
      <c r="HIV240" s="1"/>
      <c r="HIW240" s="1"/>
      <c r="HIX240" s="1"/>
      <c r="HIY240" s="1"/>
      <c r="HIZ240" s="1"/>
      <c r="HJA240" s="1"/>
      <c r="HJB240" s="1"/>
      <c r="HJC240" s="1"/>
      <c r="HJD240" s="1"/>
      <c r="HJE240" s="1"/>
      <c r="HJF240" s="1"/>
      <c r="HJG240" s="1"/>
      <c r="HJH240" s="1"/>
      <c r="HJI240" s="1"/>
      <c r="HJJ240" s="1"/>
      <c r="HJK240" s="1"/>
      <c r="HJL240" s="1"/>
      <c r="HJM240" s="1"/>
      <c r="HJN240" s="1"/>
      <c r="HJO240" s="1"/>
      <c r="HJP240" s="1"/>
      <c r="HJQ240" s="1"/>
      <c r="HJR240" s="1"/>
      <c r="HJS240" s="1"/>
      <c r="HJT240" s="1"/>
      <c r="HJU240" s="1"/>
      <c r="HJV240" s="1"/>
      <c r="HJW240" s="1"/>
      <c r="HJX240" s="1"/>
      <c r="HJY240" s="1"/>
      <c r="HJZ240" s="1"/>
      <c r="HKA240" s="1"/>
      <c r="HKB240" s="1"/>
      <c r="HKC240" s="1"/>
      <c r="HKD240" s="1"/>
      <c r="HKE240" s="1"/>
      <c r="HKF240" s="1"/>
      <c r="HKG240" s="1"/>
      <c r="HKH240" s="1"/>
      <c r="HKI240" s="1"/>
      <c r="HKJ240" s="1"/>
      <c r="HKK240" s="1"/>
      <c r="HKL240" s="1"/>
      <c r="HKM240" s="1"/>
      <c r="HKN240" s="1"/>
      <c r="HKO240" s="1"/>
      <c r="HKP240" s="1"/>
      <c r="HKQ240" s="1"/>
      <c r="HKR240" s="1"/>
      <c r="HKS240" s="1"/>
      <c r="HKT240" s="1"/>
      <c r="HKU240" s="1"/>
      <c r="HKV240" s="1"/>
      <c r="HKW240" s="1"/>
      <c r="HKX240" s="1"/>
      <c r="HKY240" s="1"/>
      <c r="HKZ240" s="1"/>
      <c r="HLA240" s="1"/>
      <c r="HLB240" s="1"/>
      <c r="HLC240" s="1"/>
      <c r="HLD240" s="1"/>
      <c r="HLE240" s="1"/>
      <c r="HLF240" s="1"/>
      <c r="HLG240" s="1"/>
      <c r="HLH240" s="1"/>
      <c r="HLI240" s="1"/>
      <c r="HLJ240" s="1"/>
      <c r="HLK240" s="1"/>
      <c r="HLL240" s="1"/>
      <c r="HLM240" s="1"/>
      <c r="HLN240" s="1"/>
      <c r="HLO240" s="1"/>
      <c r="HLP240" s="1"/>
      <c r="HLQ240" s="1"/>
      <c r="HLR240" s="1"/>
      <c r="HLS240" s="1"/>
      <c r="HLT240" s="1"/>
      <c r="HLU240" s="1"/>
      <c r="HLV240" s="1"/>
      <c r="HLW240" s="1"/>
      <c r="HLX240" s="1"/>
      <c r="HLY240" s="1"/>
      <c r="HLZ240" s="1"/>
      <c r="HMA240" s="1"/>
      <c r="HMB240" s="1"/>
      <c r="HMC240" s="1"/>
      <c r="HMD240" s="1"/>
      <c r="HME240" s="1"/>
      <c r="HMF240" s="1"/>
      <c r="HMG240" s="1"/>
      <c r="HMH240" s="1"/>
      <c r="HMI240" s="1"/>
      <c r="HMJ240" s="1"/>
      <c r="HMK240" s="1"/>
      <c r="HML240" s="1"/>
      <c r="HMM240" s="1"/>
      <c r="HMN240" s="1"/>
      <c r="HMO240" s="1"/>
      <c r="HMP240" s="1"/>
      <c r="HMQ240" s="1"/>
      <c r="HMR240" s="1"/>
      <c r="HMS240" s="1"/>
      <c r="HMT240" s="1"/>
      <c r="HMU240" s="1"/>
      <c r="HMV240" s="1"/>
      <c r="HMW240" s="1"/>
      <c r="HMX240" s="1"/>
      <c r="HMY240" s="1"/>
      <c r="HMZ240" s="1"/>
      <c r="HNA240" s="1"/>
      <c r="HNB240" s="1"/>
      <c r="HNC240" s="1"/>
      <c r="HND240" s="1"/>
      <c r="HNE240" s="1"/>
      <c r="HNF240" s="1"/>
      <c r="HNG240" s="1"/>
      <c r="HNH240" s="1"/>
      <c r="HNI240" s="1"/>
      <c r="HNJ240" s="1"/>
      <c r="HNK240" s="1"/>
      <c r="HNL240" s="1"/>
      <c r="HNM240" s="1"/>
      <c r="HNN240" s="1"/>
      <c r="HNO240" s="1"/>
      <c r="HNP240" s="1"/>
      <c r="HNQ240" s="1"/>
      <c r="HNR240" s="1"/>
      <c r="HNS240" s="1"/>
      <c r="HNT240" s="1"/>
      <c r="HNU240" s="1"/>
      <c r="HNV240" s="1"/>
      <c r="HNW240" s="1"/>
      <c r="HNX240" s="1"/>
      <c r="HNY240" s="1"/>
      <c r="HNZ240" s="1"/>
      <c r="HOA240" s="1"/>
      <c r="HOB240" s="1"/>
      <c r="HOC240" s="1"/>
      <c r="HOD240" s="1"/>
      <c r="HOE240" s="1"/>
      <c r="HOF240" s="1"/>
      <c r="HOG240" s="1"/>
      <c r="HOH240" s="1"/>
      <c r="HOI240" s="1"/>
      <c r="HOJ240" s="1"/>
      <c r="HOK240" s="1"/>
      <c r="HOL240" s="1"/>
      <c r="HOM240" s="1"/>
      <c r="HON240" s="1"/>
      <c r="HOO240" s="1"/>
      <c r="HOP240" s="1"/>
      <c r="HOQ240" s="1"/>
      <c r="HOR240" s="1"/>
      <c r="HOS240" s="1"/>
      <c r="HOT240" s="1"/>
      <c r="HOU240" s="1"/>
      <c r="HOV240" s="1"/>
      <c r="HOW240" s="1"/>
      <c r="HOX240" s="1"/>
      <c r="HOY240" s="1"/>
      <c r="HOZ240" s="1"/>
      <c r="HPA240" s="1"/>
      <c r="HPB240" s="1"/>
      <c r="HPC240" s="1"/>
      <c r="HPD240" s="1"/>
      <c r="HPE240" s="1"/>
      <c r="HPF240" s="1"/>
      <c r="HPG240" s="1"/>
      <c r="HPH240" s="1"/>
      <c r="HPI240" s="1"/>
      <c r="HPJ240" s="1"/>
      <c r="HPK240" s="1"/>
      <c r="HPL240" s="1"/>
      <c r="HPM240" s="1"/>
      <c r="HPN240" s="1"/>
      <c r="HPO240" s="1"/>
      <c r="HPP240" s="1"/>
      <c r="HPQ240" s="1"/>
      <c r="HPR240" s="1"/>
      <c r="HPS240" s="1"/>
      <c r="HPT240" s="1"/>
      <c r="HPU240" s="1"/>
      <c r="HPV240" s="1"/>
      <c r="HPW240" s="1"/>
      <c r="HPX240" s="1"/>
      <c r="HPY240" s="1"/>
      <c r="HPZ240" s="1"/>
      <c r="HQA240" s="1"/>
      <c r="HQB240" s="1"/>
      <c r="HQC240" s="1"/>
      <c r="HQD240" s="1"/>
      <c r="HQE240" s="1"/>
      <c r="HQF240" s="1"/>
      <c r="HQG240" s="1"/>
      <c r="HQH240" s="1"/>
      <c r="HQI240" s="1"/>
      <c r="HQJ240" s="1"/>
      <c r="HQK240" s="1"/>
      <c r="HQL240" s="1"/>
      <c r="HQM240" s="1"/>
      <c r="HQN240" s="1"/>
      <c r="HQO240" s="1"/>
      <c r="HQP240" s="1"/>
      <c r="HQQ240" s="1"/>
      <c r="HQR240" s="1"/>
      <c r="HQS240" s="1"/>
      <c r="HQT240" s="1"/>
      <c r="HQU240" s="1"/>
      <c r="HQV240" s="1"/>
      <c r="HQW240" s="1"/>
      <c r="HQX240" s="1"/>
      <c r="HQY240" s="1"/>
      <c r="HQZ240" s="1"/>
      <c r="HRA240" s="1"/>
      <c r="HRB240" s="1"/>
      <c r="HRC240" s="1"/>
      <c r="HRD240" s="1"/>
      <c r="HRE240" s="1"/>
      <c r="HRF240" s="1"/>
      <c r="HRG240" s="1"/>
      <c r="HRH240" s="1"/>
      <c r="HRI240" s="1"/>
      <c r="HRJ240" s="1"/>
      <c r="HRK240" s="1"/>
      <c r="HRL240" s="1"/>
      <c r="HRM240" s="1"/>
      <c r="HRN240" s="1"/>
      <c r="HRO240" s="1"/>
      <c r="HRP240" s="1"/>
      <c r="HRQ240" s="1"/>
      <c r="HRR240" s="1"/>
      <c r="HRS240" s="1"/>
      <c r="HRT240" s="1"/>
      <c r="HRU240" s="1"/>
      <c r="HRV240" s="1"/>
      <c r="HRW240" s="1"/>
      <c r="HRX240" s="1"/>
      <c r="HRY240" s="1"/>
      <c r="HRZ240" s="1"/>
      <c r="HSA240" s="1"/>
      <c r="HSB240" s="1"/>
      <c r="HSC240" s="1"/>
      <c r="HSD240" s="1"/>
      <c r="HSE240" s="1"/>
      <c r="HSF240" s="1"/>
      <c r="HSG240" s="1"/>
      <c r="HSH240" s="1"/>
      <c r="HSI240" s="1"/>
      <c r="HSJ240" s="1"/>
      <c r="HSK240" s="1"/>
      <c r="HSL240" s="1"/>
      <c r="HSM240" s="1"/>
      <c r="HSN240" s="1"/>
      <c r="HSO240" s="1"/>
      <c r="HSP240" s="1"/>
      <c r="HSQ240" s="1"/>
      <c r="HSR240" s="1"/>
      <c r="HSS240" s="1"/>
      <c r="HST240" s="1"/>
      <c r="HSU240" s="1"/>
      <c r="HSV240" s="1"/>
      <c r="HSW240" s="1"/>
      <c r="HSX240" s="1"/>
      <c r="HSY240" s="1"/>
      <c r="HSZ240" s="1"/>
      <c r="HTA240" s="1"/>
      <c r="HTB240" s="1"/>
      <c r="HTC240" s="1"/>
      <c r="HTD240" s="1"/>
      <c r="HTE240" s="1"/>
      <c r="HTF240" s="1"/>
      <c r="HTG240" s="1"/>
      <c r="HTH240" s="1"/>
      <c r="HTI240" s="1"/>
      <c r="HTJ240" s="1"/>
      <c r="HTK240" s="1"/>
      <c r="HTL240" s="1"/>
      <c r="HTM240" s="1"/>
      <c r="HTN240" s="1"/>
      <c r="HTO240" s="1"/>
      <c r="HTP240" s="1"/>
      <c r="HTQ240" s="1"/>
      <c r="HTR240" s="1"/>
      <c r="HTS240" s="1"/>
      <c r="HTT240" s="1"/>
      <c r="HTU240" s="1"/>
      <c r="HTV240" s="1"/>
      <c r="HTW240" s="1"/>
      <c r="HTX240" s="1"/>
      <c r="HTY240" s="1"/>
      <c r="HTZ240" s="1"/>
      <c r="HUA240" s="1"/>
      <c r="HUB240" s="1"/>
      <c r="HUC240" s="1"/>
      <c r="HUD240" s="1"/>
      <c r="HUE240" s="1"/>
      <c r="HUF240" s="1"/>
      <c r="HUG240" s="1"/>
      <c r="HUH240" s="1"/>
      <c r="HUI240" s="1"/>
      <c r="HUJ240" s="1"/>
      <c r="HUK240" s="1"/>
      <c r="HUL240" s="1"/>
      <c r="HUM240" s="1"/>
      <c r="HUN240" s="1"/>
      <c r="HUO240" s="1"/>
      <c r="HUP240" s="1"/>
      <c r="HUQ240" s="1"/>
      <c r="HUR240" s="1"/>
      <c r="HUS240" s="1"/>
      <c r="HUT240" s="1"/>
      <c r="HUU240" s="1"/>
      <c r="HUV240" s="1"/>
      <c r="HUW240" s="1"/>
      <c r="HUX240" s="1"/>
      <c r="HUY240" s="1"/>
      <c r="HUZ240" s="1"/>
      <c r="HVA240" s="1"/>
      <c r="HVB240" s="1"/>
      <c r="HVC240" s="1"/>
      <c r="HVD240" s="1"/>
      <c r="HVE240" s="1"/>
      <c r="HVF240" s="1"/>
      <c r="HVG240" s="1"/>
      <c r="HVH240" s="1"/>
      <c r="HVI240" s="1"/>
      <c r="HVJ240" s="1"/>
      <c r="HVK240" s="1"/>
      <c r="HVL240" s="1"/>
      <c r="HVM240" s="1"/>
      <c r="HVN240" s="1"/>
      <c r="HVO240" s="1"/>
      <c r="HVP240" s="1"/>
      <c r="HVQ240" s="1"/>
      <c r="HVR240" s="1"/>
      <c r="HVS240" s="1"/>
      <c r="HVT240" s="1"/>
      <c r="HVU240" s="1"/>
      <c r="HVV240" s="1"/>
      <c r="HVW240" s="1"/>
      <c r="HVX240" s="1"/>
      <c r="HVY240" s="1"/>
      <c r="HVZ240" s="1"/>
      <c r="HWA240" s="1"/>
      <c r="HWB240" s="1"/>
      <c r="HWC240" s="1"/>
      <c r="HWD240" s="1"/>
      <c r="HWE240" s="1"/>
      <c r="HWF240" s="1"/>
      <c r="HWG240" s="1"/>
      <c r="HWH240" s="1"/>
      <c r="HWI240" s="1"/>
      <c r="HWJ240" s="1"/>
      <c r="HWK240" s="1"/>
      <c r="HWL240" s="1"/>
      <c r="HWM240" s="1"/>
      <c r="HWN240" s="1"/>
      <c r="HWO240" s="1"/>
      <c r="HWP240" s="1"/>
      <c r="HWQ240" s="1"/>
      <c r="HWR240" s="1"/>
      <c r="HWS240" s="1"/>
      <c r="HWT240" s="1"/>
      <c r="HWU240" s="1"/>
      <c r="HWV240" s="1"/>
      <c r="HWW240" s="1"/>
      <c r="HWX240" s="1"/>
      <c r="HWY240" s="1"/>
      <c r="HWZ240" s="1"/>
      <c r="HXA240" s="1"/>
      <c r="HXB240" s="1"/>
      <c r="HXC240" s="1"/>
      <c r="HXD240" s="1"/>
      <c r="HXE240" s="1"/>
      <c r="HXF240" s="1"/>
      <c r="HXG240" s="1"/>
      <c r="HXH240" s="1"/>
      <c r="HXI240" s="1"/>
      <c r="HXJ240" s="1"/>
      <c r="HXK240" s="1"/>
      <c r="HXL240" s="1"/>
      <c r="HXM240" s="1"/>
      <c r="HXN240" s="1"/>
      <c r="HXO240" s="1"/>
      <c r="HXP240" s="1"/>
      <c r="HXQ240" s="1"/>
      <c r="HXR240" s="1"/>
      <c r="HXS240" s="1"/>
      <c r="HXT240" s="1"/>
      <c r="HXU240" s="1"/>
      <c r="HXV240" s="1"/>
      <c r="HXW240" s="1"/>
      <c r="HXX240" s="1"/>
      <c r="HXY240" s="1"/>
      <c r="HXZ240" s="1"/>
      <c r="HYA240" s="1"/>
      <c r="HYB240" s="1"/>
      <c r="HYC240" s="1"/>
      <c r="HYD240" s="1"/>
      <c r="HYE240" s="1"/>
      <c r="HYF240" s="1"/>
      <c r="HYG240" s="1"/>
      <c r="HYH240" s="1"/>
      <c r="HYI240" s="1"/>
      <c r="HYJ240" s="1"/>
      <c r="HYK240" s="1"/>
      <c r="HYL240" s="1"/>
      <c r="HYM240" s="1"/>
      <c r="HYN240" s="1"/>
      <c r="HYO240" s="1"/>
      <c r="HYP240" s="1"/>
      <c r="HYQ240" s="1"/>
      <c r="HYR240" s="1"/>
      <c r="HYS240" s="1"/>
      <c r="HYT240" s="1"/>
      <c r="HYU240" s="1"/>
      <c r="HYV240" s="1"/>
      <c r="HYW240" s="1"/>
      <c r="HYX240" s="1"/>
      <c r="HYY240" s="1"/>
      <c r="HYZ240" s="1"/>
      <c r="HZA240" s="1"/>
      <c r="HZB240" s="1"/>
      <c r="HZC240" s="1"/>
      <c r="HZD240" s="1"/>
      <c r="HZE240" s="1"/>
      <c r="HZF240" s="1"/>
      <c r="HZG240" s="1"/>
      <c r="HZH240" s="1"/>
      <c r="HZI240" s="1"/>
      <c r="HZJ240" s="1"/>
      <c r="HZK240" s="1"/>
      <c r="HZL240" s="1"/>
      <c r="HZM240" s="1"/>
      <c r="HZN240" s="1"/>
      <c r="HZO240" s="1"/>
      <c r="HZP240" s="1"/>
      <c r="HZQ240" s="1"/>
      <c r="HZR240" s="1"/>
      <c r="HZS240" s="1"/>
      <c r="HZT240" s="1"/>
      <c r="HZU240" s="1"/>
      <c r="HZV240" s="1"/>
      <c r="HZW240" s="1"/>
      <c r="HZX240" s="1"/>
      <c r="HZY240" s="1"/>
      <c r="HZZ240" s="1"/>
      <c r="IAA240" s="1"/>
      <c r="IAB240" s="1"/>
      <c r="IAC240" s="1"/>
      <c r="IAD240" s="1"/>
      <c r="IAE240" s="1"/>
      <c r="IAF240" s="1"/>
      <c r="IAG240" s="1"/>
      <c r="IAH240" s="1"/>
      <c r="IAI240" s="1"/>
      <c r="IAJ240" s="1"/>
      <c r="IAK240" s="1"/>
      <c r="IAL240" s="1"/>
      <c r="IAM240" s="1"/>
      <c r="IAN240" s="1"/>
      <c r="IAO240" s="1"/>
      <c r="IAP240" s="1"/>
      <c r="IAQ240" s="1"/>
      <c r="IAR240" s="1"/>
      <c r="IAS240" s="1"/>
      <c r="IAT240" s="1"/>
      <c r="IAU240" s="1"/>
      <c r="IAV240" s="1"/>
      <c r="IAW240" s="1"/>
      <c r="IAX240" s="1"/>
      <c r="IAY240" s="1"/>
      <c r="IAZ240" s="1"/>
      <c r="IBA240" s="1"/>
      <c r="IBB240" s="1"/>
      <c r="IBC240" s="1"/>
      <c r="IBD240" s="1"/>
      <c r="IBE240" s="1"/>
      <c r="IBF240" s="1"/>
      <c r="IBG240" s="1"/>
      <c r="IBH240" s="1"/>
      <c r="IBI240" s="1"/>
      <c r="IBJ240" s="1"/>
      <c r="IBK240" s="1"/>
      <c r="IBL240" s="1"/>
      <c r="IBM240" s="1"/>
      <c r="IBN240" s="1"/>
      <c r="IBO240" s="1"/>
      <c r="IBP240" s="1"/>
      <c r="IBQ240" s="1"/>
      <c r="IBR240" s="1"/>
      <c r="IBS240" s="1"/>
      <c r="IBT240" s="1"/>
      <c r="IBU240" s="1"/>
      <c r="IBV240" s="1"/>
      <c r="IBW240" s="1"/>
      <c r="IBX240" s="1"/>
      <c r="IBY240" s="1"/>
      <c r="IBZ240" s="1"/>
      <c r="ICA240" s="1"/>
      <c r="ICB240" s="1"/>
      <c r="ICC240" s="1"/>
      <c r="ICD240" s="1"/>
      <c r="ICE240" s="1"/>
      <c r="ICF240" s="1"/>
      <c r="ICG240" s="1"/>
      <c r="ICH240" s="1"/>
      <c r="ICI240" s="1"/>
      <c r="ICJ240" s="1"/>
      <c r="ICK240" s="1"/>
      <c r="ICL240" s="1"/>
      <c r="ICM240" s="1"/>
      <c r="ICN240" s="1"/>
      <c r="ICO240" s="1"/>
      <c r="ICP240" s="1"/>
      <c r="ICQ240" s="1"/>
      <c r="ICR240" s="1"/>
      <c r="ICS240" s="1"/>
      <c r="ICT240" s="1"/>
      <c r="ICU240" s="1"/>
      <c r="ICV240" s="1"/>
      <c r="ICW240" s="1"/>
      <c r="ICX240" s="1"/>
      <c r="ICY240" s="1"/>
      <c r="ICZ240" s="1"/>
      <c r="IDA240" s="1"/>
      <c r="IDB240" s="1"/>
      <c r="IDC240" s="1"/>
      <c r="IDD240" s="1"/>
      <c r="IDE240" s="1"/>
      <c r="IDF240" s="1"/>
      <c r="IDG240" s="1"/>
      <c r="IDH240" s="1"/>
      <c r="IDI240" s="1"/>
      <c r="IDJ240" s="1"/>
      <c r="IDK240" s="1"/>
      <c r="IDL240" s="1"/>
      <c r="IDM240" s="1"/>
      <c r="IDN240" s="1"/>
      <c r="IDO240" s="1"/>
      <c r="IDP240" s="1"/>
      <c r="IDQ240" s="1"/>
      <c r="IDR240" s="1"/>
      <c r="IDS240" s="1"/>
      <c r="IDT240" s="1"/>
      <c r="IDU240" s="1"/>
      <c r="IDV240" s="1"/>
      <c r="IDW240" s="1"/>
      <c r="IDX240" s="1"/>
      <c r="IDY240" s="1"/>
      <c r="IDZ240" s="1"/>
      <c r="IEA240" s="1"/>
      <c r="IEB240" s="1"/>
      <c r="IEC240" s="1"/>
      <c r="IED240" s="1"/>
      <c r="IEE240" s="1"/>
      <c r="IEF240" s="1"/>
      <c r="IEG240" s="1"/>
      <c r="IEH240" s="1"/>
      <c r="IEI240" s="1"/>
      <c r="IEJ240" s="1"/>
      <c r="IEK240" s="1"/>
      <c r="IEL240" s="1"/>
      <c r="IEM240" s="1"/>
      <c r="IEN240" s="1"/>
      <c r="IEO240" s="1"/>
      <c r="IEP240" s="1"/>
      <c r="IEQ240" s="1"/>
      <c r="IER240" s="1"/>
      <c r="IES240" s="1"/>
      <c r="IET240" s="1"/>
      <c r="IEU240" s="1"/>
      <c r="IEV240" s="1"/>
      <c r="IEW240" s="1"/>
      <c r="IEX240" s="1"/>
      <c r="IEY240" s="1"/>
      <c r="IEZ240" s="1"/>
      <c r="IFA240" s="1"/>
      <c r="IFB240" s="1"/>
      <c r="IFC240" s="1"/>
      <c r="IFD240" s="1"/>
      <c r="IFE240" s="1"/>
      <c r="IFF240" s="1"/>
      <c r="IFG240" s="1"/>
      <c r="IFH240" s="1"/>
      <c r="IFI240" s="1"/>
      <c r="IFJ240" s="1"/>
      <c r="IFK240" s="1"/>
      <c r="IFL240" s="1"/>
      <c r="IFM240" s="1"/>
      <c r="IFN240" s="1"/>
      <c r="IFO240" s="1"/>
      <c r="IFP240" s="1"/>
      <c r="IFQ240" s="1"/>
      <c r="IFR240" s="1"/>
      <c r="IFS240" s="1"/>
      <c r="IFT240" s="1"/>
      <c r="IFU240" s="1"/>
      <c r="IFV240" s="1"/>
      <c r="IFW240" s="1"/>
      <c r="IFX240" s="1"/>
      <c r="IFY240" s="1"/>
      <c r="IFZ240" s="1"/>
      <c r="IGA240" s="1"/>
      <c r="IGB240" s="1"/>
      <c r="IGC240" s="1"/>
      <c r="IGD240" s="1"/>
      <c r="IGE240" s="1"/>
      <c r="IGF240" s="1"/>
      <c r="IGG240" s="1"/>
      <c r="IGH240" s="1"/>
      <c r="IGI240" s="1"/>
      <c r="IGJ240" s="1"/>
      <c r="IGK240" s="1"/>
      <c r="IGL240" s="1"/>
      <c r="IGM240" s="1"/>
      <c r="IGN240" s="1"/>
      <c r="IGO240" s="1"/>
      <c r="IGP240" s="1"/>
      <c r="IGQ240" s="1"/>
      <c r="IGR240" s="1"/>
      <c r="IGS240" s="1"/>
      <c r="IGT240" s="1"/>
      <c r="IGU240" s="1"/>
      <c r="IGV240" s="1"/>
      <c r="IGW240" s="1"/>
      <c r="IGX240" s="1"/>
      <c r="IGY240" s="1"/>
      <c r="IGZ240" s="1"/>
      <c r="IHA240" s="1"/>
      <c r="IHB240" s="1"/>
      <c r="IHC240" s="1"/>
      <c r="IHD240" s="1"/>
      <c r="IHE240" s="1"/>
      <c r="IHF240" s="1"/>
      <c r="IHG240" s="1"/>
      <c r="IHH240" s="1"/>
      <c r="IHI240" s="1"/>
      <c r="IHJ240" s="1"/>
      <c r="IHK240" s="1"/>
      <c r="IHL240" s="1"/>
      <c r="IHM240" s="1"/>
      <c r="IHN240" s="1"/>
      <c r="IHO240" s="1"/>
      <c r="IHP240" s="1"/>
      <c r="IHQ240" s="1"/>
      <c r="IHR240" s="1"/>
      <c r="IHS240" s="1"/>
      <c r="IHT240" s="1"/>
      <c r="IHU240" s="1"/>
      <c r="IHV240" s="1"/>
      <c r="IHW240" s="1"/>
      <c r="IHX240" s="1"/>
      <c r="IHY240" s="1"/>
      <c r="IHZ240" s="1"/>
      <c r="IIA240" s="1"/>
      <c r="IIB240" s="1"/>
      <c r="IIC240" s="1"/>
      <c r="IID240" s="1"/>
      <c r="IIE240" s="1"/>
      <c r="IIF240" s="1"/>
      <c r="IIG240" s="1"/>
      <c r="IIH240" s="1"/>
      <c r="III240" s="1"/>
      <c r="IIJ240" s="1"/>
      <c r="IIK240" s="1"/>
      <c r="IIL240" s="1"/>
      <c r="IIM240" s="1"/>
      <c r="IIN240" s="1"/>
      <c r="IIO240" s="1"/>
      <c r="IIP240" s="1"/>
      <c r="IIQ240" s="1"/>
      <c r="IIR240" s="1"/>
      <c r="IIS240" s="1"/>
      <c r="IIT240" s="1"/>
      <c r="IIU240" s="1"/>
      <c r="IIV240" s="1"/>
      <c r="IIW240" s="1"/>
      <c r="IIX240" s="1"/>
      <c r="IIY240" s="1"/>
      <c r="IIZ240" s="1"/>
      <c r="IJA240" s="1"/>
      <c r="IJB240" s="1"/>
      <c r="IJC240" s="1"/>
      <c r="IJD240" s="1"/>
      <c r="IJE240" s="1"/>
      <c r="IJF240" s="1"/>
      <c r="IJG240" s="1"/>
      <c r="IJH240" s="1"/>
      <c r="IJI240" s="1"/>
      <c r="IJJ240" s="1"/>
      <c r="IJK240" s="1"/>
      <c r="IJL240" s="1"/>
      <c r="IJM240" s="1"/>
      <c r="IJN240" s="1"/>
      <c r="IJO240" s="1"/>
      <c r="IJP240" s="1"/>
      <c r="IJQ240" s="1"/>
      <c r="IJR240" s="1"/>
      <c r="IJS240" s="1"/>
      <c r="IJT240" s="1"/>
      <c r="IJU240" s="1"/>
      <c r="IJV240" s="1"/>
      <c r="IJW240" s="1"/>
      <c r="IJX240" s="1"/>
      <c r="IJY240" s="1"/>
      <c r="IJZ240" s="1"/>
      <c r="IKA240" s="1"/>
      <c r="IKB240" s="1"/>
      <c r="IKC240" s="1"/>
      <c r="IKD240" s="1"/>
      <c r="IKE240" s="1"/>
      <c r="IKF240" s="1"/>
      <c r="IKG240" s="1"/>
      <c r="IKH240" s="1"/>
      <c r="IKI240" s="1"/>
      <c r="IKJ240" s="1"/>
      <c r="IKK240" s="1"/>
      <c r="IKL240" s="1"/>
      <c r="IKM240" s="1"/>
      <c r="IKN240" s="1"/>
      <c r="IKO240" s="1"/>
      <c r="IKP240" s="1"/>
      <c r="IKQ240" s="1"/>
      <c r="IKR240" s="1"/>
      <c r="IKS240" s="1"/>
      <c r="IKT240" s="1"/>
      <c r="IKU240" s="1"/>
      <c r="IKV240" s="1"/>
      <c r="IKW240" s="1"/>
      <c r="IKX240" s="1"/>
      <c r="IKY240" s="1"/>
      <c r="IKZ240" s="1"/>
      <c r="ILA240" s="1"/>
      <c r="ILB240" s="1"/>
      <c r="ILC240" s="1"/>
      <c r="ILD240" s="1"/>
      <c r="ILE240" s="1"/>
      <c r="ILF240" s="1"/>
      <c r="ILG240" s="1"/>
      <c r="ILH240" s="1"/>
      <c r="ILI240" s="1"/>
      <c r="ILJ240" s="1"/>
      <c r="ILK240" s="1"/>
      <c r="ILL240" s="1"/>
      <c r="ILM240" s="1"/>
      <c r="ILN240" s="1"/>
      <c r="ILO240" s="1"/>
      <c r="ILP240" s="1"/>
      <c r="ILQ240" s="1"/>
      <c r="ILR240" s="1"/>
      <c r="ILS240" s="1"/>
      <c r="ILT240" s="1"/>
      <c r="ILU240" s="1"/>
      <c r="ILV240" s="1"/>
      <c r="ILW240" s="1"/>
      <c r="ILX240" s="1"/>
      <c r="ILY240" s="1"/>
      <c r="ILZ240" s="1"/>
      <c r="IMA240" s="1"/>
      <c r="IMB240" s="1"/>
      <c r="IMC240" s="1"/>
      <c r="IMD240" s="1"/>
      <c r="IME240" s="1"/>
      <c r="IMF240" s="1"/>
      <c r="IMG240" s="1"/>
      <c r="IMH240" s="1"/>
      <c r="IMI240" s="1"/>
      <c r="IMJ240" s="1"/>
      <c r="IMK240" s="1"/>
      <c r="IML240" s="1"/>
      <c r="IMM240" s="1"/>
      <c r="IMN240" s="1"/>
      <c r="IMO240" s="1"/>
      <c r="IMP240" s="1"/>
      <c r="IMQ240" s="1"/>
      <c r="IMR240" s="1"/>
      <c r="IMS240" s="1"/>
      <c r="IMT240" s="1"/>
      <c r="IMU240" s="1"/>
      <c r="IMV240" s="1"/>
      <c r="IMW240" s="1"/>
      <c r="IMX240" s="1"/>
      <c r="IMY240" s="1"/>
      <c r="IMZ240" s="1"/>
      <c r="INA240" s="1"/>
      <c r="INB240" s="1"/>
      <c r="INC240" s="1"/>
      <c r="IND240" s="1"/>
      <c r="INE240" s="1"/>
      <c r="INF240" s="1"/>
      <c r="ING240" s="1"/>
      <c r="INH240" s="1"/>
      <c r="INI240" s="1"/>
      <c r="INJ240" s="1"/>
      <c r="INK240" s="1"/>
      <c r="INL240" s="1"/>
      <c r="INM240" s="1"/>
      <c r="INN240" s="1"/>
      <c r="INO240" s="1"/>
      <c r="INP240" s="1"/>
      <c r="INQ240" s="1"/>
      <c r="INR240" s="1"/>
      <c r="INS240" s="1"/>
      <c r="INT240" s="1"/>
      <c r="INU240" s="1"/>
      <c r="INV240" s="1"/>
      <c r="INW240" s="1"/>
      <c r="INX240" s="1"/>
      <c r="INY240" s="1"/>
      <c r="INZ240" s="1"/>
      <c r="IOA240" s="1"/>
      <c r="IOB240" s="1"/>
      <c r="IOC240" s="1"/>
      <c r="IOD240" s="1"/>
      <c r="IOE240" s="1"/>
      <c r="IOF240" s="1"/>
      <c r="IOG240" s="1"/>
      <c r="IOH240" s="1"/>
      <c r="IOI240" s="1"/>
      <c r="IOJ240" s="1"/>
      <c r="IOK240" s="1"/>
      <c r="IOL240" s="1"/>
      <c r="IOM240" s="1"/>
      <c r="ION240" s="1"/>
      <c r="IOO240" s="1"/>
      <c r="IOP240" s="1"/>
      <c r="IOQ240" s="1"/>
      <c r="IOR240" s="1"/>
      <c r="IOS240" s="1"/>
      <c r="IOT240" s="1"/>
      <c r="IOU240" s="1"/>
      <c r="IOV240" s="1"/>
      <c r="IOW240" s="1"/>
      <c r="IOX240" s="1"/>
      <c r="IOY240" s="1"/>
      <c r="IOZ240" s="1"/>
      <c r="IPA240" s="1"/>
      <c r="IPB240" s="1"/>
      <c r="IPC240" s="1"/>
      <c r="IPD240" s="1"/>
      <c r="IPE240" s="1"/>
      <c r="IPF240" s="1"/>
      <c r="IPG240" s="1"/>
      <c r="IPH240" s="1"/>
      <c r="IPI240" s="1"/>
      <c r="IPJ240" s="1"/>
      <c r="IPK240" s="1"/>
      <c r="IPL240" s="1"/>
      <c r="IPM240" s="1"/>
      <c r="IPN240" s="1"/>
      <c r="IPO240" s="1"/>
      <c r="IPP240" s="1"/>
      <c r="IPQ240" s="1"/>
      <c r="IPR240" s="1"/>
      <c r="IPS240" s="1"/>
      <c r="IPT240" s="1"/>
      <c r="IPU240" s="1"/>
      <c r="IPV240" s="1"/>
      <c r="IPW240" s="1"/>
      <c r="IPX240" s="1"/>
      <c r="IPY240" s="1"/>
      <c r="IPZ240" s="1"/>
      <c r="IQA240" s="1"/>
      <c r="IQB240" s="1"/>
      <c r="IQC240" s="1"/>
      <c r="IQD240" s="1"/>
      <c r="IQE240" s="1"/>
      <c r="IQF240" s="1"/>
      <c r="IQG240" s="1"/>
      <c r="IQH240" s="1"/>
      <c r="IQI240" s="1"/>
      <c r="IQJ240" s="1"/>
      <c r="IQK240" s="1"/>
      <c r="IQL240" s="1"/>
      <c r="IQM240" s="1"/>
      <c r="IQN240" s="1"/>
      <c r="IQO240" s="1"/>
      <c r="IQP240" s="1"/>
      <c r="IQQ240" s="1"/>
      <c r="IQR240" s="1"/>
      <c r="IQS240" s="1"/>
      <c r="IQT240" s="1"/>
      <c r="IQU240" s="1"/>
      <c r="IQV240" s="1"/>
      <c r="IQW240" s="1"/>
      <c r="IQX240" s="1"/>
      <c r="IQY240" s="1"/>
      <c r="IQZ240" s="1"/>
      <c r="IRA240" s="1"/>
      <c r="IRB240" s="1"/>
      <c r="IRC240" s="1"/>
      <c r="IRD240" s="1"/>
      <c r="IRE240" s="1"/>
      <c r="IRF240" s="1"/>
      <c r="IRG240" s="1"/>
      <c r="IRH240" s="1"/>
      <c r="IRI240" s="1"/>
      <c r="IRJ240" s="1"/>
      <c r="IRK240" s="1"/>
      <c r="IRL240" s="1"/>
      <c r="IRM240" s="1"/>
      <c r="IRN240" s="1"/>
      <c r="IRO240" s="1"/>
      <c r="IRP240" s="1"/>
      <c r="IRQ240" s="1"/>
      <c r="IRR240" s="1"/>
      <c r="IRS240" s="1"/>
      <c r="IRT240" s="1"/>
      <c r="IRU240" s="1"/>
      <c r="IRV240" s="1"/>
      <c r="IRW240" s="1"/>
      <c r="IRX240" s="1"/>
      <c r="IRY240" s="1"/>
      <c r="IRZ240" s="1"/>
      <c r="ISA240" s="1"/>
      <c r="ISB240" s="1"/>
      <c r="ISC240" s="1"/>
      <c r="ISD240" s="1"/>
      <c r="ISE240" s="1"/>
      <c r="ISF240" s="1"/>
      <c r="ISG240" s="1"/>
      <c r="ISH240" s="1"/>
      <c r="ISI240" s="1"/>
      <c r="ISJ240" s="1"/>
      <c r="ISK240" s="1"/>
      <c r="ISL240" s="1"/>
      <c r="ISM240" s="1"/>
      <c r="ISN240" s="1"/>
      <c r="ISO240" s="1"/>
      <c r="ISP240" s="1"/>
      <c r="ISQ240" s="1"/>
      <c r="ISR240" s="1"/>
      <c r="ISS240" s="1"/>
      <c r="IST240" s="1"/>
      <c r="ISU240" s="1"/>
      <c r="ISV240" s="1"/>
      <c r="ISW240" s="1"/>
      <c r="ISX240" s="1"/>
      <c r="ISY240" s="1"/>
      <c r="ISZ240" s="1"/>
      <c r="ITA240" s="1"/>
      <c r="ITB240" s="1"/>
      <c r="ITC240" s="1"/>
      <c r="ITD240" s="1"/>
      <c r="ITE240" s="1"/>
      <c r="ITF240" s="1"/>
      <c r="ITG240" s="1"/>
      <c r="ITH240" s="1"/>
      <c r="ITI240" s="1"/>
      <c r="ITJ240" s="1"/>
      <c r="ITK240" s="1"/>
      <c r="ITL240" s="1"/>
      <c r="ITM240" s="1"/>
      <c r="ITN240" s="1"/>
      <c r="ITO240" s="1"/>
      <c r="ITP240" s="1"/>
      <c r="ITQ240" s="1"/>
      <c r="ITR240" s="1"/>
      <c r="ITS240" s="1"/>
      <c r="ITT240" s="1"/>
      <c r="ITU240" s="1"/>
      <c r="ITV240" s="1"/>
      <c r="ITW240" s="1"/>
      <c r="ITX240" s="1"/>
      <c r="ITY240" s="1"/>
      <c r="ITZ240" s="1"/>
      <c r="IUA240" s="1"/>
      <c r="IUB240" s="1"/>
      <c r="IUC240" s="1"/>
      <c r="IUD240" s="1"/>
      <c r="IUE240" s="1"/>
      <c r="IUF240" s="1"/>
      <c r="IUG240" s="1"/>
      <c r="IUH240" s="1"/>
      <c r="IUI240" s="1"/>
      <c r="IUJ240" s="1"/>
      <c r="IUK240" s="1"/>
      <c r="IUL240" s="1"/>
      <c r="IUM240" s="1"/>
      <c r="IUN240" s="1"/>
      <c r="IUO240" s="1"/>
      <c r="IUP240" s="1"/>
      <c r="IUQ240" s="1"/>
      <c r="IUR240" s="1"/>
      <c r="IUS240" s="1"/>
      <c r="IUT240" s="1"/>
      <c r="IUU240" s="1"/>
      <c r="IUV240" s="1"/>
      <c r="IUW240" s="1"/>
      <c r="IUX240" s="1"/>
      <c r="IUY240" s="1"/>
      <c r="IUZ240" s="1"/>
      <c r="IVA240" s="1"/>
      <c r="IVB240" s="1"/>
      <c r="IVC240" s="1"/>
      <c r="IVD240" s="1"/>
      <c r="IVE240" s="1"/>
      <c r="IVF240" s="1"/>
      <c r="IVG240" s="1"/>
      <c r="IVH240" s="1"/>
      <c r="IVI240" s="1"/>
      <c r="IVJ240" s="1"/>
      <c r="IVK240" s="1"/>
      <c r="IVL240" s="1"/>
      <c r="IVM240" s="1"/>
      <c r="IVN240" s="1"/>
      <c r="IVO240" s="1"/>
      <c r="IVP240" s="1"/>
      <c r="IVQ240" s="1"/>
      <c r="IVR240" s="1"/>
      <c r="IVS240" s="1"/>
      <c r="IVT240" s="1"/>
      <c r="IVU240" s="1"/>
      <c r="IVV240" s="1"/>
      <c r="IVW240" s="1"/>
      <c r="IVX240" s="1"/>
      <c r="IVY240" s="1"/>
      <c r="IVZ240" s="1"/>
      <c r="IWA240" s="1"/>
      <c r="IWB240" s="1"/>
      <c r="IWC240" s="1"/>
      <c r="IWD240" s="1"/>
      <c r="IWE240" s="1"/>
      <c r="IWF240" s="1"/>
      <c r="IWG240" s="1"/>
      <c r="IWH240" s="1"/>
      <c r="IWI240" s="1"/>
      <c r="IWJ240" s="1"/>
      <c r="IWK240" s="1"/>
      <c r="IWL240" s="1"/>
      <c r="IWM240" s="1"/>
      <c r="IWN240" s="1"/>
      <c r="IWO240" s="1"/>
      <c r="IWP240" s="1"/>
      <c r="IWQ240" s="1"/>
      <c r="IWR240" s="1"/>
      <c r="IWS240" s="1"/>
      <c r="IWT240" s="1"/>
      <c r="IWU240" s="1"/>
      <c r="IWV240" s="1"/>
      <c r="IWW240" s="1"/>
      <c r="IWX240" s="1"/>
      <c r="IWY240" s="1"/>
      <c r="IWZ240" s="1"/>
      <c r="IXA240" s="1"/>
      <c r="IXB240" s="1"/>
      <c r="IXC240" s="1"/>
      <c r="IXD240" s="1"/>
      <c r="IXE240" s="1"/>
      <c r="IXF240" s="1"/>
      <c r="IXG240" s="1"/>
      <c r="IXH240" s="1"/>
      <c r="IXI240" s="1"/>
      <c r="IXJ240" s="1"/>
      <c r="IXK240" s="1"/>
      <c r="IXL240" s="1"/>
      <c r="IXM240" s="1"/>
      <c r="IXN240" s="1"/>
      <c r="IXO240" s="1"/>
      <c r="IXP240" s="1"/>
      <c r="IXQ240" s="1"/>
      <c r="IXR240" s="1"/>
      <c r="IXS240" s="1"/>
      <c r="IXT240" s="1"/>
      <c r="IXU240" s="1"/>
      <c r="IXV240" s="1"/>
      <c r="IXW240" s="1"/>
      <c r="IXX240" s="1"/>
      <c r="IXY240" s="1"/>
      <c r="IXZ240" s="1"/>
      <c r="IYA240" s="1"/>
      <c r="IYB240" s="1"/>
      <c r="IYC240" s="1"/>
      <c r="IYD240" s="1"/>
      <c r="IYE240" s="1"/>
      <c r="IYF240" s="1"/>
      <c r="IYG240" s="1"/>
      <c r="IYH240" s="1"/>
      <c r="IYI240" s="1"/>
      <c r="IYJ240" s="1"/>
      <c r="IYK240" s="1"/>
      <c r="IYL240" s="1"/>
      <c r="IYM240" s="1"/>
      <c r="IYN240" s="1"/>
      <c r="IYO240" s="1"/>
      <c r="IYP240" s="1"/>
      <c r="IYQ240" s="1"/>
      <c r="IYR240" s="1"/>
      <c r="IYS240" s="1"/>
      <c r="IYT240" s="1"/>
      <c r="IYU240" s="1"/>
      <c r="IYV240" s="1"/>
      <c r="IYW240" s="1"/>
      <c r="IYX240" s="1"/>
      <c r="IYY240" s="1"/>
      <c r="IYZ240" s="1"/>
      <c r="IZA240" s="1"/>
      <c r="IZB240" s="1"/>
      <c r="IZC240" s="1"/>
      <c r="IZD240" s="1"/>
      <c r="IZE240" s="1"/>
      <c r="IZF240" s="1"/>
      <c r="IZG240" s="1"/>
      <c r="IZH240" s="1"/>
      <c r="IZI240" s="1"/>
      <c r="IZJ240" s="1"/>
      <c r="IZK240" s="1"/>
      <c r="IZL240" s="1"/>
      <c r="IZM240" s="1"/>
      <c r="IZN240" s="1"/>
      <c r="IZO240" s="1"/>
      <c r="IZP240" s="1"/>
      <c r="IZQ240" s="1"/>
      <c r="IZR240" s="1"/>
      <c r="IZS240" s="1"/>
      <c r="IZT240" s="1"/>
      <c r="IZU240" s="1"/>
      <c r="IZV240" s="1"/>
      <c r="IZW240" s="1"/>
      <c r="IZX240" s="1"/>
      <c r="IZY240" s="1"/>
      <c r="IZZ240" s="1"/>
      <c r="JAA240" s="1"/>
      <c r="JAB240" s="1"/>
      <c r="JAC240" s="1"/>
      <c r="JAD240" s="1"/>
      <c r="JAE240" s="1"/>
      <c r="JAF240" s="1"/>
      <c r="JAG240" s="1"/>
      <c r="JAH240" s="1"/>
      <c r="JAI240" s="1"/>
      <c r="JAJ240" s="1"/>
      <c r="JAK240" s="1"/>
      <c r="JAL240" s="1"/>
      <c r="JAM240" s="1"/>
      <c r="JAN240" s="1"/>
      <c r="JAO240" s="1"/>
      <c r="JAP240" s="1"/>
      <c r="JAQ240" s="1"/>
      <c r="JAR240" s="1"/>
      <c r="JAS240" s="1"/>
      <c r="JAT240" s="1"/>
      <c r="JAU240" s="1"/>
      <c r="JAV240" s="1"/>
      <c r="JAW240" s="1"/>
      <c r="JAX240" s="1"/>
      <c r="JAY240" s="1"/>
      <c r="JAZ240" s="1"/>
      <c r="JBA240" s="1"/>
      <c r="JBB240" s="1"/>
      <c r="JBC240" s="1"/>
      <c r="JBD240" s="1"/>
      <c r="JBE240" s="1"/>
      <c r="JBF240" s="1"/>
      <c r="JBG240" s="1"/>
      <c r="JBH240" s="1"/>
      <c r="JBI240" s="1"/>
      <c r="JBJ240" s="1"/>
      <c r="JBK240" s="1"/>
      <c r="JBL240" s="1"/>
      <c r="JBM240" s="1"/>
      <c r="JBN240" s="1"/>
      <c r="JBO240" s="1"/>
      <c r="JBP240" s="1"/>
      <c r="JBQ240" s="1"/>
      <c r="JBR240" s="1"/>
      <c r="JBS240" s="1"/>
      <c r="JBT240" s="1"/>
      <c r="JBU240" s="1"/>
      <c r="JBV240" s="1"/>
      <c r="JBW240" s="1"/>
      <c r="JBX240" s="1"/>
      <c r="JBY240" s="1"/>
      <c r="JBZ240" s="1"/>
      <c r="JCA240" s="1"/>
      <c r="JCB240" s="1"/>
      <c r="JCC240" s="1"/>
      <c r="JCD240" s="1"/>
      <c r="JCE240" s="1"/>
      <c r="JCF240" s="1"/>
      <c r="JCG240" s="1"/>
      <c r="JCH240" s="1"/>
      <c r="JCI240" s="1"/>
      <c r="JCJ240" s="1"/>
      <c r="JCK240" s="1"/>
      <c r="JCL240" s="1"/>
      <c r="JCM240" s="1"/>
      <c r="JCN240" s="1"/>
      <c r="JCO240" s="1"/>
      <c r="JCP240" s="1"/>
      <c r="JCQ240" s="1"/>
      <c r="JCR240" s="1"/>
      <c r="JCS240" s="1"/>
      <c r="JCT240" s="1"/>
      <c r="JCU240" s="1"/>
      <c r="JCV240" s="1"/>
      <c r="JCW240" s="1"/>
      <c r="JCX240" s="1"/>
      <c r="JCY240" s="1"/>
      <c r="JCZ240" s="1"/>
      <c r="JDA240" s="1"/>
      <c r="JDB240" s="1"/>
      <c r="JDC240" s="1"/>
      <c r="JDD240" s="1"/>
      <c r="JDE240" s="1"/>
      <c r="JDF240" s="1"/>
      <c r="JDG240" s="1"/>
      <c r="JDH240" s="1"/>
      <c r="JDI240" s="1"/>
      <c r="JDJ240" s="1"/>
      <c r="JDK240" s="1"/>
      <c r="JDL240" s="1"/>
      <c r="JDM240" s="1"/>
      <c r="JDN240" s="1"/>
      <c r="JDO240" s="1"/>
      <c r="JDP240" s="1"/>
      <c r="JDQ240" s="1"/>
      <c r="JDR240" s="1"/>
      <c r="JDS240" s="1"/>
      <c r="JDT240" s="1"/>
      <c r="JDU240" s="1"/>
      <c r="JDV240" s="1"/>
      <c r="JDW240" s="1"/>
      <c r="JDX240" s="1"/>
      <c r="JDY240" s="1"/>
      <c r="JDZ240" s="1"/>
      <c r="JEA240" s="1"/>
      <c r="JEB240" s="1"/>
      <c r="JEC240" s="1"/>
      <c r="JED240" s="1"/>
      <c r="JEE240" s="1"/>
      <c r="JEF240" s="1"/>
      <c r="JEG240" s="1"/>
      <c r="JEH240" s="1"/>
      <c r="JEI240" s="1"/>
      <c r="JEJ240" s="1"/>
      <c r="JEK240" s="1"/>
      <c r="JEL240" s="1"/>
      <c r="JEM240" s="1"/>
      <c r="JEN240" s="1"/>
      <c r="JEO240" s="1"/>
      <c r="JEP240" s="1"/>
      <c r="JEQ240" s="1"/>
      <c r="JER240" s="1"/>
      <c r="JES240" s="1"/>
      <c r="JET240" s="1"/>
      <c r="JEU240" s="1"/>
      <c r="JEV240" s="1"/>
      <c r="JEW240" s="1"/>
      <c r="JEX240" s="1"/>
      <c r="JEY240" s="1"/>
      <c r="JEZ240" s="1"/>
      <c r="JFA240" s="1"/>
      <c r="JFB240" s="1"/>
      <c r="JFC240" s="1"/>
      <c r="JFD240" s="1"/>
      <c r="JFE240" s="1"/>
      <c r="JFF240" s="1"/>
      <c r="JFG240" s="1"/>
      <c r="JFH240" s="1"/>
      <c r="JFI240" s="1"/>
      <c r="JFJ240" s="1"/>
      <c r="JFK240" s="1"/>
      <c r="JFL240" s="1"/>
      <c r="JFM240" s="1"/>
      <c r="JFN240" s="1"/>
      <c r="JFO240" s="1"/>
      <c r="JFP240" s="1"/>
      <c r="JFQ240" s="1"/>
      <c r="JFR240" s="1"/>
      <c r="JFS240" s="1"/>
      <c r="JFT240" s="1"/>
      <c r="JFU240" s="1"/>
      <c r="JFV240" s="1"/>
      <c r="JFW240" s="1"/>
      <c r="JFX240" s="1"/>
      <c r="JFY240" s="1"/>
      <c r="JFZ240" s="1"/>
      <c r="JGA240" s="1"/>
      <c r="JGB240" s="1"/>
      <c r="JGC240" s="1"/>
      <c r="JGD240" s="1"/>
      <c r="JGE240" s="1"/>
      <c r="JGF240" s="1"/>
      <c r="JGG240" s="1"/>
      <c r="JGH240" s="1"/>
      <c r="JGI240" s="1"/>
      <c r="JGJ240" s="1"/>
      <c r="JGK240" s="1"/>
      <c r="JGL240" s="1"/>
      <c r="JGM240" s="1"/>
      <c r="JGN240" s="1"/>
      <c r="JGO240" s="1"/>
      <c r="JGP240" s="1"/>
      <c r="JGQ240" s="1"/>
      <c r="JGR240" s="1"/>
      <c r="JGS240" s="1"/>
      <c r="JGT240" s="1"/>
      <c r="JGU240" s="1"/>
      <c r="JGV240" s="1"/>
      <c r="JGW240" s="1"/>
      <c r="JGX240" s="1"/>
      <c r="JGY240" s="1"/>
      <c r="JGZ240" s="1"/>
      <c r="JHA240" s="1"/>
      <c r="JHB240" s="1"/>
      <c r="JHC240" s="1"/>
      <c r="JHD240" s="1"/>
      <c r="JHE240" s="1"/>
      <c r="JHF240" s="1"/>
      <c r="JHG240" s="1"/>
      <c r="JHH240" s="1"/>
      <c r="JHI240" s="1"/>
      <c r="JHJ240" s="1"/>
      <c r="JHK240" s="1"/>
      <c r="JHL240" s="1"/>
      <c r="JHM240" s="1"/>
      <c r="JHN240" s="1"/>
      <c r="JHO240" s="1"/>
      <c r="JHP240" s="1"/>
      <c r="JHQ240" s="1"/>
      <c r="JHR240" s="1"/>
      <c r="JHS240" s="1"/>
      <c r="JHT240" s="1"/>
      <c r="JHU240" s="1"/>
      <c r="JHV240" s="1"/>
      <c r="JHW240" s="1"/>
      <c r="JHX240" s="1"/>
      <c r="JHY240" s="1"/>
      <c r="JHZ240" s="1"/>
      <c r="JIA240" s="1"/>
      <c r="JIB240" s="1"/>
      <c r="JIC240" s="1"/>
      <c r="JID240" s="1"/>
      <c r="JIE240" s="1"/>
      <c r="JIF240" s="1"/>
      <c r="JIG240" s="1"/>
      <c r="JIH240" s="1"/>
      <c r="JII240" s="1"/>
      <c r="JIJ240" s="1"/>
      <c r="JIK240" s="1"/>
      <c r="JIL240" s="1"/>
      <c r="JIM240" s="1"/>
      <c r="JIN240" s="1"/>
      <c r="JIO240" s="1"/>
      <c r="JIP240" s="1"/>
      <c r="JIQ240" s="1"/>
      <c r="JIR240" s="1"/>
      <c r="JIS240" s="1"/>
      <c r="JIT240" s="1"/>
      <c r="JIU240" s="1"/>
      <c r="JIV240" s="1"/>
      <c r="JIW240" s="1"/>
      <c r="JIX240" s="1"/>
      <c r="JIY240" s="1"/>
      <c r="JIZ240" s="1"/>
      <c r="JJA240" s="1"/>
      <c r="JJB240" s="1"/>
      <c r="JJC240" s="1"/>
      <c r="JJD240" s="1"/>
      <c r="JJE240" s="1"/>
      <c r="JJF240" s="1"/>
      <c r="JJG240" s="1"/>
      <c r="JJH240" s="1"/>
      <c r="JJI240" s="1"/>
      <c r="JJJ240" s="1"/>
      <c r="JJK240" s="1"/>
      <c r="JJL240" s="1"/>
      <c r="JJM240" s="1"/>
      <c r="JJN240" s="1"/>
      <c r="JJO240" s="1"/>
      <c r="JJP240" s="1"/>
      <c r="JJQ240" s="1"/>
      <c r="JJR240" s="1"/>
      <c r="JJS240" s="1"/>
      <c r="JJT240" s="1"/>
      <c r="JJU240" s="1"/>
      <c r="JJV240" s="1"/>
      <c r="JJW240" s="1"/>
      <c r="JJX240" s="1"/>
      <c r="JJY240" s="1"/>
      <c r="JJZ240" s="1"/>
      <c r="JKA240" s="1"/>
      <c r="JKB240" s="1"/>
      <c r="JKC240" s="1"/>
      <c r="JKD240" s="1"/>
      <c r="JKE240" s="1"/>
      <c r="JKF240" s="1"/>
      <c r="JKG240" s="1"/>
      <c r="JKH240" s="1"/>
      <c r="JKI240" s="1"/>
      <c r="JKJ240" s="1"/>
      <c r="JKK240" s="1"/>
      <c r="JKL240" s="1"/>
      <c r="JKM240" s="1"/>
      <c r="JKN240" s="1"/>
      <c r="JKO240" s="1"/>
      <c r="JKP240" s="1"/>
      <c r="JKQ240" s="1"/>
      <c r="JKR240" s="1"/>
      <c r="JKS240" s="1"/>
      <c r="JKT240" s="1"/>
      <c r="JKU240" s="1"/>
      <c r="JKV240" s="1"/>
      <c r="JKW240" s="1"/>
      <c r="JKX240" s="1"/>
      <c r="JKY240" s="1"/>
      <c r="JKZ240" s="1"/>
      <c r="JLA240" s="1"/>
      <c r="JLB240" s="1"/>
      <c r="JLC240" s="1"/>
      <c r="JLD240" s="1"/>
      <c r="JLE240" s="1"/>
      <c r="JLF240" s="1"/>
      <c r="JLG240" s="1"/>
      <c r="JLH240" s="1"/>
      <c r="JLI240" s="1"/>
      <c r="JLJ240" s="1"/>
      <c r="JLK240" s="1"/>
      <c r="JLL240" s="1"/>
      <c r="JLM240" s="1"/>
      <c r="JLN240" s="1"/>
      <c r="JLO240" s="1"/>
      <c r="JLP240" s="1"/>
      <c r="JLQ240" s="1"/>
      <c r="JLR240" s="1"/>
      <c r="JLS240" s="1"/>
      <c r="JLT240" s="1"/>
      <c r="JLU240" s="1"/>
      <c r="JLV240" s="1"/>
      <c r="JLW240" s="1"/>
      <c r="JLX240" s="1"/>
      <c r="JLY240" s="1"/>
      <c r="JLZ240" s="1"/>
      <c r="JMA240" s="1"/>
      <c r="JMB240" s="1"/>
      <c r="JMC240" s="1"/>
      <c r="JMD240" s="1"/>
      <c r="JME240" s="1"/>
      <c r="JMF240" s="1"/>
      <c r="JMG240" s="1"/>
      <c r="JMH240" s="1"/>
      <c r="JMI240" s="1"/>
      <c r="JMJ240" s="1"/>
      <c r="JMK240" s="1"/>
      <c r="JML240" s="1"/>
      <c r="JMM240" s="1"/>
      <c r="JMN240" s="1"/>
      <c r="JMO240" s="1"/>
      <c r="JMP240" s="1"/>
      <c r="JMQ240" s="1"/>
      <c r="JMR240" s="1"/>
      <c r="JMS240" s="1"/>
      <c r="JMT240" s="1"/>
      <c r="JMU240" s="1"/>
      <c r="JMV240" s="1"/>
      <c r="JMW240" s="1"/>
      <c r="JMX240" s="1"/>
      <c r="JMY240" s="1"/>
      <c r="JMZ240" s="1"/>
      <c r="JNA240" s="1"/>
      <c r="JNB240" s="1"/>
      <c r="JNC240" s="1"/>
      <c r="JND240" s="1"/>
      <c r="JNE240" s="1"/>
      <c r="JNF240" s="1"/>
      <c r="JNG240" s="1"/>
      <c r="JNH240" s="1"/>
      <c r="JNI240" s="1"/>
      <c r="JNJ240" s="1"/>
      <c r="JNK240" s="1"/>
      <c r="JNL240" s="1"/>
      <c r="JNM240" s="1"/>
      <c r="JNN240" s="1"/>
      <c r="JNO240" s="1"/>
      <c r="JNP240" s="1"/>
      <c r="JNQ240" s="1"/>
      <c r="JNR240" s="1"/>
      <c r="JNS240" s="1"/>
      <c r="JNT240" s="1"/>
      <c r="JNU240" s="1"/>
      <c r="JNV240" s="1"/>
      <c r="JNW240" s="1"/>
      <c r="JNX240" s="1"/>
      <c r="JNY240" s="1"/>
      <c r="JNZ240" s="1"/>
      <c r="JOA240" s="1"/>
      <c r="JOB240" s="1"/>
      <c r="JOC240" s="1"/>
      <c r="JOD240" s="1"/>
      <c r="JOE240" s="1"/>
      <c r="JOF240" s="1"/>
      <c r="JOG240" s="1"/>
      <c r="JOH240" s="1"/>
      <c r="JOI240" s="1"/>
      <c r="JOJ240" s="1"/>
      <c r="JOK240" s="1"/>
      <c r="JOL240" s="1"/>
      <c r="JOM240" s="1"/>
      <c r="JON240" s="1"/>
      <c r="JOO240" s="1"/>
      <c r="JOP240" s="1"/>
      <c r="JOQ240" s="1"/>
      <c r="JOR240" s="1"/>
      <c r="JOS240" s="1"/>
      <c r="JOT240" s="1"/>
      <c r="JOU240" s="1"/>
      <c r="JOV240" s="1"/>
      <c r="JOW240" s="1"/>
      <c r="JOX240" s="1"/>
      <c r="JOY240" s="1"/>
      <c r="JOZ240" s="1"/>
      <c r="JPA240" s="1"/>
      <c r="JPB240" s="1"/>
      <c r="JPC240" s="1"/>
      <c r="JPD240" s="1"/>
      <c r="JPE240" s="1"/>
      <c r="JPF240" s="1"/>
      <c r="JPG240" s="1"/>
      <c r="JPH240" s="1"/>
      <c r="JPI240" s="1"/>
      <c r="JPJ240" s="1"/>
      <c r="JPK240" s="1"/>
      <c r="JPL240" s="1"/>
      <c r="JPM240" s="1"/>
      <c r="JPN240" s="1"/>
      <c r="JPO240" s="1"/>
      <c r="JPP240" s="1"/>
      <c r="JPQ240" s="1"/>
      <c r="JPR240" s="1"/>
      <c r="JPS240" s="1"/>
      <c r="JPT240" s="1"/>
      <c r="JPU240" s="1"/>
      <c r="JPV240" s="1"/>
      <c r="JPW240" s="1"/>
      <c r="JPX240" s="1"/>
      <c r="JPY240" s="1"/>
      <c r="JPZ240" s="1"/>
      <c r="JQA240" s="1"/>
      <c r="JQB240" s="1"/>
      <c r="JQC240" s="1"/>
      <c r="JQD240" s="1"/>
      <c r="JQE240" s="1"/>
      <c r="JQF240" s="1"/>
      <c r="JQG240" s="1"/>
      <c r="JQH240" s="1"/>
      <c r="JQI240" s="1"/>
      <c r="JQJ240" s="1"/>
      <c r="JQK240" s="1"/>
      <c r="JQL240" s="1"/>
      <c r="JQM240" s="1"/>
      <c r="JQN240" s="1"/>
      <c r="JQO240" s="1"/>
      <c r="JQP240" s="1"/>
      <c r="JQQ240" s="1"/>
      <c r="JQR240" s="1"/>
      <c r="JQS240" s="1"/>
      <c r="JQT240" s="1"/>
      <c r="JQU240" s="1"/>
      <c r="JQV240" s="1"/>
      <c r="JQW240" s="1"/>
      <c r="JQX240" s="1"/>
      <c r="JQY240" s="1"/>
      <c r="JQZ240" s="1"/>
      <c r="JRA240" s="1"/>
      <c r="JRB240" s="1"/>
      <c r="JRC240" s="1"/>
      <c r="JRD240" s="1"/>
      <c r="JRE240" s="1"/>
      <c r="JRF240" s="1"/>
      <c r="JRG240" s="1"/>
      <c r="JRH240" s="1"/>
      <c r="JRI240" s="1"/>
      <c r="JRJ240" s="1"/>
      <c r="JRK240" s="1"/>
      <c r="JRL240" s="1"/>
      <c r="JRM240" s="1"/>
      <c r="JRN240" s="1"/>
      <c r="JRO240" s="1"/>
      <c r="JRP240" s="1"/>
      <c r="JRQ240" s="1"/>
      <c r="JRR240" s="1"/>
      <c r="JRS240" s="1"/>
      <c r="JRT240" s="1"/>
      <c r="JRU240" s="1"/>
      <c r="JRV240" s="1"/>
      <c r="JRW240" s="1"/>
      <c r="JRX240" s="1"/>
      <c r="JRY240" s="1"/>
      <c r="JRZ240" s="1"/>
      <c r="JSA240" s="1"/>
      <c r="JSB240" s="1"/>
      <c r="JSC240" s="1"/>
      <c r="JSD240" s="1"/>
      <c r="JSE240" s="1"/>
      <c r="JSF240" s="1"/>
      <c r="JSG240" s="1"/>
      <c r="JSH240" s="1"/>
      <c r="JSI240" s="1"/>
      <c r="JSJ240" s="1"/>
      <c r="JSK240" s="1"/>
      <c r="JSL240" s="1"/>
      <c r="JSM240" s="1"/>
      <c r="JSN240" s="1"/>
      <c r="JSO240" s="1"/>
      <c r="JSP240" s="1"/>
      <c r="JSQ240" s="1"/>
      <c r="JSR240" s="1"/>
      <c r="JSS240" s="1"/>
      <c r="JST240" s="1"/>
      <c r="JSU240" s="1"/>
      <c r="JSV240" s="1"/>
      <c r="JSW240" s="1"/>
      <c r="JSX240" s="1"/>
      <c r="JSY240" s="1"/>
      <c r="JSZ240" s="1"/>
      <c r="JTA240" s="1"/>
      <c r="JTB240" s="1"/>
      <c r="JTC240" s="1"/>
      <c r="JTD240" s="1"/>
      <c r="JTE240" s="1"/>
      <c r="JTF240" s="1"/>
      <c r="JTG240" s="1"/>
      <c r="JTH240" s="1"/>
      <c r="JTI240" s="1"/>
      <c r="JTJ240" s="1"/>
      <c r="JTK240" s="1"/>
      <c r="JTL240" s="1"/>
      <c r="JTM240" s="1"/>
      <c r="JTN240" s="1"/>
      <c r="JTO240" s="1"/>
      <c r="JTP240" s="1"/>
      <c r="JTQ240" s="1"/>
      <c r="JTR240" s="1"/>
      <c r="JTS240" s="1"/>
      <c r="JTT240" s="1"/>
      <c r="JTU240" s="1"/>
      <c r="JTV240" s="1"/>
      <c r="JTW240" s="1"/>
      <c r="JTX240" s="1"/>
      <c r="JTY240" s="1"/>
      <c r="JTZ240" s="1"/>
      <c r="JUA240" s="1"/>
      <c r="JUB240" s="1"/>
      <c r="JUC240" s="1"/>
      <c r="JUD240" s="1"/>
      <c r="JUE240" s="1"/>
      <c r="JUF240" s="1"/>
      <c r="JUG240" s="1"/>
      <c r="JUH240" s="1"/>
      <c r="JUI240" s="1"/>
      <c r="JUJ240" s="1"/>
      <c r="JUK240" s="1"/>
      <c r="JUL240" s="1"/>
      <c r="JUM240" s="1"/>
      <c r="JUN240" s="1"/>
      <c r="JUO240" s="1"/>
      <c r="JUP240" s="1"/>
      <c r="JUQ240" s="1"/>
      <c r="JUR240" s="1"/>
      <c r="JUS240" s="1"/>
      <c r="JUT240" s="1"/>
      <c r="JUU240" s="1"/>
      <c r="JUV240" s="1"/>
      <c r="JUW240" s="1"/>
      <c r="JUX240" s="1"/>
      <c r="JUY240" s="1"/>
      <c r="JUZ240" s="1"/>
      <c r="JVA240" s="1"/>
      <c r="JVB240" s="1"/>
      <c r="JVC240" s="1"/>
      <c r="JVD240" s="1"/>
      <c r="JVE240" s="1"/>
      <c r="JVF240" s="1"/>
      <c r="JVG240" s="1"/>
      <c r="JVH240" s="1"/>
      <c r="JVI240" s="1"/>
      <c r="JVJ240" s="1"/>
      <c r="JVK240" s="1"/>
      <c r="JVL240" s="1"/>
      <c r="JVM240" s="1"/>
      <c r="JVN240" s="1"/>
      <c r="JVO240" s="1"/>
      <c r="JVP240" s="1"/>
      <c r="JVQ240" s="1"/>
      <c r="JVR240" s="1"/>
      <c r="JVS240" s="1"/>
      <c r="JVT240" s="1"/>
      <c r="JVU240" s="1"/>
      <c r="JVV240" s="1"/>
      <c r="JVW240" s="1"/>
      <c r="JVX240" s="1"/>
      <c r="JVY240" s="1"/>
      <c r="JVZ240" s="1"/>
      <c r="JWA240" s="1"/>
      <c r="JWB240" s="1"/>
      <c r="JWC240" s="1"/>
      <c r="JWD240" s="1"/>
      <c r="JWE240" s="1"/>
      <c r="JWF240" s="1"/>
      <c r="JWG240" s="1"/>
      <c r="JWH240" s="1"/>
      <c r="JWI240" s="1"/>
      <c r="JWJ240" s="1"/>
      <c r="JWK240" s="1"/>
      <c r="JWL240" s="1"/>
      <c r="JWM240" s="1"/>
      <c r="JWN240" s="1"/>
      <c r="JWO240" s="1"/>
      <c r="JWP240" s="1"/>
      <c r="JWQ240" s="1"/>
      <c r="JWR240" s="1"/>
      <c r="JWS240" s="1"/>
      <c r="JWT240" s="1"/>
      <c r="JWU240" s="1"/>
      <c r="JWV240" s="1"/>
      <c r="JWW240" s="1"/>
      <c r="JWX240" s="1"/>
      <c r="JWY240" s="1"/>
      <c r="JWZ240" s="1"/>
      <c r="JXA240" s="1"/>
      <c r="JXB240" s="1"/>
      <c r="JXC240" s="1"/>
      <c r="JXD240" s="1"/>
      <c r="JXE240" s="1"/>
      <c r="JXF240" s="1"/>
      <c r="JXG240" s="1"/>
      <c r="JXH240" s="1"/>
      <c r="JXI240" s="1"/>
      <c r="JXJ240" s="1"/>
      <c r="JXK240" s="1"/>
      <c r="JXL240" s="1"/>
      <c r="JXM240" s="1"/>
      <c r="JXN240" s="1"/>
      <c r="JXO240" s="1"/>
      <c r="JXP240" s="1"/>
      <c r="JXQ240" s="1"/>
      <c r="JXR240" s="1"/>
      <c r="JXS240" s="1"/>
      <c r="JXT240" s="1"/>
      <c r="JXU240" s="1"/>
      <c r="JXV240" s="1"/>
      <c r="JXW240" s="1"/>
      <c r="JXX240" s="1"/>
      <c r="JXY240" s="1"/>
      <c r="JXZ240" s="1"/>
      <c r="JYA240" s="1"/>
      <c r="JYB240" s="1"/>
      <c r="JYC240" s="1"/>
      <c r="JYD240" s="1"/>
      <c r="JYE240" s="1"/>
      <c r="JYF240" s="1"/>
      <c r="JYG240" s="1"/>
      <c r="JYH240" s="1"/>
      <c r="JYI240" s="1"/>
      <c r="JYJ240" s="1"/>
      <c r="JYK240" s="1"/>
      <c r="JYL240" s="1"/>
      <c r="JYM240" s="1"/>
      <c r="JYN240" s="1"/>
      <c r="JYO240" s="1"/>
      <c r="JYP240" s="1"/>
      <c r="JYQ240" s="1"/>
      <c r="JYR240" s="1"/>
      <c r="JYS240" s="1"/>
      <c r="JYT240" s="1"/>
      <c r="JYU240" s="1"/>
      <c r="JYV240" s="1"/>
      <c r="JYW240" s="1"/>
      <c r="JYX240" s="1"/>
      <c r="JYY240" s="1"/>
      <c r="JYZ240" s="1"/>
      <c r="JZA240" s="1"/>
      <c r="JZB240" s="1"/>
      <c r="JZC240" s="1"/>
      <c r="JZD240" s="1"/>
      <c r="JZE240" s="1"/>
      <c r="JZF240" s="1"/>
      <c r="JZG240" s="1"/>
      <c r="JZH240" s="1"/>
      <c r="JZI240" s="1"/>
      <c r="JZJ240" s="1"/>
      <c r="JZK240" s="1"/>
      <c r="JZL240" s="1"/>
      <c r="JZM240" s="1"/>
      <c r="JZN240" s="1"/>
      <c r="JZO240" s="1"/>
      <c r="JZP240" s="1"/>
      <c r="JZQ240" s="1"/>
      <c r="JZR240" s="1"/>
      <c r="JZS240" s="1"/>
      <c r="JZT240" s="1"/>
      <c r="JZU240" s="1"/>
      <c r="JZV240" s="1"/>
      <c r="JZW240" s="1"/>
      <c r="JZX240" s="1"/>
      <c r="JZY240" s="1"/>
      <c r="JZZ240" s="1"/>
      <c r="KAA240" s="1"/>
      <c r="KAB240" s="1"/>
      <c r="KAC240" s="1"/>
      <c r="KAD240" s="1"/>
      <c r="KAE240" s="1"/>
      <c r="KAF240" s="1"/>
      <c r="KAG240" s="1"/>
      <c r="KAH240" s="1"/>
      <c r="KAI240" s="1"/>
      <c r="KAJ240" s="1"/>
      <c r="KAK240" s="1"/>
      <c r="KAL240" s="1"/>
      <c r="KAM240" s="1"/>
      <c r="KAN240" s="1"/>
      <c r="KAO240" s="1"/>
      <c r="KAP240" s="1"/>
      <c r="KAQ240" s="1"/>
      <c r="KAR240" s="1"/>
      <c r="KAS240" s="1"/>
      <c r="KAT240" s="1"/>
      <c r="KAU240" s="1"/>
      <c r="KAV240" s="1"/>
      <c r="KAW240" s="1"/>
      <c r="KAX240" s="1"/>
      <c r="KAY240" s="1"/>
      <c r="KAZ240" s="1"/>
      <c r="KBA240" s="1"/>
      <c r="KBB240" s="1"/>
      <c r="KBC240" s="1"/>
      <c r="KBD240" s="1"/>
      <c r="KBE240" s="1"/>
      <c r="KBF240" s="1"/>
      <c r="KBG240" s="1"/>
      <c r="KBH240" s="1"/>
      <c r="KBI240" s="1"/>
      <c r="KBJ240" s="1"/>
      <c r="KBK240" s="1"/>
      <c r="KBL240" s="1"/>
      <c r="KBM240" s="1"/>
      <c r="KBN240" s="1"/>
      <c r="KBO240" s="1"/>
      <c r="KBP240" s="1"/>
      <c r="KBQ240" s="1"/>
      <c r="KBR240" s="1"/>
      <c r="KBS240" s="1"/>
      <c r="KBT240" s="1"/>
      <c r="KBU240" s="1"/>
      <c r="KBV240" s="1"/>
      <c r="KBW240" s="1"/>
      <c r="KBX240" s="1"/>
      <c r="KBY240" s="1"/>
      <c r="KBZ240" s="1"/>
      <c r="KCA240" s="1"/>
      <c r="KCB240" s="1"/>
      <c r="KCC240" s="1"/>
      <c r="KCD240" s="1"/>
      <c r="KCE240" s="1"/>
      <c r="KCF240" s="1"/>
      <c r="KCG240" s="1"/>
      <c r="KCH240" s="1"/>
      <c r="KCI240" s="1"/>
      <c r="KCJ240" s="1"/>
      <c r="KCK240" s="1"/>
      <c r="KCL240" s="1"/>
      <c r="KCM240" s="1"/>
      <c r="KCN240" s="1"/>
      <c r="KCO240" s="1"/>
      <c r="KCP240" s="1"/>
      <c r="KCQ240" s="1"/>
      <c r="KCR240" s="1"/>
      <c r="KCS240" s="1"/>
      <c r="KCT240" s="1"/>
      <c r="KCU240" s="1"/>
      <c r="KCV240" s="1"/>
      <c r="KCW240" s="1"/>
      <c r="KCX240" s="1"/>
      <c r="KCY240" s="1"/>
      <c r="KCZ240" s="1"/>
      <c r="KDA240" s="1"/>
      <c r="KDB240" s="1"/>
      <c r="KDC240" s="1"/>
      <c r="KDD240" s="1"/>
      <c r="KDE240" s="1"/>
      <c r="KDF240" s="1"/>
      <c r="KDG240" s="1"/>
      <c r="KDH240" s="1"/>
      <c r="KDI240" s="1"/>
      <c r="KDJ240" s="1"/>
      <c r="KDK240" s="1"/>
      <c r="KDL240" s="1"/>
      <c r="KDM240" s="1"/>
      <c r="KDN240" s="1"/>
      <c r="KDO240" s="1"/>
      <c r="KDP240" s="1"/>
      <c r="KDQ240" s="1"/>
      <c r="KDR240" s="1"/>
      <c r="KDS240" s="1"/>
      <c r="KDT240" s="1"/>
      <c r="KDU240" s="1"/>
      <c r="KDV240" s="1"/>
      <c r="KDW240" s="1"/>
      <c r="KDX240" s="1"/>
      <c r="KDY240" s="1"/>
      <c r="KDZ240" s="1"/>
      <c r="KEA240" s="1"/>
      <c r="KEB240" s="1"/>
      <c r="KEC240" s="1"/>
      <c r="KED240" s="1"/>
      <c r="KEE240" s="1"/>
      <c r="KEF240" s="1"/>
      <c r="KEG240" s="1"/>
      <c r="KEH240" s="1"/>
      <c r="KEI240" s="1"/>
      <c r="KEJ240" s="1"/>
      <c r="KEK240" s="1"/>
      <c r="KEL240" s="1"/>
      <c r="KEM240" s="1"/>
      <c r="KEN240" s="1"/>
      <c r="KEO240" s="1"/>
      <c r="KEP240" s="1"/>
      <c r="KEQ240" s="1"/>
      <c r="KER240" s="1"/>
      <c r="KES240" s="1"/>
      <c r="KET240" s="1"/>
      <c r="KEU240" s="1"/>
      <c r="KEV240" s="1"/>
      <c r="KEW240" s="1"/>
      <c r="KEX240" s="1"/>
      <c r="KEY240" s="1"/>
      <c r="KEZ240" s="1"/>
      <c r="KFA240" s="1"/>
      <c r="KFB240" s="1"/>
      <c r="KFC240" s="1"/>
      <c r="KFD240" s="1"/>
      <c r="KFE240" s="1"/>
      <c r="KFF240" s="1"/>
      <c r="KFG240" s="1"/>
      <c r="KFH240" s="1"/>
      <c r="KFI240" s="1"/>
      <c r="KFJ240" s="1"/>
      <c r="KFK240" s="1"/>
      <c r="KFL240" s="1"/>
      <c r="KFM240" s="1"/>
      <c r="KFN240" s="1"/>
      <c r="KFO240" s="1"/>
      <c r="KFP240" s="1"/>
      <c r="KFQ240" s="1"/>
      <c r="KFR240" s="1"/>
      <c r="KFS240" s="1"/>
      <c r="KFT240" s="1"/>
      <c r="KFU240" s="1"/>
      <c r="KFV240" s="1"/>
      <c r="KFW240" s="1"/>
      <c r="KFX240" s="1"/>
      <c r="KFY240" s="1"/>
      <c r="KFZ240" s="1"/>
      <c r="KGA240" s="1"/>
      <c r="KGB240" s="1"/>
      <c r="KGC240" s="1"/>
      <c r="KGD240" s="1"/>
      <c r="KGE240" s="1"/>
      <c r="KGF240" s="1"/>
      <c r="KGG240" s="1"/>
      <c r="KGH240" s="1"/>
      <c r="KGI240" s="1"/>
      <c r="KGJ240" s="1"/>
      <c r="KGK240" s="1"/>
      <c r="KGL240" s="1"/>
      <c r="KGM240" s="1"/>
      <c r="KGN240" s="1"/>
      <c r="KGO240" s="1"/>
      <c r="KGP240" s="1"/>
      <c r="KGQ240" s="1"/>
      <c r="KGR240" s="1"/>
      <c r="KGS240" s="1"/>
      <c r="KGT240" s="1"/>
      <c r="KGU240" s="1"/>
      <c r="KGV240" s="1"/>
      <c r="KGW240" s="1"/>
      <c r="KGX240" s="1"/>
      <c r="KGY240" s="1"/>
      <c r="KGZ240" s="1"/>
      <c r="KHA240" s="1"/>
      <c r="KHB240" s="1"/>
      <c r="KHC240" s="1"/>
      <c r="KHD240" s="1"/>
      <c r="KHE240" s="1"/>
      <c r="KHF240" s="1"/>
      <c r="KHG240" s="1"/>
      <c r="KHH240" s="1"/>
      <c r="KHI240" s="1"/>
      <c r="KHJ240" s="1"/>
      <c r="KHK240" s="1"/>
      <c r="KHL240" s="1"/>
      <c r="KHM240" s="1"/>
      <c r="KHN240" s="1"/>
      <c r="KHO240" s="1"/>
      <c r="KHP240" s="1"/>
      <c r="KHQ240" s="1"/>
      <c r="KHR240" s="1"/>
      <c r="KHS240" s="1"/>
      <c r="KHT240" s="1"/>
      <c r="KHU240" s="1"/>
      <c r="KHV240" s="1"/>
      <c r="KHW240" s="1"/>
      <c r="KHX240" s="1"/>
      <c r="KHY240" s="1"/>
      <c r="KHZ240" s="1"/>
      <c r="KIA240" s="1"/>
      <c r="KIB240" s="1"/>
      <c r="KIC240" s="1"/>
      <c r="KID240" s="1"/>
      <c r="KIE240" s="1"/>
      <c r="KIF240" s="1"/>
      <c r="KIG240" s="1"/>
      <c r="KIH240" s="1"/>
      <c r="KII240" s="1"/>
      <c r="KIJ240" s="1"/>
      <c r="KIK240" s="1"/>
      <c r="KIL240" s="1"/>
      <c r="KIM240" s="1"/>
      <c r="KIN240" s="1"/>
      <c r="KIO240" s="1"/>
      <c r="KIP240" s="1"/>
      <c r="KIQ240" s="1"/>
      <c r="KIR240" s="1"/>
      <c r="KIS240" s="1"/>
      <c r="KIT240" s="1"/>
      <c r="KIU240" s="1"/>
      <c r="KIV240" s="1"/>
      <c r="KIW240" s="1"/>
      <c r="KIX240" s="1"/>
      <c r="KIY240" s="1"/>
      <c r="KIZ240" s="1"/>
      <c r="KJA240" s="1"/>
      <c r="KJB240" s="1"/>
      <c r="KJC240" s="1"/>
      <c r="KJD240" s="1"/>
      <c r="KJE240" s="1"/>
      <c r="KJF240" s="1"/>
      <c r="KJG240" s="1"/>
      <c r="KJH240" s="1"/>
      <c r="KJI240" s="1"/>
      <c r="KJJ240" s="1"/>
      <c r="KJK240" s="1"/>
      <c r="KJL240" s="1"/>
      <c r="KJM240" s="1"/>
      <c r="KJN240" s="1"/>
      <c r="KJO240" s="1"/>
      <c r="KJP240" s="1"/>
      <c r="KJQ240" s="1"/>
      <c r="KJR240" s="1"/>
      <c r="KJS240" s="1"/>
      <c r="KJT240" s="1"/>
      <c r="KJU240" s="1"/>
      <c r="KJV240" s="1"/>
      <c r="KJW240" s="1"/>
      <c r="KJX240" s="1"/>
      <c r="KJY240" s="1"/>
      <c r="KJZ240" s="1"/>
      <c r="KKA240" s="1"/>
      <c r="KKB240" s="1"/>
      <c r="KKC240" s="1"/>
      <c r="KKD240" s="1"/>
      <c r="KKE240" s="1"/>
      <c r="KKF240" s="1"/>
      <c r="KKG240" s="1"/>
      <c r="KKH240" s="1"/>
      <c r="KKI240" s="1"/>
      <c r="KKJ240" s="1"/>
      <c r="KKK240" s="1"/>
      <c r="KKL240" s="1"/>
      <c r="KKM240" s="1"/>
      <c r="KKN240" s="1"/>
      <c r="KKO240" s="1"/>
      <c r="KKP240" s="1"/>
      <c r="KKQ240" s="1"/>
      <c r="KKR240" s="1"/>
      <c r="KKS240" s="1"/>
      <c r="KKT240" s="1"/>
      <c r="KKU240" s="1"/>
      <c r="KKV240" s="1"/>
      <c r="KKW240" s="1"/>
      <c r="KKX240" s="1"/>
      <c r="KKY240" s="1"/>
      <c r="KKZ240" s="1"/>
      <c r="KLA240" s="1"/>
      <c r="KLB240" s="1"/>
      <c r="KLC240" s="1"/>
      <c r="KLD240" s="1"/>
      <c r="KLE240" s="1"/>
      <c r="KLF240" s="1"/>
      <c r="KLG240" s="1"/>
      <c r="KLH240" s="1"/>
      <c r="KLI240" s="1"/>
      <c r="KLJ240" s="1"/>
      <c r="KLK240" s="1"/>
      <c r="KLL240" s="1"/>
      <c r="KLM240" s="1"/>
      <c r="KLN240" s="1"/>
      <c r="KLO240" s="1"/>
      <c r="KLP240" s="1"/>
      <c r="KLQ240" s="1"/>
      <c r="KLR240" s="1"/>
      <c r="KLS240" s="1"/>
      <c r="KLT240" s="1"/>
      <c r="KLU240" s="1"/>
      <c r="KLV240" s="1"/>
      <c r="KLW240" s="1"/>
      <c r="KLX240" s="1"/>
      <c r="KLY240" s="1"/>
      <c r="KLZ240" s="1"/>
      <c r="KMA240" s="1"/>
      <c r="KMB240" s="1"/>
      <c r="KMC240" s="1"/>
      <c r="KMD240" s="1"/>
      <c r="KME240" s="1"/>
      <c r="KMF240" s="1"/>
      <c r="KMG240" s="1"/>
      <c r="KMH240" s="1"/>
      <c r="KMI240" s="1"/>
      <c r="KMJ240" s="1"/>
      <c r="KMK240" s="1"/>
      <c r="KML240" s="1"/>
      <c r="KMM240" s="1"/>
      <c r="KMN240" s="1"/>
      <c r="KMO240" s="1"/>
      <c r="KMP240" s="1"/>
      <c r="KMQ240" s="1"/>
      <c r="KMR240" s="1"/>
      <c r="KMS240" s="1"/>
      <c r="KMT240" s="1"/>
      <c r="KMU240" s="1"/>
      <c r="KMV240" s="1"/>
      <c r="KMW240" s="1"/>
      <c r="KMX240" s="1"/>
      <c r="KMY240" s="1"/>
      <c r="KMZ240" s="1"/>
      <c r="KNA240" s="1"/>
      <c r="KNB240" s="1"/>
      <c r="KNC240" s="1"/>
      <c r="KND240" s="1"/>
      <c r="KNE240" s="1"/>
      <c r="KNF240" s="1"/>
      <c r="KNG240" s="1"/>
      <c r="KNH240" s="1"/>
      <c r="KNI240" s="1"/>
      <c r="KNJ240" s="1"/>
      <c r="KNK240" s="1"/>
      <c r="KNL240" s="1"/>
      <c r="KNM240" s="1"/>
      <c r="KNN240" s="1"/>
      <c r="KNO240" s="1"/>
      <c r="KNP240" s="1"/>
      <c r="KNQ240" s="1"/>
      <c r="KNR240" s="1"/>
      <c r="KNS240" s="1"/>
      <c r="KNT240" s="1"/>
      <c r="KNU240" s="1"/>
      <c r="KNV240" s="1"/>
      <c r="KNW240" s="1"/>
      <c r="KNX240" s="1"/>
      <c r="KNY240" s="1"/>
      <c r="KNZ240" s="1"/>
      <c r="KOA240" s="1"/>
      <c r="KOB240" s="1"/>
      <c r="KOC240" s="1"/>
      <c r="KOD240" s="1"/>
      <c r="KOE240" s="1"/>
      <c r="KOF240" s="1"/>
      <c r="KOG240" s="1"/>
      <c r="KOH240" s="1"/>
      <c r="KOI240" s="1"/>
      <c r="KOJ240" s="1"/>
      <c r="KOK240" s="1"/>
      <c r="KOL240" s="1"/>
      <c r="KOM240" s="1"/>
      <c r="KON240" s="1"/>
      <c r="KOO240" s="1"/>
      <c r="KOP240" s="1"/>
      <c r="KOQ240" s="1"/>
      <c r="KOR240" s="1"/>
      <c r="KOS240" s="1"/>
      <c r="KOT240" s="1"/>
      <c r="KOU240" s="1"/>
      <c r="KOV240" s="1"/>
      <c r="KOW240" s="1"/>
      <c r="KOX240" s="1"/>
      <c r="KOY240" s="1"/>
      <c r="KOZ240" s="1"/>
      <c r="KPA240" s="1"/>
      <c r="KPB240" s="1"/>
      <c r="KPC240" s="1"/>
      <c r="KPD240" s="1"/>
      <c r="KPE240" s="1"/>
      <c r="KPF240" s="1"/>
      <c r="KPG240" s="1"/>
      <c r="KPH240" s="1"/>
      <c r="KPI240" s="1"/>
      <c r="KPJ240" s="1"/>
      <c r="KPK240" s="1"/>
      <c r="KPL240" s="1"/>
      <c r="KPM240" s="1"/>
      <c r="KPN240" s="1"/>
      <c r="KPO240" s="1"/>
      <c r="KPP240" s="1"/>
      <c r="KPQ240" s="1"/>
      <c r="KPR240" s="1"/>
      <c r="KPS240" s="1"/>
      <c r="KPT240" s="1"/>
      <c r="KPU240" s="1"/>
      <c r="KPV240" s="1"/>
      <c r="KPW240" s="1"/>
      <c r="KPX240" s="1"/>
      <c r="KPY240" s="1"/>
      <c r="KPZ240" s="1"/>
      <c r="KQA240" s="1"/>
      <c r="KQB240" s="1"/>
      <c r="KQC240" s="1"/>
      <c r="KQD240" s="1"/>
      <c r="KQE240" s="1"/>
      <c r="KQF240" s="1"/>
      <c r="KQG240" s="1"/>
      <c r="KQH240" s="1"/>
      <c r="KQI240" s="1"/>
      <c r="KQJ240" s="1"/>
      <c r="KQK240" s="1"/>
      <c r="KQL240" s="1"/>
      <c r="KQM240" s="1"/>
      <c r="KQN240" s="1"/>
      <c r="KQO240" s="1"/>
      <c r="KQP240" s="1"/>
      <c r="KQQ240" s="1"/>
      <c r="KQR240" s="1"/>
      <c r="KQS240" s="1"/>
      <c r="KQT240" s="1"/>
      <c r="KQU240" s="1"/>
      <c r="KQV240" s="1"/>
      <c r="KQW240" s="1"/>
      <c r="KQX240" s="1"/>
      <c r="KQY240" s="1"/>
      <c r="KQZ240" s="1"/>
      <c r="KRA240" s="1"/>
      <c r="KRB240" s="1"/>
      <c r="KRC240" s="1"/>
      <c r="KRD240" s="1"/>
      <c r="KRE240" s="1"/>
      <c r="KRF240" s="1"/>
      <c r="KRG240" s="1"/>
      <c r="KRH240" s="1"/>
      <c r="KRI240" s="1"/>
      <c r="KRJ240" s="1"/>
      <c r="KRK240" s="1"/>
      <c r="KRL240" s="1"/>
      <c r="KRM240" s="1"/>
      <c r="KRN240" s="1"/>
      <c r="KRO240" s="1"/>
      <c r="KRP240" s="1"/>
      <c r="KRQ240" s="1"/>
      <c r="KRR240" s="1"/>
      <c r="KRS240" s="1"/>
      <c r="KRT240" s="1"/>
      <c r="KRU240" s="1"/>
      <c r="KRV240" s="1"/>
      <c r="KRW240" s="1"/>
      <c r="KRX240" s="1"/>
      <c r="KRY240" s="1"/>
      <c r="KRZ240" s="1"/>
      <c r="KSA240" s="1"/>
      <c r="KSB240" s="1"/>
      <c r="KSC240" s="1"/>
      <c r="KSD240" s="1"/>
      <c r="KSE240" s="1"/>
      <c r="KSF240" s="1"/>
      <c r="KSG240" s="1"/>
      <c r="KSH240" s="1"/>
      <c r="KSI240" s="1"/>
      <c r="KSJ240" s="1"/>
      <c r="KSK240" s="1"/>
      <c r="KSL240" s="1"/>
      <c r="KSM240" s="1"/>
      <c r="KSN240" s="1"/>
      <c r="KSO240" s="1"/>
      <c r="KSP240" s="1"/>
      <c r="KSQ240" s="1"/>
      <c r="KSR240" s="1"/>
      <c r="KSS240" s="1"/>
      <c r="KST240" s="1"/>
      <c r="KSU240" s="1"/>
      <c r="KSV240" s="1"/>
      <c r="KSW240" s="1"/>
      <c r="KSX240" s="1"/>
      <c r="KSY240" s="1"/>
      <c r="KSZ240" s="1"/>
      <c r="KTA240" s="1"/>
      <c r="KTB240" s="1"/>
      <c r="KTC240" s="1"/>
      <c r="KTD240" s="1"/>
      <c r="KTE240" s="1"/>
      <c r="KTF240" s="1"/>
      <c r="KTG240" s="1"/>
      <c r="KTH240" s="1"/>
      <c r="KTI240" s="1"/>
      <c r="KTJ240" s="1"/>
      <c r="KTK240" s="1"/>
      <c r="KTL240" s="1"/>
      <c r="KTM240" s="1"/>
      <c r="KTN240" s="1"/>
      <c r="KTO240" s="1"/>
      <c r="KTP240" s="1"/>
      <c r="KTQ240" s="1"/>
      <c r="KTR240" s="1"/>
      <c r="KTS240" s="1"/>
      <c r="KTT240" s="1"/>
      <c r="KTU240" s="1"/>
      <c r="KTV240" s="1"/>
      <c r="KTW240" s="1"/>
      <c r="KTX240" s="1"/>
      <c r="KTY240" s="1"/>
      <c r="KTZ240" s="1"/>
      <c r="KUA240" s="1"/>
      <c r="KUB240" s="1"/>
      <c r="KUC240" s="1"/>
      <c r="KUD240" s="1"/>
      <c r="KUE240" s="1"/>
      <c r="KUF240" s="1"/>
      <c r="KUG240" s="1"/>
      <c r="KUH240" s="1"/>
      <c r="KUI240" s="1"/>
      <c r="KUJ240" s="1"/>
      <c r="KUK240" s="1"/>
      <c r="KUL240" s="1"/>
      <c r="KUM240" s="1"/>
      <c r="KUN240" s="1"/>
      <c r="KUO240" s="1"/>
      <c r="KUP240" s="1"/>
      <c r="KUQ240" s="1"/>
      <c r="KUR240" s="1"/>
      <c r="KUS240" s="1"/>
      <c r="KUT240" s="1"/>
      <c r="KUU240" s="1"/>
      <c r="KUV240" s="1"/>
      <c r="KUW240" s="1"/>
      <c r="KUX240" s="1"/>
      <c r="KUY240" s="1"/>
      <c r="KUZ240" s="1"/>
      <c r="KVA240" s="1"/>
      <c r="KVB240" s="1"/>
      <c r="KVC240" s="1"/>
      <c r="KVD240" s="1"/>
      <c r="KVE240" s="1"/>
      <c r="KVF240" s="1"/>
      <c r="KVG240" s="1"/>
      <c r="KVH240" s="1"/>
      <c r="KVI240" s="1"/>
      <c r="KVJ240" s="1"/>
      <c r="KVK240" s="1"/>
      <c r="KVL240" s="1"/>
      <c r="KVM240" s="1"/>
      <c r="KVN240" s="1"/>
      <c r="KVO240" s="1"/>
      <c r="KVP240" s="1"/>
      <c r="KVQ240" s="1"/>
      <c r="KVR240" s="1"/>
      <c r="KVS240" s="1"/>
      <c r="KVT240" s="1"/>
      <c r="KVU240" s="1"/>
      <c r="KVV240" s="1"/>
      <c r="KVW240" s="1"/>
      <c r="KVX240" s="1"/>
      <c r="KVY240" s="1"/>
      <c r="KVZ240" s="1"/>
      <c r="KWA240" s="1"/>
      <c r="KWB240" s="1"/>
      <c r="KWC240" s="1"/>
      <c r="KWD240" s="1"/>
      <c r="KWE240" s="1"/>
      <c r="KWF240" s="1"/>
      <c r="KWG240" s="1"/>
      <c r="KWH240" s="1"/>
      <c r="KWI240" s="1"/>
      <c r="KWJ240" s="1"/>
      <c r="KWK240" s="1"/>
      <c r="KWL240" s="1"/>
      <c r="KWM240" s="1"/>
      <c r="KWN240" s="1"/>
      <c r="KWO240" s="1"/>
      <c r="KWP240" s="1"/>
      <c r="KWQ240" s="1"/>
      <c r="KWR240" s="1"/>
      <c r="KWS240" s="1"/>
      <c r="KWT240" s="1"/>
      <c r="KWU240" s="1"/>
      <c r="KWV240" s="1"/>
      <c r="KWW240" s="1"/>
      <c r="KWX240" s="1"/>
      <c r="KWY240" s="1"/>
      <c r="KWZ240" s="1"/>
      <c r="KXA240" s="1"/>
      <c r="KXB240" s="1"/>
      <c r="KXC240" s="1"/>
      <c r="KXD240" s="1"/>
      <c r="KXE240" s="1"/>
      <c r="KXF240" s="1"/>
      <c r="KXG240" s="1"/>
      <c r="KXH240" s="1"/>
      <c r="KXI240" s="1"/>
      <c r="KXJ240" s="1"/>
      <c r="KXK240" s="1"/>
      <c r="KXL240" s="1"/>
      <c r="KXM240" s="1"/>
      <c r="KXN240" s="1"/>
      <c r="KXO240" s="1"/>
      <c r="KXP240" s="1"/>
      <c r="KXQ240" s="1"/>
      <c r="KXR240" s="1"/>
      <c r="KXS240" s="1"/>
      <c r="KXT240" s="1"/>
      <c r="KXU240" s="1"/>
      <c r="KXV240" s="1"/>
      <c r="KXW240" s="1"/>
      <c r="KXX240" s="1"/>
      <c r="KXY240" s="1"/>
      <c r="KXZ240" s="1"/>
      <c r="KYA240" s="1"/>
      <c r="KYB240" s="1"/>
      <c r="KYC240" s="1"/>
      <c r="KYD240" s="1"/>
      <c r="KYE240" s="1"/>
      <c r="KYF240" s="1"/>
      <c r="KYG240" s="1"/>
      <c r="KYH240" s="1"/>
      <c r="KYI240" s="1"/>
      <c r="KYJ240" s="1"/>
      <c r="KYK240" s="1"/>
      <c r="KYL240" s="1"/>
      <c r="KYM240" s="1"/>
      <c r="KYN240" s="1"/>
      <c r="KYO240" s="1"/>
      <c r="KYP240" s="1"/>
      <c r="KYQ240" s="1"/>
      <c r="KYR240" s="1"/>
      <c r="KYS240" s="1"/>
      <c r="KYT240" s="1"/>
      <c r="KYU240" s="1"/>
      <c r="KYV240" s="1"/>
      <c r="KYW240" s="1"/>
      <c r="KYX240" s="1"/>
      <c r="KYY240" s="1"/>
      <c r="KYZ240" s="1"/>
      <c r="KZA240" s="1"/>
      <c r="KZB240" s="1"/>
      <c r="KZC240" s="1"/>
      <c r="KZD240" s="1"/>
      <c r="KZE240" s="1"/>
      <c r="KZF240" s="1"/>
      <c r="KZG240" s="1"/>
      <c r="KZH240" s="1"/>
      <c r="KZI240" s="1"/>
      <c r="KZJ240" s="1"/>
      <c r="KZK240" s="1"/>
      <c r="KZL240" s="1"/>
      <c r="KZM240" s="1"/>
      <c r="KZN240" s="1"/>
      <c r="KZO240" s="1"/>
      <c r="KZP240" s="1"/>
      <c r="KZQ240" s="1"/>
      <c r="KZR240" s="1"/>
      <c r="KZS240" s="1"/>
      <c r="KZT240" s="1"/>
      <c r="KZU240" s="1"/>
      <c r="KZV240" s="1"/>
      <c r="KZW240" s="1"/>
      <c r="KZX240" s="1"/>
      <c r="KZY240" s="1"/>
      <c r="KZZ240" s="1"/>
      <c r="LAA240" s="1"/>
      <c r="LAB240" s="1"/>
      <c r="LAC240" s="1"/>
      <c r="LAD240" s="1"/>
      <c r="LAE240" s="1"/>
      <c r="LAF240" s="1"/>
      <c r="LAG240" s="1"/>
      <c r="LAH240" s="1"/>
      <c r="LAI240" s="1"/>
      <c r="LAJ240" s="1"/>
      <c r="LAK240" s="1"/>
      <c r="LAL240" s="1"/>
      <c r="LAM240" s="1"/>
      <c r="LAN240" s="1"/>
      <c r="LAO240" s="1"/>
      <c r="LAP240" s="1"/>
      <c r="LAQ240" s="1"/>
      <c r="LAR240" s="1"/>
      <c r="LAS240" s="1"/>
      <c r="LAT240" s="1"/>
      <c r="LAU240" s="1"/>
      <c r="LAV240" s="1"/>
      <c r="LAW240" s="1"/>
      <c r="LAX240" s="1"/>
      <c r="LAY240" s="1"/>
      <c r="LAZ240" s="1"/>
      <c r="LBA240" s="1"/>
      <c r="LBB240" s="1"/>
      <c r="LBC240" s="1"/>
      <c r="LBD240" s="1"/>
      <c r="LBE240" s="1"/>
      <c r="LBF240" s="1"/>
      <c r="LBG240" s="1"/>
      <c r="LBH240" s="1"/>
      <c r="LBI240" s="1"/>
      <c r="LBJ240" s="1"/>
      <c r="LBK240" s="1"/>
      <c r="LBL240" s="1"/>
      <c r="LBM240" s="1"/>
      <c r="LBN240" s="1"/>
      <c r="LBO240" s="1"/>
      <c r="LBP240" s="1"/>
      <c r="LBQ240" s="1"/>
      <c r="LBR240" s="1"/>
      <c r="LBS240" s="1"/>
      <c r="LBT240" s="1"/>
      <c r="LBU240" s="1"/>
      <c r="LBV240" s="1"/>
      <c r="LBW240" s="1"/>
      <c r="LBX240" s="1"/>
      <c r="LBY240" s="1"/>
      <c r="LBZ240" s="1"/>
      <c r="LCA240" s="1"/>
      <c r="LCB240" s="1"/>
      <c r="LCC240" s="1"/>
      <c r="LCD240" s="1"/>
      <c r="LCE240" s="1"/>
      <c r="LCF240" s="1"/>
      <c r="LCG240" s="1"/>
      <c r="LCH240" s="1"/>
      <c r="LCI240" s="1"/>
      <c r="LCJ240" s="1"/>
      <c r="LCK240" s="1"/>
      <c r="LCL240" s="1"/>
      <c r="LCM240" s="1"/>
      <c r="LCN240" s="1"/>
      <c r="LCO240" s="1"/>
      <c r="LCP240" s="1"/>
      <c r="LCQ240" s="1"/>
      <c r="LCR240" s="1"/>
      <c r="LCS240" s="1"/>
      <c r="LCT240" s="1"/>
      <c r="LCU240" s="1"/>
      <c r="LCV240" s="1"/>
      <c r="LCW240" s="1"/>
      <c r="LCX240" s="1"/>
      <c r="LCY240" s="1"/>
      <c r="LCZ240" s="1"/>
      <c r="LDA240" s="1"/>
      <c r="LDB240" s="1"/>
      <c r="LDC240" s="1"/>
      <c r="LDD240" s="1"/>
      <c r="LDE240" s="1"/>
      <c r="LDF240" s="1"/>
      <c r="LDG240" s="1"/>
      <c r="LDH240" s="1"/>
      <c r="LDI240" s="1"/>
      <c r="LDJ240" s="1"/>
      <c r="LDK240" s="1"/>
      <c r="LDL240" s="1"/>
      <c r="LDM240" s="1"/>
      <c r="LDN240" s="1"/>
      <c r="LDO240" s="1"/>
      <c r="LDP240" s="1"/>
      <c r="LDQ240" s="1"/>
      <c r="LDR240" s="1"/>
      <c r="LDS240" s="1"/>
      <c r="LDT240" s="1"/>
      <c r="LDU240" s="1"/>
      <c r="LDV240" s="1"/>
      <c r="LDW240" s="1"/>
      <c r="LDX240" s="1"/>
      <c r="LDY240" s="1"/>
      <c r="LDZ240" s="1"/>
      <c r="LEA240" s="1"/>
      <c r="LEB240" s="1"/>
      <c r="LEC240" s="1"/>
      <c r="LED240" s="1"/>
      <c r="LEE240" s="1"/>
      <c r="LEF240" s="1"/>
      <c r="LEG240" s="1"/>
      <c r="LEH240" s="1"/>
      <c r="LEI240" s="1"/>
      <c r="LEJ240" s="1"/>
      <c r="LEK240" s="1"/>
      <c r="LEL240" s="1"/>
      <c r="LEM240" s="1"/>
      <c r="LEN240" s="1"/>
      <c r="LEO240" s="1"/>
      <c r="LEP240" s="1"/>
      <c r="LEQ240" s="1"/>
      <c r="LER240" s="1"/>
      <c r="LES240" s="1"/>
      <c r="LET240" s="1"/>
      <c r="LEU240" s="1"/>
      <c r="LEV240" s="1"/>
      <c r="LEW240" s="1"/>
      <c r="LEX240" s="1"/>
      <c r="LEY240" s="1"/>
      <c r="LEZ240" s="1"/>
      <c r="LFA240" s="1"/>
      <c r="LFB240" s="1"/>
      <c r="LFC240" s="1"/>
      <c r="LFD240" s="1"/>
      <c r="LFE240" s="1"/>
      <c r="LFF240" s="1"/>
      <c r="LFG240" s="1"/>
      <c r="LFH240" s="1"/>
      <c r="LFI240" s="1"/>
      <c r="LFJ240" s="1"/>
      <c r="LFK240" s="1"/>
      <c r="LFL240" s="1"/>
      <c r="LFM240" s="1"/>
      <c r="LFN240" s="1"/>
      <c r="LFO240" s="1"/>
      <c r="LFP240" s="1"/>
      <c r="LFQ240" s="1"/>
      <c r="LFR240" s="1"/>
      <c r="LFS240" s="1"/>
      <c r="LFT240" s="1"/>
      <c r="LFU240" s="1"/>
      <c r="LFV240" s="1"/>
      <c r="LFW240" s="1"/>
      <c r="LFX240" s="1"/>
      <c r="LFY240" s="1"/>
      <c r="LFZ240" s="1"/>
      <c r="LGA240" s="1"/>
      <c r="LGB240" s="1"/>
      <c r="LGC240" s="1"/>
      <c r="LGD240" s="1"/>
      <c r="LGE240" s="1"/>
      <c r="LGF240" s="1"/>
      <c r="LGG240" s="1"/>
      <c r="LGH240" s="1"/>
      <c r="LGI240" s="1"/>
      <c r="LGJ240" s="1"/>
      <c r="LGK240" s="1"/>
      <c r="LGL240" s="1"/>
      <c r="LGM240" s="1"/>
      <c r="LGN240" s="1"/>
      <c r="LGO240" s="1"/>
      <c r="LGP240" s="1"/>
      <c r="LGQ240" s="1"/>
      <c r="LGR240" s="1"/>
      <c r="LGS240" s="1"/>
      <c r="LGT240" s="1"/>
      <c r="LGU240" s="1"/>
      <c r="LGV240" s="1"/>
      <c r="LGW240" s="1"/>
      <c r="LGX240" s="1"/>
      <c r="LGY240" s="1"/>
      <c r="LGZ240" s="1"/>
      <c r="LHA240" s="1"/>
      <c r="LHB240" s="1"/>
      <c r="LHC240" s="1"/>
      <c r="LHD240" s="1"/>
      <c r="LHE240" s="1"/>
      <c r="LHF240" s="1"/>
      <c r="LHG240" s="1"/>
      <c r="LHH240" s="1"/>
      <c r="LHI240" s="1"/>
      <c r="LHJ240" s="1"/>
      <c r="LHK240" s="1"/>
      <c r="LHL240" s="1"/>
      <c r="LHM240" s="1"/>
      <c r="LHN240" s="1"/>
      <c r="LHO240" s="1"/>
      <c r="LHP240" s="1"/>
      <c r="LHQ240" s="1"/>
      <c r="LHR240" s="1"/>
      <c r="LHS240" s="1"/>
      <c r="LHT240" s="1"/>
      <c r="LHU240" s="1"/>
      <c r="LHV240" s="1"/>
      <c r="LHW240" s="1"/>
      <c r="LHX240" s="1"/>
      <c r="LHY240" s="1"/>
      <c r="LHZ240" s="1"/>
      <c r="LIA240" s="1"/>
      <c r="LIB240" s="1"/>
      <c r="LIC240" s="1"/>
      <c r="LID240" s="1"/>
      <c r="LIE240" s="1"/>
      <c r="LIF240" s="1"/>
      <c r="LIG240" s="1"/>
      <c r="LIH240" s="1"/>
      <c r="LII240" s="1"/>
      <c r="LIJ240" s="1"/>
      <c r="LIK240" s="1"/>
      <c r="LIL240" s="1"/>
      <c r="LIM240" s="1"/>
      <c r="LIN240" s="1"/>
      <c r="LIO240" s="1"/>
      <c r="LIP240" s="1"/>
      <c r="LIQ240" s="1"/>
      <c r="LIR240" s="1"/>
      <c r="LIS240" s="1"/>
      <c r="LIT240" s="1"/>
      <c r="LIU240" s="1"/>
      <c r="LIV240" s="1"/>
      <c r="LIW240" s="1"/>
      <c r="LIX240" s="1"/>
      <c r="LIY240" s="1"/>
      <c r="LIZ240" s="1"/>
      <c r="LJA240" s="1"/>
      <c r="LJB240" s="1"/>
      <c r="LJC240" s="1"/>
      <c r="LJD240" s="1"/>
      <c r="LJE240" s="1"/>
      <c r="LJF240" s="1"/>
      <c r="LJG240" s="1"/>
      <c r="LJH240" s="1"/>
      <c r="LJI240" s="1"/>
      <c r="LJJ240" s="1"/>
      <c r="LJK240" s="1"/>
      <c r="LJL240" s="1"/>
      <c r="LJM240" s="1"/>
      <c r="LJN240" s="1"/>
      <c r="LJO240" s="1"/>
      <c r="LJP240" s="1"/>
      <c r="LJQ240" s="1"/>
      <c r="LJR240" s="1"/>
      <c r="LJS240" s="1"/>
      <c r="LJT240" s="1"/>
      <c r="LJU240" s="1"/>
      <c r="LJV240" s="1"/>
      <c r="LJW240" s="1"/>
      <c r="LJX240" s="1"/>
      <c r="LJY240" s="1"/>
      <c r="LJZ240" s="1"/>
      <c r="LKA240" s="1"/>
      <c r="LKB240" s="1"/>
      <c r="LKC240" s="1"/>
      <c r="LKD240" s="1"/>
      <c r="LKE240" s="1"/>
      <c r="LKF240" s="1"/>
      <c r="LKG240" s="1"/>
      <c r="LKH240" s="1"/>
      <c r="LKI240" s="1"/>
      <c r="LKJ240" s="1"/>
      <c r="LKK240" s="1"/>
      <c r="LKL240" s="1"/>
      <c r="LKM240" s="1"/>
      <c r="LKN240" s="1"/>
      <c r="LKO240" s="1"/>
      <c r="LKP240" s="1"/>
      <c r="LKQ240" s="1"/>
      <c r="LKR240" s="1"/>
      <c r="LKS240" s="1"/>
      <c r="LKT240" s="1"/>
      <c r="LKU240" s="1"/>
      <c r="LKV240" s="1"/>
      <c r="LKW240" s="1"/>
      <c r="LKX240" s="1"/>
      <c r="LKY240" s="1"/>
      <c r="LKZ240" s="1"/>
      <c r="LLA240" s="1"/>
      <c r="LLB240" s="1"/>
      <c r="LLC240" s="1"/>
      <c r="LLD240" s="1"/>
      <c r="LLE240" s="1"/>
      <c r="LLF240" s="1"/>
      <c r="LLG240" s="1"/>
      <c r="LLH240" s="1"/>
      <c r="LLI240" s="1"/>
      <c r="LLJ240" s="1"/>
      <c r="LLK240" s="1"/>
      <c r="LLL240" s="1"/>
      <c r="LLM240" s="1"/>
      <c r="LLN240" s="1"/>
      <c r="LLO240" s="1"/>
      <c r="LLP240" s="1"/>
      <c r="LLQ240" s="1"/>
      <c r="LLR240" s="1"/>
      <c r="LLS240" s="1"/>
      <c r="LLT240" s="1"/>
      <c r="LLU240" s="1"/>
      <c r="LLV240" s="1"/>
      <c r="LLW240" s="1"/>
      <c r="LLX240" s="1"/>
      <c r="LLY240" s="1"/>
      <c r="LLZ240" s="1"/>
      <c r="LMA240" s="1"/>
      <c r="LMB240" s="1"/>
      <c r="LMC240" s="1"/>
      <c r="LMD240" s="1"/>
      <c r="LME240" s="1"/>
      <c r="LMF240" s="1"/>
      <c r="LMG240" s="1"/>
      <c r="LMH240" s="1"/>
      <c r="LMI240" s="1"/>
      <c r="LMJ240" s="1"/>
      <c r="LMK240" s="1"/>
      <c r="LML240" s="1"/>
      <c r="LMM240" s="1"/>
      <c r="LMN240" s="1"/>
      <c r="LMO240" s="1"/>
      <c r="LMP240" s="1"/>
      <c r="LMQ240" s="1"/>
      <c r="LMR240" s="1"/>
      <c r="LMS240" s="1"/>
      <c r="LMT240" s="1"/>
      <c r="LMU240" s="1"/>
      <c r="LMV240" s="1"/>
      <c r="LMW240" s="1"/>
      <c r="LMX240" s="1"/>
      <c r="LMY240" s="1"/>
      <c r="LMZ240" s="1"/>
      <c r="LNA240" s="1"/>
      <c r="LNB240" s="1"/>
      <c r="LNC240" s="1"/>
      <c r="LND240" s="1"/>
      <c r="LNE240" s="1"/>
      <c r="LNF240" s="1"/>
      <c r="LNG240" s="1"/>
      <c r="LNH240" s="1"/>
      <c r="LNI240" s="1"/>
      <c r="LNJ240" s="1"/>
      <c r="LNK240" s="1"/>
      <c r="LNL240" s="1"/>
      <c r="LNM240" s="1"/>
      <c r="LNN240" s="1"/>
      <c r="LNO240" s="1"/>
      <c r="LNP240" s="1"/>
      <c r="LNQ240" s="1"/>
      <c r="LNR240" s="1"/>
      <c r="LNS240" s="1"/>
      <c r="LNT240" s="1"/>
      <c r="LNU240" s="1"/>
      <c r="LNV240" s="1"/>
      <c r="LNW240" s="1"/>
      <c r="LNX240" s="1"/>
      <c r="LNY240" s="1"/>
      <c r="LNZ240" s="1"/>
      <c r="LOA240" s="1"/>
      <c r="LOB240" s="1"/>
      <c r="LOC240" s="1"/>
      <c r="LOD240" s="1"/>
      <c r="LOE240" s="1"/>
      <c r="LOF240" s="1"/>
      <c r="LOG240" s="1"/>
      <c r="LOH240" s="1"/>
      <c r="LOI240" s="1"/>
      <c r="LOJ240" s="1"/>
      <c r="LOK240" s="1"/>
      <c r="LOL240" s="1"/>
      <c r="LOM240" s="1"/>
      <c r="LON240" s="1"/>
      <c r="LOO240" s="1"/>
      <c r="LOP240" s="1"/>
      <c r="LOQ240" s="1"/>
      <c r="LOR240" s="1"/>
      <c r="LOS240" s="1"/>
      <c r="LOT240" s="1"/>
      <c r="LOU240" s="1"/>
      <c r="LOV240" s="1"/>
      <c r="LOW240" s="1"/>
      <c r="LOX240" s="1"/>
      <c r="LOY240" s="1"/>
      <c r="LOZ240" s="1"/>
      <c r="LPA240" s="1"/>
      <c r="LPB240" s="1"/>
      <c r="LPC240" s="1"/>
      <c r="LPD240" s="1"/>
      <c r="LPE240" s="1"/>
      <c r="LPF240" s="1"/>
      <c r="LPG240" s="1"/>
      <c r="LPH240" s="1"/>
      <c r="LPI240" s="1"/>
      <c r="LPJ240" s="1"/>
      <c r="LPK240" s="1"/>
      <c r="LPL240" s="1"/>
      <c r="LPM240" s="1"/>
      <c r="LPN240" s="1"/>
      <c r="LPO240" s="1"/>
      <c r="LPP240" s="1"/>
      <c r="LPQ240" s="1"/>
      <c r="LPR240" s="1"/>
      <c r="LPS240" s="1"/>
      <c r="LPT240" s="1"/>
      <c r="LPU240" s="1"/>
      <c r="LPV240" s="1"/>
      <c r="LPW240" s="1"/>
      <c r="LPX240" s="1"/>
      <c r="LPY240" s="1"/>
      <c r="LPZ240" s="1"/>
      <c r="LQA240" s="1"/>
      <c r="LQB240" s="1"/>
      <c r="LQC240" s="1"/>
      <c r="LQD240" s="1"/>
      <c r="LQE240" s="1"/>
      <c r="LQF240" s="1"/>
      <c r="LQG240" s="1"/>
      <c r="LQH240" s="1"/>
      <c r="LQI240" s="1"/>
      <c r="LQJ240" s="1"/>
      <c r="LQK240" s="1"/>
      <c r="LQL240" s="1"/>
      <c r="LQM240" s="1"/>
      <c r="LQN240" s="1"/>
      <c r="LQO240" s="1"/>
      <c r="LQP240" s="1"/>
      <c r="LQQ240" s="1"/>
      <c r="LQR240" s="1"/>
      <c r="LQS240" s="1"/>
      <c r="LQT240" s="1"/>
      <c r="LQU240" s="1"/>
      <c r="LQV240" s="1"/>
      <c r="LQW240" s="1"/>
      <c r="LQX240" s="1"/>
      <c r="LQY240" s="1"/>
      <c r="LQZ240" s="1"/>
      <c r="LRA240" s="1"/>
      <c r="LRB240" s="1"/>
      <c r="LRC240" s="1"/>
      <c r="LRD240" s="1"/>
      <c r="LRE240" s="1"/>
      <c r="LRF240" s="1"/>
      <c r="LRG240" s="1"/>
      <c r="LRH240" s="1"/>
      <c r="LRI240" s="1"/>
      <c r="LRJ240" s="1"/>
      <c r="LRK240" s="1"/>
      <c r="LRL240" s="1"/>
      <c r="LRM240" s="1"/>
      <c r="LRN240" s="1"/>
      <c r="LRO240" s="1"/>
      <c r="LRP240" s="1"/>
      <c r="LRQ240" s="1"/>
      <c r="LRR240" s="1"/>
      <c r="LRS240" s="1"/>
      <c r="LRT240" s="1"/>
      <c r="LRU240" s="1"/>
      <c r="LRV240" s="1"/>
      <c r="LRW240" s="1"/>
      <c r="LRX240" s="1"/>
      <c r="LRY240" s="1"/>
      <c r="LRZ240" s="1"/>
      <c r="LSA240" s="1"/>
      <c r="LSB240" s="1"/>
      <c r="LSC240" s="1"/>
      <c r="LSD240" s="1"/>
      <c r="LSE240" s="1"/>
      <c r="LSF240" s="1"/>
      <c r="LSG240" s="1"/>
      <c r="LSH240" s="1"/>
      <c r="LSI240" s="1"/>
      <c r="LSJ240" s="1"/>
      <c r="LSK240" s="1"/>
      <c r="LSL240" s="1"/>
      <c r="LSM240" s="1"/>
      <c r="LSN240" s="1"/>
      <c r="LSO240" s="1"/>
      <c r="LSP240" s="1"/>
      <c r="LSQ240" s="1"/>
      <c r="LSR240" s="1"/>
      <c r="LSS240" s="1"/>
      <c r="LST240" s="1"/>
      <c r="LSU240" s="1"/>
      <c r="LSV240" s="1"/>
      <c r="LSW240" s="1"/>
      <c r="LSX240" s="1"/>
      <c r="LSY240" s="1"/>
      <c r="LSZ240" s="1"/>
      <c r="LTA240" s="1"/>
      <c r="LTB240" s="1"/>
      <c r="LTC240" s="1"/>
      <c r="LTD240" s="1"/>
      <c r="LTE240" s="1"/>
      <c r="LTF240" s="1"/>
      <c r="LTG240" s="1"/>
      <c r="LTH240" s="1"/>
      <c r="LTI240" s="1"/>
      <c r="LTJ240" s="1"/>
      <c r="LTK240" s="1"/>
      <c r="LTL240" s="1"/>
      <c r="LTM240" s="1"/>
      <c r="LTN240" s="1"/>
      <c r="LTO240" s="1"/>
      <c r="LTP240" s="1"/>
      <c r="LTQ240" s="1"/>
      <c r="LTR240" s="1"/>
      <c r="LTS240" s="1"/>
      <c r="LTT240" s="1"/>
      <c r="LTU240" s="1"/>
      <c r="LTV240" s="1"/>
      <c r="LTW240" s="1"/>
      <c r="LTX240" s="1"/>
      <c r="LTY240" s="1"/>
      <c r="LTZ240" s="1"/>
      <c r="LUA240" s="1"/>
      <c r="LUB240" s="1"/>
      <c r="LUC240" s="1"/>
      <c r="LUD240" s="1"/>
      <c r="LUE240" s="1"/>
      <c r="LUF240" s="1"/>
      <c r="LUG240" s="1"/>
      <c r="LUH240" s="1"/>
      <c r="LUI240" s="1"/>
      <c r="LUJ240" s="1"/>
      <c r="LUK240" s="1"/>
      <c r="LUL240" s="1"/>
      <c r="LUM240" s="1"/>
      <c r="LUN240" s="1"/>
      <c r="LUO240" s="1"/>
      <c r="LUP240" s="1"/>
      <c r="LUQ240" s="1"/>
      <c r="LUR240" s="1"/>
      <c r="LUS240" s="1"/>
      <c r="LUT240" s="1"/>
      <c r="LUU240" s="1"/>
      <c r="LUV240" s="1"/>
      <c r="LUW240" s="1"/>
      <c r="LUX240" s="1"/>
      <c r="LUY240" s="1"/>
      <c r="LUZ240" s="1"/>
      <c r="LVA240" s="1"/>
      <c r="LVB240" s="1"/>
      <c r="LVC240" s="1"/>
      <c r="LVD240" s="1"/>
      <c r="LVE240" s="1"/>
      <c r="LVF240" s="1"/>
      <c r="LVG240" s="1"/>
      <c r="LVH240" s="1"/>
      <c r="LVI240" s="1"/>
      <c r="LVJ240" s="1"/>
      <c r="LVK240" s="1"/>
      <c r="LVL240" s="1"/>
      <c r="LVM240" s="1"/>
      <c r="LVN240" s="1"/>
      <c r="LVO240" s="1"/>
      <c r="LVP240" s="1"/>
      <c r="LVQ240" s="1"/>
      <c r="LVR240" s="1"/>
      <c r="LVS240" s="1"/>
      <c r="LVT240" s="1"/>
      <c r="LVU240" s="1"/>
      <c r="LVV240" s="1"/>
      <c r="LVW240" s="1"/>
      <c r="LVX240" s="1"/>
      <c r="LVY240" s="1"/>
      <c r="LVZ240" s="1"/>
      <c r="LWA240" s="1"/>
      <c r="LWB240" s="1"/>
      <c r="LWC240" s="1"/>
      <c r="LWD240" s="1"/>
      <c r="LWE240" s="1"/>
      <c r="LWF240" s="1"/>
      <c r="LWG240" s="1"/>
      <c r="LWH240" s="1"/>
      <c r="LWI240" s="1"/>
      <c r="LWJ240" s="1"/>
      <c r="LWK240" s="1"/>
      <c r="LWL240" s="1"/>
      <c r="LWM240" s="1"/>
      <c r="LWN240" s="1"/>
      <c r="LWO240" s="1"/>
      <c r="LWP240" s="1"/>
      <c r="LWQ240" s="1"/>
      <c r="LWR240" s="1"/>
      <c r="LWS240" s="1"/>
      <c r="LWT240" s="1"/>
      <c r="LWU240" s="1"/>
      <c r="LWV240" s="1"/>
      <c r="LWW240" s="1"/>
      <c r="LWX240" s="1"/>
      <c r="LWY240" s="1"/>
      <c r="LWZ240" s="1"/>
      <c r="LXA240" s="1"/>
      <c r="LXB240" s="1"/>
      <c r="LXC240" s="1"/>
      <c r="LXD240" s="1"/>
      <c r="LXE240" s="1"/>
      <c r="LXF240" s="1"/>
      <c r="LXG240" s="1"/>
      <c r="LXH240" s="1"/>
      <c r="LXI240" s="1"/>
      <c r="LXJ240" s="1"/>
      <c r="LXK240" s="1"/>
      <c r="LXL240" s="1"/>
      <c r="LXM240" s="1"/>
      <c r="LXN240" s="1"/>
      <c r="LXO240" s="1"/>
      <c r="LXP240" s="1"/>
      <c r="LXQ240" s="1"/>
      <c r="LXR240" s="1"/>
      <c r="LXS240" s="1"/>
      <c r="LXT240" s="1"/>
      <c r="LXU240" s="1"/>
      <c r="LXV240" s="1"/>
      <c r="LXW240" s="1"/>
      <c r="LXX240" s="1"/>
      <c r="LXY240" s="1"/>
      <c r="LXZ240" s="1"/>
      <c r="LYA240" s="1"/>
      <c r="LYB240" s="1"/>
      <c r="LYC240" s="1"/>
      <c r="LYD240" s="1"/>
      <c r="LYE240" s="1"/>
      <c r="LYF240" s="1"/>
      <c r="LYG240" s="1"/>
      <c r="LYH240" s="1"/>
      <c r="LYI240" s="1"/>
      <c r="LYJ240" s="1"/>
      <c r="LYK240" s="1"/>
      <c r="LYL240" s="1"/>
      <c r="LYM240" s="1"/>
      <c r="LYN240" s="1"/>
      <c r="LYO240" s="1"/>
      <c r="LYP240" s="1"/>
      <c r="LYQ240" s="1"/>
      <c r="LYR240" s="1"/>
      <c r="LYS240" s="1"/>
      <c r="LYT240" s="1"/>
      <c r="LYU240" s="1"/>
      <c r="LYV240" s="1"/>
      <c r="LYW240" s="1"/>
      <c r="LYX240" s="1"/>
      <c r="LYY240" s="1"/>
      <c r="LYZ240" s="1"/>
      <c r="LZA240" s="1"/>
      <c r="LZB240" s="1"/>
      <c r="LZC240" s="1"/>
      <c r="LZD240" s="1"/>
      <c r="LZE240" s="1"/>
      <c r="LZF240" s="1"/>
      <c r="LZG240" s="1"/>
      <c r="LZH240" s="1"/>
      <c r="LZI240" s="1"/>
      <c r="LZJ240" s="1"/>
      <c r="LZK240" s="1"/>
      <c r="LZL240" s="1"/>
      <c r="LZM240" s="1"/>
      <c r="LZN240" s="1"/>
      <c r="LZO240" s="1"/>
      <c r="LZP240" s="1"/>
      <c r="LZQ240" s="1"/>
      <c r="LZR240" s="1"/>
      <c r="LZS240" s="1"/>
      <c r="LZT240" s="1"/>
      <c r="LZU240" s="1"/>
      <c r="LZV240" s="1"/>
      <c r="LZW240" s="1"/>
      <c r="LZX240" s="1"/>
      <c r="LZY240" s="1"/>
      <c r="LZZ240" s="1"/>
      <c r="MAA240" s="1"/>
      <c r="MAB240" s="1"/>
      <c r="MAC240" s="1"/>
      <c r="MAD240" s="1"/>
      <c r="MAE240" s="1"/>
      <c r="MAF240" s="1"/>
      <c r="MAG240" s="1"/>
      <c r="MAH240" s="1"/>
      <c r="MAI240" s="1"/>
      <c r="MAJ240" s="1"/>
      <c r="MAK240" s="1"/>
      <c r="MAL240" s="1"/>
      <c r="MAM240" s="1"/>
      <c r="MAN240" s="1"/>
      <c r="MAO240" s="1"/>
      <c r="MAP240" s="1"/>
      <c r="MAQ240" s="1"/>
      <c r="MAR240" s="1"/>
      <c r="MAS240" s="1"/>
      <c r="MAT240" s="1"/>
      <c r="MAU240" s="1"/>
      <c r="MAV240" s="1"/>
      <c r="MAW240" s="1"/>
      <c r="MAX240" s="1"/>
      <c r="MAY240" s="1"/>
      <c r="MAZ240" s="1"/>
      <c r="MBA240" s="1"/>
      <c r="MBB240" s="1"/>
      <c r="MBC240" s="1"/>
      <c r="MBD240" s="1"/>
      <c r="MBE240" s="1"/>
      <c r="MBF240" s="1"/>
      <c r="MBG240" s="1"/>
      <c r="MBH240" s="1"/>
      <c r="MBI240" s="1"/>
      <c r="MBJ240" s="1"/>
      <c r="MBK240" s="1"/>
      <c r="MBL240" s="1"/>
      <c r="MBM240" s="1"/>
      <c r="MBN240" s="1"/>
      <c r="MBO240" s="1"/>
      <c r="MBP240" s="1"/>
      <c r="MBQ240" s="1"/>
      <c r="MBR240" s="1"/>
      <c r="MBS240" s="1"/>
      <c r="MBT240" s="1"/>
      <c r="MBU240" s="1"/>
      <c r="MBV240" s="1"/>
      <c r="MBW240" s="1"/>
      <c r="MBX240" s="1"/>
      <c r="MBY240" s="1"/>
      <c r="MBZ240" s="1"/>
      <c r="MCA240" s="1"/>
      <c r="MCB240" s="1"/>
      <c r="MCC240" s="1"/>
      <c r="MCD240" s="1"/>
      <c r="MCE240" s="1"/>
      <c r="MCF240" s="1"/>
      <c r="MCG240" s="1"/>
      <c r="MCH240" s="1"/>
      <c r="MCI240" s="1"/>
      <c r="MCJ240" s="1"/>
      <c r="MCK240" s="1"/>
      <c r="MCL240" s="1"/>
      <c r="MCM240" s="1"/>
      <c r="MCN240" s="1"/>
      <c r="MCO240" s="1"/>
      <c r="MCP240" s="1"/>
      <c r="MCQ240" s="1"/>
      <c r="MCR240" s="1"/>
      <c r="MCS240" s="1"/>
      <c r="MCT240" s="1"/>
      <c r="MCU240" s="1"/>
      <c r="MCV240" s="1"/>
      <c r="MCW240" s="1"/>
      <c r="MCX240" s="1"/>
      <c r="MCY240" s="1"/>
      <c r="MCZ240" s="1"/>
      <c r="MDA240" s="1"/>
      <c r="MDB240" s="1"/>
      <c r="MDC240" s="1"/>
      <c r="MDD240" s="1"/>
      <c r="MDE240" s="1"/>
      <c r="MDF240" s="1"/>
      <c r="MDG240" s="1"/>
      <c r="MDH240" s="1"/>
      <c r="MDI240" s="1"/>
      <c r="MDJ240" s="1"/>
      <c r="MDK240" s="1"/>
      <c r="MDL240" s="1"/>
      <c r="MDM240" s="1"/>
      <c r="MDN240" s="1"/>
      <c r="MDO240" s="1"/>
      <c r="MDP240" s="1"/>
      <c r="MDQ240" s="1"/>
      <c r="MDR240" s="1"/>
      <c r="MDS240" s="1"/>
      <c r="MDT240" s="1"/>
      <c r="MDU240" s="1"/>
      <c r="MDV240" s="1"/>
      <c r="MDW240" s="1"/>
      <c r="MDX240" s="1"/>
      <c r="MDY240" s="1"/>
      <c r="MDZ240" s="1"/>
      <c r="MEA240" s="1"/>
      <c r="MEB240" s="1"/>
      <c r="MEC240" s="1"/>
      <c r="MED240" s="1"/>
      <c r="MEE240" s="1"/>
      <c r="MEF240" s="1"/>
      <c r="MEG240" s="1"/>
      <c r="MEH240" s="1"/>
      <c r="MEI240" s="1"/>
      <c r="MEJ240" s="1"/>
      <c r="MEK240" s="1"/>
      <c r="MEL240" s="1"/>
      <c r="MEM240" s="1"/>
      <c r="MEN240" s="1"/>
      <c r="MEO240" s="1"/>
      <c r="MEP240" s="1"/>
      <c r="MEQ240" s="1"/>
      <c r="MER240" s="1"/>
      <c r="MES240" s="1"/>
      <c r="MET240" s="1"/>
      <c r="MEU240" s="1"/>
      <c r="MEV240" s="1"/>
      <c r="MEW240" s="1"/>
      <c r="MEX240" s="1"/>
      <c r="MEY240" s="1"/>
      <c r="MEZ240" s="1"/>
      <c r="MFA240" s="1"/>
      <c r="MFB240" s="1"/>
      <c r="MFC240" s="1"/>
      <c r="MFD240" s="1"/>
      <c r="MFE240" s="1"/>
      <c r="MFF240" s="1"/>
      <c r="MFG240" s="1"/>
      <c r="MFH240" s="1"/>
      <c r="MFI240" s="1"/>
      <c r="MFJ240" s="1"/>
      <c r="MFK240" s="1"/>
      <c r="MFL240" s="1"/>
      <c r="MFM240" s="1"/>
      <c r="MFN240" s="1"/>
      <c r="MFO240" s="1"/>
      <c r="MFP240" s="1"/>
      <c r="MFQ240" s="1"/>
      <c r="MFR240" s="1"/>
      <c r="MFS240" s="1"/>
      <c r="MFT240" s="1"/>
      <c r="MFU240" s="1"/>
      <c r="MFV240" s="1"/>
      <c r="MFW240" s="1"/>
      <c r="MFX240" s="1"/>
      <c r="MFY240" s="1"/>
      <c r="MFZ240" s="1"/>
      <c r="MGA240" s="1"/>
      <c r="MGB240" s="1"/>
      <c r="MGC240" s="1"/>
      <c r="MGD240" s="1"/>
      <c r="MGE240" s="1"/>
      <c r="MGF240" s="1"/>
      <c r="MGG240" s="1"/>
      <c r="MGH240" s="1"/>
      <c r="MGI240" s="1"/>
      <c r="MGJ240" s="1"/>
      <c r="MGK240" s="1"/>
      <c r="MGL240" s="1"/>
      <c r="MGM240" s="1"/>
      <c r="MGN240" s="1"/>
      <c r="MGO240" s="1"/>
      <c r="MGP240" s="1"/>
      <c r="MGQ240" s="1"/>
      <c r="MGR240" s="1"/>
      <c r="MGS240" s="1"/>
      <c r="MGT240" s="1"/>
      <c r="MGU240" s="1"/>
      <c r="MGV240" s="1"/>
      <c r="MGW240" s="1"/>
      <c r="MGX240" s="1"/>
      <c r="MGY240" s="1"/>
      <c r="MGZ240" s="1"/>
      <c r="MHA240" s="1"/>
      <c r="MHB240" s="1"/>
      <c r="MHC240" s="1"/>
      <c r="MHD240" s="1"/>
      <c r="MHE240" s="1"/>
      <c r="MHF240" s="1"/>
      <c r="MHG240" s="1"/>
      <c r="MHH240" s="1"/>
      <c r="MHI240" s="1"/>
      <c r="MHJ240" s="1"/>
      <c r="MHK240" s="1"/>
      <c r="MHL240" s="1"/>
      <c r="MHM240" s="1"/>
      <c r="MHN240" s="1"/>
      <c r="MHO240" s="1"/>
      <c r="MHP240" s="1"/>
      <c r="MHQ240" s="1"/>
      <c r="MHR240" s="1"/>
      <c r="MHS240" s="1"/>
      <c r="MHT240" s="1"/>
      <c r="MHU240" s="1"/>
      <c r="MHV240" s="1"/>
      <c r="MHW240" s="1"/>
      <c r="MHX240" s="1"/>
      <c r="MHY240" s="1"/>
      <c r="MHZ240" s="1"/>
      <c r="MIA240" s="1"/>
      <c r="MIB240" s="1"/>
      <c r="MIC240" s="1"/>
      <c r="MID240" s="1"/>
      <c r="MIE240" s="1"/>
      <c r="MIF240" s="1"/>
      <c r="MIG240" s="1"/>
      <c r="MIH240" s="1"/>
      <c r="MII240" s="1"/>
      <c r="MIJ240" s="1"/>
      <c r="MIK240" s="1"/>
      <c r="MIL240" s="1"/>
      <c r="MIM240" s="1"/>
      <c r="MIN240" s="1"/>
      <c r="MIO240" s="1"/>
      <c r="MIP240" s="1"/>
      <c r="MIQ240" s="1"/>
      <c r="MIR240" s="1"/>
      <c r="MIS240" s="1"/>
      <c r="MIT240" s="1"/>
      <c r="MIU240" s="1"/>
      <c r="MIV240" s="1"/>
      <c r="MIW240" s="1"/>
      <c r="MIX240" s="1"/>
      <c r="MIY240" s="1"/>
      <c r="MIZ240" s="1"/>
      <c r="MJA240" s="1"/>
      <c r="MJB240" s="1"/>
      <c r="MJC240" s="1"/>
      <c r="MJD240" s="1"/>
      <c r="MJE240" s="1"/>
      <c r="MJF240" s="1"/>
      <c r="MJG240" s="1"/>
      <c r="MJH240" s="1"/>
      <c r="MJI240" s="1"/>
      <c r="MJJ240" s="1"/>
      <c r="MJK240" s="1"/>
      <c r="MJL240" s="1"/>
      <c r="MJM240" s="1"/>
      <c r="MJN240" s="1"/>
      <c r="MJO240" s="1"/>
      <c r="MJP240" s="1"/>
      <c r="MJQ240" s="1"/>
      <c r="MJR240" s="1"/>
      <c r="MJS240" s="1"/>
      <c r="MJT240" s="1"/>
      <c r="MJU240" s="1"/>
      <c r="MJV240" s="1"/>
      <c r="MJW240" s="1"/>
      <c r="MJX240" s="1"/>
      <c r="MJY240" s="1"/>
      <c r="MJZ240" s="1"/>
      <c r="MKA240" s="1"/>
      <c r="MKB240" s="1"/>
      <c r="MKC240" s="1"/>
      <c r="MKD240" s="1"/>
      <c r="MKE240" s="1"/>
      <c r="MKF240" s="1"/>
      <c r="MKG240" s="1"/>
      <c r="MKH240" s="1"/>
      <c r="MKI240" s="1"/>
      <c r="MKJ240" s="1"/>
      <c r="MKK240" s="1"/>
      <c r="MKL240" s="1"/>
      <c r="MKM240" s="1"/>
      <c r="MKN240" s="1"/>
      <c r="MKO240" s="1"/>
      <c r="MKP240" s="1"/>
      <c r="MKQ240" s="1"/>
      <c r="MKR240" s="1"/>
      <c r="MKS240" s="1"/>
      <c r="MKT240" s="1"/>
      <c r="MKU240" s="1"/>
      <c r="MKV240" s="1"/>
      <c r="MKW240" s="1"/>
      <c r="MKX240" s="1"/>
      <c r="MKY240" s="1"/>
      <c r="MKZ240" s="1"/>
      <c r="MLA240" s="1"/>
      <c r="MLB240" s="1"/>
      <c r="MLC240" s="1"/>
      <c r="MLD240" s="1"/>
      <c r="MLE240" s="1"/>
      <c r="MLF240" s="1"/>
      <c r="MLG240" s="1"/>
      <c r="MLH240" s="1"/>
      <c r="MLI240" s="1"/>
      <c r="MLJ240" s="1"/>
      <c r="MLK240" s="1"/>
      <c r="MLL240" s="1"/>
      <c r="MLM240" s="1"/>
      <c r="MLN240" s="1"/>
      <c r="MLO240" s="1"/>
      <c r="MLP240" s="1"/>
      <c r="MLQ240" s="1"/>
      <c r="MLR240" s="1"/>
      <c r="MLS240" s="1"/>
      <c r="MLT240" s="1"/>
      <c r="MLU240" s="1"/>
      <c r="MLV240" s="1"/>
      <c r="MLW240" s="1"/>
      <c r="MLX240" s="1"/>
      <c r="MLY240" s="1"/>
      <c r="MLZ240" s="1"/>
      <c r="MMA240" s="1"/>
      <c r="MMB240" s="1"/>
      <c r="MMC240" s="1"/>
      <c r="MMD240" s="1"/>
      <c r="MME240" s="1"/>
      <c r="MMF240" s="1"/>
      <c r="MMG240" s="1"/>
      <c r="MMH240" s="1"/>
      <c r="MMI240" s="1"/>
      <c r="MMJ240" s="1"/>
      <c r="MMK240" s="1"/>
      <c r="MML240" s="1"/>
      <c r="MMM240" s="1"/>
      <c r="MMN240" s="1"/>
      <c r="MMO240" s="1"/>
      <c r="MMP240" s="1"/>
      <c r="MMQ240" s="1"/>
      <c r="MMR240" s="1"/>
      <c r="MMS240" s="1"/>
      <c r="MMT240" s="1"/>
      <c r="MMU240" s="1"/>
      <c r="MMV240" s="1"/>
      <c r="MMW240" s="1"/>
      <c r="MMX240" s="1"/>
      <c r="MMY240" s="1"/>
      <c r="MMZ240" s="1"/>
      <c r="MNA240" s="1"/>
      <c r="MNB240" s="1"/>
      <c r="MNC240" s="1"/>
      <c r="MND240" s="1"/>
      <c r="MNE240" s="1"/>
      <c r="MNF240" s="1"/>
      <c r="MNG240" s="1"/>
      <c r="MNH240" s="1"/>
      <c r="MNI240" s="1"/>
      <c r="MNJ240" s="1"/>
      <c r="MNK240" s="1"/>
      <c r="MNL240" s="1"/>
      <c r="MNM240" s="1"/>
      <c r="MNN240" s="1"/>
      <c r="MNO240" s="1"/>
      <c r="MNP240" s="1"/>
      <c r="MNQ240" s="1"/>
      <c r="MNR240" s="1"/>
      <c r="MNS240" s="1"/>
      <c r="MNT240" s="1"/>
      <c r="MNU240" s="1"/>
      <c r="MNV240" s="1"/>
      <c r="MNW240" s="1"/>
      <c r="MNX240" s="1"/>
      <c r="MNY240" s="1"/>
      <c r="MNZ240" s="1"/>
      <c r="MOA240" s="1"/>
      <c r="MOB240" s="1"/>
      <c r="MOC240" s="1"/>
      <c r="MOD240" s="1"/>
      <c r="MOE240" s="1"/>
      <c r="MOF240" s="1"/>
      <c r="MOG240" s="1"/>
      <c r="MOH240" s="1"/>
      <c r="MOI240" s="1"/>
      <c r="MOJ240" s="1"/>
      <c r="MOK240" s="1"/>
      <c r="MOL240" s="1"/>
      <c r="MOM240" s="1"/>
      <c r="MON240" s="1"/>
      <c r="MOO240" s="1"/>
      <c r="MOP240" s="1"/>
      <c r="MOQ240" s="1"/>
      <c r="MOR240" s="1"/>
      <c r="MOS240" s="1"/>
      <c r="MOT240" s="1"/>
      <c r="MOU240" s="1"/>
      <c r="MOV240" s="1"/>
      <c r="MOW240" s="1"/>
      <c r="MOX240" s="1"/>
      <c r="MOY240" s="1"/>
      <c r="MOZ240" s="1"/>
      <c r="MPA240" s="1"/>
      <c r="MPB240" s="1"/>
      <c r="MPC240" s="1"/>
      <c r="MPD240" s="1"/>
      <c r="MPE240" s="1"/>
      <c r="MPF240" s="1"/>
      <c r="MPG240" s="1"/>
      <c r="MPH240" s="1"/>
      <c r="MPI240" s="1"/>
      <c r="MPJ240" s="1"/>
      <c r="MPK240" s="1"/>
      <c r="MPL240" s="1"/>
      <c r="MPM240" s="1"/>
      <c r="MPN240" s="1"/>
      <c r="MPO240" s="1"/>
      <c r="MPP240" s="1"/>
      <c r="MPQ240" s="1"/>
      <c r="MPR240" s="1"/>
      <c r="MPS240" s="1"/>
      <c r="MPT240" s="1"/>
      <c r="MPU240" s="1"/>
      <c r="MPV240" s="1"/>
      <c r="MPW240" s="1"/>
      <c r="MPX240" s="1"/>
      <c r="MPY240" s="1"/>
      <c r="MPZ240" s="1"/>
      <c r="MQA240" s="1"/>
      <c r="MQB240" s="1"/>
      <c r="MQC240" s="1"/>
      <c r="MQD240" s="1"/>
      <c r="MQE240" s="1"/>
      <c r="MQF240" s="1"/>
      <c r="MQG240" s="1"/>
      <c r="MQH240" s="1"/>
      <c r="MQI240" s="1"/>
      <c r="MQJ240" s="1"/>
      <c r="MQK240" s="1"/>
      <c r="MQL240" s="1"/>
      <c r="MQM240" s="1"/>
      <c r="MQN240" s="1"/>
      <c r="MQO240" s="1"/>
      <c r="MQP240" s="1"/>
      <c r="MQQ240" s="1"/>
      <c r="MQR240" s="1"/>
      <c r="MQS240" s="1"/>
      <c r="MQT240" s="1"/>
      <c r="MQU240" s="1"/>
      <c r="MQV240" s="1"/>
      <c r="MQW240" s="1"/>
      <c r="MQX240" s="1"/>
      <c r="MQY240" s="1"/>
      <c r="MQZ240" s="1"/>
      <c r="MRA240" s="1"/>
      <c r="MRB240" s="1"/>
      <c r="MRC240" s="1"/>
      <c r="MRD240" s="1"/>
      <c r="MRE240" s="1"/>
      <c r="MRF240" s="1"/>
      <c r="MRG240" s="1"/>
      <c r="MRH240" s="1"/>
      <c r="MRI240" s="1"/>
      <c r="MRJ240" s="1"/>
      <c r="MRK240" s="1"/>
      <c r="MRL240" s="1"/>
      <c r="MRM240" s="1"/>
      <c r="MRN240" s="1"/>
      <c r="MRO240" s="1"/>
      <c r="MRP240" s="1"/>
      <c r="MRQ240" s="1"/>
      <c r="MRR240" s="1"/>
      <c r="MRS240" s="1"/>
      <c r="MRT240" s="1"/>
      <c r="MRU240" s="1"/>
      <c r="MRV240" s="1"/>
      <c r="MRW240" s="1"/>
      <c r="MRX240" s="1"/>
      <c r="MRY240" s="1"/>
      <c r="MRZ240" s="1"/>
      <c r="MSA240" s="1"/>
      <c r="MSB240" s="1"/>
      <c r="MSC240" s="1"/>
      <c r="MSD240" s="1"/>
      <c r="MSE240" s="1"/>
      <c r="MSF240" s="1"/>
      <c r="MSG240" s="1"/>
      <c r="MSH240" s="1"/>
      <c r="MSI240" s="1"/>
      <c r="MSJ240" s="1"/>
      <c r="MSK240" s="1"/>
      <c r="MSL240" s="1"/>
      <c r="MSM240" s="1"/>
      <c r="MSN240" s="1"/>
      <c r="MSO240" s="1"/>
      <c r="MSP240" s="1"/>
      <c r="MSQ240" s="1"/>
      <c r="MSR240" s="1"/>
      <c r="MSS240" s="1"/>
      <c r="MST240" s="1"/>
      <c r="MSU240" s="1"/>
      <c r="MSV240" s="1"/>
      <c r="MSW240" s="1"/>
      <c r="MSX240" s="1"/>
      <c r="MSY240" s="1"/>
      <c r="MSZ240" s="1"/>
      <c r="MTA240" s="1"/>
      <c r="MTB240" s="1"/>
      <c r="MTC240" s="1"/>
      <c r="MTD240" s="1"/>
      <c r="MTE240" s="1"/>
      <c r="MTF240" s="1"/>
      <c r="MTG240" s="1"/>
      <c r="MTH240" s="1"/>
      <c r="MTI240" s="1"/>
      <c r="MTJ240" s="1"/>
      <c r="MTK240" s="1"/>
      <c r="MTL240" s="1"/>
      <c r="MTM240" s="1"/>
      <c r="MTN240" s="1"/>
      <c r="MTO240" s="1"/>
      <c r="MTP240" s="1"/>
      <c r="MTQ240" s="1"/>
      <c r="MTR240" s="1"/>
      <c r="MTS240" s="1"/>
      <c r="MTT240" s="1"/>
      <c r="MTU240" s="1"/>
      <c r="MTV240" s="1"/>
      <c r="MTW240" s="1"/>
      <c r="MTX240" s="1"/>
      <c r="MTY240" s="1"/>
      <c r="MTZ240" s="1"/>
      <c r="MUA240" s="1"/>
      <c r="MUB240" s="1"/>
      <c r="MUC240" s="1"/>
      <c r="MUD240" s="1"/>
      <c r="MUE240" s="1"/>
      <c r="MUF240" s="1"/>
      <c r="MUG240" s="1"/>
      <c r="MUH240" s="1"/>
      <c r="MUI240" s="1"/>
      <c r="MUJ240" s="1"/>
      <c r="MUK240" s="1"/>
      <c r="MUL240" s="1"/>
      <c r="MUM240" s="1"/>
      <c r="MUN240" s="1"/>
      <c r="MUO240" s="1"/>
      <c r="MUP240" s="1"/>
      <c r="MUQ240" s="1"/>
      <c r="MUR240" s="1"/>
      <c r="MUS240" s="1"/>
      <c r="MUT240" s="1"/>
      <c r="MUU240" s="1"/>
      <c r="MUV240" s="1"/>
      <c r="MUW240" s="1"/>
      <c r="MUX240" s="1"/>
      <c r="MUY240" s="1"/>
      <c r="MUZ240" s="1"/>
      <c r="MVA240" s="1"/>
      <c r="MVB240" s="1"/>
      <c r="MVC240" s="1"/>
      <c r="MVD240" s="1"/>
      <c r="MVE240" s="1"/>
      <c r="MVF240" s="1"/>
      <c r="MVG240" s="1"/>
      <c r="MVH240" s="1"/>
      <c r="MVI240" s="1"/>
      <c r="MVJ240" s="1"/>
      <c r="MVK240" s="1"/>
      <c r="MVL240" s="1"/>
      <c r="MVM240" s="1"/>
      <c r="MVN240" s="1"/>
      <c r="MVO240" s="1"/>
      <c r="MVP240" s="1"/>
      <c r="MVQ240" s="1"/>
      <c r="MVR240" s="1"/>
      <c r="MVS240" s="1"/>
      <c r="MVT240" s="1"/>
      <c r="MVU240" s="1"/>
      <c r="MVV240" s="1"/>
      <c r="MVW240" s="1"/>
      <c r="MVX240" s="1"/>
      <c r="MVY240" s="1"/>
      <c r="MVZ240" s="1"/>
      <c r="MWA240" s="1"/>
      <c r="MWB240" s="1"/>
      <c r="MWC240" s="1"/>
      <c r="MWD240" s="1"/>
      <c r="MWE240" s="1"/>
      <c r="MWF240" s="1"/>
      <c r="MWG240" s="1"/>
      <c r="MWH240" s="1"/>
      <c r="MWI240" s="1"/>
      <c r="MWJ240" s="1"/>
      <c r="MWK240" s="1"/>
      <c r="MWL240" s="1"/>
      <c r="MWM240" s="1"/>
      <c r="MWN240" s="1"/>
      <c r="MWO240" s="1"/>
      <c r="MWP240" s="1"/>
      <c r="MWQ240" s="1"/>
      <c r="MWR240" s="1"/>
      <c r="MWS240" s="1"/>
      <c r="MWT240" s="1"/>
      <c r="MWU240" s="1"/>
      <c r="MWV240" s="1"/>
      <c r="MWW240" s="1"/>
      <c r="MWX240" s="1"/>
      <c r="MWY240" s="1"/>
      <c r="MWZ240" s="1"/>
      <c r="MXA240" s="1"/>
      <c r="MXB240" s="1"/>
      <c r="MXC240" s="1"/>
      <c r="MXD240" s="1"/>
      <c r="MXE240" s="1"/>
      <c r="MXF240" s="1"/>
      <c r="MXG240" s="1"/>
      <c r="MXH240" s="1"/>
      <c r="MXI240" s="1"/>
      <c r="MXJ240" s="1"/>
      <c r="MXK240" s="1"/>
      <c r="MXL240" s="1"/>
      <c r="MXM240" s="1"/>
      <c r="MXN240" s="1"/>
      <c r="MXO240" s="1"/>
      <c r="MXP240" s="1"/>
      <c r="MXQ240" s="1"/>
      <c r="MXR240" s="1"/>
      <c r="MXS240" s="1"/>
      <c r="MXT240" s="1"/>
      <c r="MXU240" s="1"/>
      <c r="MXV240" s="1"/>
      <c r="MXW240" s="1"/>
      <c r="MXX240" s="1"/>
      <c r="MXY240" s="1"/>
      <c r="MXZ240" s="1"/>
      <c r="MYA240" s="1"/>
      <c r="MYB240" s="1"/>
      <c r="MYC240" s="1"/>
      <c r="MYD240" s="1"/>
      <c r="MYE240" s="1"/>
      <c r="MYF240" s="1"/>
      <c r="MYG240" s="1"/>
      <c r="MYH240" s="1"/>
      <c r="MYI240" s="1"/>
      <c r="MYJ240" s="1"/>
      <c r="MYK240" s="1"/>
      <c r="MYL240" s="1"/>
      <c r="MYM240" s="1"/>
      <c r="MYN240" s="1"/>
      <c r="MYO240" s="1"/>
      <c r="MYP240" s="1"/>
      <c r="MYQ240" s="1"/>
      <c r="MYR240" s="1"/>
      <c r="MYS240" s="1"/>
      <c r="MYT240" s="1"/>
      <c r="MYU240" s="1"/>
      <c r="MYV240" s="1"/>
      <c r="MYW240" s="1"/>
      <c r="MYX240" s="1"/>
      <c r="MYY240" s="1"/>
      <c r="MYZ240" s="1"/>
      <c r="MZA240" s="1"/>
      <c r="MZB240" s="1"/>
      <c r="MZC240" s="1"/>
      <c r="MZD240" s="1"/>
      <c r="MZE240" s="1"/>
      <c r="MZF240" s="1"/>
      <c r="MZG240" s="1"/>
      <c r="MZH240" s="1"/>
      <c r="MZI240" s="1"/>
      <c r="MZJ240" s="1"/>
      <c r="MZK240" s="1"/>
      <c r="MZL240" s="1"/>
      <c r="MZM240" s="1"/>
      <c r="MZN240" s="1"/>
      <c r="MZO240" s="1"/>
      <c r="MZP240" s="1"/>
      <c r="MZQ240" s="1"/>
      <c r="MZR240" s="1"/>
      <c r="MZS240" s="1"/>
      <c r="MZT240" s="1"/>
      <c r="MZU240" s="1"/>
      <c r="MZV240" s="1"/>
      <c r="MZW240" s="1"/>
      <c r="MZX240" s="1"/>
      <c r="MZY240" s="1"/>
      <c r="MZZ240" s="1"/>
      <c r="NAA240" s="1"/>
      <c r="NAB240" s="1"/>
      <c r="NAC240" s="1"/>
      <c r="NAD240" s="1"/>
      <c r="NAE240" s="1"/>
      <c r="NAF240" s="1"/>
      <c r="NAG240" s="1"/>
      <c r="NAH240" s="1"/>
      <c r="NAI240" s="1"/>
      <c r="NAJ240" s="1"/>
      <c r="NAK240" s="1"/>
      <c r="NAL240" s="1"/>
      <c r="NAM240" s="1"/>
      <c r="NAN240" s="1"/>
      <c r="NAO240" s="1"/>
      <c r="NAP240" s="1"/>
      <c r="NAQ240" s="1"/>
      <c r="NAR240" s="1"/>
      <c r="NAS240" s="1"/>
      <c r="NAT240" s="1"/>
      <c r="NAU240" s="1"/>
      <c r="NAV240" s="1"/>
      <c r="NAW240" s="1"/>
      <c r="NAX240" s="1"/>
      <c r="NAY240" s="1"/>
      <c r="NAZ240" s="1"/>
      <c r="NBA240" s="1"/>
      <c r="NBB240" s="1"/>
      <c r="NBC240" s="1"/>
      <c r="NBD240" s="1"/>
      <c r="NBE240" s="1"/>
      <c r="NBF240" s="1"/>
      <c r="NBG240" s="1"/>
      <c r="NBH240" s="1"/>
      <c r="NBI240" s="1"/>
      <c r="NBJ240" s="1"/>
      <c r="NBK240" s="1"/>
      <c r="NBL240" s="1"/>
      <c r="NBM240" s="1"/>
      <c r="NBN240" s="1"/>
      <c r="NBO240" s="1"/>
      <c r="NBP240" s="1"/>
      <c r="NBQ240" s="1"/>
      <c r="NBR240" s="1"/>
      <c r="NBS240" s="1"/>
      <c r="NBT240" s="1"/>
      <c r="NBU240" s="1"/>
      <c r="NBV240" s="1"/>
      <c r="NBW240" s="1"/>
      <c r="NBX240" s="1"/>
      <c r="NBY240" s="1"/>
      <c r="NBZ240" s="1"/>
      <c r="NCA240" s="1"/>
      <c r="NCB240" s="1"/>
      <c r="NCC240" s="1"/>
      <c r="NCD240" s="1"/>
      <c r="NCE240" s="1"/>
      <c r="NCF240" s="1"/>
      <c r="NCG240" s="1"/>
      <c r="NCH240" s="1"/>
      <c r="NCI240" s="1"/>
      <c r="NCJ240" s="1"/>
      <c r="NCK240" s="1"/>
      <c r="NCL240" s="1"/>
      <c r="NCM240" s="1"/>
      <c r="NCN240" s="1"/>
      <c r="NCO240" s="1"/>
      <c r="NCP240" s="1"/>
      <c r="NCQ240" s="1"/>
      <c r="NCR240" s="1"/>
      <c r="NCS240" s="1"/>
      <c r="NCT240" s="1"/>
      <c r="NCU240" s="1"/>
      <c r="NCV240" s="1"/>
      <c r="NCW240" s="1"/>
      <c r="NCX240" s="1"/>
      <c r="NCY240" s="1"/>
      <c r="NCZ240" s="1"/>
      <c r="NDA240" s="1"/>
      <c r="NDB240" s="1"/>
      <c r="NDC240" s="1"/>
      <c r="NDD240" s="1"/>
      <c r="NDE240" s="1"/>
      <c r="NDF240" s="1"/>
      <c r="NDG240" s="1"/>
      <c r="NDH240" s="1"/>
      <c r="NDI240" s="1"/>
      <c r="NDJ240" s="1"/>
      <c r="NDK240" s="1"/>
      <c r="NDL240" s="1"/>
      <c r="NDM240" s="1"/>
      <c r="NDN240" s="1"/>
      <c r="NDO240" s="1"/>
      <c r="NDP240" s="1"/>
      <c r="NDQ240" s="1"/>
      <c r="NDR240" s="1"/>
      <c r="NDS240" s="1"/>
      <c r="NDT240" s="1"/>
      <c r="NDU240" s="1"/>
      <c r="NDV240" s="1"/>
      <c r="NDW240" s="1"/>
      <c r="NDX240" s="1"/>
      <c r="NDY240" s="1"/>
      <c r="NDZ240" s="1"/>
      <c r="NEA240" s="1"/>
      <c r="NEB240" s="1"/>
      <c r="NEC240" s="1"/>
      <c r="NED240" s="1"/>
      <c r="NEE240" s="1"/>
      <c r="NEF240" s="1"/>
      <c r="NEG240" s="1"/>
      <c r="NEH240" s="1"/>
      <c r="NEI240" s="1"/>
      <c r="NEJ240" s="1"/>
      <c r="NEK240" s="1"/>
      <c r="NEL240" s="1"/>
      <c r="NEM240" s="1"/>
      <c r="NEN240" s="1"/>
      <c r="NEO240" s="1"/>
      <c r="NEP240" s="1"/>
      <c r="NEQ240" s="1"/>
      <c r="NER240" s="1"/>
      <c r="NES240" s="1"/>
      <c r="NET240" s="1"/>
      <c r="NEU240" s="1"/>
      <c r="NEV240" s="1"/>
      <c r="NEW240" s="1"/>
      <c r="NEX240" s="1"/>
      <c r="NEY240" s="1"/>
      <c r="NEZ240" s="1"/>
      <c r="NFA240" s="1"/>
      <c r="NFB240" s="1"/>
      <c r="NFC240" s="1"/>
      <c r="NFD240" s="1"/>
      <c r="NFE240" s="1"/>
      <c r="NFF240" s="1"/>
      <c r="NFG240" s="1"/>
      <c r="NFH240" s="1"/>
      <c r="NFI240" s="1"/>
      <c r="NFJ240" s="1"/>
      <c r="NFK240" s="1"/>
      <c r="NFL240" s="1"/>
      <c r="NFM240" s="1"/>
      <c r="NFN240" s="1"/>
      <c r="NFO240" s="1"/>
      <c r="NFP240" s="1"/>
      <c r="NFQ240" s="1"/>
      <c r="NFR240" s="1"/>
      <c r="NFS240" s="1"/>
      <c r="NFT240" s="1"/>
      <c r="NFU240" s="1"/>
      <c r="NFV240" s="1"/>
      <c r="NFW240" s="1"/>
      <c r="NFX240" s="1"/>
      <c r="NFY240" s="1"/>
      <c r="NFZ240" s="1"/>
      <c r="NGA240" s="1"/>
      <c r="NGB240" s="1"/>
      <c r="NGC240" s="1"/>
      <c r="NGD240" s="1"/>
      <c r="NGE240" s="1"/>
      <c r="NGF240" s="1"/>
      <c r="NGG240" s="1"/>
      <c r="NGH240" s="1"/>
      <c r="NGI240" s="1"/>
      <c r="NGJ240" s="1"/>
      <c r="NGK240" s="1"/>
      <c r="NGL240" s="1"/>
      <c r="NGM240" s="1"/>
      <c r="NGN240" s="1"/>
      <c r="NGO240" s="1"/>
      <c r="NGP240" s="1"/>
      <c r="NGQ240" s="1"/>
      <c r="NGR240" s="1"/>
      <c r="NGS240" s="1"/>
      <c r="NGT240" s="1"/>
      <c r="NGU240" s="1"/>
      <c r="NGV240" s="1"/>
      <c r="NGW240" s="1"/>
      <c r="NGX240" s="1"/>
      <c r="NGY240" s="1"/>
      <c r="NGZ240" s="1"/>
      <c r="NHA240" s="1"/>
      <c r="NHB240" s="1"/>
      <c r="NHC240" s="1"/>
      <c r="NHD240" s="1"/>
      <c r="NHE240" s="1"/>
      <c r="NHF240" s="1"/>
      <c r="NHG240" s="1"/>
      <c r="NHH240" s="1"/>
      <c r="NHI240" s="1"/>
      <c r="NHJ240" s="1"/>
      <c r="NHK240" s="1"/>
      <c r="NHL240" s="1"/>
      <c r="NHM240" s="1"/>
      <c r="NHN240" s="1"/>
      <c r="NHO240" s="1"/>
      <c r="NHP240" s="1"/>
      <c r="NHQ240" s="1"/>
      <c r="NHR240" s="1"/>
      <c r="NHS240" s="1"/>
      <c r="NHT240" s="1"/>
      <c r="NHU240" s="1"/>
      <c r="NHV240" s="1"/>
      <c r="NHW240" s="1"/>
      <c r="NHX240" s="1"/>
      <c r="NHY240" s="1"/>
      <c r="NHZ240" s="1"/>
      <c r="NIA240" s="1"/>
      <c r="NIB240" s="1"/>
      <c r="NIC240" s="1"/>
      <c r="NID240" s="1"/>
      <c r="NIE240" s="1"/>
      <c r="NIF240" s="1"/>
      <c r="NIG240" s="1"/>
      <c r="NIH240" s="1"/>
      <c r="NII240" s="1"/>
      <c r="NIJ240" s="1"/>
      <c r="NIK240" s="1"/>
      <c r="NIL240" s="1"/>
      <c r="NIM240" s="1"/>
      <c r="NIN240" s="1"/>
      <c r="NIO240" s="1"/>
      <c r="NIP240" s="1"/>
      <c r="NIQ240" s="1"/>
      <c r="NIR240" s="1"/>
      <c r="NIS240" s="1"/>
      <c r="NIT240" s="1"/>
      <c r="NIU240" s="1"/>
      <c r="NIV240" s="1"/>
      <c r="NIW240" s="1"/>
      <c r="NIX240" s="1"/>
      <c r="NIY240" s="1"/>
      <c r="NIZ240" s="1"/>
      <c r="NJA240" s="1"/>
      <c r="NJB240" s="1"/>
      <c r="NJC240" s="1"/>
      <c r="NJD240" s="1"/>
      <c r="NJE240" s="1"/>
      <c r="NJF240" s="1"/>
      <c r="NJG240" s="1"/>
      <c r="NJH240" s="1"/>
      <c r="NJI240" s="1"/>
      <c r="NJJ240" s="1"/>
      <c r="NJK240" s="1"/>
      <c r="NJL240" s="1"/>
      <c r="NJM240" s="1"/>
      <c r="NJN240" s="1"/>
      <c r="NJO240" s="1"/>
      <c r="NJP240" s="1"/>
      <c r="NJQ240" s="1"/>
      <c r="NJR240" s="1"/>
      <c r="NJS240" s="1"/>
      <c r="NJT240" s="1"/>
      <c r="NJU240" s="1"/>
      <c r="NJV240" s="1"/>
      <c r="NJW240" s="1"/>
      <c r="NJX240" s="1"/>
      <c r="NJY240" s="1"/>
      <c r="NJZ240" s="1"/>
      <c r="NKA240" s="1"/>
      <c r="NKB240" s="1"/>
      <c r="NKC240" s="1"/>
      <c r="NKD240" s="1"/>
      <c r="NKE240" s="1"/>
      <c r="NKF240" s="1"/>
      <c r="NKG240" s="1"/>
      <c r="NKH240" s="1"/>
      <c r="NKI240" s="1"/>
      <c r="NKJ240" s="1"/>
      <c r="NKK240" s="1"/>
      <c r="NKL240" s="1"/>
      <c r="NKM240" s="1"/>
      <c r="NKN240" s="1"/>
      <c r="NKO240" s="1"/>
      <c r="NKP240" s="1"/>
      <c r="NKQ240" s="1"/>
      <c r="NKR240" s="1"/>
      <c r="NKS240" s="1"/>
      <c r="NKT240" s="1"/>
      <c r="NKU240" s="1"/>
      <c r="NKV240" s="1"/>
      <c r="NKW240" s="1"/>
      <c r="NKX240" s="1"/>
      <c r="NKY240" s="1"/>
      <c r="NKZ240" s="1"/>
      <c r="NLA240" s="1"/>
      <c r="NLB240" s="1"/>
      <c r="NLC240" s="1"/>
      <c r="NLD240" s="1"/>
      <c r="NLE240" s="1"/>
      <c r="NLF240" s="1"/>
      <c r="NLG240" s="1"/>
      <c r="NLH240" s="1"/>
      <c r="NLI240" s="1"/>
      <c r="NLJ240" s="1"/>
      <c r="NLK240" s="1"/>
      <c r="NLL240" s="1"/>
      <c r="NLM240" s="1"/>
      <c r="NLN240" s="1"/>
      <c r="NLO240" s="1"/>
      <c r="NLP240" s="1"/>
      <c r="NLQ240" s="1"/>
      <c r="NLR240" s="1"/>
      <c r="NLS240" s="1"/>
      <c r="NLT240" s="1"/>
      <c r="NLU240" s="1"/>
      <c r="NLV240" s="1"/>
      <c r="NLW240" s="1"/>
      <c r="NLX240" s="1"/>
      <c r="NLY240" s="1"/>
      <c r="NLZ240" s="1"/>
      <c r="NMA240" s="1"/>
      <c r="NMB240" s="1"/>
      <c r="NMC240" s="1"/>
      <c r="NMD240" s="1"/>
      <c r="NME240" s="1"/>
      <c r="NMF240" s="1"/>
      <c r="NMG240" s="1"/>
      <c r="NMH240" s="1"/>
      <c r="NMI240" s="1"/>
      <c r="NMJ240" s="1"/>
      <c r="NMK240" s="1"/>
      <c r="NML240" s="1"/>
      <c r="NMM240" s="1"/>
      <c r="NMN240" s="1"/>
      <c r="NMO240" s="1"/>
      <c r="NMP240" s="1"/>
      <c r="NMQ240" s="1"/>
      <c r="NMR240" s="1"/>
      <c r="NMS240" s="1"/>
      <c r="NMT240" s="1"/>
      <c r="NMU240" s="1"/>
      <c r="NMV240" s="1"/>
      <c r="NMW240" s="1"/>
      <c r="NMX240" s="1"/>
      <c r="NMY240" s="1"/>
      <c r="NMZ240" s="1"/>
      <c r="NNA240" s="1"/>
      <c r="NNB240" s="1"/>
      <c r="NNC240" s="1"/>
      <c r="NND240" s="1"/>
      <c r="NNE240" s="1"/>
      <c r="NNF240" s="1"/>
      <c r="NNG240" s="1"/>
      <c r="NNH240" s="1"/>
      <c r="NNI240" s="1"/>
      <c r="NNJ240" s="1"/>
      <c r="NNK240" s="1"/>
      <c r="NNL240" s="1"/>
      <c r="NNM240" s="1"/>
      <c r="NNN240" s="1"/>
      <c r="NNO240" s="1"/>
      <c r="NNP240" s="1"/>
      <c r="NNQ240" s="1"/>
      <c r="NNR240" s="1"/>
      <c r="NNS240" s="1"/>
      <c r="NNT240" s="1"/>
      <c r="NNU240" s="1"/>
      <c r="NNV240" s="1"/>
      <c r="NNW240" s="1"/>
      <c r="NNX240" s="1"/>
      <c r="NNY240" s="1"/>
      <c r="NNZ240" s="1"/>
      <c r="NOA240" s="1"/>
      <c r="NOB240" s="1"/>
      <c r="NOC240" s="1"/>
      <c r="NOD240" s="1"/>
      <c r="NOE240" s="1"/>
      <c r="NOF240" s="1"/>
      <c r="NOG240" s="1"/>
      <c r="NOH240" s="1"/>
      <c r="NOI240" s="1"/>
      <c r="NOJ240" s="1"/>
      <c r="NOK240" s="1"/>
      <c r="NOL240" s="1"/>
      <c r="NOM240" s="1"/>
      <c r="NON240" s="1"/>
      <c r="NOO240" s="1"/>
      <c r="NOP240" s="1"/>
      <c r="NOQ240" s="1"/>
      <c r="NOR240" s="1"/>
      <c r="NOS240" s="1"/>
      <c r="NOT240" s="1"/>
      <c r="NOU240" s="1"/>
      <c r="NOV240" s="1"/>
      <c r="NOW240" s="1"/>
      <c r="NOX240" s="1"/>
      <c r="NOY240" s="1"/>
      <c r="NOZ240" s="1"/>
      <c r="NPA240" s="1"/>
      <c r="NPB240" s="1"/>
      <c r="NPC240" s="1"/>
      <c r="NPD240" s="1"/>
      <c r="NPE240" s="1"/>
      <c r="NPF240" s="1"/>
      <c r="NPG240" s="1"/>
      <c r="NPH240" s="1"/>
      <c r="NPI240" s="1"/>
      <c r="NPJ240" s="1"/>
      <c r="NPK240" s="1"/>
      <c r="NPL240" s="1"/>
      <c r="NPM240" s="1"/>
      <c r="NPN240" s="1"/>
      <c r="NPO240" s="1"/>
      <c r="NPP240" s="1"/>
      <c r="NPQ240" s="1"/>
      <c r="NPR240" s="1"/>
      <c r="NPS240" s="1"/>
      <c r="NPT240" s="1"/>
      <c r="NPU240" s="1"/>
      <c r="NPV240" s="1"/>
      <c r="NPW240" s="1"/>
      <c r="NPX240" s="1"/>
      <c r="NPY240" s="1"/>
      <c r="NPZ240" s="1"/>
      <c r="NQA240" s="1"/>
      <c r="NQB240" s="1"/>
      <c r="NQC240" s="1"/>
      <c r="NQD240" s="1"/>
      <c r="NQE240" s="1"/>
      <c r="NQF240" s="1"/>
      <c r="NQG240" s="1"/>
      <c r="NQH240" s="1"/>
      <c r="NQI240" s="1"/>
      <c r="NQJ240" s="1"/>
      <c r="NQK240" s="1"/>
      <c r="NQL240" s="1"/>
      <c r="NQM240" s="1"/>
      <c r="NQN240" s="1"/>
      <c r="NQO240" s="1"/>
      <c r="NQP240" s="1"/>
      <c r="NQQ240" s="1"/>
      <c r="NQR240" s="1"/>
      <c r="NQS240" s="1"/>
      <c r="NQT240" s="1"/>
      <c r="NQU240" s="1"/>
      <c r="NQV240" s="1"/>
      <c r="NQW240" s="1"/>
      <c r="NQX240" s="1"/>
      <c r="NQY240" s="1"/>
      <c r="NQZ240" s="1"/>
      <c r="NRA240" s="1"/>
      <c r="NRB240" s="1"/>
      <c r="NRC240" s="1"/>
      <c r="NRD240" s="1"/>
      <c r="NRE240" s="1"/>
      <c r="NRF240" s="1"/>
      <c r="NRG240" s="1"/>
      <c r="NRH240" s="1"/>
      <c r="NRI240" s="1"/>
      <c r="NRJ240" s="1"/>
      <c r="NRK240" s="1"/>
      <c r="NRL240" s="1"/>
      <c r="NRM240" s="1"/>
      <c r="NRN240" s="1"/>
      <c r="NRO240" s="1"/>
      <c r="NRP240" s="1"/>
      <c r="NRQ240" s="1"/>
      <c r="NRR240" s="1"/>
      <c r="NRS240" s="1"/>
      <c r="NRT240" s="1"/>
      <c r="NRU240" s="1"/>
      <c r="NRV240" s="1"/>
      <c r="NRW240" s="1"/>
      <c r="NRX240" s="1"/>
      <c r="NRY240" s="1"/>
      <c r="NRZ240" s="1"/>
      <c r="NSA240" s="1"/>
      <c r="NSB240" s="1"/>
      <c r="NSC240" s="1"/>
      <c r="NSD240" s="1"/>
      <c r="NSE240" s="1"/>
      <c r="NSF240" s="1"/>
      <c r="NSG240" s="1"/>
      <c r="NSH240" s="1"/>
      <c r="NSI240" s="1"/>
      <c r="NSJ240" s="1"/>
      <c r="NSK240" s="1"/>
      <c r="NSL240" s="1"/>
      <c r="NSM240" s="1"/>
      <c r="NSN240" s="1"/>
      <c r="NSO240" s="1"/>
      <c r="NSP240" s="1"/>
      <c r="NSQ240" s="1"/>
      <c r="NSR240" s="1"/>
      <c r="NSS240" s="1"/>
      <c r="NST240" s="1"/>
      <c r="NSU240" s="1"/>
      <c r="NSV240" s="1"/>
      <c r="NSW240" s="1"/>
      <c r="NSX240" s="1"/>
      <c r="NSY240" s="1"/>
      <c r="NSZ240" s="1"/>
      <c r="NTA240" s="1"/>
      <c r="NTB240" s="1"/>
      <c r="NTC240" s="1"/>
      <c r="NTD240" s="1"/>
      <c r="NTE240" s="1"/>
      <c r="NTF240" s="1"/>
      <c r="NTG240" s="1"/>
      <c r="NTH240" s="1"/>
      <c r="NTI240" s="1"/>
      <c r="NTJ240" s="1"/>
      <c r="NTK240" s="1"/>
      <c r="NTL240" s="1"/>
      <c r="NTM240" s="1"/>
      <c r="NTN240" s="1"/>
      <c r="NTO240" s="1"/>
      <c r="NTP240" s="1"/>
      <c r="NTQ240" s="1"/>
      <c r="NTR240" s="1"/>
      <c r="NTS240" s="1"/>
      <c r="NTT240" s="1"/>
      <c r="NTU240" s="1"/>
      <c r="NTV240" s="1"/>
      <c r="NTW240" s="1"/>
      <c r="NTX240" s="1"/>
      <c r="NTY240" s="1"/>
      <c r="NTZ240" s="1"/>
      <c r="NUA240" s="1"/>
      <c r="NUB240" s="1"/>
      <c r="NUC240" s="1"/>
      <c r="NUD240" s="1"/>
      <c r="NUE240" s="1"/>
      <c r="NUF240" s="1"/>
      <c r="NUG240" s="1"/>
      <c r="NUH240" s="1"/>
      <c r="NUI240" s="1"/>
      <c r="NUJ240" s="1"/>
      <c r="NUK240" s="1"/>
      <c r="NUL240" s="1"/>
      <c r="NUM240" s="1"/>
      <c r="NUN240" s="1"/>
      <c r="NUO240" s="1"/>
      <c r="NUP240" s="1"/>
      <c r="NUQ240" s="1"/>
      <c r="NUR240" s="1"/>
      <c r="NUS240" s="1"/>
      <c r="NUT240" s="1"/>
      <c r="NUU240" s="1"/>
      <c r="NUV240" s="1"/>
      <c r="NUW240" s="1"/>
      <c r="NUX240" s="1"/>
      <c r="NUY240" s="1"/>
      <c r="NUZ240" s="1"/>
      <c r="NVA240" s="1"/>
      <c r="NVB240" s="1"/>
      <c r="NVC240" s="1"/>
      <c r="NVD240" s="1"/>
      <c r="NVE240" s="1"/>
      <c r="NVF240" s="1"/>
      <c r="NVG240" s="1"/>
      <c r="NVH240" s="1"/>
      <c r="NVI240" s="1"/>
      <c r="NVJ240" s="1"/>
      <c r="NVK240" s="1"/>
      <c r="NVL240" s="1"/>
      <c r="NVM240" s="1"/>
      <c r="NVN240" s="1"/>
      <c r="NVO240" s="1"/>
      <c r="NVP240" s="1"/>
      <c r="NVQ240" s="1"/>
      <c r="NVR240" s="1"/>
      <c r="NVS240" s="1"/>
      <c r="NVT240" s="1"/>
      <c r="NVU240" s="1"/>
      <c r="NVV240" s="1"/>
      <c r="NVW240" s="1"/>
      <c r="NVX240" s="1"/>
      <c r="NVY240" s="1"/>
      <c r="NVZ240" s="1"/>
      <c r="NWA240" s="1"/>
      <c r="NWB240" s="1"/>
      <c r="NWC240" s="1"/>
      <c r="NWD240" s="1"/>
      <c r="NWE240" s="1"/>
      <c r="NWF240" s="1"/>
      <c r="NWG240" s="1"/>
      <c r="NWH240" s="1"/>
      <c r="NWI240" s="1"/>
      <c r="NWJ240" s="1"/>
      <c r="NWK240" s="1"/>
      <c r="NWL240" s="1"/>
      <c r="NWM240" s="1"/>
      <c r="NWN240" s="1"/>
      <c r="NWO240" s="1"/>
      <c r="NWP240" s="1"/>
      <c r="NWQ240" s="1"/>
      <c r="NWR240" s="1"/>
      <c r="NWS240" s="1"/>
      <c r="NWT240" s="1"/>
      <c r="NWU240" s="1"/>
      <c r="NWV240" s="1"/>
      <c r="NWW240" s="1"/>
      <c r="NWX240" s="1"/>
      <c r="NWY240" s="1"/>
      <c r="NWZ240" s="1"/>
      <c r="NXA240" s="1"/>
      <c r="NXB240" s="1"/>
      <c r="NXC240" s="1"/>
      <c r="NXD240" s="1"/>
      <c r="NXE240" s="1"/>
      <c r="NXF240" s="1"/>
      <c r="NXG240" s="1"/>
      <c r="NXH240" s="1"/>
      <c r="NXI240" s="1"/>
      <c r="NXJ240" s="1"/>
      <c r="NXK240" s="1"/>
      <c r="NXL240" s="1"/>
      <c r="NXM240" s="1"/>
      <c r="NXN240" s="1"/>
      <c r="NXO240" s="1"/>
      <c r="NXP240" s="1"/>
      <c r="NXQ240" s="1"/>
      <c r="NXR240" s="1"/>
      <c r="NXS240" s="1"/>
      <c r="NXT240" s="1"/>
      <c r="NXU240" s="1"/>
      <c r="NXV240" s="1"/>
      <c r="NXW240" s="1"/>
      <c r="NXX240" s="1"/>
      <c r="NXY240" s="1"/>
      <c r="NXZ240" s="1"/>
      <c r="NYA240" s="1"/>
      <c r="NYB240" s="1"/>
      <c r="NYC240" s="1"/>
      <c r="NYD240" s="1"/>
      <c r="NYE240" s="1"/>
      <c r="NYF240" s="1"/>
      <c r="NYG240" s="1"/>
      <c r="NYH240" s="1"/>
      <c r="NYI240" s="1"/>
      <c r="NYJ240" s="1"/>
      <c r="NYK240" s="1"/>
      <c r="NYL240" s="1"/>
      <c r="NYM240" s="1"/>
      <c r="NYN240" s="1"/>
      <c r="NYO240" s="1"/>
      <c r="NYP240" s="1"/>
      <c r="NYQ240" s="1"/>
      <c r="NYR240" s="1"/>
      <c r="NYS240" s="1"/>
      <c r="NYT240" s="1"/>
      <c r="NYU240" s="1"/>
      <c r="NYV240" s="1"/>
      <c r="NYW240" s="1"/>
      <c r="NYX240" s="1"/>
      <c r="NYY240" s="1"/>
      <c r="NYZ240" s="1"/>
      <c r="NZA240" s="1"/>
      <c r="NZB240" s="1"/>
      <c r="NZC240" s="1"/>
      <c r="NZD240" s="1"/>
      <c r="NZE240" s="1"/>
      <c r="NZF240" s="1"/>
      <c r="NZG240" s="1"/>
      <c r="NZH240" s="1"/>
      <c r="NZI240" s="1"/>
      <c r="NZJ240" s="1"/>
      <c r="NZK240" s="1"/>
      <c r="NZL240" s="1"/>
      <c r="NZM240" s="1"/>
      <c r="NZN240" s="1"/>
      <c r="NZO240" s="1"/>
      <c r="NZP240" s="1"/>
      <c r="NZQ240" s="1"/>
      <c r="NZR240" s="1"/>
      <c r="NZS240" s="1"/>
      <c r="NZT240" s="1"/>
      <c r="NZU240" s="1"/>
      <c r="NZV240" s="1"/>
      <c r="NZW240" s="1"/>
      <c r="NZX240" s="1"/>
      <c r="NZY240" s="1"/>
      <c r="NZZ240" s="1"/>
      <c r="OAA240" s="1"/>
      <c r="OAB240" s="1"/>
      <c r="OAC240" s="1"/>
      <c r="OAD240" s="1"/>
      <c r="OAE240" s="1"/>
      <c r="OAF240" s="1"/>
      <c r="OAG240" s="1"/>
      <c r="OAH240" s="1"/>
      <c r="OAI240" s="1"/>
      <c r="OAJ240" s="1"/>
      <c r="OAK240" s="1"/>
      <c r="OAL240" s="1"/>
      <c r="OAM240" s="1"/>
      <c r="OAN240" s="1"/>
      <c r="OAO240" s="1"/>
      <c r="OAP240" s="1"/>
      <c r="OAQ240" s="1"/>
      <c r="OAR240" s="1"/>
      <c r="OAS240" s="1"/>
      <c r="OAT240" s="1"/>
      <c r="OAU240" s="1"/>
      <c r="OAV240" s="1"/>
      <c r="OAW240" s="1"/>
      <c r="OAX240" s="1"/>
      <c r="OAY240" s="1"/>
      <c r="OAZ240" s="1"/>
      <c r="OBA240" s="1"/>
      <c r="OBB240" s="1"/>
      <c r="OBC240" s="1"/>
      <c r="OBD240" s="1"/>
      <c r="OBE240" s="1"/>
      <c r="OBF240" s="1"/>
      <c r="OBG240" s="1"/>
      <c r="OBH240" s="1"/>
      <c r="OBI240" s="1"/>
      <c r="OBJ240" s="1"/>
      <c r="OBK240" s="1"/>
      <c r="OBL240" s="1"/>
      <c r="OBM240" s="1"/>
      <c r="OBN240" s="1"/>
      <c r="OBO240" s="1"/>
      <c r="OBP240" s="1"/>
      <c r="OBQ240" s="1"/>
      <c r="OBR240" s="1"/>
      <c r="OBS240" s="1"/>
      <c r="OBT240" s="1"/>
      <c r="OBU240" s="1"/>
      <c r="OBV240" s="1"/>
      <c r="OBW240" s="1"/>
      <c r="OBX240" s="1"/>
      <c r="OBY240" s="1"/>
      <c r="OBZ240" s="1"/>
      <c r="OCA240" s="1"/>
      <c r="OCB240" s="1"/>
      <c r="OCC240" s="1"/>
      <c r="OCD240" s="1"/>
      <c r="OCE240" s="1"/>
      <c r="OCF240" s="1"/>
      <c r="OCG240" s="1"/>
      <c r="OCH240" s="1"/>
      <c r="OCI240" s="1"/>
      <c r="OCJ240" s="1"/>
      <c r="OCK240" s="1"/>
      <c r="OCL240" s="1"/>
      <c r="OCM240" s="1"/>
      <c r="OCN240" s="1"/>
      <c r="OCO240" s="1"/>
      <c r="OCP240" s="1"/>
      <c r="OCQ240" s="1"/>
      <c r="OCR240" s="1"/>
      <c r="OCS240" s="1"/>
      <c r="OCT240" s="1"/>
      <c r="OCU240" s="1"/>
      <c r="OCV240" s="1"/>
      <c r="OCW240" s="1"/>
      <c r="OCX240" s="1"/>
      <c r="OCY240" s="1"/>
      <c r="OCZ240" s="1"/>
      <c r="ODA240" s="1"/>
      <c r="ODB240" s="1"/>
      <c r="ODC240" s="1"/>
      <c r="ODD240" s="1"/>
      <c r="ODE240" s="1"/>
      <c r="ODF240" s="1"/>
      <c r="ODG240" s="1"/>
      <c r="ODH240" s="1"/>
      <c r="ODI240" s="1"/>
      <c r="ODJ240" s="1"/>
      <c r="ODK240" s="1"/>
      <c r="ODL240" s="1"/>
      <c r="ODM240" s="1"/>
      <c r="ODN240" s="1"/>
      <c r="ODO240" s="1"/>
      <c r="ODP240" s="1"/>
      <c r="ODQ240" s="1"/>
      <c r="ODR240" s="1"/>
      <c r="ODS240" s="1"/>
      <c r="ODT240" s="1"/>
      <c r="ODU240" s="1"/>
      <c r="ODV240" s="1"/>
      <c r="ODW240" s="1"/>
      <c r="ODX240" s="1"/>
      <c r="ODY240" s="1"/>
      <c r="ODZ240" s="1"/>
      <c r="OEA240" s="1"/>
      <c r="OEB240" s="1"/>
      <c r="OEC240" s="1"/>
      <c r="OED240" s="1"/>
      <c r="OEE240" s="1"/>
      <c r="OEF240" s="1"/>
      <c r="OEG240" s="1"/>
      <c r="OEH240" s="1"/>
      <c r="OEI240" s="1"/>
      <c r="OEJ240" s="1"/>
      <c r="OEK240" s="1"/>
      <c r="OEL240" s="1"/>
      <c r="OEM240" s="1"/>
      <c r="OEN240" s="1"/>
      <c r="OEO240" s="1"/>
      <c r="OEP240" s="1"/>
      <c r="OEQ240" s="1"/>
      <c r="OER240" s="1"/>
      <c r="OES240" s="1"/>
      <c r="OET240" s="1"/>
      <c r="OEU240" s="1"/>
      <c r="OEV240" s="1"/>
      <c r="OEW240" s="1"/>
      <c r="OEX240" s="1"/>
      <c r="OEY240" s="1"/>
      <c r="OEZ240" s="1"/>
      <c r="OFA240" s="1"/>
      <c r="OFB240" s="1"/>
      <c r="OFC240" s="1"/>
      <c r="OFD240" s="1"/>
      <c r="OFE240" s="1"/>
      <c r="OFF240" s="1"/>
      <c r="OFG240" s="1"/>
      <c r="OFH240" s="1"/>
      <c r="OFI240" s="1"/>
      <c r="OFJ240" s="1"/>
      <c r="OFK240" s="1"/>
      <c r="OFL240" s="1"/>
      <c r="OFM240" s="1"/>
      <c r="OFN240" s="1"/>
      <c r="OFO240" s="1"/>
      <c r="OFP240" s="1"/>
      <c r="OFQ240" s="1"/>
      <c r="OFR240" s="1"/>
      <c r="OFS240" s="1"/>
      <c r="OFT240" s="1"/>
      <c r="OFU240" s="1"/>
      <c r="OFV240" s="1"/>
      <c r="OFW240" s="1"/>
      <c r="OFX240" s="1"/>
      <c r="OFY240" s="1"/>
      <c r="OFZ240" s="1"/>
      <c r="OGA240" s="1"/>
      <c r="OGB240" s="1"/>
      <c r="OGC240" s="1"/>
      <c r="OGD240" s="1"/>
      <c r="OGE240" s="1"/>
      <c r="OGF240" s="1"/>
      <c r="OGG240" s="1"/>
      <c r="OGH240" s="1"/>
      <c r="OGI240" s="1"/>
      <c r="OGJ240" s="1"/>
      <c r="OGK240" s="1"/>
      <c r="OGL240" s="1"/>
      <c r="OGM240" s="1"/>
      <c r="OGN240" s="1"/>
      <c r="OGO240" s="1"/>
      <c r="OGP240" s="1"/>
      <c r="OGQ240" s="1"/>
      <c r="OGR240" s="1"/>
      <c r="OGS240" s="1"/>
      <c r="OGT240" s="1"/>
      <c r="OGU240" s="1"/>
      <c r="OGV240" s="1"/>
      <c r="OGW240" s="1"/>
      <c r="OGX240" s="1"/>
      <c r="OGY240" s="1"/>
      <c r="OGZ240" s="1"/>
      <c r="OHA240" s="1"/>
      <c r="OHB240" s="1"/>
      <c r="OHC240" s="1"/>
      <c r="OHD240" s="1"/>
      <c r="OHE240" s="1"/>
      <c r="OHF240" s="1"/>
      <c r="OHG240" s="1"/>
      <c r="OHH240" s="1"/>
      <c r="OHI240" s="1"/>
      <c r="OHJ240" s="1"/>
      <c r="OHK240" s="1"/>
      <c r="OHL240" s="1"/>
      <c r="OHM240" s="1"/>
      <c r="OHN240" s="1"/>
      <c r="OHO240" s="1"/>
      <c r="OHP240" s="1"/>
      <c r="OHQ240" s="1"/>
      <c r="OHR240" s="1"/>
      <c r="OHS240" s="1"/>
      <c r="OHT240" s="1"/>
      <c r="OHU240" s="1"/>
      <c r="OHV240" s="1"/>
      <c r="OHW240" s="1"/>
      <c r="OHX240" s="1"/>
      <c r="OHY240" s="1"/>
      <c r="OHZ240" s="1"/>
      <c r="OIA240" s="1"/>
      <c r="OIB240" s="1"/>
      <c r="OIC240" s="1"/>
      <c r="OID240" s="1"/>
      <c r="OIE240" s="1"/>
      <c r="OIF240" s="1"/>
      <c r="OIG240" s="1"/>
      <c r="OIH240" s="1"/>
      <c r="OII240" s="1"/>
      <c r="OIJ240" s="1"/>
      <c r="OIK240" s="1"/>
      <c r="OIL240" s="1"/>
      <c r="OIM240" s="1"/>
      <c r="OIN240" s="1"/>
      <c r="OIO240" s="1"/>
      <c r="OIP240" s="1"/>
      <c r="OIQ240" s="1"/>
      <c r="OIR240" s="1"/>
      <c r="OIS240" s="1"/>
      <c r="OIT240" s="1"/>
      <c r="OIU240" s="1"/>
      <c r="OIV240" s="1"/>
      <c r="OIW240" s="1"/>
      <c r="OIX240" s="1"/>
      <c r="OIY240" s="1"/>
      <c r="OIZ240" s="1"/>
      <c r="OJA240" s="1"/>
      <c r="OJB240" s="1"/>
      <c r="OJC240" s="1"/>
      <c r="OJD240" s="1"/>
      <c r="OJE240" s="1"/>
      <c r="OJF240" s="1"/>
      <c r="OJG240" s="1"/>
      <c r="OJH240" s="1"/>
      <c r="OJI240" s="1"/>
      <c r="OJJ240" s="1"/>
      <c r="OJK240" s="1"/>
      <c r="OJL240" s="1"/>
      <c r="OJM240" s="1"/>
      <c r="OJN240" s="1"/>
      <c r="OJO240" s="1"/>
      <c r="OJP240" s="1"/>
      <c r="OJQ240" s="1"/>
      <c r="OJR240" s="1"/>
      <c r="OJS240" s="1"/>
      <c r="OJT240" s="1"/>
      <c r="OJU240" s="1"/>
      <c r="OJV240" s="1"/>
      <c r="OJW240" s="1"/>
      <c r="OJX240" s="1"/>
      <c r="OJY240" s="1"/>
      <c r="OJZ240" s="1"/>
      <c r="OKA240" s="1"/>
      <c r="OKB240" s="1"/>
      <c r="OKC240" s="1"/>
      <c r="OKD240" s="1"/>
      <c r="OKE240" s="1"/>
      <c r="OKF240" s="1"/>
      <c r="OKG240" s="1"/>
      <c r="OKH240" s="1"/>
      <c r="OKI240" s="1"/>
      <c r="OKJ240" s="1"/>
      <c r="OKK240" s="1"/>
      <c r="OKL240" s="1"/>
      <c r="OKM240" s="1"/>
      <c r="OKN240" s="1"/>
      <c r="OKO240" s="1"/>
      <c r="OKP240" s="1"/>
      <c r="OKQ240" s="1"/>
      <c r="OKR240" s="1"/>
      <c r="OKS240" s="1"/>
      <c r="OKT240" s="1"/>
      <c r="OKU240" s="1"/>
      <c r="OKV240" s="1"/>
      <c r="OKW240" s="1"/>
      <c r="OKX240" s="1"/>
      <c r="OKY240" s="1"/>
      <c r="OKZ240" s="1"/>
      <c r="OLA240" s="1"/>
      <c r="OLB240" s="1"/>
      <c r="OLC240" s="1"/>
      <c r="OLD240" s="1"/>
      <c r="OLE240" s="1"/>
      <c r="OLF240" s="1"/>
      <c r="OLG240" s="1"/>
      <c r="OLH240" s="1"/>
      <c r="OLI240" s="1"/>
      <c r="OLJ240" s="1"/>
      <c r="OLK240" s="1"/>
      <c r="OLL240" s="1"/>
      <c r="OLM240" s="1"/>
      <c r="OLN240" s="1"/>
      <c r="OLO240" s="1"/>
      <c r="OLP240" s="1"/>
      <c r="OLQ240" s="1"/>
      <c r="OLR240" s="1"/>
      <c r="OLS240" s="1"/>
      <c r="OLT240" s="1"/>
      <c r="OLU240" s="1"/>
      <c r="OLV240" s="1"/>
      <c r="OLW240" s="1"/>
      <c r="OLX240" s="1"/>
      <c r="OLY240" s="1"/>
      <c r="OLZ240" s="1"/>
      <c r="OMA240" s="1"/>
      <c r="OMB240" s="1"/>
      <c r="OMC240" s="1"/>
      <c r="OMD240" s="1"/>
      <c r="OME240" s="1"/>
      <c r="OMF240" s="1"/>
      <c r="OMG240" s="1"/>
      <c r="OMH240" s="1"/>
      <c r="OMI240" s="1"/>
      <c r="OMJ240" s="1"/>
      <c r="OMK240" s="1"/>
      <c r="OML240" s="1"/>
      <c r="OMM240" s="1"/>
      <c r="OMN240" s="1"/>
      <c r="OMO240" s="1"/>
      <c r="OMP240" s="1"/>
      <c r="OMQ240" s="1"/>
      <c r="OMR240" s="1"/>
      <c r="OMS240" s="1"/>
      <c r="OMT240" s="1"/>
      <c r="OMU240" s="1"/>
      <c r="OMV240" s="1"/>
      <c r="OMW240" s="1"/>
      <c r="OMX240" s="1"/>
      <c r="OMY240" s="1"/>
      <c r="OMZ240" s="1"/>
      <c r="ONA240" s="1"/>
      <c r="ONB240" s="1"/>
      <c r="ONC240" s="1"/>
      <c r="OND240" s="1"/>
      <c r="ONE240" s="1"/>
      <c r="ONF240" s="1"/>
      <c r="ONG240" s="1"/>
      <c r="ONH240" s="1"/>
      <c r="ONI240" s="1"/>
      <c r="ONJ240" s="1"/>
      <c r="ONK240" s="1"/>
      <c r="ONL240" s="1"/>
      <c r="ONM240" s="1"/>
      <c r="ONN240" s="1"/>
      <c r="ONO240" s="1"/>
      <c r="ONP240" s="1"/>
      <c r="ONQ240" s="1"/>
      <c r="ONR240" s="1"/>
      <c r="ONS240" s="1"/>
      <c r="ONT240" s="1"/>
      <c r="ONU240" s="1"/>
      <c r="ONV240" s="1"/>
      <c r="ONW240" s="1"/>
      <c r="ONX240" s="1"/>
      <c r="ONY240" s="1"/>
      <c r="ONZ240" s="1"/>
      <c r="OOA240" s="1"/>
      <c r="OOB240" s="1"/>
      <c r="OOC240" s="1"/>
      <c r="OOD240" s="1"/>
      <c r="OOE240" s="1"/>
      <c r="OOF240" s="1"/>
      <c r="OOG240" s="1"/>
      <c r="OOH240" s="1"/>
      <c r="OOI240" s="1"/>
      <c r="OOJ240" s="1"/>
      <c r="OOK240" s="1"/>
      <c r="OOL240" s="1"/>
      <c r="OOM240" s="1"/>
      <c r="OON240" s="1"/>
      <c r="OOO240" s="1"/>
      <c r="OOP240" s="1"/>
      <c r="OOQ240" s="1"/>
      <c r="OOR240" s="1"/>
      <c r="OOS240" s="1"/>
      <c r="OOT240" s="1"/>
      <c r="OOU240" s="1"/>
      <c r="OOV240" s="1"/>
      <c r="OOW240" s="1"/>
      <c r="OOX240" s="1"/>
      <c r="OOY240" s="1"/>
      <c r="OOZ240" s="1"/>
      <c r="OPA240" s="1"/>
      <c r="OPB240" s="1"/>
      <c r="OPC240" s="1"/>
      <c r="OPD240" s="1"/>
      <c r="OPE240" s="1"/>
      <c r="OPF240" s="1"/>
      <c r="OPG240" s="1"/>
      <c r="OPH240" s="1"/>
      <c r="OPI240" s="1"/>
      <c r="OPJ240" s="1"/>
      <c r="OPK240" s="1"/>
      <c r="OPL240" s="1"/>
      <c r="OPM240" s="1"/>
      <c r="OPN240" s="1"/>
      <c r="OPO240" s="1"/>
      <c r="OPP240" s="1"/>
      <c r="OPQ240" s="1"/>
      <c r="OPR240" s="1"/>
      <c r="OPS240" s="1"/>
      <c r="OPT240" s="1"/>
      <c r="OPU240" s="1"/>
      <c r="OPV240" s="1"/>
      <c r="OPW240" s="1"/>
      <c r="OPX240" s="1"/>
      <c r="OPY240" s="1"/>
      <c r="OPZ240" s="1"/>
      <c r="OQA240" s="1"/>
      <c r="OQB240" s="1"/>
      <c r="OQC240" s="1"/>
      <c r="OQD240" s="1"/>
      <c r="OQE240" s="1"/>
      <c r="OQF240" s="1"/>
      <c r="OQG240" s="1"/>
      <c r="OQH240" s="1"/>
      <c r="OQI240" s="1"/>
      <c r="OQJ240" s="1"/>
      <c r="OQK240" s="1"/>
      <c r="OQL240" s="1"/>
      <c r="OQM240" s="1"/>
      <c r="OQN240" s="1"/>
      <c r="OQO240" s="1"/>
      <c r="OQP240" s="1"/>
      <c r="OQQ240" s="1"/>
      <c r="OQR240" s="1"/>
      <c r="OQS240" s="1"/>
      <c r="OQT240" s="1"/>
      <c r="OQU240" s="1"/>
      <c r="OQV240" s="1"/>
      <c r="OQW240" s="1"/>
      <c r="OQX240" s="1"/>
      <c r="OQY240" s="1"/>
      <c r="OQZ240" s="1"/>
      <c r="ORA240" s="1"/>
      <c r="ORB240" s="1"/>
      <c r="ORC240" s="1"/>
      <c r="ORD240" s="1"/>
      <c r="ORE240" s="1"/>
      <c r="ORF240" s="1"/>
      <c r="ORG240" s="1"/>
      <c r="ORH240" s="1"/>
      <c r="ORI240" s="1"/>
      <c r="ORJ240" s="1"/>
      <c r="ORK240" s="1"/>
      <c r="ORL240" s="1"/>
      <c r="ORM240" s="1"/>
      <c r="ORN240" s="1"/>
      <c r="ORO240" s="1"/>
      <c r="ORP240" s="1"/>
      <c r="ORQ240" s="1"/>
      <c r="ORR240" s="1"/>
      <c r="ORS240" s="1"/>
      <c r="ORT240" s="1"/>
      <c r="ORU240" s="1"/>
      <c r="ORV240" s="1"/>
      <c r="ORW240" s="1"/>
      <c r="ORX240" s="1"/>
      <c r="ORY240" s="1"/>
      <c r="ORZ240" s="1"/>
      <c r="OSA240" s="1"/>
      <c r="OSB240" s="1"/>
      <c r="OSC240" s="1"/>
      <c r="OSD240" s="1"/>
      <c r="OSE240" s="1"/>
      <c r="OSF240" s="1"/>
      <c r="OSG240" s="1"/>
      <c r="OSH240" s="1"/>
      <c r="OSI240" s="1"/>
      <c r="OSJ240" s="1"/>
      <c r="OSK240" s="1"/>
      <c r="OSL240" s="1"/>
      <c r="OSM240" s="1"/>
      <c r="OSN240" s="1"/>
      <c r="OSO240" s="1"/>
      <c r="OSP240" s="1"/>
      <c r="OSQ240" s="1"/>
      <c r="OSR240" s="1"/>
      <c r="OSS240" s="1"/>
      <c r="OST240" s="1"/>
      <c r="OSU240" s="1"/>
      <c r="OSV240" s="1"/>
      <c r="OSW240" s="1"/>
      <c r="OSX240" s="1"/>
      <c r="OSY240" s="1"/>
      <c r="OSZ240" s="1"/>
      <c r="OTA240" s="1"/>
      <c r="OTB240" s="1"/>
      <c r="OTC240" s="1"/>
      <c r="OTD240" s="1"/>
      <c r="OTE240" s="1"/>
      <c r="OTF240" s="1"/>
      <c r="OTG240" s="1"/>
      <c r="OTH240" s="1"/>
      <c r="OTI240" s="1"/>
      <c r="OTJ240" s="1"/>
      <c r="OTK240" s="1"/>
      <c r="OTL240" s="1"/>
      <c r="OTM240" s="1"/>
      <c r="OTN240" s="1"/>
      <c r="OTO240" s="1"/>
      <c r="OTP240" s="1"/>
      <c r="OTQ240" s="1"/>
      <c r="OTR240" s="1"/>
      <c r="OTS240" s="1"/>
      <c r="OTT240" s="1"/>
      <c r="OTU240" s="1"/>
      <c r="OTV240" s="1"/>
      <c r="OTW240" s="1"/>
      <c r="OTX240" s="1"/>
      <c r="OTY240" s="1"/>
      <c r="OTZ240" s="1"/>
      <c r="OUA240" s="1"/>
      <c r="OUB240" s="1"/>
      <c r="OUC240" s="1"/>
      <c r="OUD240" s="1"/>
      <c r="OUE240" s="1"/>
      <c r="OUF240" s="1"/>
      <c r="OUG240" s="1"/>
      <c r="OUH240" s="1"/>
      <c r="OUI240" s="1"/>
      <c r="OUJ240" s="1"/>
      <c r="OUK240" s="1"/>
      <c r="OUL240" s="1"/>
      <c r="OUM240" s="1"/>
      <c r="OUN240" s="1"/>
      <c r="OUO240" s="1"/>
      <c r="OUP240" s="1"/>
      <c r="OUQ240" s="1"/>
      <c r="OUR240" s="1"/>
      <c r="OUS240" s="1"/>
      <c r="OUT240" s="1"/>
      <c r="OUU240" s="1"/>
      <c r="OUV240" s="1"/>
      <c r="OUW240" s="1"/>
      <c r="OUX240" s="1"/>
      <c r="OUY240" s="1"/>
      <c r="OUZ240" s="1"/>
      <c r="OVA240" s="1"/>
      <c r="OVB240" s="1"/>
      <c r="OVC240" s="1"/>
      <c r="OVD240" s="1"/>
      <c r="OVE240" s="1"/>
      <c r="OVF240" s="1"/>
      <c r="OVG240" s="1"/>
      <c r="OVH240" s="1"/>
      <c r="OVI240" s="1"/>
      <c r="OVJ240" s="1"/>
      <c r="OVK240" s="1"/>
      <c r="OVL240" s="1"/>
      <c r="OVM240" s="1"/>
      <c r="OVN240" s="1"/>
      <c r="OVO240" s="1"/>
      <c r="OVP240" s="1"/>
      <c r="OVQ240" s="1"/>
      <c r="OVR240" s="1"/>
      <c r="OVS240" s="1"/>
      <c r="OVT240" s="1"/>
      <c r="OVU240" s="1"/>
      <c r="OVV240" s="1"/>
      <c r="OVW240" s="1"/>
      <c r="OVX240" s="1"/>
      <c r="OVY240" s="1"/>
      <c r="OVZ240" s="1"/>
      <c r="OWA240" s="1"/>
      <c r="OWB240" s="1"/>
      <c r="OWC240" s="1"/>
      <c r="OWD240" s="1"/>
      <c r="OWE240" s="1"/>
      <c r="OWF240" s="1"/>
      <c r="OWG240" s="1"/>
      <c r="OWH240" s="1"/>
      <c r="OWI240" s="1"/>
      <c r="OWJ240" s="1"/>
      <c r="OWK240" s="1"/>
      <c r="OWL240" s="1"/>
      <c r="OWM240" s="1"/>
      <c r="OWN240" s="1"/>
      <c r="OWO240" s="1"/>
      <c r="OWP240" s="1"/>
      <c r="OWQ240" s="1"/>
      <c r="OWR240" s="1"/>
      <c r="OWS240" s="1"/>
      <c r="OWT240" s="1"/>
      <c r="OWU240" s="1"/>
      <c r="OWV240" s="1"/>
      <c r="OWW240" s="1"/>
      <c r="OWX240" s="1"/>
      <c r="OWY240" s="1"/>
      <c r="OWZ240" s="1"/>
      <c r="OXA240" s="1"/>
      <c r="OXB240" s="1"/>
      <c r="OXC240" s="1"/>
      <c r="OXD240" s="1"/>
      <c r="OXE240" s="1"/>
      <c r="OXF240" s="1"/>
      <c r="OXG240" s="1"/>
      <c r="OXH240" s="1"/>
      <c r="OXI240" s="1"/>
      <c r="OXJ240" s="1"/>
      <c r="OXK240" s="1"/>
      <c r="OXL240" s="1"/>
      <c r="OXM240" s="1"/>
      <c r="OXN240" s="1"/>
      <c r="OXO240" s="1"/>
      <c r="OXP240" s="1"/>
      <c r="OXQ240" s="1"/>
      <c r="OXR240" s="1"/>
      <c r="OXS240" s="1"/>
      <c r="OXT240" s="1"/>
      <c r="OXU240" s="1"/>
      <c r="OXV240" s="1"/>
      <c r="OXW240" s="1"/>
      <c r="OXX240" s="1"/>
      <c r="OXY240" s="1"/>
      <c r="OXZ240" s="1"/>
      <c r="OYA240" s="1"/>
      <c r="OYB240" s="1"/>
      <c r="OYC240" s="1"/>
      <c r="OYD240" s="1"/>
      <c r="OYE240" s="1"/>
      <c r="OYF240" s="1"/>
      <c r="OYG240" s="1"/>
      <c r="OYH240" s="1"/>
      <c r="OYI240" s="1"/>
      <c r="OYJ240" s="1"/>
      <c r="OYK240" s="1"/>
      <c r="OYL240" s="1"/>
      <c r="OYM240" s="1"/>
      <c r="OYN240" s="1"/>
      <c r="OYO240" s="1"/>
      <c r="OYP240" s="1"/>
      <c r="OYQ240" s="1"/>
      <c r="OYR240" s="1"/>
      <c r="OYS240" s="1"/>
      <c r="OYT240" s="1"/>
      <c r="OYU240" s="1"/>
      <c r="OYV240" s="1"/>
      <c r="OYW240" s="1"/>
      <c r="OYX240" s="1"/>
      <c r="OYY240" s="1"/>
      <c r="OYZ240" s="1"/>
      <c r="OZA240" s="1"/>
      <c r="OZB240" s="1"/>
      <c r="OZC240" s="1"/>
      <c r="OZD240" s="1"/>
      <c r="OZE240" s="1"/>
      <c r="OZF240" s="1"/>
      <c r="OZG240" s="1"/>
      <c r="OZH240" s="1"/>
      <c r="OZI240" s="1"/>
      <c r="OZJ240" s="1"/>
      <c r="OZK240" s="1"/>
      <c r="OZL240" s="1"/>
      <c r="OZM240" s="1"/>
      <c r="OZN240" s="1"/>
      <c r="OZO240" s="1"/>
      <c r="OZP240" s="1"/>
      <c r="OZQ240" s="1"/>
      <c r="OZR240" s="1"/>
      <c r="OZS240" s="1"/>
      <c r="OZT240" s="1"/>
      <c r="OZU240" s="1"/>
      <c r="OZV240" s="1"/>
      <c r="OZW240" s="1"/>
      <c r="OZX240" s="1"/>
      <c r="OZY240" s="1"/>
      <c r="OZZ240" s="1"/>
      <c r="PAA240" s="1"/>
      <c r="PAB240" s="1"/>
      <c r="PAC240" s="1"/>
      <c r="PAD240" s="1"/>
      <c r="PAE240" s="1"/>
      <c r="PAF240" s="1"/>
      <c r="PAG240" s="1"/>
      <c r="PAH240" s="1"/>
      <c r="PAI240" s="1"/>
      <c r="PAJ240" s="1"/>
      <c r="PAK240" s="1"/>
      <c r="PAL240" s="1"/>
      <c r="PAM240" s="1"/>
      <c r="PAN240" s="1"/>
      <c r="PAO240" s="1"/>
      <c r="PAP240" s="1"/>
      <c r="PAQ240" s="1"/>
      <c r="PAR240" s="1"/>
      <c r="PAS240" s="1"/>
      <c r="PAT240" s="1"/>
      <c r="PAU240" s="1"/>
      <c r="PAV240" s="1"/>
      <c r="PAW240" s="1"/>
      <c r="PAX240" s="1"/>
      <c r="PAY240" s="1"/>
      <c r="PAZ240" s="1"/>
      <c r="PBA240" s="1"/>
      <c r="PBB240" s="1"/>
      <c r="PBC240" s="1"/>
      <c r="PBD240" s="1"/>
      <c r="PBE240" s="1"/>
      <c r="PBF240" s="1"/>
      <c r="PBG240" s="1"/>
      <c r="PBH240" s="1"/>
      <c r="PBI240" s="1"/>
      <c r="PBJ240" s="1"/>
      <c r="PBK240" s="1"/>
      <c r="PBL240" s="1"/>
      <c r="PBM240" s="1"/>
      <c r="PBN240" s="1"/>
      <c r="PBO240" s="1"/>
      <c r="PBP240" s="1"/>
      <c r="PBQ240" s="1"/>
      <c r="PBR240" s="1"/>
      <c r="PBS240" s="1"/>
      <c r="PBT240" s="1"/>
      <c r="PBU240" s="1"/>
      <c r="PBV240" s="1"/>
      <c r="PBW240" s="1"/>
      <c r="PBX240" s="1"/>
      <c r="PBY240" s="1"/>
      <c r="PBZ240" s="1"/>
      <c r="PCA240" s="1"/>
      <c r="PCB240" s="1"/>
      <c r="PCC240" s="1"/>
      <c r="PCD240" s="1"/>
      <c r="PCE240" s="1"/>
      <c r="PCF240" s="1"/>
      <c r="PCG240" s="1"/>
      <c r="PCH240" s="1"/>
      <c r="PCI240" s="1"/>
      <c r="PCJ240" s="1"/>
      <c r="PCK240" s="1"/>
      <c r="PCL240" s="1"/>
      <c r="PCM240" s="1"/>
      <c r="PCN240" s="1"/>
      <c r="PCO240" s="1"/>
      <c r="PCP240" s="1"/>
      <c r="PCQ240" s="1"/>
      <c r="PCR240" s="1"/>
      <c r="PCS240" s="1"/>
      <c r="PCT240" s="1"/>
      <c r="PCU240" s="1"/>
      <c r="PCV240" s="1"/>
      <c r="PCW240" s="1"/>
      <c r="PCX240" s="1"/>
      <c r="PCY240" s="1"/>
      <c r="PCZ240" s="1"/>
      <c r="PDA240" s="1"/>
      <c r="PDB240" s="1"/>
      <c r="PDC240" s="1"/>
      <c r="PDD240" s="1"/>
      <c r="PDE240" s="1"/>
      <c r="PDF240" s="1"/>
      <c r="PDG240" s="1"/>
      <c r="PDH240" s="1"/>
      <c r="PDI240" s="1"/>
      <c r="PDJ240" s="1"/>
      <c r="PDK240" s="1"/>
      <c r="PDL240" s="1"/>
      <c r="PDM240" s="1"/>
      <c r="PDN240" s="1"/>
      <c r="PDO240" s="1"/>
      <c r="PDP240" s="1"/>
      <c r="PDQ240" s="1"/>
      <c r="PDR240" s="1"/>
      <c r="PDS240" s="1"/>
      <c r="PDT240" s="1"/>
      <c r="PDU240" s="1"/>
      <c r="PDV240" s="1"/>
      <c r="PDW240" s="1"/>
      <c r="PDX240" s="1"/>
      <c r="PDY240" s="1"/>
      <c r="PDZ240" s="1"/>
      <c r="PEA240" s="1"/>
      <c r="PEB240" s="1"/>
      <c r="PEC240" s="1"/>
      <c r="PED240" s="1"/>
      <c r="PEE240" s="1"/>
      <c r="PEF240" s="1"/>
      <c r="PEG240" s="1"/>
      <c r="PEH240" s="1"/>
      <c r="PEI240" s="1"/>
      <c r="PEJ240" s="1"/>
      <c r="PEK240" s="1"/>
      <c r="PEL240" s="1"/>
      <c r="PEM240" s="1"/>
      <c r="PEN240" s="1"/>
      <c r="PEO240" s="1"/>
      <c r="PEP240" s="1"/>
      <c r="PEQ240" s="1"/>
      <c r="PER240" s="1"/>
      <c r="PES240" s="1"/>
      <c r="PET240" s="1"/>
      <c r="PEU240" s="1"/>
      <c r="PEV240" s="1"/>
      <c r="PEW240" s="1"/>
      <c r="PEX240" s="1"/>
      <c r="PEY240" s="1"/>
      <c r="PEZ240" s="1"/>
      <c r="PFA240" s="1"/>
      <c r="PFB240" s="1"/>
      <c r="PFC240" s="1"/>
      <c r="PFD240" s="1"/>
      <c r="PFE240" s="1"/>
      <c r="PFF240" s="1"/>
      <c r="PFG240" s="1"/>
      <c r="PFH240" s="1"/>
      <c r="PFI240" s="1"/>
      <c r="PFJ240" s="1"/>
      <c r="PFK240" s="1"/>
      <c r="PFL240" s="1"/>
      <c r="PFM240" s="1"/>
      <c r="PFN240" s="1"/>
      <c r="PFO240" s="1"/>
      <c r="PFP240" s="1"/>
      <c r="PFQ240" s="1"/>
      <c r="PFR240" s="1"/>
      <c r="PFS240" s="1"/>
      <c r="PFT240" s="1"/>
      <c r="PFU240" s="1"/>
      <c r="PFV240" s="1"/>
      <c r="PFW240" s="1"/>
      <c r="PFX240" s="1"/>
      <c r="PFY240" s="1"/>
      <c r="PFZ240" s="1"/>
      <c r="PGA240" s="1"/>
      <c r="PGB240" s="1"/>
      <c r="PGC240" s="1"/>
      <c r="PGD240" s="1"/>
      <c r="PGE240" s="1"/>
      <c r="PGF240" s="1"/>
      <c r="PGG240" s="1"/>
      <c r="PGH240" s="1"/>
      <c r="PGI240" s="1"/>
      <c r="PGJ240" s="1"/>
      <c r="PGK240" s="1"/>
      <c r="PGL240" s="1"/>
      <c r="PGM240" s="1"/>
      <c r="PGN240" s="1"/>
      <c r="PGO240" s="1"/>
      <c r="PGP240" s="1"/>
      <c r="PGQ240" s="1"/>
      <c r="PGR240" s="1"/>
      <c r="PGS240" s="1"/>
      <c r="PGT240" s="1"/>
      <c r="PGU240" s="1"/>
      <c r="PGV240" s="1"/>
      <c r="PGW240" s="1"/>
      <c r="PGX240" s="1"/>
      <c r="PGY240" s="1"/>
      <c r="PGZ240" s="1"/>
      <c r="PHA240" s="1"/>
      <c r="PHB240" s="1"/>
      <c r="PHC240" s="1"/>
      <c r="PHD240" s="1"/>
      <c r="PHE240" s="1"/>
      <c r="PHF240" s="1"/>
      <c r="PHG240" s="1"/>
      <c r="PHH240" s="1"/>
      <c r="PHI240" s="1"/>
      <c r="PHJ240" s="1"/>
      <c r="PHK240" s="1"/>
      <c r="PHL240" s="1"/>
      <c r="PHM240" s="1"/>
      <c r="PHN240" s="1"/>
      <c r="PHO240" s="1"/>
      <c r="PHP240" s="1"/>
      <c r="PHQ240" s="1"/>
      <c r="PHR240" s="1"/>
      <c r="PHS240" s="1"/>
      <c r="PHT240" s="1"/>
      <c r="PHU240" s="1"/>
      <c r="PHV240" s="1"/>
      <c r="PHW240" s="1"/>
      <c r="PHX240" s="1"/>
      <c r="PHY240" s="1"/>
      <c r="PHZ240" s="1"/>
      <c r="PIA240" s="1"/>
      <c r="PIB240" s="1"/>
      <c r="PIC240" s="1"/>
      <c r="PID240" s="1"/>
      <c r="PIE240" s="1"/>
      <c r="PIF240" s="1"/>
      <c r="PIG240" s="1"/>
      <c r="PIH240" s="1"/>
      <c r="PII240" s="1"/>
      <c r="PIJ240" s="1"/>
      <c r="PIK240" s="1"/>
      <c r="PIL240" s="1"/>
      <c r="PIM240" s="1"/>
      <c r="PIN240" s="1"/>
      <c r="PIO240" s="1"/>
      <c r="PIP240" s="1"/>
      <c r="PIQ240" s="1"/>
      <c r="PIR240" s="1"/>
      <c r="PIS240" s="1"/>
      <c r="PIT240" s="1"/>
      <c r="PIU240" s="1"/>
      <c r="PIV240" s="1"/>
      <c r="PIW240" s="1"/>
      <c r="PIX240" s="1"/>
      <c r="PIY240" s="1"/>
      <c r="PIZ240" s="1"/>
      <c r="PJA240" s="1"/>
      <c r="PJB240" s="1"/>
      <c r="PJC240" s="1"/>
      <c r="PJD240" s="1"/>
      <c r="PJE240" s="1"/>
      <c r="PJF240" s="1"/>
      <c r="PJG240" s="1"/>
      <c r="PJH240" s="1"/>
      <c r="PJI240" s="1"/>
      <c r="PJJ240" s="1"/>
      <c r="PJK240" s="1"/>
      <c r="PJL240" s="1"/>
      <c r="PJM240" s="1"/>
      <c r="PJN240" s="1"/>
      <c r="PJO240" s="1"/>
      <c r="PJP240" s="1"/>
      <c r="PJQ240" s="1"/>
      <c r="PJR240" s="1"/>
      <c r="PJS240" s="1"/>
      <c r="PJT240" s="1"/>
      <c r="PJU240" s="1"/>
      <c r="PJV240" s="1"/>
      <c r="PJW240" s="1"/>
      <c r="PJX240" s="1"/>
      <c r="PJY240" s="1"/>
      <c r="PJZ240" s="1"/>
      <c r="PKA240" s="1"/>
      <c r="PKB240" s="1"/>
      <c r="PKC240" s="1"/>
      <c r="PKD240" s="1"/>
      <c r="PKE240" s="1"/>
      <c r="PKF240" s="1"/>
      <c r="PKG240" s="1"/>
      <c r="PKH240" s="1"/>
      <c r="PKI240" s="1"/>
      <c r="PKJ240" s="1"/>
      <c r="PKK240" s="1"/>
      <c r="PKL240" s="1"/>
      <c r="PKM240" s="1"/>
      <c r="PKN240" s="1"/>
      <c r="PKO240" s="1"/>
      <c r="PKP240" s="1"/>
      <c r="PKQ240" s="1"/>
      <c r="PKR240" s="1"/>
      <c r="PKS240" s="1"/>
      <c r="PKT240" s="1"/>
      <c r="PKU240" s="1"/>
      <c r="PKV240" s="1"/>
      <c r="PKW240" s="1"/>
      <c r="PKX240" s="1"/>
      <c r="PKY240" s="1"/>
      <c r="PKZ240" s="1"/>
      <c r="PLA240" s="1"/>
      <c r="PLB240" s="1"/>
      <c r="PLC240" s="1"/>
      <c r="PLD240" s="1"/>
      <c r="PLE240" s="1"/>
      <c r="PLF240" s="1"/>
      <c r="PLG240" s="1"/>
      <c r="PLH240" s="1"/>
      <c r="PLI240" s="1"/>
      <c r="PLJ240" s="1"/>
      <c r="PLK240" s="1"/>
      <c r="PLL240" s="1"/>
      <c r="PLM240" s="1"/>
      <c r="PLN240" s="1"/>
      <c r="PLO240" s="1"/>
      <c r="PLP240" s="1"/>
      <c r="PLQ240" s="1"/>
      <c r="PLR240" s="1"/>
      <c r="PLS240" s="1"/>
      <c r="PLT240" s="1"/>
      <c r="PLU240" s="1"/>
      <c r="PLV240" s="1"/>
      <c r="PLW240" s="1"/>
      <c r="PLX240" s="1"/>
      <c r="PLY240" s="1"/>
      <c r="PLZ240" s="1"/>
      <c r="PMA240" s="1"/>
      <c r="PMB240" s="1"/>
      <c r="PMC240" s="1"/>
      <c r="PMD240" s="1"/>
      <c r="PME240" s="1"/>
      <c r="PMF240" s="1"/>
      <c r="PMG240" s="1"/>
      <c r="PMH240" s="1"/>
      <c r="PMI240" s="1"/>
      <c r="PMJ240" s="1"/>
      <c r="PMK240" s="1"/>
      <c r="PML240" s="1"/>
      <c r="PMM240" s="1"/>
      <c r="PMN240" s="1"/>
      <c r="PMO240" s="1"/>
      <c r="PMP240" s="1"/>
      <c r="PMQ240" s="1"/>
      <c r="PMR240" s="1"/>
      <c r="PMS240" s="1"/>
      <c r="PMT240" s="1"/>
      <c r="PMU240" s="1"/>
      <c r="PMV240" s="1"/>
      <c r="PMW240" s="1"/>
      <c r="PMX240" s="1"/>
      <c r="PMY240" s="1"/>
      <c r="PMZ240" s="1"/>
      <c r="PNA240" s="1"/>
      <c r="PNB240" s="1"/>
      <c r="PNC240" s="1"/>
      <c r="PND240" s="1"/>
      <c r="PNE240" s="1"/>
      <c r="PNF240" s="1"/>
      <c r="PNG240" s="1"/>
      <c r="PNH240" s="1"/>
      <c r="PNI240" s="1"/>
      <c r="PNJ240" s="1"/>
      <c r="PNK240" s="1"/>
      <c r="PNL240" s="1"/>
      <c r="PNM240" s="1"/>
      <c r="PNN240" s="1"/>
      <c r="PNO240" s="1"/>
      <c r="PNP240" s="1"/>
      <c r="PNQ240" s="1"/>
      <c r="PNR240" s="1"/>
      <c r="PNS240" s="1"/>
      <c r="PNT240" s="1"/>
      <c r="PNU240" s="1"/>
      <c r="PNV240" s="1"/>
      <c r="PNW240" s="1"/>
      <c r="PNX240" s="1"/>
      <c r="PNY240" s="1"/>
      <c r="PNZ240" s="1"/>
      <c r="POA240" s="1"/>
      <c r="POB240" s="1"/>
      <c r="POC240" s="1"/>
      <c r="POD240" s="1"/>
      <c r="POE240" s="1"/>
      <c r="POF240" s="1"/>
      <c r="POG240" s="1"/>
      <c r="POH240" s="1"/>
      <c r="POI240" s="1"/>
      <c r="POJ240" s="1"/>
      <c r="POK240" s="1"/>
      <c r="POL240" s="1"/>
      <c r="POM240" s="1"/>
      <c r="PON240" s="1"/>
      <c r="POO240" s="1"/>
      <c r="POP240" s="1"/>
      <c r="POQ240" s="1"/>
      <c r="POR240" s="1"/>
      <c r="POS240" s="1"/>
      <c r="POT240" s="1"/>
      <c r="POU240" s="1"/>
      <c r="POV240" s="1"/>
      <c r="POW240" s="1"/>
      <c r="POX240" s="1"/>
      <c r="POY240" s="1"/>
      <c r="POZ240" s="1"/>
      <c r="PPA240" s="1"/>
      <c r="PPB240" s="1"/>
      <c r="PPC240" s="1"/>
      <c r="PPD240" s="1"/>
      <c r="PPE240" s="1"/>
      <c r="PPF240" s="1"/>
      <c r="PPG240" s="1"/>
      <c r="PPH240" s="1"/>
      <c r="PPI240" s="1"/>
      <c r="PPJ240" s="1"/>
      <c r="PPK240" s="1"/>
      <c r="PPL240" s="1"/>
      <c r="PPM240" s="1"/>
      <c r="PPN240" s="1"/>
      <c r="PPO240" s="1"/>
      <c r="PPP240" s="1"/>
      <c r="PPQ240" s="1"/>
      <c r="PPR240" s="1"/>
      <c r="PPS240" s="1"/>
      <c r="PPT240" s="1"/>
      <c r="PPU240" s="1"/>
      <c r="PPV240" s="1"/>
      <c r="PPW240" s="1"/>
      <c r="PPX240" s="1"/>
      <c r="PPY240" s="1"/>
      <c r="PPZ240" s="1"/>
      <c r="PQA240" s="1"/>
      <c r="PQB240" s="1"/>
      <c r="PQC240" s="1"/>
      <c r="PQD240" s="1"/>
      <c r="PQE240" s="1"/>
      <c r="PQF240" s="1"/>
      <c r="PQG240" s="1"/>
      <c r="PQH240" s="1"/>
      <c r="PQI240" s="1"/>
      <c r="PQJ240" s="1"/>
      <c r="PQK240" s="1"/>
      <c r="PQL240" s="1"/>
      <c r="PQM240" s="1"/>
      <c r="PQN240" s="1"/>
      <c r="PQO240" s="1"/>
      <c r="PQP240" s="1"/>
      <c r="PQQ240" s="1"/>
      <c r="PQR240" s="1"/>
      <c r="PQS240" s="1"/>
      <c r="PQT240" s="1"/>
      <c r="PQU240" s="1"/>
      <c r="PQV240" s="1"/>
      <c r="PQW240" s="1"/>
      <c r="PQX240" s="1"/>
      <c r="PQY240" s="1"/>
      <c r="PQZ240" s="1"/>
      <c r="PRA240" s="1"/>
      <c r="PRB240" s="1"/>
      <c r="PRC240" s="1"/>
      <c r="PRD240" s="1"/>
      <c r="PRE240" s="1"/>
      <c r="PRF240" s="1"/>
      <c r="PRG240" s="1"/>
      <c r="PRH240" s="1"/>
      <c r="PRI240" s="1"/>
      <c r="PRJ240" s="1"/>
      <c r="PRK240" s="1"/>
      <c r="PRL240" s="1"/>
      <c r="PRM240" s="1"/>
      <c r="PRN240" s="1"/>
      <c r="PRO240" s="1"/>
      <c r="PRP240" s="1"/>
      <c r="PRQ240" s="1"/>
      <c r="PRR240" s="1"/>
      <c r="PRS240" s="1"/>
      <c r="PRT240" s="1"/>
      <c r="PRU240" s="1"/>
      <c r="PRV240" s="1"/>
      <c r="PRW240" s="1"/>
      <c r="PRX240" s="1"/>
      <c r="PRY240" s="1"/>
      <c r="PRZ240" s="1"/>
      <c r="PSA240" s="1"/>
      <c r="PSB240" s="1"/>
      <c r="PSC240" s="1"/>
      <c r="PSD240" s="1"/>
      <c r="PSE240" s="1"/>
      <c r="PSF240" s="1"/>
      <c r="PSG240" s="1"/>
      <c r="PSH240" s="1"/>
      <c r="PSI240" s="1"/>
      <c r="PSJ240" s="1"/>
      <c r="PSK240" s="1"/>
      <c r="PSL240" s="1"/>
      <c r="PSM240" s="1"/>
      <c r="PSN240" s="1"/>
      <c r="PSO240" s="1"/>
      <c r="PSP240" s="1"/>
      <c r="PSQ240" s="1"/>
      <c r="PSR240" s="1"/>
      <c r="PSS240" s="1"/>
      <c r="PST240" s="1"/>
      <c r="PSU240" s="1"/>
      <c r="PSV240" s="1"/>
      <c r="PSW240" s="1"/>
      <c r="PSX240" s="1"/>
      <c r="PSY240" s="1"/>
      <c r="PSZ240" s="1"/>
      <c r="PTA240" s="1"/>
      <c r="PTB240" s="1"/>
      <c r="PTC240" s="1"/>
      <c r="PTD240" s="1"/>
      <c r="PTE240" s="1"/>
      <c r="PTF240" s="1"/>
      <c r="PTG240" s="1"/>
      <c r="PTH240" s="1"/>
      <c r="PTI240" s="1"/>
      <c r="PTJ240" s="1"/>
      <c r="PTK240" s="1"/>
      <c r="PTL240" s="1"/>
      <c r="PTM240" s="1"/>
      <c r="PTN240" s="1"/>
      <c r="PTO240" s="1"/>
      <c r="PTP240" s="1"/>
      <c r="PTQ240" s="1"/>
      <c r="PTR240" s="1"/>
      <c r="PTS240" s="1"/>
      <c r="PTT240" s="1"/>
      <c r="PTU240" s="1"/>
      <c r="PTV240" s="1"/>
      <c r="PTW240" s="1"/>
      <c r="PTX240" s="1"/>
      <c r="PTY240" s="1"/>
      <c r="PTZ240" s="1"/>
      <c r="PUA240" s="1"/>
      <c r="PUB240" s="1"/>
      <c r="PUC240" s="1"/>
      <c r="PUD240" s="1"/>
      <c r="PUE240" s="1"/>
      <c r="PUF240" s="1"/>
      <c r="PUG240" s="1"/>
      <c r="PUH240" s="1"/>
      <c r="PUI240" s="1"/>
      <c r="PUJ240" s="1"/>
      <c r="PUK240" s="1"/>
      <c r="PUL240" s="1"/>
      <c r="PUM240" s="1"/>
      <c r="PUN240" s="1"/>
      <c r="PUO240" s="1"/>
      <c r="PUP240" s="1"/>
      <c r="PUQ240" s="1"/>
      <c r="PUR240" s="1"/>
      <c r="PUS240" s="1"/>
      <c r="PUT240" s="1"/>
      <c r="PUU240" s="1"/>
      <c r="PUV240" s="1"/>
      <c r="PUW240" s="1"/>
      <c r="PUX240" s="1"/>
      <c r="PUY240" s="1"/>
      <c r="PUZ240" s="1"/>
      <c r="PVA240" s="1"/>
      <c r="PVB240" s="1"/>
      <c r="PVC240" s="1"/>
      <c r="PVD240" s="1"/>
      <c r="PVE240" s="1"/>
      <c r="PVF240" s="1"/>
      <c r="PVG240" s="1"/>
      <c r="PVH240" s="1"/>
      <c r="PVI240" s="1"/>
      <c r="PVJ240" s="1"/>
      <c r="PVK240" s="1"/>
      <c r="PVL240" s="1"/>
      <c r="PVM240" s="1"/>
      <c r="PVN240" s="1"/>
      <c r="PVO240" s="1"/>
      <c r="PVP240" s="1"/>
      <c r="PVQ240" s="1"/>
      <c r="PVR240" s="1"/>
      <c r="PVS240" s="1"/>
      <c r="PVT240" s="1"/>
      <c r="PVU240" s="1"/>
      <c r="PVV240" s="1"/>
      <c r="PVW240" s="1"/>
      <c r="PVX240" s="1"/>
      <c r="PVY240" s="1"/>
      <c r="PVZ240" s="1"/>
      <c r="PWA240" s="1"/>
      <c r="PWB240" s="1"/>
      <c r="PWC240" s="1"/>
      <c r="PWD240" s="1"/>
      <c r="PWE240" s="1"/>
      <c r="PWF240" s="1"/>
      <c r="PWG240" s="1"/>
      <c r="PWH240" s="1"/>
      <c r="PWI240" s="1"/>
      <c r="PWJ240" s="1"/>
      <c r="PWK240" s="1"/>
      <c r="PWL240" s="1"/>
      <c r="PWM240" s="1"/>
      <c r="PWN240" s="1"/>
      <c r="PWO240" s="1"/>
      <c r="PWP240" s="1"/>
      <c r="PWQ240" s="1"/>
      <c r="PWR240" s="1"/>
      <c r="PWS240" s="1"/>
      <c r="PWT240" s="1"/>
      <c r="PWU240" s="1"/>
      <c r="PWV240" s="1"/>
      <c r="PWW240" s="1"/>
      <c r="PWX240" s="1"/>
      <c r="PWY240" s="1"/>
      <c r="PWZ240" s="1"/>
      <c r="PXA240" s="1"/>
      <c r="PXB240" s="1"/>
      <c r="PXC240" s="1"/>
      <c r="PXD240" s="1"/>
      <c r="PXE240" s="1"/>
      <c r="PXF240" s="1"/>
      <c r="PXG240" s="1"/>
      <c r="PXH240" s="1"/>
      <c r="PXI240" s="1"/>
      <c r="PXJ240" s="1"/>
      <c r="PXK240" s="1"/>
      <c r="PXL240" s="1"/>
      <c r="PXM240" s="1"/>
      <c r="PXN240" s="1"/>
      <c r="PXO240" s="1"/>
      <c r="PXP240" s="1"/>
      <c r="PXQ240" s="1"/>
      <c r="PXR240" s="1"/>
      <c r="PXS240" s="1"/>
      <c r="PXT240" s="1"/>
      <c r="PXU240" s="1"/>
      <c r="PXV240" s="1"/>
      <c r="PXW240" s="1"/>
      <c r="PXX240" s="1"/>
      <c r="PXY240" s="1"/>
      <c r="PXZ240" s="1"/>
      <c r="PYA240" s="1"/>
      <c r="PYB240" s="1"/>
      <c r="PYC240" s="1"/>
      <c r="PYD240" s="1"/>
      <c r="PYE240" s="1"/>
      <c r="PYF240" s="1"/>
      <c r="PYG240" s="1"/>
      <c r="PYH240" s="1"/>
      <c r="PYI240" s="1"/>
      <c r="PYJ240" s="1"/>
      <c r="PYK240" s="1"/>
      <c r="PYL240" s="1"/>
      <c r="PYM240" s="1"/>
      <c r="PYN240" s="1"/>
      <c r="PYO240" s="1"/>
      <c r="PYP240" s="1"/>
      <c r="PYQ240" s="1"/>
      <c r="PYR240" s="1"/>
      <c r="PYS240" s="1"/>
      <c r="PYT240" s="1"/>
      <c r="PYU240" s="1"/>
      <c r="PYV240" s="1"/>
      <c r="PYW240" s="1"/>
      <c r="PYX240" s="1"/>
      <c r="PYY240" s="1"/>
      <c r="PYZ240" s="1"/>
      <c r="PZA240" s="1"/>
      <c r="PZB240" s="1"/>
      <c r="PZC240" s="1"/>
      <c r="PZD240" s="1"/>
      <c r="PZE240" s="1"/>
      <c r="PZF240" s="1"/>
      <c r="PZG240" s="1"/>
      <c r="PZH240" s="1"/>
      <c r="PZI240" s="1"/>
      <c r="PZJ240" s="1"/>
      <c r="PZK240" s="1"/>
      <c r="PZL240" s="1"/>
      <c r="PZM240" s="1"/>
      <c r="PZN240" s="1"/>
      <c r="PZO240" s="1"/>
      <c r="PZP240" s="1"/>
      <c r="PZQ240" s="1"/>
      <c r="PZR240" s="1"/>
      <c r="PZS240" s="1"/>
      <c r="PZT240" s="1"/>
      <c r="PZU240" s="1"/>
      <c r="PZV240" s="1"/>
      <c r="PZW240" s="1"/>
      <c r="PZX240" s="1"/>
      <c r="PZY240" s="1"/>
      <c r="PZZ240" s="1"/>
      <c r="QAA240" s="1"/>
      <c r="QAB240" s="1"/>
      <c r="QAC240" s="1"/>
      <c r="QAD240" s="1"/>
      <c r="QAE240" s="1"/>
      <c r="QAF240" s="1"/>
      <c r="QAG240" s="1"/>
      <c r="QAH240" s="1"/>
      <c r="QAI240" s="1"/>
      <c r="QAJ240" s="1"/>
      <c r="QAK240" s="1"/>
      <c r="QAL240" s="1"/>
      <c r="QAM240" s="1"/>
      <c r="QAN240" s="1"/>
      <c r="QAO240" s="1"/>
      <c r="QAP240" s="1"/>
      <c r="QAQ240" s="1"/>
      <c r="QAR240" s="1"/>
      <c r="QAS240" s="1"/>
      <c r="QAT240" s="1"/>
      <c r="QAU240" s="1"/>
      <c r="QAV240" s="1"/>
      <c r="QAW240" s="1"/>
      <c r="QAX240" s="1"/>
      <c r="QAY240" s="1"/>
      <c r="QAZ240" s="1"/>
      <c r="QBA240" s="1"/>
      <c r="QBB240" s="1"/>
      <c r="QBC240" s="1"/>
      <c r="QBD240" s="1"/>
      <c r="QBE240" s="1"/>
      <c r="QBF240" s="1"/>
      <c r="QBG240" s="1"/>
      <c r="QBH240" s="1"/>
      <c r="QBI240" s="1"/>
      <c r="QBJ240" s="1"/>
      <c r="QBK240" s="1"/>
      <c r="QBL240" s="1"/>
      <c r="QBM240" s="1"/>
      <c r="QBN240" s="1"/>
      <c r="QBO240" s="1"/>
      <c r="QBP240" s="1"/>
      <c r="QBQ240" s="1"/>
      <c r="QBR240" s="1"/>
      <c r="QBS240" s="1"/>
      <c r="QBT240" s="1"/>
      <c r="QBU240" s="1"/>
      <c r="QBV240" s="1"/>
      <c r="QBW240" s="1"/>
      <c r="QBX240" s="1"/>
      <c r="QBY240" s="1"/>
      <c r="QBZ240" s="1"/>
      <c r="QCA240" s="1"/>
      <c r="QCB240" s="1"/>
      <c r="QCC240" s="1"/>
      <c r="QCD240" s="1"/>
      <c r="QCE240" s="1"/>
      <c r="QCF240" s="1"/>
      <c r="QCG240" s="1"/>
      <c r="QCH240" s="1"/>
      <c r="QCI240" s="1"/>
      <c r="QCJ240" s="1"/>
      <c r="QCK240" s="1"/>
      <c r="QCL240" s="1"/>
      <c r="QCM240" s="1"/>
      <c r="QCN240" s="1"/>
      <c r="QCO240" s="1"/>
      <c r="QCP240" s="1"/>
      <c r="QCQ240" s="1"/>
      <c r="QCR240" s="1"/>
      <c r="QCS240" s="1"/>
      <c r="QCT240" s="1"/>
      <c r="QCU240" s="1"/>
      <c r="QCV240" s="1"/>
      <c r="QCW240" s="1"/>
      <c r="QCX240" s="1"/>
      <c r="QCY240" s="1"/>
      <c r="QCZ240" s="1"/>
      <c r="QDA240" s="1"/>
      <c r="QDB240" s="1"/>
      <c r="QDC240" s="1"/>
      <c r="QDD240" s="1"/>
      <c r="QDE240" s="1"/>
      <c r="QDF240" s="1"/>
      <c r="QDG240" s="1"/>
      <c r="QDH240" s="1"/>
      <c r="QDI240" s="1"/>
      <c r="QDJ240" s="1"/>
      <c r="QDK240" s="1"/>
      <c r="QDL240" s="1"/>
      <c r="QDM240" s="1"/>
      <c r="QDN240" s="1"/>
      <c r="QDO240" s="1"/>
      <c r="QDP240" s="1"/>
      <c r="QDQ240" s="1"/>
      <c r="QDR240" s="1"/>
      <c r="QDS240" s="1"/>
      <c r="QDT240" s="1"/>
      <c r="QDU240" s="1"/>
      <c r="QDV240" s="1"/>
      <c r="QDW240" s="1"/>
      <c r="QDX240" s="1"/>
      <c r="QDY240" s="1"/>
      <c r="QDZ240" s="1"/>
      <c r="QEA240" s="1"/>
      <c r="QEB240" s="1"/>
      <c r="QEC240" s="1"/>
      <c r="QED240" s="1"/>
      <c r="QEE240" s="1"/>
      <c r="QEF240" s="1"/>
      <c r="QEG240" s="1"/>
      <c r="QEH240" s="1"/>
      <c r="QEI240" s="1"/>
      <c r="QEJ240" s="1"/>
      <c r="QEK240" s="1"/>
      <c r="QEL240" s="1"/>
      <c r="QEM240" s="1"/>
      <c r="QEN240" s="1"/>
      <c r="QEO240" s="1"/>
      <c r="QEP240" s="1"/>
      <c r="QEQ240" s="1"/>
      <c r="QER240" s="1"/>
      <c r="QES240" s="1"/>
      <c r="QET240" s="1"/>
      <c r="QEU240" s="1"/>
      <c r="QEV240" s="1"/>
      <c r="QEW240" s="1"/>
      <c r="QEX240" s="1"/>
      <c r="QEY240" s="1"/>
      <c r="QEZ240" s="1"/>
      <c r="QFA240" s="1"/>
      <c r="QFB240" s="1"/>
      <c r="QFC240" s="1"/>
      <c r="QFD240" s="1"/>
      <c r="QFE240" s="1"/>
      <c r="QFF240" s="1"/>
      <c r="QFG240" s="1"/>
      <c r="QFH240" s="1"/>
      <c r="QFI240" s="1"/>
      <c r="QFJ240" s="1"/>
      <c r="QFK240" s="1"/>
      <c r="QFL240" s="1"/>
      <c r="QFM240" s="1"/>
      <c r="QFN240" s="1"/>
      <c r="QFO240" s="1"/>
      <c r="QFP240" s="1"/>
      <c r="QFQ240" s="1"/>
      <c r="QFR240" s="1"/>
      <c r="QFS240" s="1"/>
      <c r="QFT240" s="1"/>
      <c r="QFU240" s="1"/>
      <c r="QFV240" s="1"/>
      <c r="QFW240" s="1"/>
      <c r="QFX240" s="1"/>
      <c r="QFY240" s="1"/>
      <c r="QFZ240" s="1"/>
      <c r="QGA240" s="1"/>
      <c r="QGB240" s="1"/>
      <c r="QGC240" s="1"/>
      <c r="QGD240" s="1"/>
      <c r="QGE240" s="1"/>
      <c r="QGF240" s="1"/>
      <c r="QGG240" s="1"/>
      <c r="QGH240" s="1"/>
      <c r="QGI240" s="1"/>
      <c r="QGJ240" s="1"/>
      <c r="QGK240" s="1"/>
      <c r="QGL240" s="1"/>
      <c r="QGM240" s="1"/>
      <c r="QGN240" s="1"/>
      <c r="QGO240" s="1"/>
      <c r="QGP240" s="1"/>
      <c r="QGQ240" s="1"/>
      <c r="QGR240" s="1"/>
      <c r="QGS240" s="1"/>
      <c r="QGT240" s="1"/>
      <c r="QGU240" s="1"/>
      <c r="QGV240" s="1"/>
      <c r="QGW240" s="1"/>
      <c r="QGX240" s="1"/>
      <c r="QGY240" s="1"/>
      <c r="QGZ240" s="1"/>
      <c r="QHA240" s="1"/>
      <c r="QHB240" s="1"/>
      <c r="QHC240" s="1"/>
      <c r="QHD240" s="1"/>
      <c r="QHE240" s="1"/>
      <c r="QHF240" s="1"/>
      <c r="QHG240" s="1"/>
      <c r="QHH240" s="1"/>
      <c r="QHI240" s="1"/>
      <c r="QHJ240" s="1"/>
      <c r="QHK240" s="1"/>
      <c r="QHL240" s="1"/>
      <c r="QHM240" s="1"/>
      <c r="QHN240" s="1"/>
      <c r="QHO240" s="1"/>
      <c r="QHP240" s="1"/>
      <c r="QHQ240" s="1"/>
      <c r="QHR240" s="1"/>
      <c r="QHS240" s="1"/>
      <c r="QHT240" s="1"/>
      <c r="QHU240" s="1"/>
      <c r="QHV240" s="1"/>
      <c r="QHW240" s="1"/>
      <c r="QHX240" s="1"/>
      <c r="QHY240" s="1"/>
      <c r="QHZ240" s="1"/>
      <c r="QIA240" s="1"/>
      <c r="QIB240" s="1"/>
      <c r="QIC240" s="1"/>
      <c r="QID240" s="1"/>
      <c r="QIE240" s="1"/>
      <c r="QIF240" s="1"/>
      <c r="QIG240" s="1"/>
      <c r="QIH240" s="1"/>
      <c r="QII240" s="1"/>
      <c r="QIJ240" s="1"/>
      <c r="QIK240" s="1"/>
      <c r="QIL240" s="1"/>
      <c r="QIM240" s="1"/>
      <c r="QIN240" s="1"/>
      <c r="QIO240" s="1"/>
      <c r="QIP240" s="1"/>
      <c r="QIQ240" s="1"/>
      <c r="QIR240" s="1"/>
      <c r="QIS240" s="1"/>
      <c r="QIT240" s="1"/>
      <c r="QIU240" s="1"/>
      <c r="QIV240" s="1"/>
      <c r="QIW240" s="1"/>
      <c r="QIX240" s="1"/>
      <c r="QIY240" s="1"/>
      <c r="QIZ240" s="1"/>
      <c r="QJA240" s="1"/>
      <c r="QJB240" s="1"/>
      <c r="QJC240" s="1"/>
      <c r="QJD240" s="1"/>
      <c r="QJE240" s="1"/>
      <c r="QJF240" s="1"/>
      <c r="QJG240" s="1"/>
      <c r="QJH240" s="1"/>
      <c r="QJI240" s="1"/>
      <c r="QJJ240" s="1"/>
      <c r="QJK240" s="1"/>
      <c r="QJL240" s="1"/>
      <c r="QJM240" s="1"/>
      <c r="QJN240" s="1"/>
      <c r="QJO240" s="1"/>
      <c r="QJP240" s="1"/>
      <c r="QJQ240" s="1"/>
      <c r="QJR240" s="1"/>
      <c r="QJS240" s="1"/>
      <c r="QJT240" s="1"/>
      <c r="QJU240" s="1"/>
      <c r="QJV240" s="1"/>
      <c r="QJW240" s="1"/>
      <c r="QJX240" s="1"/>
      <c r="QJY240" s="1"/>
      <c r="QJZ240" s="1"/>
      <c r="QKA240" s="1"/>
      <c r="QKB240" s="1"/>
      <c r="QKC240" s="1"/>
      <c r="QKD240" s="1"/>
      <c r="QKE240" s="1"/>
      <c r="QKF240" s="1"/>
      <c r="QKG240" s="1"/>
      <c r="QKH240" s="1"/>
      <c r="QKI240" s="1"/>
      <c r="QKJ240" s="1"/>
      <c r="QKK240" s="1"/>
      <c r="QKL240" s="1"/>
      <c r="QKM240" s="1"/>
      <c r="QKN240" s="1"/>
      <c r="QKO240" s="1"/>
      <c r="QKP240" s="1"/>
      <c r="QKQ240" s="1"/>
      <c r="QKR240" s="1"/>
      <c r="QKS240" s="1"/>
      <c r="QKT240" s="1"/>
      <c r="QKU240" s="1"/>
      <c r="QKV240" s="1"/>
      <c r="QKW240" s="1"/>
      <c r="QKX240" s="1"/>
      <c r="QKY240" s="1"/>
      <c r="QKZ240" s="1"/>
      <c r="QLA240" s="1"/>
      <c r="QLB240" s="1"/>
      <c r="QLC240" s="1"/>
      <c r="QLD240" s="1"/>
      <c r="QLE240" s="1"/>
      <c r="QLF240" s="1"/>
      <c r="QLG240" s="1"/>
      <c r="QLH240" s="1"/>
      <c r="QLI240" s="1"/>
      <c r="QLJ240" s="1"/>
      <c r="QLK240" s="1"/>
      <c r="QLL240" s="1"/>
      <c r="QLM240" s="1"/>
      <c r="QLN240" s="1"/>
      <c r="QLO240" s="1"/>
      <c r="QLP240" s="1"/>
      <c r="QLQ240" s="1"/>
      <c r="QLR240" s="1"/>
      <c r="QLS240" s="1"/>
      <c r="QLT240" s="1"/>
      <c r="QLU240" s="1"/>
      <c r="QLV240" s="1"/>
      <c r="QLW240" s="1"/>
      <c r="QLX240" s="1"/>
      <c r="QLY240" s="1"/>
      <c r="QLZ240" s="1"/>
      <c r="QMA240" s="1"/>
      <c r="QMB240" s="1"/>
      <c r="QMC240" s="1"/>
      <c r="QMD240" s="1"/>
      <c r="QME240" s="1"/>
      <c r="QMF240" s="1"/>
      <c r="QMG240" s="1"/>
      <c r="QMH240" s="1"/>
      <c r="QMI240" s="1"/>
      <c r="QMJ240" s="1"/>
      <c r="QMK240" s="1"/>
      <c r="QML240" s="1"/>
      <c r="QMM240" s="1"/>
      <c r="QMN240" s="1"/>
      <c r="QMO240" s="1"/>
      <c r="QMP240" s="1"/>
      <c r="QMQ240" s="1"/>
      <c r="QMR240" s="1"/>
      <c r="QMS240" s="1"/>
      <c r="QMT240" s="1"/>
      <c r="QMU240" s="1"/>
      <c r="QMV240" s="1"/>
      <c r="QMW240" s="1"/>
      <c r="QMX240" s="1"/>
      <c r="QMY240" s="1"/>
      <c r="QMZ240" s="1"/>
      <c r="QNA240" s="1"/>
      <c r="QNB240" s="1"/>
      <c r="QNC240" s="1"/>
      <c r="QND240" s="1"/>
      <c r="QNE240" s="1"/>
      <c r="QNF240" s="1"/>
      <c r="QNG240" s="1"/>
      <c r="QNH240" s="1"/>
      <c r="QNI240" s="1"/>
      <c r="QNJ240" s="1"/>
      <c r="QNK240" s="1"/>
      <c r="QNL240" s="1"/>
      <c r="QNM240" s="1"/>
      <c r="QNN240" s="1"/>
      <c r="QNO240" s="1"/>
      <c r="QNP240" s="1"/>
      <c r="QNQ240" s="1"/>
      <c r="QNR240" s="1"/>
      <c r="QNS240" s="1"/>
      <c r="QNT240" s="1"/>
      <c r="QNU240" s="1"/>
      <c r="QNV240" s="1"/>
      <c r="QNW240" s="1"/>
      <c r="QNX240" s="1"/>
      <c r="QNY240" s="1"/>
      <c r="QNZ240" s="1"/>
      <c r="QOA240" s="1"/>
      <c r="QOB240" s="1"/>
      <c r="QOC240" s="1"/>
      <c r="QOD240" s="1"/>
      <c r="QOE240" s="1"/>
      <c r="QOF240" s="1"/>
      <c r="QOG240" s="1"/>
      <c r="QOH240" s="1"/>
      <c r="QOI240" s="1"/>
      <c r="QOJ240" s="1"/>
      <c r="QOK240" s="1"/>
      <c r="QOL240" s="1"/>
      <c r="QOM240" s="1"/>
      <c r="QON240" s="1"/>
      <c r="QOO240" s="1"/>
      <c r="QOP240" s="1"/>
      <c r="QOQ240" s="1"/>
      <c r="QOR240" s="1"/>
      <c r="QOS240" s="1"/>
      <c r="QOT240" s="1"/>
      <c r="QOU240" s="1"/>
      <c r="QOV240" s="1"/>
      <c r="QOW240" s="1"/>
      <c r="QOX240" s="1"/>
      <c r="QOY240" s="1"/>
      <c r="QOZ240" s="1"/>
      <c r="QPA240" s="1"/>
      <c r="QPB240" s="1"/>
      <c r="QPC240" s="1"/>
      <c r="QPD240" s="1"/>
      <c r="QPE240" s="1"/>
      <c r="QPF240" s="1"/>
      <c r="QPG240" s="1"/>
      <c r="QPH240" s="1"/>
      <c r="QPI240" s="1"/>
      <c r="QPJ240" s="1"/>
      <c r="QPK240" s="1"/>
      <c r="QPL240" s="1"/>
      <c r="QPM240" s="1"/>
      <c r="QPN240" s="1"/>
      <c r="QPO240" s="1"/>
      <c r="QPP240" s="1"/>
      <c r="QPQ240" s="1"/>
      <c r="QPR240" s="1"/>
      <c r="QPS240" s="1"/>
      <c r="QPT240" s="1"/>
      <c r="QPU240" s="1"/>
      <c r="QPV240" s="1"/>
      <c r="QPW240" s="1"/>
      <c r="QPX240" s="1"/>
      <c r="QPY240" s="1"/>
      <c r="QPZ240" s="1"/>
      <c r="QQA240" s="1"/>
      <c r="QQB240" s="1"/>
      <c r="QQC240" s="1"/>
      <c r="QQD240" s="1"/>
      <c r="QQE240" s="1"/>
      <c r="QQF240" s="1"/>
      <c r="QQG240" s="1"/>
      <c r="QQH240" s="1"/>
      <c r="QQI240" s="1"/>
      <c r="QQJ240" s="1"/>
      <c r="QQK240" s="1"/>
      <c r="QQL240" s="1"/>
      <c r="QQM240" s="1"/>
      <c r="QQN240" s="1"/>
      <c r="QQO240" s="1"/>
      <c r="QQP240" s="1"/>
      <c r="QQQ240" s="1"/>
      <c r="QQR240" s="1"/>
      <c r="QQS240" s="1"/>
      <c r="QQT240" s="1"/>
      <c r="QQU240" s="1"/>
      <c r="QQV240" s="1"/>
      <c r="QQW240" s="1"/>
      <c r="QQX240" s="1"/>
      <c r="QQY240" s="1"/>
      <c r="QQZ240" s="1"/>
      <c r="QRA240" s="1"/>
      <c r="QRB240" s="1"/>
      <c r="QRC240" s="1"/>
      <c r="QRD240" s="1"/>
      <c r="QRE240" s="1"/>
      <c r="QRF240" s="1"/>
      <c r="QRG240" s="1"/>
      <c r="QRH240" s="1"/>
      <c r="QRI240" s="1"/>
      <c r="QRJ240" s="1"/>
      <c r="QRK240" s="1"/>
      <c r="QRL240" s="1"/>
      <c r="QRM240" s="1"/>
      <c r="QRN240" s="1"/>
      <c r="QRO240" s="1"/>
      <c r="QRP240" s="1"/>
      <c r="QRQ240" s="1"/>
      <c r="QRR240" s="1"/>
      <c r="QRS240" s="1"/>
      <c r="QRT240" s="1"/>
      <c r="QRU240" s="1"/>
      <c r="QRV240" s="1"/>
      <c r="QRW240" s="1"/>
      <c r="QRX240" s="1"/>
      <c r="QRY240" s="1"/>
      <c r="QRZ240" s="1"/>
      <c r="QSA240" s="1"/>
      <c r="QSB240" s="1"/>
      <c r="QSC240" s="1"/>
      <c r="QSD240" s="1"/>
      <c r="QSE240" s="1"/>
      <c r="QSF240" s="1"/>
      <c r="QSG240" s="1"/>
      <c r="QSH240" s="1"/>
      <c r="QSI240" s="1"/>
      <c r="QSJ240" s="1"/>
      <c r="QSK240" s="1"/>
      <c r="QSL240" s="1"/>
      <c r="QSM240" s="1"/>
      <c r="QSN240" s="1"/>
      <c r="QSO240" s="1"/>
      <c r="QSP240" s="1"/>
      <c r="QSQ240" s="1"/>
      <c r="QSR240" s="1"/>
      <c r="QSS240" s="1"/>
      <c r="QST240" s="1"/>
      <c r="QSU240" s="1"/>
      <c r="QSV240" s="1"/>
      <c r="QSW240" s="1"/>
      <c r="QSX240" s="1"/>
      <c r="QSY240" s="1"/>
      <c r="QSZ240" s="1"/>
      <c r="QTA240" s="1"/>
      <c r="QTB240" s="1"/>
      <c r="QTC240" s="1"/>
      <c r="QTD240" s="1"/>
      <c r="QTE240" s="1"/>
      <c r="QTF240" s="1"/>
      <c r="QTG240" s="1"/>
      <c r="QTH240" s="1"/>
      <c r="QTI240" s="1"/>
      <c r="QTJ240" s="1"/>
      <c r="QTK240" s="1"/>
      <c r="QTL240" s="1"/>
      <c r="QTM240" s="1"/>
      <c r="QTN240" s="1"/>
      <c r="QTO240" s="1"/>
      <c r="QTP240" s="1"/>
      <c r="QTQ240" s="1"/>
      <c r="QTR240" s="1"/>
      <c r="QTS240" s="1"/>
      <c r="QTT240" s="1"/>
      <c r="QTU240" s="1"/>
      <c r="QTV240" s="1"/>
      <c r="QTW240" s="1"/>
      <c r="QTX240" s="1"/>
      <c r="QTY240" s="1"/>
      <c r="QTZ240" s="1"/>
      <c r="QUA240" s="1"/>
      <c r="QUB240" s="1"/>
      <c r="QUC240" s="1"/>
      <c r="QUD240" s="1"/>
      <c r="QUE240" s="1"/>
      <c r="QUF240" s="1"/>
      <c r="QUG240" s="1"/>
      <c r="QUH240" s="1"/>
      <c r="QUI240" s="1"/>
      <c r="QUJ240" s="1"/>
      <c r="QUK240" s="1"/>
      <c r="QUL240" s="1"/>
      <c r="QUM240" s="1"/>
      <c r="QUN240" s="1"/>
      <c r="QUO240" s="1"/>
      <c r="QUP240" s="1"/>
      <c r="QUQ240" s="1"/>
      <c r="QUR240" s="1"/>
      <c r="QUS240" s="1"/>
      <c r="QUT240" s="1"/>
      <c r="QUU240" s="1"/>
      <c r="QUV240" s="1"/>
      <c r="QUW240" s="1"/>
      <c r="QUX240" s="1"/>
      <c r="QUY240" s="1"/>
      <c r="QUZ240" s="1"/>
      <c r="QVA240" s="1"/>
      <c r="QVB240" s="1"/>
      <c r="QVC240" s="1"/>
      <c r="QVD240" s="1"/>
      <c r="QVE240" s="1"/>
      <c r="QVF240" s="1"/>
      <c r="QVG240" s="1"/>
      <c r="QVH240" s="1"/>
      <c r="QVI240" s="1"/>
      <c r="QVJ240" s="1"/>
      <c r="QVK240" s="1"/>
      <c r="QVL240" s="1"/>
      <c r="QVM240" s="1"/>
      <c r="QVN240" s="1"/>
      <c r="QVO240" s="1"/>
      <c r="QVP240" s="1"/>
      <c r="QVQ240" s="1"/>
      <c r="QVR240" s="1"/>
      <c r="QVS240" s="1"/>
      <c r="QVT240" s="1"/>
      <c r="QVU240" s="1"/>
      <c r="QVV240" s="1"/>
      <c r="QVW240" s="1"/>
      <c r="QVX240" s="1"/>
      <c r="QVY240" s="1"/>
      <c r="QVZ240" s="1"/>
      <c r="QWA240" s="1"/>
      <c r="QWB240" s="1"/>
      <c r="QWC240" s="1"/>
      <c r="QWD240" s="1"/>
      <c r="QWE240" s="1"/>
      <c r="QWF240" s="1"/>
      <c r="QWG240" s="1"/>
      <c r="QWH240" s="1"/>
      <c r="QWI240" s="1"/>
      <c r="QWJ240" s="1"/>
      <c r="QWK240" s="1"/>
      <c r="QWL240" s="1"/>
      <c r="QWM240" s="1"/>
      <c r="QWN240" s="1"/>
      <c r="QWO240" s="1"/>
      <c r="QWP240" s="1"/>
      <c r="QWQ240" s="1"/>
      <c r="QWR240" s="1"/>
      <c r="QWS240" s="1"/>
      <c r="QWT240" s="1"/>
      <c r="QWU240" s="1"/>
      <c r="QWV240" s="1"/>
      <c r="QWW240" s="1"/>
      <c r="QWX240" s="1"/>
      <c r="QWY240" s="1"/>
      <c r="QWZ240" s="1"/>
      <c r="QXA240" s="1"/>
      <c r="QXB240" s="1"/>
      <c r="QXC240" s="1"/>
      <c r="QXD240" s="1"/>
      <c r="QXE240" s="1"/>
      <c r="QXF240" s="1"/>
      <c r="QXG240" s="1"/>
      <c r="QXH240" s="1"/>
      <c r="QXI240" s="1"/>
      <c r="QXJ240" s="1"/>
      <c r="QXK240" s="1"/>
      <c r="QXL240" s="1"/>
      <c r="QXM240" s="1"/>
      <c r="QXN240" s="1"/>
      <c r="QXO240" s="1"/>
      <c r="QXP240" s="1"/>
      <c r="QXQ240" s="1"/>
      <c r="QXR240" s="1"/>
      <c r="QXS240" s="1"/>
      <c r="QXT240" s="1"/>
      <c r="QXU240" s="1"/>
      <c r="QXV240" s="1"/>
      <c r="QXW240" s="1"/>
      <c r="QXX240" s="1"/>
      <c r="QXY240" s="1"/>
      <c r="QXZ240" s="1"/>
      <c r="QYA240" s="1"/>
      <c r="QYB240" s="1"/>
      <c r="QYC240" s="1"/>
      <c r="QYD240" s="1"/>
      <c r="QYE240" s="1"/>
      <c r="QYF240" s="1"/>
      <c r="QYG240" s="1"/>
      <c r="QYH240" s="1"/>
      <c r="QYI240" s="1"/>
      <c r="QYJ240" s="1"/>
      <c r="QYK240" s="1"/>
      <c r="QYL240" s="1"/>
      <c r="QYM240" s="1"/>
      <c r="QYN240" s="1"/>
      <c r="QYO240" s="1"/>
      <c r="QYP240" s="1"/>
      <c r="QYQ240" s="1"/>
      <c r="QYR240" s="1"/>
      <c r="QYS240" s="1"/>
      <c r="QYT240" s="1"/>
      <c r="QYU240" s="1"/>
      <c r="QYV240" s="1"/>
      <c r="QYW240" s="1"/>
      <c r="QYX240" s="1"/>
      <c r="QYY240" s="1"/>
      <c r="QYZ240" s="1"/>
      <c r="QZA240" s="1"/>
      <c r="QZB240" s="1"/>
      <c r="QZC240" s="1"/>
      <c r="QZD240" s="1"/>
      <c r="QZE240" s="1"/>
      <c r="QZF240" s="1"/>
      <c r="QZG240" s="1"/>
      <c r="QZH240" s="1"/>
      <c r="QZI240" s="1"/>
      <c r="QZJ240" s="1"/>
      <c r="QZK240" s="1"/>
      <c r="QZL240" s="1"/>
      <c r="QZM240" s="1"/>
      <c r="QZN240" s="1"/>
      <c r="QZO240" s="1"/>
      <c r="QZP240" s="1"/>
      <c r="QZQ240" s="1"/>
      <c r="QZR240" s="1"/>
      <c r="QZS240" s="1"/>
      <c r="QZT240" s="1"/>
      <c r="QZU240" s="1"/>
      <c r="QZV240" s="1"/>
      <c r="QZW240" s="1"/>
      <c r="QZX240" s="1"/>
      <c r="QZY240" s="1"/>
      <c r="QZZ240" s="1"/>
      <c r="RAA240" s="1"/>
      <c r="RAB240" s="1"/>
      <c r="RAC240" s="1"/>
      <c r="RAD240" s="1"/>
      <c r="RAE240" s="1"/>
      <c r="RAF240" s="1"/>
      <c r="RAG240" s="1"/>
      <c r="RAH240" s="1"/>
      <c r="RAI240" s="1"/>
      <c r="RAJ240" s="1"/>
      <c r="RAK240" s="1"/>
      <c r="RAL240" s="1"/>
      <c r="RAM240" s="1"/>
      <c r="RAN240" s="1"/>
      <c r="RAO240" s="1"/>
      <c r="RAP240" s="1"/>
      <c r="RAQ240" s="1"/>
      <c r="RAR240" s="1"/>
      <c r="RAS240" s="1"/>
      <c r="RAT240" s="1"/>
      <c r="RAU240" s="1"/>
      <c r="RAV240" s="1"/>
      <c r="RAW240" s="1"/>
      <c r="RAX240" s="1"/>
      <c r="RAY240" s="1"/>
      <c r="RAZ240" s="1"/>
      <c r="RBA240" s="1"/>
      <c r="RBB240" s="1"/>
      <c r="RBC240" s="1"/>
      <c r="RBD240" s="1"/>
      <c r="RBE240" s="1"/>
      <c r="RBF240" s="1"/>
      <c r="RBG240" s="1"/>
      <c r="RBH240" s="1"/>
      <c r="RBI240" s="1"/>
      <c r="RBJ240" s="1"/>
      <c r="RBK240" s="1"/>
      <c r="RBL240" s="1"/>
      <c r="RBM240" s="1"/>
      <c r="RBN240" s="1"/>
      <c r="RBO240" s="1"/>
      <c r="RBP240" s="1"/>
      <c r="RBQ240" s="1"/>
      <c r="RBR240" s="1"/>
      <c r="RBS240" s="1"/>
      <c r="RBT240" s="1"/>
      <c r="RBU240" s="1"/>
      <c r="RBV240" s="1"/>
      <c r="RBW240" s="1"/>
      <c r="RBX240" s="1"/>
      <c r="RBY240" s="1"/>
      <c r="RBZ240" s="1"/>
      <c r="RCA240" s="1"/>
      <c r="RCB240" s="1"/>
      <c r="RCC240" s="1"/>
      <c r="RCD240" s="1"/>
      <c r="RCE240" s="1"/>
      <c r="RCF240" s="1"/>
      <c r="RCG240" s="1"/>
      <c r="RCH240" s="1"/>
      <c r="RCI240" s="1"/>
      <c r="RCJ240" s="1"/>
      <c r="RCK240" s="1"/>
      <c r="RCL240" s="1"/>
      <c r="RCM240" s="1"/>
      <c r="RCN240" s="1"/>
      <c r="RCO240" s="1"/>
      <c r="RCP240" s="1"/>
      <c r="RCQ240" s="1"/>
      <c r="RCR240" s="1"/>
      <c r="RCS240" s="1"/>
      <c r="RCT240" s="1"/>
      <c r="RCU240" s="1"/>
      <c r="RCV240" s="1"/>
      <c r="RCW240" s="1"/>
      <c r="RCX240" s="1"/>
      <c r="RCY240" s="1"/>
      <c r="RCZ240" s="1"/>
      <c r="RDA240" s="1"/>
      <c r="RDB240" s="1"/>
      <c r="RDC240" s="1"/>
      <c r="RDD240" s="1"/>
      <c r="RDE240" s="1"/>
      <c r="RDF240" s="1"/>
      <c r="RDG240" s="1"/>
      <c r="RDH240" s="1"/>
      <c r="RDI240" s="1"/>
      <c r="RDJ240" s="1"/>
      <c r="RDK240" s="1"/>
      <c r="RDL240" s="1"/>
      <c r="RDM240" s="1"/>
      <c r="RDN240" s="1"/>
      <c r="RDO240" s="1"/>
      <c r="RDP240" s="1"/>
      <c r="RDQ240" s="1"/>
      <c r="RDR240" s="1"/>
      <c r="RDS240" s="1"/>
      <c r="RDT240" s="1"/>
      <c r="RDU240" s="1"/>
      <c r="RDV240" s="1"/>
      <c r="RDW240" s="1"/>
      <c r="RDX240" s="1"/>
      <c r="RDY240" s="1"/>
      <c r="RDZ240" s="1"/>
      <c r="REA240" s="1"/>
      <c r="REB240" s="1"/>
      <c r="REC240" s="1"/>
      <c r="RED240" s="1"/>
      <c r="REE240" s="1"/>
      <c r="REF240" s="1"/>
      <c r="REG240" s="1"/>
      <c r="REH240" s="1"/>
      <c r="REI240" s="1"/>
      <c r="REJ240" s="1"/>
      <c r="REK240" s="1"/>
      <c r="REL240" s="1"/>
      <c r="REM240" s="1"/>
      <c r="REN240" s="1"/>
      <c r="REO240" s="1"/>
      <c r="REP240" s="1"/>
      <c r="REQ240" s="1"/>
      <c r="RER240" s="1"/>
      <c r="RES240" s="1"/>
      <c r="RET240" s="1"/>
      <c r="REU240" s="1"/>
      <c r="REV240" s="1"/>
      <c r="REW240" s="1"/>
      <c r="REX240" s="1"/>
      <c r="REY240" s="1"/>
      <c r="REZ240" s="1"/>
      <c r="RFA240" s="1"/>
      <c r="RFB240" s="1"/>
      <c r="RFC240" s="1"/>
      <c r="RFD240" s="1"/>
      <c r="RFE240" s="1"/>
      <c r="RFF240" s="1"/>
      <c r="RFG240" s="1"/>
      <c r="RFH240" s="1"/>
      <c r="RFI240" s="1"/>
      <c r="RFJ240" s="1"/>
      <c r="RFK240" s="1"/>
      <c r="RFL240" s="1"/>
      <c r="RFM240" s="1"/>
      <c r="RFN240" s="1"/>
      <c r="RFO240" s="1"/>
      <c r="RFP240" s="1"/>
      <c r="RFQ240" s="1"/>
      <c r="RFR240" s="1"/>
      <c r="RFS240" s="1"/>
      <c r="RFT240" s="1"/>
      <c r="RFU240" s="1"/>
      <c r="RFV240" s="1"/>
      <c r="RFW240" s="1"/>
      <c r="RFX240" s="1"/>
      <c r="RFY240" s="1"/>
      <c r="RFZ240" s="1"/>
      <c r="RGA240" s="1"/>
      <c r="RGB240" s="1"/>
      <c r="RGC240" s="1"/>
      <c r="RGD240" s="1"/>
      <c r="RGE240" s="1"/>
      <c r="RGF240" s="1"/>
      <c r="RGG240" s="1"/>
      <c r="RGH240" s="1"/>
      <c r="RGI240" s="1"/>
      <c r="RGJ240" s="1"/>
      <c r="RGK240" s="1"/>
      <c r="RGL240" s="1"/>
      <c r="RGM240" s="1"/>
      <c r="RGN240" s="1"/>
      <c r="RGO240" s="1"/>
      <c r="RGP240" s="1"/>
      <c r="RGQ240" s="1"/>
      <c r="RGR240" s="1"/>
      <c r="RGS240" s="1"/>
      <c r="RGT240" s="1"/>
      <c r="RGU240" s="1"/>
      <c r="RGV240" s="1"/>
      <c r="RGW240" s="1"/>
      <c r="RGX240" s="1"/>
      <c r="RGY240" s="1"/>
      <c r="RGZ240" s="1"/>
      <c r="RHA240" s="1"/>
      <c r="RHB240" s="1"/>
      <c r="RHC240" s="1"/>
      <c r="RHD240" s="1"/>
      <c r="RHE240" s="1"/>
      <c r="RHF240" s="1"/>
      <c r="RHG240" s="1"/>
      <c r="RHH240" s="1"/>
      <c r="RHI240" s="1"/>
      <c r="RHJ240" s="1"/>
      <c r="RHK240" s="1"/>
      <c r="RHL240" s="1"/>
      <c r="RHM240" s="1"/>
      <c r="RHN240" s="1"/>
      <c r="RHO240" s="1"/>
      <c r="RHP240" s="1"/>
      <c r="RHQ240" s="1"/>
      <c r="RHR240" s="1"/>
      <c r="RHS240" s="1"/>
      <c r="RHT240" s="1"/>
      <c r="RHU240" s="1"/>
      <c r="RHV240" s="1"/>
      <c r="RHW240" s="1"/>
      <c r="RHX240" s="1"/>
      <c r="RHY240" s="1"/>
      <c r="RHZ240" s="1"/>
      <c r="RIA240" s="1"/>
      <c r="RIB240" s="1"/>
      <c r="RIC240" s="1"/>
      <c r="RID240" s="1"/>
      <c r="RIE240" s="1"/>
      <c r="RIF240" s="1"/>
      <c r="RIG240" s="1"/>
      <c r="RIH240" s="1"/>
      <c r="RII240" s="1"/>
      <c r="RIJ240" s="1"/>
      <c r="RIK240" s="1"/>
      <c r="RIL240" s="1"/>
      <c r="RIM240" s="1"/>
      <c r="RIN240" s="1"/>
      <c r="RIO240" s="1"/>
      <c r="RIP240" s="1"/>
      <c r="RIQ240" s="1"/>
      <c r="RIR240" s="1"/>
      <c r="RIS240" s="1"/>
      <c r="RIT240" s="1"/>
      <c r="RIU240" s="1"/>
      <c r="RIV240" s="1"/>
      <c r="RIW240" s="1"/>
      <c r="RIX240" s="1"/>
      <c r="RIY240" s="1"/>
      <c r="RIZ240" s="1"/>
      <c r="RJA240" s="1"/>
      <c r="RJB240" s="1"/>
      <c r="RJC240" s="1"/>
      <c r="RJD240" s="1"/>
      <c r="RJE240" s="1"/>
      <c r="RJF240" s="1"/>
      <c r="RJG240" s="1"/>
      <c r="RJH240" s="1"/>
      <c r="RJI240" s="1"/>
      <c r="RJJ240" s="1"/>
      <c r="RJK240" s="1"/>
      <c r="RJL240" s="1"/>
      <c r="RJM240" s="1"/>
      <c r="RJN240" s="1"/>
      <c r="RJO240" s="1"/>
      <c r="RJP240" s="1"/>
      <c r="RJQ240" s="1"/>
      <c r="RJR240" s="1"/>
      <c r="RJS240" s="1"/>
      <c r="RJT240" s="1"/>
      <c r="RJU240" s="1"/>
      <c r="RJV240" s="1"/>
      <c r="RJW240" s="1"/>
      <c r="RJX240" s="1"/>
      <c r="RJY240" s="1"/>
      <c r="RJZ240" s="1"/>
      <c r="RKA240" s="1"/>
      <c r="RKB240" s="1"/>
      <c r="RKC240" s="1"/>
      <c r="RKD240" s="1"/>
      <c r="RKE240" s="1"/>
      <c r="RKF240" s="1"/>
      <c r="RKG240" s="1"/>
      <c r="RKH240" s="1"/>
      <c r="RKI240" s="1"/>
      <c r="RKJ240" s="1"/>
      <c r="RKK240" s="1"/>
      <c r="RKL240" s="1"/>
      <c r="RKM240" s="1"/>
      <c r="RKN240" s="1"/>
      <c r="RKO240" s="1"/>
      <c r="RKP240" s="1"/>
      <c r="RKQ240" s="1"/>
      <c r="RKR240" s="1"/>
      <c r="RKS240" s="1"/>
      <c r="RKT240" s="1"/>
      <c r="RKU240" s="1"/>
      <c r="RKV240" s="1"/>
      <c r="RKW240" s="1"/>
      <c r="RKX240" s="1"/>
      <c r="RKY240" s="1"/>
      <c r="RKZ240" s="1"/>
      <c r="RLA240" s="1"/>
      <c r="RLB240" s="1"/>
      <c r="RLC240" s="1"/>
      <c r="RLD240" s="1"/>
      <c r="RLE240" s="1"/>
      <c r="RLF240" s="1"/>
      <c r="RLG240" s="1"/>
      <c r="RLH240" s="1"/>
      <c r="RLI240" s="1"/>
      <c r="RLJ240" s="1"/>
      <c r="RLK240" s="1"/>
      <c r="RLL240" s="1"/>
      <c r="RLM240" s="1"/>
      <c r="RLN240" s="1"/>
      <c r="RLO240" s="1"/>
      <c r="RLP240" s="1"/>
      <c r="RLQ240" s="1"/>
      <c r="RLR240" s="1"/>
      <c r="RLS240" s="1"/>
      <c r="RLT240" s="1"/>
      <c r="RLU240" s="1"/>
      <c r="RLV240" s="1"/>
      <c r="RLW240" s="1"/>
      <c r="RLX240" s="1"/>
      <c r="RLY240" s="1"/>
      <c r="RLZ240" s="1"/>
      <c r="RMA240" s="1"/>
      <c r="RMB240" s="1"/>
      <c r="RMC240" s="1"/>
      <c r="RMD240" s="1"/>
      <c r="RME240" s="1"/>
      <c r="RMF240" s="1"/>
      <c r="RMG240" s="1"/>
      <c r="RMH240" s="1"/>
      <c r="RMI240" s="1"/>
      <c r="RMJ240" s="1"/>
      <c r="RMK240" s="1"/>
      <c r="RML240" s="1"/>
      <c r="RMM240" s="1"/>
      <c r="RMN240" s="1"/>
      <c r="RMO240" s="1"/>
      <c r="RMP240" s="1"/>
      <c r="RMQ240" s="1"/>
      <c r="RMR240" s="1"/>
      <c r="RMS240" s="1"/>
      <c r="RMT240" s="1"/>
      <c r="RMU240" s="1"/>
      <c r="RMV240" s="1"/>
      <c r="RMW240" s="1"/>
      <c r="RMX240" s="1"/>
      <c r="RMY240" s="1"/>
      <c r="RMZ240" s="1"/>
      <c r="RNA240" s="1"/>
      <c r="RNB240" s="1"/>
      <c r="RNC240" s="1"/>
      <c r="RND240" s="1"/>
      <c r="RNE240" s="1"/>
      <c r="RNF240" s="1"/>
      <c r="RNG240" s="1"/>
      <c r="RNH240" s="1"/>
      <c r="RNI240" s="1"/>
      <c r="RNJ240" s="1"/>
      <c r="RNK240" s="1"/>
      <c r="RNL240" s="1"/>
      <c r="RNM240" s="1"/>
      <c r="RNN240" s="1"/>
      <c r="RNO240" s="1"/>
      <c r="RNP240" s="1"/>
      <c r="RNQ240" s="1"/>
      <c r="RNR240" s="1"/>
      <c r="RNS240" s="1"/>
      <c r="RNT240" s="1"/>
      <c r="RNU240" s="1"/>
      <c r="RNV240" s="1"/>
      <c r="RNW240" s="1"/>
      <c r="RNX240" s="1"/>
      <c r="RNY240" s="1"/>
      <c r="RNZ240" s="1"/>
      <c r="ROA240" s="1"/>
      <c r="ROB240" s="1"/>
      <c r="ROC240" s="1"/>
      <c r="ROD240" s="1"/>
      <c r="ROE240" s="1"/>
      <c r="ROF240" s="1"/>
      <c r="ROG240" s="1"/>
      <c r="ROH240" s="1"/>
      <c r="ROI240" s="1"/>
      <c r="ROJ240" s="1"/>
      <c r="ROK240" s="1"/>
      <c r="ROL240" s="1"/>
      <c r="ROM240" s="1"/>
      <c r="RON240" s="1"/>
      <c r="ROO240" s="1"/>
      <c r="ROP240" s="1"/>
      <c r="ROQ240" s="1"/>
      <c r="ROR240" s="1"/>
      <c r="ROS240" s="1"/>
      <c r="ROT240" s="1"/>
      <c r="ROU240" s="1"/>
      <c r="ROV240" s="1"/>
      <c r="ROW240" s="1"/>
      <c r="ROX240" s="1"/>
      <c r="ROY240" s="1"/>
      <c r="ROZ240" s="1"/>
      <c r="RPA240" s="1"/>
      <c r="RPB240" s="1"/>
      <c r="RPC240" s="1"/>
      <c r="RPD240" s="1"/>
      <c r="RPE240" s="1"/>
      <c r="RPF240" s="1"/>
      <c r="RPG240" s="1"/>
      <c r="RPH240" s="1"/>
      <c r="RPI240" s="1"/>
      <c r="RPJ240" s="1"/>
      <c r="RPK240" s="1"/>
      <c r="RPL240" s="1"/>
      <c r="RPM240" s="1"/>
      <c r="RPN240" s="1"/>
      <c r="RPO240" s="1"/>
      <c r="RPP240" s="1"/>
      <c r="RPQ240" s="1"/>
      <c r="RPR240" s="1"/>
      <c r="RPS240" s="1"/>
      <c r="RPT240" s="1"/>
      <c r="RPU240" s="1"/>
      <c r="RPV240" s="1"/>
      <c r="RPW240" s="1"/>
      <c r="RPX240" s="1"/>
      <c r="RPY240" s="1"/>
      <c r="RPZ240" s="1"/>
      <c r="RQA240" s="1"/>
      <c r="RQB240" s="1"/>
      <c r="RQC240" s="1"/>
      <c r="RQD240" s="1"/>
      <c r="RQE240" s="1"/>
      <c r="RQF240" s="1"/>
      <c r="RQG240" s="1"/>
      <c r="RQH240" s="1"/>
      <c r="RQI240" s="1"/>
      <c r="RQJ240" s="1"/>
      <c r="RQK240" s="1"/>
      <c r="RQL240" s="1"/>
      <c r="RQM240" s="1"/>
      <c r="RQN240" s="1"/>
      <c r="RQO240" s="1"/>
      <c r="RQP240" s="1"/>
      <c r="RQQ240" s="1"/>
      <c r="RQR240" s="1"/>
      <c r="RQS240" s="1"/>
      <c r="RQT240" s="1"/>
      <c r="RQU240" s="1"/>
      <c r="RQV240" s="1"/>
      <c r="RQW240" s="1"/>
      <c r="RQX240" s="1"/>
      <c r="RQY240" s="1"/>
      <c r="RQZ240" s="1"/>
      <c r="RRA240" s="1"/>
      <c r="RRB240" s="1"/>
      <c r="RRC240" s="1"/>
      <c r="RRD240" s="1"/>
      <c r="RRE240" s="1"/>
      <c r="RRF240" s="1"/>
      <c r="RRG240" s="1"/>
      <c r="RRH240" s="1"/>
      <c r="RRI240" s="1"/>
      <c r="RRJ240" s="1"/>
      <c r="RRK240" s="1"/>
      <c r="RRL240" s="1"/>
      <c r="RRM240" s="1"/>
      <c r="RRN240" s="1"/>
      <c r="RRO240" s="1"/>
      <c r="RRP240" s="1"/>
      <c r="RRQ240" s="1"/>
      <c r="RRR240" s="1"/>
      <c r="RRS240" s="1"/>
      <c r="RRT240" s="1"/>
      <c r="RRU240" s="1"/>
      <c r="RRV240" s="1"/>
      <c r="RRW240" s="1"/>
      <c r="RRX240" s="1"/>
      <c r="RRY240" s="1"/>
      <c r="RRZ240" s="1"/>
      <c r="RSA240" s="1"/>
      <c r="RSB240" s="1"/>
      <c r="RSC240" s="1"/>
      <c r="RSD240" s="1"/>
      <c r="RSE240" s="1"/>
      <c r="RSF240" s="1"/>
      <c r="RSG240" s="1"/>
      <c r="RSH240" s="1"/>
      <c r="RSI240" s="1"/>
      <c r="RSJ240" s="1"/>
      <c r="RSK240" s="1"/>
      <c r="RSL240" s="1"/>
      <c r="RSM240" s="1"/>
      <c r="RSN240" s="1"/>
      <c r="RSO240" s="1"/>
      <c r="RSP240" s="1"/>
      <c r="RSQ240" s="1"/>
      <c r="RSR240" s="1"/>
      <c r="RSS240" s="1"/>
      <c r="RST240" s="1"/>
      <c r="RSU240" s="1"/>
      <c r="RSV240" s="1"/>
      <c r="RSW240" s="1"/>
      <c r="RSX240" s="1"/>
      <c r="RSY240" s="1"/>
      <c r="RSZ240" s="1"/>
      <c r="RTA240" s="1"/>
      <c r="RTB240" s="1"/>
      <c r="RTC240" s="1"/>
      <c r="RTD240" s="1"/>
      <c r="RTE240" s="1"/>
      <c r="RTF240" s="1"/>
      <c r="RTG240" s="1"/>
      <c r="RTH240" s="1"/>
      <c r="RTI240" s="1"/>
      <c r="RTJ240" s="1"/>
      <c r="RTK240" s="1"/>
      <c r="RTL240" s="1"/>
      <c r="RTM240" s="1"/>
      <c r="RTN240" s="1"/>
      <c r="RTO240" s="1"/>
      <c r="RTP240" s="1"/>
      <c r="RTQ240" s="1"/>
      <c r="RTR240" s="1"/>
      <c r="RTS240" s="1"/>
      <c r="RTT240" s="1"/>
      <c r="RTU240" s="1"/>
      <c r="RTV240" s="1"/>
      <c r="RTW240" s="1"/>
      <c r="RTX240" s="1"/>
      <c r="RTY240" s="1"/>
      <c r="RTZ240" s="1"/>
      <c r="RUA240" s="1"/>
      <c r="RUB240" s="1"/>
      <c r="RUC240" s="1"/>
      <c r="RUD240" s="1"/>
      <c r="RUE240" s="1"/>
      <c r="RUF240" s="1"/>
      <c r="RUG240" s="1"/>
      <c r="RUH240" s="1"/>
      <c r="RUI240" s="1"/>
      <c r="RUJ240" s="1"/>
      <c r="RUK240" s="1"/>
      <c r="RUL240" s="1"/>
      <c r="RUM240" s="1"/>
      <c r="RUN240" s="1"/>
      <c r="RUO240" s="1"/>
      <c r="RUP240" s="1"/>
      <c r="RUQ240" s="1"/>
      <c r="RUR240" s="1"/>
      <c r="RUS240" s="1"/>
      <c r="RUT240" s="1"/>
      <c r="RUU240" s="1"/>
      <c r="RUV240" s="1"/>
      <c r="RUW240" s="1"/>
      <c r="RUX240" s="1"/>
      <c r="RUY240" s="1"/>
      <c r="RUZ240" s="1"/>
      <c r="RVA240" s="1"/>
      <c r="RVB240" s="1"/>
      <c r="RVC240" s="1"/>
      <c r="RVD240" s="1"/>
      <c r="RVE240" s="1"/>
      <c r="RVF240" s="1"/>
      <c r="RVG240" s="1"/>
      <c r="RVH240" s="1"/>
      <c r="RVI240" s="1"/>
      <c r="RVJ240" s="1"/>
      <c r="RVK240" s="1"/>
      <c r="RVL240" s="1"/>
      <c r="RVM240" s="1"/>
      <c r="RVN240" s="1"/>
      <c r="RVO240" s="1"/>
      <c r="RVP240" s="1"/>
      <c r="RVQ240" s="1"/>
      <c r="RVR240" s="1"/>
      <c r="RVS240" s="1"/>
      <c r="RVT240" s="1"/>
      <c r="RVU240" s="1"/>
      <c r="RVV240" s="1"/>
      <c r="RVW240" s="1"/>
      <c r="RVX240" s="1"/>
      <c r="RVY240" s="1"/>
      <c r="RVZ240" s="1"/>
      <c r="RWA240" s="1"/>
      <c r="RWB240" s="1"/>
      <c r="RWC240" s="1"/>
      <c r="RWD240" s="1"/>
      <c r="RWE240" s="1"/>
      <c r="RWF240" s="1"/>
      <c r="RWG240" s="1"/>
      <c r="RWH240" s="1"/>
      <c r="RWI240" s="1"/>
      <c r="RWJ240" s="1"/>
      <c r="RWK240" s="1"/>
      <c r="RWL240" s="1"/>
      <c r="RWM240" s="1"/>
      <c r="RWN240" s="1"/>
      <c r="RWO240" s="1"/>
      <c r="RWP240" s="1"/>
      <c r="RWQ240" s="1"/>
      <c r="RWR240" s="1"/>
      <c r="RWS240" s="1"/>
      <c r="RWT240" s="1"/>
      <c r="RWU240" s="1"/>
      <c r="RWV240" s="1"/>
      <c r="RWW240" s="1"/>
      <c r="RWX240" s="1"/>
      <c r="RWY240" s="1"/>
      <c r="RWZ240" s="1"/>
      <c r="RXA240" s="1"/>
      <c r="RXB240" s="1"/>
      <c r="RXC240" s="1"/>
      <c r="RXD240" s="1"/>
      <c r="RXE240" s="1"/>
      <c r="RXF240" s="1"/>
      <c r="RXG240" s="1"/>
      <c r="RXH240" s="1"/>
      <c r="RXI240" s="1"/>
      <c r="RXJ240" s="1"/>
      <c r="RXK240" s="1"/>
      <c r="RXL240" s="1"/>
      <c r="RXM240" s="1"/>
      <c r="RXN240" s="1"/>
      <c r="RXO240" s="1"/>
      <c r="RXP240" s="1"/>
      <c r="RXQ240" s="1"/>
      <c r="RXR240" s="1"/>
      <c r="RXS240" s="1"/>
      <c r="RXT240" s="1"/>
      <c r="RXU240" s="1"/>
      <c r="RXV240" s="1"/>
      <c r="RXW240" s="1"/>
      <c r="RXX240" s="1"/>
      <c r="RXY240" s="1"/>
      <c r="RXZ240" s="1"/>
      <c r="RYA240" s="1"/>
      <c r="RYB240" s="1"/>
      <c r="RYC240" s="1"/>
      <c r="RYD240" s="1"/>
      <c r="RYE240" s="1"/>
      <c r="RYF240" s="1"/>
      <c r="RYG240" s="1"/>
      <c r="RYH240" s="1"/>
      <c r="RYI240" s="1"/>
      <c r="RYJ240" s="1"/>
      <c r="RYK240" s="1"/>
      <c r="RYL240" s="1"/>
      <c r="RYM240" s="1"/>
      <c r="RYN240" s="1"/>
      <c r="RYO240" s="1"/>
      <c r="RYP240" s="1"/>
      <c r="RYQ240" s="1"/>
      <c r="RYR240" s="1"/>
      <c r="RYS240" s="1"/>
      <c r="RYT240" s="1"/>
      <c r="RYU240" s="1"/>
      <c r="RYV240" s="1"/>
      <c r="RYW240" s="1"/>
      <c r="RYX240" s="1"/>
      <c r="RYY240" s="1"/>
      <c r="RYZ240" s="1"/>
      <c r="RZA240" s="1"/>
      <c r="RZB240" s="1"/>
      <c r="RZC240" s="1"/>
      <c r="RZD240" s="1"/>
      <c r="RZE240" s="1"/>
      <c r="RZF240" s="1"/>
      <c r="RZG240" s="1"/>
      <c r="RZH240" s="1"/>
      <c r="RZI240" s="1"/>
      <c r="RZJ240" s="1"/>
      <c r="RZK240" s="1"/>
      <c r="RZL240" s="1"/>
      <c r="RZM240" s="1"/>
      <c r="RZN240" s="1"/>
      <c r="RZO240" s="1"/>
      <c r="RZP240" s="1"/>
      <c r="RZQ240" s="1"/>
      <c r="RZR240" s="1"/>
      <c r="RZS240" s="1"/>
      <c r="RZT240" s="1"/>
      <c r="RZU240" s="1"/>
      <c r="RZV240" s="1"/>
      <c r="RZW240" s="1"/>
      <c r="RZX240" s="1"/>
      <c r="RZY240" s="1"/>
      <c r="RZZ240" s="1"/>
      <c r="SAA240" s="1"/>
      <c r="SAB240" s="1"/>
      <c r="SAC240" s="1"/>
      <c r="SAD240" s="1"/>
      <c r="SAE240" s="1"/>
      <c r="SAF240" s="1"/>
      <c r="SAG240" s="1"/>
      <c r="SAH240" s="1"/>
      <c r="SAI240" s="1"/>
      <c r="SAJ240" s="1"/>
      <c r="SAK240" s="1"/>
      <c r="SAL240" s="1"/>
      <c r="SAM240" s="1"/>
      <c r="SAN240" s="1"/>
      <c r="SAO240" s="1"/>
      <c r="SAP240" s="1"/>
      <c r="SAQ240" s="1"/>
      <c r="SAR240" s="1"/>
      <c r="SAS240" s="1"/>
      <c r="SAT240" s="1"/>
      <c r="SAU240" s="1"/>
      <c r="SAV240" s="1"/>
      <c r="SAW240" s="1"/>
      <c r="SAX240" s="1"/>
      <c r="SAY240" s="1"/>
      <c r="SAZ240" s="1"/>
      <c r="SBA240" s="1"/>
      <c r="SBB240" s="1"/>
      <c r="SBC240" s="1"/>
      <c r="SBD240" s="1"/>
      <c r="SBE240" s="1"/>
      <c r="SBF240" s="1"/>
      <c r="SBG240" s="1"/>
      <c r="SBH240" s="1"/>
      <c r="SBI240" s="1"/>
      <c r="SBJ240" s="1"/>
      <c r="SBK240" s="1"/>
      <c r="SBL240" s="1"/>
      <c r="SBM240" s="1"/>
      <c r="SBN240" s="1"/>
      <c r="SBO240" s="1"/>
      <c r="SBP240" s="1"/>
      <c r="SBQ240" s="1"/>
      <c r="SBR240" s="1"/>
      <c r="SBS240" s="1"/>
      <c r="SBT240" s="1"/>
      <c r="SBU240" s="1"/>
      <c r="SBV240" s="1"/>
      <c r="SBW240" s="1"/>
      <c r="SBX240" s="1"/>
      <c r="SBY240" s="1"/>
      <c r="SBZ240" s="1"/>
      <c r="SCA240" s="1"/>
      <c r="SCB240" s="1"/>
      <c r="SCC240" s="1"/>
      <c r="SCD240" s="1"/>
      <c r="SCE240" s="1"/>
      <c r="SCF240" s="1"/>
      <c r="SCG240" s="1"/>
      <c r="SCH240" s="1"/>
      <c r="SCI240" s="1"/>
      <c r="SCJ240" s="1"/>
      <c r="SCK240" s="1"/>
      <c r="SCL240" s="1"/>
      <c r="SCM240" s="1"/>
      <c r="SCN240" s="1"/>
      <c r="SCO240" s="1"/>
      <c r="SCP240" s="1"/>
      <c r="SCQ240" s="1"/>
      <c r="SCR240" s="1"/>
      <c r="SCS240" s="1"/>
      <c r="SCT240" s="1"/>
      <c r="SCU240" s="1"/>
      <c r="SCV240" s="1"/>
      <c r="SCW240" s="1"/>
      <c r="SCX240" s="1"/>
      <c r="SCY240" s="1"/>
      <c r="SCZ240" s="1"/>
      <c r="SDA240" s="1"/>
      <c r="SDB240" s="1"/>
      <c r="SDC240" s="1"/>
      <c r="SDD240" s="1"/>
      <c r="SDE240" s="1"/>
      <c r="SDF240" s="1"/>
      <c r="SDG240" s="1"/>
      <c r="SDH240" s="1"/>
      <c r="SDI240" s="1"/>
      <c r="SDJ240" s="1"/>
      <c r="SDK240" s="1"/>
      <c r="SDL240" s="1"/>
      <c r="SDM240" s="1"/>
      <c r="SDN240" s="1"/>
      <c r="SDO240" s="1"/>
      <c r="SDP240" s="1"/>
      <c r="SDQ240" s="1"/>
      <c r="SDR240" s="1"/>
      <c r="SDS240" s="1"/>
      <c r="SDT240" s="1"/>
      <c r="SDU240" s="1"/>
      <c r="SDV240" s="1"/>
      <c r="SDW240" s="1"/>
      <c r="SDX240" s="1"/>
      <c r="SDY240" s="1"/>
      <c r="SDZ240" s="1"/>
      <c r="SEA240" s="1"/>
      <c r="SEB240" s="1"/>
      <c r="SEC240" s="1"/>
      <c r="SED240" s="1"/>
      <c r="SEE240" s="1"/>
      <c r="SEF240" s="1"/>
      <c r="SEG240" s="1"/>
      <c r="SEH240" s="1"/>
      <c r="SEI240" s="1"/>
      <c r="SEJ240" s="1"/>
      <c r="SEK240" s="1"/>
      <c r="SEL240" s="1"/>
      <c r="SEM240" s="1"/>
      <c r="SEN240" s="1"/>
      <c r="SEO240" s="1"/>
      <c r="SEP240" s="1"/>
      <c r="SEQ240" s="1"/>
      <c r="SER240" s="1"/>
      <c r="SES240" s="1"/>
      <c r="SET240" s="1"/>
      <c r="SEU240" s="1"/>
      <c r="SEV240" s="1"/>
      <c r="SEW240" s="1"/>
      <c r="SEX240" s="1"/>
      <c r="SEY240" s="1"/>
      <c r="SEZ240" s="1"/>
      <c r="SFA240" s="1"/>
      <c r="SFB240" s="1"/>
      <c r="SFC240" s="1"/>
      <c r="SFD240" s="1"/>
      <c r="SFE240" s="1"/>
      <c r="SFF240" s="1"/>
      <c r="SFG240" s="1"/>
      <c r="SFH240" s="1"/>
      <c r="SFI240" s="1"/>
      <c r="SFJ240" s="1"/>
      <c r="SFK240" s="1"/>
      <c r="SFL240" s="1"/>
      <c r="SFM240" s="1"/>
      <c r="SFN240" s="1"/>
      <c r="SFO240" s="1"/>
      <c r="SFP240" s="1"/>
      <c r="SFQ240" s="1"/>
      <c r="SFR240" s="1"/>
      <c r="SFS240" s="1"/>
      <c r="SFT240" s="1"/>
      <c r="SFU240" s="1"/>
      <c r="SFV240" s="1"/>
      <c r="SFW240" s="1"/>
      <c r="SFX240" s="1"/>
      <c r="SFY240" s="1"/>
      <c r="SFZ240" s="1"/>
      <c r="SGA240" s="1"/>
      <c r="SGB240" s="1"/>
      <c r="SGC240" s="1"/>
      <c r="SGD240" s="1"/>
      <c r="SGE240" s="1"/>
      <c r="SGF240" s="1"/>
      <c r="SGG240" s="1"/>
      <c r="SGH240" s="1"/>
      <c r="SGI240" s="1"/>
      <c r="SGJ240" s="1"/>
      <c r="SGK240" s="1"/>
      <c r="SGL240" s="1"/>
      <c r="SGM240" s="1"/>
      <c r="SGN240" s="1"/>
      <c r="SGO240" s="1"/>
      <c r="SGP240" s="1"/>
      <c r="SGQ240" s="1"/>
      <c r="SGR240" s="1"/>
      <c r="SGS240" s="1"/>
      <c r="SGT240" s="1"/>
      <c r="SGU240" s="1"/>
      <c r="SGV240" s="1"/>
      <c r="SGW240" s="1"/>
      <c r="SGX240" s="1"/>
      <c r="SGY240" s="1"/>
      <c r="SGZ240" s="1"/>
      <c r="SHA240" s="1"/>
      <c r="SHB240" s="1"/>
      <c r="SHC240" s="1"/>
      <c r="SHD240" s="1"/>
      <c r="SHE240" s="1"/>
      <c r="SHF240" s="1"/>
      <c r="SHG240" s="1"/>
      <c r="SHH240" s="1"/>
      <c r="SHI240" s="1"/>
      <c r="SHJ240" s="1"/>
      <c r="SHK240" s="1"/>
      <c r="SHL240" s="1"/>
      <c r="SHM240" s="1"/>
      <c r="SHN240" s="1"/>
      <c r="SHO240" s="1"/>
      <c r="SHP240" s="1"/>
      <c r="SHQ240" s="1"/>
      <c r="SHR240" s="1"/>
      <c r="SHS240" s="1"/>
      <c r="SHT240" s="1"/>
      <c r="SHU240" s="1"/>
      <c r="SHV240" s="1"/>
      <c r="SHW240" s="1"/>
      <c r="SHX240" s="1"/>
      <c r="SHY240" s="1"/>
      <c r="SHZ240" s="1"/>
      <c r="SIA240" s="1"/>
      <c r="SIB240" s="1"/>
      <c r="SIC240" s="1"/>
      <c r="SID240" s="1"/>
      <c r="SIE240" s="1"/>
      <c r="SIF240" s="1"/>
      <c r="SIG240" s="1"/>
      <c r="SIH240" s="1"/>
      <c r="SII240" s="1"/>
      <c r="SIJ240" s="1"/>
      <c r="SIK240" s="1"/>
      <c r="SIL240" s="1"/>
      <c r="SIM240" s="1"/>
      <c r="SIN240" s="1"/>
      <c r="SIO240" s="1"/>
      <c r="SIP240" s="1"/>
      <c r="SIQ240" s="1"/>
      <c r="SIR240" s="1"/>
      <c r="SIS240" s="1"/>
      <c r="SIT240" s="1"/>
      <c r="SIU240" s="1"/>
      <c r="SIV240" s="1"/>
      <c r="SIW240" s="1"/>
      <c r="SIX240" s="1"/>
      <c r="SIY240" s="1"/>
      <c r="SIZ240" s="1"/>
      <c r="SJA240" s="1"/>
      <c r="SJB240" s="1"/>
      <c r="SJC240" s="1"/>
      <c r="SJD240" s="1"/>
      <c r="SJE240" s="1"/>
      <c r="SJF240" s="1"/>
      <c r="SJG240" s="1"/>
      <c r="SJH240" s="1"/>
      <c r="SJI240" s="1"/>
      <c r="SJJ240" s="1"/>
      <c r="SJK240" s="1"/>
      <c r="SJL240" s="1"/>
      <c r="SJM240" s="1"/>
      <c r="SJN240" s="1"/>
      <c r="SJO240" s="1"/>
      <c r="SJP240" s="1"/>
      <c r="SJQ240" s="1"/>
      <c r="SJR240" s="1"/>
      <c r="SJS240" s="1"/>
      <c r="SJT240" s="1"/>
      <c r="SJU240" s="1"/>
      <c r="SJV240" s="1"/>
      <c r="SJW240" s="1"/>
      <c r="SJX240" s="1"/>
      <c r="SJY240" s="1"/>
      <c r="SJZ240" s="1"/>
      <c r="SKA240" s="1"/>
      <c r="SKB240" s="1"/>
      <c r="SKC240" s="1"/>
      <c r="SKD240" s="1"/>
      <c r="SKE240" s="1"/>
      <c r="SKF240" s="1"/>
      <c r="SKG240" s="1"/>
      <c r="SKH240" s="1"/>
      <c r="SKI240" s="1"/>
      <c r="SKJ240" s="1"/>
      <c r="SKK240" s="1"/>
      <c r="SKL240" s="1"/>
      <c r="SKM240" s="1"/>
      <c r="SKN240" s="1"/>
      <c r="SKO240" s="1"/>
      <c r="SKP240" s="1"/>
      <c r="SKQ240" s="1"/>
      <c r="SKR240" s="1"/>
      <c r="SKS240" s="1"/>
      <c r="SKT240" s="1"/>
      <c r="SKU240" s="1"/>
      <c r="SKV240" s="1"/>
      <c r="SKW240" s="1"/>
      <c r="SKX240" s="1"/>
      <c r="SKY240" s="1"/>
      <c r="SKZ240" s="1"/>
      <c r="SLA240" s="1"/>
      <c r="SLB240" s="1"/>
      <c r="SLC240" s="1"/>
      <c r="SLD240" s="1"/>
      <c r="SLE240" s="1"/>
      <c r="SLF240" s="1"/>
      <c r="SLG240" s="1"/>
      <c r="SLH240" s="1"/>
      <c r="SLI240" s="1"/>
      <c r="SLJ240" s="1"/>
      <c r="SLK240" s="1"/>
      <c r="SLL240" s="1"/>
      <c r="SLM240" s="1"/>
      <c r="SLN240" s="1"/>
      <c r="SLO240" s="1"/>
      <c r="SLP240" s="1"/>
      <c r="SLQ240" s="1"/>
      <c r="SLR240" s="1"/>
      <c r="SLS240" s="1"/>
      <c r="SLT240" s="1"/>
      <c r="SLU240" s="1"/>
      <c r="SLV240" s="1"/>
      <c r="SLW240" s="1"/>
      <c r="SLX240" s="1"/>
      <c r="SLY240" s="1"/>
      <c r="SLZ240" s="1"/>
      <c r="SMA240" s="1"/>
      <c r="SMB240" s="1"/>
      <c r="SMC240" s="1"/>
      <c r="SMD240" s="1"/>
      <c r="SME240" s="1"/>
      <c r="SMF240" s="1"/>
      <c r="SMG240" s="1"/>
      <c r="SMH240" s="1"/>
      <c r="SMI240" s="1"/>
      <c r="SMJ240" s="1"/>
      <c r="SMK240" s="1"/>
      <c r="SML240" s="1"/>
      <c r="SMM240" s="1"/>
      <c r="SMN240" s="1"/>
      <c r="SMO240" s="1"/>
      <c r="SMP240" s="1"/>
      <c r="SMQ240" s="1"/>
      <c r="SMR240" s="1"/>
      <c r="SMS240" s="1"/>
      <c r="SMT240" s="1"/>
      <c r="SMU240" s="1"/>
      <c r="SMV240" s="1"/>
      <c r="SMW240" s="1"/>
      <c r="SMX240" s="1"/>
      <c r="SMY240" s="1"/>
      <c r="SMZ240" s="1"/>
      <c r="SNA240" s="1"/>
      <c r="SNB240" s="1"/>
      <c r="SNC240" s="1"/>
      <c r="SND240" s="1"/>
      <c r="SNE240" s="1"/>
      <c r="SNF240" s="1"/>
      <c r="SNG240" s="1"/>
      <c r="SNH240" s="1"/>
      <c r="SNI240" s="1"/>
      <c r="SNJ240" s="1"/>
      <c r="SNK240" s="1"/>
      <c r="SNL240" s="1"/>
      <c r="SNM240" s="1"/>
      <c r="SNN240" s="1"/>
      <c r="SNO240" s="1"/>
      <c r="SNP240" s="1"/>
      <c r="SNQ240" s="1"/>
      <c r="SNR240" s="1"/>
      <c r="SNS240" s="1"/>
      <c r="SNT240" s="1"/>
      <c r="SNU240" s="1"/>
      <c r="SNV240" s="1"/>
      <c r="SNW240" s="1"/>
      <c r="SNX240" s="1"/>
      <c r="SNY240" s="1"/>
      <c r="SNZ240" s="1"/>
      <c r="SOA240" s="1"/>
      <c r="SOB240" s="1"/>
      <c r="SOC240" s="1"/>
      <c r="SOD240" s="1"/>
      <c r="SOE240" s="1"/>
      <c r="SOF240" s="1"/>
      <c r="SOG240" s="1"/>
      <c r="SOH240" s="1"/>
      <c r="SOI240" s="1"/>
      <c r="SOJ240" s="1"/>
      <c r="SOK240" s="1"/>
      <c r="SOL240" s="1"/>
      <c r="SOM240" s="1"/>
      <c r="SON240" s="1"/>
      <c r="SOO240" s="1"/>
      <c r="SOP240" s="1"/>
      <c r="SOQ240" s="1"/>
      <c r="SOR240" s="1"/>
      <c r="SOS240" s="1"/>
      <c r="SOT240" s="1"/>
      <c r="SOU240" s="1"/>
      <c r="SOV240" s="1"/>
      <c r="SOW240" s="1"/>
      <c r="SOX240" s="1"/>
      <c r="SOY240" s="1"/>
      <c r="SOZ240" s="1"/>
      <c r="SPA240" s="1"/>
      <c r="SPB240" s="1"/>
      <c r="SPC240" s="1"/>
      <c r="SPD240" s="1"/>
      <c r="SPE240" s="1"/>
      <c r="SPF240" s="1"/>
      <c r="SPG240" s="1"/>
      <c r="SPH240" s="1"/>
      <c r="SPI240" s="1"/>
      <c r="SPJ240" s="1"/>
      <c r="SPK240" s="1"/>
      <c r="SPL240" s="1"/>
      <c r="SPM240" s="1"/>
      <c r="SPN240" s="1"/>
      <c r="SPO240" s="1"/>
      <c r="SPP240" s="1"/>
      <c r="SPQ240" s="1"/>
      <c r="SPR240" s="1"/>
      <c r="SPS240" s="1"/>
      <c r="SPT240" s="1"/>
      <c r="SPU240" s="1"/>
      <c r="SPV240" s="1"/>
      <c r="SPW240" s="1"/>
      <c r="SPX240" s="1"/>
      <c r="SPY240" s="1"/>
      <c r="SPZ240" s="1"/>
      <c r="SQA240" s="1"/>
      <c r="SQB240" s="1"/>
      <c r="SQC240" s="1"/>
      <c r="SQD240" s="1"/>
      <c r="SQE240" s="1"/>
      <c r="SQF240" s="1"/>
      <c r="SQG240" s="1"/>
      <c r="SQH240" s="1"/>
      <c r="SQI240" s="1"/>
      <c r="SQJ240" s="1"/>
      <c r="SQK240" s="1"/>
      <c r="SQL240" s="1"/>
      <c r="SQM240" s="1"/>
      <c r="SQN240" s="1"/>
      <c r="SQO240" s="1"/>
      <c r="SQP240" s="1"/>
      <c r="SQQ240" s="1"/>
      <c r="SQR240" s="1"/>
      <c r="SQS240" s="1"/>
      <c r="SQT240" s="1"/>
      <c r="SQU240" s="1"/>
      <c r="SQV240" s="1"/>
      <c r="SQW240" s="1"/>
      <c r="SQX240" s="1"/>
      <c r="SQY240" s="1"/>
      <c r="SQZ240" s="1"/>
      <c r="SRA240" s="1"/>
      <c r="SRB240" s="1"/>
      <c r="SRC240" s="1"/>
      <c r="SRD240" s="1"/>
      <c r="SRE240" s="1"/>
      <c r="SRF240" s="1"/>
      <c r="SRG240" s="1"/>
      <c r="SRH240" s="1"/>
      <c r="SRI240" s="1"/>
      <c r="SRJ240" s="1"/>
      <c r="SRK240" s="1"/>
      <c r="SRL240" s="1"/>
      <c r="SRM240" s="1"/>
      <c r="SRN240" s="1"/>
      <c r="SRO240" s="1"/>
      <c r="SRP240" s="1"/>
      <c r="SRQ240" s="1"/>
      <c r="SRR240" s="1"/>
      <c r="SRS240" s="1"/>
      <c r="SRT240" s="1"/>
      <c r="SRU240" s="1"/>
      <c r="SRV240" s="1"/>
      <c r="SRW240" s="1"/>
      <c r="SRX240" s="1"/>
      <c r="SRY240" s="1"/>
      <c r="SRZ240" s="1"/>
      <c r="SSA240" s="1"/>
      <c r="SSB240" s="1"/>
      <c r="SSC240" s="1"/>
      <c r="SSD240" s="1"/>
      <c r="SSE240" s="1"/>
      <c r="SSF240" s="1"/>
      <c r="SSG240" s="1"/>
      <c r="SSH240" s="1"/>
      <c r="SSI240" s="1"/>
      <c r="SSJ240" s="1"/>
      <c r="SSK240" s="1"/>
      <c r="SSL240" s="1"/>
      <c r="SSM240" s="1"/>
      <c r="SSN240" s="1"/>
      <c r="SSO240" s="1"/>
      <c r="SSP240" s="1"/>
      <c r="SSQ240" s="1"/>
      <c r="SSR240" s="1"/>
      <c r="SSS240" s="1"/>
      <c r="SST240" s="1"/>
      <c r="SSU240" s="1"/>
      <c r="SSV240" s="1"/>
      <c r="SSW240" s="1"/>
      <c r="SSX240" s="1"/>
      <c r="SSY240" s="1"/>
      <c r="SSZ240" s="1"/>
      <c r="STA240" s="1"/>
      <c r="STB240" s="1"/>
      <c r="STC240" s="1"/>
      <c r="STD240" s="1"/>
      <c r="STE240" s="1"/>
      <c r="STF240" s="1"/>
      <c r="STG240" s="1"/>
      <c r="STH240" s="1"/>
      <c r="STI240" s="1"/>
      <c r="STJ240" s="1"/>
      <c r="STK240" s="1"/>
      <c r="STL240" s="1"/>
      <c r="STM240" s="1"/>
      <c r="STN240" s="1"/>
      <c r="STO240" s="1"/>
      <c r="STP240" s="1"/>
      <c r="STQ240" s="1"/>
      <c r="STR240" s="1"/>
      <c r="STS240" s="1"/>
      <c r="STT240" s="1"/>
      <c r="STU240" s="1"/>
      <c r="STV240" s="1"/>
      <c r="STW240" s="1"/>
      <c r="STX240" s="1"/>
      <c r="STY240" s="1"/>
      <c r="STZ240" s="1"/>
      <c r="SUA240" s="1"/>
      <c r="SUB240" s="1"/>
      <c r="SUC240" s="1"/>
      <c r="SUD240" s="1"/>
      <c r="SUE240" s="1"/>
      <c r="SUF240" s="1"/>
      <c r="SUG240" s="1"/>
      <c r="SUH240" s="1"/>
      <c r="SUI240" s="1"/>
      <c r="SUJ240" s="1"/>
      <c r="SUK240" s="1"/>
      <c r="SUL240" s="1"/>
      <c r="SUM240" s="1"/>
      <c r="SUN240" s="1"/>
      <c r="SUO240" s="1"/>
      <c r="SUP240" s="1"/>
      <c r="SUQ240" s="1"/>
      <c r="SUR240" s="1"/>
      <c r="SUS240" s="1"/>
      <c r="SUT240" s="1"/>
      <c r="SUU240" s="1"/>
      <c r="SUV240" s="1"/>
      <c r="SUW240" s="1"/>
      <c r="SUX240" s="1"/>
      <c r="SUY240" s="1"/>
      <c r="SUZ240" s="1"/>
      <c r="SVA240" s="1"/>
      <c r="SVB240" s="1"/>
      <c r="SVC240" s="1"/>
      <c r="SVD240" s="1"/>
      <c r="SVE240" s="1"/>
      <c r="SVF240" s="1"/>
      <c r="SVG240" s="1"/>
      <c r="SVH240" s="1"/>
      <c r="SVI240" s="1"/>
      <c r="SVJ240" s="1"/>
      <c r="SVK240" s="1"/>
      <c r="SVL240" s="1"/>
      <c r="SVM240" s="1"/>
      <c r="SVN240" s="1"/>
      <c r="SVO240" s="1"/>
      <c r="SVP240" s="1"/>
      <c r="SVQ240" s="1"/>
      <c r="SVR240" s="1"/>
      <c r="SVS240" s="1"/>
      <c r="SVT240" s="1"/>
      <c r="SVU240" s="1"/>
      <c r="SVV240" s="1"/>
      <c r="SVW240" s="1"/>
      <c r="SVX240" s="1"/>
      <c r="SVY240" s="1"/>
      <c r="SVZ240" s="1"/>
      <c r="SWA240" s="1"/>
      <c r="SWB240" s="1"/>
      <c r="SWC240" s="1"/>
      <c r="SWD240" s="1"/>
      <c r="SWE240" s="1"/>
      <c r="SWF240" s="1"/>
      <c r="SWG240" s="1"/>
      <c r="SWH240" s="1"/>
      <c r="SWI240" s="1"/>
      <c r="SWJ240" s="1"/>
      <c r="SWK240" s="1"/>
      <c r="SWL240" s="1"/>
      <c r="SWM240" s="1"/>
      <c r="SWN240" s="1"/>
      <c r="SWO240" s="1"/>
      <c r="SWP240" s="1"/>
      <c r="SWQ240" s="1"/>
      <c r="SWR240" s="1"/>
      <c r="SWS240" s="1"/>
      <c r="SWT240" s="1"/>
      <c r="SWU240" s="1"/>
      <c r="SWV240" s="1"/>
      <c r="SWW240" s="1"/>
      <c r="SWX240" s="1"/>
      <c r="SWY240" s="1"/>
      <c r="SWZ240" s="1"/>
      <c r="SXA240" s="1"/>
      <c r="SXB240" s="1"/>
      <c r="SXC240" s="1"/>
      <c r="SXD240" s="1"/>
      <c r="SXE240" s="1"/>
      <c r="SXF240" s="1"/>
      <c r="SXG240" s="1"/>
      <c r="SXH240" s="1"/>
      <c r="SXI240" s="1"/>
      <c r="SXJ240" s="1"/>
      <c r="SXK240" s="1"/>
      <c r="SXL240" s="1"/>
      <c r="SXM240" s="1"/>
      <c r="SXN240" s="1"/>
      <c r="SXO240" s="1"/>
      <c r="SXP240" s="1"/>
      <c r="SXQ240" s="1"/>
      <c r="SXR240" s="1"/>
      <c r="SXS240" s="1"/>
      <c r="SXT240" s="1"/>
      <c r="SXU240" s="1"/>
      <c r="SXV240" s="1"/>
      <c r="SXW240" s="1"/>
      <c r="SXX240" s="1"/>
      <c r="SXY240" s="1"/>
      <c r="SXZ240" s="1"/>
      <c r="SYA240" s="1"/>
      <c r="SYB240" s="1"/>
      <c r="SYC240" s="1"/>
      <c r="SYD240" s="1"/>
      <c r="SYE240" s="1"/>
      <c r="SYF240" s="1"/>
      <c r="SYG240" s="1"/>
      <c r="SYH240" s="1"/>
      <c r="SYI240" s="1"/>
      <c r="SYJ240" s="1"/>
      <c r="SYK240" s="1"/>
      <c r="SYL240" s="1"/>
      <c r="SYM240" s="1"/>
      <c r="SYN240" s="1"/>
      <c r="SYO240" s="1"/>
      <c r="SYP240" s="1"/>
      <c r="SYQ240" s="1"/>
      <c r="SYR240" s="1"/>
      <c r="SYS240" s="1"/>
      <c r="SYT240" s="1"/>
      <c r="SYU240" s="1"/>
      <c r="SYV240" s="1"/>
      <c r="SYW240" s="1"/>
      <c r="SYX240" s="1"/>
      <c r="SYY240" s="1"/>
      <c r="SYZ240" s="1"/>
      <c r="SZA240" s="1"/>
      <c r="SZB240" s="1"/>
      <c r="SZC240" s="1"/>
      <c r="SZD240" s="1"/>
      <c r="SZE240" s="1"/>
      <c r="SZF240" s="1"/>
      <c r="SZG240" s="1"/>
      <c r="SZH240" s="1"/>
      <c r="SZI240" s="1"/>
      <c r="SZJ240" s="1"/>
      <c r="SZK240" s="1"/>
      <c r="SZL240" s="1"/>
      <c r="SZM240" s="1"/>
      <c r="SZN240" s="1"/>
      <c r="SZO240" s="1"/>
      <c r="SZP240" s="1"/>
      <c r="SZQ240" s="1"/>
      <c r="SZR240" s="1"/>
      <c r="SZS240" s="1"/>
      <c r="SZT240" s="1"/>
      <c r="SZU240" s="1"/>
      <c r="SZV240" s="1"/>
      <c r="SZW240" s="1"/>
      <c r="SZX240" s="1"/>
      <c r="SZY240" s="1"/>
      <c r="SZZ240" s="1"/>
      <c r="TAA240" s="1"/>
      <c r="TAB240" s="1"/>
      <c r="TAC240" s="1"/>
      <c r="TAD240" s="1"/>
      <c r="TAE240" s="1"/>
      <c r="TAF240" s="1"/>
      <c r="TAG240" s="1"/>
      <c r="TAH240" s="1"/>
      <c r="TAI240" s="1"/>
      <c r="TAJ240" s="1"/>
      <c r="TAK240" s="1"/>
      <c r="TAL240" s="1"/>
      <c r="TAM240" s="1"/>
      <c r="TAN240" s="1"/>
      <c r="TAO240" s="1"/>
      <c r="TAP240" s="1"/>
      <c r="TAQ240" s="1"/>
      <c r="TAR240" s="1"/>
      <c r="TAS240" s="1"/>
      <c r="TAT240" s="1"/>
      <c r="TAU240" s="1"/>
      <c r="TAV240" s="1"/>
      <c r="TAW240" s="1"/>
      <c r="TAX240" s="1"/>
      <c r="TAY240" s="1"/>
      <c r="TAZ240" s="1"/>
      <c r="TBA240" s="1"/>
      <c r="TBB240" s="1"/>
      <c r="TBC240" s="1"/>
      <c r="TBD240" s="1"/>
      <c r="TBE240" s="1"/>
      <c r="TBF240" s="1"/>
      <c r="TBG240" s="1"/>
      <c r="TBH240" s="1"/>
      <c r="TBI240" s="1"/>
      <c r="TBJ240" s="1"/>
      <c r="TBK240" s="1"/>
      <c r="TBL240" s="1"/>
      <c r="TBM240" s="1"/>
      <c r="TBN240" s="1"/>
      <c r="TBO240" s="1"/>
      <c r="TBP240" s="1"/>
      <c r="TBQ240" s="1"/>
      <c r="TBR240" s="1"/>
      <c r="TBS240" s="1"/>
      <c r="TBT240" s="1"/>
      <c r="TBU240" s="1"/>
      <c r="TBV240" s="1"/>
      <c r="TBW240" s="1"/>
      <c r="TBX240" s="1"/>
      <c r="TBY240" s="1"/>
      <c r="TBZ240" s="1"/>
      <c r="TCA240" s="1"/>
      <c r="TCB240" s="1"/>
      <c r="TCC240" s="1"/>
      <c r="TCD240" s="1"/>
      <c r="TCE240" s="1"/>
      <c r="TCF240" s="1"/>
      <c r="TCG240" s="1"/>
      <c r="TCH240" s="1"/>
      <c r="TCI240" s="1"/>
      <c r="TCJ240" s="1"/>
      <c r="TCK240" s="1"/>
      <c r="TCL240" s="1"/>
      <c r="TCM240" s="1"/>
      <c r="TCN240" s="1"/>
      <c r="TCO240" s="1"/>
      <c r="TCP240" s="1"/>
      <c r="TCQ240" s="1"/>
      <c r="TCR240" s="1"/>
      <c r="TCS240" s="1"/>
      <c r="TCT240" s="1"/>
      <c r="TCU240" s="1"/>
      <c r="TCV240" s="1"/>
      <c r="TCW240" s="1"/>
      <c r="TCX240" s="1"/>
      <c r="TCY240" s="1"/>
      <c r="TCZ240" s="1"/>
      <c r="TDA240" s="1"/>
      <c r="TDB240" s="1"/>
      <c r="TDC240" s="1"/>
      <c r="TDD240" s="1"/>
      <c r="TDE240" s="1"/>
      <c r="TDF240" s="1"/>
      <c r="TDG240" s="1"/>
      <c r="TDH240" s="1"/>
      <c r="TDI240" s="1"/>
      <c r="TDJ240" s="1"/>
      <c r="TDK240" s="1"/>
      <c r="TDL240" s="1"/>
      <c r="TDM240" s="1"/>
      <c r="TDN240" s="1"/>
      <c r="TDO240" s="1"/>
      <c r="TDP240" s="1"/>
      <c r="TDQ240" s="1"/>
      <c r="TDR240" s="1"/>
      <c r="TDS240" s="1"/>
      <c r="TDT240" s="1"/>
      <c r="TDU240" s="1"/>
      <c r="TDV240" s="1"/>
      <c r="TDW240" s="1"/>
      <c r="TDX240" s="1"/>
      <c r="TDY240" s="1"/>
      <c r="TDZ240" s="1"/>
      <c r="TEA240" s="1"/>
      <c r="TEB240" s="1"/>
      <c r="TEC240" s="1"/>
      <c r="TED240" s="1"/>
      <c r="TEE240" s="1"/>
      <c r="TEF240" s="1"/>
      <c r="TEG240" s="1"/>
      <c r="TEH240" s="1"/>
      <c r="TEI240" s="1"/>
      <c r="TEJ240" s="1"/>
      <c r="TEK240" s="1"/>
      <c r="TEL240" s="1"/>
      <c r="TEM240" s="1"/>
      <c r="TEN240" s="1"/>
      <c r="TEO240" s="1"/>
      <c r="TEP240" s="1"/>
      <c r="TEQ240" s="1"/>
      <c r="TER240" s="1"/>
      <c r="TES240" s="1"/>
      <c r="TET240" s="1"/>
      <c r="TEU240" s="1"/>
      <c r="TEV240" s="1"/>
      <c r="TEW240" s="1"/>
      <c r="TEX240" s="1"/>
      <c r="TEY240" s="1"/>
      <c r="TEZ240" s="1"/>
      <c r="TFA240" s="1"/>
      <c r="TFB240" s="1"/>
      <c r="TFC240" s="1"/>
      <c r="TFD240" s="1"/>
      <c r="TFE240" s="1"/>
      <c r="TFF240" s="1"/>
      <c r="TFG240" s="1"/>
      <c r="TFH240" s="1"/>
      <c r="TFI240" s="1"/>
      <c r="TFJ240" s="1"/>
      <c r="TFK240" s="1"/>
      <c r="TFL240" s="1"/>
      <c r="TFM240" s="1"/>
      <c r="TFN240" s="1"/>
      <c r="TFO240" s="1"/>
      <c r="TFP240" s="1"/>
      <c r="TFQ240" s="1"/>
      <c r="TFR240" s="1"/>
      <c r="TFS240" s="1"/>
      <c r="TFT240" s="1"/>
      <c r="TFU240" s="1"/>
      <c r="TFV240" s="1"/>
      <c r="TFW240" s="1"/>
      <c r="TFX240" s="1"/>
      <c r="TFY240" s="1"/>
      <c r="TFZ240" s="1"/>
      <c r="TGA240" s="1"/>
      <c r="TGB240" s="1"/>
      <c r="TGC240" s="1"/>
      <c r="TGD240" s="1"/>
      <c r="TGE240" s="1"/>
      <c r="TGF240" s="1"/>
      <c r="TGG240" s="1"/>
      <c r="TGH240" s="1"/>
      <c r="TGI240" s="1"/>
      <c r="TGJ240" s="1"/>
      <c r="TGK240" s="1"/>
      <c r="TGL240" s="1"/>
      <c r="TGM240" s="1"/>
      <c r="TGN240" s="1"/>
      <c r="TGO240" s="1"/>
      <c r="TGP240" s="1"/>
      <c r="TGQ240" s="1"/>
      <c r="TGR240" s="1"/>
      <c r="TGS240" s="1"/>
      <c r="TGT240" s="1"/>
      <c r="TGU240" s="1"/>
      <c r="TGV240" s="1"/>
      <c r="TGW240" s="1"/>
      <c r="TGX240" s="1"/>
      <c r="TGY240" s="1"/>
      <c r="TGZ240" s="1"/>
      <c r="THA240" s="1"/>
      <c r="THB240" s="1"/>
      <c r="THC240" s="1"/>
      <c r="THD240" s="1"/>
      <c r="THE240" s="1"/>
      <c r="THF240" s="1"/>
      <c r="THG240" s="1"/>
      <c r="THH240" s="1"/>
      <c r="THI240" s="1"/>
      <c r="THJ240" s="1"/>
      <c r="THK240" s="1"/>
      <c r="THL240" s="1"/>
      <c r="THM240" s="1"/>
      <c r="THN240" s="1"/>
      <c r="THO240" s="1"/>
      <c r="THP240" s="1"/>
      <c r="THQ240" s="1"/>
      <c r="THR240" s="1"/>
      <c r="THS240" s="1"/>
      <c r="THT240" s="1"/>
      <c r="THU240" s="1"/>
      <c r="THV240" s="1"/>
      <c r="THW240" s="1"/>
      <c r="THX240" s="1"/>
      <c r="THY240" s="1"/>
      <c r="THZ240" s="1"/>
      <c r="TIA240" s="1"/>
      <c r="TIB240" s="1"/>
      <c r="TIC240" s="1"/>
      <c r="TID240" s="1"/>
      <c r="TIE240" s="1"/>
      <c r="TIF240" s="1"/>
      <c r="TIG240" s="1"/>
      <c r="TIH240" s="1"/>
      <c r="TII240" s="1"/>
      <c r="TIJ240" s="1"/>
      <c r="TIK240" s="1"/>
      <c r="TIL240" s="1"/>
      <c r="TIM240" s="1"/>
      <c r="TIN240" s="1"/>
      <c r="TIO240" s="1"/>
      <c r="TIP240" s="1"/>
      <c r="TIQ240" s="1"/>
      <c r="TIR240" s="1"/>
      <c r="TIS240" s="1"/>
      <c r="TIT240" s="1"/>
      <c r="TIU240" s="1"/>
      <c r="TIV240" s="1"/>
      <c r="TIW240" s="1"/>
      <c r="TIX240" s="1"/>
      <c r="TIY240" s="1"/>
      <c r="TIZ240" s="1"/>
      <c r="TJA240" s="1"/>
      <c r="TJB240" s="1"/>
      <c r="TJC240" s="1"/>
      <c r="TJD240" s="1"/>
      <c r="TJE240" s="1"/>
      <c r="TJF240" s="1"/>
      <c r="TJG240" s="1"/>
      <c r="TJH240" s="1"/>
      <c r="TJI240" s="1"/>
      <c r="TJJ240" s="1"/>
      <c r="TJK240" s="1"/>
      <c r="TJL240" s="1"/>
      <c r="TJM240" s="1"/>
      <c r="TJN240" s="1"/>
      <c r="TJO240" s="1"/>
      <c r="TJP240" s="1"/>
      <c r="TJQ240" s="1"/>
      <c r="TJR240" s="1"/>
      <c r="TJS240" s="1"/>
      <c r="TJT240" s="1"/>
      <c r="TJU240" s="1"/>
      <c r="TJV240" s="1"/>
      <c r="TJW240" s="1"/>
      <c r="TJX240" s="1"/>
      <c r="TJY240" s="1"/>
      <c r="TJZ240" s="1"/>
      <c r="TKA240" s="1"/>
      <c r="TKB240" s="1"/>
      <c r="TKC240" s="1"/>
      <c r="TKD240" s="1"/>
      <c r="TKE240" s="1"/>
      <c r="TKF240" s="1"/>
      <c r="TKG240" s="1"/>
      <c r="TKH240" s="1"/>
      <c r="TKI240" s="1"/>
      <c r="TKJ240" s="1"/>
      <c r="TKK240" s="1"/>
      <c r="TKL240" s="1"/>
      <c r="TKM240" s="1"/>
      <c r="TKN240" s="1"/>
      <c r="TKO240" s="1"/>
      <c r="TKP240" s="1"/>
      <c r="TKQ240" s="1"/>
      <c r="TKR240" s="1"/>
      <c r="TKS240" s="1"/>
      <c r="TKT240" s="1"/>
      <c r="TKU240" s="1"/>
      <c r="TKV240" s="1"/>
      <c r="TKW240" s="1"/>
      <c r="TKX240" s="1"/>
      <c r="TKY240" s="1"/>
      <c r="TKZ240" s="1"/>
      <c r="TLA240" s="1"/>
      <c r="TLB240" s="1"/>
      <c r="TLC240" s="1"/>
      <c r="TLD240" s="1"/>
      <c r="TLE240" s="1"/>
      <c r="TLF240" s="1"/>
      <c r="TLG240" s="1"/>
      <c r="TLH240" s="1"/>
      <c r="TLI240" s="1"/>
      <c r="TLJ240" s="1"/>
      <c r="TLK240" s="1"/>
      <c r="TLL240" s="1"/>
      <c r="TLM240" s="1"/>
      <c r="TLN240" s="1"/>
      <c r="TLO240" s="1"/>
      <c r="TLP240" s="1"/>
      <c r="TLQ240" s="1"/>
      <c r="TLR240" s="1"/>
      <c r="TLS240" s="1"/>
      <c r="TLT240" s="1"/>
      <c r="TLU240" s="1"/>
      <c r="TLV240" s="1"/>
      <c r="TLW240" s="1"/>
      <c r="TLX240" s="1"/>
      <c r="TLY240" s="1"/>
      <c r="TLZ240" s="1"/>
      <c r="TMA240" s="1"/>
      <c r="TMB240" s="1"/>
      <c r="TMC240" s="1"/>
      <c r="TMD240" s="1"/>
      <c r="TME240" s="1"/>
      <c r="TMF240" s="1"/>
      <c r="TMG240" s="1"/>
      <c r="TMH240" s="1"/>
      <c r="TMI240" s="1"/>
      <c r="TMJ240" s="1"/>
      <c r="TMK240" s="1"/>
      <c r="TML240" s="1"/>
      <c r="TMM240" s="1"/>
      <c r="TMN240" s="1"/>
      <c r="TMO240" s="1"/>
      <c r="TMP240" s="1"/>
      <c r="TMQ240" s="1"/>
      <c r="TMR240" s="1"/>
      <c r="TMS240" s="1"/>
      <c r="TMT240" s="1"/>
      <c r="TMU240" s="1"/>
      <c r="TMV240" s="1"/>
      <c r="TMW240" s="1"/>
      <c r="TMX240" s="1"/>
      <c r="TMY240" s="1"/>
      <c r="TMZ240" s="1"/>
      <c r="TNA240" s="1"/>
      <c r="TNB240" s="1"/>
      <c r="TNC240" s="1"/>
      <c r="TND240" s="1"/>
      <c r="TNE240" s="1"/>
      <c r="TNF240" s="1"/>
      <c r="TNG240" s="1"/>
      <c r="TNH240" s="1"/>
      <c r="TNI240" s="1"/>
      <c r="TNJ240" s="1"/>
      <c r="TNK240" s="1"/>
      <c r="TNL240" s="1"/>
      <c r="TNM240" s="1"/>
      <c r="TNN240" s="1"/>
      <c r="TNO240" s="1"/>
      <c r="TNP240" s="1"/>
      <c r="TNQ240" s="1"/>
      <c r="TNR240" s="1"/>
      <c r="TNS240" s="1"/>
      <c r="TNT240" s="1"/>
      <c r="TNU240" s="1"/>
      <c r="TNV240" s="1"/>
      <c r="TNW240" s="1"/>
      <c r="TNX240" s="1"/>
      <c r="TNY240" s="1"/>
      <c r="TNZ240" s="1"/>
      <c r="TOA240" s="1"/>
      <c r="TOB240" s="1"/>
      <c r="TOC240" s="1"/>
      <c r="TOD240" s="1"/>
      <c r="TOE240" s="1"/>
      <c r="TOF240" s="1"/>
      <c r="TOG240" s="1"/>
      <c r="TOH240" s="1"/>
      <c r="TOI240" s="1"/>
      <c r="TOJ240" s="1"/>
      <c r="TOK240" s="1"/>
      <c r="TOL240" s="1"/>
      <c r="TOM240" s="1"/>
      <c r="TON240" s="1"/>
      <c r="TOO240" s="1"/>
      <c r="TOP240" s="1"/>
      <c r="TOQ240" s="1"/>
      <c r="TOR240" s="1"/>
      <c r="TOS240" s="1"/>
      <c r="TOT240" s="1"/>
      <c r="TOU240" s="1"/>
      <c r="TOV240" s="1"/>
      <c r="TOW240" s="1"/>
      <c r="TOX240" s="1"/>
      <c r="TOY240" s="1"/>
      <c r="TOZ240" s="1"/>
      <c r="TPA240" s="1"/>
      <c r="TPB240" s="1"/>
      <c r="TPC240" s="1"/>
      <c r="TPD240" s="1"/>
      <c r="TPE240" s="1"/>
      <c r="TPF240" s="1"/>
      <c r="TPG240" s="1"/>
      <c r="TPH240" s="1"/>
      <c r="TPI240" s="1"/>
      <c r="TPJ240" s="1"/>
      <c r="TPK240" s="1"/>
      <c r="TPL240" s="1"/>
      <c r="TPM240" s="1"/>
      <c r="TPN240" s="1"/>
      <c r="TPO240" s="1"/>
      <c r="TPP240" s="1"/>
      <c r="TPQ240" s="1"/>
      <c r="TPR240" s="1"/>
      <c r="TPS240" s="1"/>
      <c r="TPT240" s="1"/>
      <c r="TPU240" s="1"/>
      <c r="TPV240" s="1"/>
      <c r="TPW240" s="1"/>
      <c r="TPX240" s="1"/>
      <c r="TPY240" s="1"/>
      <c r="TPZ240" s="1"/>
      <c r="TQA240" s="1"/>
      <c r="TQB240" s="1"/>
      <c r="TQC240" s="1"/>
      <c r="TQD240" s="1"/>
      <c r="TQE240" s="1"/>
      <c r="TQF240" s="1"/>
      <c r="TQG240" s="1"/>
      <c r="TQH240" s="1"/>
      <c r="TQI240" s="1"/>
      <c r="TQJ240" s="1"/>
      <c r="TQK240" s="1"/>
      <c r="TQL240" s="1"/>
      <c r="TQM240" s="1"/>
      <c r="TQN240" s="1"/>
      <c r="TQO240" s="1"/>
      <c r="TQP240" s="1"/>
      <c r="TQQ240" s="1"/>
      <c r="TQR240" s="1"/>
      <c r="TQS240" s="1"/>
      <c r="TQT240" s="1"/>
      <c r="TQU240" s="1"/>
      <c r="TQV240" s="1"/>
      <c r="TQW240" s="1"/>
      <c r="TQX240" s="1"/>
      <c r="TQY240" s="1"/>
      <c r="TQZ240" s="1"/>
      <c r="TRA240" s="1"/>
      <c r="TRB240" s="1"/>
      <c r="TRC240" s="1"/>
      <c r="TRD240" s="1"/>
      <c r="TRE240" s="1"/>
      <c r="TRF240" s="1"/>
      <c r="TRG240" s="1"/>
      <c r="TRH240" s="1"/>
      <c r="TRI240" s="1"/>
      <c r="TRJ240" s="1"/>
      <c r="TRK240" s="1"/>
      <c r="TRL240" s="1"/>
      <c r="TRM240" s="1"/>
      <c r="TRN240" s="1"/>
      <c r="TRO240" s="1"/>
      <c r="TRP240" s="1"/>
      <c r="TRQ240" s="1"/>
      <c r="TRR240" s="1"/>
      <c r="TRS240" s="1"/>
      <c r="TRT240" s="1"/>
      <c r="TRU240" s="1"/>
      <c r="TRV240" s="1"/>
      <c r="TRW240" s="1"/>
      <c r="TRX240" s="1"/>
      <c r="TRY240" s="1"/>
      <c r="TRZ240" s="1"/>
      <c r="TSA240" s="1"/>
      <c r="TSB240" s="1"/>
      <c r="TSC240" s="1"/>
      <c r="TSD240" s="1"/>
      <c r="TSE240" s="1"/>
      <c r="TSF240" s="1"/>
      <c r="TSG240" s="1"/>
      <c r="TSH240" s="1"/>
      <c r="TSI240" s="1"/>
      <c r="TSJ240" s="1"/>
      <c r="TSK240" s="1"/>
      <c r="TSL240" s="1"/>
      <c r="TSM240" s="1"/>
      <c r="TSN240" s="1"/>
      <c r="TSO240" s="1"/>
      <c r="TSP240" s="1"/>
      <c r="TSQ240" s="1"/>
      <c r="TSR240" s="1"/>
      <c r="TSS240" s="1"/>
      <c r="TST240" s="1"/>
      <c r="TSU240" s="1"/>
      <c r="TSV240" s="1"/>
      <c r="TSW240" s="1"/>
      <c r="TSX240" s="1"/>
      <c r="TSY240" s="1"/>
      <c r="TSZ240" s="1"/>
      <c r="TTA240" s="1"/>
      <c r="TTB240" s="1"/>
      <c r="TTC240" s="1"/>
      <c r="TTD240" s="1"/>
      <c r="TTE240" s="1"/>
      <c r="TTF240" s="1"/>
      <c r="TTG240" s="1"/>
      <c r="TTH240" s="1"/>
      <c r="TTI240" s="1"/>
      <c r="TTJ240" s="1"/>
      <c r="TTK240" s="1"/>
      <c r="TTL240" s="1"/>
      <c r="TTM240" s="1"/>
      <c r="TTN240" s="1"/>
      <c r="TTO240" s="1"/>
      <c r="TTP240" s="1"/>
      <c r="TTQ240" s="1"/>
      <c r="TTR240" s="1"/>
      <c r="TTS240" s="1"/>
      <c r="TTT240" s="1"/>
      <c r="TTU240" s="1"/>
      <c r="TTV240" s="1"/>
      <c r="TTW240" s="1"/>
      <c r="TTX240" s="1"/>
      <c r="TTY240" s="1"/>
      <c r="TTZ240" s="1"/>
      <c r="TUA240" s="1"/>
      <c r="TUB240" s="1"/>
      <c r="TUC240" s="1"/>
      <c r="TUD240" s="1"/>
      <c r="TUE240" s="1"/>
      <c r="TUF240" s="1"/>
      <c r="TUG240" s="1"/>
      <c r="TUH240" s="1"/>
      <c r="TUI240" s="1"/>
      <c r="TUJ240" s="1"/>
      <c r="TUK240" s="1"/>
      <c r="TUL240" s="1"/>
      <c r="TUM240" s="1"/>
      <c r="TUN240" s="1"/>
      <c r="TUO240" s="1"/>
      <c r="TUP240" s="1"/>
      <c r="TUQ240" s="1"/>
      <c r="TUR240" s="1"/>
      <c r="TUS240" s="1"/>
      <c r="TUT240" s="1"/>
      <c r="TUU240" s="1"/>
      <c r="TUV240" s="1"/>
      <c r="TUW240" s="1"/>
      <c r="TUX240" s="1"/>
      <c r="TUY240" s="1"/>
      <c r="TUZ240" s="1"/>
      <c r="TVA240" s="1"/>
      <c r="TVB240" s="1"/>
      <c r="TVC240" s="1"/>
      <c r="TVD240" s="1"/>
      <c r="TVE240" s="1"/>
      <c r="TVF240" s="1"/>
      <c r="TVG240" s="1"/>
      <c r="TVH240" s="1"/>
      <c r="TVI240" s="1"/>
      <c r="TVJ240" s="1"/>
      <c r="TVK240" s="1"/>
      <c r="TVL240" s="1"/>
      <c r="TVM240" s="1"/>
      <c r="TVN240" s="1"/>
      <c r="TVO240" s="1"/>
      <c r="TVP240" s="1"/>
      <c r="TVQ240" s="1"/>
      <c r="TVR240" s="1"/>
      <c r="TVS240" s="1"/>
      <c r="TVT240" s="1"/>
      <c r="TVU240" s="1"/>
      <c r="TVV240" s="1"/>
      <c r="TVW240" s="1"/>
      <c r="TVX240" s="1"/>
      <c r="TVY240" s="1"/>
      <c r="TVZ240" s="1"/>
      <c r="TWA240" s="1"/>
      <c r="TWB240" s="1"/>
      <c r="TWC240" s="1"/>
      <c r="TWD240" s="1"/>
      <c r="TWE240" s="1"/>
      <c r="TWF240" s="1"/>
      <c r="TWG240" s="1"/>
      <c r="TWH240" s="1"/>
      <c r="TWI240" s="1"/>
      <c r="TWJ240" s="1"/>
      <c r="TWK240" s="1"/>
      <c r="TWL240" s="1"/>
      <c r="TWM240" s="1"/>
      <c r="TWN240" s="1"/>
      <c r="TWO240" s="1"/>
      <c r="TWP240" s="1"/>
      <c r="TWQ240" s="1"/>
      <c r="TWR240" s="1"/>
      <c r="TWS240" s="1"/>
      <c r="TWT240" s="1"/>
      <c r="TWU240" s="1"/>
      <c r="TWV240" s="1"/>
      <c r="TWW240" s="1"/>
      <c r="TWX240" s="1"/>
      <c r="TWY240" s="1"/>
      <c r="TWZ240" s="1"/>
      <c r="TXA240" s="1"/>
      <c r="TXB240" s="1"/>
      <c r="TXC240" s="1"/>
      <c r="TXD240" s="1"/>
      <c r="TXE240" s="1"/>
      <c r="TXF240" s="1"/>
      <c r="TXG240" s="1"/>
      <c r="TXH240" s="1"/>
      <c r="TXI240" s="1"/>
      <c r="TXJ240" s="1"/>
      <c r="TXK240" s="1"/>
      <c r="TXL240" s="1"/>
      <c r="TXM240" s="1"/>
      <c r="TXN240" s="1"/>
      <c r="TXO240" s="1"/>
      <c r="TXP240" s="1"/>
      <c r="TXQ240" s="1"/>
      <c r="TXR240" s="1"/>
      <c r="TXS240" s="1"/>
      <c r="TXT240" s="1"/>
      <c r="TXU240" s="1"/>
      <c r="TXV240" s="1"/>
      <c r="TXW240" s="1"/>
      <c r="TXX240" s="1"/>
      <c r="TXY240" s="1"/>
      <c r="TXZ240" s="1"/>
      <c r="TYA240" s="1"/>
      <c r="TYB240" s="1"/>
      <c r="TYC240" s="1"/>
      <c r="TYD240" s="1"/>
      <c r="TYE240" s="1"/>
      <c r="TYF240" s="1"/>
      <c r="TYG240" s="1"/>
      <c r="TYH240" s="1"/>
      <c r="TYI240" s="1"/>
      <c r="TYJ240" s="1"/>
      <c r="TYK240" s="1"/>
      <c r="TYL240" s="1"/>
      <c r="TYM240" s="1"/>
      <c r="TYN240" s="1"/>
      <c r="TYO240" s="1"/>
      <c r="TYP240" s="1"/>
      <c r="TYQ240" s="1"/>
      <c r="TYR240" s="1"/>
      <c r="TYS240" s="1"/>
      <c r="TYT240" s="1"/>
      <c r="TYU240" s="1"/>
      <c r="TYV240" s="1"/>
      <c r="TYW240" s="1"/>
      <c r="TYX240" s="1"/>
      <c r="TYY240" s="1"/>
      <c r="TYZ240" s="1"/>
      <c r="TZA240" s="1"/>
      <c r="TZB240" s="1"/>
      <c r="TZC240" s="1"/>
      <c r="TZD240" s="1"/>
      <c r="TZE240" s="1"/>
      <c r="TZF240" s="1"/>
      <c r="TZG240" s="1"/>
      <c r="TZH240" s="1"/>
      <c r="TZI240" s="1"/>
      <c r="TZJ240" s="1"/>
      <c r="TZK240" s="1"/>
      <c r="TZL240" s="1"/>
      <c r="TZM240" s="1"/>
      <c r="TZN240" s="1"/>
      <c r="TZO240" s="1"/>
      <c r="TZP240" s="1"/>
      <c r="TZQ240" s="1"/>
      <c r="TZR240" s="1"/>
      <c r="TZS240" s="1"/>
      <c r="TZT240" s="1"/>
      <c r="TZU240" s="1"/>
      <c r="TZV240" s="1"/>
      <c r="TZW240" s="1"/>
      <c r="TZX240" s="1"/>
      <c r="TZY240" s="1"/>
      <c r="TZZ240" s="1"/>
      <c r="UAA240" s="1"/>
      <c r="UAB240" s="1"/>
      <c r="UAC240" s="1"/>
      <c r="UAD240" s="1"/>
      <c r="UAE240" s="1"/>
      <c r="UAF240" s="1"/>
      <c r="UAG240" s="1"/>
      <c r="UAH240" s="1"/>
      <c r="UAI240" s="1"/>
      <c r="UAJ240" s="1"/>
      <c r="UAK240" s="1"/>
      <c r="UAL240" s="1"/>
      <c r="UAM240" s="1"/>
      <c r="UAN240" s="1"/>
      <c r="UAO240" s="1"/>
      <c r="UAP240" s="1"/>
      <c r="UAQ240" s="1"/>
      <c r="UAR240" s="1"/>
      <c r="UAS240" s="1"/>
      <c r="UAT240" s="1"/>
      <c r="UAU240" s="1"/>
      <c r="UAV240" s="1"/>
      <c r="UAW240" s="1"/>
      <c r="UAX240" s="1"/>
      <c r="UAY240" s="1"/>
      <c r="UAZ240" s="1"/>
      <c r="UBA240" s="1"/>
      <c r="UBB240" s="1"/>
      <c r="UBC240" s="1"/>
      <c r="UBD240" s="1"/>
      <c r="UBE240" s="1"/>
      <c r="UBF240" s="1"/>
      <c r="UBG240" s="1"/>
      <c r="UBH240" s="1"/>
      <c r="UBI240" s="1"/>
      <c r="UBJ240" s="1"/>
      <c r="UBK240" s="1"/>
      <c r="UBL240" s="1"/>
      <c r="UBM240" s="1"/>
      <c r="UBN240" s="1"/>
      <c r="UBO240" s="1"/>
      <c r="UBP240" s="1"/>
      <c r="UBQ240" s="1"/>
      <c r="UBR240" s="1"/>
      <c r="UBS240" s="1"/>
      <c r="UBT240" s="1"/>
      <c r="UBU240" s="1"/>
      <c r="UBV240" s="1"/>
      <c r="UBW240" s="1"/>
      <c r="UBX240" s="1"/>
      <c r="UBY240" s="1"/>
      <c r="UBZ240" s="1"/>
      <c r="UCA240" s="1"/>
      <c r="UCB240" s="1"/>
      <c r="UCC240" s="1"/>
      <c r="UCD240" s="1"/>
      <c r="UCE240" s="1"/>
      <c r="UCF240" s="1"/>
      <c r="UCG240" s="1"/>
      <c r="UCH240" s="1"/>
      <c r="UCI240" s="1"/>
      <c r="UCJ240" s="1"/>
      <c r="UCK240" s="1"/>
      <c r="UCL240" s="1"/>
      <c r="UCM240" s="1"/>
      <c r="UCN240" s="1"/>
      <c r="UCO240" s="1"/>
      <c r="UCP240" s="1"/>
      <c r="UCQ240" s="1"/>
      <c r="UCR240" s="1"/>
      <c r="UCS240" s="1"/>
      <c r="UCT240" s="1"/>
      <c r="UCU240" s="1"/>
      <c r="UCV240" s="1"/>
      <c r="UCW240" s="1"/>
      <c r="UCX240" s="1"/>
      <c r="UCY240" s="1"/>
      <c r="UCZ240" s="1"/>
      <c r="UDA240" s="1"/>
      <c r="UDB240" s="1"/>
      <c r="UDC240" s="1"/>
      <c r="UDD240" s="1"/>
      <c r="UDE240" s="1"/>
      <c r="UDF240" s="1"/>
      <c r="UDG240" s="1"/>
      <c r="UDH240" s="1"/>
      <c r="UDI240" s="1"/>
      <c r="UDJ240" s="1"/>
      <c r="UDK240" s="1"/>
      <c r="UDL240" s="1"/>
      <c r="UDM240" s="1"/>
      <c r="UDN240" s="1"/>
      <c r="UDO240" s="1"/>
      <c r="UDP240" s="1"/>
      <c r="UDQ240" s="1"/>
      <c r="UDR240" s="1"/>
      <c r="UDS240" s="1"/>
      <c r="UDT240" s="1"/>
      <c r="UDU240" s="1"/>
      <c r="UDV240" s="1"/>
      <c r="UDW240" s="1"/>
      <c r="UDX240" s="1"/>
      <c r="UDY240" s="1"/>
      <c r="UDZ240" s="1"/>
      <c r="UEA240" s="1"/>
      <c r="UEB240" s="1"/>
      <c r="UEC240" s="1"/>
      <c r="UED240" s="1"/>
      <c r="UEE240" s="1"/>
      <c r="UEF240" s="1"/>
      <c r="UEG240" s="1"/>
      <c r="UEH240" s="1"/>
      <c r="UEI240" s="1"/>
      <c r="UEJ240" s="1"/>
      <c r="UEK240" s="1"/>
      <c r="UEL240" s="1"/>
      <c r="UEM240" s="1"/>
      <c r="UEN240" s="1"/>
      <c r="UEO240" s="1"/>
      <c r="UEP240" s="1"/>
      <c r="UEQ240" s="1"/>
      <c r="UER240" s="1"/>
      <c r="UES240" s="1"/>
      <c r="UET240" s="1"/>
      <c r="UEU240" s="1"/>
      <c r="UEV240" s="1"/>
      <c r="UEW240" s="1"/>
      <c r="UEX240" s="1"/>
      <c r="UEY240" s="1"/>
      <c r="UEZ240" s="1"/>
      <c r="UFA240" s="1"/>
      <c r="UFB240" s="1"/>
      <c r="UFC240" s="1"/>
      <c r="UFD240" s="1"/>
      <c r="UFE240" s="1"/>
      <c r="UFF240" s="1"/>
      <c r="UFG240" s="1"/>
      <c r="UFH240" s="1"/>
      <c r="UFI240" s="1"/>
      <c r="UFJ240" s="1"/>
      <c r="UFK240" s="1"/>
      <c r="UFL240" s="1"/>
      <c r="UFM240" s="1"/>
      <c r="UFN240" s="1"/>
      <c r="UFO240" s="1"/>
      <c r="UFP240" s="1"/>
      <c r="UFQ240" s="1"/>
      <c r="UFR240" s="1"/>
      <c r="UFS240" s="1"/>
      <c r="UFT240" s="1"/>
      <c r="UFU240" s="1"/>
      <c r="UFV240" s="1"/>
      <c r="UFW240" s="1"/>
      <c r="UFX240" s="1"/>
      <c r="UFY240" s="1"/>
      <c r="UFZ240" s="1"/>
      <c r="UGA240" s="1"/>
      <c r="UGB240" s="1"/>
      <c r="UGC240" s="1"/>
      <c r="UGD240" s="1"/>
      <c r="UGE240" s="1"/>
      <c r="UGF240" s="1"/>
      <c r="UGG240" s="1"/>
      <c r="UGH240" s="1"/>
      <c r="UGI240" s="1"/>
      <c r="UGJ240" s="1"/>
      <c r="UGK240" s="1"/>
      <c r="UGL240" s="1"/>
      <c r="UGM240" s="1"/>
      <c r="UGN240" s="1"/>
      <c r="UGO240" s="1"/>
      <c r="UGP240" s="1"/>
      <c r="UGQ240" s="1"/>
      <c r="UGR240" s="1"/>
      <c r="UGS240" s="1"/>
      <c r="UGT240" s="1"/>
      <c r="UGU240" s="1"/>
      <c r="UGV240" s="1"/>
      <c r="UGW240" s="1"/>
      <c r="UGX240" s="1"/>
      <c r="UGY240" s="1"/>
      <c r="UGZ240" s="1"/>
      <c r="UHA240" s="1"/>
      <c r="UHB240" s="1"/>
      <c r="UHC240" s="1"/>
      <c r="UHD240" s="1"/>
      <c r="UHE240" s="1"/>
      <c r="UHF240" s="1"/>
      <c r="UHG240" s="1"/>
      <c r="UHH240" s="1"/>
      <c r="UHI240" s="1"/>
      <c r="UHJ240" s="1"/>
      <c r="UHK240" s="1"/>
      <c r="UHL240" s="1"/>
      <c r="UHM240" s="1"/>
      <c r="UHN240" s="1"/>
      <c r="UHO240" s="1"/>
      <c r="UHP240" s="1"/>
      <c r="UHQ240" s="1"/>
      <c r="UHR240" s="1"/>
      <c r="UHS240" s="1"/>
      <c r="UHT240" s="1"/>
      <c r="UHU240" s="1"/>
      <c r="UHV240" s="1"/>
      <c r="UHW240" s="1"/>
      <c r="UHX240" s="1"/>
      <c r="UHY240" s="1"/>
      <c r="UHZ240" s="1"/>
      <c r="UIA240" s="1"/>
      <c r="UIB240" s="1"/>
      <c r="UIC240" s="1"/>
      <c r="UID240" s="1"/>
      <c r="UIE240" s="1"/>
      <c r="UIF240" s="1"/>
      <c r="UIG240" s="1"/>
      <c r="UIH240" s="1"/>
      <c r="UII240" s="1"/>
      <c r="UIJ240" s="1"/>
      <c r="UIK240" s="1"/>
      <c r="UIL240" s="1"/>
      <c r="UIM240" s="1"/>
      <c r="UIN240" s="1"/>
      <c r="UIO240" s="1"/>
      <c r="UIP240" s="1"/>
      <c r="UIQ240" s="1"/>
      <c r="UIR240" s="1"/>
      <c r="UIS240" s="1"/>
      <c r="UIT240" s="1"/>
      <c r="UIU240" s="1"/>
      <c r="UIV240" s="1"/>
      <c r="UIW240" s="1"/>
      <c r="UIX240" s="1"/>
      <c r="UIY240" s="1"/>
      <c r="UIZ240" s="1"/>
      <c r="UJA240" s="1"/>
      <c r="UJB240" s="1"/>
      <c r="UJC240" s="1"/>
      <c r="UJD240" s="1"/>
      <c r="UJE240" s="1"/>
      <c r="UJF240" s="1"/>
      <c r="UJG240" s="1"/>
      <c r="UJH240" s="1"/>
      <c r="UJI240" s="1"/>
      <c r="UJJ240" s="1"/>
      <c r="UJK240" s="1"/>
      <c r="UJL240" s="1"/>
      <c r="UJM240" s="1"/>
      <c r="UJN240" s="1"/>
      <c r="UJO240" s="1"/>
      <c r="UJP240" s="1"/>
      <c r="UJQ240" s="1"/>
      <c r="UJR240" s="1"/>
      <c r="UJS240" s="1"/>
      <c r="UJT240" s="1"/>
      <c r="UJU240" s="1"/>
      <c r="UJV240" s="1"/>
      <c r="UJW240" s="1"/>
      <c r="UJX240" s="1"/>
      <c r="UJY240" s="1"/>
      <c r="UJZ240" s="1"/>
      <c r="UKA240" s="1"/>
      <c r="UKB240" s="1"/>
      <c r="UKC240" s="1"/>
      <c r="UKD240" s="1"/>
      <c r="UKE240" s="1"/>
      <c r="UKF240" s="1"/>
      <c r="UKG240" s="1"/>
      <c r="UKH240" s="1"/>
      <c r="UKI240" s="1"/>
      <c r="UKJ240" s="1"/>
      <c r="UKK240" s="1"/>
      <c r="UKL240" s="1"/>
      <c r="UKM240" s="1"/>
      <c r="UKN240" s="1"/>
      <c r="UKO240" s="1"/>
      <c r="UKP240" s="1"/>
      <c r="UKQ240" s="1"/>
      <c r="UKR240" s="1"/>
      <c r="UKS240" s="1"/>
      <c r="UKT240" s="1"/>
      <c r="UKU240" s="1"/>
      <c r="UKV240" s="1"/>
      <c r="UKW240" s="1"/>
      <c r="UKX240" s="1"/>
      <c r="UKY240" s="1"/>
      <c r="UKZ240" s="1"/>
      <c r="ULA240" s="1"/>
      <c r="ULB240" s="1"/>
      <c r="ULC240" s="1"/>
      <c r="ULD240" s="1"/>
      <c r="ULE240" s="1"/>
      <c r="ULF240" s="1"/>
      <c r="ULG240" s="1"/>
      <c r="ULH240" s="1"/>
      <c r="ULI240" s="1"/>
      <c r="ULJ240" s="1"/>
      <c r="ULK240" s="1"/>
      <c r="ULL240" s="1"/>
      <c r="ULM240" s="1"/>
      <c r="ULN240" s="1"/>
      <c r="ULO240" s="1"/>
      <c r="ULP240" s="1"/>
      <c r="ULQ240" s="1"/>
      <c r="ULR240" s="1"/>
      <c r="ULS240" s="1"/>
      <c r="ULT240" s="1"/>
      <c r="ULU240" s="1"/>
      <c r="ULV240" s="1"/>
      <c r="ULW240" s="1"/>
      <c r="ULX240" s="1"/>
      <c r="ULY240" s="1"/>
      <c r="ULZ240" s="1"/>
      <c r="UMA240" s="1"/>
      <c r="UMB240" s="1"/>
      <c r="UMC240" s="1"/>
      <c r="UMD240" s="1"/>
      <c r="UME240" s="1"/>
      <c r="UMF240" s="1"/>
      <c r="UMG240" s="1"/>
      <c r="UMH240" s="1"/>
      <c r="UMI240" s="1"/>
      <c r="UMJ240" s="1"/>
      <c r="UMK240" s="1"/>
      <c r="UML240" s="1"/>
      <c r="UMM240" s="1"/>
      <c r="UMN240" s="1"/>
      <c r="UMO240" s="1"/>
      <c r="UMP240" s="1"/>
      <c r="UMQ240" s="1"/>
      <c r="UMR240" s="1"/>
      <c r="UMS240" s="1"/>
      <c r="UMT240" s="1"/>
      <c r="UMU240" s="1"/>
      <c r="UMV240" s="1"/>
      <c r="UMW240" s="1"/>
      <c r="UMX240" s="1"/>
      <c r="UMY240" s="1"/>
      <c r="UMZ240" s="1"/>
      <c r="UNA240" s="1"/>
      <c r="UNB240" s="1"/>
      <c r="UNC240" s="1"/>
      <c r="UND240" s="1"/>
      <c r="UNE240" s="1"/>
      <c r="UNF240" s="1"/>
      <c r="UNG240" s="1"/>
      <c r="UNH240" s="1"/>
      <c r="UNI240" s="1"/>
      <c r="UNJ240" s="1"/>
      <c r="UNK240" s="1"/>
      <c r="UNL240" s="1"/>
      <c r="UNM240" s="1"/>
      <c r="UNN240" s="1"/>
      <c r="UNO240" s="1"/>
      <c r="UNP240" s="1"/>
      <c r="UNQ240" s="1"/>
      <c r="UNR240" s="1"/>
      <c r="UNS240" s="1"/>
      <c r="UNT240" s="1"/>
      <c r="UNU240" s="1"/>
      <c r="UNV240" s="1"/>
      <c r="UNW240" s="1"/>
      <c r="UNX240" s="1"/>
      <c r="UNY240" s="1"/>
      <c r="UNZ240" s="1"/>
      <c r="UOA240" s="1"/>
      <c r="UOB240" s="1"/>
      <c r="UOC240" s="1"/>
      <c r="UOD240" s="1"/>
      <c r="UOE240" s="1"/>
      <c r="UOF240" s="1"/>
      <c r="UOG240" s="1"/>
      <c r="UOH240" s="1"/>
      <c r="UOI240" s="1"/>
      <c r="UOJ240" s="1"/>
      <c r="UOK240" s="1"/>
      <c r="UOL240" s="1"/>
      <c r="UOM240" s="1"/>
      <c r="UON240" s="1"/>
      <c r="UOO240" s="1"/>
      <c r="UOP240" s="1"/>
      <c r="UOQ240" s="1"/>
      <c r="UOR240" s="1"/>
      <c r="UOS240" s="1"/>
      <c r="UOT240" s="1"/>
      <c r="UOU240" s="1"/>
      <c r="UOV240" s="1"/>
      <c r="UOW240" s="1"/>
      <c r="UOX240" s="1"/>
      <c r="UOY240" s="1"/>
      <c r="UOZ240" s="1"/>
      <c r="UPA240" s="1"/>
      <c r="UPB240" s="1"/>
      <c r="UPC240" s="1"/>
      <c r="UPD240" s="1"/>
      <c r="UPE240" s="1"/>
      <c r="UPF240" s="1"/>
      <c r="UPG240" s="1"/>
      <c r="UPH240" s="1"/>
      <c r="UPI240" s="1"/>
      <c r="UPJ240" s="1"/>
      <c r="UPK240" s="1"/>
      <c r="UPL240" s="1"/>
      <c r="UPM240" s="1"/>
      <c r="UPN240" s="1"/>
      <c r="UPO240" s="1"/>
      <c r="UPP240" s="1"/>
      <c r="UPQ240" s="1"/>
      <c r="UPR240" s="1"/>
      <c r="UPS240" s="1"/>
      <c r="UPT240" s="1"/>
      <c r="UPU240" s="1"/>
      <c r="UPV240" s="1"/>
      <c r="UPW240" s="1"/>
      <c r="UPX240" s="1"/>
      <c r="UPY240" s="1"/>
      <c r="UPZ240" s="1"/>
      <c r="UQA240" s="1"/>
      <c r="UQB240" s="1"/>
      <c r="UQC240" s="1"/>
      <c r="UQD240" s="1"/>
      <c r="UQE240" s="1"/>
      <c r="UQF240" s="1"/>
      <c r="UQG240" s="1"/>
      <c r="UQH240" s="1"/>
      <c r="UQI240" s="1"/>
      <c r="UQJ240" s="1"/>
      <c r="UQK240" s="1"/>
      <c r="UQL240" s="1"/>
      <c r="UQM240" s="1"/>
      <c r="UQN240" s="1"/>
      <c r="UQO240" s="1"/>
      <c r="UQP240" s="1"/>
      <c r="UQQ240" s="1"/>
      <c r="UQR240" s="1"/>
      <c r="UQS240" s="1"/>
      <c r="UQT240" s="1"/>
      <c r="UQU240" s="1"/>
      <c r="UQV240" s="1"/>
      <c r="UQW240" s="1"/>
      <c r="UQX240" s="1"/>
      <c r="UQY240" s="1"/>
      <c r="UQZ240" s="1"/>
      <c r="URA240" s="1"/>
      <c r="URB240" s="1"/>
      <c r="URC240" s="1"/>
      <c r="URD240" s="1"/>
      <c r="URE240" s="1"/>
      <c r="URF240" s="1"/>
      <c r="URG240" s="1"/>
      <c r="URH240" s="1"/>
      <c r="URI240" s="1"/>
      <c r="URJ240" s="1"/>
      <c r="URK240" s="1"/>
      <c r="URL240" s="1"/>
      <c r="URM240" s="1"/>
      <c r="URN240" s="1"/>
      <c r="URO240" s="1"/>
      <c r="URP240" s="1"/>
      <c r="URQ240" s="1"/>
      <c r="URR240" s="1"/>
      <c r="URS240" s="1"/>
      <c r="URT240" s="1"/>
      <c r="URU240" s="1"/>
      <c r="URV240" s="1"/>
      <c r="URW240" s="1"/>
      <c r="URX240" s="1"/>
      <c r="URY240" s="1"/>
      <c r="URZ240" s="1"/>
      <c r="USA240" s="1"/>
      <c r="USB240" s="1"/>
      <c r="USC240" s="1"/>
      <c r="USD240" s="1"/>
      <c r="USE240" s="1"/>
      <c r="USF240" s="1"/>
      <c r="USG240" s="1"/>
      <c r="USH240" s="1"/>
      <c r="USI240" s="1"/>
      <c r="USJ240" s="1"/>
      <c r="USK240" s="1"/>
      <c r="USL240" s="1"/>
      <c r="USM240" s="1"/>
      <c r="USN240" s="1"/>
      <c r="USO240" s="1"/>
      <c r="USP240" s="1"/>
      <c r="USQ240" s="1"/>
      <c r="USR240" s="1"/>
      <c r="USS240" s="1"/>
      <c r="UST240" s="1"/>
      <c r="USU240" s="1"/>
      <c r="USV240" s="1"/>
      <c r="USW240" s="1"/>
      <c r="USX240" s="1"/>
      <c r="USY240" s="1"/>
      <c r="USZ240" s="1"/>
      <c r="UTA240" s="1"/>
      <c r="UTB240" s="1"/>
      <c r="UTC240" s="1"/>
      <c r="UTD240" s="1"/>
      <c r="UTE240" s="1"/>
      <c r="UTF240" s="1"/>
      <c r="UTG240" s="1"/>
      <c r="UTH240" s="1"/>
      <c r="UTI240" s="1"/>
      <c r="UTJ240" s="1"/>
      <c r="UTK240" s="1"/>
      <c r="UTL240" s="1"/>
      <c r="UTM240" s="1"/>
      <c r="UTN240" s="1"/>
      <c r="UTO240" s="1"/>
      <c r="UTP240" s="1"/>
      <c r="UTQ240" s="1"/>
      <c r="UTR240" s="1"/>
      <c r="UTS240" s="1"/>
      <c r="UTT240" s="1"/>
      <c r="UTU240" s="1"/>
      <c r="UTV240" s="1"/>
      <c r="UTW240" s="1"/>
      <c r="UTX240" s="1"/>
      <c r="UTY240" s="1"/>
      <c r="UTZ240" s="1"/>
      <c r="UUA240" s="1"/>
      <c r="UUB240" s="1"/>
      <c r="UUC240" s="1"/>
      <c r="UUD240" s="1"/>
      <c r="UUE240" s="1"/>
      <c r="UUF240" s="1"/>
      <c r="UUG240" s="1"/>
      <c r="UUH240" s="1"/>
      <c r="UUI240" s="1"/>
      <c r="UUJ240" s="1"/>
      <c r="UUK240" s="1"/>
      <c r="UUL240" s="1"/>
      <c r="UUM240" s="1"/>
      <c r="UUN240" s="1"/>
      <c r="UUO240" s="1"/>
      <c r="UUP240" s="1"/>
      <c r="UUQ240" s="1"/>
      <c r="UUR240" s="1"/>
      <c r="UUS240" s="1"/>
      <c r="UUT240" s="1"/>
      <c r="UUU240" s="1"/>
      <c r="UUV240" s="1"/>
      <c r="UUW240" s="1"/>
      <c r="UUX240" s="1"/>
      <c r="UUY240" s="1"/>
      <c r="UUZ240" s="1"/>
      <c r="UVA240" s="1"/>
      <c r="UVB240" s="1"/>
      <c r="UVC240" s="1"/>
      <c r="UVD240" s="1"/>
      <c r="UVE240" s="1"/>
      <c r="UVF240" s="1"/>
      <c r="UVG240" s="1"/>
      <c r="UVH240" s="1"/>
      <c r="UVI240" s="1"/>
      <c r="UVJ240" s="1"/>
      <c r="UVK240" s="1"/>
      <c r="UVL240" s="1"/>
      <c r="UVM240" s="1"/>
      <c r="UVN240" s="1"/>
      <c r="UVO240" s="1"/>
      <c r="UVP240" s="1"/>
      <c r="UVQ240" s="1"/>
      <c r="UVR240" s="1"/>
      <c r="UVS240" s="1"/>
      <c r="UVT240" s="1"/>
      <c r="UVU240" s="1"/>
      <c r="UVV240" s="1"/>
      <c r="UVW240" s="1"/>
      <c r="UVX240" s="1"/>
      <c r="UVY240" s="1"/>
      <c r="UVZ240" s="1"/>
      <c r="UWA240" s="1"/>
      <c r="UWB240" s="1"/>
      <c r="UWC240" s="1"/>
      <c r="UWD240" s="1"/>
      <c r="UWE240" s="1"/>
      <c r="UWF240" s="1"/>
      <c r="UWG240" s="1"/>
      <c r="UWH240" s="1"/>
      <c r="UWI240" s="1"/>
      <c r="UWJ240" s="1"/>
      <c r="UWK240" s="1"/>
      <c r="UWL240" s="1"/>
      <c r="UWM240" s="1"/>
      <c r="UWN240" s="1"/>
      <c r="UWO240" s="1"/>
      <c r="UWP240" s="1"/>
      <c r="UWQ240" s="1"/>
      <c r="UWR240" s="1"/>
      <c r="UWS240" s="1"/>
      <c r="UWT240" s="1"/>
      <c r="UWU240" s="1"/>
      <c r="UWV240" s="1"/>
      <c r="UWW240" s="1"/>
      <c r="UWX240" s="1"/>
      <c r="UWY240" s="1"/>
      <c r="UWZ240" s="1"/>
      <c r="UXA240" s="1"/>
      <c r="UXB240" s="1"/>
      <c r="UXC240" s="1"/>
      <c r="UXD240" s="1"/>
      <c r="UXE240" s="1"/>
      <c r="UXF240" s="1"/>
      <c r="UXG240" s="1"/>
      <c r="UXH240" s="1"/>
      <c r="UXI240" s="1"/>
      <c r="UXJ240" s="1"/>
      <c r="UXK240" s="1"/>
      <c r="UXL240" s="1"/>
      <c r="UXM240" s="1"/>
      <c r="UXN240" s="1"/>
      <c r="UXO240" s="1"/>
      <c r="UXP240" s="1"/>
      <c r="UXQ240" s="1"/>
      <c r="UXR240" s="1"/>
      <c r="UXS240" s="1"/>
      <c r="UXT240" s="1"/>
      <c r="UXU240" s="1"/>
      <c r="UXV240" s="1"/>
      <c r="UXW240" s="1"/>
      <c r="UXX240" s="1"/>
      <c r="UXY240" s="1"/>
      <c r="UXZ240" s="1"/>
      <c r="UYA240" s="1"/>
      <c r="UYB240" s="1"/>
      <c r="UYC240" s="1"/>
      <c r="UYD240" s="1"/>
      <c r="UYE240" s="1"/>
      <c r="UYF240" s="1"/>
      <c r="UYG240" s="1"/>
      <c r="UYH240" s="1"/>
      <c r="UYI240" s="1"/>
      <c r="UYJ240" s="1"/>
      <c r="UYK240" s="1"/>
      <c r="UYL240" s="1"/>
      <c r="UYM240" s="1"/>
      <c r="UYN240" s="1"/>
      <c r="UYO240" s="1"/>
      <c r="UYP240" s="1"/>
      <c r="UYQ240" s="1"/>
      <c r="UYR240" s="1"/>
      <c r="UYS240" s="1"/>
      <c r="UYT240" s="1"/>
      <c r="UYU240" s="1"/>
      <c r="UYV240" s="1"/>
      <c r="UYW240" s="1"/>
      <c r="UYX240" s="1"/>
      <c r="UYY240" s="1"/>
      <c r="UYZ240" s="1"/>
      <c r="UZA240" s="1"/>
      <c r="UZB240" s="1"/>
      <c r="UZC240" s="1"/>
      <c r="UZD240" s="1"/>
      <c r="UZE240" s="1"/>
      <c r="UZF240" s="1"/>
      <c r="UZG240" s="1"/>
      <c r="UZH240" s="1"/>
      <c r="UZI240" s="1"/>
      <c r="UZJ240" s="1"/>
      <c r="UZK240" s="1"/>
      <c r="UZL240" s="1"/>
      <c r="UZM240" s="1"/>
      <c r="UZN240" s="1"/>
      <c r="UZO240" s="1"/>
      <c r="UZP240" s="1"/>
      <c r="UZQ240" s="1"/>
      <c r="UZR240" s="1"/>
      <c r="UZS240" s="1"/>
      <c r="UZT240" s="1"/>
      <c r="UZU240" s="1"/>
      <c r="UZV240" s="1"/>
      <c r="UZW240" s="1"/>
      <c r="UZX240" s="1"/>
      <c r="UZY240" s="1"/>
      <c r="UZZ240" s="1"/>
      <c r="VAA240" s="1"/>
      <c r="VAB240" s="1"/>
      <c r="VAC240" s="1"/>
      <c r="VAD240" s="1"/>
      <c r="VAE240" s="1"/>
      <c r="VAF240" s="1"/>
      <c r="VAG240" s="1"/>
      <c r="VAH240" s="1"/>
      <c r="VAI240" s="1"/>
      <c r="VAJ240" s="1"/>
      <c r="VAK240" s="1"/>
      <c r="VAL240" s="1"/>
      <c r="VAM240" s="1"/>
      <c r="VAN240" s="1"/>
      <c r="VAO240" s="1"/>
      <c r="VAP240" s="1"/>
      <c r="VAQ240" s="1"/>
      <c r="VAR240" s="1"/>
      <c r="VAS240" s="1"/>
      <c r="VAT240" s="1"/>
      <c r="VAU240" s="1"/>
      <c r="VAV240" s="1"/>
      <c r="VAW240" s="1"/>
      <c r="VAX240" s="1"/>
      <c r="VAY240" s="1"/>
      <c r="VAZ240" s="1"/>
      <c r="VBA240" s="1"/>
      <c r="VBB240" s="1"/>
      <c r="VBC240" s="1"/>
      <c r="VBD240" s="1"/>
      <c r="VBE240" s="1"/>
      <c r="VBF240" s="1"/>
      <c r="VBG240" s="1"/>
      <c r="VBH240" s="1"/>
      <c r="VBI240" s="1"/>
      <c r="VBJ240" s="1"/>
      <c r="VBK240" s="1"/>
      <c r="VBL240" s="1"/>
      <c r="VBM240" s="1"/>
      <c r="VBN240" s="1"/>
      <c r="VBO240" s="1"/>
      <c r="VBP240" s="1"/>
      <c r="VBQ240" s="1"/>
      <c r="VBR240" s="1"/>
      <c r="VBS240" s="1"/>
      <c r="VBT240" s="1"/>
      <c r="VBU240" s="1"/>
      <c r="VBV240" s="1"/>
      <c r="VBW240" s="1"/>
      <c r="VBX240" s="1"/>
      <c r="VBY240" s="1"/>
      <c r="VBZ240" s="1"/>
      <c r="VCA240" s="1"/>
      <c r="VCB240" s="1"/>
      <c r="VCC240" s="1"/>
      <c r="VCD240" s="1"/>
      <c r="VCE240" s="1"/>
      <c r="VCF240" s="1"/>
      <c r="VCG240" s="1"/>
      <c r="VCH240" s="1"/>
      <c r="VCI240" s="1"/>
      <c r="VCJ240" s="1"/>
      <c r="VCK240" s="1"/>
      <c r="VCL240" s="1"/>
      <c r="VCM240" s="1"/>
      <c r="VCN240" s="1"/>
      <c r="VCO240" s="1"/>
      <c r="VCP240" s="1"/>
      <c r="VCQ240" s="1"/>
      <c r="VCR240" s="1"/>
      <c r="VCS240" s="1"/>
    </row>
    <row r="241" spans="1:14969" s="2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P241" s="3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1"/>
      <c r="AEC241" s="1"/>
      <c r="AED241" s="1"/>
      <c r="AEE241" s="1"/>
      <c r="AEF241" s="1"/>
      <c r="AEG241" s="1"/>
      <c r="AEH241" s="1"/>
      <c r="AEI241" s="1"/>
      <c r="AEJ241" s="1"/>
      <c r="AEK241" s="1"/>
      <c r="AEL241" s="1"/>
      <c r="AEM241" s="1"/>
      <c r="AEN241" s="1"/>
      <c r="AEO241" s="1"/>
      <c r="AEP241" s="1"/>
      <c r="AEQ241" s="1"/>
      <c r="AER241" s="1"/>
      <c r="AES241" s="1"/>
      <c r="AET241" s="1"/>
      <c r="AEU241" s="1"/>
      <c r="AEV241" s="1"/>
      <c r="AEW241" s="1"/>
      <c r="AEX241" s="1"/>
      <c r="AEY241" s="1"/>
      <c r="AEZ241" s="1"/>
      <c r="AFA241" s="1"/>
      <c r="AFB241" s="1"/>
      <c r="AFC241" s="1"/>
      <c r="AFD241" s="1"/>
      <c r="AFE241" s="1"/>
      <c r="AFF241" s="1"/>
      <c r="AFG241" s="1"/>
      <c r="AFH241" s="1"/>
      <c r="AFI241" s="1"/>
      <c r="AFJ241" s="1"/>
      <c r="AFK241" s="1"/>
      <c r="AFL241" s="1"/>
      <c r="AFM241" s="1"/>
      <c r="AFN241" s="1"/>
      <c r="AFO241" s="1"/>
      <c r="AFP241" s="1"/>
      <c r="AFQ241" s="1"/>
      <c r="AFR241" s="1"/>
      <c r="AFS241" s="1"/>
      <c r="AFT241" s="1"/>
      <c r="AFU241" s="1"/>
      <c r="AFV241" s="1"/>
      <c r="AFW241" s="1"/>
      <c r="AFX241" s="1"/>
      <c r="AFY241" s="1"/>
      <c r="AFZ241" s="1"/>
      <c r="AGA241" s="1"/>
      <c r="AGB241" s="1"/>
      <c r="AGC241" s="1"/>
      <c r="AGD241" s="1"/>
      <c r="AGE241" s="1"/>
      <c r="AGF241" s="1"/>
      <c r="AGG241" s="1"/>
      <c r="AGH241" s="1"/>
      <c r="AGI241" s="1"/>
      <c r="AGJ241" s="1"/>
      <c r="AGK241" s="1"/>
      <c r="AGL241" s="1"/>
      <c r="AGM241" s="1"/>
      <c r="AGN241" s="1"/>
      <c r="AGO241" s="1"/>
      <c r="AGP241" s="1"/>
      <c r="AGQ241" s="1"/>
      <c r="AGR241" s="1"/>
      <c r="AGS241" s="1"/>
      <c r="AGT241" s="1"/>
      <c r="AGU241" s="1"/>
      <c r="AGV241" s="1"/>
      <c r="AGW241" s="1"/>
      <c r="AGX241" s="1"/>
      <c r="AGY241" s="1"/>
      <c r="AGZ241" s="1"/>
      <c r="AHA241" s="1"/>
      <c r="AHB241" s="1"/>
      <c r="AHC241" s="1"/>
      <c r="AHD241" s="1"/>
      <c r="AHE241" s="1"/>
      <c r="AHF241" s="1"/>
      <c r="AHG241" s="1"/>
      <c r="AHH241" s="1"/>
      <c r="AHI241" s="1"/>
      <c r="AHJ241" s="1"/>
      <c r="AHK241" s="1"/>
      <c r="AHL241" s="1"/>
      <c r="AHM241" s="1"/>
      <c r="AHN241" s="1"/>
      <c r="AHO241" s="1"/>
      <c r="AHP241" s="1"/>
      <c r="AHQ241" s="1"/>
      <c r="AHR241" s="1"/>
      <c r="AHS241" s="1"/>
      <c r="AHT241" s="1"/>
      <c r="AHU241" s="1"/>
      <c r="AHV241" s="1"/>
      <c r="AHW241" s="1"/>
      <c r="AHX241" s="1"/>
      <c r="AHY241" s="1"/>
      <c r="AHZ241" s="1"/>
      <c r="AIA241" s="1"/>
      <c r="AIB241" s="1"/>
      <c r="AIC241" s="1"/>
      <c r="AID241" s="1"/>
      <c r="AIE241" s="1"/>
      <c r="AIF241" s="1"/>
      <c r="AIG241" s="1"/>
      <c r="AIH241" s="1"/>
      <c r="AII241" s="1"/>
      <c r="AIJ241" s="1"/>
      <c r="AIK241" s="1"/>
      <c r="AIL241" s="1"/>
      <c r="AIM241" s="1"/>
      <c r="AIN241" s="1"/>
      <c r="AIO241" s="1"/>
      <c r="AIP241" s="1"/>
      <c r="AIQ241" s="1"/>
      <c r="AIR241" s="1"/>
      <c r="AIS241" s="1"/>
      <c r="AIT241" s="1"/>
      <c r="AIU241" s="1"/>
      <c r="AIV241" s="1"/>
      <c r="AIW241" s="1"/>
      <c r="AIX241" s="1"/>
      <c r="AIY241" s="1"/>
      <c r="AIZ241" s="1"/>
      <c r="AJA241" s="1"/>
      <c r="AJB241" s="1"/>
      <c r="AJC241" s="1"/>
      <c r="AJD241" s="1"/>
      <c r="AJE241" s="1"/>
      <c r="AJF241" s="1"/>
      <c r="AJG241" s="1"/>
      <c r="AJH241" s="1"/>
      <c r="AJI241" s="1"/>
      <c r="AJJ241" s="1"/>
      <c r="AJK241" s="1"/>
      <c r="AJL241" s="1"/>
      <c r="AJM241" s="1"/>
      <c r="AJN241" s="1"/>
      <c r="AJO241" s="1"/>
      <c r="AJP241" s="1"/>
      <c r="AJQ241" s="1"/>
      <c r="AJR241" s="1"/>
      <c r="AJS241" s="1"/>
      <c r="AJT241" s="1"/>
      <c r="AJU241" s="1"/>
      <c r="AJV241" s="1"/>
      <c r="AJW241" s="1"/>
      <c r="AJX241" s="1"/>
      <c r="AJY241" s="1"/>
      <c r="AJZ241" s="1"/>
      <c r="AKA241" s="1"/>
      <c r="AKB241" s="1"/>
      <c r="AKC241" s="1"/>
      <c r="AKD241" s="1"/>
      <c r="AKE241" s="1"/>
      <c r="AKF241" s="1"/>
      <c r="AKG241" s="1"/>
      <c r="AKH241" s="1"/>
      <c r="AKI241" s="1"/>
      <c r="AKJ241" s="1"/>
      <c r="AKK241" s="1"/>
      <c r="AKL241" s="1"/>
      <c r="AKM241" s="1"/>
      <c r="AKN241" s="1"/>
      <c r="AKO241" s="1"/>
      <c r="AKP241" s="1"/>
      <c r="AKQ241" s="1"/>
      <c r="AKR241" s="1"/>
      <c r="AKS241" s="1"/>
      <c r="AKT241" s="1"/>
      <c r="AKU241" s="1"/>
      <c r="AKV241" s="1"/>
      <c r="AKW241" s="1"/>
      <c r="AKX241" s="1"/>
      <c r="AKY241" s="1"/>
      <c r="AKZ241" s="1"/>
      <c r="ALA241" s="1"/>
      <c r="ALB241" s="1"/>
      <c r="ALC241" s="1"/>
      <c r="ALD241" s="1"/>
      <c r="ALE241" s="1"/>
      <c r="ALF241" s="1"/>
      <c r="ALG241" s="1"/>
      <c r="ALH241" s="1"/>
      <c r="ALI241" s="1"/>
      <c r="ALJ241" s="1"/>
      <c r="ALK241" s="1"/>
      <c r="ALL241" s="1"/>
      <c r="ALM241" s="1"/>
      <c r="ALN241" s="1"/>
      <c r="ALO241" s="1"/>
      <c r="ALP241" s="1"/>
      <c r="ALQ241" s="1"/>
      <c r="ALR241" s="1"/>
      <c r="ALS241" s="1"/>
      <c r="ALT241" s="1"/>
      <c r="ALU241" s="1"/>
      <c r="ALV241" s="1"/>
      <c r="ALW241" s="1"/>
      <c r="ALX241" s="1"/>
      <c r="ALY241" s="1"/>
      <c r="ALZ241" s="1"/>
      <c r="AMA241" s="1"/>
      <c r="AMB241" s="1"/>
      <c r="AMC241" s="1"/>
      <c r="AMD241" s="1"/>
      <c r="AME241" s="1"/>
      <c r="AMF241" s="1"/>
      <c r="AMG241" s="1"/>
      <c r="AMH241" s="1"/>
      <c r="AMI241" s="1"/>
      <c r="AMJ241" s="1"/>
      <c r="AMK241" s="1"/>
      <c r="AML241" s="1"/>
      <c r="AMM241" s="1"/>
      <c r="AMN241" s="1"/>
      <c r="AMO241" s="1"/>
      <c r="AMP241" s="1"/>
      <c r="AMQ241" s="1"/>
      <c r="AMR241" s="1"/>
      <c r="AMS241" s="1"/>
      <c r="AMT241" s="1"/>
      <c r="AMU241" s="1"/>
      <c r="AMV241" s="1"/>
      <c r="AMW241" s="1"/>
      <c r="AMX241" s="1"/>
      <c r="AMY241" s="1"/>
      <c r="AMZ241" s="1"/>
      <c r="ANA241" s="1"/>
      <c r="ANB241" s="1"/>
      <c r="ANC241" s="1"/>
      <c r="AND241" s="1"/>
      <c r="ANE241" s="1"/>
      <c r="ANF241" s="1"/>
      <c r="ANG241" s="1"/>
      <c r="ANH241" s="1"/>
      <c r="ANI241" s="1"/>
      <c r="ANJ241" s="1"/>
      <c r="ANK241" s="1"/>
      <c r="ANL241" s="1"/>
      <c r="ANM241" s="1"/>
      <c r="ANN241" s="1"/>
      <c r="ANO241" s="1"/>
      <c r="ANP241" s="1"/>
      <c r="ANQ241" s="1"/>
      <c r="ANR241" s="1"/>
      <c r="ANS241" s="1"/>
      <c r="ANT241" s="1"/>
      <c r="ANU241" s="1"/>
      <c r="ANV241" s="1"/>
      <c r="ANW241" s="1"/>
      <c r="ANX241" s="1"/>
      <c r="ANY241" s="1"/>
      <c r="ANZ241" s="1"/>
      <c r="AOA241" s="1"/>
      <c r="AOB241" s="1"/>
      <c r="AOC241" s="1"/>
      <c r="AOD241" s="1"/>
      <c r="AOE241" s="1"/>
      <c r="AOF241" s="1"/>
      <c r="AOG241" s="1"/>
      <c r="AOH241" s="1"/>
      <c r="AOI241" s="1"/>
      <c r="AOJ241" s="1"/>
      <c r="AOK241" s="1"/>
      <c r="AOL241" s="1"/>
      <c r="AOM241" s="1"/>
      <c r="AON241" s="1"/>
      <c r="AOO241" s="1"/>
      <c r="AOP241" s="1"/>
      <c r="AOQ241" s="1"/>
      <c r="AOR241" s="1"/>
      <c r="AOS241" s="1"/>
      <c r="AOT241" s="1"/>
      <c r="AOU241" s="1"/>
      <c r="AOV241" s="1"/>
      <c r="AOW241" s="1"/>
      <c r="AOX241" s="1"/>
      <c r="AOY241" s="1"/>
      <c r="AOZ241" s="1"/>
      <c r="APA241" s="1"/>
      <c r="APB241" s="1"/>
      <c r="APC241" s="1"/>
      <c r="APD241" s="1"/>
      <c r="APE241" s="1"/>
      <c r="APF241" s="1"/>
      <c r="APG241" s="1"/>
      <c r="APH241" s="1"/>
      <c r="API241" s="1"/>
      <c r="APJ241" s="1"/>
      <c r="APK241" s="1"/>
      <c r="APL241" s="1"/>
      <c r="APM241" s="1"/>
      <c r="APN241" s="1"/>
      <c r="APO241" s="1"/>
      <c r="APP241" s="1"/>
      <c r="APQ241" s="1"/>
      <c r="APR241" s="1"/>
      <c r="APS241" s="1"/>
      <c r="APT241" s="1"/>
      <c r="APU241" s="1"/>
      <c r="APV241" s="1"/>
      <c r="APW241" s="1"/>
      <c r="APX241" s="1"/>
      <c r="APY241" s="1"/>
      <c r="APZ241" s="1"/>
      <c r="AQA241" s="1"/>
      <c r="AQB241" s="1"/>
      <c r="AQC241" s="1"/>
      <c r="AQD241" s="1"/>
      <c r="AQE241" s="1"/>
      <c r="AQF241" s="1"/>
      <c r="AQG241" s="1"/>
      <c r="AQH241" s="1"/>
      <c r="AQI241" s="1"/>
      <c r="AQJ241" s="1"/>
      <c r="AQK241" s="1"/>
      <c r="AQL241" s="1"/>
      <c r="AQM241" s="1"/>
      <c r="AQN241" s="1"/>
      <c r="AQO241" s="1"/>
      <c r="AQP241" s="1"/>
      <c r="AQQ241" s="1"/>
      <c r="AQR241" s="1"/>
      <c r="AQS241" s="1"/>
      <c r="AQT241" s="1"/>
      <c r="AQU241" s="1"/>
      <c r="AQV241" s="1"/>
      <c r="AQW241" s="1"/>
      <c r="AQX241" s="1"/>
      <c r="AQY241" s="1"/>
      <c r="AQZ241" s="1"/>
      <c r="ARA241" s="1"/>
      <c r="ARB241" s="1"/>
      <c r="ARC241" s="1"/>
      <c r="ARD241" s="1"/>
      <c r="ARE241" s="1"/>
      <c r="ARF241" s="1"/>
      <c r="ARG241" s="1"/>
      <c r="ARH241" s="1"/>
      <c r="ARI241" s="1"/>
      <c r="ARJ241" s="1"/>
      <c r="ARK241" s="1"/>
      <c r="ARL241" s="1"/>
      <c r="ARM241" s="1"/>
      <c r="ARN241" s="1"/>
      <c r="ARO241" s="1"/>
      <c r="ARP241" s="1"/>
      <c r="ARQ241" s="1"/>
      <c r="ARR241" s="1"/>
      <c r="ARS241" s="1"/>
      <c r="ART241" s="1"/>
      <c r="ARU241" s="1"/>
      <c r="ARV241" s="1"/>
      <c r="ARW241" s="1"/>
      <c r="ARX241" s="1"/>
      <c r="ARY241" s="1"/>
      <c r="ARZ241" s="1"/>
      <c r="ASA241" s="1"/>
      <c r="ASB241" s="1"/>
      <c r="ASC241" s="1"/>
      <c r="ASD241" s="1"/>
      <c r="ASE241" s="1"/>
      <c r="ASF241" s="1"/>
      <c r="ASG241" s="1"/>
      <c r="ASH241" s="1"/>
      <c r="ASI241" s="1"/>
      <c r="ASJ241" s="1"/>
      <c r="ASK241" s="1"/>
      <c r="ASL241" s="1"/>
      <c r="ASM241" s="1"/>
      <c r="ASN241" s="1"/>
      <c r="ASO241" s="1"/>
      <c r="ASP241" s="1"/>
      <c r="ASQ241" s="1"/>
      <c r="ASR241" s="1"/>
      <c r="ASS241" s="1"/>
      <c r="AST241" s="1"/>
      <c r="ASU241" s="1"/>
      <c r="ASV241" s="1"/>
      <c r="ASW241" s="1"/>
      <c r="ASX241" s="1"/>
      <c r="ASY241" s="1"/>
      <c r="ASZ241" s="1"/>
      <c r="ATA241" s="1"/>
      <c r="ATB241" s="1"/>
      <c r="ATC241" s="1"/>
      <c r="ATD241" s="1"/>
      <c r="ATE241" s="1"/>
      <c r="ATF241" s="1"/>
      <c r="ATG241" s="1"/>
      <c r="ATH241" s="1"/>
      <c r="ATI241" s="1"/>
      <c r="ATJ241" s="1"/>
      <c r="ATK241" s="1"/>
      <c r="ATL241" s="1"/>
      <c r="ATM241" s="1"/>
      <c r="ATN241" s="1"/>
      <c r="ATO241" s="1"/>
      <c r="ATP241" s="1"/>
      <c r="ATQ241" s="1"/>
      <c r="ATR241" s="1"/>
      <c r="ATS241" s="1"/>
      <c r="ATT241" s="1"/>
      <c r="ATU241" s="1"/>
      <c r="ATV241" s="1"/>
      <c r="ATW241" s="1"/>
      <c r="ATX241" s="1"/>
      <c r="ATY241" s="1"/>
      <c r="ATZ241" s="1"/>
      <c r="AUA241" s="1"/>
      <c r="AUB241" s="1"/>
      <c r="AUC241" s="1"/>
      <c r="AUD241" s="1"/>
      <c r="AUE241" s="1"/>
      <c r="AUF241" s="1"/>
      <c r="AUG241" s="1"/>
      <c r="AUH241" s="1"/>
      <c r="AUI241" s="1"/>
      <c r="AUJ241" s="1"/>
      <c r="AUK241" s="1"/>
      <c r="AUL241" s="1"/>
      <c r="AUM241" s="1"/>
      <c r="AUN241" s="1"/>
      <c r="AUO241" s="1"/>
      <c r="AUP241" s="1"/>
      <c r="AUQ241" s="1"/>
      <c r="AUR241" s="1"/>
      <c r="AUS241" s="1"/>
      <c r="AUT241" s="1"/>
      <c r="AUU241" s="1"/>
      <c r="AUV241" s="1"/>
      <c r="AUW241" s="1"/>
      <c r="AUX241" s="1"/>
      <c r="AUY241" s="1"/>
      <c r="AUZ241" s="1"/>
      <c r="AVA241" s="1"/>
      <c r="AVB241" s="1"/>
      <c r="AVC241" s="1"/>
      <c r="AVD241" s="1"/>
      <c r="AVE241" s="1"/>
      <c r="AVF241" s="1"/>
      <c r="AVG241" s="1"/>
      <c r="AVH241" s="1"/>
      <c r="AVI241" s="1"/>
      <c r="AVJ241" s="1"/>
      <c r="AVK241" s="1"/>
      <c r="AVL241" s="1"/>
      <c r="AVM241" s="1"/>
      <c r="AVN241" s="1"/>
      <c r="AVO241" s="1"/>
      <c r="AVP241" s="1"/>
      <c r="AVQ241" s="1"/>
      <c r="AVR241" s="1"/>
      <c r="AVS241" s="1"/>
      <c r="AVT241" s="1"/>
      <c r="AVU241" s="1"/>
      <c r="AVV241" s="1"/>
      <c r="AVW241" s="1"/>
      <c r="AVX241" s="1"/>
      <c r="AVY241" s="1"/>
      <c r="AVZ241" s="1"/>
      <c r="AWA241" s="1"/>
      <c r="AWB241" s="1"/>
      <c r="AWC241" s="1"/>
      <c r="AWD241" s="1"/>
      <c r="AWE241" s="1"/>
      <c r="AWF241" s="1"/>
      <c r="AWG241" s="1"/>
      <c r="AWH241" s="1"/>
      <c r="AWI241" s="1"/>
      <c r="AWJ241" s="1"/>
      <c r="AWK241" s="1"/>
      <c r="AWL241" s="1"/>
      <c r="AWM241" s="1"/>
      <c r="AWN241" s="1"/>
      <c r="AWO241" s="1"/>
      <c r="AWP241" s="1"/>
      <c r="AWQ241" s="1"/>
      <c r="AWR241" s="1"/>
      <c r="AWS241" s="1"/>
      <c r="AWT241" s="1"/>
      <c r="AWU241" s="1"/>
      <c r="AWV241" s="1"/>
      <c r="AWW241" s="1"/>
      <c r="AWX241" s="1"/>
      <c r="AWY241" s="1"/>
      <c r="AWZ241" s="1"/>
      <c r="AXA241" s="1"/>
      <c r="AXB241" s="1"/>
      <c r="AXC241" s="1"/>
      <c r="AXD241" s="1"/>
      <c r="AXE241" s="1"/>
      <c r="AXF241" s="1"/>
      <c r="AXG241" s="1"/>
      <c r="AXH241" s="1"/>
      <c r="AXI241" s="1"/>
      <c r="AXJ241" s="1"/>
      <c r="AXK241" s="1"/>
      <c r="AXL241" s="1"/>
      <c r="AXM241" s="1"/>
      <c r="AXN241" s="1"/>
      <c r="AXO241" s="1"/>
      <c r="AXP241" s="1"/>
      <c r="AXQ241" s="1"/>
      <c r="AXR241" s="1"/>
      <c r="AXS241" s="1"/>
      <c r="AXT241" s="1"/>
      <c r="AXU241" s="1"/>
      <c r="AXV241" s="1"/>
      <c r="AXW241" s="1"/>
      <c r="AXX241" s="1"/>
      <c r="AXY241" s="1"/>
      <c r="AXZ241" s="1"/>
      <c r="AYA241" s="1"/>
      <c r="AYB241" s="1"/>
      <c r="AYC241" s="1"/>
      <c r="AYD241" s="1"/>
      <c r="AYE241" s="1"/>
      <c r="AYF241" s="1"/>
      <c r="AYG241" s="1"/>
      <c r="AYH241" s="1"/>
      <c r="AYI241" s="1"/>
      <c r="AYJ241" s="1"/>
      <c r="AYK241" s="1"/>
      <c r="AYL241" s="1"/>
      <c r="AYM241" s="1"/>
      <c r="AYN241" s="1"/>
      <c r="AYO241" s="1"/>
      <c r="AYP241" s="1"/>
      <c r="AYQ241" s="1"/>
      <c r="AYR241" s="1"/>
      <c r="AYS241" s="1"/>
      <c r="AYT241" s="1"/>
      <c r="AYU241" s="1"/>
      <c r="AYV241" s="1"/>
      <c r="AYW241" s="1"/>
      <c r="AYX241" s="1"/>
      <c r="AYY241" s="1"/>
      <c r="AYZ241" s="1"/>
      <c r="AZA241" s="1"/>
      <c r="AZB241" s="1"/>
      <c r="AZC241" s="1"/>
      <c r="AZD241" s="1"/>
      <c r="AZE241" s="1"/>
      <c r="AZF241" s="1"/>
      <c r="AZG241" s="1"/>
      <c r="AZH241" s="1"/>
      <c r="AZI241" s="1"/>
      <c r="AZJ241" s="1"/>
      <c r="AZK241" s="1"/>
      <c r="AZL241" s="1"/>
      <c r="AZM241" s="1"/>
      <c r="AZN241" s="1"/>
      <c r="AZO241" s="1"/>
      <c r="AZP241" s="1"/>
      <c r="AZQ241" s="1"/>
      <c r="AZR241" s="1"/>
      <c r="AZS241" s="1"/>
      <c r="AZT241" s="1"/>
      <c r="AZU241" s="1"/>
      <c r="AZV241" s="1"/>
      <c r="AZW241" s="1"/>
      <c r="AZX241" s="1"/>
      <c r="AZY241" s="1"/>
      <c r="AZZ241" s="1"/>
      <c r="BAA241" s="1"/>
      <c r="BAB241" s="1"/>
      <c r="BAC241" s="1"/>
      <c r="BAD241" s="1"/>
      <c r="BAE241" s="1"/>
      <c r="BAF241" s="1"/>
      <c r="BAG241" s="1"/>
      <c r="BAH241" s="1"/>
      <c r="BAI241" s="1"/>
      <c r="BAJ241" s="1"/>
      <c r="BAK241" s="1"/>
      <c r="BAL241" s="1"/>
      <c r="BAM241" s="1"/>
      <c r="BAN241" s="1"/>
      <c r="BAO241" s="1"/>
      <c r="BAP241" s="1"/>
      <c r="BAQ241" s="1"/>
      <c r="BAR241" s="1"/>
      <c r="BAS241" s="1"/>
      <c r="BAT241" s="1"/>
      <c r="BAU241" s="1"/>
      <c r="BAV241" s="1"/>
      <c r="BAW241" s="1"/>
      <c r="BAX241" s="1"/>
      <c r="BAY241" s="1"/>
      <c r="BAZ241" s="1"/>
      <c r="BBA241" s="1"/>
      <c r="BBB241" s="1"/>
      <c r="BBC241" s="1"/>
      <c r="BBD241" s="1"/>
      <c r="BBE241" s="1"/>
      <c r="BBF241" s="1"/>
      <c r="BBG241" s="1"/>
      <c r="BBH241" s="1"/>
      <c r="BBI241" s="1"/>
      <c r="BBJ241" s="1"/>
      <c r="BBK241" s="1"/>
      <c r="BBL241" s="1"/>
      <c r="BBM241" s="1"/>
      <c r="BBN241" s="1"/>
      <c r="BBO241" s="1"/>
      <c r="BBP241" s="1"/>
      <c r="BBQ241" s="1"/>
      <c r="BBR241" s="1"/>
      <c r="BBS241" s="1"/>
      <c r="BBT241" s="1"/>
      <c r="BBU241" s="1"/>
      <c r="BBV241" s="1"/>
      <c r="BBW241" s="1"/>
      <c r="BBX241" s="1"/>
      <c r="BBY241" s="1"/>
      <c r="BBZ241" s="1"/>
      <c r="BCA241" s="1"/>
      <c r="BCB241" s="1"/>
      <c r="BCC241" s="1"/>
      <c r="BCD241" s="1"/>
      <c r="BCE241" s="1"/>
      <c r="BCF241" s="1"/>
      <c r="BCG241" s="1"/>
      <c r="BCH241" s="1"/>
      <c r="BCI241" s="1"/>
      <c r="BCJ241" s="1"/>
      <c r="BCK241" s="1"/>
      <c r="BCL241" s="1"/>
      <c r="BCM241" s="1"/>
      <c r="BCN241" s="1"/>
      <c r="BCO241" s="1"/>
      <c r="BCP241" s="1"/>
      <c r="BCQ241" s="1"/>
      <c r="BCR241" s="1"/>
      <c r="BCS241" s="1"/>
      <c r="BCT241" s="1"/>
      <c r="BCU241" s="1"/>
      <c r="BCV241" s="1"/>
      <c r="BCW241" s="1"/>
      <c r="BCX241" s="1"/>
      <c r="BCY241" s="1"/>
      <c r="BCZ241" s="1"/>
      <c r="BDA241" s="1"/>
      <c r="BDB241" s="1"/>
      <c r="BDC241" s="1"/>
      <c r="BDD241" s="1"/>
      <c r="BDE241" s="1"/>
      <c r="BDF241" s="1"/>
      <c r="BDG241" s="1"/>
      <c r="BDH241" s="1"/>
      <c r="BDI241" s="1"/>
      <c r="BDJ241" s="1"/>
      <c r="BDK241" s="1"/>
      <c r="BDL241" s="1"/>
      <c r="BDM241" s="1"/>
      <c r="BDN241" s="1"/>
      <c r="BDO241" s="1"/>
      <c r="BDP241" s="1"/>
      <c r="BDQ241" s="1"/>
      <c r="BDR241" s="1"/>
      <c r="BDS241" s="1"/>
      <c r="BDT241" s="1"/>
      <c r="BDU241" s="1"/>
      <c r="BDV241" s="1"/>
      <c r="BDW241" s="1"/>
      <c r="BDX241" s="1"/>
      <c r="BDY241" s="1"/>
      <c r="BDZ241" s="1"/>
      <c r="BEA241" s="1"/>
      <c r="BEB241" s="1"/>
      <c r="BEC241" s="1"/>
      <c r="BED241" s="1"/>
      <c r="BEE241" s="1"/>
      <c r="BEF241" s="1"/>
      <c r="BEG241" s="1"/>
      <c r="BEH241" s="1"/>
      <c r="BEI241" s="1"/>
      <c r="BEJ241" s="1"/>
      <c r="BEK241" s="1"/>
      <c r="BEL241" s="1"/>
      <c r="BEM241" s="1"/>
      <c r="BEN241" s="1"/>
      <c r="BEO241" s="1"/>
      <c r="BEP241" s="1"/>
      <c r="BEQ241" s="1"/>
      <c r="BER241" s="1"/>
      <c r="BES241" s="1"/>
      <c r="BET241" s="1"/>
      <c r="BEU241" s="1"/>
      <c r="BEV241" s="1"/>
      <c r="BEW241" s="1"/>
      <c r="BEX241" s="1"/>
      <c r="BEY241" s="1"/>
      <c r="BEZ241" s="1"/>
      <c r="BFA241" s="1"/>
      <c r="BFB241" s="1"/>
      <c r="BFC241" s="1"/>
      <c r="BFD241" s="1"/>
      <c r="BFE241" s="1"/>
      <c r="BFF241" s="1"/>
      <c r="BFG241" s="1"/>
      <c r="BFH241" s="1"/>
      <c r="BFI241" s="1"/>
      <c r="BFJ241" s="1"/>
      <c r="BFK241" s="1"/>
      <c r="BFL241" s="1"/>
      <c r="BFM241" s="1"/>
      <c r="BFN241" s="1"/>
      <c r="BFO241" s="1"/>
      <c r="BFP241" s="1"/>
      <c r="BFQ241" s="1"/>
      <c r="BFR241" s="1"/>
      <c r="BFS241" s="1"/>
      <c r="BFT241" s="1"/>
      <c r="BFU241" s="1"/>
      <c r="BFV241" s="1"/>
      <c r="BFW241" s="1"/>
      <c r="BFX241" s="1"/>
      <c r="BFY241" s="1"/>
      <c r="BFZ241" s="1"/>
      <c r="BGA241" s="1"/>
      <c r="BGB241" s="1"/>
      <c r="BGC241" s="1"/>
      <c r="BGD241" s="1"/>
      <c r="BGE241" s="1"/>
      <c r="BGF241" s="1"/>
      <c r="BGG241" s="1"/>
      <c r="BGH241" s="1"/>
      <c r="BGI241" s="1"/>
      <c r="BGJ241" s="1"/>
      <c r="BGK241" s="1"/>
      <c r="BGL241" s="1"/>
      <c r="BGM241" s="1"/>
      <c r="BGN241" s="1"/>
      <c r="BGO241" s="1"/>
      <c r="BGP241" s="1"/>
      <c r="BGQ241" s="1"/>
      <c r="BGR241" s="1"/>
      <c r="BGS241" s="1"/>
      <c r="BGT241" s="1"/>
      <c r="BGU241" s="1"/>
      <c r="BGV241" s="1"/>
      <c r="BGW241" s="1"/>
      <c r="BGX241" s="1"/>
      <c r="BGY241" s="1"/>
      <c r="BGZ241" s="1"/>
      <c r="BHA241" s="1"/>
      <c r="BHB241" s="1"/>
      <c r="BHC241" s="1"/>
      <c r="BHD241" s="1"/>
      <c r="BHE241" s="1"/>
      <c r="BHF241" s="1"/>
      <c r="BHG241" s="1"/>
      <c r="BHH241" s="1"/>
      <c r="BHI241" s="1"/>
      <c r="BHJ241" s="1"/>
      <c r="BHK241" s="1"/>
      <c r="BHL241" s="1"/>
      <c r="BHM241" s="1"/>
      <c r="BHN241" s="1"/>
      <c r="BHO241" s="1"/>
      <c r="BHP241" s="1"/>
      <c r="BHQ241" s="1"/>
      <c r="BHR241" s="1"/>
      <c r="BHS241" s="1"/>
      <c r="BHT241" s="1"/>
      <c r="BHU241" s="1"/>
      <c r="BHV241" s="1"/>
      <c r="BHW241" s="1"/>
      <c r="BHX241" s="1"/>
      <c r="BHY241" s="1"/>
      <c r="BHZ241" s="1"/>
      <c r="BIA241" s="1"/>
      <c r="BIB241" s="1"/>
      <c r="BIC241" s="1"/>
      <c r="BID241" s="1"/>
      <c r="BIE241" s="1"/>
      <c r="BIF241" s="1"/>
      <c r="BIG241" s="1"/>
      <c r="BIH241" s="1"/>
      <c r="BII241" s="1"/>
      <c r="BIJ241" s="1"/>
      <c r="BIK241" s="1"/>
      <c r="BIL241" s="1"/>
      <c r="BIM241" s="1"/>
      <c r="BIN241" s="1"/>
      <c r="BIO241" s="1"/>
      <c r="BIP241" s="1"/>
      <c r="BIQ241" s="1"/>
      <c r="BIR241" s="1"/>
      <c r="BIS241" s="1"/>
      <c r="BIT241" s="1"/>
      <c r="BIU241" s="1"/>
      <c r="BIV241" s="1"/>
      <c r="BIW241" s="1"/>
      <c r="BIX241" s="1"/>
      <c r="BIY241" s="1"/>
      <c r="BIZ241" s="1"/>
      <c r="BJA241" s="1"/>
      <c r="BJB241" s="1"/>
      <c r="BJC241" s="1"/>
      <c r="BJD241" s="1"/>
      <c r="BJE241" s="1"/>
      <c r="BJF241" s="1"/>
      <c r="BJG241" s="1"/>
      <c r="BJH241" s="1"/>
      <c r="BJI241" s="1"/>
      <c r="BJJ241" s="1"/>
      <c r="BJK241" s="1"/>
      <c r="BJL241" s="1"/>
      <c r="BJM241" s="1"/>
      <c r="BJN241" s="1"/>
      <c r="BJO241" s="1"/>
      <c r="BJP241" s="1"/>
      <c r="BJQ241" s="1"/>
      <c r="BJR241" s="1"/>
      <c r="BJS241" s="1"/>
      <c r="BJT241" s="1"/>
      <c r="BJU241" s="1"/>
      <c r="BJV241" s="1"/>
      <c r="BJW241" s="1"/>
      <c r="BJX241" s="1"/>
      <c r="BJY241" s="1"/>
      <c r="BJZ241" s="1"/>
      <c r="BKA241" s="1"/>
      <c r="BKB241" s="1"/>
      <c r="BKC241" s="1"/>
      <c r="BKD241" s="1"/>
      <c r="BKE241" s="1"/>
      <c r="BKF241" s="1"/>
      <c r="BKG241" s="1"/>
      <c r="BKH241" s="1"/>
      <c r="BKI241" s="1"/>
      <c r="BKJ241" s="1"/>
      <c r="BKK241" s="1"/>
      <c r="BKL241" s="1"/>
      <c r="BKM241" s="1"/>
      <c r="BKN241" s="1"/>
      <c r="BKO241" s="1"/>
      <c r="BKP241" s="1"/>
      <c r="BKQ241" s="1"/>
      <c r="BKR241" s="1"/>
      <c r="BKS241" s="1"/>
      <c r="BKT241" s="1"/>
      <c r="BKU241" s="1"/>
      <c r="BKV241" s="1"/>
      <c r="BKW241" s="1"/>
      <c r="BKX241" s="1"/>
      <c r="BKY241" s="1"/>
      <c r="BKZ241" s="1"/>
      <c r="BLA241" s="1"/>
      <c r="BLB241" s="1"/>
      <c r="BLC241" s="1"/>
      <c r="BLD241" s="1"/>
      <c r="BLE241" s="1"/>
      <c r="BLF241" s="1"/>
      <c r="BLG241" s="1"/>
      <c r="BLH241" s="1"/>
      <c r="BLI241" s="1"/>
      <c r="BLJ241" s="1"/>
      <c r="BLK241" s="1"/>
      <c r="BLL241" s="1"/>
      <c r="BLM241" s="1"/>
      <c r="BLN241" s="1"/>
      <c r="BLO241" s="1"/>
      <c r="BLP241" s="1"/>
      <c r="BLQ241" s="1"/>
      <c r="BLR241" s="1"/>
      <c r="BLS241" s="1"/>
      <c r="BLT241" s="1"/>
      <c r="BLU241" s="1"/>
      <c r="BLV241" s="1"/>
      <c r="BLW241" s="1"/>
      <c r="BLX241" s="1"/>
      <c r="BLY241" s="1"/>
      <c r="BLZ241" s="1"/>
      <c r="BMA241" s="1"/>
      <c r="BMB241" s="1"/>
      <c r="BMC241" s="1"/>
      <c r="BMD241" s="1"/>
      <c r="BME241" s="1"/>
      <c r="BMF241" s="1"/>
      <c r="BMG241" s="1"/>
      <c r="BMH241" s="1"/>
      <c r="BMI241" s="1"/>
      <c r="BMJ241" s="1"/>
      <c r="BMK241" s="1"/>
      <c r="BML241" s="1"/>
      <c r="BMM241" s="1"/>
      <c r="BMN241" s="1"/>
      <c r="BMO241" s="1"/>
      <c r="BMP241" s="1"/>
      <c r="BMQ241" s="1"/>
      <c r="BMR241" s="1"/>
      <c r="BMS241" s="1"/>
      <c r="BMT241" s="1"/>
      <c r="BMU241" s="1"/>
      <c r="BMV241" s="1"/>
      <c r="BMW241" s="1"/>
      <c r="BMX241" s="1"/>
      <c r="BMY241" s="1"/>
      <c r="BMZ241" s="1"/>
      <c r="BNA241" s="1"/>
      <c r="BNB241" s="1"/>
      <c r="BNC241" s="1"/>
      <c r="BND241" s="1"/>
      <c r="BNE241" s="1"/>
      <c r="BNF241" s="1"/>
      <c r="BNG241" s="1"/>
      <c r="BNH241" s="1"/>
      <c r="BNI241" s="1"/>
      <c r="BNJ241" s="1"/>
      <c r="BNK241" s="1"/>
      <c r="BNL241" s="1"/>
      <c r="BNM241" s="1"/>
      <c r="BNN241" s="1"/>
      <c r="BNO241" s="1"/>
      <c r="BNP241" s="1"/>
      <c r="BNQ241" s="1"/>
      <c r="BNR241" s="1"/>
      <c r="BNS241" s="1"/>
      <c r="BNT241" s="1"/>
      <c r="BNU241" s="1"/>
      <c r="BNV241" s="1"/>
      <c r="BNW241" s="1"/>
      <c r="BNX241" s="1"/>
      <c r="BNY241" s="1"/>
      <c r="BNZ241" s="1"/>
      <c r="BOA241" s="1"/>
      <c r="BOB241" s="1"/>
      <c r="BOC241" s="1"/>
      <c r="BOD241" s="1"/>
      <c r="BOE241" s="1"/>
      <c r="BOF241" s="1"/>
      <c r="BOG241" s="1"/>
      <c r="BOH241" s="1"/>
      <c r="BOI241" s="1"/>
      <c r="BOJ241" s="1"/>
      <c r="BOK241" s="1"/>
      <c r="BOL241" s="1"/>
      <c r="BOM241" s="1"/>
      <c r="BON241" s="1"/>
      <c r="BOO241" s="1"/>
      <c r="BOP241" s="1"/>
      <c r="BOQ241" s="1"/>
      <c r="BOR241" s="1"/>
      <c r="BOS241" s="1"/>
      <c r="BOT241" s="1"/>
      <c r="BOU241" s="1"/>
      <c r="BOV241" s="1"/>
      <c r="BOW241" s="1"/>
      <c r="BOX241" s="1"/>
      <c r="BOY241" s="1"/>
      <c r="BOZ241" s="1"/>
      <c r="BPA241" s="1"/>
      <c r="BPB241" s="1"/>
      <c r="BPC241" s="1"/>
      <c r="BPD241" s="1"/>
      <c r="BPE241" s="1"/>
      <c r="BPF241" s="1"/>
      <c r="BPG241" s="1"/>
      <c r="BPH241" s="1"/>
      <c r="BPI241" s="1"/>
      <c r="BPJ241" s="1"/>
      <c r="BPK241" s="1"/>
      <c r="BPL241" s="1"/>
      <c r="BPM241" s="1"/>
      <c r="BPN241" s="1"/>
      <c r="BPO241" s="1"/>
      <c r="BPP241" s="1"/>
      <c r="BPQ241" s="1"/>
      <c r="BPR241" s="1"/>
      <c r="BPS241" s="1"/>
      <c r="BPT241" s="1"/>
      <c r="BPU241" s="1"/>
      <c r="BPV241" s="1"/>
      <c r="BPW241" s="1"/>
      <c r="BPX241" s="1"/>
      <c r="BPY241" s="1"/>
      <c r="BPZ241" s="1"/>
      <c r="BQA241" s="1"/>
      <c r="BQB241" s="1"/>
      <c r="BQC241" s="1"/>
      <c r="BQD241" s="1"/>
      <c r="BQE241" s="1"/>
      <c r="BQF241" s="1"/>
      <c r="BQG241" s="1"/>
      <c r="BQH241" s="1"/>
      <c r="BQI241" s="1"/>
      <c r="BQJ241" s="1"/>
      <c r="BQK241" s="1"/>
      <c r="BQL241" s="1"/>
      <c r="BQM241" s="1"/>
      <c r="BQN241" s="1"/>
      <c r="BQO241" s="1"/>
      <c r="BQP241" s="1"/>
      <c r="BQQ241" s="1"/>
      <c r="BQR241" s="1"/>
      <c r="BQS241" s="1"/>
      <c r="BQT241" s="1"/>
      <c r="BQU241" s="1"/>
      <c r="BQV241" s="1"/>
      <c r="BQW241" s="1"/>
      <c r="BQX241" s="1"/>
      <c r="BQY241" s="1"/>
      <c r="BQZ241" s="1"/>
      <c r="BRA241" s="1"/>
      <c r="BRB241" s="1"/>
      <c r="BRC241" s="1"/>
      <c r="BRD241" s="1"/>
      <c r="BRE241" s="1"/>
      <c r="BRF241" s="1"/>
      <c r="BRG241" s="1"/>
      <c r="BRH241" s="1"/>
      <c r="BRI241" s="1"/>
      <c r="BRJ241" s="1"/>
      <c r="BRK241" s="1"/>
      <c r="BRL241" s="1"/>
      <c r="BRM241" s="1"/>
      <c r="BRN241" s="1"/>
      <c r="BRO241" s="1"/>
      <c r="BRP241" s="1"/>
      <c r="BRQ241" s="1"/>
      <c r="BRR241" s="1"/>
      <c r="BRS241" s="1"/>
      <c r="BRT241" s="1"/>
      <c r="BRU241" s="1"/>
      <c r="BRV241" s="1"/>
      <c r="BRW241" s="1"/>
      <c r="BRX241" s="1"/>
      <c r="BRY241" s="1"/>
      <c r="BRZ241" s="1"/>
      <c r="BSA241" s="1"/>
      <c r="BSB241" s="1"/>
      <c r="BSC241" s="1"/>
      <c r="BSD241" s="1"/>
      <c r="BSE241" s="1"/>
      <c r="BSF241" s="1"/>
      <c r="BSG241" s="1"/>
      <c r="BSH241" s="1"/>
      <c r="BSI241" s="1"/>
      <c r="BSJ241" s="1"/>
      <c r="BSK241" s="1"/>
      <c r="BSL241" s="1"/>
      <c r="BSM241" s="1"/>
      <c r="BSN241" s="1"/>
      <c r="BSO241" s="1"/>
      <c r="BSP241" s="1"/>
      <c r="BSQ241" s="1"/>
      <c r="BSR241" s="1"/>
      <c r="BSS241" s="1"/>
      <c r="BST241" s="1"/>
      <c r="BSU241" s="1"/>
      <c r="BSV241" s="1"/>
      <c r="BSW241" s="1"/>
      <c r="BSX241" s="1"/>
      <c r="BSY241" s="1"/>
      <c r="BSZ241" s="1"/>
      <c r="BTA241" s="1"/>
      <c r="BTB241" s="1"/>
      <c r="BTC241" s="1"/>
      <c r="BTD241" s="1"/>
      <c r="BTE241" s="1"/>
      <c r="BTF241" s="1"/>
      <c r="BTG241" s="1"/>
      <c r="BTH241" s="1"/>
      <c r="BTI241" s="1"/>
      <c r="BTJ241" s="1"/>
      <c r="BTK241" s="1"/>
      <c r="BTL241" s="1"/>
      <c r="BTM241" s="1"/>
      <c r="BTN241" s="1"/>
      <c r="BTO241" s="1"/>
      <c r="BTP241" s="1"/>
      <c r="BTQ241" s="1"/>
      <c r="BTR241" s="1"/>
      <c r="BTS241" s="1"/>
      <c r="BTT241" s="1"/>
      <c r="BTU241" s="1"/>
      <c r="BTV241" s="1"/>
      <c r="BTW241" s="1"/>
      <c r="BTX241" s="1"/>
      <c r="BTY241" s="1"/>
      <c r="BTZ241" s="1"/>
      <c r="BUA241" s="1"/>
      <c r="BUB241" s="1"/>
      <c r="BUC241" s="1"/>
      <c r="BUD241" s="1"/>
      <c r="BUE241" s="1"/>
      <c r="BUF241" s="1"/>
      <c r="BUG241" s="1"/>
      <c r="BUH241" s="1"/>
      <c r="BUI241" s="1"/>
      <c r="BUJ241" s="1"/>
      <c r="BUK241" s="1"/>
      <c r="BUL241" s="1"/>
      <c r="BUM241" s="1"/>
      <c r="BUN241" s="1"/>
      <c r="BUO241" s="1"/>
      <c r="BUP241" s="1"/>
      <c r="BUQ241" s="1"/>
      <c r="BUR241" s="1"/>
      <c r="BUS241" s="1"/>
      <c r="BUT241" s="1"/>
      <c r="BUU241" s="1"/>
      <c r="BUV241" s="1"/>
      <c r="BUW241" s="1"/>
      <c r="BUX241" s="1"/>
      <c r="BUY241" s="1"/>
      <c r="BUZ241" s="1"/>
      <c r="BVA241" s="1"/>
      <c r="BVB241" s="1"/>
      <c r="BVC241" s="1"/>
      <c r="BVD241" s="1"/>
      <c r="BVE241" s="1"/>
      <c r="BVF241" s="1"/>
      <c r="BVG241" s="1"/>
      <c r="BVH241" s="1"/>
      <c r="BVI241" s="1"/>
      <c r="BVJ241" s="1"/>
      <c r="BVK241" s="1"/>
      <c r="BVL241" s="1"/>
      <c r="BVM241" s="1"/>
      <c r="BVN241" s="1"/>
      <c r="BVO241" s="1"/>
      <c r="BVP241" s="1"/>
      <c r="BVQ241" s="1"/>
      <c r="BVR241" s="1"/>
      <c r="BVS241" s="1"/>
      <c r="BVT241" s="1"/>
      <c r="BVU241" s="1"/>
      <c r="BVV241" s="1"/>
      <c r="BVW241" s="1"/>
      <c r="BVX241" s="1"/>
      <c r="BVY241" s="1"/>
      <c r="BVZ241" s="1"/>
      <c r="BWA241" s="1"/>
      <c r="BWB241" s="1"/>
      <c r="BWC241" s="1"/>
      <c r="BWD241" s="1"/>
      <c r="BWE241" s="1"/>
      <c r="BWF241" s="1"/>
      <c r="BWG241" s="1"/>
      <c r="BWH241" s="1"/>
      <c r="BWI241" s="1"/>
      <c r="BWJ241" s="1"/>
      <c r="BWK241" s="1"/>
      <c r="BWL241" s="1"/>
      <c r="BWM241" s="1"/>
      <c r="BWN241" s="1"/>
      <c r="BWO241" s="1"/>
      <c r="BWP241" s="1"/>
      <c r="BWQ241" s="1"/>
      <c r="BWR241" s="1"/>
      <c r="BWS241" s="1"/>
      <c r="BWT241" s="1"/>
      <c r="BWU241" s="1"/>
      <c r="BWV241" s="1"/>
      <c r="BWW241" s="1"/>
      <c r="BWX241" s="1"/>
      <c r="BWY241" s="1"/>
      <c r="BWZ241" s="1"/>
      <c r="BXA241" s="1"/>
      <c r="BXB241" s="1"/>
      <c r="BXC241" s="1"/>
      <c r="BXD241" s="1"/>
      <c r="BXE241" s="1"/>
      <c r="BXF241" s="1"/>
      <c r="BXG241" s="1"/>
      <c r="BXH241" s="1"/>
      <c r="BXI241" s="1"/>
      <c r="BXJ241" s="1"/>
      <c r="BXK241" s="1"/>
      <c r="BXL241" s="1"/>
      <c r="BXM241" s="1"/>
      <c r="BXN241" s="1"/>
      <c r="BXO241" s="1"/>
      <c r="BXP241" s="1"/>
      <c r="BXQ241" s="1"/>
      <c r="BXR241" s="1"/>
      <c r="BXS241" s="1"/>
      <c r="BXT241" s="1"/>
      <c r="BXU241" s="1"/>
      <c r="BXV241" s="1"/>
      <c r="BXW241" s="1"/>
      <c r="BXX241" s="1"/>
      <c r="BXY241" s="1"/>
      <c r="BXZ241" s="1"/>
      <c r="BYA241" s="1"/>
      <c r="BYB241" s="1"/>
      <c r="BYC241" s="1"/>
      <c r="BYD241" s="1"/>
      <c r="BYE241" s="1"/>
      <c r="BYF241" s="1"/>
      <c r="BYG241" s="1"/>
      <c r="BYH241" s="1"/>
      <c r="BYI241" s="1"/>
      <c r="BYJ241" s="1"/>
      <c r="BYK241" s="1"/>
      <c r="BYL241" s="1"/>
      <c r="BYM241" s="1"/>
      <c r="BYN241" s="1"/>
      <c r="BYO241" s="1"/>
      <c r="BYP241" s="1"/>
      <c r="BYQ241" s="1"/>
      <c r="BYR241" s="1"/>
      <c r="BYS241" s="1"/>
      <c r="BYT241" s="1"/>
      <c r="BYU241" s="1"/>
      <c r="BYV241" s="1"/>
      <c r="BYW241" s="1"/>
      <c r="BYX241" s="1"/>
      <c r="BYY241" s="1"/>
      <c r="BYZ241" s="1"/>
      <c r="BZA241" s="1"/>
      <c r="BZB241" s="1"/>
      <c r="BZC241" s="1"/>
      <c r="BZD241" s="1"/>
      <c r="BZE241" s="1"/>
      <c r="BZF241" s="1"/>
      <c r="BZG241" s="1"/>
      <c r="BZH241" s="1"/>
      <c r="BZI241" s="1"/>
      <c r="BZJ241" s="1"/>
      <c r="BZK241" s="1"/>
      <c r="BZL241" s="1"/>
      <c r="BZM241" s="1"/>
      <c r="BZN241" s="1"/>
      <c r="BZO241" s="1"/>
      <c r="BZP241" s="1"/>
      <c r="BZQ241" s="1"/>
      <c r="BZR241" s="1"/>
      <c r="BZS241" s="1"/>
      <c r="BZT241" s="1"/>
      <c r="BZU241" s="1"/>
      <c r="BZV241" s="1"/>
      <c r="BZW241" s="1"/>
      <c r="BZX241" s="1"/>
      <c r="BZY241" s="1"/>
      <c r="BZZ241" s="1"/>
      <c r="CAA241" s="1"/>
      <c r="CAB241" s="1"/>
      <c r="CAC241" s="1"/>
      <c r="CAD241" s="1"/>
      <c r="CAE241" s="1"/>
      <c r="CAF241" s="1"/>
      <c r="CAG241" s="1"/>
      <c r="CAH241" s="1"/>
      <c r="CAI241" s="1"/>
      <c r="CAJ241" s="1"/>
      <c r="CAK241" s="1"/>
      <c r="CAL241" s="1"/>
      <c r="CAM241" s="1"/>
      <c r="CAN241" s="1"/>
      <c r="CAO241" s="1"/>
      <c r="CAP241" s="1"/>
      <c r="CAQ241" s="1"/>
      <c r="CAR241" s="1"/>
      <c r="CAS241" s="1"/>
      <c r="CAT241" s="1"/>
      <c r="CAU241" s="1"/>
      <c r="CAV241" s="1"/>
      <c r="CAW241" s="1"/>
      <c r="CAX241" s="1"/>
      <c r="CAY241" s="1"/>
      <c r="CAZ241" s="1"/>
      <c r="CBA241" s="1"/>
      <c r="CBB241" s="1"/>
      <c r="CBC241" s="1"/>
      <c r="CBD241" s="1"/>
      <c r="CBE241" s="1"/>
      <c r="CBF241" s="1"/>
      <c r="CBG241" s="1"/>
      <c r="CBH241" s="1"/>
      <c r="CBI241" s="1"/>
      <c r="CBJ241" s="1"/>
      <c r="CBK241" s="1"/>
      <c r="CBL241" s="1"/>
      <c r="CBM241" s="1"/>
      <c r="CBN241" s="1"/>
      <c r="CBO241" s="1"/>
      <c r="CBP241" s="1"/>
      <c r="CBQ241" s="1"/>
      <c r="CBR241" s="1"/>
      <c r="CBS241" s="1"/>
      <c r="CBT241" s="1"/>
      <c r="CBU241" s="1"/>
      <c r="CBV241" s="1"/>
      <c r="CBW241" s="1"/>
      <c r="CBX241" s="1"/>
      <c r="CBY241" s="1"/>
      <c r="CBZ241" s="1"/>
      <c r="CCA241" s="1"/>
      <c r="CCB241" s="1"/>
      <c r="CCC241" s="1"/>
      <c r="CCD241" s="1"/>
      <c r="CCE241" s="1"/>
      <c r="CCF241" s="1"/>
      <c r="CCG241" s="1"/>
      <c r="CCH241" s="1"/>
      <c r="CCI241" s="1"/>
      <c r="CCJ241" s="1"/>
      <c r="CCK241" s="1"/>
      <c r="CCL241" s="1"/>
      <c r="CCM241" s="1"/>
      <c r="CCN241" s="1"/>
      <c r="CCO241" s="1"/>
      <c r="CCP241" s="1"/>
      <c r="CCQ241" s="1"/>
      <c r="CCR241" s="1"/>
      <c r="CCS241" s="1"/>
      <c r="CCT241" s="1"/>
      <c r="CCU241" s="1"/>
      <c r="CCV241" s="1"/>
      <c r="CCW241" s="1"/>
      <c r="CCX241" s="1"/>
      <c r="CCY241" s="1"/>
      <c r="CCZ241" s="1"/>
      <c r="CDA241" s="1"/>
      <c r="CDB241" s="1"/>
      <c r="CDC241" s="1"/>
      <c r="CDD241" s="1"/>
      <c r="CDE241" s="1"/>
      <c r="CDF241" s="1"/>
      <c r="CDG241" s="1"/>
      <c r="CDH241" s="1"/>
      <c r="CDI241" s="1"/>
      <c r="CDJ241" s="1"/>
      <c r="CDK241" s="1"/>
      <c r="CDL241" s="1"/>
      <c r="CDM241" s="1"/>
      <c r="CDN241" s="1"/>
      <c r="CDO241" s="1"/>
      <c r="CDP241" s="1"/>
      <c r="CDQ241" s="1"/>
      <c r="CDR241" s="1"/>
      <c r="CDS241" s="1"/>
      <c r="CDT241" s="1"/>
      <c r="CDU241" s="1"/>
      <c r="CDV241" s="1"/>
      <c r="CDW241" s="1"/>
      <c r="CDX241" s="1"/>
      <c r="CDY241" s="1"/>
      <c r="CDZ241" s="1"/>
      <c r="CEA241" s="1"/>
      <c r="CEB241" s="1"/>
      <c r="CEC241" s="1"/>
      <c r="CED241" s="1"/>
      <c r="CEE241" s="1"/>
      <c r="CEF241" s="1"/>
      <c r="CEG241" s="1"/>
      <c r="CEH241" s="1"/>
      <c r="CEI241" s="1"/>
      <c r="CEJ241" s="1"/>
      <c r="CEK241" s="1"/>
      <c r="CEL241" s="1"/>
      <c r="CEM241" s="1"/>
      <c r="CEN241" s="1"/>
      <c r="CEO241" s="1"/>
      <c r="CEP241" s="1"/>
      <c r="CEQ241" s="1"/>
      <c r="CER241" s="1"/>
      <c r="CES241" s="1"/>
      <c r="CET241" s="1"/>
      <c r="CEU241" s="1"/>
      <c r="CEV241" s="1"/>
      <c r="CEW241" s="1"/>
      <c r="CEX241" s="1"/>
      <c r="CEY241" s="1"/>
      <c r="CEZ241" s="1"/>
      <c r="CFA241" s="1"/>
      <c r="CFB241" s="1"/>
      <c r="CFC241" s="1"/>
      <c r="CFD241" s="1"/>
      <c r="CFE241" s="1"/>
      <c r="CFF241" s="1"/>
      <c r="CFG241" s="1"/>
      <c r="CFH241" s="1"/>
      <c r="CFI241" s="1"/>
      <c r="CFJ241" s="1"/>
      <c r="CFK241" s="1"/>
      <c r="CFL241" s="1"/>
      <c r="CFM241" s="1"/>
      <c r="CFN241" s="1"/>
      <c r="CFO241" s="1"/>
      <c r="CFP241" s="1"/>
      <c r="CFQ241" s="1"/>
      <c r="CFR241" s="1"/>
      <c r="CFS241" s="1"/>
      <c r="CFT241" s="1"/>
      <c r="CFU241" s="1"/>
      <c r="CFV241" s="1"/>
      <c r="CFW241" s="1"/>
      <c r="CFX241" s="1"/>
      <c r="CFY241" s="1"/>
      <c r="CFZ241" s="1"/>
      <c r="CGA241" s="1"/>
      <c r="CGB241" s="1"/>
      <c r="CGC241" s="1"/>
      <c r="CGD241" s="1"/>
      <c r="CGE241" s="1"/>
      <c r="CGF241" s="1"/>
      <c r="CGG241" s="1"/>
      <c r="CGH241" s="1"/>
      <c r="CGI241" s="1"/>
      <c r="CGJ241" s="1"/>
      <c r="CGK241" s="1"/>
      <c r="CGL241" s="1"/>
      <c r="CGM241" s="1"/>
      <c r="CGN241" s="1"/>
      <c r="CGO241" s="1"/>
      <c r="CGP241" s="1"/>
      <c r="CGQ241" s="1"/>
      <c r="CGR241" s="1"/>
      <c r="CGS241" s="1"/>
      <c r="CGT241" s="1"/>
      <c r="CGU241" s="1"/>
      <c r="CGV241" s="1"/>
      <c r="CGW241" s="1"/>
      <c r="CGX241" s="1"/>
      <c r="CGY241" s="1"/>
      <c r="CGZ241" s="1"/>
      <c r="CHA241" s="1"/>
      <c r="CHB241" s="1"/>
      <c r="CHC241" s="1"/>
      <c r="CHD241" s="1"/>
      <c r="CHE241" s="1"/>
      <c r="CHF241" s="1"/>
      <c r="CHG241" s="1"/>
      <c r="CHH241" s="1"/>
      <c r="CHI241" s="1"/>
      <c r="CHJ241" s="1"/>
      <c r="CHK241" s="1"/>
      <c r="CHL241" s="1"/>
      <c r="CHM241" s="1"/>
      <c r="CHN241" s="1"/>
      <c r="CHO241" s="1"/>
      <c r="CHP241" s="1"/>
      <c r="CHQ241" s="1"/>
      <c r="CHR241" s="1"/>
      <c r="CHS241" s="1"/>
      <c r="CHT241" s="1"/>
      <c r="CHU241" s="1"/>
      <c r="CHV241" s="1"/>
      <c r="CHW241" s="1"/>
      <c r="CHX241" s="1"/>
      <c r="CHY241" s="1"/>
      <c r="CHZ241" s="1"/>
      <c r="CIA241" s="1"/>
      <c r="CIB241" s="1"/>
      <c r="CIC241" s="1"/>
      <c r="CID241" s="1"/>
      <c r="CIE241" s="1"/>
      <c r="CIF241" s="1"/>
      <c r="CIG241" s="1"/>
      <c r="CIH241" s="1"/>
      <c r="CII241" s="1"/>
      <c r="CIJ241" s="1"/>
      <c r="CIK241" s="1"/>
      <c r="CIL241" s="1"/>
      <c r="CIM241" s="1"/>
      <c r="CIN241" s="1"/>
      <c r="CIO241" s="1"/>
      <c r="CIP241" s="1"/>
      <c r="CIQ241" s="1"/>
      <c r="CIR241" s="1"/>
      <c r="CIS241" s="1"/>
      <c r="CIT241" s="1"/>
      <c r="CIU241" s="1"/>
      <c r="CIV241" s="1"/>
      <c r="CIW241" s="1"/>
      <c r="CIX241" s="1"/>
      <c r="CIY241" s="1"/>
      <c r="CIZ241" s="1"/>
      <c r="CJA241" s="1"/>
      <c r="CJB241" s="1"/>
      <c r="CJC241" s="1"/>
      <c r="CJD241" s="1"/>
      <c r="CJE241" s="1"/>
      <c r="CJF241" s="1"/>
      <c r="CJG241" s="1"/>
      <c r="CJH241" s="1"/>
      <c r="CJI241" s="1"/>
      <c r="CJJ241" s="1"/>
      <c r="CJK241" s="1"/>
      <c r="CJL241" s="1"/>
      <c r="CJM241" s="1"/>
      <c r="CJN241" s="1"/>
      <c r="CJO241" s="1"/>
      <c r="CJP241" s="1"/>
      <c r="CJQ241" s="1"/>
      <c r="CJR241" s="1"/>
      <c r="CJS241" s="1"/>
      <c r="CJT241" s="1"/>
      <c r="CJU241" s="1"/>
      <c r="CJV241" s="1"/>
      <c r="CJW241" s="1"/>
      <c r="CJX241" s="1"/>
      <c r="CJY241" s="1"/>
      <c r="CJZ241" s="1"/>
      <c r="CKA241" s="1"/>
      <c r="CKB241" s="1"/>
      <c r="CKC241" s="1"/>
      <c r="CKD241" s="1"/>
      <c r="CKE241" s="1"/>
      <c r="CKF241" s="1"/>
      <c r="CKG241" s="1"/>
      <c r="CKH241" s="1"/>
      <c r="CKI241" s="1"/>
      <c r="CKJ241" s="1"/>
      <c r="CKK241" s="1"/>
      <c r="CKL241" s="1"/>
      <c r="CKM241" s="1"/>
      <c r="CKN241" s="1"/>
      <c r="CKO241" s="1"/>
      <c r="CKP241" s="1"/>
      <c r="CKQ241" s="1"/>
      <c r="CKR241" s="1"/>
      <c r="CKS241" s="1"/>
      <c r="CKT241" s="1"/>
      <c r="CKU241" s="1"/>
      <c r="CKV241" s="1"/>
      <c r="CKW241" s="1"/>
      <c r="CKX241" s="1"/>
      <c r="CKY241" s="1"/>
      <c r="CKZ241" s="1"/>
      <c r="CLA241" s="1"/>
      <c r="CLB241" s="1"/>
      <c r="CLC241" s="1"/>
      <c r="CLD241" s="1"/>
      <c r="CLE241" s="1"/>
      <c r="CLF241" s="1"/>
      <c r="CLG241" s="1"/>
      <c r="CLH241" s="1"/>
      <c r="CLI241" s="1"/>
      <c r="CLJ241" s="1"/>
      <c r="CLK241" s="1"/>
      <c r="CLL241" s="1"/>
      <c r="CLM241" s="1"/>
      <c r="CLN241" s="1"/>
      <c r="CLO241" s="1"/>
      <c r="CLP241" s="1"/>
      <c r="CLQ241" s="1"/>
      <c r="CLR241" s="1"/>
      <c r="CLS241" s="1"/>
      <c r="CLT241" s="1"/>
      <c r="CLU241" s="1"/>
      <c r="CLV241" s="1"/>
      <c r="CLW241" s="1"/>
      <c r="CLX241" s="1"/>
      <c r="CLY241" s="1"/>
      <c r="CLZ241" s="1"/>
      <c r="CMA241" s="1"/>
      <c r="CMB241" s="1"/>
      <c r="CMC241" s="1"/>
      <c r="CMD241" s="1"/>
      <c r="CME241" s="1"/>
      <c r="CMF241" s="1"/>
      <c r="CMG241" s="1"/>
      <c r="CMH241" s="1"/>
      <c r="CMI241" s="1"/>
      <c r="CMJ241" s="1"/>
      <c r="CMK241" s="1"/>
      <c r="CML241" s="1"/>
      <c r="CMM241" s="1"/>
      <c r="CMN241" s="1"/>
      <c r="CMO241" s="1"/>
      <c r="CMP241" s="1"/>
      <c r="CMQ241" s="1"/>
      <c r="CMR241" s="1"/>
      <c r="CMS241" s="1"/>
      <c r="CMT241" s="1"/>
      <c r="CMU241" s="1"/>
      <c r="CMV241" s="1"/>
      <c r="CMW241" s="1"/>
      <c r="CMX241" s="1"/>
      <c r="CMY241" s="1"/>
      <c r="CMZ241" s="1"/>
      <c r="CNA241" s="1"/>
      <c r="CNB241" s="1"/>
      <c r="CNC241" s="1"/>
      <c r="CND241" s="1"/>
      <c r="CNE241" s="1"/>
      <c r="CNF241" s="1"/>
      <c r="CNG241" s="1"/>
      <c r="CNH241" s="1"/>
      <c r="CNI241" s="1"/>
      <c r="CNJ241" s="1"/>
      <c r="CNK241" s="1"/>
      <c r="CNL241" s="1"/>
      <c r="CNM241" s="1"/>
      <c r="CNN241" s="1"/>
      <c r="CNO241" s="1"/>
      <c r="CNP241" s="1"/>
      <c r="CNQ241" s="1"/>
      <c r="CNR241" s="1"/>
      <c r="CNS241" s="1"/>
      <c r="CNT241" s="1"/>
      <c r="CNU241" s="1"/>
      <c r="CNV241" s="1"/>
      <c r="CNW241" s="1"/>
      <c r="CNX241" s="1"/>
      <c r="CNY241" s="1"/>
      <c r="CNZ241" s="1"/>
      <c r="COA241" s="1"/>
      <c r="COB241" s="1"/>
      <c r="COC241" s="1"/>
      <c r="COD241" s="1"/>
      <c r="COE241" s="1"/>
      <c r="COF241" s="1"/>
      <c r="COG241" s="1"/>
      <c r="COH241" s="1"/>
      <c r="COI241" s="1"/>
      <c r="COJ241" s="1"/>
      <c r="COK241" s="1"/>
      <c r="COL241" s="1"/>
      <c r="COM241" s="1"/>
      <c r="CON241" s="1"/>
      <c r="COO241" s="1"/>
      <c r="COP241" s="1"/>
      <c r="COQ241" s="1"/>
      <c r="COR241" s="1"/>
      <c r="COS241" s="1"/>
      <c r="COT241" s="1"/>
      <c r="COU241" s="1"/>
      <c r="COV241" s="1"/>
      <c r="COW241" s="1"/>
      <c r="COX241" s="1"/>
      <c r="COY241" s="1"/>
      <c r="COZ241" s="1"/>
      <c r="CPA241" s="1"/>
      <c r="CPB241" s="1"/>
      <c r="CPC241" s="1"/>
      <c r="CPD241" s="1"/>
      <c r="CPE241" s="1"/>
      <c r="CPF241" s="1"/>
      <c r="CPG241" s="1"/>
      <c r="CPH241" s="1"/>
      <c r="CPI241" s="1"/>
      <c r="CPJ241" s="1"/>
      <c r="CPK241" s="1"/>
      <c r="CPL241" s="1"/>
      <c r="CPM241" s="1"/>
      <c r="CPN241" s="1"/>
      <c r="CPO241" s="1"/>
      <c r="CPP241" s="1"/>
      <c r="CPQ241" s="1"/>
      <c r="CPR241" s="1"/>
      <c r="CPS241" s="1"/>
      <c r="CPT241" s="1"/>
      <c r="CPU241" s="1"/>
      <c r="CPV241" s="1"/>
      <c r="CPW241" s="1"/>
      <c r="CPX241" s="1"/>
      <c r="CPY241" s="1"/>
      <c r="CPZ241" s="1"/>
      <c r="CQA241" s="1"/>
      <c r="CQB241" s="1"/>
      <c r="CQC241" s="1"/>
      <c r="CQD241" s="1"/>
      <c r="CQE241" s="1"/>
      <c r="CQF241" s="1"/>
      <c r="CQG241" s="1"/>
      <c r="CQH241" s="1"/>
      <c r="CQI241" s="1"/>
      <c r="CQJ241" s="1"/>
      <c r="CQK241" s="1"/>
      <c r="CQL241" s="1"/>
      <c r="CQM241" s="1"/>
      <c r="CQN241" s="1"/>
      <c r="CQO241" s="1"/>
      <c r="CQP241" s="1"/>
      <c r="CQQ241" s="1"/>
      <c r="CQR241" s="1"/>
      <c r="CQS241" s="1"/>
      <c r="CQT241" s="1"/>
      <c r="CQU241" s="1"/>
      <c r="CQV241" s="1"/>
      <c r="CQW241" s="1"/>
      <c r="CQX241" s="1"/>
      <c r="CQY241" s="1"/>
      <c r="CQZ241" s="1"/>
      <c r="CRA241" s="1"/>
      <c r="CRB241" s="1"/>
      <c r="CRC241" s="1"/>
      <c r="CRD241" s="1"/>
      <c r="CRE241" s="1"/>
      <c r="CRF241" s="1"/>
      <c r="CRG241" s="1"/>
      <c r="CRH241" s="1"/>
      <c r="CRI241" s="1"/>
      <c r="CRJ241" s="1"/>
      <c r="CRK241" s="1"/>
      <c r="CRL241" s="1"/>
      <c r="CRM241" s="1"/>
      <c r="CRN241" s="1"/>
      <c r="CRO241" s="1"/>
      <c r="CRP241" s="1"/>
      <c r="CRQ241" s="1"/>
      <c r="CRR241" s="1"/>
      <c r="CRS241" s="1"/>
      <c r="CRT241" s="1"/>
      <c r="CRU241" s="1"/>
      <c r="CRV241" s="1"/>
      <c r="CRW241" s="1"/>
      <c r="CRX241" s="1"/>
      <c r="CRY241" s="1"/>
      <c r="CRZ241" s="1"/>
      <c r="CSA241" s="1"/>
      <c r="CSB241" s="1"/>
      <c r="CSC241" s="1"/>
      <c r="CSD241" s="1"/>
      <c r="CSE241" s="1"/>
      <c r="CSF241" s="1"/>
      <c r="CSG241" s="1"/>
      <c r="CSH241" s="1"/>
      <c r="CSI241" s="1"/>
      <c r="CSJ241" s="1"/>
      <c r="CSK241" s="1"/>
      <c r="CSL241" s="1"/>
      <c r="CSM241" s="1"/>
      <c r="CSN241" s="1"/>
      <c r="CSO241" s="1"/>
      <c r="CSP241" s="1"/>
      <c r="CSQ241" s="1"/>
      <c r="CSR241" s="1"/>
      <c r="CSS241" s="1"/>
      <c r="CST241" s="1"/>
      <c r="CSU241" s="1"/>
      <c r="CSV241" s="1"/>
      <c r="CSW241" s="1"/>
      <c r="CSX241" s="1"/>
      <c r="CSY241" s="1"/>
      <c r="CSZ241" s="1"/>
      <c r="CTA241" s="1"/>
      <c r="CTB241" s="1"/>
      <c r="CTC241" s="1"/>
      <c r="CTD241" s="1"/>
      <c r="CTE241" s="1"/>
      <c r="CTF241" s="1"/>
      <c r="CTG241" s="1"/>
      <c r="CTH241" s="1"/>
      <c r="CTI241" s="1"/>
      <c r="CTJ241" s="1"/>
      <c r="CTK241" s="1"/>
      <c r="CTL241" s="1"/>
      <c r="CTM241" s="1"/>
      <c r="CTN241" s="1"/>
      <c r="CTO241" s="1"/>
      <c r="CTP241" s="1"/>
      <c r="CTQ241" s="1"/>
      <c r="CTR241" s="1"/>
      <c r="CTS241" s="1"/>
      <c r="CTT241" s="1"/>
      <c r="CTU241" s="1"/>
      <c r="CTV241" s="1"/>
      <c r="CTW241" s="1"/>
      <c r="CTX241" s="1"/>
      <c r="CTY241" s="1"/>
      <c r="CTZ241" s="1"/>
      <c r="CUA241" s="1"/>
      <c r="CUB241" s="1"/>
      <c r="CUC241" s="1"/>
      <c r="CUD241" s="1"/>
      <c r="CUE241" s="1"/>
      <c r="CUF241" s="1"/>
      <c r="CUG241" s="1"/>
      <c r="CUH241" s="1"/>
      <c r="CUI241" s="1"/>
      <c r="CUJ241" s="1"/>
      <c r="CUK241" s="1"/>
      <c r="CUL241" s="1"/>
      <c r="CUM241" s="1"/>
      <c r="CUN241" s="1"/>
      <c r="CUO241" s="1"/>
      <c r="CUP241" s="1"/>
      <c r="CUQ241" s="1"/>
      <c r="CUR241" s="1"/>
      <c r="CUS241" s="1"/>
      <c r="CUT241" s="1"/>
      <c r="CUU241" s="1"/>
      <c r="CUV241" s="1"/>
      <c r="CUW241" s="1"/>
      <c r="CUX241" s="1"/>
      <c r="CUY241" s="1"/>
      <c r="CUZ241" s="1"/>
      <c r="CVA241" s="1"/>
      <c r="CVB241" s="1"/>
      <c r="CVC241" s="1"/>
      <c r="CVD241" s="1"/>
      <c r="CVE241" s="1"/>
      <c r="CVF241" s="1"/>
      <c r="CVG241" s="1"/>
      <c r="CVH241" s="1"/>
      <c r="CVI241" s="1"/>
      <c r="CVJ241" s="1"/>
      <c r="CVK241" s="1"/>
      <c r="CVL241" s="1"/>
      <c r="CVM241" s="1"/>
      <c r="CVN241" s="1"/>
      <c r="CVO241" s="1"/>
      <c r="CVP241" s="1"/>
      <c r="CVQ241" s="1"/>
      <c r="CVR241" s="1"/>
      <c r="CVS241" s="1"/>
      <c r="CVT241" s="1"/>
      <c r="CVU241" s="1"/>
      <c r="CVV241" s="1"/>
      <c r="CVW241" s="1"/>
      <c r="CVX241" s="1"/>
      <c r="CVY241" s="1"/>
      <c r="CVZ241" s="1"/>
      <c r="CWA241" s="1"/>
      <c r="CWB241" s="1"/>
      <c r="CWC241" s="1"/>
      <c r="CWD241" s="1"/>
      <c r="CWE241" s="1"/>
      <c r="CWF241" s="1"/>
      <c r="CWG241" s="1"/>
      <c r="CWH241" s="1"/>
      <c r="CWI241" s="1"/>
      <c r="CWJ241" s="1"/>
      <c r="CWK241" s="1"/>
      <c r="CWL241" s="1"/>
      <c r="CWM241" s="1"/>
      <c r="CWN241" s="1"/>
      <c r="CWO241" s="1"/>
      <c r="CWP241" s="1"/>
      <c r="CWQ241" s="1"/>
      <c r="CWR241" s="1"/>
      <c r="CWS241" s="1"/>
      <c r="CWT241" s="1"/>
      <c r="CWU241" s="1"/>
      <c r="CWV241" s="1"/>
      <c r="CWW241" s="1"/>
      <c r="CWX241" s="1"/>
      <c r="CWY241" s="1"/>
      <c r="CWZ241" s="1"/>
      <c r="CXA241" s="1"/>
      <c r="CXB241" s="1"/>
      <c r="CXC241" s="1"/>
      <c r="CXD241" s="1"/>
      <c r="CXE241" s="1"/>
      <c r="CXF241" s="1"/>
      <c r="CXG241" s="1"/>
      <c r="CXH241" s="1"/>
      <c r="CXI241" s="1"/>
      <c r="CXJ241" s="1"/>
      <c r="CXK241" s="1"/>
      <c r="CXL241" s="1"/>
      <c r="CXM241" s="1"/>
      <c r="CXN241" s="1"/>
      <c r="CXO241" s="1"/>
      <c r="CXP241" s="1"/>
      <c r="CXQ241" s="1"/>
      <c r="CXR241" s="1"/>
      <c r="CXS241" s="1"/>
      <c r="CXT241" s="1"/>
      <c r="CXU241" s="1"/>
      <c r="CXV241" s="1"/>
      <c r="CXW241" s="1"/>
      <c r="CXX241" s="1"/>
      <c r="CXY241" s="1"/>
      <c r="CXZ241" s="1"/>
      <c r="CYA241" s="1"/>
      <c r="CYB241" s="1"/>
      <c r="CYC241" s="1"/>
      <c r="CYD241" s="1"/>
      <c r="CYE241" s="1"/>
      <c r="CYF241" s="1"/>
      <c r="CYG241" s="1"/>
      <c r="CYH241" s="1"/>
      <c r="CYI241" s="1"/>
      <c r="CYJ241" s="1"/>
      <c r="CYK241" s="1"/>
      <c r="CYL241" s="1"/>
      <c r="CYM241" s="1"/>
      <c r="CYN241" s="1"/>
      <c r="CYO241" s="1"/>
      <c r="CYP241" s="1"/>
      <c r="CYQ241" s="1"/>
      <c r="CYR241" s="1"/>
      <c r="CYS241" s="1"/>
      <c r="CYT241" s="1"/>
      <c r="CYU241" s="1"/>
      <c r="CYV241" s="1"/>
      <c r="CYW241" s="1"/>
      <c r="CYX241" s="1"/>
      <c r="CYY241" s="1"/>
      <c r="CYZ241" s="1"/>
      <c r="CZA241" s="1"/>
      <c r="CZB241" s="1"/>
      <c r="CZC241" s="1"/>
      <c r="CZD241" s="1"/>
      <c r="CZE241" s="1"/>
      <c r="CZF241" s="1"/>
      <c r="CZG241" s="1"/>
      <c r="CZH241" s="1"/>
      <c r="CZI241" s="1"/>
      <c r="CZJ241" s="1"/>
      <c r="CZK241" s="1"/>
      <c r="CZL241" s="1"/>
      <c r="CZM241" s="1"/>
      <c r="CZN241" s="1"/>
      <c r="CZO241" s="1"/>
      <c r="CZP241" s="1"/>
      <c r="CZQ241" s="1"/>
      <c r="CZR241" s="1"/>
      <c r="CZS241" s="1"/>
      <c r="CZT241" s="1"/>
      <c r="CZU241" s="1"/>
      <c r="CZV241" s="1"/>
      <c r="CZW241" s="1"/>
      <c r="CZX241" s="1"/>
      <c r="CZY241" s="1"/>
      <c r="CZZ241" s="1"/>
      <c r="DAA241" s="1"/>
      <c r="DAB241" s="1"/>
      <c r="DAC241" s="1"/>
      <c r="DAD241" s="1"/>
      <c r="DAE241" s="1"/>
      <c r="DAF241" s="1"/>
      <c r="DAG241" s="1"/>
      <c r="DAH241" s="1"/>
      <c r="DAI241" s="1"/>
      <c r="DAJ241" s="1"/>
      <c r="DAK241" s="1"/>
      <c r="DAL241" s="1"/>
      <c r="DAM241" s="1"/>
      <c r="DAN241" s="1"/>
      <c r="DAO241" s="1"/>
      <c r="DAP241" s="1"/>
      <c r="DAQ241" s="1"/>
      <c r="DAR241" s="1"/>
      <c r="DAS241" s="1"/>
      <c r="DAT241" s="1"/>
      <c r="DAU241" s="1"/>
      <c r="DAV241" s="1"/>
      <c r="DAW241" s="1"/>
      <c r="DAX241" s="1"/>
      <c r="DAY241" s="1"/>
      <c r="DAZ241" s="1"/>
      <c r="DBA241" s="1"/>
      <c r="DBB241" s="1"/>
      <c r="DBC241" s="1"/>
      <c r="DBD241" s="1"/>
      <c r="DBE241" s="1"/>
      <c r="DBF241" s="1"/>
      <c r="DBG241" s="1"/>
      <c r="DBH241" s="1"/>
      <c r="DBI241" s="1"/>
      <c r="DBJ241" s="1"/>
      <c r="DBK241" s="1"/>
      <c r="DBL241" s="1"/>
      <c r="DBM241" s="1"/>
      <c r="DBN241" s="1"/>
      <c r="DBO241" s="1"/>
      <c r="DBP241" s="1"/>
      <c r="DBQ241" s="1"/>
      <c r="DBR241" s="1"/>
      <c r="DBS241" s="1"/>
      <c r="DBT241" s="1"/>
      <c r="DBU241" s="1"/>
      <c r="DBV241" s="1"/>
      <c r="DBW241" s="1"/>
      <c r="DBX241" s="1"/>
      <c r="DBY241" s="1"/>
      <c r="DBZ241" s="1"/>
      <c r="DCA241" s="1"/>
      <c r="DCB241" s="1"/>
      <c r="DCC241" s="1"/>
      <c r="DCD241" s="1"/>
      <c r="DCE241" s="1"/>
      <c r="DCF241" s="1"/>
      <c r="DCG241" s="1"/>
      <c r="DCH241" s="1"/>
      <c r="DCI241" s="1"/>
      <c r="DCJ241" s="1"/>
      <c r="DCK241" s="1"/>
      <c r="DCL241" s="1"/>
      <c r="DCM241" s="1"/>
      <c r="DCN241" s="1"/>
      <c r="DCO241" s="1"/>
      <c r="DCP241" s="1"/>
      <c r="DCQ241" s="1"/>
      <c r="DCR241" s="1"/>
      <c r="DCS241" s="1"/>
      <c r="DCT241" s="1"/>
      <c r="DCU241" s="1"/>
      <c r="DCV241" s="1"/>
      <c r="DCW241" s="1"/>
      <c r="DCX241" s="1"/>
      <c r="DCY241" s="1"/>
      <c r="DCZ241" s="1"/>
      <c r="DDA241" s="1"/>
      <c r="DDB241" s="1"/>
      <c r="DDC241" s="1"/>
      <c r="DDD241" s="1"/>
      <c r="DDE241" s="1"/>
      <c r="DDF241" s="1"/>
      <c r="DDG241" s="1"/>
      <c r="DDH241" s="1"/>
      <c r="DDI241" s="1"/>
      <c r="DDJ241" s="1"/>
      <c r="DDK241" s="1"/>
      <c r="DDL241" s="1"/>
      <c r="DDM241" s="1"/>
      <c r="DDN241" s="1"/>
      <c r="DDO241" s="1"/>
      <c r="DDP241" s="1"/>
      <c r="DDQ241" s="1"/>
      <c r="DDR241" s="1"/>
      <c r="DDS241" s="1"/>
      <c r="DDT241" s="1"/>
      <c r="DDU241" s="1"/>
      <c r="DDV241" s="1"/>
      <c r="DDW241" s="1"/>
      <c r="DDX241" s="1"/>
      <c r="DDY241" s="1"/>
      <c r="DDZ241" s="1"/>
      <c r="DEA241" s="1"/>
      <c r="DEB241" s="1"/>
      <c r="DEC241" s="1"/>
      <c r="DED241" s="1"/>
      <c r="DEE241" s="1"/>
      <c r="DEF241" s="1"/>
      <c r="DEG241" s="1"/>
      <c r="DEH241" s="1"/>
      <c r="DEI241" s="1"/>
      <c r="DEJ241" s="1"/>
      <c r="DEK241" s="1"/>
      <c r="DEL241" s="1"/>
      <c r="DEM241" s="1"/>
      <c r="DEN241" s="1"/>
      <c r="DEO241" s="1"/>
      <c r="DEP241" s="1"/>
      <c r="DEQ241" s="1"/>
      <c r="DER241" s="1"/>
      <c r="DES241" s="1"/>
      <c r="DET241" s="1"/>
      <c r="DEU241" s="1"/>
      <c r="DEV241" s="1"/>
      <c r="DEW241" s="1"/>
      <c r="DEX241" s="1"/>
      <c r="DEY241" s="1"/>
      <c r="DEZ241" s="1"/>
      <c r="DFA241" s="1"/>
      <c r="DFB241" s="1"/>
      <c r="DFC241" s="1"/>
      <c r="DFD241" s="1"/>
      <c r="DFE241" s="1"/>
      <c r="DFF241" s="1"/>
      <c r="DFG241" s="1"/>
      <c r="DFH241" s="1"/>
      <c r="DFI241" s="1"/>
      <c r="DFJ241" s="1"/>
      <c r="DFK241" s="1"/>
      <c r="DFL241" s="1"/>
      <c r="DFM241" s="1"/>
      <c r="DFN241" s="1"/>
      <c r="DFO241" s="1"/>
      <c r="DFP241" s="1"/>
      <c r="DFQ241" s="1"/>
      <c r="DFR241" s="1"/>
      <c r="DFS241" s="1"/>
      <c r="DFT241" s="1"/>
      <c r="DFU241" s="1"/>
      <c r="DFV241" s="1"/>
      <c r="DFW241" s="1"/>
      <c r="DFX241" s="1"/>
      <c r="DFY241" s="1"/>
      <c r="DFZ241" s="1"/>
      <c r="DGA241" s="1"/>
      <c r="DGB241" s="1"/>
      <c r="DGC241" s="1"/>
      <c r="DGD241" s="1"/>
      <c r="DGE241" s="1"/>
      <c r="DGF241" s="1"/>
      <c r="DGG241" s="1"/>
      <c r="DGH241" s="1"/>
      <c r="DGI241" s="1"/>
      <c r="DGJ241" s="1"/>
      <c r="DGK241" s="1"/>
      <c r="DGL241" s="1"/>
      <c r="DGM241" s="1"/>
      <c r="DGN241" s="1"/>
      <c r="DGO241" s="1"/>
      <c r="DGP241" s="1"/>
      <c r="DGQ241" s="1"/>
      <c r="DGR241" s="1"/>
      <c r="DGS241" s="1"/>
      <c r="DGT241" s="1"/>
      <c r="DGU241" s="1"/>
      <c r="DGV241" s="1"/>
      <c r="DGW241" s="1"/>
      <c r="DGX241" s="1"/>
      <c r="DGY241" s="1"/>
      <c r="DGZ241" s="1"/>
      <c r="DHA241" s="1"/>
      <c r="DHB241" s="1"/>
      <c r="DHC241" s="1"/>
      <c r="DHD241" s="1"/>
      <c r="DHE241" s="1"/>
      <c r="DHF241" s="1"/>
      <c r="DHG241" s="1"/>
      <c r="DHH241" s="1"/>
      <c r="DHI241" s="1"/>
      <c r="DHJ241" s="1"/>
      <c r="DHK241" s="1"/>
      <c r="DHL241" s="1"/>
      <c r="DHM241" s="1"/>
      <c r="DHN241" s="1"/>
      <c r="DHO241" s="1"/>
      <c r="DHP241" s="1"/>
      <c r="DHQ241" s="1"/>
      <c r="DHR241" s="1"/>
      <c r="DHS241" s="1"/>
      <c r="DHT241" s="1"/>
      <c r="DHU241" s="1"/>
      <c r="DHV241" s="1"/>
      <c r="DHW241" s="1"/>
      <c r="DHX241" s="1"/>
      <c r="DHY241" s="1"/>
      <c r="DHZ241" s="1"/>
      <c r="DIA241" s="1"/>
      <c r="DIB241" s="1"/>
      <c r="DIC241" s="1"/>
      <c r="DID241" s="1"/>
      <c r="DIE241" s="1"/>
      <c r="DIF241" s="1"/>
      <c r="DIG241" s="1"/>
      <c r="DIH241" s="1"/>
      <c r="DII241" s="1"/>
      <c r="DIJ241" s="1"/>
      <c r="DIK241" s="1"/>
      <c r="DIL241" s="1"/>
      <c r="DIM241" s="1"/>
      <c r="DIN241" s="1"/>
      <c r="DIO241" s="1"/>
      <c r="DIP241" s="1"/>
      <c r="DIQ241" s="1"/>
      <c r="DIR241" s="1"/>
      <c r="DIS241" s="1"/>
      <c r="DIT241" s="1"/>
      <c r="DIU241" s="1"/>
      <c r="DIV241" s="1"/>
      <c r="DIW241" s="1"/>
      <c r="DIX241" s="1"/>
      <c r="DIY241" s="1"/>
      <c r="DIZ241" s="1"/>
      <c r="DJA241" s="1"/>
      <c r="DJB241" s="1"/>
      <c r="DJC241" s="1"/>
      <c r="DJD241" s="1"/>
      <c r="DJE241" s="1"/>
      <c r="DJF241" s="1"/>
      <c r="DJG241" s="1"/>
      <c r="DJH241" s="1"/>
      <c r="DJI241" s="1"/>
      <c r="DJJ241" s="1"/>
      <c r="DJK241" s="1"/>
      <c r="DJL241" s="1"/>
      <c r="DJM241" s="1"/>
      <c r="DJN241" s="1"/>
      <c r="DJO241" s="1"/>
      <c r="DJP241" s="1"/>
      <c r="DJQ241" s="1"/>
      <c r="DJR241" s="1"/>
      <c r="DJS241" s="1"/>
      <c r="DJT241" s="1"/>
      <c r="DJU241" s="1"/>
      <c r="DJV241" s="1"/>
      <c r="DJW241" s="1"/>
      <c r="DJX241" s="1"/>
      <c r="DJY241" s="1"/>
      <c r="DJZ241" s="1"/>
      <c r="DKA241" s="1"/>
      <c r="DKB241" s="1"/>
      <c r="DKC241" s="1"/>
      <c r="DKD241" s="1"/>
      <c r="DKE241" s="1"/>
      <c r="DKF241" s="1"/>
      <c r="DKG241" s="1"/>
      <c r="DKH241" s="1"/>
      <c r="DKI241" s="1"/>
      <c r="DKJ241" s="1"/>
      <c r="DKK241" s="1"/>
      <c r="DKL241" s="1"/>
      <c r="DKM241" s="1"/>
      <c r="DKN241" s="1"/>
      <c r="DKO241" s="1"/>
      <c r="DKP241" s="1"/>
      <c r="DKQ241" s="1"/>
      <c r="DKR241" s="1"/>
      <c r="DKS241" s="1"/>
      <c r="DKT241" s="1"/>
      <c r="DKU241" s="1"/>
      <c r="DKV241" s="1"/>
      <c r="DKW241" s="1"/>
      <c r="DKX241" s="1"/>
      <c r="DKY241" s="1"/>
      <c r="DKZ241" s="1"/>
      <c r="DLA241" s="1"/>
      <c r="DLB241" s="1"/>
      <c r="DLC241" s="1"/>
      <c r="DLD241" s="1"/>
      <c r="DLE241" s="1"/>
      <c r="DLF241" s="1"/>
      <c r="DLG241" s="1"/>
      <c r="DLH241" s="1"/>
      <c r="DLI241" s="1"/>
      <c r="DLJ241" s="1"/>
      <c r="DLK241" s="1"/>
      <c r="DLL241" s="1"/>
      <c r="DLM241" s="1"/>
      <c r="DLN241" s="1"/>
      <c r="DLO241" s="1"/>
      <c r="DLP241" s="1"/>
      <c r="DLQ241" s="1"/>
      <c r="DLR241" s="1"/>
      <c r="DLS241" s="1"/>
      <c r="DLT241" s="1"/>
      <c r="DLU241" s="1"/>
      <c r="DLV241" s="1"/>
      <c r="DLW241" s="1"/>
      <c r="DLX241" s="1"/>
      <c r="DLY241" s="1"/>
      <c r="DLZ241" s="1"/>
      <c r="DMA241" s="1"/>
      <c r="DMB241" s="1"/>
      <c r="DMC241" s="1"/>
      <c r="DMD241" s="1"/>
      <c r="DME241" s="1"/>
      <c r="DMF241" s="1"/>
      <c r="DMG241" s="1"/>
      <c r="DMH241" s="1"/>
      <c r="DMI241" s="1"/>
      <c r="DMJ241" s="1"/>
      <c r="DMK241" s="1"/>
      <c r="DML241" s="1"/>
      <c r="DMM241" s="1"/>
      <c r="DMN241" s="1"/>
      <c r="DMO241" s="1"/>
      <c r="DMP241" s="1"/>
      <c r="DMQ241" s="1"/>
      <c r="DMR241" s="1"/>
      <c r="DMS241" s="1"/>
      <c r="DMT241" s="1"/>
      <c r="DMU241" s="1"/>
      <c r="DMV241" s="1"/>
      <c r="DMW241" s="1"/>
      <c r="DMX241" s="1"/>
      <c r="DMY241" s="1"/>
      <c r="DMZ241" s="1"/>
      <c r="DNA241" s="1"/>
      <c r="DNB241" s="1"/>
      <c r="DNC241" s="1"/>
      <c r="DND241" s="1"/>
      <c r="DNE241" s="1"/>
      <c r="DNF241" s="1"/>
      <c r="DNG241" s="1"/>
      <c r="DNH241" s="1"/>
      <c r="DNI241" s="1"/>
      <c r="DNJ241" s="1"/>
      <c r="DNK241" s="1"/>
      <c r="DNL241" s="1"/>
      <c r="DNM241" s="1"/>
      <c r="DNN241" s="1"/>
      <c r="DNO241" s="1"/>
      <c r="DNP241" s="1"/>
      <c r="DNQ241" s="1"/>
      <c r="DNR241" s="1"/>
      <c r="DNS241" s="1"/>
      <c r="DNT241" s="1"/>
      <c r="DNU241" s="1"/>
      <c r="DNV241" s="1"/>
      <c r="DNW241" s="1"/>
      <c r="DNX241" s="1"/>
      <c r="DNY241" s="1"/>
      <c r="DNZ241" s="1"/>
      <c r="DOA241" s="1"/>
      <c r="DOB241" s="1"/>
      <c r="DOC241" s="1"/>
      <c r="DOD241" s="1"/>
      <c r="DOE241" s="1"/>
      <c r="DOF241" s="1"/>
      <c r="DOG241" s="1"/>
      <c r="DOH241" s="1"/>
      <c r="DOI241" s="1"/>
      <c r="DOJ241" s="1"/>
      <c r="DOK241" s="1"/>
      <c r="DOL241" s="1"/>
      <c r="DOM241" s="1"/>
      <c r="DON241" s="1"/>
      <c r="DOO241" s="1"/>
      <c r="DOP241" s="1"/>
      <c r="DOQ241" s="1"/>
      <c r="DOR241" s="1"/>
      <c r="DOS241" s="1"/>
      <c r="DOT241" s="1"/>
      <c r="DOU241" s="1"/>
      <c r="DOV241" s="1"/>
      <c r="DOW241" s="1"/>
      <c r="DOX241" s="1"/>
      <c r="DOY241" s="1"/>
      <c r="DOZ241" s="1"/>
      <c r="DPA241" s="1"/>
      <c r="DPB241" s="1"/>
      <c r="DPC241" s="1"/>
      <c r="DPD241" s="1"/>
      <c r="DPE241" s="1"/>
      <c r="DPF241" s="1"/>
      <c r="DPG241" s="1"/>
      <c r="DPH241" s="1"/>
      <c r="DPI241" s="1"/>
      <c r="DPJ241" s="1"/>
      <c r="DPK241" s="1"/>
      <c r="DPL241" s="1"/>
      <c r="DPM241" s="1"/>
      <c r="DPN241" s="1"/>
      <c r="DPO241" s="1"/>
      <c r="DPP241" s="1"/>
      <c r="DPQ241" s="1"/>
      <c r="DPR241" s="1"/>
      <c r="DPS241" s="1"/>
      <c r="DPT241" s="1"/>
      <c r="DPU241" s="1"/>
      <c r="DPV241" s="1"/>
      <c r="DPW241" s="1"/>
      <c r="DPX241" s="1"/>
      <c r="DPY241" s="1"/>
      <c r="DPZ241" s="1"/>
      <c r="DQA241" s="1"/>
      <c r="DQB241" s="1"/>
      <c r="DQC241" s="1"/>
      <c r="DQD241" s="1"/>
      <c r="DQE241" s="1"/>
      <c r="DQF241" s="1"/>
      <c r="DQG241" s="1"/>
      <c r="DQH241" s="1"/>
      <c r="DQI241" s="1"/>
      <c r="DQJ241" s="1"/>
      <c r="DQK241" s="1"/>
      <c r="DQL241" s="1"/>
      <c r="DQM241" s="1"/>
      <c r="DQN241" s="1"/>
      <c r="DQO241" s="1"/>
      <c r="DQP241" s="1"/>
      <c r="DQQ241" s="1"/>
      <c r="DQR241" s="1"/>
      <c r="DQS241" s="1"/>
      <c r="DQT241" s="1"/>
      <c r="DQU241" s="1"/>
      <c r="DQV241" s="1"/>
      <c r="DQW241" s="1"/>
      <c r="DQX241" s="1"/>
      <c r="DQY241" s="1"/>
      <c r="DQZ241" s="1"/>
      <c r="DRA241" s="1"/>
      <c r="DRB241" s="1"/>
      <c r="DRC241" s="1"/>
      <c r="DRD241" s="1"/>
      <c r="DRE241" s="1"/>
      <c r="DRF241" s="1"/>
      <c r="DRG241" s="1"/>
      <c r="DRH241" s="1"/>
      <c r="DRI241" s="1"/>
      <c r="DRJ241" s="1"/>
      <c r="DRK241" s="1"/>
      <c r="DRL241" s="1"/>
      <c r="DRM241" s="1"/>
      <c r="DRN241" s="1"/>
      <c r="DRO241" s="1"/>
      <c r="DRP241" s="1"/>
      <c r="DRQ241" s="1"/>
      <c r="DRR241" s="1"/>
      <c r="DRS241" s="1"/>
      <c r="DRT241" s="1"/>
      <c r="DRU241" s="1"/>
      <c r="DRV241" s="1"/>
      <c r="DRW241" s="1"/>
      <c r="DRX241" s="1"/>
      <c r="DRY241" s="1"/>
      <c r="DRZ241" s="1"/>
      <c r="DSA241" s="1"/>
      <c r="DSB241" s="1"/>
      <c r="DSC241" s="1"/>
      <c r="DSD241" s="1"/>
      <c r="DSE241" s="1"/>
      <c r="DSF241" s="1"/>
      <c r="DSG241" s="1"/>
      <c r="DSH241" s="1"/>
      <c r="DSI241" s="1"/>
      <c r="DSJ241" s="1"/>
      <c r="DSK241" s="1"/>
      <c r="DSL241" s="1"/>
      <c r="DSM241" s="1"/>
      <c r="DSN241" s="1"/>
      <c r="DSO241" s="1"/>
      <c r="DSP241" s="1"/>
      <c r="DSQ241" s="1"/>
      <c r="DSR241" s="1"/>
      <c r="DSS241" s="1"/>
      <c r="DST241" s="1"/>
      <c r="DSU241" s="1"/>
      <c r="DSV241" s="1"/>
      <c r="DSW241" s="1"/>
      <c r="DSX241" s="1"/>
      <c r="DSY241" s="1"/>
      <c r="DSZ241" s="1"/>
      <c r="DTA241" s="1"/>
      <c r="DTB241" s="1"/>
      <c r="DTC241" s="1"/>
      <c r="DTD241" s="1"/>
      <c r="DTE241" s="1"/>
      <c r="DTF241" s="1"/>
      <c r="DTG241" s="1"/>
      <c r="DTH241" s="1"/>
      <c r="DTI241" s="1"/>
      <c r="DTJ241" s="1"/>
      <c r="DTK241" s="1"/>
      <c r="DTL241" s="1"/>
      <c r="DTM241" s="1"/>
      <c r="DTN241" s="1"/>
      <c r="DTO241" s="1"/>
      <c r="DTP241" s="1"/>
      <c r="DTQ241" s="1"/>
      <c r="DTR241" s="1"/>
      <c r="DTS241" s="1"/>
      <c r="DTT241" s="1"/>
      <c r="DTU241" s="1"/>
      <c r="DTV241" s="1"/>
      <c r="DTW241" s="1"/>
      <c r="DTX241" s="1"/>
      <c r="DTY241" s="1"/>
      <c r="DTZ241" s="1"/>
      <c r="DUA241" s="1"/>
      <c r="DUB241" s="1"/>
      <c r="DUC241" s="1"/>
      <c r="DUD241" s="1"/>
      <c r="DUE241" s="1"/>
      <c r="DUF241" s="1"/>
      <c r="DUG241" s="1"/>
      <c r="DUH241" s="1"/>
      <c r="DUI241" s="1"/>
      <c r="DUJ241" s="1"/>
      <c r="DUK241" s="1"/>
      <c r="DUL241" s="1"/>
      <c r="DUM241" s="1"/>
      <c r="DUN241" s="1"/>
      <c r="DUO241" s="1"/>
      <c r="DUP241" s="1"/>
      <c r="DUQ241" s="1"/>
      <c r="DUR241" s="1"/>
      <c r="DUS241" s="1"/>
      <c r="DUT241" s="1"/>
      <c r="DUU241" s="1"/>
      <c r="DUV241" s="1"/>
      <c r="DUW241" s="1"/>
      <c r="DUX241" s="1"/>
      <c r="DUY241" s="1"/>
      <c r="DUZ241" s="1"/>
      <c r="DVA241" s="1"/>
      <c r="DVB241" s="1"/>
      <c r="DVC241" s="1"/>
      <c r="DVD241" s="1"/>
      <c r="DVE241" s="1"/>
      <c r="DVF241" s="1"/>
      <c r="DVG241" s="1"/>
      <c r="DVH241" s="1"/>
      <c r="DVI241" s="1"/>
      <c r="DVJ241" s="1"/>
      <c r="DVK241" s="1"/>
      <c r="DVL241" s="1"/>
      <c r="DVM241" s="1"/>
      <c r="DVN241" s="1"/>
      <c r="DVO241" s="1"/>
      <c r="DVP241" s="1"/>
      <c r="DVQ241" s="1"/>
      <c r="DVR241" s="1"/>
      <c r="DVS241" s="1"/>
      <c r="DVT241" s="1"/>
      <c r="DVU241" s="1"/>
      <c r="DVV241" s="1"/>
      <c r="DVW241" s="1"/>
      <c r="DVX241" s="1"/>
      <c r="DVY241" s="1"/>
      <c r="DVZ241" s="1"/>
      <c r="DWA241" s="1"/>
      <c r="DWB241" s="1"/>
      <c r="DWC241" s="1"/>
      <c r="DWD241" s="1"/>
      <c r="DWE241" s="1"/>
      <c r="DWF241" s="1"/>
      <c r="DWG241" s="1"/>
      <c r="DWH241" s="1"/>
      <c r="DWI241" s="1"/>
      <c r="DWJ241" s="1"/>
      <c r="DWK241" s="1"/>
      <c r="DWL241" s="1"/>
      <c r="DWM241" s="1"/>
      <c r="DWN241" s="1"/>
      <c r="DWO241" s="1"/>
      <c r="DWP241" s="1"/>
      <c r="DWQ241" s="1"/>
      <c r="DWR241" s="1"/>
      <c r="DWS241" s="1"/>
      <c r="DWT241" s="1"/>
      <c r="DWU241" s="1"/>
      <c r="DWV241" s="1"/>
      <c r="DWW241" s="1"/>
      <c r="DWX241" s="1"/>
      <c r="DWY241" s="1"/>
      <c r="DWZ241" s="1"/>
      <c r="DXA241" s="1"/>
      <c r="DXB241" s="1"/>
      <c r="DXC241" s="1"/>
      <c r="DXD241" s="1"/>
      <c r="DXE241" s="1"/>
      <c r="DXF241" s="1"/>
      <c r="DXG241" s="1"/>
      <c r="DXH241" s="1"/>
      <c r="DXI241" s="1"/>
      <c r="DXJ241" s="1"/>
      <c r="DXK241" s="1"/>
      <c r="DXL241" s="1"/>
      <c r="DXM241" s="1"/>
      <c r="DXN241" s="1"/>
      <c r="DXO241" s="1"/>
      <c r="DXP241" s="1"/>
      <c r="DXQ241" s="1"/>
      <c r="DXR241" s="1"/>
      <c r="DXS241" s="1"/>
      <c r="DXT241" s="1"/>
      <c r="DXU241" s="1"/>
      <c r="DXV241" s="1"/>
      <c r="DXW241" s="1"/>
      <c r="DXX241" s="1"/>
      <c r="DXY241" s="1"/>
      <c r="DXZ241" s="1"/>
      <c r="DYA241" s="1"/>
      <c r="DYB241" s="1"/>
      <c r="DYC241" s="1"/>
      <c r="DYD241" s="1"/>
      <c r="DYE241" s="1"/>
      <c r="DYF241" s="1"/>
      <c r="DYG241" s="1"/>
      <c r="DYH241" s="1"/>
      <c r="DYI241" s="1"/>
      <c r="DYJ241" s="1"/>
      <c r="DYK241" s="1"/>
      <c r="DYL241" s="1"/>
      <c r="DYM241" s="1"/>
      <c r="DYN241" s="1"/>
      <c r="DYO241" s="1"/>
      <c r="DYP241" s="1"/>
      <c r="DYQ241" s="1"/>
      <c r="DYR241" s="1"/>
      <c r="DYS241" s="1"/>
      <c r="DYT241" s="1"/>
      <c r="DYU241" s="1"/>
      <c r="DYV241" s="1"/>
      <c r="DYW241" s="1"/>
      <c r="DYX241" s="1"/>
      <c r="DYY241" s="1"/>
      <c r="DYZ241" s="1"/>
      <c r="DZA241" s="1"/>
      <c r="DZB241" s="1"/>
      <c r="DZC241" s="1"/>
      <c r="DZD241" s="1"/>
      <c r="DZE241" s="1"/>
      <c r="DZF241" s="1"/>
      <c r="DZG241" s="1"/>
      <c r="DZH241" s="1"/>
      <c r="DZI241" s="1"/>
      <c r="DZJ241" s="1"/>
      <c r="DZK241" s="1"/>
      <c r="DZL241" s="1"/>
      <c r="DZM241" s="1"/>
      <c r="DZN241" s="1"/>
      <c r="DZO241" s="1"/>
      <c r="DZP241" s="1"/>
      <c r="DZQ241" s="1"/>
      <c r="DZR241" s="1"/>
      <c r="DZS241" s="1"/>
      <c r="DZT241" s="1"/>
      <c r="DZU241" s="1"/>
      <c r="DZV241" s="1"/>
      <c r="DZW241" s="1"/>
      <c r="DZX241" s="1"/>
      <c r="DZY241" s="1"/>
      <c r="DZZ241" s="1"/>
      <c r="EAA241" s="1"/>
      <c r="EAB241" s="1"/>
      <c r="EAC241" s="1"/>
      <c r="EAD241" s="1"/>
      <c r="EAE241" s="1"/>
      <c r="EAF241" s="1"/>
      <c r="EAG241" s="1"/>
      <c r="EAH241" s="1"/>
      <c r="EAI241" s="1"/>
      <c r="EAJ241" s="1"/>
      <c r="EAK241" s="1"/>
      <c r="EAL241" s="1"/>
      <c r="EAM241" s="1"/>
      <c r="EAN241" s="1"/>
      <c r="EAO241" s="1"/>
      <c r="EAP241" s="1"/>
      <c r="EAQ241" s="1"/>
      <c r="EAR241" s="1"/>
      <c r="EAS241" s="1"/>
      <c r="EAT241" s="1"/>
      <c r="EAU241" s="1"/>
      <c r="EAV241" s="1"/>
      <c r="EAW241" s="1"/>
      <c r="EAX241" s="1"/>
      <c r="EAY241" s="1"/>
      <c r="EAZ241" s="1"/>
      <c r="EBA241" s="1"/>
      <c r="EBB241" s="1"/>
      <c r="EBC241" s="1"/>
      <c r="EBD241" s="1"/>
      <c r="EBE241" s="1"/>
      <c r="EBF241" s="1"/>
      <c r="EBG241" s="1"/>
      <c r="EBH241" s="1"/>
      <c r="EBI241" s="1"/>
      <c r="EBJ241" s="1"/>
      <c r="EBK241" s="1"/>
      <c r="EBL241" s="1"/>
      <c r="EBM241" s="1"/>
      <c r="EBN241" s="1"/>
      <c r="EBO241" s="1"/>
      <c r="EBP241" s="1"/>
      <c r="EBQ241" s="1"/>
      <c r="EBR241" s="1"/>
      <c r="EBS241" s="1"/>
      <c r="EBT241" s="1"/>
      <c r="EBU241" s="1"/>
      <c r="EBV241" s="1"/>
      <c r="EBW241" s="1"/>
      <c r="EBX241" s="1"/>
      <c r="EBY241" s="1"/>
      <c r="EBZ241" s="1"/>
      <c r="ECA241" s="1"/>
      <c r="ECB241" s="1"/>
      <c r="ECC241" s="1"/>
      <c r="ECD241" s="1"/>
      <c r="ECE241" s="1"/>
      <c r="ECF241" s="1"/>
      <c r="ECG241" s="1"/>
      <c r="ECH241" s="1"/>
      <c r="ECI241" s="1"/>
      <c r="ECJ241" s="1"/>
      <c r="ECK241" s="1"/>
      <c r="ECL241" s="1"/>
      <c r="ECM241" s="1"/>
      <c r="ECN241" s="1"/>
      <c r="ECO241" s="1"/>
      <c r="ECP241" s="1"/>
      <c r="ECQ241" s="1"/>
      <c r="ECR241" s="1"/>
      <c r="ECS241" s="1"/>
      <c r="ECT241" s="1"/>
      <c r="ECU241" s="1"/>
      <c r="ECV241" s="1"/>
      <c r="ECW241" s="1"/>
      <c r="ECX241" s="1"/>
      <c r="ECY241" s="1"/>
      <c r="ECZ241" s="1"/>
      <c r="EDA241" s="1"/>
      <c r="EDB241" s="1"/>
      <c r="EDC241" s="1"/>
      <c r="EDD241" s="1"/>
      <c r="EDE241" s="1"/>
      <c r="EDF241" s="1"/>
      <c r="EDG241" s="1"/>
      <c r="EDH241" s="1"/>
      <c r="EDI241" s="1"/>
      <c r="EDJ241" s="1"/>
      <c r="EDK241" s="1"/>
      <c r="EDL241" s="1"/>
      <c r="EDM241" s="1"/>
      <c r="EDN241" s="1"/>
      <c r="EDO241" s="1"/>
      <c r="EDP241" s="1"/>
      <c r="EDQ241" s="1"/>
      <c r="EDR241" s="1"/>
      <c r="EDS241" s="1"/>
      <c r="EDT241" s="1"/>
      <c r="EDU241" s="1"/>
      <c r="EDV241" s="1"/>
      <c r="EDW241" s="1"/>
      <c r="EDX241" s="1"/>
      <c r="EDY241" s="1"/>
      <c r="EDZ241" s="1"/>
      <c r="EEA241" s="1"/>
      <c r="EEB241" s="1"/>
      <c r="EEC241" s="1"/>
      <c r="EED241" s="1"/>
      <c r="EEE241" s="1"/>
      <c r="EEF241" s="1"/>
      <c r="EEG241" s="1"/>
      <c r="EEH241" s="1"/>
      <c r="EEI241" s="1"/>
      <c r="EEJ241" s="1"/>
      <c r="EEK241" s="1"/>
      <c r="EEL241" s="1"/>
      <c r="EEM241" s="1"/>
      <c r="EEN241" s="1"/>
      <c r="EEO241" s="1"/>
      <c r="EEP241" s="1"/>
      <c r="EEQ241" s="1"/>
      <c r="EER241" s="1"/>
      <c r="EES241" s="1"/>
      <c r="EET241" s="1"/>
      <c r="EEU241" s="1"/>
      <c r="EEV241" s="1"/>
      <c r="EEW241" s="1"/>
      <c r="EEX241" s="1"/>
      <c r="EEY241" s="1"/>
      <c r="EEZ241" s="1"/>
      <c r="EFA241" s="1"/>
      <c r="EFB241" s="1"/>
      <c r="EFC241" s="1"/>
      <c r="EFD241" s="1"/>
      <c r="EFE241" s="1"/>
      <c r="EFF241" s="1"/>
      <c r="EFG241" s="1"/>
      <c r="EFH241" s="1"/>
      <c r="EFI241" s="1"/>
      <c r="EFJ241" s="1"/>
      <c r="EFK241" s="1"/>
      <c r="EFL241" s="1"/>
      <c r="EFM241" s="1"/>
      <c r="EFN241" s="1"/>
      <c r="EFO241" s="1"/>
      <c r="EFP241" s="1"/>
      <c r="EFQ241" s="1"/>
      <c r="EFR241" s="1"/>
      <c r="EFS241" s="1"/>
      <c r="EFT241" s="1"/>
      <c r="EFU241" s="1"/>
      <c r="EFV241" s="1"/>
      <c r="EFW241" s="1"/>
      <c r="EFX241" s="1"/>
      <c r="EFY241" s="1"/>
      <c r="EFZ241" s="1"/>
      <c r="EGA241" s="1"/>
      <c r="EGB241" s="1"/>
      <c r="EGC241" s="1"/>
      <c r="EGD241" s="1"/>
      <c r="EGE241" s="1"/>
      <c r="EGF241" s="1"/>
      <c r="EGG241" s="1"/>
      <c r="EGH241" s="1"/>
      <c r="EGI241" s="1"/>
      <c r="EGJ241" s="1"/>
      <c r="EGK241" s="1"/>
      <c r="EGL241" s="1"/>
      <c r="EGM241" s="1"/>
      <c r="EGN241" s="1"/>
      <c r="EGO241" s="1"/>
      <c r="EGP241" s="1"/>
      <c r="EGQ241" s="1"/>
      <c r="EGR241" s="1"/>
      <c r="EGS241" s="1"/>
      <c r="EGT241" s="1"/>
      <c r="EGU241" s="1"/>
      <c r="EGV241" s="1"/>
      <c r="EGW241" s="1"/>
      <c r="EGX241" s="1"/>
      <c r="EGY241" s="1"/>
      <c r="EGZ241" s="1"/>
      <c r="EHA241" s="1"/>
      <c r="EHB241" s="1"/>
      <c r="EHC241" s="1"/>
      <c r="EHD241" s="1"/>
      <c r="EHE241" s="1"/>
      <c r="EHF241" s="1"/>
      <c r="EHG241" s="1"/>
      <c r="EHH241" s="1"/>
      <c r="EHI241" s="1"/>
      <c r="EHJ241" s="1"/>
      <c r="EHK241" s="1"/>
      <c r="EHL241" s="1"/>
      <c r="EHM241" s="1"/>
      <c r="EHN241" s="1"/>
      <c r="EHO241" s="1"/>
      <c r="EHP241" s="1"/>
      <c r="EHQ241" s="1"/>
      <c r="EHR241" s="1"/>
      <c r="EHS241" s="1"/>
      <c r="EHT241" s="1"/>
      <c r="EHU241" s="1"/>
      <c r="EHV241" s="1"/>
      <c r="EHW241" s="1"/>
      <c r="EHX241" s="1"/>
      <c r="EHY241" s="1"/>
      <c r="EHZ241" s="1"/>
      <c r="EIA241" s="1"/>
      <c r="EIB241" s="1"/>
      <c r="EIC241" s="1"/>
      <c r="EID241" s="1"/>
      <c r="EIE241" s="1"/>
      <c r="EIF241" s="1"/>
      <c r="EIG241" s="1"/>
      <c r="EIH241" s="1"/>
      <c r="EII241" s="1"/>
      <c r="EIJ241" s="1"/>
      <c r="EIK241" s="1"/>
      <c r="EIL241" s="1"/>
      <c r="EIM241" s="1"/>
      <c r="EIN241" s="1"/>
      <c r="EIO241" s="1"/>
      <c r="EIP241" s="1"/>
      <c r="EIQ241" s="1"/>
      <c r="EIR241" s="1"/>
      <c r="EIS241" s="1"/>
      <c r="EIT241" s="1"/>
      <c r="EIU241" s="1"/>
      <c r="EIV241" s="1"/>
      <c r="EIW241" s="1"/>
      <c r="EIX241" s="1"/>
      <c r="EIY241" s="1"/>
      <c r="EIZ241" s="1"/>
      <c r="EJA241" s="1"/>
      <c r="EJB241" s="1"/>
      <c r="EJC241" s="1"/>
      <c r="EJD241" s="1"/>
      <c r="EJE241" s="1"/>
      <c r="EJF241" s="1"/>
      <c r="EJG241" s="1"/>
      <c r="EJH241" s="1"/>
      <c r="EJI241" s="1"/>
      <c r="EJJ241" s="1"/>
      <c r="EJK241" s="1"/>
      <c r="EJL241" s="1"/>
      <c r="EJM241" s="1"/>
      <c r="EJN241" s="1"/>
      <c r="EJO241" s="1"/>
      <c r="EJP241" s="1"/>
      <c r="EJQ241" s="1"/>
      <c r="EJR241" s="1"/>
      <c r="EJS241" s="1"/>
      <c r="EJT241" s="1"/>
      <c r="EJU241" s="1"/>
      <c r="EJV241" s="1"/>
      <c r="EJW241" s="1"/>
      <c r="EJX241" s="1"/>
      <c r="EJY241" s="1"/>
      <c r="EJZ241" s="1"/>
      <c r="EKA241" s="1"/>
      <c r="EKB241" s="1"/>
      <c r="EKC241" s="1"/>
      <c r="EKD241" s="1"/>
      <c r="EKE241" s="1"/>
      <c r="EKF241" s="1"/>
      <c r="EKG241" s="1"/>
      <c r="EKH241" s="1"/>
      <c r="EKI241" s="1"/>
      <c r="EKJ241" s="1"/>
      <c r="EKK241" s="1"/>
      <c r="EKL241" s="1"/>
      <c r="EKM241" s="1"/>
      <c r="EKN241" s="1"/>
      <c r="EKO241" s="1"/>
      <c r="EKP241" s="1"/>
      <c r="EKQ241" s="1"/>
      <c r="EKR241" s="1"/>
      <c r="EKS241" s="1"/>
      <c r="EKT241" s="1"/>
      <c r="EKU241" s="1"/>
      <c r="EKV241" s="1"/>
      <c r="EKW241" s="1"/>
      <c r="EKX241" s="1"/>
      <c r="EKY241" s="1"/>
      <c r="EKZ241" s="1"/>
      <c r="ELA241" s="1"/>
      <c r="ELB241" s="1"/>
      <c r="ELC241" s="1"/>
      <c r="ELD241" s="1"/>
      <c r="ELE241" s="1"/>
      <c r="ELF241" s="1"/>
      <c r="ELG241" s="1"/>
      <c r="ELH241" s="1"/>
      <c r="ELI241" s="1"/>
      <c r="ELJ241" s="1"/>
      <c r="ELK241" s="1"/>
      <c r="ELL241" s="1"/>
      <c r="ELM241" s="1"/>
      <c r="ELN241" s="1"/>
      <c r="ELO241" s="1"/>
      <c r="ELP241" s="1"/>
      <c r="ELQ241" s="1"/>
      <c r="ELR241" s="1"/>
      <c r="ELS241" s="1"/>
      <c r="ELT241" s="1"/>
      <c r="ELU241" s="1"/>
      <c r="ELV241" s="1"/>
      <c r="ELW241" s="1"/>
      <c r="ELX241" s="1"/>
      <c r="ELY241" s="1"/>
      <c r="ELZ241" s="1"/>
      <c r="EMA241" s="1"/>
      <c r="EMB241" s="1"/>
      <c r="EMC241" s="1"/>
      <c r="EMD241" s="1"/>
      <c r="EME241" s="1"/>
      <c r="EMF241" s="1"/>
      <c r="EMG241" s="1"/>
      <c r="EMH241" s="1"/>
      <c r="EMI241" s="1"/>
      <c r="EMJ241" s="1"/>
      <c r="EMK241" s="1"/>
      <c r="EML241" s="1"/>
      <c r="EMM241" s="1"/>
      <c r="EMN241" s="1"/>
      <c r="EMO241" s="1"/>
      <c r="EMP241" s="1"/>
      <c r="EMQ241" s="1"/>
      <c r="EMR241" s="1"/>
      <c r="EMS241" s="1"/>
      <c r="EMT241" s="1"/>
      <c r="EMU241" s="1"/>
      <c r="EMV241" s="1"/>
      <c r="EMW241" s="1"/>
      <c r="EMX241" s="1"/>
      <c r="EMY241" s="1"/>
      <c r="EMZ241" s="1"/>
      <c r="ENA241" s="1"/>
      <c r="ENB241" s="1"/>
      <c r="ENC241" s="1"/>
      <c r="END241" s="1"/>
      <c r="ENE241" s="1"/>
      <c r="ENF241" s="1"/>
      <c r="ENG241" s="1"/>
      <c r="ENH241" s="1"/>
      <c r="ENI241" s="1"/>
      <c r="ENJ241" s="1"/>
      <c r="ENK241" s="1"/>
      <c r="ENL241" s="1"/>
      <c r="ENM241" s="1"/>
      <c r="ENN241" s="1"/>
      <c r="ENO241" s="1"/>
      <c r="ENP241" s="1"/>
      <c r="ENQ241" s="1"/>
      <c r="ENR241" s="1"/>
      <c r="ENS241" s="1"/>
      <c r="ENT241" s="1"/>
      <c r="ENU241" s="1"/>
      <c r="ENV241" s="1"/>
      <c r="ENW241" s="1"/>
      <c r="ENX241" s="1"/>
      <c r="ENY241" s="1"/>
      <c r="ENZ241" s="1"/>
      <c r="EOA241" s="1"/>
      <c r="EOB241" s="1"/>
      <c r="EOC241" s="1"/>
      <c r="EOD241" s="1"/>
      <c r="EOE241" s="1"/>
      <c r="EOF241" s="1"/>
      <c r="EOG241" s="1"/>
      <c r="EOH241" s="1"/>
      <c r="EOI241" s="1"/>
      <c r="EOJ241" s="1"/>
      <c r="EOK241" s="1"/>
      <c r="EOL241" s="1"/>
      <c r="EOM241" s="1"/>
      <c r="EON241" s="1"/>
      <c r="EOO241" s="1"/>
      <c r="EOP241" s="1"/>
      <c r="EOQ241" s="1"/>
      <c r="EOR241" s="1"/>
      <c r="EOS241" s="1"/>
      <c r="EOT241" s="1"/>
      <c r="EOU241" s="1"/>
      <c r="EOV241" s="1"/>
      <c r="EOW241" s="1"/>
      <c r="EOX241" s="1"/>
      <c r="EOY241" s="1"/>
      <c r="EOZ241" s="1"/>
      <c r="EPA241" s="1"/>
      <c r="EPB241" s="1"/>
      <c r="EPC241" s="1"/>
      <c r="EPD241" s="1"/>
      <c r="EPE241" s="1"/>
      <c r="EPF241" s="1"/>
      <c r="EPG241" s="1"/>
      <c r="EPH241" s="1"/>
      <c r="EPI241" s="1"/>
      <c r="EPJ241" s="1"/>
      <c r="EPK241" s="1"/>
      <c r="EPL241" s="1"/>
      <c r="EPM241" s="1"/>
      <c r="EPN241" s="1"/>
      <c r="EPO241" s="1"/>
      <c r="EPP241" s="1"/>
      <c r="EPQ241" s="1"/>
      <c r="EPR241" s="1"/>
      <c r="EPS241" s="1"/>
      <c r="EPT241" s="1"/>
      <c r="EPU241" s="1"/>
      <c r="EPV241" s="1"/>
      <c r="EPW241" s="1"/>
      <c r="EPX241" s="1"/>
      <c r="EPY241" s="1"/>
      <c r="EPZ241" s="1"/>
      <c r="EQA241" s="1"/>
      <c r="EQB241" s="1"/>
      <c r="EQC241" s="1"/>
      <c r="EQD241" s="1"/>
      <c r="EQE241" s="1"/>
      <c r="EQF241" s="1"/>
      <c r="EQG241" s="1"/>
      <c r="EQH241" s="1"/>
      <c r="EQI241" s="1"/>
      <c r="EQJ241" s="1"/>
      <c r="EQK241" s="1"/>
      <c r="EQL241" s="1"/>
      <c r="EQM241" s="1"/>
      <c r="EQN241" s="1"/>
      <c r="EQO241" s="1"/>
      <c r="EQP241" s="1"/>
      <c r="EQQ241" s="1"/>
      <c r="EQR241" s="1"/>
      <c r="EQS241" s="1"/>
      <c r="EQT241" s="1"/>
      <c r="EQU241" s="1"/>
      <c r="EQV241" s="1"/>
      <c r="EQW241" s="1"/>
      <c r="EQX241" s="1"/>
      <c r="EQY241" s="1"/>
      <c r="EQZ241" s="1"/>
      <c r="ERA241" s="1"/>
      <c r="ERB241" s="1"/>
      <c r="ERC241" s="1"/>
      <c r="ERD241" s="1"/>
      <c r="ERE241" s="1"/>
      <c r="ERF241" s="1"/>
      <c r="ERG241" s="1"/>
      <c r="ERH241" s="1"/>
      <c r="ERI241" s="1"/>
      <c r="ERJ241" s="1"/>
      <c r="ERK241" s="1"/>
      <c r="ERL241" s="1"/>
      <c r="ERM241" s="1"/>
      <c r="ERN241" s="1"/>
      <c r="ERO241" s="1"/>
      <c r="ERP241" s="1"/>
      <c r="ERQ241" s="1"/>
      <c r="ERR241" s="1"/>
      <c r="ERS241" s="1"/>
      <c r="ERT241" s="1"/>
      <c r="ERU241" s="1"/>
      <c r="ERV241" s="1"/>
      <c r="ERW241" s="1"/>
      <c r="ERX241" s="1"/>
      <c r="ERY241" s="1"/>
      <c r="ERZ241" s="1"/>
      <c r="ESA241" s="1"/>
      <c r="ESB241" s="1"/>
      <c r="ESC241" s="1"/>
      <c r="ESD241" s="1"/>
      <c r="ESE241" s="1"/>
      <c r="ESF241" s="1"/>
      <c r="ESG241" s="1"/>
      <c r="ESH241" s="1"/>
      <c r="ESI241" s="1"/>
      <c r="ESJ241" s="1"/>
      <c r="ESK241" s="1"/>
      <c r="ESL241" s="1"/>
      <c r="ESM241" s="1"/>
      <c r="ESN241" s="1"/>
      <c r="ESO241" s="1"/>
      <c r="ESP241" s="1"/>
      <c r="ESQ241" s="1"/>
      <c r="ESR241" s="1"/>
      <c r="ESS241" s="1"/>
      <c r="EST241" s="1"/>
      <c r="ESU241" s="1"/>
      <c r="ESV241" s="1"/>
      <c r="ESW241" s="1"/>
      <c r="ESX241" s="1"/>
      <c r="ESY241" s="1"/>
      <c r="ESZ241" s="1"/>
      <c r="ETA241" s="1"/>
      <c r="ETB241" s="1"/>
      <c r="ETC241" s="1"/>
      <c r="ETD241" s="1"/>
      <c r="ETE241" s="1"/>
      <c r="ETF241" s="1"/>
      <c r="ETG241" s="1"/>
      <c r="ETH241" s="1"/>
      <c r="ETI241" s="1"/>
      <c r="ETJ241" s="1"/>
      <c r="ETK241" s="1"/>
      <c r="ETL241" s="1"/>
      <c r="ETM241" s="1"/>
      <c r="ETN241" s="1"/>
      <c r="ETO241" s="1"/>
      <c r="ETP241" s="1"/>
      <c r="ETQ241" s="1"/>
      <c r="ETR241" s="1"/>
      <c r="ETS241" s="1"/>
      <c r="ETT241" s="1"/>
      <c r="ETU241" s="1"/>
      <c r="ETV241" s="1"/>
      <c r="ETW241" s="1"/>
      <c r="ETX241" s="1"/>
      <c r="ETY241" s="1"/>
      <c r="ETZ241" s="1"/>
      <c r="EUA241" s="1"/>
      <c r="EUB241" s="1"/>
      <c r="EUC241" s="1"/>
      <c r="EUD241" s="1"/>
      <c r="EUE241" s="1"/>
      <c r="EUF241" s="1"/>
      <c r="EUG241" s="1"/>
      <c r="EUH241" s="1"/>
      <c r="EUI241" s="1"/>
      <c r="EUJ241" s="1"/>
      <c r="EUK241" s="1"/>
      <c r="EUL241" s="1"/>
      <c r="EUM241" s="1"/>
      <c r="EUN241" s="1"/>
      <c r="EUO241" s="1"/>
      <c r="EUP241" s="1"/>
      <c r="EUQ241" s="1"/>
      <c r="EUR241" s="1"/>
      <c r="EUS241" s="1"/>
      <c r="EUT241" s="1"/>
      <c r="EUU241" s="1"/>
      <c r="EUV241" s="1"/>
      <c r="EUW241" s="1"/>
      <c r="EUX241" s="1"/>
      <c r="EUY241" s="1"/>
      <c r="EUZ241" s="1"/>
      <c r="EVA241" s="1"/>
      <c r="EVB241" s="1"/>
      <c r="EVC241" s="1"/>
      <c r="EVD241" s="1"/>
      <c r="EVE241" s="1"/>
      <c r="EVF241" s="1"/>
      <c r="EVG241" s="1"/>
      <c r="EVH241" s="1"/>
      <c r="EVI241" s="1"/>
      <c r="EVJ241" s="1"/>
      <c r="EVK241" s="1"/>
      <c r="EVL241" s="1"/>
      <c r="EVM241" s="1"/>
      <c r="EVN241" s="1"/>
      <c r="EVO241" s="1"/>
      <c r="EVP241" s="1"/>
      <c r="EVQ241" s="1"/>
      <c r="EVR241" s="1"/>
      <c r="EVS241" s="1"/>
      <c r="EVT241" s="1"/>
      <c r="EVU241" s="1"/>
      <c r="EVV241" s="1"/>
      <c r="EVW241" s="1"/>
      <c r="EVX241" s="1"/>
      <c r="EVY241" s="1"/>
      <c r="EVZ241" s="1"/>
      <c r="EWA241" s="1"/>
      <c r="EWB241" s="1"/>
      <c r="EWC241" s="1"/>
      <c r="EWD241" s="1"/>
      <c r="EWE241" s="1"/>
      <c r="EWF241" s="1"/>
      <c r="EWG241" s="1"/>
      <c r="EWH241" s="1"/>
      <c r="EWI241" s="1"/>
      <c r="EWJ241" s="1"/>
      <c r="EWK241" s="1"/>
      <c r="EWL241" s="1"/>
      <c r="EWM241" s="1"/>
      <c r="EWN241" s="1"/>
      <c r="EWO241" s="1"/>
      <c r="EWP241" s="1"/>
      <c r="EWQ241" s="1"/>
      <c r="EWR241" s="1"/>
      <c r="EWS241" s="1"/>
      <c r="EWT241" s="1"/>
      <c r="EWU241" s="1"/>
      <c r="EWV241" s="1"/>
      <c r="EWW241" s="1"/>
      <c r="EWX241" s="1"/>
      <c r="EWY241" s="1"/>
      <c r="EWZ241" s="1"/>
      <c r="EXA241" s="1"/>
      <c r="EXB241" s="1"/>
      <c r="EXC241" s="1"/>
      <c r="EXD241" s="1"/>
      <c r="EXE241" s="1"/>
      <c r="EXF241" s="1"/>
      <c r="EXG241" s="1"/>
      <c r="EXH241" s="1"/>
      <c r="EXI241" s="1"/>
      <c r="EXJ241" s="1"/>
      <c r="EXK241" s="1"/>
      <c r="EXL241" s="1"/>
      <c r="EXM241" s="1"/>
      <c r="EXN241" s="1"/>
      <c r="EXO241" s="1"/>
      <c r="EXP241" s="1"/>
      <c r="EXQ241" s="1"/>
      <c r="EXR241" s="1"/>
      <c r="EXS241" s="1"/>
      <c r="EXT241" s="1"/>
      <c r="EXU241" s="1"/>
      <c r="EXV241" s="1"/>
      <c r="EXW241" s="1"/>
      <c r="EXX241" s="1"/>
      <c r="EXY241" s="1"/>
      <c r="EXZ241" s="1"/>
      <c r="EYA241" s="1"/>
      <c r="EYB241" s="1"/>
      <c r="EYC241" s="1"/>
      <c r="EYD241" s="1"/>
      <c r="EYE241" s="1"/>
      <c r="EYF241" s="1"/>
      <c r="EYG241" s="1"/>
      <c r="EYH241" s="1"/>
      <c r="EYI241" s="1"/>
      <c r="EYJ241" s="1"/>
      <c r="EYK241" s="1"/>
      <c r="EYL241" s="1"/>
      <c r="EYM241" s="1"/>
      <c r="EYN241" s="1"/>
      <c r="EYO241" s="1"/>
      <c r="EYP241" s="1"/>
      <c r="EYQ241" s="1"/>
      <c r="EYR241" s="1"/>
      <c r="EYS241" s="1"/>
      <c r="EYT241" s="1"/>
      <c r="EYU241" s="1"/>
      <c r="EYV241" s="1"/>
      <c r="EYW241" s="1"/>
      <c r="EYX241" s="1"/>
      <c r="EYY241" s="1"/>
      <c r="EYZ241" s="1"/>
      <c r="EZA241" s="1"/>
      <c r="EZB241" s="1"/>
      <c r="EZC241" s="1"/>
      <c r="EZD241" s="1"/>
      <c r="EZE241" s="1"/>
      <c r="EZF241" s="1"/>
      <c r="EZG241" s="1"/>
      <c r="EZH241" s="1"/>
      <c r="EZI241" s="1"/>
      <c r="EZJ241" s="1"/>
      <c r="EZK241" s="1"/>
      <c r="EZL241" s="1"/>
      <c r="EZM241" s="1"/>
      <c r="EZN241" s="1"/>
      <c r="EZO241" s="1"/>
      <c r="EZP241" s="1"/>
      <c r="EZQ241" s="1"/>
      <c r="EZR241" s="1"/>
      <c r="EZS241" s="1"/>
      <c r="EZT241" s="1"/>
      <c r="EZU241" s="1"/>
      <c r="EZV241" s="1"/>
      <c r="EZW241" s="1"/>
      <c r="EZX241" s="1"/>
      <c r="EZY241" s="1"/>
      <c r="EZZ241" s="1"/>
      <c r="FAA241" s="1"/>
      <c r="FAB241" s="1"/>
      <c r="FAC241" s="1"/>
      <c r="FAD241" s="1"/>
      <c r="FAE241" s="1"/>
      <c r="FAF241" s="1"/>
      <c r="FAG241" s="1"/>
      <c r="FAH241" s="1"/>
      <c r="FAI241" s="1"/>
      <c r="FAJ241" s="1"/>
      <c r="FAK241" s="1"/>
      <c r="FAL241" s="1"/>
      <c r="FAM241" s="1"/>
      <c r="FAN241" s="1"/>
      <c r="FAO241" s="1"/>
      <c r="FAP241" s="1"/>
      <c r="FAQ241" s="1"/>
      <c r="FAR241" s="1"/>
      <c r="FAS241" s="1"/>
      <c r="FAT241" s="1"/>
      <c r="FAU241" s="1"/>
      <c r="FAV241" s="1"/>
      <c r="FAW241" s="1"/>
      <c r="FAX241" s="1"/>
      <c r="FAY241" s="1"/>
      <c r="FAZ241" s="1"/>
      <c r="FBA241" s="1"/>
      <c r="FBB241" s="1"/>
      <c r="FBC241" s="1"/>
      <c r="FBD241" s="1"/>
      <c r="FBE241" s="1"/>
      <c r="FBF241" s="1"/>
      <c r="FBG241" s="1"/>
      <c r="FBH241" s="1"/>
      <c r="FBI241" s="1"/>
      <c r="FBJ241" s="1"/>
      <c r="FBK241" s="1"/>
      <c r="FBL241" s="1"/>
      <c r="FBM241" s="1"/>
      <c r="FBN241" s="1"/>
      <c r="FBO241" s="1"/>
      <c r="FBP241" s="1"/>
      <c r="FBQ241" s="1"/>
      <c r="FBR241" s="1"/>
      <c r="FBS241" s="1"/>
      <c r="FBT241" s="1"/>
      <c r="FBU241" s="1"/>
      <c r="FBV241" s="1"/>
      <c r="FBW241" s="1"/>
      <c r="FBX241" s="1"/>
      <c r="FBY241" s="1"/>
      <c r="FBZ241" s="1"/>
      <c r="FCA241" s="1"/>
      <c r="FCB241" s="1"/>
      <c r="FCC241" s="1"/>
      <c r="FCD241" s="1"/>
      <c r="FCE241" s="1"/>
      <c r="FCF241" s="1"/>
      <c r="FCG241" s="1"/>
      <c r="FCH241" s="1"/>
      <c r="FCI241" s="1"/>
      <c r="FCJ241" s="1"/>
      <c r="FCK241" s="1"/>
      <c r="FCL241" s="1"/>
      <c r="FCM241" s="1"/>
      <c r="FCN241" s="1"/>
      <c r="FCO241" s="1"/>
      <c r="FCP241" s="1"/>
      <c r="FCQ241" s="1"/>
      <c r="FCR241" s="1"/>
      <c r="FCS241" s="1"/>
      <c r="FCT241" s="1"/>
      <c r="FCU241" s="1"/>
      <c r="FCV241" s="1"/>
      <c r="FCW241" s="1"/>
      <c r="FCX241" s="1"/>
      <c r="FCY241" s="1"/>
      <c r="FCZ241" s="1"/>
      <c r="FDA241" s="1"/>
      <c r="FDB241" s="1"/>
      <c r="FDC241" s="1"/>
      <c r="FDD241" s="1"/>
      <c r="FDE241" s="1"/>
      <c r="FDF241" s="1"/>
      <c r="FDG241" s="1"/>
      <c r="FDH241" s="1"/>
      <c r="FDI241" s="1"/>
      <c r="FDJ241" s="1"/>
      <c r="FDK241" s="1"/>
      <c r="FDL241" s="1"/>
      <c r="FDM241" s="1"/>
      <c r="FDN241" s="1"/>
      <c r="FDO241" s="1"/>
      <c r="FDP241" s="1"/>
      <c r="FDQ241" s="1"/>
      <c r="FDR241" s="1"/>
      <c r="FDS241" s="1"/>
      <c r="FDT241" s="1"/>
      <c r="FDU241" s="1"/>
      <c r="FDV241" s="1"/>
      <c r="FDW241" s="1"/>
      <c r="FDX241" s="1"/>
      <c r="FDY241" s="1"/>
      <c r="FDZ241" s="1"/>
      <c r="FEA241" s="1"/>
      <c r="FEB241" s="1"/>
      <c r="FEC241" s="1"/>
      <c r="FED241" s="1"/>
      <c r="FEE241" s="1"/>
      <c r="FEF241" s="1"/>
      <c r="FEG241" s="1"/>
      <c r="FEH241" s="1"/>
      <c r="FEI241" s="1"/>
      <c r="FEJ241" s="1"/>
      <c r="FEK241" s="1"/>
      <c r="FEL241" s="1"/>
      <c r="FEM241" s="1"/>
      <c r="FEN241" s="1"/>
      <c r="FEO241" s="1"/>
      <c r="FEP241" s="1"/>
      <c r="FEQ241" s="1"/>
      <c r="FER241" s="1"/>
      <c r="FES241" s="1"/>
      <c r="FET241" s="1"/>
      <c r="FEU241" s="1"/>
      <c r="FEV241" s="1"/>
      <c r="FEW241" s="1"/>
      <c r="FEX241" s="1"/>
      <c r="FEY241" s="1"/>
      <c r="FEZ241" s="1"/>
      <c r="FFA241" s="1"/>
      <c r="FFB241" s="1"/>
      <c r="FFC241" s="1"/>
      <c r="FFD241" s="1"/>
      <c r="FFE241" s="1"/>
      <c r="FFF241" s="1"/>
      <c r="FFG241" s="1"/>
      <c r="FFH241" s="1"/>
      <c r="FFI241" s="1"/>
      <c r="FFJ241" s="1"/>
      <c r="FFK241" s="1"/>
      <c r="FFL241" s="1"/>
      <c r="FFM241" s="1"/>
      <c r="FFN241" s="1"/>
      <c r="FFO241" s="1"/>
      <c r="FFP241" s="1"/>
      <c r="FFQ241" s="1"/>
      <c r="FFR241" s="1"/>
      <c r="FFS241" s="1"/>
      <c r="FFT241" s="1"/>
      <c r="FFU241" s="1"/>
      <c r="FFV241" s="1"/>
      <c r="FFW241" s="1"/>
      <c r="FFX241" s="1"/>
      <c r="FFY241" s="1"/>
      <c r="FFZ241" s="1"/>
      <c r="FGA241" s="1"/>
      <c r="FGB241" s="1"/>
      <c r="FGC241" s="1"/>
      <c r="FGD241" s="1"/>
      <c r="FGE241" s="1"/>
      <c r="FGF241" s="1"/>
      <c r="FGG241" s="1"/>
      <c r="FGH241" s="1"/>
      <c r="FGI241" s="1"/>
      <c r="FGJ241" s="1"/>
      <c r="FGK241" s="1"/>
      <c r="FGL241" s="1"/>
      <c r="FGM241" s="1"/>
      <c r="FGN241" s="1"/>
      <c r="FGO241" s="1"/>
      <c r="FGP241" s="1"/>
      <c r="FGQ241" s="1"/>
      <c r="FGR241" s="1"/>
      <c r="FGS241" s="1"/>
      <c r="FGT241" s="1"/>
      <c r="FGU241" s="1"/>
      <c r="FGV241" s="1"/>
      <c r="FGW241" s="1"/>
      <c r="FGX241" s="1"/>
      <c r="FGY241" s="1"/>
      <c r="FGZ241" s="1"/>
      <c r="FHA241" s="1"/>
      <c r="FHB241" s="1"/>
      <c r="FHC241" s="1"/>
      <c r="FHD241" s="1"/>
      <c r="FHE241" s="1"/>
      <c r="FHF241" s="1"/>
      <c r="FHG241" s="1"/>
      <c r="FHH241" s="1"/>
      <c r="FHI241" s="1"/>
      <c r="FHJ241" s="1"/>
      <c r="FHK241" s="1"/>
      <c r="FHL241" s="1"/>
      <c r="FHM241" s="1"/>
      <c r="FHN241" s="1"/>
      <c r="FHO241" s="1"/>
      <c r="FHP241" s="1"/>
      <c r="FHQ241" s="1"/>
      <c r="FHR241" s="1"/>
      <c r="FHS241" s="1"/>
      <c r="FHT241" s="1"/>
      <c r="FHU241" s="1"/>
      <c r="FHV241" s="1"/>
      <c r="FHW241" s="1"/>
      <c r="FHX241" s="1"/>
      <c r="FHY241" s="1"/>
      <c r="FHZ241" s="1"/>
      <c r="FIA241" s="1"/>
      <c r="FIB241" s="1"/>
      <c r="FIC241" s="1"/>
      <c r="FID241" s="1"/>
      <c r="FIE241" s="1"/>
      <c r="FIF241" s="1"/>
      <c r="FIG241" s="1"/>
      <c r="FIH241" s="1"/>
      <c r="FII241" s="1"/>
      <c r="FIJ241" s="1"/>
      <c r="FIK241" s="1"/>
      <c r="FIL241" s="1"/>
      <c r="FIM241" s="1"/>
      <c r="FIN241" s="1"/>
      <c r="FIO241" s="1"/>
      <c r="FIP241" s="1"/>
      <c r="FIQ241" s="1"/>
      <c r="FIR241" s="1"/>
      <c r="FIS241" s="1"/>
      <c r="FIT241" s="1"/>
      <c r="FIU241" s="1"/>
      <c r="FIV241" s="1"/>
      <c r="FIW241" s="1"/>
      <c r="FIX241" s="1"/>
      <c r="FIY241" s="1"/>
      <c r="FIZ241" s="1"/>
      <c r="FJA241" s="1"/>
      <c r="FJB241" s="1"/>
      <c r="FJC241" s="1"/>
      <c r="FJD241" s="1"/>
      <c r="FJE241" s="1"/>
      <c r="FJF241" s="1"/>
      <c r="FJG241" s="1"/>
      <c r="FJH241" s="1"/>
      <c r="FJI241" s="1"/>
      <c r="FJJ241" s="1"/>
      <c r="FJK241" s="1"/>
      <c r="FJL241" s="1"/>
      <c r="FJM241" s="1"/>
      <c r="FJN241" s="1"/>
      <c r="FJO241" s="1"/>
      <c r="FJP241" s="1"/>
      <c r="FJQ241" s="1"/>
      <c r="FJR241" s="1"/>
      <c r="FJS241" s="1"/>
      <c r="FJT241" s="1"/>
      <c r="FJU241" s="1"/>
      <c r="FJV241" s="1"/>
      <c r="FJW241" s="1"/>
      <c r="FJX241" s="1"/>
      <c r="FJY241" s="1"/>
      <c r="FJZ241" s="1"/>
      <c r="FKA241" s="1"/>
      <c r="FKB241" s="1"/>
      <c r="FKC241" s="1"/>
      <c r="FKD241" s="1"/>
      <c r="FKE241" s="1"/>
      <c r="FKF241" s="1"/>
      <c r="FKG241" s="1"/>
      <c r="FKH241" s="1"/>
      <c r="FKI241" s="1"/>
      <c r="FKJ241" s="1"/>
      <c r="FKK241" s="1"/>
      <c r="FKL241" s="1"/>
      <c r="FKM241" s="1"/>
      <c r="FKN241" s="1"/>
      <c r="FKO241" s="1"/>
      <c r="FKP241" s="1"/>
      <c r="FKQ241" s="1"/>
      <c r="FKR241" s="1"/>
      <c r="FKS241" s="1"/>
      <c r="FKT241" s="1"/>
      <c r="FKU241" s="1"/>
      <c r="FKV241" s="1"/>
      <c r="FKW241" s="1"/>
      <c r="FKX241" s="1"/>
      <c r="FKY241" s="1"/>
      <c r="FKZ241" s="1"/>
      <c r="FLA241" s="1"/>
      <c r="FLB241" s="1"/>
      <c r="FLC241" s="1"/>
      <c r="FLD241" s="1"/>
      <c r="FLE241" s="1"/>
      <c r="FLF241" s="1"/>
      <c r="FLG241" s="1"/>
      <c r="FLH241" s="1"/>
      <c r="FLI241" s="1"/>
      <c r="FLJ241" s="1"/>
      <c r="FLK241" s="1"/>
      <c r="FLL241" s="1"/>
      <c r="FLM241" s="1"/>
      <c r="FLN241" s="1"/>
      <c r="FLO241" s="1"/>
      <c r="FLP241" s="1"/>
      <c r="FLQ241" s="1"/>
      <c r="FLR241" s="1"/>
      <c r="FLS241" s="1"/>
      <c r="FLT241" s="1"/>
      <c r="FLU241" s="1"/>
      <c r="FLV241" s="1"/>
      <c r="FLW241" s="1"/>
      <c r="FLX241" s="1"/>
      <c r="FLY241" s="1"/>
      <c r="FLZ241" s="1"/>
      <c r="FMA241" s="1"/>
      <c r="FMB241" s="1"/>
      <c r="FMC241" s="1"/>
      <c r="FMD241" s="1"/>
      <c r="FME241" s="1"/>
      <c r="FMF241" s="1"/>
      <c r="FMG241" s="1"/>
      <c r="FMH241" s="1"/>
      <c r="FMI241" s="1"/>
      <c r="FMJ241" s="1"/>
      <c r="FMK241" s="1"/>
      <c r="FML241" s="1"/>
      <c r="FMM241" s="1"/>
      <c r="FMN241" s="1"/>
      <c r="FMO241" s="1"/>
      <c r="FMP241" s="1"/>
      <c r="FMQ241" s="1"/>
      <c r="FMR241" s="1"/>
      <c r="FMS241" s="1"/>
      <c r="FMT241" s="1"/>
      <c r="FMU241" s="1"/>
      <c r="FMV241" s="1"/>
      <c r="FMW241" s="1"/>
      <c r="FMX241" s="1"/>
      <c r="FMY241" s="1"/>
      <c r="FMZ241" s="1"/>
      <c r="FNA241" s="1"/>
      <c r="FNB241" s="1"/>
      <c r="FNC241" s="1"/>
      <c r="FND241" s="1"/>
      <c r="FNE241" s="1"/>
      <c r="FNF241" s="1"/>
      <c r="FNG241" s="1"/>
      <c r="FNH241" s="1"/>
      <c r="FNI241" s="1"/>
      <c r="FNJ241" s="1"/>
      <c r="FNK241" s="1"/>
      <c r="FNL241" s="1"/>
      <c r="FNM241" s="1"/>
      <c r="FNN241" s="1"/>
      <c r="FNO241" s="1"/>
      <c r="FNP241" s="1"/>
      <c r="FNQ241" s="1"/>
      <c r="FNR241" s="1"/>
      <c r="FNS241" s="1"/>
      <c r="FNT241" s="1"/>
      <c r="FNU241" s="1"/>
      <c r="FNV241" s="1"/>
      <c r="FNW241" s="1"/>
      <c r="FNX241" s="1"/>
      <c r="FNY241" s="1"/>
      <c r="FNZ241" s="1"/>
      <c r="FOA241" s="1"/>
      <c r="FOB241" s="1"/>
      <c r="FOC241" s="1"/>
      <c r="FOD241" s="1"/>
      <c r="FOE241" s="1"/>
      <c r="FOF241" s="1"/>
      <c r="FOG241" s="1"/>
      <c r="FOH241" s="1"/>
      <c r="FOI241" s="1"/>
      <c r="FOJ241" s="1"/>
      <c r="FOK241" s="1"/>
      <c r="FOL241" s="1"/>
      <c r="FOM241" s="1"/>
      <c r="FON241" s="1"/>
      <c r="FOO241" s="1"/>
      <c r="FOP241" s="1"/>
      <c r="FOQ241" s="1"/>
      <c r="FOR241" s="1"/>
      <c r="FOS241" s="1"/>
      <c r="FOT241" s="1"/>
      <c r="FOU241" s="1"/>
      <c r="FOV241" s="1"/>
      <c r="FOW241" s="1"/>
      <c r="FOX241" s="1"/>
      <c r="FOY241" s="1"/>
      <c r="FOZ241" s="1"/>
      <c r="FPA241" s="1"/>
      <c r="FPB241" s="1"/>
      <c r="FPC241" s="1"/>
      <c r="FPD241" s="1"/>
      <c r="FPE241" s="1"/>
      <c r="FPF241" s="1"/>
      <c r="FPG241" s="1"/>
      <c r="FPH241" s="1"/>
      <c r="FPI241" s="1"/>
      <c r="FPJ241" s="1"/>
      <c r="FPK241" s="1"/>
      <c r="FPL241" s="1"/>
      <c r="FPM241" s="1"/>
      <c r="FPN241" s="1"/>
      <c r="FPO241" s="1"/>
      <c r="FPP241" s="1"/>
      <c r="FPQ241" s="1"/>
      <c r="FPR241" s="1"/>
      <c r="FPS241" s="1"/>
      <c r="FPT241" s="1"/>
      <c r="FPU241" s="1"/>
      <c r="FPV241" s="1"/>
      <c r="FPW241" s="1"/>
      <c r="FPX241" s="1"/>
      <c r="FPY241" s="1"/>
      <c r="FPZ241" s="1"/>
      <c r="FQA241" s="1"/>
      <c r="FQB241" s="1"/>
      <c r="FQC241" s="1"/>
      <c r="FQD241" s="1"/>
      <c r="FQE241" s="1"/>
      <c r="FQF241" s="1"/>
      <c r="FQG241" s="1"/>
      <c r="FQH241" s="1"/>
      <c r="FQI241" s="1"/>
      <c r="FQJ241" s="1"/>
      <c r="FQK241" s="1"/>
      <c r="FQL241" s="1"/>
      <c r="FQM241" s="1"/>
      <c r="FQN241" s="1"/>
      <c r="FQO241" s="1"/>
      <c r="FQP241" s="1"/>
      <c r="FQQ241" s="1"/>
      <c r="FQR241" s="1"/>
      <c r="FQS241" s="1"/>
      <c r="FQT241" s="1"/>
      <c r="FQU241" s="1"/>
      <c r="FQV241" s="1"/>
      <c r="FQW241" s="1"/>
      <c r="FQX241" s="1"/>
      <c r="FQY241" s="1"/>
      <c r="FQZ241" s="1"/>
      <c r="FRA241" s="1"/>
      <c r="FRB241" s="1"/>
      <c r="FRC241" s="1"/>
      <c r="FRD241" s="1"/>
      <c r="FRE241" s="1"/>
      <c r="FRF241" s="1"/>
      <c r="FRG241" s="1"/>
      <c r="FRH241" s="1"/>
      <c r="FRI241" s="1"/>
      <c r="FRJ241" s="1"/>
      <c r="FRK241" s="1"/>
      <c r="FRL241" s="1"/>
      <c r="FRM241" s="1"/>
      <c r="FRN241" s="1"/>
      <c r="FRO241" s="1"/>
      <c r="FRP241" s="1"/>
      <c r="FRQ241" s="1"/>
      <c r="FRR241" s="1"/>
      <c r="FRS241" s="1"/>
      <c r="FRT241" s="1"/>
      <c r="FRU241" s="1"/>
      <c r="FRV241" s="1"/>
      <c r="FRW241" s="1"/>
      <c r="FRX241" s="1"/>
      <c r="FRY241" s="1"/>
      <c r="FRZ241" s="1"/>
      <c r="FSA241" s="1"/>
      <c r="FSB241" s="1"/>
      <c r="FSC241" s="1"/>
      <c r="FSD241" s="1"/>
      <c r="FSE241" s="1"/>
      <c r="FSF241" s="1"/>
      <c r="FSG241" s="1"/>
      <c r="FSH241" s="1"/>
      <c r="FSI241" s="1"/>
      <c r="FSJ241" s="1"/>
      <c r="FSK241" s="1"/>
      <c r="FSL241" s="1"/>
      <c r="FSM241" s="1"/>
      <c r="FSN241" s="1"/>
      <c r="FSO241" s="1"/>
      <c r="FSP241" s="1"/>
      <c r="FSQ241" s="1"/>
      <c r="FSR241" s="1"/>
      <c r="FSS241" s="1"/>
      <c r="FST241" s="1"/>
      <c r="FSU241" s="1"/>
      <c r="FSV241" s="1"/>
      <c r="FSW241" s="1"/>
      <c r="FSX241" s="1"/>
      <c r="FSY241" s="1"/>
      <c r="FSZ241" s="1"/>
      <c r="FTA241" s="1"/>
      <c r="FTB241" s="1"/>
      <c r="FTC241" s="1"/>
      <c r="FTD241" s="1"/>
      <c r="FTE241" s="1"/>
      <c r="FTF241" s="1"/>
      <c r="FTG241" s="1"/>
      <c r="FTH241" s="1"/>
      <c r="FTI241" s="1"/>
      <c r="FTJ241" s="1"/>
      <c r="FTK241" s="1"/>
      <c r="FTL241" s="1"/>
      <c r="FTM241" s="1"/>
      <c r="FTN241" s="1"/>
      <c r="FTO241" s="1"/>
      <c r="FTP241" s="1"/>
      <c r="FTQ241" s="1"/>
      <c r="FTR241" s="1"/>
      <c r="FTS241" s="1"/>
      <c r="FTT241" s="1"/>
      <c r="FTU241" s="1"/>
      <c r="FTV241" s="1"/>
      <c r="FTW241" s="1"/>
      <c r="FTX241" s="1"/>
      <c r="FTY241" s="1"/>
      <c r="FTZ241" s="1"/>
      <c r="FUA241" s="1"/>
      <c r="FUB241" s="1"/>
      <c r="FUC241" s="1"/>
      <c r="FUD241" s="1"/>
      <c r="FUE241" s="1"/>
      <c r="FUF241" s="1"/>
      <c r="FUG241" s="1"/>
      <c r="FUH241" s="1"/>
      <c r="FUI241" s="1"/>
      <c r="FUJ241" s="1"/>
      <c r="FUK241" s="1"/>
      <c r="FUL241" s="1"/>
      <c r="FUM241" s="1"/>
      <c r="FUN241" s="1"/>
      <c r="FUO241" s="1"/>
      <c r="FUP241" s="1"/>
      <c r="FUQ241" s="1"/>
      <c r="FUR241" s="1"/>
      <c r="FUS241" s="1"/>
      <c r="FUT241" s="1"/>
      <c r="FUU241" s="1"/>
      <c r="FUV241" s="1"/>
      <c r="FUW241" s="1"/>
      <c r="FUX241" s="1"/>
      <c r="FUY241" s="1"/>
      <c r="FUZ241" s="1"/>
      <c r="FVA241" s="1"/>
      <c r="FVB241" s="1"/>
      <c r="FVC241" s="1"/>
      <c r="FVD241" s="1"/>
      <c r="FVE241" s="1"/>
      <c r="FVF241" s="1"/>
      <c r="FVG241" s="1"/>
      <c r="FVH241" s="1"/>
      <c r="FVI241" s="1"/>
      <c r="FVJ241" s="1"/>
      <c r="FVK241" s="1"/>
      <c r="FVL241" s="1"/>
      <c r="FVM241" s="1"/>
      <c r="FVN241" s="1"/>
      <c r="FVO241" s="1"/>
      <c r="FVP241" s="1"/>
      <c r="FVQ241" s="1"/>
      <c r="FVR241" s="1"/>
      <c r="FVS241" s="1"/>
      <c r="FVT241" s="1"/>
      <c r="FVU241" s="1"/>
      <c r="FVV241" s="1"/>
      <c r="FVW241" s="1"/>
      <c r="FVX241" s="1"/>
      <c r="FVY241" s="1"/>
      <c r="FVZ241" s="1"/>
      <c r="FWA241" s="1"/>
      <c r="FWB241" s="1"/>
      <c r="FWC241" s="1"/>
      <c r="FWD241" s="1"/>
      <c r="FWE241" s="1"/>
      <c r="FWF241" s="1"/>
      <c r="FWG241" s="1"/>
      <c r="FWH241" s="1"/>
      <c r="FWI241" s="1"/>
      <c r="FWJ241" s="1"/>
      <c r="FWK241" s="1"/>
      <c r="FWL241" s="1"/>
      <c r="FWM241" s="1"/>
      <c r="FWN241" s="1"/>
      <c r="FWO241" s="1"/>
      <c r="FWP241" s="1"/>
      <c r="FWQ241" s="1"/>
      <c r="FWR241" s="1"/>
      <c r="FWS241" s="1"/>
      <c r="FWT241" s="1"/>
      <c r="FWU241" s="1"/>
      <c r="FWV241" s="1"/>
      <c r="FWW241" s="1"/>
      <c r="FWX241" s="1"/>
      <c r="FWY241" s="1"/>
      <c r="FWZ241" s="1"/>
      <c r="FXA241" s="1"/>
      <c r="FXB241" s="1"/>
      <c r="FXC241" s="1"/>
      <c r="FXD241" s="1"/>
      <c r="FXE241" s="1"/>
      <c r="FXF241" s="1"/>
      <c r="FXG241" s="1"/>
      <c r="FXH241" s="1"/>
      <c r="FXI241" s="1"/>
      <c r="FXJ241" s="1"/>
      <c r="FXK241" s="1"/>
      <c r="FXL241" s="1"/>
      <c r="FXM241" s="1"/>
      <c r="FXN241" s="1"/>
      <c r="FXO241" s="1"/>
      <c r="FXP241" s="1"/>
      <c r="FXQ241" s="1"/>
      <c r="FXR241" s="1"/>
      <c r="FXS241" s="1"/>
      <c r="FXT241" s="1"/>
      <c r="FXU241" s="1"/>
      <c r="FXV241" s="1"/>
      <c r="FXW241" s="1"/>
      <c r="FXX241" s="1"/>
      <c r="FXY241" s="1"/>
      <c r="FXZ241" s="1"/>
      <c r="FYA241" s="1"/>
      <c r="FYB241" s="1"/>
      <c r="FYC241" s="1"/>
      <c r="FYD241" s="1"/>
      <c r="FYE241" s="1"/>
      <c r="FYF241" s="1"/>
      <c r="FYG241" s="1"/>
      <c r="FYH241" s="1"/>
      <c r="FYI241" s="1"/>
      <c r="FYJ241" s="1"/>
      <c r="FYK241" s="1"/>
      <c r="FYL241" s="1"/>
      <c r="FYM241" s="1"/>
      <c r="FYN241" s="1"/>
      <c r="FYO241" s="1"/>
      <c r="FYP241" s="1"/>
      <c r="FYQ241" s="1"/>
      <c r="FYR241" s="1"/>
      <c r="FYS241" s="1"/>
      <c r="FYT241" s="1"/>
      <c r="FYU241" s="1"/>
      <c r="FYV241" s="1"/>
      <c r="FYW241" s="1"/>
      <c r="FYX241" s="1"/>
      <c r="FYY241" s="1"/>
      <c r="FYZ241" s="1"/>
      <c r="FZA241" s="1"/>
      <c r="FZB241" s="1"/>
      <c r="FZC241" s="1"/>
      <c r="FZD241" s="1"/>
      <c r="FZE241" s="1"/>
      <c r="FZF241" s="1"/>
      <c r="FZG241" s="1"/>
      <c r="FZH241" s="1"/>
      <c r="FZI241" s="1"/>
      <c r="FZJ241" s="1"/>
      <c r="FZK241" s="1"/>
      <c r="FZL241" s="1"/>
      <c r="FZM241" s="1"/>
      <c r="FZN241" s="1"/>
      <c r="FZO241" s="1"/>
      <c r="FZP241" s="1"/>
      <c r="FZQ241" s="1"/>
      <c r="FZR241" s="1"/>
      <c r="FZS241" s="1"/>
      <c r="FZT241" s="1"/>
      <c r="FZU241" s="1"/>
      <c r="FZV241" s="1"/>
      <c r="FZW241" s="1"/>
      <c r="FZX241" s="1"/>
      <c r="FZY241" s="1"/>
      <c r="FZZ241" s="1"/>
      <c r="GAA241" s="1"/>
      <c r="GAB241" s="1"/>
      <c r="GAC241" s="1"/>
      <c r="GAD241" s="1"/>
      <c r="GAE241" s="1"/>
      <c r="GAF241" s="1"/>
      <c r="GAG241" s="1"/>
      <c r="GAH241" s="1"/>
      <c r="GAI241" s="1"/>
      <c r="GAJ241" s="1"/>
      <c r="GAK241" s="1"/>
      <c r="GAL241" s="1"/>
      <c r="GAM241" s="1"/>
      <c r="GAN241" s="1"/>
      <c r="GAO241" s="1"/>
      <c r="GAP241" s="1"/>
      <c r="GAQ241" s="1"/>
      <c r="GAR241" s="1"/>
      <c r="GAS241" s="1"/>
      <c r="GAT241" s="1"/>
      <c r="GAU241" s="1"/>
      <c r="GAV241" s="1"/>
      <c r="GAW241" s="1"/>
      <c r="GAX241" s="1"/>
      <c r="GAY241" s="1"/>
      <c r="GAZ241" s="1"/>
      <c r="GBA241" s="1"/>
      <c r="GBB241" s="1"/>
      <c r="GBC241" s="1"/>
      <c r="GBD241" s="1"/>
      <c r="GBE241" s="1"/>
      <c r="GBF241" s="1"/>
      <c r="GBG241" s="1"/>
      <c r="GBH241" s="1"/>
      <c r="GBI241" s="1"/>
      <c r="GBJ241" s="1"/>
      <c r="GBK241" s="1"/>
      <c r="GBL241" s="1"/>
      <c r="GBM241" s="1"/>
      <c r="GBN241" s="1"/>
      <c r="GBO241" s="1"/>
      <c r="GBP241" s="1"/>
      <c r="GBQ241" s="1"/>
      <c r="GBR241" s="1"/>
      <c r="GBS241" s="1"/>
      <c r="GBT241" s="1"/>
      <c r="GBU241" s="1"/>
      <c r="GBV241" s="1"/>
      <c r="GBW241" s="1"/>
      <c r="GBX241" s="1"/>
      <c r="GBY241" s="1"/>
      <c r="GBZ241" s="1"/>
      <c r="GCA241" s="1"/>
      <c r="GCB241" s="1"/>
      <c r="GCC241" s="1"/>
      <c r="GCD241" s="1"/>
      <c r="GCE241" s="1"/>
      <c r="GCF241" s="1"/>
      <c r="GCG241" s="1"/>
      <c r="GCH241" s="1"/>
      <c r="GCI241" s="1"/>
      <c r="GCJ241" s="1"/>
      <c r="GCK241" s="1"/>
      <c r="GCL241" s="1"/>
      <c r="GCM241" s="1"/>
      <c r="GCN241" s="1"/>
      <c r="GCO241" s="1"/>
      <c r="GCP241" s="1"/>
      <c r="GCQ241" s="1"/>
      <c r="GCR241" s="1"/>
      <c r="GCS241" s="1"/>
      <c r="GCT241" s="1"/>
      <c r="GCU241" s="1"/>
      <c r="GCV241" s="1"/>
      <c r="GCW241" s="1"/>
      <c r="GCX241" s="1"/>
      <c r="GCY241" s="1"/>
      <c r="GCZ241" s="1"/>
      <c r="GDA241" s="1"/>
      <c r="GDB241" s="1"/>
      <c r="GDC241" s="1"/>
      <c r="GDD241" s="1"/>
      <c r="GDE241" s="1"/>
      <c r="GDF241" s="1"/>
      <c r="GDG241" s="1"/>
      <c r="GDH241" s="1"/>
      <c r="GDI241" s="1"/>
      <c r="GDJ241" s="1"/>
      <c r="GDK241" s="1"/>
      <c r="GDL241" s="1"/>
      <c r="GDM241" s="1"/>
      <c r="GDN241" s="1"/>
      <c r="GDO241" s="1"/>
      <c r="GDP241" s="1"/>
      <c r="GDQ241" s="1"/>
      <c r="GDR241" s="1"/>
      <c r="GDS241" s="1"/>
      <c r="GDT241" s="1"/>
      <c r="GDU241" s="1"/>
      <c r="GDV241" s="1"/>
      <c r="GDW241" s="1"/>
      <c r="GDX241" s="1"/>
      <c r="GDY241" s="1"/>
      <c r="GDZ241" s="1"/>
      <c r="GEA241" s="1"/>
      <c r="GEB241" s="1"/>
      <c r="GEC241" s="1"/>
      <c r="GED241" s="1"/>
      <c r="GEE241" s="1"/>
      <c r="GEF241" s="1"/>
      <c r="GEG241" s="1"/>
      <c r="GEH241" s="1"/>
      <c r="GEI241" s="1"/>
      <c r="GEJ241" s="1"/>
      <c r="GEK241" s="1"/>
      <c r="GEL241" s="1"/>
      <c r="GEM241" s="1"/>
      <c r="GEN241" s="1"/>
      <c r="GEO241" s="1"/>
      <c r="GEP241" s="1"/>
      <c r="GEQ241" s="1"/>
      <c r="GER241" s="1"/>
      <c r="GES241" s="1"/>
      <c r="GET241" s="1"/>
      <c r="GEU241" s="1"/>
      <c r="GEV241" s="1"/>
      <c r="GEW241" s="1"/>
      <c r="GEX241" s="1"/>
      <c r="GEY241" s="1"/>
      <c r="GEZ241" s="1"/>
      <c r="GFA241" s="1"/>
      <c r="GFB241" s="1"/>
      <c r="GFC241" s="1"/>
      <c r="GFD241" s="1"/>
      <c r="GFE241" s="1"/>
      <c r="GFF241" s="1"/>
      <c r="GFG241" s="1"/>
      <c r="GFH241" s="1"/>
      <c r="GFI241" s="1"/>
      <c r="GFJ241" s="1"/>
      <c r="GFK241" s="1"/>
      <c r="GFL241" s="1"/>
      <c r="GFM241" s="1"/>
      <c r="GFN241" s="1"/>
      <c r="GFO241" s="1"/>
      <c r="GFP241" s="1"/>
      <c r="GFQ241" s="1"/>
      <c r="GFR241" s="1"/>
      <c r="GFS241" s="1"/>
      <c r="GFT241" s="1"/>
      <c r="GFU241" s="1"/>
      <c r="GFV241" s="1"/>
      <c r="GFW241" s="1"/>
      <c r="GFX241" s="1"/>
      <c r="GFY241" s="1"/>
      <c r="GFZ241" s="1"/>
      <c r="GGA241" s="1"/>
      <c r="GGB241" s="1"/>
      <c r="GGC241" s="1"/>
      <c r="GGD241" s="1"/>
      <c r="GGE241" s="1"/>
      <c r="GGF241" s="1"/>
      <c r="GGG241" s="1"/>
      <c r="GGH241" s="1"/>
      <c r="GGI241" s="1"/>
      <c r="GGJ241" s="1"/>
      <c r="GGK241" s="1"/>
      <c r="GGL241" s="1"/>
      <c r="GGM241" s="1"/>
      <c r="GGN241" s="1"/>
      <c r="GGO241" s="1"/>
      <c r="GGP241" s="1"/>
      <c r="GGQ241" s="1"/>
      <c r="GGR241" s="1"/>
      <c r="GGS241" s="1"/>
      <c r="GGT241" s="1"/>
      <c r="GGU241" s="1"/>
      <c r="GGV241" s="1"/>
      <c r="GGW241" s="1"/>
      <c r="GGX241" s="1"/>
      <c r="GGY241" s="1"/>
      <c r="GGZ241" s="1"/>
      <c r="GHA241" s="1"/>
      <c r="GHB241" s="1"/>
      <c r="GHC241" s="1"/>
      <c r="GHD241" s="1"/>
      <c r="GHE241" s="1"/>
      <c r="GHF241" s="1"/>
      <c r="GHG241" s="1"/>
      <c r="GHH241" s="1"/>
      <c r="GHI241" s="1"/>
      <c r="GHJ241" s="1"/>
      <c r="GHK241" s="1"/>
      <c r="GHL241" s="1"/>
      <c r="GHM241" s="1"/>
      <c r="GHN241" s="1"/>
      <c r="GHO241" s="1"/>
      <c r="GHP241" s="1"/>
      <c r="GHQ241" s="1"/>
      <c r="GHR241" s="1"/>
      <c r="GHS241" s="1"/>
      <c r="GHT241" s="1"/>
      <c r="GHU241" s="1"/>
      <c r="GHV241" s="1"/>
      <c r="GHW241" s="1"/>
      <c r="GHX241" s="1"/>
      <c r="GHY241" s="1"/>
      <c r="GHZ241" s="1"/>
      <c r="GIA241" s="1"/>
      <c r="GIB241" s="1"/>
      <c r="GIC241" s="1"/>
      <c r="GID241" s="1"/>
      <c r="GIE241" s="1"/>
      <c r="GIF241" s="1"/>
      <c r="GIG241" s="1"/>
      <c r="GIH241" s="1"/>
      <c r="GII241" s="1"/>
      <c r="GIJ241" s="1"/>
      <c r="GIK241" s="1"/>
      <c r="GIL241" s="1"/>
      <c r="GIM241" s="1"/>
      <c r="GIN241" s="1"/>
      <c r="GIO241" s="1"/>
      <c r="GIP241" s="1"/>
      <c r="GIQ241" s="1"/>
      <c r="GIR241" s="1"/>
      <c r="GIS241" s="1"/>
      <c r="GIT241" s="1"/>
      <c r="GIU241" s="1"/>
      <c r="GIV241" s="1"/>
      <c r="GIW241" s="1"/>
      <c r="GIX241" s="1"/>
      <c r="GIY241" s="1"/>
      <c r="GIZ241" s="1"/>
      <c r="GJA241" s="1"/>
      <c r="GJB241" s="1"/>
      <c r="GJC241" s="1"/>
      <c r="GJD241" s="1"/>
      <c r="GJE241" s="1"/>
      <c r="GJF241" s="1"/>
      <c r="GJG241" s="1"/>
      <c r="GJH241" s="1"/>
      <c r="GJI241" s="1"/>
      <c r="GJJ241" s="1"/>
      <c r="GJK241" s="1"/>
      <c r="GJL241" s="1"/>
      <c r="GJM241" s="1"/>
      <c r="GJN241" s="1"/>
      <c r="GJO241" s="1"/>
      <c r="GJP241" s="1"/>
      <c r="GJQ241" s="1"/>
      <c r="GJR241" s="1"/>
      <c r="GJS241" s="1"/>
      <c r="GJT241" s="1"/>
      <c r="GJU241" s="1"/>
      <c r="GJV241" s="1"/>
      <c r="GJW241" s="1"/>
      <c r="GJX241" s="1"/>
      <c r="GJY241" s="1"/>
      <c r="GJZ241" s="1"/>
      <c r="GKA241" s="1"/>
      <c r="GKB241" s="1"/>
      <c r="GKC241" s="1"/>
      <c r="GKD241" s="1"/>
      <c r="GKE241" s="1"/>
      <c r="GKF241" s="1"/>
      <c r="GKG241" s="1"/>
      <c r="GKH241" s="1"/>
      <c r="GKI241" s="1"/>
      <c r="GKJ241" s="1"/>
      <c r="GKK241" s="1"/>
      <c r="GKL241" s="1"/>
      <c r="GKM241" s="1"/>
      <c r="GKN241" s="1"/>
      <c r="GKO241" s="1"/>
      <c r="GKP241" s="1"/>
      <c r="GKQ241" s="1"/>
      <c r="GKR241" s="1"/>
      <c r="GKS241" s="1"/>
      <c r="GKT241" s="1"/>
      <c r="GKU241" s="1"/>
      <c r="GKV241" s="1"/>
      <c r="GKW241" s="1"/>
      <c r="GKX241" s="1"/>
      <c r="GKY241" s="1"/>
      <c r="GKZ241" s="1"/>
      <c r="GLA241" s="1"/>
      <c r="GLB241" s="1"/>
      <c r="GLC241" s="1"/>
      <c r="GLD241" s="1"/>
      <c r="GLE241" s="1"/>
      <c r="GLF241" s="1"/>
      <c r="GLG241" s="1"/>
      <c r="GLH241" s="1"/>
      <c r="GLI241" s="1"/>
      <c r="GLJ241" s="1"/>
      <c r="GLK241" s="1"/>
      <c r="GLL241" s="1"/>
      <c r="GLM241" s="1"/>
      <c r="GLN241" s="1"/>
      <c r="GLO241" s="1"/>
      <c r="GLP241" s="1"/>
      <c r="GLQ241" s="1"/>
      <c r="GLR241" s="1"/>
      <c r="GLS241" s="1"/>
      <c r="GLT241" s="1"/>
      <c r="GLU241" s="1"/>
      <c r="GLV241" s="1"/>
      <c r="GLW241" s="1"/>
      <c r="GLX241" s="1"/>
      <c r="GLY241" s="1"/>
      <c r="GLZ241" s="1"/>
      <c r="GMA241" s="1"/>
      <c r="GMB241" s="1"/>
      <c r="GMC241" s="1"/>
      <c r="GMD241" s="1"/>
      <c r="GME241" s="1"/>
      <c r="GMF241" s="1"/>
      <c r="GMG241" s="1"/>
      <c r="GMH241" s="1"/>
      <c r="GMI241" s="1"/>
      <c r="GMJ241" s="1"/>
      <c r="GMK241" s="1"/>
      <c r="GML241" s="1"/>
      <c r="GMM241" s="1"/>
      <c r="GMN241" s="1"/>
      <c r="GMO241" s="1"/>
      <c r="GMP241" s="1"/>
      <c r="GMQ241" s="1"/>
      <c r="GMR241" s="1"/>
      <c r="GMS241" s="1"/>
      <c r="GMT241" s="1"/>
      <c r="GMU241" s="1"/>
      <c r="GMV241" s="1"/>
      <c r="GMW241" s="1"/>
      <c r="GMX241" s="1"/>
      <c r="GMY241" s="1"/>
      <c r="GMZ241" s="1"/>
      <c r="GNA241" s="1"/>
      <c r="GNB241" s="1"/>
      <c r="GNC241" s="1"/>
      <c r="GND241" s="1"/>
      <c r="GNE241" s="1"/>
      <c r="GNF241" s="1"/>
      <c r="GNG241" s="1"/>
      <c r="GNH241" s="1"/>
      <c r="GNI241" s="1"/>
      <c r="GNJ241" s="1"/>
      <c r="GNK241" s="1"/>
      <c r="GNL241" s="1"/>
      <c r="GNM241" s="1"/>
      <c r="GNN241" s="1"/>
      <c r="GNO241" s="1"/>
      <c r="GNP241" s="1"/>
      <c r="GNQ241" s="1"/>
      <c r="GNR241" s="1"/>
      <c r="GNS241" s="1"/>
      <c r="GNT241" s="1"/>
      <c r="GNU241" s="1"/>
      <c r="GNV241" s="1"/>
      <c r="GNW241" s="1"/>
      <c r="GNX241" s="1"/>
      <c r="GNY241" s="1"/>
      <c r="GNZ241" s="1"/>
      <c r="GOA241" s="1"/>
      <c r="GOB241" s="1"/>
      <c r="GOC241" s="1"/>
      <c r="GOD241" s="1"/>
      <c r="GOE241" s="1"/>
      <c r="GOF241" s="1"/>
      <c r="GOG241" s="1"/>
      <c r="GOH241" s="1"/>
      <c r="GOI241" s="1"/>
      <c r="GOJ241" s="1"/>
      <c r="GOK241" s="1"/>
      <c r="GOL241" s="1"/>
      <c r="GOM241" s="1"/>
      <c r="GON241" s="1"/>
      <c r="GOO241" s="1"/>
      <c r="GOP241" s="1"/>
      <c r="GOQ241" s="1"/>
      <c r="GOR241" s="1"/>
      <c r="GOS241" s="1"/>
      <c r="GOT241" s="1"/>
      <c r="GOU241" s="1"/>
      <c r="GOV241" s="1"/>
      <c r="GOW241" s="1"/>
      <c r="GOX241" s="1"/>
      <c r="GOY241" s="1"/>
      <c r="GOZ241" s="1"/>
      <c r="GPA241" s="1"/>
      <c r="GPB241" s="1"/>
      <c r="GPC241" s="1"/>
      <c r="GPD241" s="1"/>
      <c r="GPE241" s="1"/>
      <c r="GPF241" s="1"/>
      <c r="GPG241" s="1"/>
      <c r="GPH241" s="1"/>
      <c r="GPI241" s="1"/>
      <c r="GPJ241" s="1"/>
      <c r="GPK241" s="1"/>
      <c r="GPL241" s="1"/>
      <c r="GPM241" s="1"/>
      <c r="GPN241" s="1"/>
      <c r="GPO241" s="1"/>
      <c r="GPP241" s="1"/>
      <c r="GPQ241" s="1"/>
      <c r="GPR241" s="1"/>
      <c r="GPS241" s="1"/>
      <c r="GPT241" s="1"/>
      <c r="GPU241" s="1"/>
      <c r="GPV241" s="1"/>
      <c r="GPW241" s="1"/>
      <c r="GPX241" s="1"/>
      <c r="GPY241" s="1"/>
      <c r="GPZ241" s="1"/>
      <c r="GQA241" s="1"/>
      <c r="GQB241" s="1"/>
      <c r="GQC241" s="1"/>
      <c r="GQD241" s="1"/>
      <c r="GQE241" s="1"/>
      <c r="GQF241" s="1"/>
      <c r="GQG241" s="1"/>
      <c r="GQH241" s="1"/>
      <c r="GQI241" s="1"/>
      <c r="GQJ241" s="1"/>
      <c r="GQK241" s="1"/>
      <c r="GQL241" s="1"/>
      <c r="GQM241" s="1"/>
      <c r="GQN241" s="1"/>
      <c r="GQO241" s="1"/>
      <c r="GQP241" s="1"/>
      <c r="GQQ241" s="1"/>
      <c r="GQR241" s="1"/>
      <c r="GQS241" s="1"/>
      <c r="GQT241" s="1"/>
      <c r="GQU241" s="1"/>
      <c r="GQV241" s="1"/>
      <c r="GQW241" s="1"/>
      <c r="GQX241" s="1"/>
      <c r="GQY241" s="1"/>
      <c r="GQZ241" s="1"/>
      <c r="GRA241" s="1"/>
      <c r="GRB241" s="1"/>
      <c r="GRC241" s="1"/>
      <c r="GRD241" s="1"/>
      <c r="GRE241" s="1"/>
      <c r="GRF241" s="1"/>
      <c r="GRG241" s="1"/>
      <c r="GRH241" s="1"/>
      <c r="GRI241" s="1"/>
      <c r="GRJ241" s="1"/>
      <c r="GRK241" s="1"/>
      <c r="GRL241" s="1"/>
      <c r="GRM241" s="1"/>
      <c r="GRN241" s="1"/>
      <c r="GRO241" s="1"/>
      <c r="GRP241" s="1"/>
      <c r="GRQ241" s="1"/>
      <c r="GRR241" s="1"/>
      <c r="GRS241" s="1"/>
      <c r="GRT241" s="1"/>
      <c r="GRU241" s="1"/>
      <c r="GRV241" s="1"/>
      <c r="GRW241" s="1"/>
      <c r="GRX241" s="1"/>
      <c r="GRY241" s="1"/>
      <c r="GRZ241" s="1"/>
      <c r="GSA241" s="1"/>
      <c r="GSB241" s="1"/>
      <c r="GSC241" s="1"/>
      <c r="GSD241" s="1"/>
      <c r="GSE241" s="1"/>
      <c r="GSF241" s="1"/>
      <c r="GSG241" s="1"/>
      <c r="GSH241" s="1"/>
      <c r="GSI241" s="1"/>
      <c r="GSJ241" s="1"/>
      <c r="GSK241" s="1"/>
      <c r="GSL241" s="1"/>
      <c r="GSM241" s="1"/>
      <c r="GSN241" s="1"/>
      <c r="GSO241" s="1"/>
      <c r="GSP241" s="1"/>
      <c r="GSQ241" s="1"/>
      <c r="GSR241" s="1"/>
      <c r="GSS241" s="1"/>
      <c r="GST241" s="1"/>
      <c r="GSU241" s="1"/>
      <c r="GSV241" s="1"/>
      <c r="GSW241" s="1"/>
      <c r="GSX241" s="1"/>
      <c r="GSY241" s="1"/>
      <c r="GSZ241" s="1"/>
      <c r="GTA241" s="1"/>
      <c r="GTB241" s="1"/>
      <c r="GTC241" s="1"/>
      <c r="GTD241" s="1"/>
      <c r="GTE241" s="1"/>
      <c r="GTF241" s="1"/>
      <c r="GTG241" s="1"/>
      <c r="GTH241" s="1"/>
      <c r="GTI241" s="1"/>
      <c r="GTJ241" s="1"/>
      <c r="GTK241" s="1"/>
      <c r="GTL241" s="1"/>
      <c r="GTM241" s="1"/>
      <c r="GTN241" s="1"/>
      <c r="GTO241" s="1"/>
      <c r="GTP241" s="1"/>
      <c r="GTQ241" s="1"/>
      <c r="GTR241" s="1"/>
      <c r="GTS241" s="1"/>
      <c r="GTT241" s="1"/>
      <c r="GTU241" s="1"/>
      <c r="GTV241" s="1"/>
      <c r="GTW241" s="1"/>
      <c r="GTX241" s="1"/>
      <c r="GTY241" s="1"/>
      <c r="GTZ241" s="1"/>
      <c r="GUA241" s="1"/>
      <c r="GUB241" s="1"/>
      <c r="GUC241" s="1"/>
      <c r="GUD241" s="1"/>
      <c r="GUE241" s="1"/>
      <c r="GUF241" s="1"/>
      <c r="GUG241" s="1"/>
      <c r="GUH241" s="1"/>
      <c r="GUI241" s="1"/>
      <c r="GUJ241" s="1"/>
      <c r="GUK241" s="1"/>
      <c r="GUL241" s="1"/>
      <c r="GUM241" s="1"/>
      <c r="GUN241" s="1"/>
      <c r="GUO241" s="1"/>
      <c r="GUP241" s="1"/>
      <c r="GUQ241" s="1"/>
      <c r="GUR241" s="1"/>
      <c r="GUS241" s="1"/>
      <c r="GUT241" s="1"/>
      <c r="GUU241" s="1"/>
      <c r="GUV241" s="1"/>
      <c r="GUW241" s="1"/>
      <c r="GUX241" s="1"/>
      <c r="GUY241" s="1"/>
      <c r="GUZ241" s="1"/>
      <c r="GVA241" s="1"/>
      <c r="GVB241" s="1"/>
      <c r="GVC241" s="1"/>
      <c r="GVD241" s="1"/>
      <c r="GVE241" s="1"/>
      <c r="GVF241" s="1"/>
      <c r="GVG241" s="1"/>
      <c r="GVH241" s="1"/>
      <c r="GVI241" s="1"/>
      <c r="GVJ241" s="1"/>
      <c r="GVK241" s="1"/>
      <c r="GVL241" s="1"/>
      <c r="GVM241" s="1"/>
      <c r="GVN241" s="1"/>
      <c r="GVO241" s="1"/>
      <c r="GVP241" s="1"/>
      <c r="GVQ241" s="1"/>
      <c r="GVR241" s="1"/>
      <c r="GVS241" s="1"/>
      <c r="GVT241" s="1"/>
      <c r="GVU241" s="1"/>
      <c r="GVV241" s="1"/>
      <c r="GVW241" s="1"/>
      <c r="GVX241" s="1"/>
      <c r="GVY241" s="1"/>
      <c r="GVZ241" s="1"/>
      <c r="GWA241" s="1"/>
      <c r="GWB241" s="1"/>
      <c r="GWC241" s="1"/>
      <c r="GWD241" s="1"/>
      <c r="GWE241" s="1"/>
      <c r="GWF241" s="1"/>
      <c r="GWG241" s="1"/>
      <c r="GWH241" s="1"/>
      <c r="GWI241" s="1"/>
      <c r="GWJ241" s="1"/>
      <c r="GWK241" s="1"/>
      <c r="GWL241" s="1"/>
      <c r="GWM241" s="1"/>
      <c r="GWN241" s="1"/>
      <c r="GWO241" s="1"/>
      <c r="GWP241" s="1"/>
      <c r="GWQ241" s="1"/>
      <c r="GWR241" s="1"/>
      <c r="GWS241" s="1"/>
      <c r="GWT241" s="1"/>
      <c r="GWU241" s="1"/>
      <c r="GWV241" s="1"/>
      <c r="GWW241" s="1"/>
      <c r="GWX241" s="1"/>
      <c r="GWY241" s="1"/>
      <c r="GWZ241" s="1"/>
      <c r="GXA241" s="1"/>
      <c r="GXB241" s="1"/>
      <c r="GXC241" s="1"/>
      <c r="GXD241" s="1"/>
      <c r="GXE241" s="1"/>
      <c r="GXF241" s="1"/>
      <c r="GXG241" s="1"/>
      <c r="GXH241" s="1"/>
      <c r="GXI241" s="1"/>
      <c r="GXJ241" s="1"/>
      <c r="GXK241" s="1"/>
      <c r="GXL241" s="1"/>
      <c r="GXM241" s="1"/>
      <c r="GXN241" s="1"/>
      <c r="GXO241" s="1"/>
      <c r="GXP241" s="1"/>
      <c r="GXQ241" s="1"/>
      <c r="GXR241" s="1"/>
      <c r="GXS241" s="1"/>
      <c r="GXT241" s="1"/>
      <c r="GXU241" s="1"/>
      <c r="GXV241" s="1"/>
      <c r="GXW241" s="1"/>
      <c r="GXX241" s="1"/>
      <c r="GXY241" s="1"/>
      <c r="GXZ241" s="1"/>
      <c r="GYA241" s="1"/>
      <c r="GYB241" s="1"/>
      <c r="GYC241" s="1"/>
      <c r="GYD241" s="1"/>
      <c r="GYE241" s="1"/>
      <c r="GYF241" s="1"/>
      <c r="GYG241" s="1"/>
      <c r="GYH241" s="1"/>
      <c r="GYI241" s="1"/>
      <c r="GYJ241" s="1"/>
      <c r="GYK241" s="1"/>
      <c r="GYL241" s="1"/>
      <c r="GYM241" s="1"/>
      <c r="GYN241" s="1"/>
      <c r="GYO241" s="1"/>
      <c r="GYP241" s="1"/>
      <c r="GYQ241" s="1"/>
      <c r="GYR241" s="1"/>
      <c r="GYS241" s="1"/>
      <c r="GYT241" s="1"/>
      <c r="GYU241" s="1"/>
      <c r="GYV241" s="1"/>
      <c r="GYW241" s="1"/>
      <c r="GYX241" s="1"/>
      <c r="GYY241" s="1"/>
      <c r="GYZ241" s="1"/>
      <c r="GZA241" s="1"/>
      <c r="GZB241" s="1"/>
      <c r="GZC241" s="1"/>
      <c r="GZD241" s="1"/>
      <c r="GZE241" s="1"/>
      <c r="GZF241" s="1"/>
      <c r="GZG241" s="1"/>
      <c r="GZH241" s="1"/>
      <c r="GZI241" s="1"/>
      <c r="GZJ241" s="1"/>
      <c r="GZK241" s="1"/>
      <c r="GZL241" s="1"/>
      <c r="GZM241" s="1"/>
      <c r="GZN241" s="1"/>
      <c r="GZO241" s="1"/>
      <c r="GZP241" s="1"/>
      <c r="GZQ241" s="1"/>
      <c r="GZR241" s="1"/>
      <c r="GZS241" s="1"/>
      <c r="GZT241" s="1"/>
      <c r="GZU241" s="1"/>
      <c r="GZV241" s="1"/>
      <c r="GZW241" s="1"/>
      <c r="GZX241" s="1"/>
      <c r="GZY241" s="1"/>
      <c r="GZZ241" s="1"/>
      <c r="HAA241" s="1"/>
      <c r="HAB241" s="1"/>
      <c r="HAC241" s="1"/>
      <c r="HAD241" s="1"/>
      <c r="HAE241" s="1"/>
      <c r="HAF241" s="1"/>
      <c r="HAG241" s="1"/>
      <c r="HAH241" s="1"/>
      <c r="HAI241" s="1"/>
      <c r="HAJ241" s="1"/>
      <c r="HAK241" s="1"/>
      <c r="HAL241" s="1"/>
      <c r="HAM241" s="1"/>
      <c r="HAN241" s="1"/>
      <c r="HAO241" s="1"/>
      <c r="HAP241" s="1"/>
      <c r="HAQ241" s="1"/>
      <c r="HAR241" s="1"/>
      <c r="HAS241" s="1"/>
      <c r="HAT241" s="1"/>
      <c r="HAU241" s="1"/>
      <c r="HAV241" s="1"/>
      <c r="HAW241" s="1"/>
      <c r="HAX241" s="1"/>
      <c r="HAY241" s="1"/>
      <c r="HAZ241" s="1"/>
      <c r="HBA241" s="1"/>
      <c r="HBB241" s="1"/>
      <c r="HBC241" s="1"/>
      <c r="HBD241" s="1"/>
      <c r="HBE241" s="1"/>
      <c r="HBF241" s="1"/>
      <c r="HBG241" s="1"/>
      <c r="HBH241" s="1"/>
      <c r="HBI241" s="1"/>
      <c r="HBJ241" s="1"/>
      <c r="HBK241" s="1"/>
      <c r="HBL241" s="1"/>
      <c r="HBM241" s="1"/>
      <c r="HBN241" s="1"/>
      <c r="HBO241" s="1"/>
      <c r="HBP241" s="1"/>
      <c r="HBQ241" s="1"/>
      <c r="HBR241" s="1"/>
      <c r="HBS241" s="1"/>
      <c r="HBT241" s="1"/>
      <c r="HBU241" s="1"/>
      <c r="HBV241" s="1"/>
      <c r="HBW241" s="1"/>
      <c r="HBX241" s="1"/>
      <c r="HBY241" s="1"/>
      <c r="HBZ241" s="1"/>
      <c r="HCA241" s="1"/>
      <c r="HCB241" s="1"/>
      <c r="HCC241" s="1"/>
      <c r="HCD241" s="1"/>
      <c r="HCE241" s="1"/>
      <c r="HCF241" s="1"/>
      <c r="HCG241" s="1"/>
      <c r="HCH241" s="1"/>
      <c r="HCI241" s="1"/>
      <c r="HCJ241" s="1"/>
      <c r="HCK241" s="1"/>
      <c r="HCL241" s="1"/>
      <c r="HCM241" s="1"/>
      <c r="HCN241" s="1"/>
      <c r="HCO241" s="1"/>
      <c r="HCP241" s="1"/>
      <c r="HCQ241" s="1"/>
      <c r="HCR241" s="1"/>
      <c r="HCS241" s="1"/>
      <c r="HCT241" s="1"/>
      <c r="HCU241" s="1"/>
      <c r="HCV241" s="1"/>
      <c r="HCW241" s="1"/>
      <c r="HCX241" s="1"/>
      <c r="HCY241" s="1"/>
      <c r="HCZ241" s="1"/>
      <c r="HDA241" s="1"/>
      <c r="HDB241" s="1"/>
      <c r="HDC241" s="1"/>
      <c r="HDD241" s="1"/>
      <c r="HDE241" s="1"/>
      <c r="HDF241" s="1"/>
      <c r="HDG241" s="1"/>
      <c r="HDH241" s="1"/>
      <c r="HDI241" s="1"/>
      <c r="HDJ241" s="1"/>
      <c r="HDK241" s="1"/>
      <c r="HDL241" s="1"/>
      <c r="HDM241" s="1"/>
      <c r="HDN241" s="1"/>
      <c r="HDO241" s="1"/>
      <c r="HDP241" s="1"/>
      <c r="HDQ241" s="1"/>
      <c r="HDR241" s="1"/>
      <c r="HDS241" s="1"/>
      <c r="HDT241" s="1"/>
      <c r="HDU241" s="1"/>
      <c r="HDV241" s="1"/>
      <c r="HDW241" s="1"/>
      <c r="HDX241" s="1"/>
      <c r="HDY241" s="1"/>
      <c r="HDZ241" s="1"/>
      <c r="HEA241" s="1"/>
      <c r="HEB241" s="1"/>
      <c r="HEC241" s="1"/>
      <c r="HED241" s="1"/>
      <c r="HEE241" s="1"/>
      <c r="HEF241" s="1"/>
      <c r="HEG241" s="1"/>
      <c r="HEH241" s="1"/>
      <c r="HEI241" s="1"/>
      <c r="HEJ241" s="1"/>
      <c r="HEK241" s="1"/>
      <c r="HEL241" s="1"/>
      <c r="HEM241" s="1"/>
      <c r="HEN241" s="1"/>
      <c r="HEO241" s="1"/>
      <c r="HEP241" s="1"/>
      <c r="HEQ241" s="1"/>
      <c r="HER241" s="1"/>
      <c r="HES241" s="1"/>
      <c r="HET241" s="1"/>
      <c r="HEU241" s="1"/>
      <c r="HEV241" s="1"/>
      <c r="HEW241" s="1"/>
      <c r="HEX241" s="1"/>
      <c r="HEY241" s="1"/>
      <c r="HEZ241" s="1"/>
      <c r="HFA241" s="1"/>
      <c r="HFB241" s="1"/>
      <c r="HFC241" s="1"/>
      <c r="HFD241" s="1"/>
      <c r="HFE241" s="1"/>
      <c r="HFF241" s="1"/>
      <c r="HFG241" s="1"/>
      <c r="HFH241" s="1"/>
      <c r="HFI241" s="1"/>
      <c r="HFJ241" s="1"/>
      <c r="HFK241" s="1"/>
      <c r="HFL241" s="1"/>
      <c r="HFM241" s="1"/>
      <c r="HFN241" s="1"/>
      <c r="HFO241" s="1"/>
      <c r="HFP241" s="1"/>
      <c r="HFQ241" s="1"/>
      <c r="HFR241" s="1"/>
      <c r="HFS241" s="1"/>
      <c r="HFT241" s="1"/>
      <c r="HFU241" s="1"/>
      <c r="HFV241" s="1"/>
      <c r="HFW241" s="1"/>
      <c r="HFX241" s="1"/>
      <c r="HFY241" s="1"/>
      <c r="HFZ241" s="1"/>
      <c r="HGA241" s="1"/>
      <c r="HGB241" s="1"/>
      <c r="HGC241" s="1"/>
      <c r="HGD241" s="1"/>
      <c r="HGE241" s="1"/>
      <c r="HGF241" s="1"/>
      <c r="HGG241" s="1"/>
      <c r="HGH241" s="1"/>
      <c r="HGI241" s="1"/>
      <c r="HGJ241" s="1"/>
      <c r="HGK241" s="1"/>
      <c r="HGL241" s="1"/>
      <c r="HGM241" s="1"/>
      <c r="HGN241" s="1"/>
      <c r="HGO241" s="1"/>
      <c r="HGP241" s="1"/>
      <c r="HGQ241" s="1"/>
      <c r="HGR241" s="1"/>
      <c r="HGS241" s="1"/>
      <c r="HGT241" s="1"/>
      <c r="HGU241" s="1"/>
      <c r="HGV241" s="1"/>
      <c r="HGW241" s="1"/>
      <c r="HGX241" s="1"/>
      <c r="HGY241" s="1"/>
      <c r="HGZ241" s="1"/>
      <c r="HHA241" s="1"/>
      <c r="HHB241" s="1"/>
      <c r="HHC241" s="1"/>
      <c r="HHD241" s="1"/>
      <c r="HHE241" s="1"/>
      <c r="HHF241" s="1"/>
      <c r="HHG241" s="1"/>
      <c r="HHH241" s="1"/>
      <c r="HHI241" s="1"/>
      <c r="HHJ241" s="1"/>
      <c r="HHK241" s="1"/>
      <c r="HHL241" s="1"/>
      <c r="HHM241" s="1"/>
      <c r="HHN241" s="1"/>
      <c r="HHO241" s="1"/>
      <c r="HHP241" s="1"/>
      <c r="HHQ241" s="1"/>
      <c r="HHR241" s="1"/>
      <c r="HHS241" s="1"/>
      <c r="HHT241" s="1"/>
      <c r="HHU241" s="1"/>
      <c r="HHV241" s="1"/>
      <c r="HHW241" s="1"/>
      <c r="HHX241" s="1"/>
      <c r="HHY241" s="1"/>
      <c r="HHZ241" s="1"/>
      <c r="HIA241" s="1"/>
      <c r="HIB241" s="1"/>
      <c r="HIC241" s="1"/>
      <c r="HID241" s="1"/>
      <c r="HIE241" s="1"/>
      <c r="HIF241" s="1"/>
      <c r="HIG241" s="1"/>
      <c r="HIH241" s="1"/>
      <c r="HII241" s="1"/>
      <c r="HIJ241" s="1"/>
      <c r="HIK241" s="1"/>
      <c r="HIL241" s="1"/>
      <c r="HIM241" s="1"/>
      <c r="HIN241" s="1"/>
      <c r="HIO241" s="1"/>
      <c r="HIP241" s="1"/>
      <c r="HIQ241" s="1"/>
      <c r="HIR241" s="1"/>
      <c r="HIS241" s="1"/>
      <c r="HIT241" s="1"/>
      <c r="HIU241" s="1"/>
      <c r="HIV241" s="1"/>
      <c r="HIW241" s="1"/>
      <c r="HIX241" s="1"/>
      <c r="HIY241" s="1"/>
      <c r="HIZ241" s="1"/>
      <c r="HJA241" s="1"/>
      <c r="HJB241" s="1"/>
      <c r="HJC241" s="1"/>
      <c r="HJD241" s="1"/>
      <c r="HJE241" s="1"/>
      <c r="HJF241" s="1"/>
      <c r="HJG241" s="1"/>
      <c r="HJH241" s="1"/>
      <c r="HJI241" s="1"/>
      <c r="HJJ241" s="1"/>
      <c r="HJK241" s="1"/>
      <c r="HJL241" s="1"/>
      <c r="HJM241" s="1"/>
      <c r="HJN241" s="1"/>
      <c r="HJO241" s="1"/>
      <c r="HJP241" s="1"/>
      <c r="HJQ241" s="1"/>
      <c r="HJR241" s="1"/>
      <c r="HJS241" s="1"/>
      <c r="HJT241" s="1"/>
      <c r="HJU241" s="1"/>
      <c r="HJV241" s="1"/>
      <c r="HJW241" s="1"/>
      <c r="HJX241" s="1"/>
      <c r="HJY241" s="1"/>
      <c r="HJZ241" s="1"/>
      <c r="HKA241" s="1"/>
      <c r="HKB241" s="1"/>
      <c r="HKC241" s="1"/>
      <c r="HKD241" s="1"/>
      <c r="HKE241" s="1"/>
      <c r="HKF241" s="1"/>
      <c r="HKG241" s="1"/>
      <c r="HKH241" s="1"/>
      <c r="HKI241" s="1"/>
      <c r="HKJ241" s="1"/>
      <c r="HKK241" s="1"/>
      <c r="HKL241" s="1"/>
      <c r="HKM241" s="1"/>
      <c r="HKN241" s="1"/>
      <c r="HKO241" s="1"/>
      <c r="HKP241" s="1"/>
      <c r="HKQ241" s="1"/>
      <c r="HKR241" s="1"/>
      <c r="HKS241" s="1"/>
      <c r="HKT241" s="1"/>
      <c r="HKU241" s="1"/>
      <c r="HKV241" s="1"/>
      <c r="HKW241" s="1"/>
      <c r="HKX241" s="1"/>
      <c r="HKY241" s="1"/>
      <c r="HKZ241" s="1"/>
      <c r="HLA241" s="1"/>
      <c r="HLB241" s="1"/>
      <c r="HLC241" s="1"/>
      <c r="HLD241" s="1"/>
      <c r="HLE241" s="1"/>
      <c r="HLF241" s="1"/>
      <c r="HLG241" s="1"/>
      <c r="HLH241" s="1"/>
      <c r="HLI241" s="1"/>
      <c r="HLJ241" s="1"/>
      <c r="HLK241" s="1"/>
      <c r="HLL241" s="1"/>
      <c r="HLM241" s="1"/>
      <c r="HLN241" s="1"/>
      <c r="HLO241" s="1"/>
      <c r="HLP241" s="1"/>
      <c r="HLQ241" s="1"/>
      <c r="HLR241" s="1"/>
      <c r="HLS241" s="1"/>
      <c r="HLT241" s="1"/>
      <c r="HLU241" s="1"/>
      <c r="HLV241" s="1"/>
      <c r="HLW241" s="1"/>
      <c r="HLX241" s="1"/>
      <c r="HLY241" s="1"/>
      <c r="HLZ241" s="1"/>
      <c r="HMA241" s="1"/>
      <c r="HMB241" s="1"/>
      <c r="HMC241" s="1"/>
      <c r="HMD241" s="1"/>
      <c r="HME241" s="1"/>
      <c r="HMF241" s="1"/>
      <c r="HMG241" s="1"/>
      <c r="HMH241" s="1"/>
      <c r="HMI241" s="1"/>
      <c r="HMJ241" s="1"/>
      <c r="HMK241" s="1"/>
      <c r="HML241" s="1"/>
      <c r="HMM241" s="1"/>
      <c r="HMN241" s="1"/>
      <c r="HMO241" s="1"/>
      <c r="HMP241" s="1"/>
      <c r="HMQ241" s="1"/>
      <c r="HMR241" s="1"/>
      <c r="HMS241" s="1"/>
      <c r="HMT241" s="1"/>
      <c r="HMU241" s="1"/>
      <c r="HMV241" s="1"/>
      <c r="HMW241" s="1"/>
      <c r="HMX241" s="1"/>
      <c r="HMY241" s="1"/>
      <c r="HMZ241" s="1"/>
      <c r="HNA241" s="1"/>
      <c r="HNB241" s="1"/>
      <c r="HNC241" s="1"/>
      <c r="HND241" s="1"/>
      <c r="HNE241" s="1"/>
      <c r="HNF241" s="1"/>
      <c r="HNG241" s="1"/>
      <c r="HNH241" s="1"/>
      <c r="HNI241" s="1"/>
      <c r="HNJ241" s="1"/>
      <c r="HNK241" s="1"/>
      <c r="HNL241" s="1"/>
      <c r="HNM241" s="1"/>
      <c r="HNN241" s="1"/>
      <c r="HNO241" s="1"/>
      <c r="HNP241" s="1"/>
      <c r="HNQ241" s="1"/>
      <c r="HNR241" s="1"/>
      <c r="HNS241" s="1"/>
      <c r="HNT241" s="1"/>
      <c r="HNU241" s="1"/>
      <c r="HNV241" s="1"/>
      <c r="HNW241" s="1"/>
      <c r="HNX241" s="1"/>
      <c r="HNY241" s="1"/>
      <c r="HNZ241" s="1"/>
      <c r="HOA241" s="1"/>
      <c r="HOB241" s="1"/>
      <c r="HOC241" s="1"/>
      <c r="HOD241" s="1"/>
      <c r="HOE241" s="1"/>
      <c r="HOF241" s="1"/>
      <c r="HOG241" s="1"/>
      <c r="HOH241" s="1"/>
      <c r="HOI241" s="1"/>
      <c r="HOJ241" s="1"/>
      <c r="HOK241" s="1"/>
      <c r="HOL241" s="1"/>
      <c r="HOM241" s="1"/>
      <c r="HON241" s="1"/>
      <c r="HOO241" s="1"/>
      <c r="HOP241" s="1"/>
      <c r="HOQ241" s="1"/>
      <c r="HOR241" s="1"/>
      <c r="HOS241" s="1"/>
      <c r="HOT241" s="1"/>
      <c r="HOU241" s="1"/>
      <c r="HOV241" s="1"/>
      <c r="HOW241" s="1"/>
      <c r="HOX241" s="1"/>
      <c r="HOY241" s="1"/>
      <c r="HOZ241" s="1"/>
      <c r="HPA241" s="1"/>
      <c r="HPB241" s="1"/>
      <c r="HPC241" s="1"/>
      <c r="HPD241" s="1"/>
      <c r="HPE241" s="1"/>
      <c r="HPF241" s="1"/>
      <c r="HPG241" s="1"/>
      <c r="HPH241" s="1"/>
      <c r="HPI241" s="1"/>
      <c r="HPJ241" s="1"/>
      <c r="HPK241" s="1"/>
      <c r="HPL241" s="1"/>
      <c r="HPM241" s="1"/>
      <c r="HPN241" s="1"/>
      <c r="HPO241" s="1"/>
      <c r="HPP241" s="1"/>
      <c r="HPQ241" s="1"/>
      <c r="HPR241" s="1"/>
      <c r="HPS241" s="1"/>
      <c r="HPT241" s="1"/>
      <c r="HPU241" s="1"/>
      <c r="HPV241" s="1"/>
      <c r="HPW241" s="1"/>
      <c r="HPX241" s="1"/>
      <c r="HPY241" s="1"/>
      <c r="HPZ241" s="1"/>
      <c r="HQA241" s="1"/>
      <c r="HQB241" s="1"/>
      <c r="HQC241" s="1"/>
      <c r="HQD241" s="1"/>
      <c r="HQE241" s="1"/>
      <c r="HQF241" s="1"/>
      <c r="HQG241" s="1"/>
      <c r="HQH241" s="1"/>
      <c r="HQI241" s="1"/>
      <c r="HQJ241" s="1"/>
      <c r="HQK241" s="1"/>
      <c r="HQL241" s="1"/>
      <c r="HQM241" s="1"/>
      <c r="HQN241" s="1"/>
      <c r="HQO241" s="1"/>
      <c r="HQP241" s="1"/>
      <c r="HQQ241" s="1"/>
      <c r="HQR241" s="1"/>
      <c r="HQS241" s="1"/>
      <c r="HQT241" s="1"/>
      <c r="HQU241" s="1"/>
      <c r="HQV241" s="1"/>
      <c r="HQW241" s="1"/>
      <c r="HQX241" s="1"/>
      <c r="HQY241" s="1"/>
      <c r="HQZ241" s="1"/>
      <c r="HRA241" s="1"/>
      <c r="HRB241" s="1"/>
      <c r="HRC241" s="1"/>
      <c r="HRD241" s="1"/>
      <c r="HRE241" s="1"/>
      <c r="HRF241" s="1"/>
      <c r="HRG241" s="1"/>
      <c r="HRH241" s="1"/>
      <c r="HRI241" s="1"/>
      <c r="HRJ241" s="1"/>
      <c r="HRK241" s="1"/>
      <c r="HRL241" s="1"/>
      <c r="HRM241" s="1"/>
      <c r="HRN241" s="1"/>
      <c r="HRO241" s="1"/>
      <c r="HRP241" s="1"/>
      <c r="HRQ241" s="1"/>
      <c r="HRR241" s="1"/>
      <c r="HRS241" s="1"/>
      <c r="HRT241" s="1"/>
      <c r="HRU241" s="1"/>
      <c r="HRV241" s="1"/>
      <c r="HRW241" s="1"/>
      <c r="HRX241" s="1"/>
      <c r="HRY241" s="1"/>
      <c r="HRZ241" s="1"/>
      <c r="HSA241" s="1"/>
      <c r="HSB241" s="1"/>
      <c r="HSC241" s="1"/>
      <c r="HSD241" s="1"/>
      <c r="HSE241" s="1"/>
      <c r="HSF241" s="1"/>
      <c r="HSG241" s="1"/>
      <c r="HSH241" s="1"/>
      <c r="HSI241" s="1"/>
      <c r="HSJ241" s="1"/>
      <c r="HSK241" s="1"/>
      <c r="HSL241" s="1"/>
      <c r="HSM241" s="1"/>
      <c r="HSN241" s="1"/>
      <c r="HSO241" s="1"/>
      <c r="HSP241" s="1"/>
      <c r="HSQ241" s="1"/>
      <c r="HSR241" s="1"/>
      <c r="HSS241" s="1"/>
      <c r="HST241" s="1"/>
      <c r="HSU241" s="1"/>
      <c r="HSV241" s="1"/>
      <c r="HSW241" s="1"/>
      <c r="HSX241" s="1"/>
      <c r="HSY241" s="1"/>
      <c r="HSZ241" s="1"/>
      <c r="HTA241" s="1"/>
      <c r="HTB241" s="1"/>
      <c r="HTC241" s="1"/>
      <c r="HTD241" s="1"/>
      <c r="HTE241" s="1"/>
      <c r="HTF241" s="1"/>
      <c r="HTG241" s="1"/>
      <c r="HTH241" s="1"/>
      <c r="HTI241" s="1"/>
      <c r="HTJ241" s="1"/>
      <c r="HTK241" s="1"/>
      <c r="HTL241" s="1"/>
      <c r="HTM241" s="1"/>
      <c r="HTN241" s="1"/>
      <c r="HTO241" s="1"/>
      <c r="HTP241" s="1"/>
      <c r="HTQ241" s="1"/>
      <c r="HTR241" s="1"/>
      <c r="HTS241" s="1"/>
      <c r="HTT241" s="1"/>
      <c r="HTU241" s="1"/>
      <c r="HTV241" s="1"/>
      <c r="HTW241" s="1"/>
      <c r="HTX241" s="1"/>
      <c r="HTY241" s="1"/>
      <c r="HTZ241" s="1"/>
      <c r="HUA241" s="1"/>
      <c r="HUB241" s="1"/>
      <c r="HUC241" s="1"/>
      <c r="HUD241" s="1"/>
      <c r="HUE241" s="1"/>
      <c r="HUF241" s="1"/>
      <c r="HUG241" s="1"/>
      <c r="HUH241" s="1"/>
      <c r="HUI241" s="1"/>
      <c r="HUJ241" s="1"/>
      <c r="HUK241" s="1"/>
      <c r="HUL241" s="1"/>
      <c r="HUM241" s="1"/>
      <c r="HUN241" s="1"/>
      <c r="HUO241" s="1"/>
      <c r="HUP241" s="1"/>
      <c r="HUQ241" s="1"/>
      <c r="HUR241" s="1"/>
      <c r="HUS241" s="1"/>
      <c r="HUT241" s="1"/>
      <c r="HUU241" s="1"/>
      <c r="HUV241" s="1"/>
      <c r="HUW241" s="1"/>
      <c r="HUX241" s="1"/>
      <c r="HUY241" s="1"/>
      <c r="HUZ241" s="1"/>
      <c r="HVA241" s="1"/>
      <c r="HVB241" s="1"/>
      <c r="HVC241" s="1"/>
      <c r="HVD241" s="1"/>
      <c r="HVE241" s="1"/>
      <c r="HVF241" s="1"/>
      <c r="HVG241" s="1"/>
      <c r="HVH241" s="1"/>
      <c r="HVI241" s="1"/>
      <c r="HVJ241" s="1"/>
      <c r="HVK241" s="1"/>
      <c r="HVL241" s="1"/>
      <c r="HVM241" s="1"/>
      <c r="HVN241" s="1"/>
      <c r="HVO241" s="1"/>
      <c r="HVP241" s="1"/>
      <c r="HVQ241" s="1"/>
      <c r="HVR241" s="1"/>
      <c r="HVS241" s="1"/>
      <c r="HVT241" s="1"/>
      <c r="HVU241" s="1"/>
      <c r="HVV241" s="1"/>
      <c r="HVW241" s="1"/>
      <c r="HVX241" s="1"/>
      <c r="HVY241" s="1"/>
      <c r="HVZ241" s="1"/>
      <c r="HWA241" s="1"/>
      <c r="HWB241" s="1"/>
      <c r="HWC241" s="1"/>
      <c r="HWD241" s="1"/>
      <c r="HWE241" s="1"/>
      <c r="HWF241" s="1"/>
      <c r="HWG241" s="1"/>
      <c r="HWH241" s="1"/>
      <c r="HWI241" s="1"/>
      <c r="HWJ241" s="1"/>
      <c r="HWK241" s="1"/>
      <c r="HWL241" s="1"/>
      <c r="HWM241" s="1"/>
      <c r="HWN241" s="1"/>
      <c r="HWO241" s="1"/>
      <c r="HWP241" s="1"/>
      <c r="HWQ241" s="1"/>
      <c r="HWR241" s="1"/>
      <c r="HWS241" s="1"/>
      <c r="HWT241" s="1"/>
      <c r="HWU241" s="1"/>
      <c r="HWV241" s="1"/>
      <c r="HWW241" s="1"/>
      <c r="HWX241" s="1"/>
      <c r="HWY241" s="1"/>
      <c r="HWZ241" s="1"/>
      <c r="HXA241" s="1"/>
      <c r="HXB241" s="1"/>
      <c r="HXC241" s="1"/>
      <c r="HXD241" s="1"/>
      <c r="HXE241" s="1"/>
      <c r="HXF241" s="1"/>
      <c r="HXG241" s="1"/>
      <c r="HXH241" s="1"/>
      <c r="HXI241" s="1"/>
      <c r="HXJ241" s="1"/>
      <c r="HXK241" s="1"/>
      <c r="HXL241" s="1"/>
      <c r="HXM241" s="1"/>
      <c r="HXN241" s="1"/>
      <c r="HXO241" s="1"/>
      <c r="HXP241" s="1"/>
      <c r="HXQ241" s="1"/>
      <c r="HXR241" s="1"/>
      <c r="HXS241" s="1"/>
      <c r="HXT241" s="1"/>
      <c r="HXU241" s="1"/>
      <c r="HXV241" s="1"/>
      <c r="HXW241" s="1"/>
      <c r="HXX241" s="1"/>
      <c r="HXY241" s="1"/>
      <c r="HXZ241" s="1"/>
      <c r="HYA241" s="1"/>
      <c r="HYB241" s="1"/>
      <c r="HYC241" s="1"/>
      <c r="HYD241" s="1"/>
      <c r="HYE241" s="1"/>
      <c r="HYF241" s="1"/>
      <c r="HYG241" s="1"/>
      <c r="HYH241" s="1"/>
      <c r="HYI241" s="1"/>
      <c r="HYJ241" s="1"/>
      <c r="HYK241" s="1"/>
      <c r="HYL241" s="1"/>
      <c r="HYM241" s="1"/>
      <c r="HYN241" s="1"/>
      <c r="HYO241" s="1"/>
      <c r="HYP241" s="1"/>
      <c r="HYQ241" s="1"/>
      <c r="HYR241" s="1"/>
      <c r="HYS241" s="1"/>
      <c r="HYT241" s="1"/>
      <c r="HYU241" s="1"/>
      <c r="HYV241" s="1"/>
      <c r="HYW241" s="1"/>
      <c r="HYX241" s="1"/>
      <c r="HYY241" s="1"/>
      <c r="HYZ241" s="1"/>
      <c r="HZA241" s="1"/>
      <c r="HZB241" s="1"/>
      <c r="HZC241" s="1"/>
      <c r="HZD241" s="1"/>
      <c r="HZE241" s="1"/>
      <c r="HZF241" s="1"/>
      <c r="HZG241" s="1"/>
      <c r="HZH241" s="1"/>
      <c r="HZI241" s="1"/>
      <c r="HZJ241" s="1"/>
      <c r="HZK241" s="1"/>
      <c r="HZL241" s="1"/>
      <c r="HZM241" s="1"/>
      <c r="HZN241" s="1"/>
      <c r="HZO241" s="1"/>
      <c r="HZP241" s="1"/>
      <c r="HZQ241" s="1"/>
      <c r="HZR241" s="1"/>
      <c r="HZS241" s="1"/>
      <c r="HZT241" s="1"/>
      <c r="HZU241" s="1"/>
      <c r="HZV241" s="1"/>
      <c r="HZW241" s="1"/>
      <c r="HZX241" s="1"/>
      <c r="HZY241" s="1"/>
      <c r="HZZ241" s="1"/>
      <c r="IAA241" s="1"/>
      <c r="IAB241" s="1"/>
      <c r="IAC241" s="1"/>
      <c r="IAD241" s="1"/>
      <c r="IAE241" s="1"/>
      <c r="IAF241" s="1"/>
      <c r="IAG241" s="1"/>
      <c r="IAH241" s="1"/>
      <c r="IAI241" s="1"/>
      <c r="IAJ241" s="1"/>
      <c r="IAK241" s="1"/>
      <c r="IAL241" s="1"/>
      <c r="IAM241" s="1"/>
      <c r="IAN241" s="1"/>
      <c r="IAO241" s="1"/>
      <c r="IAP241" s="1"/>
      <c r="IAQ241" s="1"/>
      <c r="IAR241" s="1"/>
      <c r="IAS241" s="1"/>
      <c r="IAT241" s="1"/>
      <c r="IAU241" s="1"/>
      <c r="IAV241" s="1"/>
      <c r="IAW241" s="1"/>
      <c r="IAX241" s="1"/>
      <c r="IAY241" s="1"/>
      <c r="IAZ241" s="1"/>
      <c r="IBA241" s="1"/>
      <c r="IBB241" s="1"/>
      <c r="IBC241" s="1"/>
      <c r="IBD241" s="1"/>
      <c r="IBE241" s="1"/>
      <c r="IBF241" s="1"/>
      <c r="IBG241" s="1"/>
      <c r="IBH241" s="1"/>
      <c r="IBI241" s="1"/>
      <c r="IBJ241" s="1"/>
      <c r="IBK241" s="1"/>
      <c r="IBL241" s="1"/>
      <c r="IBM241" s="1"/>
      <c r="IBN241" s="1"/>
      <c r="IBO241" s="1"/>
      <c r="IBP241" s="1"/>
      <c r="IBQ241" s="1"/>
      <c r="IBR241" s="1"/>
      <c r="IBS241" s="1"/>
      <c r="IBT241" s="1"/>
      <c r="IBU241" s="1"/>
      <c r="IBV241" s="1"/>
      <c r="IBW241" s="1"/>
      <c r="IBX241" s="1"/>
      <c r="IBY241" s="1"/>
      <c r="IBZ241" s="1"/>
      <c r="ICA241" s="1"/>
      <c r="ICB241" s="1"/>
      <c r="ICC241" s="1"/>
      <c r="ICD241" s="1"/>
      <c r="ICE241" s="1"/>
      <c r="ICF241" s="1"/>
      <c r="ICG241" s="1"/>
      <c r="ICH241" s="1"/>
      <c r="ICI241" s="1"/>
      <c r="ICJ241" s="1"/>
      <c r="ICK241" s="1"/>
      <c r="ICL241" s="1"/>
      <c r="ICM241" s="1"/>
      <c r="ICN241" s="1"/>
      <c r="ICO241" s="1"/>
      <c r="ICP241" s="1"/>
      <c r="ICQ241" s="1"/>
      <c r="ICR241" s="1"/>
      <c r="ICS241" s="1"/>
      <c r="ICT241" s="1"/>
      <c r="ICU241" s="1"/>
      <c r="ICV241" s="1"/>
      <c r="ICW241" s="1"/>
      <c r="ICX241" s="1"/>
      <c r="ICY241" s="1"/>
      <c r="ICZ241" s="1"/>
      <c r="IDA241" s="1"/>
      <c r="IDB241" s="1"/>
      <c r="IDC241" s="1"/>
      <c r="IDD241" s="1"/>
      <c r="IDE241" s="1"/>
      <c r="IDF241" s="1"/>
      <c r="IDG241" s="1"/>
      <c r="IDH241" s="1"/>
      <c r="IDI241" s="1"/>
      <c r="IDJ241" s="1"/>
      <c r="IDK241" s="1"/>
      <c r="IDL241" s="1"/>
      <c r="IDM241" s="1"/>
      <c r="IDN241" s="1"/>
      <c r="IDO241" s="1"/>
      <c r="IDP241" s="1"/>
      <c r="IDQ241" s="1"/>
      <c r="IDR241" s="1"/>
      <c r="IDS241" s="1"/>
      <c r="IDT241" s="1"/>
      <c r="IDU241" s="1"/>
      <c r="IDV241" s="1"/>
      <c r="IDW241" s="1"/>
      <c r="IDX241" s="1"/>
      <c r="IDY241" s="1"/>
      <c r="IDZ241" s="1"/>
      <c r="IEA241" s="1"/>
      <c r="IEB241" s="1"/>
      <c r="IEC241" s="1"/>
      <c r="IED241" s="1"/>
      <c r="IEE241" s="1"/>
      <c r="IEF241" s="1"/>
      <c r="IEG241" s="1"/>
      <c r="IEH241" s="1"/>
      <c r="IEI241" s="1"/>
      <c r="IEJ241" s="1"/>
      <c r="IEK241" s="1"/>
      <c r="IEL241" s="1"/>
      <c r="IEM241" s="1"/>
      <c r="IEN241" s="1"/>
      <c r="IEO241" s="1"/>
      <c r="IEP241" s="1"/>
      <c r="IEQ241" s="1"/>
      <c r="IER241" s="1"/>
      <c r="IES241" s="1"/>
      <c r="IET241" s="1"/>
      <c r="IEU241" s="1"/>
      <c r="IEV241" s="1"/>
      <c r="IEW241" s="1"/>
      <c r="IEX241" s="1"/>
      <c r="IEY241" s="1"/>
      <c r="IEZ241" s="1"/>
      <c r="IFA241" s="1"/>
      <c r="IFB241" s="1"/>
      <c r="IFC241" s="1"/>
      <c r="IFD241" s="1"/>
      <c r="IFE241" s="1"/>
      <c r="IFF241" s="1"/>
      <c r="IFG241" s="1"/>
      <c r="IFH241" s="1"/>
      <c r="IFI241" s="1"/>
      <c r="IFJ241" s="1"/>
      <c r="IFK241" s="1"/>
      <c r="IFL241" s="1"/>
      <c r="IFM241" s="1"/>
      <c r="IFN241" s="1"/>
      <c r="IFO241" s="1"/>
      <c r="IFP241" s="1"/>
      <c r="IFQ241" s="1"/>
      <c r="IFR241" s="1"/>
      <c r="IFS241" s="1"/>
      <c r="IFT241" s="1"/>
      <c r="IFU241" s="1"/>
      <c r="IFV241" s="1"/>
      <c r="IFW241" s="1"/>
      <c r="IFX241" s="1"/>
      <c r="IFY241" s="1"/>
      <c r="IFZ241" s="1"/>
      <c r="IGA241" s="1"/>
      <c r="IGB241" s="1"/>
      <c r="IGC241" s="1"/>
      <c r="IGD241" s="1"/>
      <c r="IGE241" s="1"/>
      <c r="IGF241" s="1"/>
      <c r="IGG241" s="1"/>
      <c r="IGH241" s="1"/>
      <c r="IGI241" s="1"/>
      <c r="IGJ241" s="1"/>
      <c r="IGK241" s="1"/>
      <c r="IGL241" s="1"/>
      <c r="IGM241" s="1"/>
      <c r="IGN241" s="1"/>
      <c r="IGO241" s="1"/>
      <c r="IGP241" s="1"/>
      <c r="IGQ241" s="1"/>
      <c r="IGR241" s="1"/>
      <c r="IGS241" s="1"/>
      <c r="IGT241" s="1"/>
      <c r="IGU241" s="1"/>
      <c r="IGV241" s="1"/>
      <c r="IGW241" s="1"/>
      <c r="IGX241" s="1"/>
      <c r="IGY241" s="1"/>
      <c r="IGZ241" s="1"/>
      <c r="IHA241" s="1"/>
      <c r="IHB241" s="1"/>
      <c r="IHC241" s="1"/>
      <c r="IHD241" s="1"/>
      <c r="IHE241" s="1"/>
      <c r="IHF241" s="1"/>
      <c r="IHG241" s="1"/>
      <c r="IHH241" s="1"/>
      <c r="IHI241" s="1"/>
      <c r="IHJ241" s="1"/>
      <c r="IHK241" s="1"/>
      <c r="IHL241" s="1"/>
      <c r="IHM241" s="1"/>
      <c r="IHN241" s="1"/>
      <c r="IHO241" s="1"/>
      <c r="IHP241" s="1"/>
      <c r="IHQ241" s="1"/>
      <c r="IHR241" s="1"/>
      <c r="IHS241" s="1"/>
      <c r="IHT241" s="1"/>
      <c r="IHU241" s="1"/>
      <c r="IHV241" s="1"/>
      <c r="IHW241" s="1"/>
      <c r="IHX241" s="1"/>
      <c r="IHY241" s="1"/>
      <c r="IHZ241" s="1"/>
      <c r="IIA241" s="1"/>
      <c r="IIB241" s="1"/>
      <c r="IIC241" s="1"/>
      <c r="IID241" s="1"/>
      <c r="IIE241" s="1"/>
      <c r="IIF241" s="1"/>
      <c r="IIG241" s="1"/>
      <c r="IIH241" s="1"/>
      <c r="III241" s="1"/>
      <c r="IIJ241" s="1"/>
      <c r="IIK241" s="1"/>
      <c r="IIL241" s="1"/>
      <c r="IIM241" s="1"/>
      <c r="IIN241" s="1"/>
      <c r="IIO241" s="1"/>
      <c r="IIP241" s="1"/>
      <c r="IIQ241" s="1"/>
      <c r="IIR241" s="1"/>
      <c r="IIS241" s="1"/>
      <c r="IIT241" s="1"/>
      <c r="IIU241" s="1"/>
      <c r="IIV241" s="1"/>
      <c r="IIW241" s="1"/>
      <c r="IIX241" s="1"/>
      <c r="IIY241" s="1"/>
      <c r="IIZ241" s="1"/>
      <c r="IJA241" s="1"/>
      <c r="IJB241" s="1"/>
      <c r="IJC241" s="1"/>
      <c r="IJD241" s="1"/>
      <c r="IJE241" s="1"/>
      <c r="IJF241" s="1"/>
      <c r="IJG241" s="1"/>
      <c r="IJH241" s="1"/>
      <c r="IJI241" s="1"/>
      <c r="IJJ241" s="1"/>
      <c r="IJK241" s="1"/>
      <c r="IJL241" s="1"/>
      <c r="IJM241" s="1"/>
      <c r="IJN241" s="1"/>
      <c r="IJO241" s="1"/>
      <c r="IJP241" s="1"/>
      <c r="IJQ241" s="1"/>
      <c r="IJR241" s="1"/>
      <c r="IJS241" s="1"/>
      <c r="IJT241" s="1"/>
      <c r="IJU241" s="1"/>
      <c r="IJV241" s="1"/>
      <c r="IJW241" s="1"/>
      <c r="IJX241" s="1"/>
      <c r="IJY241" s="1"/>
      <c r="IJZ241" s="1"/>
      <c r="IKA241" s="1"/>
      <c r="IKB241" s="1"/>
      <c r="IKC241" s="1"/>
      <c r="IKD241" s="1"/>
      <c r="IKE241" s="1"/>
      <c r="IKF241" s="1"/>
      <c r="IKG241" s="1"/>
      <c r="IKH241" s="1"/>
      <c r="IKI241" s="1"/>
      <c r="IKJ241" s="1"/>
      <c r="IKK241" s="1"/>
      <c r="IKL241" s="1"/>
      <c r="IKM241" s="1"/>
      <c r="IKN241" s="1"/>
      <c r="IKO241" s="1"/>
      <c r="IKP241" s="1"/>
      <c r="IKQ241" s="1"/>
      <c r="IKR241" s="1"/>
      <c r="IKS241" s="1"/>
      <c r="IKT241" s="1"/>
      <c r="IKU241" s="1"/>
      <c r="IKV241" s="1"/>
      <c r="IKW241" s="1"/>
      <c r="IKX241" s="1"/>
      <c r="IKY241" s="1"/>
      <c r="IKZ241" s="1"/>
      <c r="ILA241" s="1"/>
      <c r="ILB241" s="1"/>
      <c r="ILC241" s="1"/>
      <c r="ILD241" s="1"/>
      <c r="ILE241" s="1"/>
      <c r="ILF241" s="1"/>
      <c r="ILG241" s="1"/>
      <c r="ILH241" s="1"/>
      <c r="ILI241" s="1"/>
      <c r="ILJ241" s="1"/>
      <c r="ILK241" s="1"/>
      <c r="ILL241" s="1"/>
      <c r="ILM241" s="1"/>
      <c r="ILN241" s="1"/>
      <c r="ILO241" s="1"/>
      <c r="ILP241" s="1"/>
      <c r="ILQ241" s="1"/>
      <c r="ILR241" s="1"/>
      <c r="ILS241" s="1"/>
      <c r="ILT241" s="1"/>
      <c r="ILU241" s="1"/>
      <c r="ILV241" s="1"/>
      <c r="ILW241" s="1"/>
      <c r="ILX241" s="1"/>
      <c r="ILY241" s="1"/>
      <c r="ILZ241" s="1"/>
      <c r="IMA241" s="1"/>
      <c r="IMB241" s="1"/>
      <c r="IMC241" s="1"/>
      <c r="IMD241" s="1"/>
      <c r="IME241" s="1"/>
      <c r="IMF241" s="1"/>
      <c r="IMG241" s="1"/>
      <c r="IMH241" s="1"/>
      <c r="IMI241" s="1"/>
      <c r="IMJ241" s="1"/>
      <c r="IMK241" s="1"/>
      <c r="IML241" s="1"/>
      <c r="IMM241" s="1"/>
      <c r="IMN241" s="1"/>
      <c r="IMO241" s="1"/>
      <c r="IMP241" s="1"/>
      <c r="IMQ241" s="1"/>
      <c r="IMR241" s="1"/>
      <c r="IMS241" s="1"/>
      <c r="IMT241" s="1"/>
      <c r="IMU241" s="1"/>
      <c r="IMV241" s="1"/>
      <c r="IMW241" s="1"/>
      <c r="IMX241" s="1"/>
      <c r="IMY241" s="1"/>
      <c r="IMZ241" s="1"/>
      <c r="INA241" s="1"/>
      <c r="INB241" s="1"/>
      <c r="INC241" s="1"/>
      <c r="IND241" s="1"/>
      <c r="INE241" s="1"/>
      <c r="INF241" s="1"/>
      <c r="ING241" s="1"/>
      <c r="INH241" s="1"/>
      <c r="INI241" s="1"/>
      <c r="INJ241" s="1"/>
      <c r="INK241" s="1"/>
      <c r="INL241" s="1"/>
      <c r="INM241" s="1"/>
      <c r="INN241" s="1"/>
      <c r="INO241" s="1"/>
      <c r="INP241" s="1"/>
      <c r="INQ241" s="1"/>
      <c r="INR241" s="1"/>
      <c r="INS241" s="1"/>
      <c r="INT241" s="1"/>
      <c r="INU241" s="1"/>
      <c r="INV241" s="1"/>
      <c r="INW241" s="1"/>
      <c r="INX241" s="1"/>
      <c r="INY241" s="1"/>
      <c r="INZ241" s="1"/>
      <c r="IOA241" s="1"/>
      <c r="IOB241" s="1"/>
      <c r="IOC241" s="1"/>
      <c r="IOD241" s="1"/>
      <c r="IOE241" s="1"/>
      <c r="IOF241" s="1"/>
      <c r="IOG241" s="1"/>
      <c r="IOH241" s="1"/>
      <c r="IOI241" s="1"/>
      <c r="IOJ241" s="1"/>
      <c r="IOK241" s="1"/>
      <c r="IOL241" s="1"/>
      <c r="IOM241" s="1"/>
      <c r="ION241" s="1"/>
      <c r="IOO241" s="1"/>
      <c r="IOP241" s="1"/>
      <c r="IOQ241" s="1"/>
      <c r="IOR241" s="1"/>
      <c r="IOS241" s="1"/>
      <c r="IOT241" s="1"/>
      <c r="IOU241" s="1"/>
      <c r="IOV241" s="1"/>
      <c r="IOW241" s="1"/>
      <c r="IOX241" s="1"/>
      <c r="IOY241" s="1"/>
      <c r="IOZ241" s="1"/>
      <c r="IPA241" s="1"/>
      <c r="IPB241" s="1"/>
      <c r="IPC241" s="1"/>
      <c r="IPD241" s="1"/>
      <c r="IPE241" s="1"/>
      <c r="IPF241" s="1"/>
      <c r="IPG241" s="1"/>
      <c r="IPH241" s="1"/>
      <c r="IPI241" s="1"/>
      <c r="IPJ241" s="1"/>
      <c r="IPK241" s="1"/>
      <c r="IPL241" s="1"/>
      <c r="IPM241" s="1"/>
      <c r="IPN241" s="1"/>
      <c r="IPO241" s="1"/>
      <c r="IPP241" s="1"/>
      <c r="IPQ241" s="1"/>
      <c r="IPR241" s="1"/>
      <c r="IPS241" s="1"/>
      <c r="IPT241" s="1"/>
      <c r="IPU241" s="1"/>
      <c r="IPV241" s="1"/>
      <c r="IPW241" s="1"/>
      <c r="IPX241" s="1"/>
      <c r="IPY241" s="1"/>
      <c r="IPZ241" s="1"/>
      <c r="IQA241" s="1"/>
      <c r="IQB241" s="1"/>
      <c r="IQC241" s="1"/>
      <c r="IQD241" s="1"/>
      <c r="IQE241" s="1"/>
      <c r="IQF241" s="1"/>
      <c r="IQG241" s="1"/>
      <c r="IQH241" s="1"/>
      <c r="IQI241" s="1"/>
      <c r="IQJ241" s="1"/>
      <c r="IQK241" s="1"/>
      <c r="IQL241" s="1"/>
      <c r="IQM241" s="1"/>
      <c r="IQN241" s="1"/>
      <c r="IQO241" s="1"/>
      <c r="IQP241" s="1"/>
      <c r="IQQ241" s="1"/>
      <c r="IQR241" s="1"/>
      <c r="IQS241" s="1"/>
      <c r="IQT241" s="1"/>
      <c r="IQU241" s="1"/>
      <c r="IQV241" s="1"/>
      <c r="IQW241" s="1"/>
      <c r="IQX241" s="1"/>
      <c r="IQY241" s="1"/>
      <c r="IQZ241" s="1"/>
      <c r="IRA241" s="1"/>
      <c r="IRB241" s="1"/>
      <c r="IRC241" s="1"/>
      <c r="IRD241" s="1"/>
      <c r="IRE241" s="1"/>
      <c r="IRF241" s="1"/>
      <c r="IRG241" s="1"/>
      <c r="IRH241" s="1"/>
      <c r="IRI241" s="1"/>
      <c r="IRJ241" s="1"/>
      <c r="IRK241" s="1"/>
      <c r="IRL241" s="1"/>
      <c r="IRM241" s="1"/>
      <c r="IRN241" s="1"/>
      <c r="IRO241" s="1"/>
      <c r="IRP241" s="1"/>
      <c r="IRQ241" s="1"/>
      <c r="IRR241" s="1"/>
      <c r="IRS241" s="1"/>
      <c r="IRT241" s="1"/>
      <c r="IRU241" s="1"/>
      <c r="IRV241" s="1"/>
      <c r="IRW241" s="1"/>
      <c r="IRX241" s="1"/>
      <c r="IRY241" s="1"/>
      <c r="IRZ241" s="1"/>
      <c r="ISA241" s="1"/>
      <c r="ISB241" s="1"/>
      <c r="ISC241" s="1"/>
      <c r="ISD241" s="1"/>
      <c r="ISE241" s="1"/>
      <c r="ISF241" s="1"/>
      <c r="ISG241" s="1"/>
      <c r="ISH241" s="1"/>
      <c r="ISI241" s="1"/>
      <c r="ISJ241" s="1"/>
      <c r="ISK241" s="1"/>
      <c r="ISL241" s="1"/>
      <c r="ISM241" s="1"/>
      <c r="ISN241" s="1"/>
      <c r="ISO241" s="1"/>
      <c r="ISP241" s="1"/>
      <c r="ISQ241" s="1"/>
      <c r="ISR241" s="1"/>
      <c r="ISS241" s="1"/>
      <c r="IST241" s="1"/>
      <c r="ISU241" s="1"/>
      <c r="ISV241" s="1"/>
      <c r="ISW241" s="1"/>
      <c r="ISX241" s="1"/>
      <c r="ISY241" s="1"/>
      <c r="ISZ241" s="1"/>
      <c r="ITA241" s="1"/>
      <c r="ITB241" s="1"/>
      <c r="ITC241" s="1"/>
      <c r="ITD241" s="1"/>
      <c r="ITE241" s="1"/>
      <c r="ITF241" s="1"/>
      <c r="ITG241" s="1"/>
      <c r="ITH241" s="1"/>
      <c r="ITI241" s="1"/>
      <c r="ITJ241" s="1"/>
      <c r="ITK241" s="1"/>
      <c r="ITL241" s="1"/>
      <c r="ITM241" s="1"/>
      <c r="ITN241" s="1"/>
      <c r="ITO241" s="1"/>
      <c r="ITP241" s="1"/>
      <c r="ITQ241" s="1"/>
      <c r="ITR241" s="1"/>
      <c r="ITS241" s="1"/>
      <c r="ITT241" s="1"/>
      <c r="ITU241" s="1"/>
      <c r="ITV241" s="1"/>
      <c r="ITW241" s="1"/>
      <c r="ITX241" s="1"/>
      <c r="ITY241" s="1"/>
      <c r="ITZ241" s="1"/>
      <c r="IUA241" s="1"/>
      <c r="IUB241" s="1"/>
      <c r="IUC241" s="1"/>
      <c r="IUD241" s="1"/>
      <c r="IUE241" s="1"/>
      <c r="IUF241" s="1"/>
      <c r="IUG241" s="1"/>
      <c r="IUH241" s="1"/>
      <c r="IUI241" s="1"/>
      <c r="IUJ241" s="1"/>
      <c r="IUK241" s="1"/>
      <c r="IUL241" s="1"/>
      <c r="IUM241" s="1"/>
      <c r="IUN241" s="1"/>
      <c r="IUO241" s="1"/>
      <c r="IUP241" s="1"/>
      <c r="IUQ241" s="1"/>
      <c r="IUR241" s="1"/>
      <c r="IUS241" s="1"/>
      <c r="IUT241" s="1"/>
      <c r="IUU241" s="1"/>
      <c r="IUV241" s="1"/>
      <c r="IUW241" s="1"/>
      <c r="IUX241" s="1"/>
      <c r="IUY241" s="1"/>
      <c r="IUZ241" s="1"/>
      <c r="IVA241" s="1"/>
      <c r="IVB241" s="1"/>
      <c r="IVC241" s="1"/>
      <c r="IVD241" s="1"/>
      <c r="IVE241" s="1"/>
      <c r="IVF241" s="1"/>
      <c r="IVG241" s="1"/>
      <c r="IVH241" s="1"/>
      <c r="IVI241" s="1"/>
      <c r="IVJ241" s="1"/>
      <c r="IVK241" s="1"/>
      <c r="IVL241" s="1"/>
      <c r="IVM241" s="1"/>
      <c r="IVN241" s="1"/>
      <c r="IVO241" s="1"/>
      <c r="IVP241" s="1"/>
      <c r="IVQ241" s="1"/>
      <c r="IVR241" s="1"/>
      <c r="IVS241" s="1"/>
      <c r="IVT241" s="1"/>
      <c r="IVU241" s="1"/>
      <c r="IVV241" s="1"/>
      <c r="IVW241" s="1"/>
      <c r="IVX241" s="1"/>
      <c r="IVY241" s="1"/>
      <c r="IVZ241" s="1"/>
      <c r="IWA241" s="1"/>
      <c r="IWB241" s="1"/>
      <c r="IWC241" s="1"/>
      <c r="IWD241" s="1"/>
      <c r="IWE241" s="1"/>
      <c r="IWF241" s="1"/>
      <c r="IWG241" s="1"/>
      <c r="IWH241" s="1"/>
      <c r="IWI241" s="1"/>
      <c r="IWJ241" s="1"/>
      <c r="IWK241" s="1"/>
      <c r="IWL241" s="1"/>
      <c r="IWM241" s="1"/>
      <c r="IWN241" s="1"/>
      <c r="IWO241" s="1"/>
      <c r="IWP241" s="1"/>
      <c r="IWQ241" s="1"/>
      <c r="IWR241" s="1"/>
      <c r="IWS241" s="1"/>
      <c r="IWT241" s="1"/>
      <c r="IWU241" s="1"/>
      <c r="IWV241" s="1"/>
      <c r="IWW241" s="1"/>
      <c r="IWX241" s="1"/>
      <c r="IWY241" s="1"/>
      <c r="IWZ241" s="1"/>
      <c r="IXA241" s="1"/>
      <c r="IXB241" s="1"/>
      <c r="IXC241" s="1"/>
      <c r="IXD241" s="1"/>
      <c r="IXE241" s="1"/>
      <c r="IXF241" s="1"/>
      <c r="IXG241" s="1"/>
      <c r="IXH241" s="1"/>
      <c r="IXI241" s="1"/>
      <c r="IXJ241" s="1"/>
      <c r="IXK241" s="1"/>
      <c r="IXL241" s="1"/>
      <c r="IXM241" s="1"/>
      <c r="IXN241" s="1"/>
      <c r="IXO241" s="1"/>
      <c r="IXP241" s="1"/>
      <c r="IXQ241" s="1"/>
      <c r="IXR241" s="1"/>
      <c r="IXS241" s="1"/>
      <c r="IXT241" s="1"/>
      <c r="IXU241" s="1"/>
      <c r="IXV241" s="1"/>
      <c r="IXW241" s="1"/>
      <c r="IXX241" s="1"/>
      <c r="IXY241" s="1"/>
      <c r="IXZ241" s="1"/>
      <c r="IYA241" s="1"/>
      <c r="IYB241" s="1"/>
      <c r="IYC241" s="1"/>
      <c r="IYD241" s="1"/>
      <c r="IYE241" s="1"/>
      <c r="IYF241" s="1"/>
      <c r="IYG241" s="1"/>
      <c r="IYH241" s="1"/>
      <c r="IYI241" s="1"/>
      <c r="IYJ241" s="1"/>
      <c r="IYK241" s="1"/>
      <c r="IYL241" s="1"/>
      <c r="IYM241" s="1"/>
      <c r="IYN241" s="1"/>
      <c r="IYO241" s="1"/>
      <c r="IYP241" s="1"/>
      <c r="IYQ241" s="1"/>
      <c r="IYR241" s="1"/>
      <c r="IYS241" s="1"/>
      <c r="IYT241" s="1"/>
      <c r="IYU241" s="1"/>
      <c r="IYV241" s="1"/>
      <c r="IYW241" s="1"/>
      <c r="IYX241" s="1"/>
      <c r="IYY241" s="1"/>
      <c r="IYZ241" s="1"/>
      <c r="IZA241" s="1"/>
      <c r="IZB241" s="1"/>
      <c r="IZC241" s="1"/>
      <c r="IZD241" s="1"/>
      <c r="IZE241" s="1"/>
      <c r="IZF241" s="1"/>
      <c r="IZG241" s="1"/>
      <c r="IZH241" s="1"/>
      <c r="IZI241" s="1"/>
      <c r="IZJ241" s="1"/>
      <c r="IZK241" s="1"/>
      <c r="IZL241" s="1"/>
      <c r="IZM241" s="1"/>
      <c r="IZN241" s="1"/>
      <c r="IZO241" s="1"/>
      <c r="IZP241" s="1"/>
      <c r="IZQ241" s="1"/>
      <c r="IZR241" s="1"/>
      <c r="IZS241" s="1"/>
      <c r="IZT241" s="1"/>
      <c r="IZU241" s="1"/>
      <c r="IZV241" s="1"/>
      <c r="IZW241" s="1"/>
      <c r="IZX241" s="1"/>
      <c r="IZY241" s="1"/>
      <c r="IZZ241" s="1"/>
      <c r="JAA241" s="1"/>
      <c r="JAB241" s="1"/>
      <c r="JAC241" s="1"/>
      <c r="JAD241" s="1"/>
      <c r="JAE241" s="1"/>
      <c r="JAF241" s="1"/>
      <c r="JAG241" s="1"/>
      <c r="JAH241" s="1"/>
      <c r="JAI241" s="1"/>
      <c r="JAJ241" s="1"/>
      <c r="JAK241" s="1"/>
      <c r="JAL241" s="1"/>
      <c r="JAM241" s="1"/>
      <c r="JAN241" s="1"/>
      <c r="JAO241" s="1"/>
      <c r="JAP241" s="1"/>
      <c r="JAQ241" s="1"/>
      <c r="JAR241" s="1"/>
      <c r="JAS241" s="1"/>
      <c r="JAT241" s="1"/>
      <c r="JAU241" s="1"/>
      <c r="JAV241" s="1"/>
      <c r="JAW241" s="1"/>
      <c r="JAX241" s="1"/>
      <c r="JAY241" s="1"/>
      <c r="JAZ241" s="1"/>
      <c r="JBA241" s="1"/>
      <c r="JBB241" s="1"/>
      <c r="JBC241" s="1"/>
      <c r="JBD241" s="1"/>
      <c r="JBE241" s="1"/>
      <c r="JBF241" s="1"/>
      <c r="JBG241" s="1"/>
      <c r="JBH241" s="1"/>
      <c r="JBI241" s="1"/>
      <c r="JBJ241" s="1"/>
      <c r="JBK241" s="1"/>
      <c r="JBL241" s="1"/>
      <c r="JBM241" s="1"/>
      <c r="JBN241" s="1"/>
      <c r="JBO241" s="1"/>
      <c r="JBP241" s="1"/>
      <c r="JBQ241" s="1"/>
      <c r="JBR241" s="1"/>
      <c r="JBS241" s="1"/>
      <c r="JBT241" s="1"/>
      <c r="JBU241" s="1"/>
      <c r="JBV241" s="1"/>
      <c r="JBW241" s="1"/>
      <c r="JBX241" s="1"/>
      <c r="JBY241" s="1"/>
      <c r="JBZ241" s="1"/>
      <c r="JCA241" s="1"/>
      <c r="JCB241" s="1"/>
      <c r="JCC241" s="1"/>
      <c r="JCD241" s="1"/>
      <c r="JCE241" s="1"/>
      <c r="JCF241" s="1"/>
      <c r="JCG241" s="1"/>
      <c r="JCH241" s="1"/>
      <c r="JCI241" s="1"/>
      <c r="JCJ241" s="1"/>
      <c r="JCK241" s="1"/>
      <c r="JCL241" s="1"/>
      <c r="JCM241" s="1"/>
      <c r="JCN241" s="1"/>
      <c r="JCO241" s="1"/>
      <c r="JCP241" s="1"/>
      <c r="JCQ241" s="1"/>
      <c r="JCR241" s="1"/>
      <c r="JCS241" s="1"/>
      <c r="JCT241" s="1"/>
      <c r="JCU241" s="1"/>
      <c r="JCV241" s="1"/>
      <c r="JCW241" s="1"/>
      <c r="JCX241" s="1"/>
      <c r="JCY241" s="1"/>
      <c r="JCZ241" s="1"/>
      <c r="JDA241" s="1"/>
      <c r="JDB241" s="1"/>
      <c r="JDC241" s="1"/>
      <c r="JDD241" s="1"/>
      <c r="JDE241" s="1"/>
      <c r="JDF241" s="1"/>
      <c r="JDG241" s="1"/>
      <c r="JDH241" s="1"/>
      <c r="JDI241" s="1"/>
      <c r="JDJ241" s="1"/>
      <c r="JDK241" s="1"/>
      <c r="JDL241" s="1"/>
      <c r="JDM241" s="1"/>
      <c r="JDN241" s="1"/>
      <c r="JDO241" s="1"/>
      <c r="JDP241" s="1"/>
      <c r="JDQ241" s="1"/>
      <c r="JDR241" s="1"/>
      <c r="JDS241" s="1"/>
      <c r="JDT241" s="1"/>
      <c r="JDU241" s="1"/>
      <c r="JDV241" s="1"/>
      <c r="JDW241" s="1"/>
      <c r="JDX241" s="1"/>
      <c r="JDY241" s="1"/>
      <c r="JDZ241" s="1"/>
      <c r="JEA241" s="1"/>
      <c r="JEB241" s="1"/>
      <c r="JEC241" s="1"/>
      <c r="JED241" s="1"/>
      <c r="JEE241" s="1"/>
      <c r="JEF241" s="1"/>
      <c r="JEG241" s="1"/>
      <c r="JEH241" s="1"/>
      <c r="JEI241" s="1"/>
      <c r="JEJ241" s="1"/>
      <c r="JEK241" s="1"/>
      <c r="JEL241" s="1"/>
      <c r="JEM241" s="1"/>
      <c r="JEN241" s="1"/>
      <c r="JEO241" s="1"/>
      <c r="JEP241" s="1"/>
      <c r="JEQ241" s="1"/>
      <c r="JER241" s="1"/>
      <c r="JES241" s="1"/>
      <c r="JET241" s="1"/>
      <c r="JEU241" s="1"/>
      <c r="JEV241" s="1"/>
      <c r="JEW241" s="1"/>
      <c r="JEX241" s="1"/>
      <c r="JEY241" s="1"/>
      <c r="JEZ241" s="1"/>
      <c r="JFA241" s="1"/>
      <c r="JFB241" s="1"/>
      <c r="JFC241" s="1"/>
      <c r="JFD241" s="1"/>
      <c r="JFE241" s="1"/>
      <c r="JFF241" s="1"/>
      <c r="JFG241" s="1"/>
      <c r="JFH241" s="1"/>
      <c r="JFI241" s="1"/>
      <c r="JFJ241" s="1"/>
      <c r="JFK241" s="1"/>
      <c r="JFL241" s="1"/>
      <c r="JFM241" s="1"/>
      <c r="JFN241" s="1"/>
      <c r="JFO241" s="1"/>
      <c r="JFP241" s="1"/>
      <c r="JFQ241" s="1"/>
      <c r="JFR241" s="1"/>
      <c r="JFS241" s="1"/>
      <c r="JFT241" s="1"/>
      <c r="JFU241" s="1"/>
      <c r="JFV241" s="1"/>
      <c r="JFW241" s="1"/>
      <c r="JFX241" s="1"/>
      <c r="JFY241" s="1"/>
      <c r="JFZ241" s="1"/>
      <c r="JGA241" s="1"/>
      <c r="JGB241" s="1"/>
      <c r="JGC241" s="1"/>
      <c r="JGD241" s="1"/>
      <c r="JGE241" s="1"/>
      <c r="JGF241" s="1"/>
      <c r="JGG241" s="1"/>
      <c r="JGH241" s="1"/>
      <c r="JGI241" s="1"/>
      <c r="JGJ241" s="1"/>
      <c r="JGK241" s="1"/>
      <c r="JGL241" s="1"/>
      <c r="JGM241" s="1"/>
      <c r="JGN241" s="1"/>
      <c r="JGO241" s="1"/>
      <c r="JGP241" s="1"/>
      <c r="JGQ241" s="1"/>
      <c r="JGR241" s="1"/>
      <c r="JGS241" s="1"/>
      <c r="JGT241" s="1"/>
      <c r="JGU241" s="1"/>
      <c r="JGV241" s="1"/>
      <c r="JGW241" s="1"/>
      <c r="JGX241" s="1"/>
      <c r="JGY241" s="1"/>
      <c r="JGZ241" s="1"/>
      <c r="JHA241" s="1"/>
      <c r="JHB241" s="1"/>
      <c r="JHC241" s="1"/>
      <c r="JHD241" s="1"/>
      <c r="JHE241" s="1"/>
      <c r="JHF241" s="1"/>
      <c r="JHG241" s="1"/>
      <c r="JHH241" s="1"/>
      <c r="JHI241" s="1"/>
      <c r="JHJ241" s="1"/>
      <c r="JHK241" s="1"/>
      <c r="JHL241" s="1"/>
      <c r="JHM241" s="1"/>
      <c r="JHN241" s="1"/>
      <c r="JHO241" s="1"/>
      <c r="JHP241" s="1"/>
      <c r="JHQ241" s="1"/>
      <c r="JHR241" s="1"/>
      <c r="JHS241" s="1"/>
      <c r="JHT241" s="1"/>
      <c r="JHU241" s="1"/>
      <c r="JHV241" s="1"/>
      <c r="JHW241" s="1"/>
      <c r="JHX241" s="1"/>
      <c r="JHY241" s="1"/>
      <c r="JHZ241" s="1"/>
      <c r="JIA241" s="1"/>
      <c r="JIB241" s="1"/>
      <c r="JIC241" s="1"/>
      <c r="JID241" s="1"/>
      <c r="JIE241" s="1"/>
      <c r="JIF241" s="1"/>
      <c r="JIG241" s="1"/>
      <c r="JIH241" s="1"/>
      <c r="JII241" s="1"/>
      <c r="JIJ241" s="1"/>
      <c r="JIK241" s="1"/>
      <c r="JIL241" s="1"/>
      <c r="JIM241" s="1"/>
      <c r="JIN241" s="1"/>
      <c r="JIO241" s="1"/>
      <c r="JIP241" s="1"/>
      <c r="JIQ241" s="1"/>
      <c r="JIR241" s="1"/>
      <c r="JIS241" s="1"/>
      <c r="JIT241" s="1"/>
      <c r="JIU241" s="1"/>
      <c r="JIV241" s="1"/>
      <c r="JIW241" s="1"/>
      <c r="JIX241" s="1"/>
      <c r="JIY241" s="1"/>
      <c r="JIZ241" s="1"/>
      <c r="JJA241" s="1"/>
      <c r="JJB241" s="1"/>
      <c r="JJC241" s="1"/>
      <c r="JJD241" s="1"/>
      <c r="JJE241" s="1"/>
      <c r="JJF241" s="1"/>
      <c r="JJG241" s="1"/>
      <c r="JJH241" s="1"/>
      <c r="JJI241" s="1"/>
      <c r="JJJ241" s="1"/>
      <c r="JJK241" s="1"/>
      <c r="JJL241" s="1"/>
      <c r="JJM241" s="1"/>
      <c r="JJN241" s="1"/>
      <c r="JJO241" s="1"/>
      <c r="JJP241" s="1"/>
      <c r="JJQ241" s="1"/>
      <c r="JJR241" s="1"/>
      <c r="JJS241" s="1"/>
      <c r="JJT241" s="1"/>
      <c r="JJU241" s="1"/>
      <c r="JJV241" s="1"/>
      <c r="JJW241" s="1"/>
      <c r="JJX241" s="1"/>
      <c r="JJY241" s="1"/>
      <c r="JJZ241" s="1"/>
      <c r="JKA241" s="1"/>
      <c r="JKB241" s="1"/>
      <c r="JKC241" s="1"/>
      <c r="JKD241" s="1"/>
      <c r="JKE241" s="1"/>
      <c r="JKF241" s="1"/>
      <c r="JKG241" s="1"/>
      <c r="JKH241" s="1"/>
      <c r="JKI241" s="1"/>
      <c r="JKJ241" s="1"/>
      <c r="JKK241" s="1"/>
      <c r="JKL241" s="1"/>
      <c r="JKM241" s="1"/>
      <c r="JKN241" s="1"/>
      <c r="JKO241" s="1"/>
      <c r="JKP241" s="1"/>
      <c r="JKQ241" s="1"/>
      <c r="JKR241" s="1"/>
      <c r="JKS241" s="1"/>
      <c r="JKT241" s="1"/>
      <c r="JKU241" s="1"/>
      <c r="JKV241" s="1"/>
      <c r="JKW241" s="1"/>
      <c r="JKX241" s="1"/>
      <c r="JKY241" s="1"/>
      <c r="JKZ241" s="1"/>
      <c r="JLA241" s="1"/>
      <c r="JLB241" s="1"/>
      <c r="JLC241" s="1"/>
      <c r="JLD241" s="1"/>
      <c r="JLE241" s="1"/>
      <c r="JLF241" s="1"/>
      <c r="JLG241" s="1"/>
      <c r="JLH241" s="1"/>
      <c r="JLI241" s="1"/>
      <c r="JLJ241" s="1"/>
      <c r="JLK241" s="1"/>
      <c r="JLL241" s="1"/>
      <c r="JLM241" s="1"/>
      <c r="JLN241" s="1"/>
      <c r="JLO241" s="1"/>
      <c r="JLP241" s="1"/>
      <c r="JLQ241" s="1"/>
      <c r="JLR241" s="1"/>
      <c r="JLS241" s="1"/>
      <c r="JLT241" s="1"/>
      <c r="JLU241" s="1"/>
      <c r="JLV241" s="1"/>
      <c r="JLW241" s="1"/>
      <c r="JLX241" s="1"/>
      <c r="JLY241" s="1"/>
      <c r="JLZ241" s="1"/>
      <c r="JMA241" s="1"/>
      <c r="JMB241" s="1"/>
      <c r="JMC241" s="1"/>
      <c r="JMD241" s="1"/>
      <c r="JME241" s="1"/>
      <c r="JMF241" s="1"/>
      <c r="JMG241" s="1"/>
      <c r="JMH241" s="1"/>
      <c r="JMI241" s="1"/>
      <c r="JMJ241" s="1"/>
      <c r="JMK241" s="1"/>
      <c r="JML241" s="1"/>
      <c r="JMM241" s="1"/>
      <c r="JMN241" s="1"/>
      <c r="JMO241" s="1"/>
      <c r="JMP241" s="1"/>
      <c r="JMQ241" s="1"/>
      <c r="JMR241" s="1"/>
      <c r="JMS241" s="1"/>
      <c r="JMT241" s="1"/>
      <c r="JMU241" s="1"/>
      <c r="JMV241" s="1"/>
      <c r="JMW241" s="1"/>
      <c r="JMX241" s="1"/>
      <c r="JMY241" s="1"/>
      <c r="JMZ241" s="1"/>
      <c r="JNA241" s="1"/>
      <c r="JNB241" s="1"/>
      <c r="JNC241" s="1"/>
      <c r="JND241" s="1"/>
      <c r="JNE241" s="1"/>
      <c r="JNF241" s="1"/>
      <c r="JNG241" s="1"/>
      <c r="JNH241" s="1"/>
      <c r="JNI241" s="1"/>
      <c r="JNJ241" s="1"/>
      <c r="JNK241" s="1"/>
      <c r="JNL241" s="1"/>
      <c r="JNM241" s="1"/>
      <c r="JNN241" s="1"/>
      <c r="JNO241" s="1"/>
      <c r="JNP241" s="1"/>
      <c r="JNQ241" s="1"/>
      <c r="JNR241" s="1"/>
      <c r="JNS241" s="1"/>
      <c r="JNT241" s="1"/>
      <c r="JNU241" s="1"/>
      <c r="JNV241" s="1"/>
      <c r="JNW241" s="1"/>
      <c r="JNX241" s="1"/>
      <c r="JNY241" s="1"/>
      <c r="JNZ241" s="1"/>
      <c r="JOA241" s="1"/>
      <c r="JOB241" s="1"/>
      <c r="JOC241" s="1"/>
      <c r="JOD241" s="1"/>
      <c r="JOE241" s="1"/>
      <c r="JOF241" s="1"/>
      <c r="JOG241" s="1"/>
      <c r="JOH241" s="1"/>
      <c r="JOI241" s="1"/>
      <c r="JOJ241" s="1"/>
      <c r="JOK241" s="1"/>
      <c r="JOL241" s="1"/>
      <c r="JOM241" s="1"/>
      <c r="JON241" s="1"/>
      <c r="JOO241" s="1"/>
      <c r="JOP241" s="1"/>
      <c r="JOQ241" s="1"/>
      <c r="JOR241" s="1"/>
      <c r="JOS241" s="1"/>
      <c r="JOT241" s="1"/>
      <c r="JOU241" s="1"/>
      <c r="JOV241" s="1"/>
      <c r="JOW241" s="1"/>
      <c r="JOX241" s="1"/>
      <c r="JOY241" s="1"/>
      <c r="JOZ241" s="1"/>
      <c r="JPA241" s="1"/>
      <c r="JPB241" s="1"/>
      <c r="JPC241" s="1"/>
      <c r="JPD241" s="1"/>
      <c r="JPE241" s="1"/>
      <c r="JPF241" s="1"/>
      <c r="JPG241" s="1"/>
      <c r="JPH241" s="1"/>
      <c r="JPI241" s="1"/>
      <c r="JPJ241" s="1"/>
      <c r="JPK241" s="1"/>
      <c r="JPL241" s="1"/>
      <c r="JPM241" s="1"/>
      <c r="JPN241" s="1"/>
      <c r="JPO241" s="1"/>
      <c r="JPP241" s="1"/>
      <c r="JPQ241" s="1"/>
      <c r="JPR241" s="1"/>
      <c r="JPS241" s="1"/>
      <c r="JPT241" s="1"/>
      <c r="JPU241" s="1"/>
      <c r="JPV241" s="1"/>
      <c r="JPW241" s="1"/>
      <c r="JPX241" s="1"/>
      <c r="JPY241" s="1"/>
      <c r="JPZ241" s="1"/>
      <c r="JQA241" s="1"/>
      <c r="JQB241" s="1"/>
      <c r="JQC241" s="1"/>
      <c r="JQD241" s="1"/>
      <c r="JQE241" s="1"/>
      <c r="JQF241" s="1"/>
      <c r="JQG241" s="1"/>
      <c r="JQH241" s="1"/>
      <c r="JQI241" s="1"/>
      <c r="JQJ241" s="1"/>
      <c r="JQK241" s="1"/>
      <c r="JQL241" s="1"/>
      <c r="JQM241" s="1"/>
      <c r="JQN241" s="1"/>
      <c r="JQO241" s="1"/>
      <c r="JQP241" s="1"/>
      <c r="JQQ241" s="1"/>
      <c r="JQR241" s="1"/>
      <c r="JQS241" s="1"/>
      <c r="JQT241" s="1"/>
      <c r="JQU241" s="1"/>
      <c r="JQV241" s="1"/>
      <c r="JQW241" s="1"/>
      <c r="JQX241" s="1"/>
      <c r="JQY241" s="1"/>
      <c r="JQZ241" s="1"/>
      <c r="JRA241" s="1"/>
      <c r="JRB241" s="1"/>
      <c r="JRC241" s="1"/>
      <c r="JRD241" s="1"/>
      <c r="JRE241" s="1"/>
      <c r="JRF241" s="1"/>
      <c r="JRG241" s="1"/>
      <c r="JRH241" s="1"/>
      <c r="JRI241" s="1"/>
      <c r="JRJ241" s="1"/>
      <c r="JRK241" s="1"/>
      <c r="JRL241" s="1"/>
      <c r="JRM241" s="1"/>
      <c r="JRN241" s="1"/>
      <c r="JRO241" s="1"/>
      <c r="JRP241" s="1"/>
      <c r="JRQ241" s="1"/>
      <c r="JRR241" s="1"/>
      <c r="JRS241" s="1"/>
      <c r="JRT241" s="1"/>
      <c r="JRU241" s="1"/>
      <c r="JRV241" s="1"/>
      <c r="JRW241" s="1"/>
      <c r="JRX241" s="1"/>
      <c r="JRY241" s="1"/>
      <c r="JRZ241" s="1"/>
      <c r="JSA241" s="1"/>
      <c r="JSB241" s="1"/>
      <c r="JSC241" s="1"/>
      <c r="JSD241" s="1"/>
      <c r="JSE241" s="1"/>
      <c r="JSF241" s="1"/>
      <c r="JSG241" s="1"/>
      <c r="JSH241" s="1"/>
      <c r="JSI241" s="1"/>
      <c r="JSJ241" s="1"/>
      <c r="JSK241" s="1"/>
      <c r="JSL241" s="1"/>
      <c r="JSM241" s="1"/>
      <c r="JSN241" s="1"/>
      <c r="JSO241" s="1"/>
      <c r="JSP241" s="1"/>
      <c r="JSQ241" s="1"/>
      <c r="JSR241" s="1"/>
      <c r="JSS241" s="1"/>
      <c r="JST241" s="1"/>
      <c r="JSU241" s="1"/>
      <c r="JSV241" s="1"/>
      <c r="JSW241" s="1"/>
      <c r="JSX241" s="1"/>
      <c r="JSY241" s="1"/>
      <c r="JSZ241" s="1"/>
      <c r="JTA241" s="1"/>
      <c r="JTB241" s="1"/>
      <c r="JTC241" s="1"/>
      <c r="JTD241" s="1"/>
      <c r="JTE241" s="1"/>
      <c r="JTF241" s="1"/>
      <c r="JTG241" s="1"/>
      <c r="JTH241" s="1"/>
      <c r="JTI241" s="1"/>
      <c r="JTJ241" s="1"/>
      <c r="JTK241" s="1"/>
      <c r="JTL241" s="1"/>
      <c r="JTM241" s="1"/>
      <c r="JTN241" s="1"/>
      <c r="JTO241" s="1"/>
      <c r="JTP241" s="1"/>
      <c r="JTQ241" s="1"/>
      <c r="JTR241" s="1"/>
      <c r="JTS241" s="1"/>
      <c r="JTT241" s="1"/>
      <c r="JTU241" s="1"/>
      <c r="JTV241" s="1"/>
      <c r="JTW241" s="1"/>
      <c r="JTX241" s="1"/>
      <c r="JTY241" s="1"/>
      <c r="JTZ241" s="1"/>
      <c r="JUA241" s="1"/>
      <c r="JUB241" s="1"/>
      <c r="JUC241" s="1"/>
      <c r="JUD241" s="1"/>
      <c r="JUE241" s="1"/>
      <c r="JUF241" s="1"/>
      <c r="JUG241" s="1"/>
      <c r="JUH241" s="1"/>
      <c r="JUI241" s="1"/>
      <c r="JUJ241" s="1"/>
      <c r="JUK241" s="1"/>
      <c r="JUL241" s="1"/>
      <c r="JUM241" s="1"/>
      <c r="JUN241" s="1"/>
      <c r="JUO241" s="1"/>
      <c r="JUP241" s="1"/>
      <c r="JUQ241" s="1"/>
      <c r="JUR241" s="1"/>
      <c r="JUS241" s="1"/>
      <c r="JUT241" s="1"/>
      <c r="JUU241" s="1"/>
      <c r="JUV241" s="1"/>
      <c r="JUW241" s="1"/>
      <c r="JUX241" s="1"/>
      <c r="JUY241" s="1"/>
      <c r="JUZ241" s="1"/>
      <c r="JVA241" s="1"/>
      <c r="JVB241" s="1"/>
      <c r="JVC241" s="1"/>
      <c r="JVD241" s="1"/>
      <c r="JVE241" s="1"/>
      <c r="JVF241" s="1"/>
      <c r="JVG241" s="1"/>
      <c r="JVH241" s="1"/>
      <c r="JVI241" s="1"/>
      <c r="JVJ241" s="1"/>
      <c r="JVK241" s="1"/>
      <c r="JVL241" s="1"/>
      <c r="JVM241" s="1"/>
      <c r="JVN241" s="1"/>
      <c r="JVO241" s="1"/>
      <c r="JVP241" s="1"/>
      <c r="JVQ241" s="1"/>
      <c r="JVR241" s="1"/>
      <c r="JVS241" s="1"/>
      <c r="JVT241" s="1"/>
      <c r="JVU241" s="1"/>
      <c r="JVV241" s="1"/>
      <c r="JVW241" s="1"/>
      <c r="JVX241" s="1"/>
      <c r="JVY241" s="1"/>
      <c r="JVZ241" s="1"/>
      <c r="JWA241" s="1"/>
      <c r="JWB241" s="1"/>
      <c r="JWC241" s="1"/>
      <c r="JWD241" s="1"/>
      <c r="JWE241" s="1"/>
      <c r="JWF241" s="1"/>
      <c r="JWG241" s="1"/>
      <c r="JWH241" s="1"/>
      <c r="JWI241" s="1"/>
      <c r="JWJ241" s="1"/>
      <c r="JWK241" s="1"/>
      <c r="JWL241" s="1"/>
      <c r="JWM241" s="1"/>
      <c r="JWN241" s="1"/>
      <c r="JWO241" s="1"/>
      <c r="JWP241" s="1"/>
      <c r="JWQ241" s="1"/>
      <c r="JWR241" s="1"/>
      <c r="JWS241" s="1"/>
      <c r="JWT241" s="1"/>
      <c r="JWU241" s="1"/>
      <c r="JWV241" s="1"/>
      <c r="JWW241" s="1"/>
      <c r="JWX241" s="1"/>
      <c r="JWY241" s="1"/>
      <c r="JWZ241" s="1"/>
      <c r="JXA241" s="1"/>
      <c r="JXB241" s="1"/>
      <c r="JXC241" s="1"/>
      <c r="JXD241" s="1"/>
      <c r="JXE241" s="1"/>
      <c r="JXF241" s="1"/>
      <c r="JXG241" s="1"/>
      <c r="JXH241" s="1"/>
      <c r="JXI241" s="1"/>
      <c r="JXJ241" s="1"/>
      <c r="JXK241" s="1"/>
      <c r="JXL241" s="1"/>
      <c r="JXM241" s="1"/>
      <c r="JXN241" s="1"/>
      <c r="JXO241" s="1"/>
      <c r="JXP241" s="1"/>
      <c r="JXQ241" s="1"/>
      <c r="JXR241" s="1"/>
      <c r="JXS241" s="1"/>
      <c r="JXT241" s="1"/>
      <c r="JXU241" s="1"/>
      <c r="JXV241" s="1"/>
      <c r="JXW241" s="1"/>
      <c r="JXX241" s="1"/>
      <c r="JXY241" s="1"/>
      <c r="JXZ241" s="1"/>
      <c r="JYA241" s="1"/>
      <c r="JYB241" s="1"/>
      <c r="JYC241" s="1"/>
      <c r="JYD241" s="1"/>
      <c r="JYE241" s="1"/>
      <c r="JYF241" s="1"/>
      <c r="JYG241" s="1"/>
      <c r="JYH241" s="1"/>
      <c r="JYI241" s="1"/>
      <c r="JYJ241" s="1"/>
      <c r="JYK241" s="1"/>
      <c r="JYL241" s="1"/>
      <c r="JYM241" s="1"/>
      <c r="JYN241" s="1"/>
      <c r="JYO241" s="1"/>
      <c r="JYP241" s="1"/>
      <c r="JYQ241" s="1"/>
      <c r="JYR241" s="1"/>
      <c r="JYS241" s="1"/>
      <c r="JYT241" s="1"/>
      <c r="JYU241" s="1"/>
      <c r="JYV241" s="1"/>
      <c r="JYW241" s="1"/>
      <c r="JYX241" s="1"/>
      <c r="JYY241" s="1"/>
      <c r="JYZ241" s="1"/>
      <c r="JZA241" s="1"/>
      <c r="JZB241" s="1"/>
      <c r="JZC241" s="1"/>
      <c r="JZD241" s="1"/>
      <c r="JZE241" s="1"/>
      <c r="JZF241" s="1"/>
      <c r="JZG241" s="1"/>
      <c r="JZH241" s="1"/>
      <c r="JZI241" s="1"/>
      <c r="JZJ241" s="1"/>
      <c r="JZK241" s="1"/>
      <c r="JZL241" s="1"/>
      <c r="JZM241" s="1"/>
      <c r="JZN241" s="1"/>
      <c r="JZO241" s="1"/>
      <c r="JZP241" s="1"/>
      <c r="JZQ241" s="1"/>
      <c r="JZR241" s="1"/>
      <c r="JZS241" s="1"/>
      <c r="JZT241" s="1"/>
      <c r="JZU241" s="1"/>
      <c r="JZV241" s="1"/>
      <c r="JZW241" s="1"/>
      <c r="JZX241" s="1"/>
      <c r="JZY241" s="1"/>
      <c r="JZZ241" s="1"/>
      <c r="KAA241" s="1"/>
      <c r="KAB241" s="1"/>
      <c r="KAC241" s="1"/>
      <c r="KAD241" s="1"/>
      <c r="KAE241" s="1"/>
      <c r="KAF241" s="1"/>
      <c r="KAG241" s="1"/>
      <c r="KAH241" s="1"/>
      <c r="KAI241" s="1"/>
      <c r="KAJ241" s="1"/>
      <c r="KAK241" s="1"/>
      <c r="KAL241" s="1"/>
      <c r="KAM241" s="1"/>
      <c r="KAN241" s="1"/>
      <c r="KAO241" s="1"/>
      <c r="KAP241" s="1"/>
      <c r="KAQ241" s="1"/>
      <c r="KAR241" s="1"/>
      <c r="KAS241" s="1"/>
      <c r="KAT241" s="1"/>
      <c r="KAU241" s="1"/>
      <c r="KAV241" s="1"/>
      <c r="KAW241" s="1"/>
      <c r="KAX241" s="1"/>
      <c r="KAY241" s="1"/>
      <c r="KAZ241" s="1"/>
      <c r="KBA241" s="1"/>
      <c r="KBB241" s="1"/>
      <c r="KBC241" s="1"/>
      <c r="KBD241" s="1"/>
      <c r="KBE241" s="1"/>
      <c r="KBF241" s="1"/>
      <c r="KBG241" s="1"/>
      <c r="KBH241" s="1"/>
      <c r="KBI241" s="1"/>
      <c r="KBJ241" s="1"/>
      <c r="KBK241" s="1"/>
      <c r="KBL241" s="1"/>
      <c r="KBM241" s="1"/>
      <c r="KBN241" s="1"/>
      <c r="KBO241" s="1"/>
      <c r="KBP241" s="1"/>
      <c r="KBQ241" s="1"/>
      <c r="KBR241" s="1"/>
      <c r="KBS241" s="1"/>
      <c r="KBT241" s="1"/>
      <c r="KBU241" s="1"/>
      <c r="KBV241" s="1"/>
      <c r="KBW241" s="1"/>
      <c r="KBX241" s="1"/>
      <c r="KBY241" s="1"/>
      <c r="KBZ241" s="1"/>
      <c r="KCA241" s="1"/>
      <c r="KCB241" s="1"/>
      <c r="KCC241" s="1"/>
      <c r="KCD241" s="1"/>
      <c r="KCE241" s="1"/>
      <c r="KCF241" s="1"/>
      <c r="KCG241" s="1"/>
      <c r="KCH241" s="1"/>
      <c r="KCI241" s="1"/>
      <c r="KCJ241" s="1"/>
      <c r="KCK241" s="1"/>
      <c r="KCL241" s="1"/>
      <c r="KCM241" s="1"/>
      <c r="KCN241" s="1"/>
      <c r="KCO241" s="1"/>
      <c r="KCP241" s="1"/>
      <c r="KCQ241" s="1"/>
      <c r="KCR241" s="1"/>
      <c r="KCS241" s="1"/>
      <c r="KCT241" s="1"/>
      <c r="KCU241" s="1"/>
      <c r="KCV241" s="1"/>
      <c r="KCW241" s="1"/>
      <c r="KCX241" s="1"/>
      <c r="KCY241" s="1"/>
      <c r="KCZ241" s="1"/>
      <c r="KDA241" s="1"/>
      <c r="KDB241" s="1"/>
      <c r="KDC241" s="1"/>
      <c r="KDD241" s="1"/>
      <c r="KDE241" s="1"/>
      <c r="KDF241" s="1"/>
      <c r="KDG241" s="1"/>
      <c r="KDH241" s="1"/>
      <c r="KDI241" s="1"/>
      <c r="KDJ241" s="1"/>
      <c r="KDK241" s="1"/>
      <c r="KDL241" s="1"/>
      <c r="KDM241" s="1"/>
      <c r="KDN241" s="1"/>
      <c r="KDO241" s="1"/>
      <c r="KDP241" s="1"/>
      <c r="KDQ241" s="1"/>
      <c r="KDR241" s="1"/>
      <c r="KDS241" s="1"/>
      <c r="KDT241" s="1"/>
      <c r="KDU241" s="1"/>
      <c r="KDV241" s="1"/>
      <c r="KDW241" s="1"/>
      <c r="KDX241" s="1"/>
      <c r="KDY241" s="1"/>
      <c r="KDZ241" s="1"/>
      <c r="KEA241" s="1"/>
      <c r="KEB241" s="1"/>
      <c r="KEC241" s="1"/>
      <c r="KED241" s="1"/>
      <c r="KEE241" s="1"/>
      <c r="KEF241" s="1"/>
      <c r="KEG241" s="1"/>
      <c r="KEH241" s="1"/>
      <c r="KEI241" s="1"/>
      <c r="KEJ241" s="1"/>
      <c r="KEK241" s="1"/>
      <c r="KEL241" s="1"/>
      <c r="KEM241" s="1"/>
      <c r="KEN241" s="1"/>
      <c r="KEO241" s="1"/>
      <c r="KEP241" s="1"/>
      <c r="KEQ241" s="1"/>
      <c r="KER241" s="1"/>
      <c r="KES241" s="1"/>
      <c r="KET241" s="1"/>
      <c r="KEU241" s="1"/>
      <c r="KEV241" s="1"/>
      <c r="KEW241" s="1"/>
      <c r="KEX241" s="1"/>
      <c r="KEY241" s="1"/>
      <c r="KEZ241" s="1"/>
      <c r="KFA241" s="1"/>
      <c r="KFB241" s="1"/>
      <c r="KFC241" s="1"/>
      <c r="KFD241" s="1"/>
      <c r="KFE241" s="1"/>
      <c r="KFF241" s="1"/>
      <c r="KFG241" s="1"/>
      <c r="KFH241" s="1"/>
      <c r="KFI241" s="1"/>
      <c r="KFJ241" s="1"/>
      <c r="KFK241" s="1"/>
      <c r="KFL241" s="1"/>
      <c r="KFM241" s="1"/>
      <c r="KFN241" s="1"/>
      <c r="KFO241" s="1"/>
      <c r="KFP241" s="1"/>
      <c r="KFQ241" s="1"/>
      <c r="KFR241" s="1"/>
      <c r="KFS241" s="1"/>
      <c r="KFT241" s="1"/>
      <c r="KFU241" s="1"/>
      <c r="KFV241" s="1"/>
      <c r="KFW241" s="1"/>
      <c r="KFX241" s="1"/>
      <c r="KFY241" s="1"/>
      <c r="KFZ241" s="1"/>
      <c r="KGA241" s="1"/>
      <c r="KGB241" s="1"/>
      <c r="KGC241" s="1"/>
      <c r="KGD241" s="1"/>
      <c r="KGE241" s="1"/>
      <c r="KGF241" s="1"/>
      <c r="KGG241" s="1"/>
      <c r="KGH241" s="1"/>
      <c r="KGI241" s="1"/>
      <c r="KGJ241" s="1"/>
      <c r="KGK241" s="1"/>
      <c r="KGL241" s="1"/>
      <c r="KGM241" s="1"/>
      <c r="KGN241" s="1"/>
      <c r="KGO241" s="1"/>
      <c r="KGP241" s="1"/>
      <c r="KGQ241" s="1"/>
      <c r="KGR241" s="1"/>
      <c r="KGS241" s="1"/>
      <c r="KGT241" s="1"/>
      <c r="KGU241" s="1"/>
      <c r="KGV241" s="1"/>
      <c r="KGW241" s="1"/>
      <c r="KGX241" s="1"/>
      <c r="KGY241" s="1"/>
      <c r="KGZ241" s="1"/>
      <c r="KHA241" s="1"/>
      <c r="KHB241" s="1"/>
      <c r="KHC241" s="1"/>
      <c r="KHD241" s="1"/>
      <c r="KHE241" s="1"/>
      <c r="KHF241" s="1"/>
      <c r="KHG241" s="1"/>
      <c r="KHH241" s="1"/>
      <c r="KHI241" s="1"/>
      <c r="KHJ241" s="1"/>
      <c r="KHK241" s="1"/>
      <c r="KHL241" s="1"/>
      <c r="KHM241" s="1"/>
      <c r="KHN241" s="1"/>
      <c r="KHO241" s="1"/>
      <c r="KHP241" s="1"/>
      <c r="KHQ241" s="1"/>
      <c r="KHR241" s="1"/>
      <c r="KHS241" s="1"/>
      <c r="KHT241" s="1"/>
      <c r="KHU241" s="1"/>
      <c r="KHV241" s="1"/>
      <c r="KHW241" s="1"/>
      <c r="KHX241" s="1"/>
      <c r="KHY241" s="1"/>
      <c r="KHZ241" s="1"/>
      <c r="KIA241" s="1"/>
      <c r="KIB241" s="1"/>
      <c r="KIC241" s="1"/>
      <c r="KID241" s="1"/>
      <c r="KIE241" s="1"/>
      <c r="KIF241" s="1"/>
      <c r="KIG241" s="1"/>
      <c r="KIH241" s="1"/>
      <c r="KII241" s="1"/>
      <c r="KIJ241" s="1"/>
      <c r="KIK241" s="1"/>
      <c r="KIL241" s="1"/>
      <c r="KIM241" s="1"/>
      <c r="KIN241" s="1"/>
      <c r="KIO241" s="1"/>
      <c r="KIP241" s="1"/>
      <c r="KIQ241" s="1"/>
      <c r="KIR241" s="1"/>
      <c r="KIS241" s="1"/>
      <c r="KIT241" s="1"/>
      <c r="KIU241" s="1"/>
      <c r="KIV241" s="1"/>
      <c r="KIW241" s="1"/>
      <c r="KIX241" s="1"/>
      <c r="KIY241" s="1"/>
      <c r="KIZ241" s="1"/>
      <c r="KJA241" s="1"/>
      <c r="KJB241" s="1"/>
      <c r="KJC241" s="1"/>
      <c r="KJD241" s="1"/>
      <c r="KJE241" s="1"/>
      <c r="KJF241" s="1"/>
      <c r="KJG241" s="1"/>
      <c r="KJH241" s="1"/>
      <c r="KJI241" s="1"/>
      <c r="KJJ241" s="1"/>
      <c r="KJK241" s="1"/>
      <c r="KJL241" s="1"/>
      <c r="KJM241" s="1"/>
      <c r="KJN241" s="1"/>
      <c r="KJO241" s="1"/>
      <c r="KJP241" s="1"/>
      <c r="KJQ241" s="1"/>
      <c r="KJR241" s="1"/>
      <c r="KJS241" s="1"/>
      <c r="KJT241" s="1"/>
      <c r="KJU241" s="1"/>
      <c r="KJV241" s="1"/>
      <c r="KJW241" s="1"/>
      <c r="KJX241" s="1"/>
      <c r="KJY241" s="1"/>
      <c r="KJZ241" s="1"/>
      <c r="KKA241" s="1"/>
      <c r="KKB241" s="1"/>
      <c r="KKC241" s="1"/>
      <c r="KKD241" s="1"/>
      <c r="KKE241" s="1"/>
      <c r="KKF241" s="1"/>
      <c r="KKG241" s="1"/>
      <c r="KKH241" s="1"/>
      <c r="KKI241" s="1"/>
      <c r="KKJ241" s="1"/>
      <c r="KKK241" s="1"/>
      <c r="KKL241" s="1"/>
      <c r="KKM241" s="1"/>
      <c r="KKN241" s="1"/>
      <c r="KKO241" s="1"/>
      <c r="KKP241" s="1"/>
      <c r="KKQ241" s="1"/>
      <c r="KKR241" s="1"/>
      <c r="KKS241" s="1"/>
      <c r="KKT241" s="1"/>
      <c r="KKU241" s="1"/>
      <c r="KKV241" s="1"/>
      <c r="KKW241" s="1"/>
      <c r="KKX241" s="1"/>
      <c r="KKY241" s="1"/>
      <c r="KKZ241" s="1"/>
      <c r="KLA241" s="1"/>
      <c r="KLB241" s="1"/>
      <c r="KLC241" s="1"/>
      <c r="KLD241" s="1"/>
      <c r="KLE241" s="1"/>
      <c r="KLF241" s="1"/>
      <c r="KLG241" s="1"/>
      <c r="KLH241" s="1"/>
      <c r="KLI241" s="1"/>
      <c r="KLJ241" s="1"/>
      <c r="KLK241" s="1"/>
      <c r="KLL241" s="1"/>
      <c r="KLM241" s="1"/>
      <c r="KLN241" s="1"/>
      <c r="KLO241" s="1"/>
      <c r="KLP241" s="1"/>
      <c r="KLQ241" s="1"/>
      <c r="KLR241" s="1"/>
      <c r="KLS241" s="1"/>
      <c r="KLT241" s="1"/>
      <c r="KLU241" s="1"/>
      <c r="KLV241" s="1"/>
      <c r="KLW241" s="1"/>
      <c r="KLX241" s="1"/>
      <c r="KLY241" s="1"/>
      <c r="KLZ241" s="1"/>
      <c r="KMA241" s="1"/>
      <c r="KMB241" s="1"/>
      <c r="KMC241" s="1"/>
      <c r="KMD241" s="1"/>
      <c r="KME241" s="1"/>
      <c r="KMF241" s="1"/>
      <c r="KMG241" s="1"/>
      <c r="KMH241" s="1"/>
      <c r="KMI241" s="1"/>
      <c r="KMJ241" s="1"/>
      <c r="KMK241" s="1"/>
      <c r="KML241" s="1"/>
      <c r="KMM241" s="1"/>
      <c r="KMN241" s="1"/>
      <c r="KMO241" s="1"/>
      <c r="KMP241" s="1"/>
      <c r="KMQ241" s="1"/>
      <c r="KMR241" s="1"/>
      <c r="KMS241" s="1"/>
      <c r="KMT241" s="1"/>
      <c r="KMU241" s="1"/>
      <c r="KMV241" s="1"/>
      <c r="KMW241" s="1"/>
      <c r="KMX241" s="1"/>
      <c r="KMY241" s="1"/>
      <c r="KMZ241" s="1"/>
      <c r="KNA241" s="1"/>
      <c r="KNB241" s="1"/>
      <c r="KNC241" s="1"/>
      <c r="KND241" s="1"/>
      <c r="KNE241" s="1"/>
      <c r="KNF241" s="1"/>
      <c r="KNG241" s="1"/>
      <c r="KNH241" s="1"/>
      <c r="KNI241" s="1"/>
      <c r="KNJ241" s="1"/>
      <c r="KNK241" s="1"/>
      <c r="KNL241" s="1"/>
      <c r="KNM241" s="1"/>
      <c r="KNN241" s="1"/>
      <c r="KNO241" s="1"/>
      <c r="KNP241" s="1"/>
      <c r="KNQ241" s="1"/>
      <c r="KNR241" s="1"/>
      <c r="KNS241" s="1"/>
      <c r="KNT241" s="1"/>
      <c r="KNU241" s="1"/>
      <c r="KNV241" s="1"/>
      <c r="KNW241" s="1"/>
      <c r="KNX241" s="1"/>
      <c r="KNY241" s="1"/>
      <c r="KNZ241" s="1"/>
      <c r="KOA241" s="1"/>
      <c r="KOB241" s="1"/>
      <c r="KOC241" s="1"/>
      <c r="KOD241" s="1"/>
      <c r="KOE241" s="1"/>
      <c r="KOF241" s="1"/>
      <c r="KOG241" s="1"/>
      <c r="KOH241" s="1"/>
      <c r="KOI241" s="1"/>
      <c r="KOJ241" s="1"/>
      <c r="KOK241" s="1"/>
      <c r="KOL241" s="1"/>
      <c r="KOM241" s="1"/>
      <c r="KON241" s="1"/>
      <c r="KOO241" s="1"/>
      <c r="KOP241" s="1"/>
      <c r="KOQ241" s="1"/>
      <c r="KOR241" s="1"/>
      <c r="KOS241" s="1"/>
      <c r="KOT241" s="1"/>
      <c r="KOU241" s="1"/>
      <c r="KOV241" s="1"/>
      <c r="KOW241" s="1"/>
      <c r="KOX241" s="1"/>
      <c r="KOY241" s="1"/>
      <c r="KOZ241" s="1"/>
      <c r="KPA241" s="1"/>
      <c r="KPB241" s="1"/>
      <c r="KPC241" s="1"/>
      <c r="KPD241" s="1"/>
      <c r="KPE241" s="1"/>
      <c r="KPF241" s="1"/>
      <c r="KPG241" s="1"/>
      <c r="KPH241" s="1"/>
      <c r="KPI241" s="1"/>
      <c r="KPJ241" s="1"/>
      <c r="KPK241" s="1"/>
      <c r="KPL241" s="1"/>
      <c r="KPM241" s="1"/>
      <c r="KPN241" s="1"/>
      <c r="KPO241" s="1"/>
      <c r="KPP241" s="1"/>
      <c r="KPQ241" s="1"/>
      <c r="KPR241" s="1"/>
      <c r="KPS241" s="1"/>
      <c r="KPT241" s="1"/>
      <c r="KPU241" s="1"/>
      <c r="KPV241" s="1"/>
      <c r="KPW241" s="1"/>
      <c r="KPX241" s="1"/>
      <c r="KPY241" s="1"/>
      <c r="KPZ241" s="1"/>
      <c r="KQA241" s="1"/>
      <c r="KQB241" s="1"/>
      <c r="KQC241" s="1"/>
      <c r="KQD241" s="1"/>
      <c r="KQE241" s="1"/>
      <c r="KQF241" s="1"/>
      <c r="KQG241" s="1"/>
      <c r="KQH241" s="1"/>
      <c r="KQI241" s="1"/>
      <c r="KQJ241" s="1"/>
      <c r="KQK241" s="1"/>
      <c r="KQL241" s="1"/>
      <c r="KQM241" s="1"/>
      <c r="KQN241" s="1"/>
      <c r="KQO241" s="1"/>
      <c r="KQP241" s="1"/>
      <c r="KQQ241" s="1"/>
      <c r="KQR241" s="1"/>
      <c r="KQS241" s="1"/>
      <c r="KQT241" s="1"/>
      <c r="KQU241" s="1"/>
      <c r="KQV241" s="1"/>
      <c r="KQW241" s="1"/>
      <c r="KQX241" s="1"/>
      <c r="KQY241" s="1"/>
      <c r="KQZ241" s="1"/>
      <c r="KRA241" s="1"/>
      <c r="KRB241" s="1"/>
      <c r="KRC241" s="1"/>
      <c r="KRD241" s="1"/>
      <c r="KRE241" s="1"/>
      <c r="KRF241" s="1"/>
      <c r="KRG241" s="1"/>
      <c r="KRH241" s="1"/>
      <c r="KRI241" s="1"/>
      <c r="KRJ241" s="1"/>
      <c r="KRK241" s="1"/>
      <c r="KRL241" s="1"/>
      <c r="KRM241" s="1"/>
      <c r="KRN241" s="1"/>
      <c r="KRO241" s="1"/>
      <c r="KRP241" s="1"/>
      <c r="KRQ241" s="1"/>
      <c r="KRR241" s="1"/>
      <c r="KRS241" s="1"/>
      <c r="KRT241" s="1"/>
      <c r="KRU241" s="1"/>
      <c r="KRV241" s="1"/>
      <c r="KRW241" s="1"/>
      <c r="KRX241" s="1"/>
      <c r="KRY241" s="1"/>
      <c r="KRZ241" s="1"/>
      <c r="KSA241" s="1"/>
      <c r="KSB241" s="1"/>
      <c r="KSC241" s="1"/>
      <c r="KSD241" s="1"/>
      <c r="KSE241" s="1"/>
      <c r="KSF241" s="1"/>
      <c r="KSG241" s="1"/>
      <c r="KSH241" s="1"/>
      <c r="KSI241" s="1"/>
      <c r="KSJ241" s="1"/>
      <c r="KSK241" s="1"/>
      <c r="KSL241" s="1"/>
      <c r="KSM241" s="1"/>
      <c r="KSN241" s="1"/>
      <c r="KSO241" s="1"/>
      <c r="KSP241" s="1"/>
      <c r="KSQ241" s="1"/>
      <c r="KSR241" s="1"/>
      <c r="KSS241" s="1"/>
      <c r="KST241" s="1"/>
      <c r="KSU241" s="1"/>
      <c r="KSV241" s="1"/>
      <c r="KSW241" s="1"/>
      <c r="KSX241" s="1"/>
      <c r="KSY241" s="1"/>
      <c r="KSZ241" s="1"/>
      <c r="KTA241" s="1"/>
      <c r="KTB241" s="1"/>
      <c r="KTC241" s="1"/>
      <c r="KTD241" s="1"/>
      <c r="KTE241" s="1"/>
      <c r="KTF241" s="1"/>
      <c r="KTG241" s="1"/>
      <c r="KTH241" s="1"/>
      <c r="KTI241" s="1"/>
      <c r="KTJ241" s="1"/>
      <c r="KTK241" s="1"/>
      <c r="KTL241" s="1"/>
      <c r="KTM241" s="1"/>
      <c r="KTN241" s="1"/>
      <c r="KTO241" s="1"/>
      <c r="KTP241" s="1"/>
      <c r="KTQ241" s="1"/>
      <c r="KTR241" s="1"/>
      <c r="KTS241" s="1"/>
      <c r="KTT241" s="1"/>
      <c r="KTU241" s="1"/>
      <c r="KTV241" s="1"/>
      <c r="KTW241" s="1"/>
      <c r="KTX241" s="1"/>
      <c r="KTY241" s="1"/>
      <c r="KTZ241" s="1"/>
      <c r="KUA241" s="1"/>
      <c r="KUB241" s="1"/>
      <c r="KUC241" s="1"/>
      <c r="KUD241" s="1"/>
      <c r="KUE241" s="1"/>
      <c r="KUF241" s="1"/>
      <c r="KUG241" s="1"/>
      <c r="KUH241" s="1"/>
      <c r="KUI241" s="1"/>
      <c r="KUJ241" s="1"/>
      <c r="KUK241" s="1"/>
      <c r="KUL241" s="1"/>
      <c r="KUM241" s="1"/>
      <c r="KUN241" s="1"/>
      <c r="KUO241" s="1"/>
      <c r="KUP241" s="1"/>
      <c r="KUQ241" s="1"/>
      <c r="KUR241" s="1"/>
      <c r="KUS241" s="1"/>
      <c r="KUT241" s="1"/>
      <c r="KUU241" s="1"/>
      <c r="KUV241" s="1"/>
      <c r="KUW241" s="1"/>
      <c r="KUX241" s="1"/>
      <c r="KUY241" s="1"/>
      <c r="KUZ241" s="1"/>
      <c r="KVA241" s="1"/>
      <c r="KVB241" s="1"/>
      <c r="KVC241" s="1"/>
      <c r="KVD241" s="1"/>
      <c r="KVE241" s="1"/>
      <c r="KVF241" s="1"/>
      <c r="KVG241" s="1"/>
      <c r="KVH241" s="1"/>
      <c r="KVI241" s="1"/>
      <c r="KVJ241" s="1"/>
      <c r="KVK241" s="1"/>
      <c r="KVL241" s="1"/>
      <c r="KVM241" s="1"/>
      <c r="KVN241" s="1"/>
      <c r="KVO241" s="1"/>
      <c r="KVP241" s="1"/>
      <c r="KVQ241" s="1"/>
      <c r="KVR241" s="1"/>
      <c r="KVS241" s="1"/>
      <c r="KVT241" s="1"/>
      <c r="KVU241" s="1"/>
      <c r="KVV241" s="1"/>
      <c r="KVW241" s="1"/>
      <c r="KVX241" s="1"/>
      <c r="KVY241" s="1"/>
      <c r="KVZ241" s="1"/>
      <c r="KWA241" s="1"/>
      <c r="KWB241" s="1"/>
      <c r="KWC241" s="1"/>
      <c r="KWD241" s="1"/>
      <c r="KWE241" s="1"/>
      <c r="KWF241" s="1"/>
      <c r="KWG241" s="1"/>
      <c r="KWH241" s="1"/>
      <c r="KWI241" s="1"/>
      <c r="KWJ241" s="1"/>
      <c r="KWK241" s="1"/>
      <c r="KWL241" s="1"/>
      <c r="KWM241" s="1"/>
      <c r="KWN241" s="1"/>
      <c r="KWO241" s="1"/>
      <c r="KWP241" s="1"/>
      <c r="KWQ241" s="1"/>
      <c r="KWR241" s="1"/>
      <c r="KWS241" s="1"/>
      <c r="KWT241" s="1"/>
      <c r="KWU241" s="1"/>
      <c r="KWV241" s="1"/>
      <c r="KWW241" s="1"/>
      <c r="KWX241" s="1"/>
      <c r="KWY241" s="1"/>
      <c r="KWZ241" s="1"/>
      <c r="KXA241" s="1"/>
      <c r="KXB241" s="1"/>
      <c r="KXC241" s="1"/>
      <c r="KXD241" s="1"/>
      <c r="KXE241" s="1"/>
      <c r="KXF241" s="1"/>
      <c r="KXG241" s="1"/>
      <c r="KXH241" s="1"/>
      <c r="KXI241" s="1"/>
      <c r="KXJ241" s="1"/>
      <c r="KXK241" s="1"/>
      <c r="KXL241" s="1"/>
      <c r="KXM241" s="1"/>
      <c r="KXN241" s="1"/>
      <c r="KXO241" s="1"/>
      <c r="KXP241" s="1"/>
      <c r="KXQ241" s="1"/>
      <c r="KXR241" s="1"/>
      <c r="KXS241" s="1"/>
      <c r="KXT241" s="1"/>
      <c r="KXU241" s="1"/>
      <c r="KXV241" s="1"/>
      <c r="KXW241" s="1"/>
      <c r="KXX241" s="1"/>
      <c r="KXY241" s="1"/>
      <c r="KXZ241" s="1"/>
      <c r="KYA241" s="1"/>
      <c r="KYB241" s="1"/>
      <c r="KYC241" s="1"/>
      <c r="KYD241" s="1"/>
      <c r="KYE241" s="1"/>
      <c r="KYF241" s="1"/>
      <c r="KYG241" s="1"/>
      <c r="KYH241" s="1"/>
      <c r="KYI241" s="1"/>
      <c r="KYJ241" s="1"/>
      <c r="KYK241" s="1"/>
      <c r="KYL241" s="1"/>
      <c r="KYM241" s="1"/>
      <c r="KYN241" s="1"/>
      <c r="KYO241" s="1"/>
      <c r="KYP241" s="1"/>
      <c r="KYQ241" s="1"/>
      <c r="KYR241" s="1"/>
      <c r="KYS241" s="1"/>
      <c r="KYT241" s="1"/>
      <c r="KYU241" s="1"/>
      <c r="KYV241" s="1"/>
      <c r="KYW241" s="1"/>
      <c r="KYX241" s="1"/>
      <c r="KYY241" s="1"/>
      <c r="KYZ241" s="1"/>
      <c r="KZA241" s="1"/>
      <c r="KZB241" s="1"/>
      <c r="KZC241" s="1"/>
      <c r="KZD241" s="1"/>
      <c r="KZE241" s="1"/>
      <c r="KZF241" s="1"/>
      <c r="KZG241" s="1"/>
      <c r="KZH241" s="1"/>
      <c r="KZI241" s="1"/>
      <c r="KZJ241" s="1"/>
      <c r="KZK241" s="1"/>
      <c r="KZL241" s="1"/>
      <c r="KZM241" s="1"/>
      <c r="KZN241" s="1"/>
      <c r="KZO241" s="1"/>
      <c r="KZP241" s="1"/>
      <c r="KZQ241" s="1"/>
      <c r="KZR241" s="1"/>
      <c r="KZS241" s="1"/>
      <c r="KZT241" s="1"/>
      <c r="KZU241" s="1"/>
      <c r="KZV241" s="1"/>
      <c r="KZW241" s="1"/>
      <c r="KZX241" s="1"/>
      <c r="KZY241" s="1"/>
      <c r="KZZ241" s="1"/>
      <c r="LAA241" s="1"/>
      <c r="LAB241" s="1"/>
      <c r="LAC241" s="1"/>
      <c r="LAD241" s="1"/>
      <c r="LAE241" s="1"/>
      <c r="LAF241" s="1"/>
      <c r="LAG241" s="1"/>
      <c r="LAH241" s="1"/>
      <c r="LAI241" s="1"/>
      <c r="LAJ241" s="1"/>
      <c r="LAK241" s="1"/>
      <c r="LAL241" s="1"/>
      <c r="LAM241" s="1"/>
      <c r="LAN241" s="1"/>
      <c r="LAO241" s="1"/>
      <c r="LAP241" s="1"/>
      <c r="LAQ241" s="1"/>
      <c r="LAR241" s="1"/>
      <c r="LAS241" s="1"/>
      <c r="LAT241" s="1"/>
      <c r="LAU241" s="1"/>
      <c r="LAV241" s="1"/>
      <c r="LAW241" s="1"/>
      <c r="LAX241" s="1"/>
      <c r="LAY241" s="1"/>
      <c r="LAZ241" s="1"/>
      <c r="LBA241" s="1"/>
      <c r="LBB241" s="1"/>
      <c r="LBC241" s="1"/>
      <c r="LBD241" s="1"/>
      <c r="LBE241" s="1"/>
      <c r="LBF241" s="1"/>
      <c r="LBG241" s="1"/>
      <c r="LBH241" s="1"/>
      <c r="LBI241" s="1"/>
      <c r="LBJ241" s="1"/>
      <c r="LBK241" s="1"/>
      <c r="LBL241" s="1"/>
      <c r="LBM241" s="1"/>
      <c r="LBN241" s="1"/>
      <c r="LBO241" s="1"/>
      <c r="LBP241" s="1"/>
      <c r="LBQ241" s="1"/>
      <c r="LBR241" s="1"/>
      <c r="LBS241" s="1"/>
      <c r="LBT241" s="1"/>
      <c r="LBU241" s="1"/>
      <c r="LBV241" s="1"/>
      <c r="LBW241" s="1"/>
      <c r="LBX241" s="1"/>
      <c r="LBY241" s="1"/>
      <c r="LBZ241" s="1"/>
      <c r="LCA241" s="1"/>
      <c r="LCB241" s="1"/>
      <c r="LCC241" s="1"/>
      <c r="LCD241" s="1"/>
      <c r="LCE241" s="1"/>
      <c r="LCF241" s="1"/>
      <c r="LCG241" s="1"/>
      <c r="LCH241" s="1"/>
      <c r="LCI241" s="1"/>
      <c r="LCJ241" s="1"/>
      <c r="LCK241" s="1"/>
      <c r="LCL241" s="1"/>
      <c r="LCM241" s="1"/>
      <c r="LCN241" s="1"/>
      <c r="LCO241" s="1"/>
      <c r="LCP241" s="1"/>
      <c r="LCQ241" s="1"/>
      <c r="LCR241" s="1"/>
      <c r="LCS241" s="1"/>
      <c r="LCT241" s="1"/>
      <c r="LCU241" s="1"/>
      <c r="LCV241" s="1"/>
      <c r="LCW241" s="1"/>
      <c r="LCX241" s="1"/>
      <c r="LCY241" s="1"/>
      <c r="LCZ241" s="1"/>
      <c r="LDA241" s="1"/>
      <c r="LDB241" s="1"/>
      <c r="LDC241" s="1"/>
      <c r="LDD241" s="1"/>
      <c r="LDE241" s="1"/>
      <c r="LDF241" s="1"/>
      <c r="LDG241" s="1"/>
      <c r="LDH241" s="1"/>
      <c r="LDI241" s="1"/>
      <c r="LDJ241" s="1"/>
      <c r="LDK241" s="1"/>
      <c r="LDL241" s="1"/>
      <c r="LDM241" s="1"/>
      <c r="LDN241" s="1"/>
      <c r="LDO241" s="1"/>
      <c r="LDP241" s="1"/>
      <c r="LDQ241" s="1"/>
      <c r="LDR241" s="1"/>
      <c r="LDS241" s="1"/>
      <c r="LDT241" s="1"/>
      <c r="LDU241" s="1"/>
      <c r="LDV241" s="1"/>
      <c r="LDW241" s="1"/>
      <c r="LDX241" s="1"/>
      <c r="LDY241" s="1"/>
      <c r="LDZ241" s="1"/>
      <c r="LEA241" s="1"/>
      <c r="LEB241" s="1"/>
      <c r="LEC241" s="1"/>
      <c r="LED241" s="1"/>
      <c r="LEE241" s="1"/>
      <c r="LEF241" s="1"/>
      <c r="LEG241" s="1"/>
      <c r="LEH241" s="1"/>
      <c r="LEI241" s="1"/>
      <c r="LEJ241" s="1"/>
      <c r="LEK241" s="1"/>
      <c r="LEL241" s="1"/>
      <c r="LEM241" s="1"/>
      <c r="LEN241" s="1"/>
      <c r="LEO241" s="1"/>
      <c r="LEP241" s="1"/>
      <c r="LEQ241" s="1"/>
      <c r="LER241" s="1"/>
      <c r="LES241" s="1"/>
      <c r="LET241" s="1"/>
      <c r="LEU241" s="1"/>
      <c r="LEV241" s="1"/>
      <c r="LEW241" s="1"/>
      <c r="LEX241" s="1"/>
      <c r="LEY241" s="1"/>
      <c r="LEZ241" s="1"/>
      <c r="LFA241" s="1"/>
      <c r="LFB241" s="1"/>
      <c r="LFC241" s="1"/>
      <c r="LFD241" s="1"/>
      <c r="LFE241" s="1"/>
      <c r="LFF241" s="1"/>
      <c r="LFG241" s="1"/>
      <c r="LFH241" s="1"/>
      <c r="LFI241" s="1"/>
      <c r="LFJ241" s="1"/>
      <c r="LFK241" s="1"/>
      <c r="LFL241" s="1"/>
      <c r="LFM241" s="1"/>
      <c r="LFN241" s="1"/>
      <c r="LFO241" s="1"/>
      <c r="LFP241" s="1"/>
      <c r="LFQ241" s="1"/>
      <c r="LFR241" s="1"/>
      <c r="LFS241" s="1"/>
      <c r="LFT241" s="1"/>
      <c r="LFU241" s="1"/>
      <c r="LFV241" s="1"/>
      <c r="LFW241" s="1"/>
      <c r="LFX241" s="1"/>
      <c r="LFY241" s="1"/>
      <c r="LFZ241" s="1"/>
      <c r="LGA241" s="1"/>
      <c r="LGB241" s="1"/>
      <c r="LGC241" s="1"/>
      <c r="LGD241" s="1"/>
      <c r="LGE241" s="1"/>
      <c r="LGF241" s="1"/>
      <c r="LGG241" s="1"/>
      <c r="LGH241" s="1"/>
      <c r="LGI241" s="1"/>
      <c r="LGJ241" s="1"/>
      <c r="LGK241" s="1"/>
      <c r="LGL241" s="1"/>
      <c r="LGM241" s="1"/>
      <c r="LGN241" s="1"/>
      <c r="LGO241" s="1"/>
      <c r="LGP241" s="1"/>
      <c r="LGQ241" s="1"/>
      <c r="LGR241" s="1"/>
      <c r="LGS241" s="1"/>
      <c r="LGT241" s="1"/>
      <c r="LGU241" s="1"/>
      <c r="LGV241" s="1"/>
      <c r="LGW241" s="1"/>
      <c r="LGX241" s="1"/>
      <c r="LGY241" s="1"/>
      <c r="LGZ241" s="1"/>
      <c r="LHA241" s="1"/>
      <c r="LHB241" s="1"/>
      <c r="LHC241" s="1"/>
      <c r="LHD241" s="1"/>
      <c r="LHE241" s="1"/>
      <c r="LHF241" s="1"/>
      <c r="LHG241" s="1"/>
      <c r="LHH241" s="1"/>
      <c r="LHI241" s="1"/>
      <c r="LHJ241" s="1"/>
      <c r="LHK241" s="1"/>
      <c r="LHL241" s="1"/>
      <c r="LHM241" s="1"/>
      <c r="LHN241" s="1"/>
      <c r="LHO241" s="1"/>
      <c r="LHP241" s="1"/>
      <c r="LHQ241" s="1"/>
      <c r="LHR241" s="1"/>
      <c r="LHS241" s="1"/>
      <c r="LHT241" s="1"/>
      <c r="LHU241" s="1"/>
      <c r="LHV241" s="1"/>
      <c r="LHW241" s="1"/>
      <c r="LHX241" s="1"/>
      <c r="LHY241" s="1"/>
      <c r="LHZ241" s="1"/>
      <c r="LIA241" s="1"/>
      <c r="LIB241" s="1"/>
      <c r="LIC241" s="1"/>
      <c r="LID241" s="1"/>
      <c r="LIE241" s="1"/>
      <c r="LIF241" s="1"/>
      <c r="LIG241" s="1"/>
      <c r="LIH241" s="1"/>
      <c r="LII241" s="1"/>
      <c r="LIJ241" s="1"/>
      <c r="LIK241" s="1"/>
      <c r="LIL241" s="1"/>
      <c r="LIM241" s="1"/>
      <c r="LIN241" s="1"/>
      <c r="LIO241" s="1"/>
      <c r="LIP241" s="1"/>
      <c r="LIQ241" s="1"/>
      <c r="LIR241" s="1"/>
      <c r="LIS241" s="1"/>
      <c r="LIT241" s="1"/>
      <c r="LIU241" s="1"/>
      <c r="LIV241" s="1"/>
      <c r="LIW241" s="1"/>
      <c r="LIX241" s="1"/>
      <c r="LIY241" s="1"/>
      <c r="LIZ241" s="1"/>
      <c r="LJA241" s="1"/>
      <c r="LJB241" s="1"/>
      <c r="LJC241" s="1"/>
      <c r="LJD241" s="1"/>
      <c r="LJE241" s="1"/>
      <c r="LJF241" s="1"/>
      <c r="LJG241" s="1"/>
      <c r="LJH241" s="1"/>
      <c r="LJI241" s="1"/>
      <c r="LJJ241" s="1"/>
      <c r="LJK241" s="1"/>
      <c r="LJL241" s="1"/>
      <c r="LJM241" s="1"/>
      <c r="LJN241" s="1"/>
      <c r="LJO241" s="1"/>
      <c r="LJP241" s="1"/>
      <c r="LJQ241" s="1"/>
      <c r="LJR241" s="1"/>
      <c r="LJS241" s="1"/>
      <c r="LJT241" s="1"/>
      <c r="LJU241" s="1"/>
      <c r="LJV241" s="1"/>
      <c r="LJW241" s="1"/>
      <c r="LJX241" s="1"/>
      <c r="LJY241" s="1"/>
      <c r="LJZ241" s="1"/>
      <c r="LKA241" s="1"/>
      <c r="LKB241" s="1"/>
      <c r="LKC241" s="1"/>
      <c r="LKD241" s="1"/>
      <c r="LKE241" s="1"/>
      <c r="LKF241" s="1"/>
      <c r="LKG241" s="1"/>
      <c r="LKH241" s="1"/>
      <c r="LKI241" s="1"/>
      <c r="LKJ241" s="1"/>
      <c r="LKK241" s="1"/>
      <c r="LKL241" s="1"/>
      <c r="LKM241" s="1"/>
      <c r="LKN241" s="1"/>
      <c r="LKO241" s="1"/>
      <c r="LKP241" s="1"/>
      <c r="LKQ241" s="1"/>
      <c r="LKR241" s="1"/>
      <c r="LKS241" s="1"/>
      <c r="LKT241" s="1"/>
      <c r="LKU241" s="1"/>
      <c r="LKV241" s="1"/>
      <c r="LKW241" s="1"/>
      <c r="LKX241" s="1"/>
      <c r="LKY241" s="1"/>
      <c r="LKZ241" s="1"/>
      <c r="LLA241" s="1"/>
      <c r="LLB241" s="1"/>
      <c r="LLC241" s="1"/>
      <c r="LLD241" s="1"/>
      <c r="LLE241" s="1"/>
      <c r="LLF241" s="1"/>
      <c r="LLG241" s="1"/>
      <c r="LLH241" s="1"/>
      <c r="LLI241" s="1"/>
      <c r="LLJ241" s="1"/>
      <c r="LLK241" s="1"/>
      <c r="LLL241" s="1"/>
      <c r="LLM241" s="1"/>
      <c r="LLN241" s="1"/>
      <c r="LLO241" s="1"/>
      <c r="LLP241" s="1"/>
      <c r="LLQ241" s="1"/>
      <c r="LLR241" s="1"/>
      <c r="LLS241" s="1"/>
      <c r="LLT241" s="1"/>
      <c r="LLU241" s="1"/>
      <c r="LLV241" s="1"/>
      <c r="LLW241" s="1"/>
      <c r="LLX241" s="1"/>
      <c r="LLY241" s="1"/>
      <c r="LLZ241" s="1"/>
      <c r="LMA241" s="1"/>
      <c r="LMB241" s="1"/>
      <c r="LMC241" s="1"/>
      <c r="LMD241" s="1"/>
      <c r="LME241" s="1"/>
      <c r="LMF241" s="1"/>
      <c r="LMG241" s="1"/>
      <c r="LMH241" s="1"/>
      <c r="LMI241" s="1"/>
      <c r="LMJ241" s="1"/>
      <c r="LMK241" s="1"/>
      <c r="LML241" s="1"/>
      <c r="LMM241" s="1"/>
      <c r="LMN241" s="1"/>
      <c r="LMO241" s="1"/>
      <c r="LMP241" s="1"/>
      <c r="LMQ241" s="1"/>
      <c r="LMR241" s="1"/>
      <c r="LMS241" s="1"/>
      <c r="LMT241" s="1"/>
      <c r="LMU241" s="1"/>
      <c r="LMV241" s="1"/>
      <c r="LMW241" s="1"/>
      <c r="LMX241" s="1"/>
      <c r="LMY241" s="1"/>
      <c r="LMZ241" s="1"/>
      <c r="LNA241" s="1"/>
      <c r="LNB241" s="1"/>
      <c r="LNC241" s="1"/>
      <c r="LND241" s="1"/>
      <c r="LNE241" s="1"/>
      <c r="LNF241" s="1"/>
      <c r="LNG241" s="1"/>
      <c r="LNH241" s="1"/>
      <c r="LNI241" s="1"/>
      <c r="LNJ241" s="1"/>
      <c r="LNK241" s="1"/>
      <c r="LNL241" s="1"/>
      <c r="LNM241" s="1"/>
      <c r="LNN241" s="1"/>
      <c r="LNO241" s="1"/>
      <c r="LNP241" s="1"/>
      <c r="LNQ241" s="1"/>
      <c r="LNR241" s="1"/>
      <c r="LNS241" s="1"/>
      <c r="LNT241" s="1"/>
      <c r="LNU241" s="1"/>
      <c r="LNV241" s="1"/>
      <c r="LNW241" s="1"/>
      <c r="LNX241" s="1"/>
      <c r="LNY241" s="1"/>
      <c r="LNZ241" s="1"/>
      <c r="LOA241" s="1"/>
      <c r="LOB241" s="1"/>
      <c r="LOC241" s="1"/>
      <c r="LOD241" s="1"/>
      <c r="LOE241" s="1"/>
      <c r="LOF241" s="1"/>
      <c r="LOG241" s="1"/>
      <c r="LOH241" s="1"/>
      <c r="LOI241" s="1"/>
      <c r="LOJ241" s="1"/>
      <c r="LOK241" s="1"/>
      <c r="LOL241" s="1"/>
      <c r="LOM241" s="1"/>
      <c r="LON241" s="1"/>
      <c r="LOO241" s="1"/>
      <c r="LOP241" s="1"/>
      <c r="LOQ241" s="1"/>
      <c r="LOR241" s="1"/>
      <c r="LOS241" s="1"/>
      <c r="LOT241" s="1"/>
      <c r="LOU241" s="1"/>
      <c r="LOV241" s="1"/>
      <c r="LOW241" s="1"/>
      <c r="LOX241" s="1"/>
      <c r="LOY241" s="1"/>
      <c r="LOZ241" s="1"/>
      <c r="LPA241" s="1"/>
      <c r="LPB241" s="1"/>
      <c r="LPC241" s="1"/>
      <c r="LPD241" s="1"/>
      <c r="LPE241" s="1"/>
      <c r="LPF241" s="1"/>
      <c r="LPG241" s="1"/>
      <c r="LPH241" s="1"/>
      <c r="LPI241" s="1"/>
      <c r="LPJ241" s="1"/>
      <c r="LPK241" s="1"/>
      <c r="LPL241" s="1"/>
      <c r="LPM241" s="1"/>
      <c r="LPN241" s="1"/>
      <c r="LPO241" s="1"/>
      <c r="LPP241" s="1"/>
      <c r="LPQ241" s="1"/>
      <c r="LPR241" s="1"/>
      <c r="LPS241" s="1"/>
      <c r="LPT241" s="1"/>
      <c r="LPU241" s="1"/>
      <c r="LPV241" s="1"/>
      <c r="LPW241" s="1"/>
      <c r="LPX241" s="1"/>
      <c r="LPY241" s="1"/>
      <c r="LPZ241" s="1"/>
      <c r="LQA241" s="1"/>
      <c r="LQB241" s="1"/>
      <c r="LQC241" s="1"/>
      <c r="LQD241" s="1"/>
      <c r="LQE241" s="1"/>
      <c r="LQF241" s="1"/>
      <c r="LQG241" s="1"/>
      <c r="LQH241" s="1"/>
      <c r="LQI241" s="1"/>
      <c r="LQJ241" s="1"/>
      <c r="LQK241" s="1"/>
      <c r="LQL241" s="1"/>
      <c r="LQM241" s="1"/>
      <c r="LQN241" s="1"/>
      <c r="LQO241" s="1"/>
      <c r="LQP241" s="1"/>
      <c r="LQQ241" s="1"/>
      <c r="LQR241" s="1"/>
      <c r="LQS241" s="1"/>
      <c r="LQT241" s="1"/>
      <c r="LQU241" s="1"/>
      <c r="LQV241" s="1"/>
      <c r="LQW241" s="1"/>
      <c r="LQX241" s="1"/>
      <c r="LQY241" s="1"/>
      <c r="LQZ241" s="1"/>
      <c r="LRA241" s="1"/>
      <c r="LRB241" s="1"/>
      <c r="LRC241" s="1"/>
      <c r="LRD241" s="1"/>
      <c r="LRE241" s="1"/>
      <c r="LRF241" s="1"/>
      <c r="LRG241" s="1"/>
      <c r="LRH241" s="1"/>
      <c r="LRI241" s="1"/>
      <c r="LRJ241" s="1"/>
      <c r="LRK241" s="1"/>
      <c r="LRL241" s="1"/>
      <c r="LRM241" s="1"/>
      <c r="LRN241" s="1"/>
      <c r="LRO241" s="1"/>
      <c r="LRP241" s="1"/>
      <c r="LRQ241" s="1"/>
      <c r="LRR241" s="1"/>
      <c r="LRS241" s="1"/>
      <c r="LRT241" s="1"/>
      <c r="LRU241" s="1"/>
      <c r="LRV241" s="1"/>
      <c r="LRW241" s="1"/>
      <c r="LRX241" s="1"/>
      <c r="LRY241" s="1"/>
      <c r="LRZ241" s="1"/>
      <c r="LSA241" s="1"/>
      <c r="LSB241" s="1"/>
      <c r="LSC241" s="1"/>
      <c r="LSD241" s="1"/>
      <c r="LSE241" s="1"/>
      <c r="LSF241" s="1"/>
      <c r="LSG241" s="1"/>
      <c r="LSH241" s="1"/>
      <c r="LSI241" s="1"/>
      <c r="LSJ241" s="1"/>
      <c r="LSK241" s="1"/>
      <c r="LSL241" s="1"/>
      <c r="LSM241" s="1"/>
      <c r="LSN241" s="1"/>
      <c r="LSO241" s="1"/>
      <c r="LSP241" s="1"/>
      <c r="LSQ241" s="1"/>
      <c r="LSR241" s="1"/>
      <c r="LSS241" s="1"/>
      <c r="LST241" s="1"/>
      <c r="LSU241" s="1"/>
      <c r="LSV241" s="1"/>
      <c r="LSW241" s="1"/>
      <c r="LSX241" s="1"/>
      <c r="LSY241" s="1"/>
      <c r="LSZ241" s="1"/>
      <c r="LTA241" s="1"/>
      <c r="LTB241" s="1"/>
      <c r="LTC241" s="1"/>
      <c r="LTD241" s="1"/>
      <c r="LTE241" s="1"/>
      <c r="LTF241" s="1"/>
      <c r="LTG241" s="1"/>
      <c r="LTH241" s="1"/>
      <c r="LTI241" s="1"/>
      <c r="LTJ241" s="1"/>
      <c r="LTK241" s="1"/>
      <c r="LTL241" s="1"/>
      <c r="LTM241" s="1"/>
      <c r="LTN241" s="1"/>
      <c r="LTO241" s="1"/>
      <c r="LTP241" s="1"/>
      <c r="LTQ241" s="1"/>
      <c r="LTR241" s="1"/>
      <c r="LTS241" s="1"/>
      <c r="LTT241" s="1"/>
      <c r="LTU241" s="1"/>
      <c r="LTV241" s="1"/>
      <c r="LTW241" s="1"/>
      <c r="LTX241" s="1"/>
      <c r="LTY241" s="1"/>
      <c r="LTZ241" s="1"/>
      <c r="LUA241" s="1"/>
      <c r="LUB241" s="1"/>
      <c r="LUC241" s="1"/>
      <c r="LUD241" s="1"/>
      <c r="LUE241" s="1"/>
      <c r="LUF241" s="1"/>
      <c r="LUG241" s="1"/>
      <c r="LUH241" s="1"/>
      <c r="LUI241" s="1"/>
      <c r="LUJ241" s="1"/>
      <c r="LUK241" s="1"/>
      <c r="LUL241" s="1"/>
      <c r="LUM241" s="1"/>
      <c r="LUN241" s="1"/>
      <c r="LUO241" s="1"/>
      <c r="LUP241" s="1"/>
      <c r="LUQ241" s="1"/>
      <c r="LUR241" s="1"/>
      <c r="LUS241" s="1"/>
      <c r="LUT241" s="1"/>
      <c r="LUU241" s="1"/>
      <c r="LUV241" s="1"/>
      <c r="LUW241" s="1"/>
      <c r="LUX241" s="1"/>
      <c r="LUY241" s="1"/>
      <c r="LUZ241" s="1"/>
      <c r="LVA241" s="1"/>
      <c r="LVB241" s="1"/>
      <c r="LVC241" s="1"/>
      <c r="LVD241" s="1"/>
      <c r="LVE241" s="1"/>
      <c r="LVF241" s="1"/>
      <c r="LVG241" s="1"/>
      <c r="LVH241" s="1"/>
      <c r="LVI241" s="1"/>
      <c r="LVJ241" s="1"/>
      <c r="LVK241" s="1"/>
      <c r="LVL241" s="1"/>
      <c r="LVM241" s="1"/>
      <c r="LVN241" s="1"/>
      <c r="LVO241" s="1"/>
      <c r="LVP241" s="1"/>
      <c r="LVQ241" s="1"/>
      <c r="LVR241" s="1"/>
      <c r="LVS241" s="1"/>
      <c r="LVT241" s="1"/>
      <c r="LVU241" s="1"/>
      <c r="LVV241" s="1"/>
      <c r="LVW241" s="1"/>
      <c r="LVX241" s="1"/>
      <c r="LVY241" s="1"/>
      <c r="LVZ241" s="1"/>
      <c r="LWA241" s="1"/>
      <c r="LWB241" s="1"/>
      <c r="LWC241" s="1"/>
      <c r="LWD241" s="1"/>
      <c r="LWE241" s="1"/>
      <c r="LWF241" s="1"/>
      <c r="LWG241" s="1"/>
      <c r="LWH241" s="1"/>
      <c r="LWI241" s="1"/>
      <c r="LWJ241" s="1"/>
      <c r="LWK241" s="1"/>
      <c r="LWL241" s="1"/>
      <c r="LWM241" s="1"/>
      <c r="LWN241" s="1"/>
      <c r="LWO241" s="1"/>
      <c r="LWP241" s="1"/>
      <c r="LWQ241" s="1"/>
      <c r="LWR241" s="1"/>
      <c r="LWS241" s="1"/>
      <c r="LWT241" s="1"/>
      <c r="LWU241" s="1"/>
      <c r="LWV241" s="1"/>
      <c r="LWW241" s="1"/>
      <c r="LWX241" s="1"/>
      <c r="LWY241" s="1"/>
      <c r="LWZ241" s="1"/>
      <c r="LXA241" s="1"/>
      <c r="LXB241" s="1"/>
      <c r="LXC241" s="1"/>
      <c r="LXD241" s="1"/>
      <c r="LXE241" s="1"/>
      <c r="LXF241" s="1"/>
      <c r="LXG241" s="1"/>
      <c r="LXH241" s="1"/>
      <c r="LXI241" s="1"/>
      <c r="LXJ241" s="1"/>
      <c r="LXK241" s="1"/>
      <c r="LXL241" s="1"/>
      <c r="LXM241" s="1"/>
      <c r="LXN241" s="1"/>
      <c r="LXO241" s="1"/>
      <c r="LXP241" s="1"/>
      <c r="LXQ241" s="1"/>
      <c r="LXR241" s="1"/>
      <c r="LXS241" s="1"/>
      <c r="LXT241" s="1"/>
      <c r="LXU241" s="1"/>
      <c r="LXV241" s="1"/>
      <c r="LXW241" s="1"/>
      <c r="LXX241" s="1"/>
      <c r="LXY241" s="1"/>
      <c r="LXZ241" s="1"/>
      <c r="LYA241" s="1"/>
      <c r="LYB241" s="1"/>
      <c r="LYC241" s="1"/>
      <c r="LYD241" s="1"/>
      <c r="LYE241" s="1"/>
      <c r="LYF241" s="1"/>
      <c r="LYG241" s="1"/>
      <c r="LYH241" s="1"/>
      <c r="LYI241" s="1"/>
      <c r="LYJ241" s="1"/>
      <c r="LYK241" s="1"/>
      <c r="LYL241" s="1"/>
      <c r="LYM241" s="1"/>
      <c r="LYN241" s="1"/>
      <c r="LYO241" s="1"/>
      <c r="LYP241" s="1"/>
      <c r="LYQ241" s="1"/>
      <c r="LYR241" s="1"/>
      <c r="LYS241" s="1"/>
      <c r="LYT241" s="1"/>
      <c r="LYU241" s="1"/>
      <c r="LYV241" s="1"/>
      <c r="LYW241" s="1"/>
      <c r="LYX241" s="1"/>
      <c r="LYY241" s="1"/>
      <c r="LYZ241" s="1"/>
      <c r="LZA241" s="1"/>
      <c r="LZB241" s="1"/>
      <c r="LZC241" s="1"/>
      <c r="LZD241" s="1"/>
      <c r="LZE241" s="1"/>
      <c r="LZF241" s="1"/>
      <c r="LZG241" s="1"/>
      <c r="LZH241" s="1"/>
      <c r="LZI241" s="1"/>
      <c r="LZJ241" s="1"/>
      <c r="LZK241" s="1"/>
      <c r="LZL241" s="1"/>
      <c r="LZM241" s="1"/>
      <c r="LZN241" s="1"/>
      <c r="LZO241" s="1"/>
      <c r="LZP241" s="1"/>
      <c r="LZQ241" s="1"/>
      <c r="LZR241" s="1"/>
      <c r="LZS241" s="1"/>
      <c r="LZT241" s="1"/>
      <c r="LZU241" s="1"/>
      <c r="LZV241" s="1"/>
      <c r="LZW241" s="1"/>
      <c r="LZX241" s="1"/>
      <c r="LZY241" s="1"/>
      <c r="LZZ241" s="1"/>
      <c r="MAA241" s="1"/>
      <c r="MAB241" s="1"/>
      <c r="MAC241" s="1"/>
      <c r="MAD241" s="1"/>
      <c r="MAE241" s="1"/>
      <c r="MAF241" s="1"/>
      <c r="MAG241" s="1"/>
      <c r="MAH241" s="1"/>
      <c r="MAI241" s="1"/>
      <c r="MAJ241" s="1"/>
      <c r="MAK241" s="1"/>
      <c r="MAL241" s="1"/>
      <c r="MAM241" s="1"/>
      <c r="MAN241" s="1"/>
      <c r="MAO241" s="1"/>
      <c r="MAP241" s="1"/>
      <c r="MAQ241" s="1"/>
      <c r="MAR241" s="1"/>
      <c r="MAS241" s="1"/>
      <c r="MAT241" s="1"/>
      <c r="MAU241" s="1"/>
      <c r="MAV241" s="1"/>
      <c r="MAW241" s="1"/>
      <c r="MAX241" s="1"/>
      <c r="MAY241" s="1"/>
      <c r="MAZ241" s="1"/>
      <c r="MBA241" s="1"/>
      <c r="MBB241" s="1"/>
      <c r="MBC241" s="1"/>
      <c r="MBD241" s="1"/>
      <c r="MBE241" s="1"/>
      <c r="MBF241" s="1"/>
      <c r="MBG241" s="1"/>
      <c r="MBH241" s="1"/>
      <c r="MBI241" s="1"/>
      <c r="MBJ241" s="1"/>
      <c r="MBK241" s="1"/>
      <c r="MBL241" s="1"/>
      <c r="MBM241" s="1"/>
      <c r="MBN241" s="1"/>
      <c r="MBO241" s="1"/>
      <c r="MBP241" s="1"/>
      <c r="MBQ241" s="1"/>
      <c r="MBR241" s="1"/>
      <c r="MBS241" s="1"/>
      <c r="MBT241" s="1"/>
      <c r="MBU241" s="1"/>
      <c r="MBV241" s="1"/>
      <c r="MBW241" s="1"/>
      <c r="MBX241" s="1"/>
      <c r="MBY241" s="1"/>
      <c r="MBZ241" s="1"/>
      <c r="MCA241" s="1"/>
      <c r="MCB241" s="1"/>
      <c r="MCC241" s="1"/>
      <c r="MCD241" s="1"/>
      <c r="MCE241" s="1"/>
      <c r="MCF241" s="1"/>
      <c r="MCG241" s="1"/>
      <c r="MCH241" s="1"/>
      <c r="MCI241" s="1"/>
      <c r="MCJ241" s="1"/>
      <c r="MCK241" s="1"/>
      <c r="MCL241" s="1"/>
      <c r="MCM241" s="1"/>
      <c r="MCN241" s="1"/>
      <c r="MCO241" s="1"/>
      <c r="MCP241" s="1"/>
      <c r="MCQ241" s="1"/>
      <c r="MCR241" s="1"/>
      <c r="MCS241" s="1"/>
      <c r="MCT241" s="1"/>
      <c r="MCU241" s="1"/>
      <c r="MCV241" s="1"/>
      <c r="MCW241" s="1"/>
      <c r="MCX241" s="1"/>
      <c r="MCY241" s="1"/>
      <c r="MCZ241" s="1"/>
      <c r="MDA241" s="1"/>
      <c r="MDB241" s="1"/>
      <c r="MDC241" s="1"/>
      <c r="MDD241" s="1"/>
      <c r="MDE241" s="1"/>
      <c r="MDF241" s="1"/>
      <c r="MDG241" s="1"/>
      <c r="MDH241" s="1"/>
      <c r="MDI241" s="1"/>
      <c r="MDJ241" s="1"/>
      <c r="MDK241" s="1"/>
      <c r="MDL241" s="1"/>
      <c r="MDM241" s="1"/>
      <c r="MDN241" s="1"/>
      <c r="MDO241" s="1"/>
      <c r="MDP241" s="1"/>
      <c r="MDQ241" s="1"/>
      <c r="MDR241" s="1"/>
      <c r="MDS241" s="1"/>
      <c r="MDT241" s="1"/>
      <c r="MDU241" s="1"/>
      <c r="MDV241" s="1"/>
      <c r="MDW241" s="1"/>
      <c r="MDX241" s="1"/>
      <c r="MDY241" s="1"/>
      <c r="MDZ241" s="1"/>
      <c r="MEA241" s="1"/>
      <c r="MEB241" s="1"/>
      <c r="MEC241" s="1"/>
      <c r="MED241" s="1"/>
      <c r="MEE241" s="1"/>
      <c r="MEF241" s="1"/>
      <c r="MEG241" s="1"/>
      <c r="MEH241" s="1"/>
      <c r="MEI241" s="1"/>
      <c r="MEJ241" s="1"/>
      <c r="MEK241" s="1"/>
      <c r="MEL241" s="1"/>
      <c r="MEM241" s="1"/>
      <c r="MEN241" s="1"/>
      <c r="MEO241" s="1"/>
      <c r="MEP241" s="1"/>
      <c r="MEQ241" s="1"/>
      <c r="MER241" s="1"/>
      <c r="MES241" s="1"/>
      <c r="MET241" s="1"/>
      <c r="MEU241" s="1"/>
      <c r="MEV241" s="1"/>
      <c r="MEW241" s="1"/>
      <c r="MEX241" s="1"/>
      <c r="MEY241" s="1"/>
      <c r="MEZ241" s="1"/>
      <c r="MFA241" s="1"/>
      <c r="MFB241" s="1"/>
      <c r="MFC241" s="1"/>
      <c r="MFD241" s="1"/>
      <c r="MFE241" s="1"/>
      <c r="MFF241" s="1"/>
      <c r="MFG241" s="1"/>
      <c r="MFH241" s="1"/>
      <c r="MFI241" s="1"/>
      <c r="MFJ241" s="1"/>
      <c r="MFK241" s="1"/>
      <c r="MFL241" s="1"/>
      <c r="MFM241" s="1"/>
      <c r="MFN241" s="1"/>
      <c r="MFO241" s="1"/>
      <c r="MFP241" s="1"/>
      <c r="MFQ241" s="1"/>
      <c r="MFR241" s="1"/>
      <c r="MFS241" s="1"/>
      <c r="MFT241" s="1"/>
      <c r="MFU241" s="1"/>
      <c r="MFV241" s="1"/>
      <c r="MFW241" s="1"/>
      <c r="MFX241" s="1"/>
      <c r="MFY241" s="1"/>
      <c r="MFZ241" s="1"/>
      <c r="MGA241" s="1"/>
      <c r="MGB241" s="1"/>
      <c r="MGC241" s="1"/>
      <c r="MGD241" s="1"/>
      <c r="MGE241" s="1"/>
      <c r="MGF241" s="1"/>
      <c r="MGG241" s="1"/>
      <c r="MGH241" s="1"/>
      <c r="MGI241" s="1"/>
      <c r="MGJ241" s="1"/>
      <c r="MGK241" s="1"/>
      <c r="MGL241" s="1"/>
      <c r="MGM241" s="1"/>
      <c r="MGN241" s="1"/>
      <c r="MGO241" s="1"/>
      <c r="MGP241" s="1"/>
      <c r="MGQ241" s="1"/>
      <c r="MGR241" s="1"/>
      <c r="MGS241" s="1"/>
      <c r="MGT241" s="1"/>
      <c r="MGU241" s="1"/>
      <c r="MGV241" s="1"/>
      <c r="MGW241" s="1"/>
      <c r="MGX241" s="1"/>
      <c r="MGY241" s="1"/>
      <c r="MGZ241" s="1"/>
      <c r="MHA241" s="1"/>
      <c r="MHB241" s="1"/>
      <c r="MHC241" s="1"/>
      <c r="MHD241" s="1"/>
      <c r="MHE241" s="1"/>
      <c r="MHF241" s="1"/>
      <c r="MHG241" s="1"/>
      <c r="MHH241" s="1"/>
      <c r="MHI241" s="1"/>
      <c r="MHJ241" s="1"/>
      <c r="MHK241" s="1"/>
      <c r="MHL241" s="1"/>
      <c r="MHM241" s="1"/>
      <c r="MHN241" s="1"/>
      <c r="MHO241" s="1"/>
      <c r="MHP241" s="1"/>
      <c r="MHQ241" s="1"/>
      <c r="MHR241" s="1"/>
      <c r="MHS241" s="1"/>
      <c r="MHT241" s="1"/>
      <c r="MHU241" s="1"/>
      <c r="MHV241" s="1"/>
      <c r="MHW241" s="1"/>
      <c r="MHX241" s="1"/>
      <c r="MHY241" s="1"/>
      <c r="MHZ241" s="1"/>
      <c r="MIA241" s="1"/>
      <c r="MIB241" s="1"/>
      <c r="MIC241" s="1"/>
      <c r="MID241" s="1"/>
      <c r="MIE241" s="1"/>
      <c r="MIF241" s="1"/>
      <c r="MIG241" s="1"/>
      <c r="MIH241" s="1"/>
      <c r="MII241" s="1"/>
      <c r="MIJ241" s="1"/>
      <c r="MIK241" s="1"/>
      <c r="MIL241" s="1"/>
      <c r="MIM241" s="1"/>
      <c r="MIN241" s="1"/>
      <c r="MIO241" s="1"/>
      <c r="MIP241" s="1"/>
      <c r="MIQ241" s="1"/>
      <c r="MIR241" s="1"/>
      <c r="MIS241" s="1"/>
      <c r="MIT241" s="1"/>
      <c r="MIU241" s="1"/>
      <c r="MIV241" s="1"/>
      <c r="MIW241" s="1"/>
      <c r="MIX241" s="1"/>
      <c r="MIY241" s="1"/>
      <c r="MIZ241" s="1"/>
      <c r="MJA241" s="1"/>
      <c r="MJB241" s="1"/>
      <c r="MJC241" s="1"/>
      <c r="MJD241" s="1"/>
      <c r="MJE241" s="1"/>
      <c r="MJF241" s="1"/>
      <c r="MJG241" s="1"/>
      <c r="MJH241" s="1"/>
      <c r="MJI241" s="1"/>
      <c r="MJJ241" s="1"/>
      <c r="MJK241" s="1"/>
      <c r="MJL241" s="1"/>
      <c r="MJM241" s="1"/>
      <c r="MJN241" s="1"/>
      <c r="MJO241" s="1"/>
      <c r="MJP241" s="1"/>
      <c r="MJQ241" s="1"/>
      <c r="MJR241" s="1"/>
      <c r="MJS241" s="1"/>
      <c r="MJT241" s="1"/>
      <c r="MJU241" s="1"/>
      <c r="MJV241" s="1"/>
      <c r="MJW241" s="1"/>
      <c r="MJX241" s="1"/>
      <c r="MJY241" s="1"/>
      <c r="MJZ241" s="1"/>
      <c r="MKA241" s="1"/>
      <c r="MKB241" s="1"/>
      <c r="MKC241" s="1"/>
      <c r="MKD241" s="1"/>
      <c r="MKE241" s="1"/>
      <c r="MKF241" s="1"/>
      <c r="MKG241" s="1"/>
      <c r="MKH241" s="1"/>
      <c r="MKI241" s="1"/>
      <c r="MKJ241" s="1"/>
      <c r="MKK241" s="1"/>
      <c r="MKL241" s="1"/>
      <c r="MKM241" s="1"/>
      <c r="MKN241" s="1"/>
      <c r="MKO241" s="1"/>
      <c r="MKP241" s="1"/>
      <c r="MKQ241" s="1"/>
      <c r="MKR241" s="1"/>
      <c r="MKS241" s="1"/>
      <c r="MKT241" s="1"/>
      <c r="MKU241" s="1"/>
      <c r="MKV241" s="1"/>
      <c r="MKW241" s="1"/>
      <c r="MKX241" s="1"/>
      <c r="MKY241" s="1"/>
      <c r="MKZ241" s="1"/>
      <c r="MLA241" s="1"/>
      <c r="MLB241" s="1"/>
      <c r="MLC241" s="1"/>
      <c r="MLD241" s="1"/>
      <c r="MLE241" s="1"/>
      <c r="MLF241" s="1"/>
      <c r="MLG241" s="1"/>
      <c r="MLH241" s="1"/>
      <c r="MLI241" s="1"/>
      <c r="MLJ241" s="1"/>
      <c r="MLK241" s="1"/>
      <c r="MLL241" s="1"/>
      <c r="MLM241" s="1"/>
      <c r="MLN241" s="1"/>
      <c r="MLO241" s="1"/>
      <c r="MLP241" s="1"/>
      <c r="MLQ241" s="1"/>
      <c r="MLR241" s="1"/>
      <c r="MLS241" s="1"/>
      <c r="MLT241" s="1"/>
      <c r="MLU241" s="1"/>
      <c r="MLV241" s="1"/>
      <c r="MLW241" s="1"/>
      <c r="MLX241" s="1"/>
      <c r="MLY241" s="1"/>
      <c r="MLZ241" s="1"/>
      <c r="MMA241" s="1"/>
      <c r="MMB241" s="1"/>
      <c r="MMC241" s="1"/>
      <c r="MMD241" s="1"/>
      <c r="MME241" s="1"/>
      <c r="MMF241" s="1"/>
      <c r="MMG241" s="1"/>
      <c r="MMH241" s="1"/>
      <c r="MMI241" s="1"/>
      <c r="MMJ241" s="1"/>
      <c r="MMK241" s="1"/>
      <c r="MML241" s="1"/>
      <c r="MMM241" s="1"/>
      <c r="MMN241" s="1"/>
      <c r="MMO241" s="1"/>
      <c r="MMP241" s="1"/>
      <c r="MMQ241" s="1"/>
      <c r="MMR241" s="1"/>
      <c r="MMS241" s="1"/>
      <c r="MMT241" s="1"/>
      <c r="MMU241" s="1"/>
      <c r="MMV241" s="1"/>
      <c r="MMW241" s="1"/>
      <c r="MMX241" s="1"/>
      <c r="MMY241" s="1"/>
      <c r="MMZ241" s="1"/>
      <c r="MNA241" s="1"/>
      <c r="MNB241" s="1"/>
      <c r="MNC241" s="1"/>
      <c r="MND241" s="1"/>
      <c r="MNE241" s="1"/>
      <c r="MNF241" s="1"/>
      <c r="MNG241" s="1"/>
      <c r="MNH241" s="1"/>
      <c r="MNI241" s="1"/>
      <c r="MNJ241" s="1"/>
      <c r="MNK241" s="1"/>
      <c r="MNL241" s="1"/>
      <c r="MNM241" s="1"/>
      <c r="MNN241" s="1"/>
      <c r="MNO241" s="1"/>
      <c r="MNP241" s="1"/>
      <c r="MNQ241" s="1"/>
      <c r="MNR241" s="1"/>
      <c r="MNS241" s="1"/>
      <c r="MNT241" s="1"/>
      <c r="MNU241" s="1"/>
      <c r="MNV241" s="1"/>
      <c r="MNW241" s="1"/>
      <c r="MNX241" s="1"/>
      <c r="MNY241" s="1"/>
      <c r="MNZ241" s="1"/>
      <c r="MOA241" s="1"/>
      <c r="MOB241" s="1"/>
      <c r="MOC241" s="1"/>
      <c r="MOD241" s="1"/>
      <c r="MOE241" s="1"/>
      <c r="MOF241" s="1"/>
      <c r="MOG241" s="1"/>
      <c r="MOH241" s="1"/>
      <c r="MOI241" s="1"/>
      <c r="MOJ241" s="1"/>
      <c r="MOK241" s="1"/>
      <c r="MOL241" s="1"/>
      <c r="MOM241" s="1"/>
      <c r="MON241" s="1"/>
      <c r="MOO241" s="1"/>
      <c r="MOP241" s="1"/>
      <c r="MOQ241" s="1"/>
      <c r="MOR241" s="1"/>
      <c r="MOS241" s="1"/>
      <c r="MOT241" s="1"/>
      <c r="MOU241" s="1"/>
      <c r="MOV241" s="1"/>
      <c r="MOW241" s="1"/>
      <c r="MOX241" s="1"/>
      <c r="MOY241" s="1"/>
      <c r="MOZ241" s="1"/>
      <c r="MPA241" s="1"/>
      <c r="MPB241" s="1"/>
      <c r="MPC241" s="1"/>
      <c r="MPD241" s="1"/>
      <c r="MPE241" s="1"/>
      <c r="MPF241" s="1"/>
      <c r="MPG241" s="1"/>
      <c r="MPH241" s="1"/>
      <c r="MPI241" s="1"/>
      <c r="MPJ241" s="1"/>
      <c r="MPK241" s="1"/>
      <c r="MPL241" s="1"/>
      <c r="MPM241" s="1"/>
      <c r="MPN241" s="1"/>
      <c r="MPO241" s="1"/>
      <c r="MPP241" s="1"/>
      <c r="MPQ241" s="1"/>
      <c r="MPR241" s="1"/>
      <c r="MPS241" s="1"/>
      <c r="MPT241" s="1"/>
      <c r="MPU241" s="1"/>
      <c r="MPV241" s="1"/>
      <c r="MPW241" s="1"/>
      <c r="MPX241" s="1"/>
      <c r="MPY241" s="1"/>
      <c r="MPZ241" s="1"/>
      <c r="MQA241" s="1"/>
      <c r="MQB241" s="1"/>
      <c r="MQC241" s="1"/>
      <c r="MQD241" s="1"/>
      <c r="MQE241" s="1"/>
      <c r="MQF241" s="1"/>
      <c r="MQG241" s="1"/>
      <c r="MQH241" s="1"/>
      <c r="MQI241" s="1"/>
      <c r="MQJ241" s="1"/>
      <c r="MQK241" s="1"/>
      <c r="MQL241" s="1"/>
      <c r="MQM241" s="1"/>
      <c r="MQN241" s="1"/>
      <c r="MQO241" s="1"/>
      <c r="MQP241" s="1"/>
      <c r="MQQ241" s="1"/>
      <c r="MQR241" s="1"/>
      <c r="MQS241" s="1"/>
      <c r="MQT241" s="1"/>
      <c r="MQU241" s="1"/>
      <c r="MQV241" s="1"/>
      <c r="MQW241" s="1"/>
      <c r="MQX241" s="1"/>
      <c r="MQY241" s="1"/>
      <c r="MQZ241" s="1"/>
      <c r="MRA241" s="1"/>
      <c r="MRB241" s="1"/>
      <c r="MRC241" s="1"/>
      <c r="MRD241" s="1"/>
      <c r="MRE241" s="1"/>
      <c r="MRF241" s="1"/>
      <c r="MRG241" s="1"/>
      <c r="MRH241" s="1"/>
      <c r="MRI241" s="1"/>
      <c r="MRJ241" s="1"/>
      <c r="MRK241" s="1"/>
      <c r="MRL241" s="1"/>
      <c r="MRM241" s="1"/>
      <c r="MRN241" s="1"/>
      <c r="MRO241" s="1"/>
      <c r="MRP241" s="1"/>
      <c r="MRQ241" s="1"/>
      <c r="MRR241" s="1"/>
      <c r="MRS241" s="1"/>
      <c r="MRT241" s="1"/>
      <c r="MRU241" s="1"/>
      <c r="MRV241" s="1"/>
      <c r="MRW241" s="1"/>
      <c r="MRX241" s="1"/>
      <c r="MRY241" s="1"/>
      <c r="MRZ241" s="1"/>
      <c r="MSA241" s="1"/>
      <c r="MSB241" s="1"/>
      <c r="MSC241" s="1"/>
      <c r="MSD241" s="1"/>
      <c r="MSE241" s="1"/>
      <c r="MSF241" s="1"/>
      <c r="MSG241" s="1"/>
      <c r="MSH241" s="1"/>
      <c r="MSI241" s="1"/>
      <c r="MSJ241" s="1"/>
      <c r="MSK241" s="1"/>
      <c r="MSL241" s="1"/>
      <c r="MSM241" s="1"/>
      <c r="MSN241" s="1"/>
      <c r="MSO241" s="1"/>
      <c r="MSP241" s="1"/>
      <c r="MSQ241" s="1"/>
      <c r="MSR241" s="1"/>
      <c r="MSS241" s="1"/>
      <c r="MST241" s="1"/>
      <c r="MSU241" s="1"/>
      <c r="MSV241" s="1"/>
      <c r="MSW241" s="1"/>
      <c r="MSX241" s="1"/>
      <c r="MSY241" s="1"/>
      <c r="MSZ241" s="1"/>
      <c r="MTA241" s="1"/>
      <c r="MTB241" s="1"/>
      <c r="MTC241" s="1"/>
      <c r="MTD241" s="1"/>
      <c r="MTE241" s="1"/>
      <c r="MTF241" s="1"/>
      <c r="MTG241" s="1"/>
      <c r="MTH241" s="1"/>
      <c r="MTI241" s="1"/>
      <c r="MTJ241" s="1"/>
      <c r="MTK241" s="1"/>
      <c r="MTL241" s="1"/>
      <c r="MTM241" s="1"/>
      <c r="MTN241" s="1"/>
      <c r="MTO241" s="1"/>
      <c r="MTP241" s="1"/>
      <c r="MTQ241" s="1"/>
      <c r="MTR241" s="1"/>
      <c r="MTS241" s="1"/>
      <c r="MTT241" s="1"/>
      <c r="MTU241" s="1"/>
      <c r="MTV241" s="1"/>
      <c r="MTW241" s="1"/>
      <c r="MTX241" s="1"/>
      <c r="MTY241" s="1"/>
      <c r="MTZ241" s="1"/>
      <c r="MUA241" s="1"/>
      <c r="MUB241" s="1"/>
      <c r="MUC241" s="1"/>
      <c r="MUD241" s="1"/>
      <c r="MUE241" s="1"/>
      <c r="MUF241" s="1"/>
      <c r="MUG241" s="1"/>
      <c r="MUH241" s="1"/>
      <c r="MUI241" s="1"/>
      <c r="MUJ241" s="1"/>
      <c r="MUK241" s="1"/>
      <c r="MUL241" s="1"/>
      <c r="MUM241" s="1"/>
      <c r="MUN241" s="1"/>
      <c r="MUO241" s="1"/>
      <c r="MUP241" s="1"/>
      <c r="MUQ241" s="1"/>
      <c r="MUR241" s="1"/>
      <c r="MUS241" s="1"/>
      <c r="MUT241" s="1"/>
      <c r="MUU241" s="1"/>
      <c r="MUV241" s="1"/>
      <c r="MUW241" s="1"/>
      <c r="MUX241" s="1"/>
      <c r="MUY241" s="1"/>
      <c r="MUZ241" s="1"/>
      <c r="MVA241" s="1"/>
      <c r="MVB241" s="1"/>
      <c r="MVC241" s="1"/>
      <c r="MVD241" s="1"/>
      <c r="MVE241" s="1"/>
      <c r="MVF241" s="1"/>
      <c r="MVG241" s="1"/>
      <c r="MVH241" s="1"/>
      <c r="MVI241" s="1"/>
      <c r="MVJ241" s="1"/>
      <c r="MVK241" s="1"/>
      <c r="MVL241" s="1"/>
      <c r="MVM241" s="1"/>
      <c r="MVN241" s="1"/>
      <c r="MVO241" s="1"/>
      <c r="MVP241" s="1"/>
      <c r="MVQ241" s="1"/>
      <c r="MVR241" s="1"/>
      <c r="MVS241" s="1"/>
      <c r="MVT241" s="1"/>
      <c r="MVU241" s="1"/>
      <c r="MVV241" s="1"/>
      <c r="MVW241" s="1"/>
      <c r="MVX241" s="1"/>
      <c r="MVY241" s="1"/>
      <c r="MVZ241" s="1"/>
      <c r="MWA241" s="1"/>
      <c r="MWB241" s="1"/>
      <c r="MWC241" s="1"/>
      <c r="MWD241" s="1"/>
      <c r="MWE241" s="1"/>
      <c r="MWF241" s="1"/>
      <c r="MWG241" s="1"/>
      <c r="MWH241" s="1"/>
      <c r="MWI241" s="1"/>
      <c r="MWJ241" s="1"/>
      <c r="MWK241" s="1"/>
      <c r="MWL241" s="1"/>
      <c r="MWM241" s="1"/>
      <c r="MWN241" s="1"/>
      <c r="MWO241" s="1"/>
      <c r="MWP241" s="1"/>
      <c r="MWQ241" s="1"/>
      <c r="MWR241" s="1"/>
      <c r="MWS241" s="1"/>
      <c r="MWT241" s="1"/>
      <c r="MWU241" s="1"/>
      <c r="MWV241" s="1"/>
      <c r="MWW241" s="1"/>
      <c r="MWX241" s="1"/>
      <c r="MWY241" s="1"/>
      <c r="MWZ241" s="1"/>
      <c r="MXA241" s="1"/>
      <c r="MXB241" s="1"/>
      <c r="MXC241" s="1"/>
      <c r="MXD241" s="1"/>
      <c r="MXE241" s="1"/>
      <c r="MXF241" s="1"/>
      <c r="MXG241" s="1"/>
      <c r="MXH241" s="1"/>
      <c r="MXI241" s="1"/>
      <c r="MXJ241" s="1"/>
      <c r="MXK241" s="1"/>
      <c r="MXL241" s="1"/>
      <c r="MXM241" s="1"/>
      <c r="MXN241" s="1"/>
      <c r="MXO241" s="1"/>
      <c r="MXP241" s="1"/>
      <c r="MXQ241" s="1"/>
      <c r="MXR241" s="1"/>
      <c r="MXS241" s="1"/>
      <c r="MXT241" s="1"/>
      <c r="MXU241" s="1"/>
      <c r="MXV241" s="1"/>
      <c r="MXW241" s="1"/>
      <c r="MXX241" s="1"/>
      <c r="MXY241" s="1"/>
      <c r="MXZ241" s="1"/>
      <c r="MYA241" s="1"/>
      <c r="MYB241" s="1"/>
      <c r="MYC241" s="1"/>
      <c r="MYD241" s="1"/>
      <c r="MYE241" s="1"/>
      <c r="MYF241" s="1"/>
      <c r="MYG241" s="1"/>
      <c r="MYH241" s="1"/>
      <c r="MYI241" s="1"/>
      <c r="MYJ241" s="1"/>
      <c r="MYK241" s="1"/>
      <c r="MYL241" s="1"/>
      <c r="MYM241" s="1"/>
      <c r="MYN241" s="1"/>
      <c r="MYO241" s="1"/>
      <c r="MYP241" s="1"/>
      <c r="MYQ241" s="1"/>
      <c r="MYR241" s="1"/>
      <c r="MYS241" s="1"/>
      <c r="MYT241" s="1"/>
      <c r="MYU241" s="1"/>
      <c r="MYV241" s="1"/>
      <c r="MYW241" s="1"/>
      <c r="MYX241" s="1"/>
      <c r="MYY241" s="1"/>
      <c r="MYZ241" s="1"/>
      <c r="MZA241" s="1"/>
      <c r="MZB241" s="1"/>
      <c r="MZC241" s="1"/>
      <c r="MZD241" s="1"/>
      <c r="MZE241" s="1"/>
      <c r="MZF241" s="1"/>
      <c r="MZG241" s="1"/>
      <c r="MZH241" s="1"/>
      <c r="MZI241" s="1"/>
      <c r="MZJ241" s="1"/>
      <c r="MZK241" s="1"/>
      <c r="MZL241" s="1"/>
      <c r="MZM241" s="1"/>
      <c r="MZN241" s="1"/>
      <c r="MZO241" s="1"/>
      <c r="MZP241" s="1"/>
      <c r="MZQ241" s="1"/>
      <c r="MZR241" s="1"/>
      <c r="MZS241" s="1"/>
      <c r="MZT241" s="1"/>
      <c r="MZU241" s="1"/>
      <c r="MZV241" s="1"/>
      <c r="MZW241" s="1"/>
      <c r="MZX241" s="1"/>
      <c r="MZY241" s="1"/>
      <c r="MZZ241" s="1"/>
      <c r="NAA241" s="1"/>
      <c r="NAB241" s="1"/>
      <c r="NAC241" s="1"/>
      <c r="NAD241" s="1"/>
      <c r="NAE241" s="1"/>
      <c r="NAF241" s="1"/>
      <c r="NAG241" s="1"/>
      <c r="NAH241" s="1"/>
      <c r="NAI241" s="1"/>
      <c r="NAJ241" s="1"/>
      <c r="NAK241" s="1"/>
      <c r="NAL241" s="1"/>
      <c r="NAM241" s="1"/>
      <c r="NAN241" s="1"/>
      <c r="NAO241" s="1"/>
      <c r="NAP241" s="1"/>
      <c r="NAQ241" s="1"/>
      <c r="NAR241" s="1"/>
      <c r="NAS241" s="1"/>
      <c r="NAT241" s="1"/>
      <c r="NAU241" s="1"/>
      <c r="NAV241" s="1"/>
      <c r="NAW241" s="1"/>
      <c r="NAX241" s="1"/>
      <c r="NAY241" s="1"/>
      <c r="NAZ241" s="1"/>
      <c r="NBA241" s="1"/>
      <c r="NBB241" s="1"/>
      <c r="NBC241" s="1"/>
      <c r="NBD241" s="1"/>
      <c r="NBE241" s="1"/>
      <c r="NBF241" s="1"/>
      <c r="NBG241" s="1"/>
      <c r="NBH241" s="1"/>
      <c r="NBI241" s="1"/>
      <c r="NBJ241" s="1"/>
      <c r="NBK241" s="1"/>
      <c r="NBL241" s="1"/>
      <c r="NBM241" s="1"/>
      <c r="NBN241" s="1"/>
      <c r="NBO241" s="1"/>
      <c r="NBP241" s="1"/>
      <c r="NBQ241" s="1"/>
      <c r="NBR241" s="1"/>
      <c r="NBS241" s="1"/>
      <c r="NBT241" s="1"/>
      <c r="NBU241" s="1"/>
      <c r="NBV241" s="1"/>
      <c r="NBW241" s="1"/>
      <c r="NBX241" s="1"/>
      <c r="NBY241" s="1"/>
      <c r="NBZ241" s="1"/>
      <c r="NCA241" s="1"/>
      <c r="NCB241" s="1"/>
      <c r="NCC241" s="1"/>
      <c r="NCD241" s="1"/>
      <c r="NCE241" s="1"/>
      <c r="NCF241" s="1"/>
      <c r="NCG241" s="1"/>
      <c r="NCH241" s="1"/>
      <c r="NCI241" s="1"/>
      <c r="NCJ241" s="1"/>
      <c r="NCK241" s="1"/>
      <c r="NCL241" s="1"/>
      <c r="NCM241" s="1"/>
      <c r="NCN241" s="1"/>
      <c r="NCO241" s="1"/>
      <c r="NCP241" s="1"/>
      <c r="NCQ241" s="1"/>
      <c r="NCR241" s="1"/>
      <c r="NCS241" s="1"/>
      <c r="NCT241" s="1"/>
      <c r="NCU241" s="1"/>
      <c r="NCV241" s="1"/>
      <c r="NCW241" s="1"/>
      <c r="NCX241" s="1"/>
      <c r="NCY241" s="1"/>
      <c r="NCZ241" s="1"/>
      <c r="NDA241" s="1"/>
      <c r="NDB241" s="1"/>
      <c r="NDC241" s="1"/>
      <c r="NDD241" s="1"/>
      <c r="NDE241" s="1"/>
      <c r="NDF241" s="1"/>
      <c r="NDG241" s="1"/>
      <c r="NDH241" s="1"/>
      <c r="NDI241" s="1"/>
      <c r="NDJ241" s="1"/>
      <c r="NDK241" s="1"/>
      <c r="NDL241" s="1"/>
      <c r="NDM241" s="1"/>
      <c r="NDN241" s="1"/>
      <c r="NDO241" s="1"/>
      <c r="NDP241" s="1"/>
      <c r="NDQ241" s="1"/>
      <c r="NDR241" s="1"/>
      <c r="NDS241" s="1"/>
      <c r="NDT241" s="1"/>
      <c r="NDU241" s="1"/>
      <c r="NDV241" s="1"/>
      <c r="NDW241" s="1"/>
      <c r="NDX241" s="1"/>
      <c r="NDY241" s="1"/>
      <c r="NDZ241" s="1"/>
      <c r="NEA241" s="1"/>
      <c r="NEB241" s="1"/>
      <c r="NEC241" s="1"/>
      <c r="NED241" s="1"/>
      <c r="NEE241" s="1"/>
      <c r="NEF241" s="1"/>
      <c r="NEG241" s="1"/>
      <c r="NEH241" s="1"/>
      <c r="NEI241" s="1"/>
      <c r="NEJ241" s="1"/>
      <c r="NEK241" s="1"/>
      <c r="NEL241" s="1"/>
      <c r="NEM241" s="1"/>
      <c r="NEN241" s="1"/>
      <c r="NEO241" s="1"/>
      <c r="NEP241" s="1"/>
      <c r="NEQ241" s="1"/>
      <c r="NER241" s="1"/>
      <c r="NES241" s="1"/>
      <c r="NET241" s="1"/>
      <c r="NEU241" s="1"/>
      <c r="NEV241" s="1"/>
      <c r="NEW241" s="1"/>
      <c r="NEX241" s="1"/>
      <c r="NEY241" s="1"/>
      <c r="NEZ241" s="1"/>
      <c r="NFA241" s="1"/>
      <c r="NFB241" s="1"/>
      <c r="NFC241" s="1"/>
      <c r="NFD241" s="1"/>
      <c r="NFE241" s="1"/>
      <c r="NFF241" s="1"/>
      <c r="NFG241" s="1"/>
      <c r="NFH241" s="1"/>
      <c r="NFI241" s="1"/>
      <c r="NFJ241" s="1"/>
      <c r="NFK241" s="1"/>
      <c r="NFL241" s="1"/>
      <c r="NFM241" s="1"/>
      <c r="NFN241" s="1"/>
      <c r="NFO241" s="1"/>
      <c r="NFP241" s="1"/>
      <c r="NFQ241" s="1"/>
      <c r="NFR241" s="1"/>
      <c r="NFS241" s="1"/>
      <c r="NFT241" s="1"/>
      <c r="NFU241" s="1"/>
      <c r="NFV241" s="1"/>
      <c r="NFW241" s="1"/>
      <c r="NFX241" s="1"/>
      <c r="NFY241" s="1"/>
      <c r="NFZ241" s="1"/>
      <c r="NGA241" s="1"/>
      <c r="NGB241" s="1"/>
      <c r="NGC241" s="1"/>
      <c r="NGD241" s="1"/>
      <c r="NGE241" s="1"/>
      <c r="NGF241" s="1"/>
      <c r="NGG241" s="1"/>
      <c r="NGH241" s="1"/>
      <c r="NGI241" s="1"/>
      <c r="NGJ241" s="1"/>
      <c r="NGK241" s="1"/>
      <c r="NGL241" s="1"/>
      <c r="NGM241" s="1"/>
      <c r="NGN241" s="1"/>
      <c r="NGO241" s="1"/>
      <c r="NGP241" s="1"/>
      <c r="NGQ241" s="1"/>
      <c r="NGR241" s="1"/>
      <c r="NGS241" s="1"/>
      <c r="NGT241" s="1"/>
      <c r="NGU241" s="1"/>
      <c r="NGV241" s="1"/>
      <c r="NGW241" s="1"/>
      <c r="NGX241" s="1"/>
      <c r="NGY241" s="1"/>
      <c r="NGZ241" s="1"/>
      <c r="NHA241" s="1"/>
      <c r="NHB241" s="1"/>
      <c r="NHC241" s="1"/>
      <c r="NHD241" s="1"/>
      <c r="NHE241" s="1"/>
      <c r="NHF241" s="1"/>
      <c r="NHG241" s="1"/>
      <c r="NHH241" s="1"/>
      <c r="NHI241" s="1"/>
      <c r="NHJ241" s="1"/>
      <c r="NHK241" s="1"/>
      <c r="NHL241" s="1"/>
      <c r="NHM241" s="1"/>
      <c r="NHN241" s="1"/>
      <c r="NHO241" s="1"/>
      <c r="NHP241" s="1"/>
      <c r="NHQ241" s="1"/>
      <c r="NHR241" s="1"/>
      <c r="NHS241" s="1"/>
      <c r="NHT241" s="1"/>
      <c r="NHU241" s="1"/>
      <c r="NHV241" s="1"/>
      <c r="NHW241" s="1"/>
      <c r="NHX241" s="1"/>
      <c r="NHY241" s="1"/>
      <c r="NHZ241" s="1"/>
      <c r="NIA241" s="1"/>
      <c r="NIB241" s="1"/>
      <c r="NIC241" s="1"/>
      <c r="NID241" s="1"/>
      <c r="NIE241" s="1"/>
      <c r="NIF241" s="1"/>
      <c r="NIG241" s="1"/>
      <c r="NIH241" s="1"/>
      <c r="NII241" s="1"/>
      <c r="NIJ241" s="1"/>
      <c r="NIK241" s="1"/>
      <c r="NIL241" s="1"/>
      <c r="NIM241" s="1"/>
      <c r="NIN241" s="1"/>
      <c r="NIO241" s="1"/>
      <c r="NIP241" s="1"/>
      <c r="NIQ241" s="1"/>
      <c r="NIR241" s="1"/>
      <c r="NIS241" s="1"/>
      <c r="NIT241" s="1"/>
      <c r="NIU241" s="1"/>
      <c r="NIV241" s="1"/>
      <c r="NIW241" s="1"/>
      <c r="NIX241" s="1"/>
      <c r="NIY241" s="1"/>
      <c r="NIZ241" s="1"/>
      <c r="NJA241" s="1"/>
      <c r="NJB241" s="1"/>
      <c r="NJC241" s="1"/>
      <c r="NJD241" s="1"/>
      <c r="NJE241" s="1"/>
      <c r="NJF241" s="1"/>
      <c r="NJG241" s="1"/>
      <c r="NJH241" s="1"/>
      <c r="NJI241" s="1"/>
      <c r="NJJ241" s="1"/>
      <c r="NJK241" s="1"/>
      <c r="NJL241" s="1"/>
      <c r="NJM241" s="1"/>
      <c r="NJN241" s="1"/>
      <c r="NJO241" s="1"/>
      <c r="NJP241" s="1"/>
      <c r="NJQ241" s="1"/>
      <c r="NJR241" s="1"/>
      <c r="NJS241" s="1"/>
      <c r="NJT241" s="1"/>
      <c r="NJU241" s="1"/>
      <c r="NJV241" s="1"/>
      <c r="NJW241" s="1"/>
      <c r="NJX241" s="1"/>
      <c r="NJY241" s="1"/>
      <c r="NJZ241" s="1"/>
      <c r="NKA241" s="1"/>
      <c r="NKB241" s="1"/>
      <c r="NKC241" s="1"/>
      <c r="NKD241" s="1"/>
      <c r="NKE241" s="1"/>
      <c r="NKF241" s="1"/>
      <c r="NKG241" s="1"/>
      <c r="NKH241" s="1"/>
      <c r="NKI241" s="1"/>
      <c r="NKJ241" s="1"/>
      <c r="NKK241" s="1"/>
      <c r="NKL241" s="1"/>
      <c r="NKM241" s="1"/>
      <c r="NKN241" s="1"/>
      <c r="NKO241" s="1"/>
      <c r="NKP241" s="1"/>
      <c r="NKQ241" s="1"/>
      <c r="NKR241" s="1"/>
      <c r="NKS241" s="1"/>
      <c r="NKT241" s="1"/>
      <c r="NKU241" s="1"/>
      <c r="NKV241" s="1"/>
      <c r="NKW241" s="1"/>
      <c r="NKX241" s="1"/>
      <c r="NKY241" s="1"/>
      <c r="NKZ241" s="1"/>
      <c r="NLA241" s="1"/>
      <c r="NLB241" s="1"/>
      <c r="NLC241" s="1"/>
      <c r="NLD241" s="1"/>
      <c r="NLE241" s="1"/>
      <c r="NLF241" s="1"/>
      <c r="NLG241" s="1"/>
      <c r="NLH241" s="1"/>
      <c r="NLI241" s="1"/>
      <c r="NLJ241" s="1"/>
      <c r="NLK241" s="1"/>
      <c r="NLL241" s="1"/>
      <c r="NLM241" s="1"/>
      <c r="NLN241" s="1"/>
      <c r="NLO241" s="1"/>
      <c r="NLP241" s="1"/>
      <c r="NLQ241" s="1"/>
      <c r="NLR241" s="1"/>
      <c r="NLS241" s="1"/>
      <c r="NLT241" s="1"/>
      <c r="NLU241" s="1"/>
      <c r="NLV241" s="1"/>
      <c r="NLW241" s="1"/>
      <c r="NLX241" s="1"/>
      <c r="NLY241" s="1"/>
      <c r="NLZ241" s="1"/>
      <c r="NMA241" s="1"/>
      <c r="NMB241" s="1"/>
      <c r="NMC241" s="1"/>
      <c r="NMD241" s="1"/>
      <c r="NME241" s="1"/>
      <c r="NMF241" s="1"/>
      <c r="NMG241" s="1"/>
      <c r="NMH241" s="1"/>
      <c r="NMI241" s="1"/>
      <c r="NMJ241" s="1"/>
      <c r="NMK241" s="1"/>
      <c r="NML241" s="1"/>
      <c r="NMM241" s="1"/>
      <c r="NMN241" s="1"/>
      <c r="NMO241" s="1"/>
      <c r="NMP241" s="1"/>
      <c r="NMQ241" s="1"/>
      <c r="NMR241" s="1"/>
      <c r="NMS241" s="1"/>
      <c r="NMT241" s="1"/>
      <c r="NMU241" s="1"/>
      <c r="NMV241" s="1"/>
      <c r="NMW241" s="1"/>
      <c r="NMX241" s="1"/>
      <c r="NMY241" s="1"/>
      <c r="NMZ241" s="1"/>
      <c r="NNA241" s="1"/>
      <c r="NNB241" s="1"/>
      <c r="NNC241" s="1"/>
      <c r="NND241" s="1"/>
      <c r="NNE241" s="1"/>
      <c r="NNF241" s="1"/>
      <c r="NNG241" s="1"/>
      <c r="NNH241" s="1"/>
      <c r="NNI241" s="1"/>
      <c r="NNJ241" s="1"/>
      <c r="NNK241" s="1"/>
      <c r="NNL241" s="1"/>
      <c r="NNM241" s="1"/>
      <c r="NNN241" s="1"/>
      <c r="NNO241" s="1"/>
      <c r="NNP241" s="1"/>
      <c r="NNQ241" s="1"/>
      <c r="NNR241" s="1"/>
      <c r="NNS241" s="1"/>
      <c r="NNT241" s="1"/>
      <c r="NNU241" s="1"/>
      <c r="NNV241" s="1"/>
      <c r="NNW241" s="1"/>
      <c r="NNX241" s="1"/>
      <c r="NNY241" s="1"/>
      <c r="NNZ241" s="1"/>
      <c r="NOA241" s="1"/>
      <c r="NOB241" s="1"/>
      <c r="NOC241" s="1"/>
      <c r="NOD241" s="1"/>
      <c r="NOE241" s="1"/>
      <c r="NOF241" s="1"/>
      <c r="NOG241" s="1"/>
      <c r="NOH241" s="1"/>
      <c r="NOI241" s="1"/>
      <c r="NOJ241" s="1"/>
      <c r="NOK241" s="1"/>
      <c r="NOL241" s="1"/>
      <c r="NOM241" s="1"/>
      <c r="NON241" s="1"/>
      <c r="NOO241" s="1"/>
      <c r="NOP241" s="1"/>
      <c r="NOQ241" s="1"/>
      <c r="NOR241" s="1"/>
      <c r="NOS241" s="1"/>
      <c r="NOT241" s="1"/>
      <c r="NOU241" s="1"/>
      <c r="NOV241" s="1"/>
      <c r="NOW241" s="1"/>
      <c r="NOX241" s="1"/>
      <c r="NOY241" s="1"/>
      <c r="NOZ241" s="1"/>
      <c r="NPA241" s="1"/>
      <c r="NPB241" s="1"/>
      <c r="NPC241" s="1"/>
      <c r="NPD241" s="1"/>
      <c r="NPE241" s="1"/>
      <c r="NPF241" s="1"/>
      <c r="NPG241" s="1"/>
      <c r="NPH241" s="1"/>
      <c r="NPI241" s="1"/>
      <c r="NPJ241" s="1"/>
      <c r="NPK241" s="1"/>
      <c r="NPL241" s="1"/>
      <c r="NPM241" s="1"/>
      <c r="NPN241" s="1"/>
      <c r="NPO241" s="1"/>
      <c r="NPP241" s="1"/>
      <c r="NPQ241" s="1"/>
      <c r="NPR241" s="1"/>
      <c r="NPS241" s="1"/>
      <c r="NPT241" s="1"/>
      <c r="NPU241" s="1"/>
      <c r="NPV241" s="1"/>
      <c r="NPW241" s="1"/>
      <c r="NPX241" s="1"/>
      <c r="NPY241" s="1"/>
      <c r="NPZ241" s="1"/>
      <c r="NQA241" s="1"/>
      <c r="NQB241" s="1"/>
      <c r="NQC241" s="1"/>
      <c r="NQD241" s="1"/>
      <c r="NQE241" s="1"/>
      <c r="NQF241" s="1"/>
      <c r="NQG241" s="1"/>
      <c r="NQH241" s="1"/>
      <c r="NQI241" s="1"/>
      <c r="NQJ241" s="1"/>
      <c r="NQK241" s="1"/>
      <c r="NQL241" s="1"/>
      <c r="NQM241" s="1"/>
      <c r="NQN241" s="1"/>
      <c r="NQO241" s="1"/>
      <c r="NQP241" s="1"/>
      <c r="NQQ241" s="1"/>
      <c r="NQR241" s="1"/>
      <c r="NQS241" s="1"/>
      <c r="NQT241" s="1"/>
      <c r="NQU241" s="1"/>
      <c r="NQV241" s="1"/>
      <c r="NQW241" s="1"/>
      <c r="NQX241" s="1"/>
      <c r="NQY241" s="1"/>
      <c r="NQZ241" s="1"/>
      <c r="NRA241" s="1"/>
      <c r="NRB241" s="1"/>
      <c r="NRC241" s="1"/>
      <c r="NRD241" s="1"/>
      <c r="NRE241" s="1"/>
      <c r="NRF241" s="1"/>
      <c r="NRG241" s="1"/>
      <c r="NRH241" s="1"/>
      <c r="NRI241" s="1"/>
      <c r="NRJ241" s="1"/>
      <c r="NRK241" s="1"/>
      <c r="NRL241" s="1"/>
      <c r="NRM241" s="1"/>
      <c r="NRN241" s="1"/>
      <c r="NRO241" s="1"/>
      <c r="NRP241" s="1"/>
      <c r="NRQ241" s="1"/>
      <c r="NRR241" s="1"/>
      <c r="NRS241" s="1"/>
      <c r="NRT241" s="1"/>
      <c r="NRU241" s="1"/>
      <c r="NRV241" s="1"/>
      <c r="NRW241" s="1"/>
      <c r="NRX241" s="1"/>
      <c r="NRY241" s="1"/>
      <c r="NRZ241" s="1"/>
      <c r="NSA241" s="1"/>
      <c r="NSB241" s="1"/>
      <c r="NSC241" s="1"/>
      <c r="NSD241" s="1"/>
      <c r="NSE241" s="1"/>
      <c r="NSF241" s="1"/>
      <c r="NSG241" s="1"/>
      <c r="NSH241" s="1"/>
      <c r="NSI241" s="1"/>
      <c r="NSJ241" s="1"/>
      <c r="NSK241" s="1"/>
      <c r="NSL241" s="1"/>
      <c r="NSM241" s="1"/>
      <c r="NSN241" s="1"/>
      <c r="NSO241" s="1"/>
      <c r="NSP241" s="1"/>
      <c r="NSQ241" s="1"/>
      <c r="NSR241" s="1"/>
      <c r="NSS241" s="1"/>
      <c r="NST241" s="1"/>
      <c r="NSU241" s="1"/>
      <c r="NSV241" s="1"/>
      <c r="NSW241" s="1"/>
      <c r="NSX241" s="1"/>
      <c r="NSY241" s="1"/>
      <c r="NSZ241" s="1"/>
      <c r="NTA241" s="1"/>
      <c r="NTB241" s="1"/>
      <c r="NTC241" s="1"/>
      <c r="NTD241" s="1"/>
      <c r="NTE241" s="1"/>
      <c r="NTF241" s="1"/>
      <c r="NTG241" s="1"/>
      <c r="NTH241" s="1"/>
      <c r="NTI241" s="1"/>
      <c r="NTJ241" s="1"/>
      <c r="NTK241" s="1"/>
      <c r="NTL241" s="1"/>
      <c r="NTM241" s="1"/>
      <c r="NTN241" s="1"/>
      <c r="NTO241" s="1"/>
      <c r="NTP241" s="1"/>
      <c r="NTQ241" s="1"/>
      <c r="NTR241" s="1"/>
      <c r="NTS241" s="1"/>
      <c r="NTT241" s="1"/>
      <c r="NTU241" s="1"/>
      <c r="NTV241" s="1"/>
      <c r="NTW241" s="1"/>
      <c r="NTX241" s="1"/>
      <c r="NTY241" s="1"/>
      <c r="NTZ241" s="1"/>
      <c r="NUA241" s="1"/>
      <c r="NUB241" s="1"/>
      <c r="NUC241" s="1"/>
      <c r="NUD241" s="1"/>
      <c r="NUE241" s="1"/>
      <c r="NUF241" s="1"/>
      <c r="NUG241" s="1"/>
      <c r="NUH241" s="1"/>
      <c r="NUI241" s="1"/>
      <c r="NUJ241" s="1"/>
      <c r="NUK241" s="1"/>
      <c r="NUL241" s="1"/>
      <c r="NUM241" s="1"/>
      <c r="NUN241" s="1"/>
      <c r="NUO241" s="1"/>
      <c r="NUP241" s="1"/>
      <c r="NUQ241" s="1"/>
      <c r="NUR241" s="1"/>
      <c r="NUS241" s="1"/>
      <c r="NUT241" s="1"/>
      <c r="NUU241" s="1"/>
      <c r="NUV241" s="1"/>
      <c r="NUW241" s="1"/>
      <c r="NUX241" s="1"/>
      <c r="NUY241" s="1"/>
      <c r="NUZ241" s="1"/>
      <c r="NVA241" s="1"/>
      <c r="NVB241" s="1"/>
      <c r="NVC241" s="1"/>
      <c r="NVD241" s="1"/>
      <c r="NVE241" s="1"/>
      <c r="NVF241" s="1"/>
      <c r="NVG241" s="1"/>
      <c r="NVH241" s="1"/>
      <c r="NVI241" s="1"/>
      <c r="NVJ241" s="1"/>
      <c r="NVK241" s="1"/>
      <c r="NVL241" s="1"/>
      <c r="NVM241" s="1"/>
      <c r="NVN241" s="1"/>
      <c r="NVO241" s="1"/>
      <c r="NVP241" s="1"/>
      <c r="NVQ241" s="1"/>
      <c r="NVR241" s="1"/>
      <c r="NVS241" s="1"/>
      <c r="NVT241" s="1"/>
      <c r="NVU241" s="1"/>
      <c r="NVV241" s="1"/>
      <c r="NVW241" s="1"/>
      <c r="NVX241" s="1"/>
      <c r="NVY241" s="1"/>
      <c r="NVZ241" s="1"/>
      <c r="NWA241" s="1"/>
      <c r="NWB241" s="1"/>
      <c r="NWC241" s="1"/>
      <c r="NWD241" s="1"/>
      <c r="NWE241" s="1"/>
      <c r="NWF241" s="1"/>
      <c r="NWG241" s="1"/>
      <c r="NWH241" s="1"/>
      <c r="NWI241" s="1"/>
      <c r="NWJ241" s="1"/>
      <c r="NWK241" s="1"/>
      <c r="NWL241" s="1"/>
      <c r="NWM241" s="1"/>
      <c r="NWN241" s="1"/>
      <c r="NWO241" s="1"/>
      <c r="NWP241" s="1"/>
      <c r="NWQ241" s="1"/>
      <c r="NWR241" s="1"/>
      <c r="NWS241" s="1"/>
      <c r="NWT241" s="1"/>
      <c r="NWU241" s="1"/>
      <c r="NWV241" s="1"/>
      <c r="NWW241" s="1"/>
      <c r="NWX241" s="1"/>
      <c r="NWY241" s="1"/>
      <c r="NWZ241" s="1"/>
      <c r="NXA241" s="1"/>
      <c r="NXB241" s="1"/>
      <c r="NXC241" s="1"/>
      <c r="NXD241" s="1"/>
      <c r="NXE241" s="1"/>
      <c r="NXF241" s="1"/>
      <c r="NXG241" s="1"/>
      <c r="NXH241" s="1"/>
      <c r="NXI241" s="1"/>
      <c r="NXJ241" s="1"/>
      <c r="NXK241" s="1"/>
      <c r="NXL241" s="1"/>
      <c r="NXM241" s="1"/>
      <c r="NXN241" s="1"/>
      <c r="NXO241" s="1"/>
      <c r="NXP241" s="1"/>
      <c r="NXQ241" s="1"/>
      <c r="NXR241" s="1"/>
      <c r="NXS241" s="1"/>
      <c r="NXT241" s="1"/>
      <c r="NXU241" s="1"/>
      <c r="NXV241" s="1"/>
      <c r="NXW241" s="1"/>
      <c r="NXX241" s="1"/>
      <c r="NXY241" s="1"/>
      <c r="NXZ241" s="1"/>
      <c r="NYA241" s="1"/>
      <c r="NYB241" s="1"/>
      <c r="NYC241" s="1"/>
      <c r="NYD241" s="1"/>
      <c r="NYE241" s="1"/>
      <c r="NYF241" s="1"/>
      <c r="NYG241" s="1"/>
      <c r="NYH241" s="1"/>
      <c r="NYI241" s="1"/>
      <c r="NYJ241" s="1"/>
      <c r="NYK241" s="1"/>
      <c r="NYL241" s="1"/>
      <c r="NYM241" s="1"/>
      <c r="NYN241" s="1"/>
      <c r="NYO241" s="1"/>
      <c r="NYP241" s="1"/>
      <c r="NYQ241" s="1"/>
      <c r="NYR241" s="1"/>
      <c r="NYS241" s="1"/>
      <c r="NYT241" s="1"/>
      <c r="NYU241" s="1"/>
      <c r="NYV241" s="1"/>
      <c r="NYW241" s="1"/>
      <c r="NYX241" s="1"/>
      <c r="NYY241" s="1"/>
      <c r="NYZ241" s="1"/>
      <c r="NZA241" s="1"/>
      <c r="NZB241" s="1"/>
      <c r="NZC241" s="1"/>
      <c r="NZD241" s="1"/>
      <c r="NZE241" s="1"/>
      <c r="NZF241" s="1"/>
      <c r="NZG241" s="1"/>
      <c r="NZH241" s="1"/>
      <c r="NZI241" s="1"/>
      <c r="NZJ241" s="1"/>
      <c r="NZK241" s="1"/>
      <c r="NZL241" s="1"/>
      <c r="NZM241" s="1"/>
      <c r="NZN241" s="1"/>
      <c r="NZO241" s="1"/>
      <c r="NZP241" s="1"/>
      <c r="NZQ241" s="1"/>
      <c r="NZR241" s="1"/>
      <c r="NZS241" s="1"/>
      <c r="NZT241" s="1"/>
      <c r="NZU241" s="1"/>
      <c r="NZV241" s="1"/>
      <c r="NZW241" s="1"/>
      <c r="NZX241" s="1"/>
      <c r="NZY241" s="1"/>
      <c r="NZZ241" s="1"/>
      <c r="OAA241" s="1"/>
      <c r="OAB241" s="1"/>
      <c r="OAC241" s="1"/>
      <c r="OAD241" s="1"/>
      <c r="OAE241" s="1"/>
      <c r="OAF241" s="1"/>
      <c r="OAG241" s="1"/>
      <c r="OAH241" s="1"/>
      <c r="OAI241" s="1"/>
      <c r="OAJ241" s="1"/>
      <c r="OAK241" s="1"/>
      <c r="OAL241" s="1"/>
      <c r="OAM241" s="1"/>
      <c r="OAN241" s="1"/>
      <c r="OAO241" s="1"/>
      <c r="OAP241" s="1"/>
      <c r="OAQ241" s="1"/>
      <c r="OAR241" s="1"/>
      <c r="OAS241" s="1"/>
      <c r="OAT241" s="1"/>
      <c r="OAU241" s="1"/>
      <c r="OAV241" s="1"/>
      <c r="OAW241" s="1"/>
      <c r="OAX241" s="1"/>
      <c r="OAY241" s="1"/>
      <c r="OAZ241" s="1"/>
      <c r="OBA241" s="1"/>
      <c r="OBB241" s="1"/>
      <c r="OBC241" s="1"/>
      <c r="OBD241" s="1"/>
      <c r="OBE241" s="1"/>
      <c r="OBF241" s="1"/>
      <c r="OBG241" s="1"/>
      <c r="OBH241" s="1"/>
      <c r="OBI241" s="1"/>
      <c r="OBJ241" s="1"/>
      <c r="OBK241" s="1"/>
      <c r="OBL241" s="1"/>
      <c r="OBM241" s="1"/>
      <c r="OBN241" s="1"/>
      <c r="OBO241" s="1"/>
      <c r="OBP241" s="1"/>
      <c r="OBQ241" s="1"/>
      <c r="OBR241" s="1"/>
      <c r="OBS241" s="1"/>
      <c r="OBT241" s="1"/>
      <c r="OBU241" s="1"/>
      <c r="OBV241" s="1"/>
      <c r="OBW241" s="1"/>
      <c r="OBX241" s="1"/>
      <c r="OBY241" s="1"/>
      <c r="OBZ241" s="1"/>
      <c r="OCA241" s="1"/>
      <c r="OCB241" s="1"/>
      <c r="OCC241" s="1"/>
      <c r="OCD241" s="1"/>
      <c r="OCE241" s="1"/>
      <c r="OCF241" s="1"/>
      <c r="OCG241" s="1"/>
      <c r="OCH241" s="1"/>
      <c r="OCI241" s="1"/>
      <c r="OCJ241" s="1"/>
      <c r="OCK241" s="1"/>
      <c r="OCL241" s="1"/>
      <c r="OCM241" s="1"/>
      <c r="OCN241" s="1"/>
      <c r="OCO241" s="1"/>
      <c r="OCP241" s="1"/>
      <c r="OCQ241" s="1"/>
      <c r="OCR241" s="1"/>
      <c r="OCS241" s="1"/>
      <c r="OCT241" s="1"/>
      <c r="OCU241" s="1"/>
      <c r="OCV241" s="1"/>
      <c r="OCW241" s="1"/>
      <c r="OCX241" s="1"/>
      <c r="OCY241" s="1"/>
      <c r="OCZ241" s="1"/>
      <c r="ODA241" s="1"/>
      <c r="ODB241" s="1"/>
      <c r="ODC241" s="1"/>
      <c r="ODD241" s="1"/>
      <c r="ODE241" s="1"/>
      <c r="ODF241" s="1"/>
      <c r="ODG241" s="1"/>
      <c r="ODH241" s="1"/>
      <c r="ODI241" s="1"/>
      <c r="ODJ241" s="1"/>
      <c r="ODK241" s="1"/>
      <c r="ODL241" s="1"/>
      <c r="ODM241" s="1"/>
      <c r="ODN241" s="1"/>
      <c r="ODO241" s="1"/>
      <c r="ODP241" s="1"/>
      <c r="ODQ241" s="1"/>
      <c r="ODR241" s="1"/>
      <c r="ODS241" s="1"/>
      <c r="ODT241" s="1"/>
      <c r="ODU241" s="1"/>
      <c r="ODV241" s="1"/>
      <c r="ODW241" s="1"/>
      <c r="ODX241" s="1"/>
      <c r="ODY241" s="1"/>
      <c r="ODZ241" s="1"/>
      <c r="OEA241" s="1"/>
      <c r="OEB241" s="1"/>
      <c r="OEC241" s="1"/>
      <c r="OED241" s="1"/>
      <c r="OEE241" s="1"/>
      <c r="OEF241" s="1"/>
      <c r="OEG241" s="1"/>
      <c r="OEH241" s="1"/>
      <c r="OEI241" s="1"/>
      <c r="OEJ241" s="1"/>
      <c r="OEK241" s="1"/>
      <c r="OEL241" s="1"/>
      <c r="OEM241" s="1"/>
      <c r="OEN241" s="1"/>
      <c r="OEO241" s="1"/>
      <c r="OEP241" s="1"/>
      <c r="OEQ241" s="1"/>
      <c r="OER241" s="1"/>
      <c r="OES241" s="1"/>
      <c r="OET241" s="1"/>
      <c r="OEU241" s="1"/>
      <c r="OEV241" s="1"/>
      <c r="OEW241" s="1"/>
      <c r="OEX241" s="1"/>
      <c r="OEY241" s="1"/>
      <c r="OEZ241" s="1"/>
      <c r="OFA241" s="1"/>
      <c r="OFB241" s="1"/>
      <c r="OFC241" s="1"/>
      <c r="OFD241" s="1"/>
      <c r="OFE241" s="1"/>
      <c r="OFF241" s="1"/>
      <c r="OFG241" s="1"/>
      <c r="OFH241" s="1"/>
      <c r="OFI241" s="1"/>
      <c r="OFJ241" s="1"/>
      <c r="OFK241" s="1"/>
      <c r="OFL241" s="1"/>
      <c r="OFM241" s="1"/>
      <c r="OFN241" s="1"/>
      <c r="OFO241" s="1"/>
      <c r="OFP241" s="1"/>
      <c r="OFQ241" s="1"/>
      <c r="OFR241" s="1"/>
      <c r="OFS241" s="1"/>
      <c r="OFT241" s="1"/>
      <c r="OFU241" s="1"/>
      <c r="OFV241" s="1"/>
      <c r="OFW241" s="1"/>
      <c r="OFX241" s="1"/>
      <c r="OFY241" s="1"/>
      <c r="OFZ241" s="1"/>
      <c r="OGA241" s="1"/>
      <c r="OGB241" s="1"/>
      <c r="OGC241" s="1"/>
      <c r="OGD241" s="1"/>
      <c r="OGE241" s="1"/>
      <c r="OGF241" s="1"/>
      <c r="OGG241" s="1"/>
      <c r="OGH241" s="1"/>
      <c r="OGI241" s="1"/>
      <c r="OGJ241" s="1"/>
      <c r="OGK241" s="1"/>
      <c r="OGL241" s="1"/>
      <c r="OGM241" s="1"/>
      <c r="OGN241" s="1"/>
      <c r="OGO241" s="1"/>
      <c r="OGP241" s="1"/>
      <c r="OGQ241" s="1"/>
      <c r="OGR241" s="1"/>
      <c r="OGS241" s="1"/>
      <c r="OGT241" s="1"/>
      <c r="OGU241" s="1"/>
      <c r="OGV241" s="1"/>
      <c r="OGW241" s="1"/>
      <c r="OGX241" s="1"/>
      <c r="OGY241" s="1"/>
      <c r="OGZ241" s="1"/>
      <c r="OHA241" s="1"/>
      <c r="OHB241" s="1"/>
      <c r="OHC241" s="1"/>
      <c r="OHD241" s="1"/>
      <c r="OHE241" s="1"/>
      <c r="OHF241" s="1"/>
      <c r="OHG241" s="1"/>
      <c r="OHH241" s="1"/>
      <c r="OHI241" s="1"/>
      <c r="OHJ241" s="1"/>
      <c r="OHK241" s="1"/>
      <c r="OHL241" s="1"/>
      <c r="OHM241" s="1"/>
      <c r="OHN241" s="1"/>
      <c r="OHO241" s="1"/>
      <c r="OHP241" s="1"/>
      <c r="OHQ241" s="1"/>
      <c r="OHR241" s="1"/>
      <c r="OHS241" s="1"/>
      <c r="OHT241" s="1"/>
      <c r="OHU241" s="1"/>
      <c r="OHV241" s="1"/>
      <c r="OHW241" s="1"/>
      <c r="OHX241" s="1"/>
      <c r="OHY241" s="1"/>
      <c r="OHZ241" s="1"/>
      <c r="OIA241" s="1"/>
      <c r="OIB241" s="1"/>
      <c r="OIC241" s="1"/>
      <c r="OID241" s="1"/>
      <c r="OIE241" s="1"/>
      <c r="OIF241" s="1"/>
      <c r="OIG241" s="1"/>
      <c r="OIH241" s="1"/>
      <c r="OII241" s="1"/>
      <c r="OIJ241" s="1"/>
      <c r="OIK241" s="1"/>
      <c r="OIL241" s="1"/>
      <c r="OIM241" s="1"/>
      <c r="OIN241" s="1"/>
      <c r="OIO241" s="1"/>
      <c r="OIP241" s="1"/>
      <c r="OIQ241" s="1"/>
      <c r="OIR241" s="1"/>
      <c r="OIS241" s="1"/>
      <c r="OIT241" s="1"/>
      <c r="OIU241" s="1"/>
      <c r="OIV241" s="1"/>
      <c r="OIW241" s="1"/>
      <c r="OIX241" s="1"/>
      <c r="OIY241" s="1"/>
      <c r="OIZ241" s="1"/>
      <c r="OJA241" s="1"/>
      <c r="OJB241" s="1"/>
      <c r="OJC241" s="1"/>
      <c r="OJD241" s="1"/>
      <c r="OJE241" s="1"/>
      <c r="OJF241" s="1"/>
      <c r="OJG241" s="1"/>
      <c r="OJH241" s="1"/>
      <c r="OJI241" s="1"/>
      <c r="OJJ241" s="1"/>
      <c r="OJK241" s="1"/>
      <c r="OJL241" s="1"/>
      <c r="OJM241" s="1"/>
      <c r="OJN241" s="1"/>
      <c r="OJO241" s="1"/>
      <c r="OJP241" s="1"/>
      <c r="OJQ241" s="1"/>
      <c r="OJR241" s="1"/>
      <c r="OJS241" s="1"/>
      <c r="OJT241" s="1"/>
      <c r="OJU241" s="1"/>
      <c r="OJV241" s="1"/>
      <c r="OJW241" s="1"/>
      <c r="OJX241" s="1"/>
      <c r="OJY241" s="1"/>
      <c r="OJZ241" s="1"/>
      <c r="OKA241" s="1"/>
      <c r="OKB241" s="1"/>
      <c r="OKC241" s="1"/>
      <c r="OKD241" s="1"/>
      <c r="OKE241" s="1"/>
      <c r="OKF241" s="1"/>
      <c r="OKG241" s="1"/>
      <c r="OKH241" s="1"/>
      <c r="OKI241" s="1"/>
      <c r="OKJ241" s="1"/>
      <c r="OKK241" s="1"/>
      <c r="OKL241" s="1"/>
      <c r="OKM241" s="1"/>
      <c r="OKN241" s="1"/>
      <c r="OKO241" s="1"/>
      <c r="OKP241" s="1"/>
      <c r="OKQ241" s="1"/>
      <c r="OKR241" s="1"/>
      <c r="OKS241" s="1"/>
      <c r="OKT241" s="1"/>
      <c r="OKU241" s="1"/>
      <c r="OKV241" s="1"/>
      <c r="OKW241" s="1"/>
      <c r="OKX241" s="1"/>
      <c r="OKY241" s="1"/>
      <c r="OKZ241" s="1"/>
      <c r="OLA241" s="1"/>
      <c r="OLB241" s="1"/>
      <c r="OLC241" s="1"/>
      <c r="OLD241" s="1"/>
      <c r="OLE241" s="1"/>
      <c r="OLF241" s="1"/>
      <c r="OLG241" s="1"/>
      <c r="OLH241" s="1"/>
      <c r="OLI241" s="1"/>
      <c r="OLJ241" s="1"/>
      <c r="OLK241" s="1"/>
      <c r="OLL241" s="1"/>
      <c r="OLM241" s="1"/>
      <c r="OLN241" s="1"/>
      <c r="OLO241" s="1"/>
      <c r="OLP241" s="1"/>
      <c r="OLQ241" s="1"/>
      <c r="OLR241" s="1"/>
      <c r="OLS241" s="1"/>
      <c r="OLT241" s="1"/>
      <c r="OLU241" s="1"/>
      <c r="OLV241" s="1"/>
      <c r="OLW241" s="1"/>
      <c r="OLX241" s="1"/>
      <c r="OLY241" s="1"/>
      <c r="OLZ241" s="1"/>
      <c r="OMA241" s="1"/>
      <c r="OMB241" s="1"/>
      <c r="OMC241" s="1"/>
      <c r="OMD241" s="1"/>
      <c r="OME241" s="1"/>
      <c r="OMF241" s="1"/>
      <c r="OMG241" s="1"/>
      <c r="OMH241" s="1"/>
      <c r="OMI241" s="1"/>
      <c r="OMJ241" s="1"/>
      <c r="OMK241" s="1"/>
      <c r="OML241" s="1"/>
      <c r="OMM241" s="1"/>
      <c r="OMN241" s="1"/>
      <c r="OMO241" s="1"/>
      <c r="OMP241" s="1"/>
      <c r="OMQ241" s="1"/>
      <c r="OMR241" s="1"/>
      <c r="OMS241" s="1"/>
      <c r="OMT241" s="1"/>
      <c r="OMU241" s="1"/>
      <c r="OMV241" s="1"/>
      <c r="OMW241" s="1"/>
      <c r="OMX241" s="1"/>
      <c r="OMY241" s="1"/>
      <c r="OMZ241" s="1"/>
      <c r="ONA241" s="1"/>
      <c r="ONB241" s="1"/>
      <c r="ONC241" s="1"/>
      <c r="OND241" s="1"/>
      <c r="ONE241" s="1"/>
      <c r="ONF241" s="1"/>
      <c r="ONG241" s="1"/>
      <c r="ONH241" s="1"/>
      <c r="ONI241" s="1"/>
      <c r="ONJ241" s="1"/>
      <c r="ONK241" s="1"/>
      <c r="ONL241" s="1"/>
      <c r="ONM241" s="1"/>
      <c r="ONN241" s="1"/>
      <c r="ONO241" s="1"/>
      <c r="ONP241" s="1"/>
      <c r="ONQ241" s="1"/>
      <c r="ONR241" s="1"/>
      <c r="ONS241" s="1"/>
      <c r="ONT241" s="1"/>
      <c r="ONU241" s="1"/>
      <c r="ONV241" s="1"/>
      <c r="ONW241" s="1"/>
      <c r="ONX241" s="1"/>
      <c r="ONY241" s="1"/>
      <c r="ONZ241" s="1"/>
      <c r="OOA241" s="1"/>
      <c r="OOB241" s="1"/>
      <c r="OOC241" s="1"/>
      <c r="OOD241" s="1"/>
      <c r="OOE241" s="1"/>
      <c r="OOF241" s="1"/>
      <c r="OOG241" s="1"/>
      <c r="OOH241" s="1"/>
      <c r="OOI241" s="1"/>
      <c r="OOJ241" s="1"/>
      <c r="OOK241" s="1"/>
      <c r="OOL241" s="1"/>
      <c r="OOM241" s="1"/>
      <c r="OON241" s="1"/>
      <c r="OOO241" s="1"/>
      <c r="OOP241" s="1"/>
      <c r="OOQ241" s="1"/>
      <c r="OOR241" s="1"/>
      <c r="OOS241" s="1"/>
      <c r="OOT241" s="1"/>
      <c r="OOU241" s="1"/>
      <c r="OOV241" s="1"/>
      <c r="OOW241" s="1"/>
      <c r="OOX241" s="1"/>
      <c r="OOY241" s="1"/>
      <c r="OOZ241" s="1"/>
      <c r="OPA241" s="1"/>
      <c r="OPB241" s="1"/>
      <c r="OPC241" s="1"/>
      <c r="OPD241" s="1"/>
      <c r="OPE241" s="1"/>
      <c r="OPF241" s="1"/>
      <c r="OPG241" s="1"/>
      <c r="OPH241" s="1"/>
      <c r="OPI241" s="1"/>
      <c r="OPJ241" s="1"/>
      <c r="OPK241" s="1"/>
      <c r="OPL241" s="1"/>
      <c r="OPM241" s="1"/>
      <c r="OPN241" s="1"/>
      <c r="OPO241" s="1"/>
      <c r="OPP241" s="1"/>
      <c r="OPQ241" s="1"/>
      <c r="OPR241" s="1"/>
      <c r="OPS241" s="1"/>
      <c r="OPT241" s="1"/>
      <c r="OPU241" s="1"/>
      <c r="OPV241" s="1"/>
      <c r="OPW241" s="1"/>
      <c r="OPX241" s="1"/>
      <c r="OPY241" s="1"/>
      <c r="OPZ241" s="1"/>
      <c r="OQA241" s="1"/>
      <c r="OQB241" s="1"/>
      <c r="OQC241" s="1"/>
      <c r="OQD241" s="1"/>
      <c r="OQE241" s="1"/>
      <c r="OQF241" s="1"/>
      <c r="OQG241" s="1"/>
      <c r="OQH241" s="1"/>
      <c r="OQI241" s="1"/>
      <c r="OQJ241" s="1"/>
      <c r="OQK241" s="1"/>
      <c r="OQL241" s="1"/>
      <c r="OQM241" s="1"/>
      <c r="OQN241" s="1"/>
      <c r="OQO241" s="1"/>
      <c r="OQP241" s="1"/>
      <c r="OQQ241" s="1"/>
      <c r="OQR241" s="1"/>
      <c r="OQS241" s="1"/>
      <c r="OQT241" s="1"/>
      <c r="OQU241" s="1"/>
      <c r="OQV241" s="1"/>
      <c r="OQW241" s="1"/>
      <c r="OQX241" s="1"/>
      <c r="OQY241" s="1"/>
      <c r="OQZ241" s="1"/>
      <c r="ORA241" s="1"/>
      <c r="ORB241" s="1"/>
      <c r="ORC241" s="1"/>
      <c r="ORD241" s="1"/>
      <c r="ORE241" s="1"/>
      <c r="ORF241" s="1"/>
      <c r="ORG241" s="1"/>
      <c r="ORH241" s="1"/>
      <c r="ORI241" s="1"/>
      <c r="ORJ241" s="1"/>
      <c r="ORK241" s="1"/>
      <c r="ORL241" s="1"/>
      <c r="ORM241" s="1"/>
      <c r="ORN241" s="1"/>
      <c r="ORO241" s="1"/>
      <c r="ORP241" s="1"/>
      <c r="ORQ241" s="1"/>
      <c r="ORR241" s="1"/>
      <c r="ORS241" s="1"/>
      <c r="ORT241" s="1"/>
      <c r="ORU241" s="1"/>
      <c r="ORV241" s="1"/>
      <c r="ORW241" s="1"/>
      <c r="ORX241" s="1"/>
      <c r="ORY241" s="1"/>
      <c r="ORZ241" s="1"/>
      <c r="OSA241" s="1"/>
      <c r="OSB241" s="1"/>
      <c r="OSC241" s="1"/>
      <c r="OSD241" s="1"/>
      <c r="OSE241" s="1"/>
      <c r="OSF241" s="1"/>
      <c r="OSG241" s="1"/>
      <c r="OSH241" s="1"/>
      <c r="OSI241" s="1"/>
      <c r="OSJ241" s="1"/>
      <c r="OSK241" s="1"/>
      <c r="OSL241" s="1"/>
      <c r="OSM241" s="1"/>
      <c r="OSN241" s="1"/>
      <c r="OSO241" s="1"/>
      <c r="OSP241" s="1"/>
      <c r="OSQ241" s="1"/>
      <c r="OSR241" s="1"/>
      <c r="OSS241" s="1"/>
      <c r="OST241" s="1"/>
      <c r="OSU241" s="1"/>
      <c r="OSV241" s="1"/>
      <c r="OSW241" s="1"/>
      <c r="OSX241" s="1"/>
      <c r="OSY241" s="1"/>
      <c r="OSZ241" s="1"/>
      <c r="OTA241" s="1"/>
      <c r="OTB241" s="1"/>
      <c r="OTC241" s="1"/>
      <c r="OTD241" s="1"/>
      <c r="OTE241" s="1"/>
      <c r="OTF241" s="1"/>
      <c r="OTG241" s="1"/>
      <c r="OTH241" s="1"/>
      <c r="OTI241" s="1"/>
      <c r="OTJ241" s="1"/>
      <c r="OTK241" s="1"/>
      <c r="OTL241" s="1"/>
      <c r="OTM241" s="1"/>
      <c r="OTN241" s="1"/>
      <c r="OTO241" s="1"/>
      <c r="OTP241" s="1"/>
      <c r="OTQ241" s="1"/>
      <c r="OTR241" s="1"/>
      <c r="OTS241" s="1"/>
      <c r="OTT241" s="1"/>
      <c r="OTU241" s="1"/>
      <c r="OTV241" s="1"/>
      <c r="OTW241" s="1"/>
      <c r="OTX241" s="1"/>
      <c r="OTY241" s="1"/>
      <c r="OTZ241" s="1"/>
      <c r="OUA241" s="1"/>
      <c r="OUB241" s="1"/>
      <c r="OUC241" s="1"/>
      <c r="OUD241" s="1"/>
      <c r="OUE241" s="1"/>
      <c r="OUF241" s="1"/>
      <c r="OUG241" s="1"/>
      <c r="OUH241" s="1"/>
      <c r="OUI241" s="1"/>
      <c r="OUJ241" s="1"/>
      <c r="OUK241" s="1"/>
      <c r="OUL241" s="1"/>
      <c r="OUM241" s="1"/>
      <c r="OUN241" s="1"/>
      <c r="OUO241" s="1"/>
      <c r="OUP241" s="1"/>
      <c r="OUQ241" s="1"/>
      <c r="OUR241" s="1"/>
      <c r="OUS241" s="1"/>
      <c r="OUT241" s="1"/>
      <c r="OUU241" s="1"/>
      <c r="OUV241" s="1"/>
      <c r="OUW241" s="1"/>
      <c r="OUX241" s="1"/>
      <c r="OUY241" s="1"/>
      <c r="OUZ241" s="1"/>
      <c r="OVA241" s="1"/>
      <c r="OVB241" s="1"/>
      <c r="OVC241" s="1"/>
      <c r="OVD241" s="1"/>
      <c r="OVE241" s="1"/>
      <c r="OVF241" s="1"/>
      <c r="OVG241" s="1"/>
      <c r="OVH241" s="1"/>
      <c r="OVI241" s="1"/>
      <c r="OVJ241" s="1"/>
      <c r="OVK241" s="1"/>
      <c r="OVL241" s="1"/>
      <c r="OVM241" s="1"/>
      <c r="OVN241" s="1"/>
      <c r="OVO241" s="1"/>
      <c r="OVP241" s="1"/>
      <c r="OVQ241" s="1"/>
      <c r="OVR241" s="1"/>
      <c r="OVS241" s="1"/>
      <c r="OVT241" s="1"/>
      <c r="OVU241" s="1"/>
      <c r="OVV241" s="1"/>
      <c r="OVW241" s="1"/>
      <c r="OVX241" s="1"/>
      <c r="OVY241" s="1"/>
      <c r="OVZ241" s="1"/>
      <c r="OWA241" s="1"/>
      <c r="OWB241" s="1"/>
      <c r="OWC241" s="1"/>
      <c r="OWD241" s="1"/>
      <c r="OWE241" s="1"/>
      <c r="OWF241" s="1"/>
      <c r="OWG241" s="1"/>
      <c r="OWH241" s="1"/>
      <c r="OWI241" s="1"/>
      <c r="OWJ241" s="1"/>
      <c r="OWK241" s="1"/>
      <c r="OWL241" s="1"/>
      <c r="OWM241" s="1"/>
      <c r="OWN241" s="1"/>
      <c r="OWO241" s="1"/>
      <c r="OWP241" s="1"/>
      <c r="OWQ241" s="1"/>
      <c r="OWR241" s="1"/>
      <c r="OWS241" s="1"/>
      <c r="OWT241" s="1"/>
      <c r="OWU241" s="1"/>
      <c r="OWV241" s="1"/>
      <c r="OWW241" s="1"/>
      <c r="OWX241" s="1"/>
      <c r="OWY241" s="1"/>
      <c r="OWZ241" s="1"/>
      <c r="OXA241" s="1"/>
      <c r="OXB241" s="1"/>
      <c r="OXC241" s="1"/>
      <c r="OXD241" s="1"/>
      <c r="OXE241" s="1"/>
      <c r="OXF241" s="1"/>
      <c r="OXG241" s="1"/>
      <c r="OXH241" s="1"/>
      <c r="OXI241" s="1"/>
      <c r="OXJ241" s="1"/>
      <c r="OXK241" s="1"/>
      <c r="OXL241" s="1"/>
      <c r="OXM241" s="1"/>
      <c r="OXN241" s="1"/>
      <c r="OXO241" s="1"/>
      <c r="OXP241" s="1"/>
      <c r="OXQ241" s="1"/>
      <c r="OXR241" s="1"/>
      <c r="OXS241" s="1"/>
      <c r="OXT241" s="1"/>
      <c r="OXU241" s="1"/>
      <c r="OXV241" s="1"/>
      <c r="OXW241" s="1"/>
      <c r="OXX241" s="1"/>
      <c r="OXY241" s="1"/>
      <c r="OXZ241" s="1"/>
      <c r="OYA241" s="1"/>
      <c r="OYB241" s="1"/>
      <c r="OYC241" s="1"/>
      <c r="OYD241" s="1"/>
      <c r="OYE241" s="1"/>
      <c r="OYF241" s="1"/>
      <c r="OYG241" s="1"/>
      <c r="OYH241" s="1"/>
      <c r="OYI241" s="1"/>
      <c r="OYJ241" s="1"/>
      <c r="OYK241" s="1"/>
      <c r="OYL241" s="1"/>
      <c r="OYM241" s="1"/>
      <c r="OYN241" s="1"/>
      <c r="OYO241" s="1"/>
      <c r="OYP241" s="1"/>
      <c r="OYQ241" s="1"/>
      <c r="OYR241" s="1"/>
      <c r="OYS241" s="1"/>
      <c r="OYT241" s="1"/>
      <c r="OYU241" s="1"/>
      <c r="OYV241" s="1"/>
      <c r="OYW241" s="1"/>
      <c r="OYX241" s="1"/>
      <c r="OYY241" s="1"/>
      <c r="OYZ241" s="1"/>
      <c r="OZA241" s="1"/>
      <c r="OZB241" s="1"/>
      <c r="OZC241" s="1"/>
      <c r="OZD241" s="1"/>
      <c r="OZE241" s="1"/>
      <c r="OZF241" s="1"/>
      <c r="OZG241" s="1"/>
      <c r="OZH241" s="1"/>
      <c r="OZI241" s="1"/>
      <c r="OZJ241" s="1"/>
      <c r="OZK241" s="1"/>
      <c r="OZL241" s="1"/>
      <c r="OZM241" s="1"/>
      <c r="OZN241" s="1"/>
      <c r="OZO241" s="1"/>
      <c r="OZP241" s="1"/>
      <c r="OZQ241" s="1"/>
      <c r="OZR241" s="1"/>
      <c r="OZS241" s="1"/>
      <c r="OZT241" s="1"/>
      <c r="OZU241" s="1"/>
      <c r="OZV241" s="1"/>
      <c r="OZW241" s="1"/>
      <c r="OZX241" s="1"/>
      <c r="OZY241" s="1"/>
      <c r="OZZ241" s="1"/>
      <c r="PAA241" s="1"/>
      <c r="PAB241" s="1"/>
      <c r="PAC241" s="1"/>
      <c r="PAD241" s="1"/>
      <c r="PAE241" s="1"/>
      <c r="PAF241" s="1"/>
      <c r="PAG241" s="1"/>
      <c r="PAH241" s="1"/>
      <c r="PAI241" s="1"/>
      <c r="PAJ241" s="1"/>
      <c r="PAK241" s="1"/>
      <c r="PAL241" s="1"/>
      <c r="PAM241" s="1"/>
      <c r="PAN241" s="1"/>
      <c r="PAO241" s="1"/>
      <c r="PAP241" s="1"/>
      <c r="PAQ241" s="1"/>
      <c r="PAR241" s="1"/>
      <c r="PAS241" s="1"/>
      <c r="PAT241" s="1"/>
      <c r="PAU241" s="1"/>
      <c r="PAV241" s="1"/>
      <c r="PAW241" s="1"/>
      <c r="PAX241" s="1"/>
      <c r="PAY241" s="1"/>
      <c r="PAZ241" s="1"/>
      <c r="PBA241" s="1"/>
      <c r="PBB241" s="1"/>
      <c r="PBC241" s="1"/>
      <c r="PBD241" s="1"/>
      <c r="PBE241" s="1"/>
      <c r="PBF241" s="1"/>
      <c r="PBG241" s="1"/>
      <c r="PBH241" s="1"/>
      <c r="PBI241" s="1"/>
      <c r="PBJ241" s="1"/>
      <c r="PBK241" s="1"/>
      <c r="PBL241" s="1"/>
      <c r="PBM241" s="1"/>
      <c r="PBN241" s="1"/>
      <c r="PBO241" s="1"/>
      <c r="PBP241" s="1"/>
      <c r="PBQ241" s="1"/>
      <c r="PBR241" s="1"/>
      <c r="PBS241" s="1"/>
      <c r="PBT241" s="1"/>
      <c r="PBU241" s="1"/>
      <c r="PBV241" s="1"/>
      <c r="PBW241" s="1"/>
      <c r="PBX241" s="1"/>
      <c r="PBY241" s="1"/>
      <c r="PBZ241" s="1"/>
      <c r="PCA241" s="1"/>
      <c r="PCB241" s="1"/>
      <c r="PCC241" s="1"/>
      <c r="PCD241" s="1"/>
      <c r="PCE241" s="1"/>
      <c r="PCF241" s="1"/>
      <c r="PCG241" s="1"/>
      <c r="PCH241" s="1"/>
      <c r="PCI241" s="1"/>
      <c r="PCJ241" s="1"/>
      <c r="PCK241" s="1"/>
      <c r="PCL241" s="1"/>
      <c r="PCM241" s="1"/>
      <c r="PCN241" s="1"/>
      <c r="PCO241" s="1"/>
      <c r="PCP241" s="1"/>
      <c r="PCQ241" s="1"/>
      <c r="PCR241" s="1"/>
      <c r="PCS241" s="1"/>
      <c r="PCT241" s="1"/>
      <c r="PCU241" s="1"/>
      <c r="PCV241" s="1"/>
      <c r="PCW241" s="1"/>
      <c r="PCX241" s="1"/>
      <c r="PCY241" s="1"/>
      <c r="PCZ241" s="1"/>
      <c r="PDA241" s="1"/>
      <c r="PDB241" s="1"/>
      <c r="PDC241" s="1"/>
      <c r="PDD241" s="1"/>
      <c r="PDE241" s="1"/>
      <c r="PDF241" s="1"/>
      <c r="PDG241" s="1"/>
      <c r="PDH241" s="1"/>
      <c r="PDI241" s="1"/>
      <c r="PDJ241" s="1"/>
      <c r="PDK241" s="1"/>
      <c r="PDL241" s="1"/>
      <c r="PDM241" s="1"/>
      <c r="PDN241" s="1"/>
      <c r="PDO241" s="1"/>
      <c r="PDP241" s="1"/>
      <c r="PDQ241" s="1"/>
      <c r="PDR241" s="1"/>
      <c r="PDS241" s="1"/>
      <c r="PDT241" s="1"/>
      <c r="PDU241" s="1"/>
      <c r="PDV241" s="1"/>
      <c r="PDW241" s="1"/>
      <c r="PDX241" s="1"/>
      <c r="PDY241" s="1"/>
      <c r="PDZ241" s="1"/>
      <c r="PEA241" s="1"/>
      <c r="PEB241" s="1"/>
      <c r="PEC241" s="1"/>
      <c r="PED241" s="1"/>
      <c r="PEE241" s="1"/>
      <c r="PEF241" s="1"/>
      <c r="PEG241" s="1"/>
      <c r="PEH241" s="1"/>
      <c r="PEI241" s="1"/>
      <c r="PEJ241" s="1"/>
      <c r="PEK241" s="1"/>
      <c r="PEL241" s="1"/>
      <c r="PEM241" s="1"/>
      <c r="PEN241" s="1"/>
      <c r="PEO241" s="1"/>
      <c r="PEP241" s="1"/>
      <c r="PEQ241" s="1"/>
      <c r="PER241" s="1"/>
      <c r="PES241" s="1"/>
      <c r="PET241" s="1"/>
      <c r="PEU241" s="1"/>
      <c r="PEV241" s="1"/>
      <c r="PEW241" s="1"/>
      <c r="PEX241" s="1"/>
      <c r="PEY241" s="1"/>
      <c r="PEZ241" s="1"/>
      <c r="PFA241" s="1"/>
      <c r="PFB241" s="1"/>
      <c r="PFC241" s="1"/>
      <c r="PFD241" s="1"/>
      <c r="PFE241" s="1"/>
      <c r="PFF241" s="1"/>
      <c r="PFG241" s="1"/>
      <c r="PFH241" s="1"/>
      <c r="PFI241" s="1"/>
      <c r="PFJ241" s="1"/>
      <c r="PFK241" s="1"/>
      <c r="PFL241" s="1"/>
      <c r="PFM241" s="1"/>
      <c r="PFN241" s="1"/>
      <c r="PFO241" s="1"/>
      <c r="PFP241" s="1"/>
      <c r="PFQ241" s="1"/>
      <c r="PFR241" s="1"/>
      <c r="PFS241" s="1"/>
      <c r="PFT241" s="1"/>
      <c r="PFU241" s="1"/>
      <c r="PFV241" s="1"/>
      <c r="PFW241" s="1"/>
      <c r="PFX241" s="1"/>
      <c r="PFY241" s="1"/>
      <c r="PFZ241" s="1"/>
      <c r="PGA241" s="1"/>
      <c r="PGB241" s="1"/>
      <c r="PGC241" s="1"/>
      <c r="PGD241" s="1"/>
      <c r="PGE241" s="1"/>
      <c r="PGF241" s="1"/>
      <c r="PGG241" s="1"/>
      <c r="PGH241" s="1"/>
      <c r="PGI241" s="1"/>
      <c r="PGJ241" s="1"/>
      <c r="PGK241" s="1"/>
      <c r="PGL241" s="1"/>
      <c r="PGM241" s="1"/>
      <c r="PGN241" s="1"/>
      <c r="PGO241" s="1"/>
      <c r="PGP241" s="1"/>
      <c r="PGQ241" s="1"/>
      <c r="PGR241" s="1"/>
      <c r="PGS241" s="1"/>
      <c r="PGT241" s="1"/>
      <c r="PGU241" s="1"/>
      <c r="PGV241" s="1"/>
      <c r="PGW241" s="1"/>
      <c r="PGX241" s="1"/>
      <c r="PGY241" s="1"/>
      <c r="PGZ241" s="1"/>
      <c r="PHA241" s="1"/>
      <c r="PHB241" s="1"/>
      <c r="PHC241" s="1"/>
      <c r="PHD241" s="1"/>
      <c r="PHE241" s="1"/>
      <c r="PHF241" s="1"/>
      <c r="PHG241" s="1"/>
      <c r="PHH241" s="1"/>
      <c r="PHI241" s="1"/>
      <c r="PHJ241" s="1"/>
      <c r="PHK241" s="1"/>
      <c r="PHL241" s="1"/>
      <c r="PHM241" s="1"/>
      <c r="PHN241" s="1"/>
      <c r="PHO241" s="1"/>
      <c r="PHP241" s="1"/>
      <c r="PHQ241" s="1"/>
      <c r="PHR241" s="1"/>
      <c r="PHS241" s="1"/>
      <c r="PHT241" s="1"/>
      <c r="PHU241" s="1"/>
      <c r="PHV241" s="1"/>
      <c r="PHW241" s="1"/>
      <c r="PHX241" s="1"/>
      <c r="PHY241" s="1"/>
      <c r="PHZ241" s="1"/>
      <c r="PIA241" s="1"/>
      <c r="PIB241" s="1"/>
      <c r="PIC241" s="1"/>
      <c r="PID241" s="1"/>
      <c r="PIE241" s="1"/>
      <c r="PIF241" s="1"/>
      <c r="PIG241" s="1"/>
      <c r="PIH241" s="1"/>
      <c r="PII241" s="1"/>
      <c r="PIJ241" s="1"/>
      <c r="PIK241" s="1"/>
      <c r="PIL241" s="1"/>
      <c r="PIM241" s="1"/>
      <c r="PIN241" s="1"/>
      <c r="PIO241" s="1"/>
      <c r="PIP241" s="1"/>
      <c r="PIQ241" s="1"/>
      <c r="PIR241" s="1"/>
      <c r="PIS241" s="1"/>
      <c r="PIT241" s="1"/>
      <c r="PIU241" s="1"/>
      <c r="PIV241" s="1"/>
      <c r="PIW241" s="1"/>
      <c r="PIX241" s="1"/>
      <c r="PIY241" s="1"/>
      <c r="PIZ241" s="1"/>
      <c r="PJA241" s="1"/>
      <c r="PJB241" s="1"/>
      <c r="PJC241" s="1"/>
      <c r="PJD241" s="1"/>
      <c r="PJE241" s="1"/>
      <c r="PJF241" s="1"/>
      <c r="PJG241" s="1"/>
      <c r="PJH241" s="1"/>
      <c r="PJI241" s="1"/>
      <c r="PJJ241" s="1"/>
      <c r="PJK241" s="1"/>
      <c r="PJL241" s="1"/>
      <c r="PJM241" s="1"/>
      <c r="PJN241" s="1"/>
      <c r="PJO241" s="1"/>
      <c r="PJP241" s="1"/>
      <c r="PJQ241" s="1"/>
      <c r="PJR241" s="1"/>
      <c r="PJS241" s="1"/>
      <c r="PJT241" s="1"/>
      <c r="PJU241" s="1"/>
      <c r="PJV241" s="1"/>
      <c r="PJW241" s="1"/>
      <c r="PJX241" s="1"/>
      <c r="PJY241" s="1"/>
      <c r="PJZ241" s="1"/>
      <c r="PKA241" s="1"/>
      <c r="PKB241" s="1"/>
      <c r="PKC241" s="1"/>
      <c r="PKD241" s="1"/>
      <c r="PKE241" s="1"/>
      <c r="PKF241" s="1"/>
      <c r="PKG241" s="1"/>
      <c r="PKH241" s="1"/>
      <c r="PKI241" s="1"/>
      <c r="PKJ241" s="1"/>
      <c r="PKK241" s="1"/>
      <c r="PKL241" s="1"/>
      <c r="PKM241" s="1"/>
      <c r="PKN241" s="1"/>
      <c r="PKO241" s="1"/>
      <c r="PKP241" s="1"/>
      <c r="PKQ241" s="1"/>
      <c r="PKR241" s="1"/>
      <c r="PKS241" s="1"/>
      <c r="PKT241" s="1"/>
      <c r="PKU241" s="1"/>
      <c r="PKV241" s="1"/>
      <c r="PKW241" s="1"/>
      <c r="PKX241" s="1"/>
      <c r="PKY241" s="1"/>
      <c r="PKZ241" s="1"/>
      <c r="PLA241" s="1"/>
      <c r="PLB241" s="1"/>
      <c r="PLC241" s="1"/>
      <c r="PLD241" s="1"/>
      <c r="PLE241" s="1"/>
      <c r="PLF241" s="1"/>
      <c r="PLG241" s="1"/>
      <c r="PLH241" s="1"/>
      <c r="PLI241" s="1"/>
      <c r="PLJ241" s="1"/>
      <c r="PLK241" s="1"/>
      <c r="PLL241" s="1"/>
      <c r="PLM241" s="1"/>
      <c r="PLN241" s="1"/>
      <c r="PLO241" s="1"/>
      <c r="PLP241" s="1"/>
      <c r="PLQ241" s="1"/>
      <c r="PLR241" s="1"/>
      <c r="PLS241" s="1"/>
      <c r="PLT241" s="1"/>
      <c r="PLU241" s="1"/>
      <c r="PLV241" s="1"/>
      <c r="PLW241" s="1"/>
      <c r="PLX241" s="1"/>
      <c r="PLY241" s="1"/>
      <c r="PLZ241" s="1"/>
      <c r="PMA241" s="1"/>
      <c r="PMB241" s="1"/>
      <c r="PMC241" s="1"/>
      <c r="PMD241" s="1"/>
      <c r="PME241" s="1"/>
      <c r="PMF241" s="1"/>
      <c r="PMG241" s="1"/>
      <c r="PMH241" s="1"/>
      <c r="PMI241" s="1"/>
      <c r="PMJ241" s="1"/>
      <c r="PMK241" s="1"/>
      <c r="PML241" s="1"/>
      <c r="PMM241" s="1"/>
      <c r="PMN241" s="1"/>
      <c r="PMO241" s="1"/>
      <c r="PMP241" s="1"/>
      <c r="PMQ241" s="1"/>
      <c r="PMR241" s="1"/>
      <c r="PMS241" s="1"/>
      <c r="PMT241" s="1"/>
      <c r="PMU241" s="1"/>
      <c r="PMV241" s="1"/>
      <c r="PMW241" s="1"/>
      <c r="PMX241" s="1"/>
      <c r="PMY241" s="1"/>
      <c r="PMZ241" s="1"/>
      <c r="PNA241" s="1"/>
      <c r="PNB241" s="1"/>
      <c r="PNC241" s="1"/>
      <c r="PND241" s="1"/>
      <c r="PNE241" s="1"/>
      <c r="PNF241" s="1"/>
      <c r="PNG241" s="1"/>
      <c r="PNH241" s="1"/>
      <c r="PNI241" s="1"/>
      <c r="PNJ241" s="1"/>
      <c r="PNK241" s="1"/>
      <c r="PNL241" s="1"/>
      <c r="PNM241" s="1"/>
      <c r="PNN241" s="1"/>
      <c r="PNO241" s="1"/>
      <c r="PNP241" s="1"/>
      <c r="PNQ241" s="1"/>
      <c r="PNR241" s="1"/>
      <c r="PNS241" s="1"/>
      <c r="PNT241" s="1"/>
      <c r="PNU241" s="1"/>
      <c r="PNV241" s="1"/>
      <c r="PNW241" s="1"/>
      <c r="PNX241" s="1"/>
      <c r="PNY241" s="1"/>
      <c r="PNZ241" s="1"/>
      <c r="POA241" s="1"/>
      <c r="POB241" s="1"/>
      <c r="POC241" s="1"/>
      <c r="POD241" s="1"/>
      <c r="POE241" s="1"/>
      <c r="POF241" s="1"/>
      <c r="POG241" s="1"/>
      <c r="POH241" s="1"/>
      <c r="POI241" s="1"/>
      <c r="POJ241" s="1"/>
      <c r="POK241" s="1"/>
      <c r="POL241" s="1"/>
      <c r="POM241" s="1"/>
      <c r="PON241" s="1"/>
      <c r="POO241" s="1"/>
      <c r="POP241" s="1"/>
      <c r="POQ241" s="1"/>
      <c r="POR241" s="1"/>
      <c r="POS241" s="1"/>
      <c r="POT241" s="1"/>
      <c r="POU241" s="1"/>
      <c r="POV241" s="1"/>
      <c r="POW241" s="1"/>
      <c r="POX241" s="1"/>
      <c r="POY241" s="1"/>
      <c r="POZ241" s="1"/>
      <c r="PPA241" s="1"/>
      <c r="PPB241" s="1"/>
      <c r="PPC241" s="1"/>
      <c r="PPD241" s="1"/>
      <c r="PPE241" s="1"/>
      <c r="PPF241" s="1"/>
      <c r="PPG241" s="1"/>
      <c r="PPH241" s="1"/>
      <c r="PPI241" s="1"/>
      <c r="PPJ241" s="1"/>
      <c r="PPK241" s="1"/>
      <c r="PPL241" s="1"/>
      <c r="PPM241" s="1"/>
      <c r="PPN241" s="1"/>
      <c r="PPO241" s="1"/>
      <c r="PPP241" s="1"/>
      <c r="PPQ241" s="1"/>
      <c r="PPR241" s="1"/>
      <c r="PPS241" s="1"/>
      <c r="PPT241" s="1"/>
      <c r="PPU241" s="1"/>
      <c r="PPV241" s="1"/>
      <c r="PPW241" s="1"/>
      <c r="PPX241" s="1"/>
      <c r="PPY241" s="1"/>
      <c r="PPZ241" s="1"/>
      <c r="PQA241" s="1"/>
      <c r="PQB241" s="1"/>
      <c r="PQC241" s="1"/>
      <c r="PQD241" s="1"/>
      <c r="PQE241" s="1"/>
      <c r="PQF241" s="1"/>
      <c r="PQG241" s="1"/>
      <c r="PQH241" s="1"/>
      <c r="PQI241" s="1"/>
      <c r="PQJ241" s="1"/>
      <c r="PQK241" s="1"/>
      <c r="PQL241" s="1"/>
      <c r="PQM241" s="1"/>
      <c r="PQN241" s="1"/>
      <c r="PQO241" s="1"/>
      <c r="PQP241" s="1"/>
      <c r="PQQ241" s="1"/>
      <c r="PQR241" s="1"/>
      <c r="PQS241" s="1"/>
      <c r="PQT241" s="1"/>
      <c r="PQU241" s="1"/>
      <c r="PQV241" s="1"/>
      <c r="PQW241" s="1"/>
      <c r="PQX241" s="1"/>
      <c r="PQY241" s="1"/>
      <c r="PQZ241" s="1"/>
      <c r="PRA241" s="1"/>
      <c r="PRB241" s="1"/>
      <c r="PRC241" s="1"/>
      <c r="PRD241" s="1"/>
      <c r="PRE241" s="1"/>
      <c r="PRF241" s="1"/>
      <c r="PRG241" s="1"/>
      <c r="PRH241" s="1"/>
      <c r="PRI241" s="1"/>
      <c r="PRJ241" s="1"/>
      <c r="PRK241" s="1"/>
      <c r="PRL241" s="1"/>
      <c r="PRM241" s="1"/>
      <c r="PRN241" s="1"/>
      <c r="PRO241" s="1"/>
      <c r="PRP241" s="1"/>
      <c r="PRQ241" s="1"/>
      <c r="PRR241" s="1"/>
      <c r="PRS241" s="1"/>
      <c r="PRT241" s="1"/>
      <c r="PRU241" s="1"/>
      <c r="PRV241" s="1"/>
      <c r="PRW241" s="1"/>
      <c r="PRX241" s="1"/>
      <c r="PRY241" s="1"/>
      <c r="PRZ241" s="1"/>
      <c r="PSA241" s="1"/>
      <c r="PSB241" s="1"/>
      <c r="PSC241" s="1"/>
      <c r="PSD241" s="1"/>
      <c r="PSE241" s="1"/>
      <c r="PSF241" s="1"/>
      <c r="PSG241" s="1"/>
      <c r="PSH241" s="1"/>
      <c r="PSI241" s="1"/>
      <c r="PSJ241" s="1"/>
      <c r="PSK241" s="1"/>
      <c r="PSL241" s="1"/>
      <c r="PSM241" s="1"/>
      <c r="PSN241" s="1"/>
      <c r="PSO241" s="1"/>
      <c r="PSP241" s="1"/>
      <c r="PSQ241" s="1"/>
      <c r="PSR241" s="1"/>
      <c r="PSS241" s="1"/>
      <c r="PST241" s="1"/>
      <c r="PSU241" s="1"/>
      <c r="PSV241" s="1"/>
      <c r="PSW241" s="1"/>
      <c r="PSX241" s="1"/>
      <c r="PSY241" s="1"/>
      <c r="PSZ241" s="1"/>
      <c r="PTA241" s="1"/>
      <c r="PTB241" s="1"/>
      <c r="PTC241" s="1"/>
      <c r="PTD241" s="1"/>
      <c r="PTE241" s="1"/>
      <c r="PTF241" s="1"/>
      <c r="PTG241" s="1"/>
      <c r="PTH241" s="1"/>
      <c r="PTI241" s="1"/>
      <c r="PTJ241" s="1"/>
      <c r="PTK241" s="1"/>
      <c r="PTL241" s="1"/>
      <c r="PTM241" s="1"/>
      <c r="PTN241" s="1"/>
      <c r="PTO241" s="1"/>
      <c r="PTP241" s="1"/>
      <c r="PTQ241" s="1"/>
      <c r="PTR241" s="1"/>
      <c r="PTS241" s="1"/>
      <c r="PTT241" s="1"/>
      <c r="PTU241" s="1"/>
      <c r="PTV241" s="1"/>
      <c r="PTW241" s="1"/>
      <c r="PTX241" s="1"/>
      <c r="PTY241" s="1"/>
      <c r="PTZ241" s="1"/>
      <c r="PUA241" s="1"/>
      <c r="PUB241" s="1"/>
      <c r="PUC241" s="1"/>
      <c r="PUD241" s="1"/>
      <c r="PUE241" s="1"/>
      <c r="PUF241" s="1"/>
      <c r="PUG241" s="1"/>
      <c r="PUH241" s="1"/>
      <c r="PUI241" s="1"/>
      <c r="PUJ241" s="1"/>
      <c r="PUK241" s="1"/>
      <c r="PUL241" s="1"/>
      <c r="PUM241" s="1"/>
      <c r="PUN241" s="1"/>
      <c r="PUO241" s="1"/>
      <c r="PUP241" s="1"/>
      <c r="PUQ241" s="1"/>
      <c r="PUR241" s="1"/>
      <c r="PUS241" s="1"/>
      <c r="PUT241" s="1"/>
      <c r="PUU241" s="1"/>
      <c r="PUV241" s="1"/>
      <c r="PUW241" s="1"/>
      <c r="PUX241" s="1"/>
      <c r="PUY241" s="1"/>
      <c r="PUZ241" s="1"/>
      <c r="PVA241" s="1"/>
      <c r="PVB241" s="1"/>
      <c r="PVC241" s="1"/>
      <c r="PVD241" s="1"/>
      <c r="PVE241" s="1"/>
      <c r="PVF241" s="1"/>
      <c r="PVG241" s="1"/>
      <c r="PVH241" s="1"/>
      <c r="PVI241" s="1"/>
      <c r="PVJ241" s="1"/>
      <c r="PVK241" s="1"/>
      <c r="PVL241" s="1"/>
      <c r="PVM241" s="1"/>
      <c r="PVN241" s="1"/>
      <c r="PVO241" s="1"/>
      <c r="PVP241" s="1"/>
      <c r="PVQ241" s="1"/>
      <c r="PVR241" s="1"/>
      <c r="PVS241" s="1"/>
      <c r="PVT241" s="1"/>
      <c r="PVU241" s="1"/>
      <c r="PVV241" s="1"/>
      <c r="PVW241" s="1"/>
      <c r="PVX241" s="1"/>
      <c r="PVY241" s="1"/>
      <c r="PVZ241" s="1"/>
      <c r="PWA241" s="1"/>
      <c r="PWB241" s="1"/>
      <c r="PWC241" s="1"/>
      <c r="PWD241" s="1"/>
      <c r="PWE241" s="1"/>
      <c r="PWF241" s="1"/>
      <c r="PWG241" s="1"/>
      <c r="PWH241" s="1"/>
      <c r="PWI241" s="1"/>
      <c r="PWJ241" s="1"/>
      <c r="PWK241" s="1"/>
      <c r="PWL241" s="1"/>
      <c r="PWM241" s="1"/>
      <c r="PWN241" s="1"/>
      <c r="PWO241" s="1"/>
      <c r="PWP241" s="1"/>
      <c r="PWQ241" s="1"/>
      <c r="PWR241" s="1"/>
      <c r="PWS241" s="1"/>
      <c r="PWT241" s="1"/>
      <c r="PWU241" s="1"/>
      <c r="PWV241" s="1"/>
      <c r="PWW241" s="1"/>
      <c r="PWX241" s="1"/>
      <c r="PWY241" s="1"/>
      <c r="PWZ241" s="1"/>
      <c r="PXA241" s="1"/>
      <c r="PXB241" s="1"/>
      <c r="PXC241" s="1"/>
      <c r="PXD241" s="1"/>
      <c r="PXE241" s="1"/>
      <c r="PXF241" s="1"/>
      <c r="PXG241" s="1"/>
      <c r="PXH241" s="1"/>
      <c r="PXI241" s="1"/>
      <c r="PXJ241" s="1"/>
      <c r="PXK241" s="1"/>
      <c r="PXL241" s="1"/>
      <c r="PXM241" s="1"/>
      <c r="PXN241" s="1"/>
      <c r="PXO241" s="1"/>
      <c r="PXP241" s="1"/>
      <c r="PXQ241" s="1"/>
      <c r="PXR241" s="1"/>
      <c r="PXS241" s="1"/>
      <c r="PXT241" s="1"/>
      <c r="PXU241" s="1"/>
      <c r="PXV241" s="1"/>
      <c r="PXW241" s="1"/>
      <c r="PXX241" s="1"/>
      <c r="PXY241" s="1"/>
      <c r="PXZ241" s="1"/>
      <c r="PYA241" s="1"/>
      <c r="PYB241" s="1"/>
      <c r="PYC241" s="1"/>
      <c r="PYD241" s="1"/>
      <c r="PYE241" s="1"/>
      <c r="PYF241" s="1"/>
      <c r="PYG241" s="1"/>
      <c r="PYH241" s="1"/>
      <c r="PYI241" s="1"/>
      <c r="PYJ241" s="1"/>
      <c r="PYK241" s="1"/>
      <c r="PYL241" s="1"/>
      <c r="PYM241" s="1"/>
      <c r="PYN241" s="1"/>
      <c r="PYO241" s="1"/>
      <c r="PYP241" s="1"/>
      <c r="PYQ241" s="1"/>
      <c r="PYR241" s="1"/>
      <c r="PYS241" s="1"/>
      <c r="PYT241" s="1"/>
      <c r="PYU241" s="1"/>
      <c r="PYV241" s="1"/>
      <c r="PYW241" s="1"/>
      <c r="PYX241" s="1"/>
      <c r="PYY241" s="1"/>
      <c r="PYZ241" s="1"/>
      <c r="PZA241" s="1"/>
      <c r="PZB241" s="1"/>
      <c r="PZC241" s="1"/>
      <c r="PZD241" s="1"/>
      <c r="PZE241" s="1"/>
      <c r="PZF241" s="1"/>
      <c r="PZG241" s="1"/>
      <c r="PZH241" s="1"/>
      <c r="PZI241" s="1"/>
      <c r="PZJ241" s="1"/>
      <c r="PZK241" s="1"/>
      <c r="PZL241" s="1"/>
      <c r="PZM241" s="1"/>
      <c r="PZN241" s="1"/>
      <c r="PZO241" s="1"/>
      <c r="PZP241" s="1"/>
      <c r="PZQ241" s="1"/>
      <c r="PZR241" s="1"/>
      <c r="PZS241" s="1"/>
      <c r="PZT241" s="1"/>
      <c r="PZU241" s="1"/>
      <c r="PZV241" s="1"/>
      <c r="PZW241" s="1"/>
      <c r="PZX241" s="1"/>
      <c r="PZY241" s="1"/>
      <c r="PZZ241" s="1"/>
      <c r="QAA241" s="1"/>
      <c r="QAB241" s="1"/>
      <c r="QAC241" s="1"/>
      <c r="QAD241" s="1"/>
      <c r="QAE241" s="1"/>
      <c r="QAF241" s="1"/>
      <c r="QAG241" s="1"/>
      <c r="QAH241" s="1"/>
      <c r="QAI241" s="1"/>
      <c r="QAJ241" s="1"/>
      <c r="QAK241" s="1"/>
      <c r="QAL241" s="1"/>
      <c r="QAM241" s="1"/>
      <c r="QAN241" s="1"/>
      <c r="QAO241" s="1"/>
      <c r="QAP241" s="1"/>
      <c r="QAQ241" s="1"/>
      <c r="QAR241" s="1"/>
      <c r="QAS241" s="1"/>
      <c r="QAT241" s="1"/>
      <c r="QAU241" s="1"/>
      <c r="QAV241" s="1"/>
      <c r="QAW241" s="1"/>
      <c r="QAX241" s="1"/>
      <c r="QAY241" s="1"/>
      <c r="QAZ241" s="1"/>
      <c r="QBA241" s="1"/>
      <c r="QBB241" s="1"/>
      <c r="QBC241" s="1"/>
      <c r="QBD241" s="1"/>
      <c r="QBE241" s="1"/>
      <c r="QBF241" s="1"/>
      <c r="QBG241" s="1"/>
      <c r="QBH241" s="1"/>
      <c r="QBI241" s="1"/>
      <c r="QBJ241" s="1"/>
      <c r="QBK241" s="1"/>
      <c r="QBL241" s="1"/>
      <c r="QBM241" s="1"/>
      <c r="QBN241" s="1"/>
      <c r="QBO241" s="1"/>
      <c r="QBP241" s="1"/>
      <c r="QBQ241" s="1"/>
      <c r="QBR241" s="1"/>
      <c r="QBS241" s="1"/>
      <c r="QBT241" s="1"/>
      <c r="QBU241" s="1"/>
      <c r="QBV241" s="1"/>
      <c r="QBW241" s="1"/>
      <c r="QBX241" s="1"/>
      <c r="QBY241" s="1"/>
      <c r="QBZ241" s="1"/>
      <c r="QCA241" s="1"/>
      <c r="QCB241" s="1"/>
      <c r="QCC241" s="1"/>
      <c r="QCD241" s="1"/>
      <c r="QCE241" s="1"/>
      <c r="QCF241" s="1"/>
      <c r="QCG241" s="1"/>
      <c r="QCH241" s="1"/>
      <c r="QCI241" s="1"/>
      <c r="QCJ241" s="1"/>
      <c r="QCK241" s="1"/>
      <c r="QCL241" s="1"/>
      <c r="QCM241" s="1"/>
      <c r="QCN241" s="1"/>
      <c r="QCO241" s="1"/>
      <c r="QCP241" s="1"/>
      <c r="QCQ241" s="1"/>
      <c r="QCR241" s="1"/>
      <c r="QCS241" s="1"/>
      <c r="QCT241" s="1"/>
      <c r="QCU241" s="1"/>
      <c r="QCV241" s="1"/>
      <c r="QCW241" s="1"/>
      <c r="QCX241" s="1"/>
      <c r="QCY241" s="1"/>
      <c r="QCZ241" s="1"/>
      <c r="QDA241" s="1"/>
      <c r="QDB241" s="1"/>
      <c r="QDC241" s="1"/>
      <c r="QDD241" s="1"/>
      <c r="QDE241" s="1"/>
      <c r="QDF241" s="1"/>
      <c r="QDG241" s="1"/>
      <c r="QDH241" s="1"/>
      <c r="QDI241" s="1"/>
      <c r="QDJ241" s="1"/>
      <c r="QDK241" s="1"/>
      <c r="QDL241" s="1"/>
      <c r="QDM241" s="1"/>
      <c r="QDN241" s="1"/>
      <c r="QDO241" s="1"/>
      <c r="QDP241" s="1"/>
      <c r="QDQ241" s="1"/>
      <c r="QDR241" s="1"/>
      <c r="QDS241" s="1"/>
      <c r="QDT241" s="1"/>
      <c r="QDU241" s="1"/>
      <c r="QDV241" s="1"/>
      <c r="QDW241" s="1"/>
      <c r="QDX241" s="1"/>
      <c r="QDY241" s="1"/>
      <c r="QDZ241" s="1"/>
      <c r="QEA241" s="1"/>
      <c r="QEB241" s="1"/>
      <c r="QEC241" s="1"/>
      <c r="QED241" s="1"/>
      <c r="QEE241" s="1"/>
      <c r="QEF241" s="1"/>
      <c r="QEG241" s="1"/>
      <c r="QEH241" s="1"/>
      <c r="QEI241" s="1"/>
      <c r="QEJ241" s="1"/>
      <c r="QEK241" s="1"/>
      <c r="QEL241" s="1"/>
      <c r="QEM241" s="1"/>
      <c r="QEN241" s="1"/>
      <c r="QEO241" s="1"/>
      <c r="QEP241" s="1"/>
      <c r="QEQ241" s="1"/>
      <c r="QER241" s="1"/>
      <c r="QES241" s="1"/>
      <c r="QET241" s="1"/>
      <c r="QEU241" s="1"/>
      <c r="QEV241" s="1"/>
      <c r="QEW241" s="1"/>
      <c r="QEX241" s="1"/>
      <c r="QEY241" s="1"/>
      <c r="QEZ241" s="1"/>
      <c r="QFA241" s="1"/>
      <c r="QFB241" s="1"/>
      <c r="QFC241" s="1"/>
      <c r="QFD241" s="1"/>
      <c r="QFE241" s="1"/>
      <c r="QFF241" s="1"/>
      <c r="QFG241" s="1"/>
      <c r="QFH241" s="1"/>
      <c r="QFI241" s="1"/>
      <c r="QFJ241" s="1"/>
      <c r="QFK241" s="1"/>
      <c r="QFL241" s="1"/>
      <c r="QFM241" s="1"/>
      <c r="QFN241" s="1"/>
      <c r="QFO241" s="1"/>
      <c r="QFP241" s="1"/>
      <c r="QFQ241" s="1"/>
      <c r="QFR241" s="1"/>
      <c r="QFS241" s="1"/>
      <c r="QFT241" s="1"/>
      <c r="QFU241" s="1"/>
      <c r="QFV241" s="1"/>
      <c r="QFW241" s="1"/>
      <c r="QFX241" s="1"/>
      <c r="QFY241" s="1"/>
      <c r="QFZ241" s="1"/>
      <c r="QGA241" s="1"/>
      <c r="QGB241" s="1"/>
      <c r="QGC241" s="1"/>
      <c r="QGD241" s="1"/>
      <c r="QGE241" s="1"/>
      <c r="QGF241" s="1"/>
      <c r="QGG241" s="1"/>
      <c r="QGH241" s="1"/>
      <c r="QGI241" s="1"/>
      <c r="QGJ241" s="1"/>
      <c r="QGK241" s="1"/>
      <c r="QGL241" s="1"/>
      <c r="QGM241" s="1"/>
      <c r="QGN241" s="1"/>
      <c r="QGO241" s="1"/>
      <c r="QGP241" s="1"/>
      <c r="QGQ241" s="1"/>
      <c r="QGR241" s="1"/>
      <c r="QGS241" s="1"/>
      <c r="QGT241" s="1"/>
      <c r="QGU241" s="1"/>
      <c r="QGV241" s="1"/>
      <c r="QGW241" s="1"/>
      <c r="QGX241" s="1"/>
      <c r="QGY241" s="1"/>
      <c r="QGZ241" s="1"/>
      <c r="QHA241" s="1"/>
      <c r="QHB241" s="1"/>
      <c r="QHC241" s="1"/>
      <c r="QHD241" s="1"/>
      <c r="QHE241" s="1"/>
      <c r="QHF241" s="1"/>
      <c r="QHG241" s="1"/>
      <c r="QHH241" s="1"/>
      <c r="QHI241" s="1"/>
      <c r="QHJ241" s="1"/>
      <c r="QHK241" s="1"/>
      <c r="QHL241" s="1"/>
      <c r="QHM241" s="1"/>
      <c r="QHN241" s="1"/>
      <c r="QHO241" s="1"/>
      <c r="QHP241" s="1"/>
      <c r="QHQ241" s="1"/>
      <c r="QHR241" s="1"/>
      <c r="QHS241" s="1"/>
      <c r="QHT241" s="1"/>
      <c r="QHU241" s="1"/>
      <c r="QHV241" s="1"/>
      <c r="QHW241" s="1"/>
      <c r="QHX241" s="1"/>
      <c r="QHY241" s="1"/>
      <c r="QHZ241" s="1"/>
      <c r="QIA241" s="1"/>
      <c r="QIB241" s="1"/>
      <c r="QIC241" s="1"/>
      <c r="QID241" s="1"/>
      <c r="QIE241" s="1"/>
      <c r="QIF241" s="1"/>
      <c r="QIG241" s="1"/>
      <c r="QIH241" s="1"/>
      <c r="QII241" s="1"/>
      <c r="QIJ241" s="1"/>
      <c r="QIK241" s="1"/>
      <c r="QIL241" s="1"/>
      <c r="QIM241" s="1"/>
      <c r="QIN241" s="1"/>
      <c r="QIO241" s="1"/>
      <c r="QIP241" s="1"/>
      <c r="QIQ241" s="1"/>
      <c r="QIR241" s="1"/>
      <c r="QIS241" s="1"/>
      <c r="QIT241" s="1"/>
      <c r="QIU241" s="1"/>
      <c r="QIV241" s="1"/>
      <c r="QIW241" s="1"/>
      <c r="QIX241" s="1"/>
      <c r="QIY241" s="1"/>
      <c r="QIZ241" s="1"/>
      <c r="QJA241" s="1"/>
      <c r="QJB241" s="1"/>
      <c r="QJC241" s="1"/>
      <c r="QJD241" s="1"/>
      <c r="QJE241" s="1"/>
      <c r="QJF241" s="1"/>
      <c r="QJG241" s="1"/>
      <c r="QJH241" s="1"/>
      <c r="QJI241" s="1"/>
      <c r="QJJ241" s="1"/>
      <c r="QJK241" s="1"/>
      <c r="QJL241" s="1"/>
      <c r="QJM241" s="1"/>
      <c r="QJN241" s="1"/>
      <c r="QJO241" s="1"/>
      <c r="QJP241" s="1"/>
      <c r="QJQ241" s="1"/>
      <c r="QJR241" s="1"/>
      <c r="QJS241" s="1"/>
      <c r="QJT241" s="1"/>
      <c r="QJU241" s="1"/>
      <c r="QJV241" s="1"/>
      <c r="QJW241" s="1"/>
      <c r="QJX241" s="1"/>
      <c r="QJY241" s="1"/>
      <c r="QJZ241" s="1"/>
      <c r="QKA241" s="1"/>
      <c r="QKB241" s="1"/>
      <c r="QKC241" s="1"/>
      <c r="QKD241" s="1"/>
      <c r="QKE241" s="1"/>
      <c r="QKF241" s="1"/>
      <c r="QKG241" s="1"/>
      <c r="QKH241" s="1"/>
      <c r="QKI241" s="1"/>
      <c r="QKJ241" s="1"/>
      <c r="QKK241" s="1"/>
      <c r="QKL241" s="1"/>
      <c r="QKM241" s="1"/>
      <c r="QKN241" s="1"/>
      <c r="QKO241" s="1"/>
      <c r="QKP241" s="1"/>
      <c r="QKQ241" s="1"/>
      <c r="QKR241" s="1"/>
      <c r="QKS241" s="1"/>
      <c r="QKT241" s="1"/>
      <c r="QKU241" s="1"/>
      <c r="QKV241" s="1"/>
      <c r="QKW241" s="1"/>
      <c r="QKX241" s="1"/>
      <c r="QKY241" s="1"/>
      <c r="QKZ241" s="1"/>
      <c r="QLA241" s="1"/>
      <c r="QLB241" s="1"/>
      <c r="QLC241" s="1"/>
      <c r="QLD241" s="1"/>
      <c r="QLE241" s="1"/>
      <c r="QLF241" s="1"/>
      <c r="QLG241" s="1"/>
      <c r="QLH241" s="1"/>
      <c r="QLI241" s="1"/>
      <c r="QLJ241" s="1"/>
      <c r="QLK241" s="1"/>
      <c r="QLL241" s="1"/>
      <c r="QLM241" s="1"/>
      <c r="QLN241" s="1"/>
      <c r="QLO241" s="1"/>
      <c r="QLP241" s="1"/>
      <c r="QLQ241" s="1"/>
      <c r="QLR241" s="1"/>
      <c r="QLS241" s="1"/>
      <c r="QLT241" s="1"/>
      <c r="QLU241" s="1"/>
      <c r="QLV241" s="1"/>
      <c r="QLW241" s="1"/>
      <c r="QLX241" s="1"/>
      <c r="QLY241" s="1"/>
      <c r="QLZ241" s="1"/>
      <c r="QMA241" s="1"/>
      <c r="QMB241" s="1"/>
      <c r="QMC241" s="1"/>
      <c r="QMD241" s="1"/>
      <c r="QME241" s="1"/>
      <c r="QMF241" s="1"/>
      <c r="QMG241" s="1"/>
      <c r="QMH241" s="1"/>
      <c r="QMI241" s="1"/>
      <c r="QMJ241" s="1"/>
      <c r="QMK241" s="1"/>
      <c r="QML241" s="1"/>
      <c r="QMM241" s="1"/>
      <c r="QMN241" s="1"/>
      <c r="QMO241" s="1"/>
      <c r="QMP241" s="1"/>
      <c r="QMQ241" s="1"/>
      <c r="QMR241" s="1"/>
      <c r="QMS241" s="1"/>
      <c r="QMT241" s="1"/>
      <c r="QMU241" s="1"/>
      <c r="QMV241" s="1"/>
      <c r="QMW241" s="1"/>
      <c r="QMX241" s="1"/>
      <c r="QMY241" s="1"/>
      <c r="QMZ241" s="1"/>
      <c r="QNA241" s="1"/>
      <c r="QNB241" s="1"/>
      <c r="QNC241" s="1"/>
      <c r="QND241" s="1"/>
      <c r="QNE241" s="1"/>
      <c r="QNF241" s="1"/>
      <c r="QNG241" s="1"/>
      <c r="QNH241" s="1"/>
      <c r="QNI241" s="1"/>
      <c r="QNJ241" s="1"/>
      <c r="QNK241" s="1"/>
      <c r="QNL241" s="1"/>
      <c r="QNM241" s="1"/>
      <c r="QNN241" s="1"/>
      <c r="QNO241" s="1"/>
      <c r="QNP241" s="1"/>
      <c r="QNQ241" s="1"/>
      <c r="QNR241" s="1"/>
      <c r="QNS241" s="1"/>
      <c r="QNT241" s="1"/>
      <c r="QNU241" s="1"/>
      <c r="QNV241" s="1"/>
      <c r="QNW241" s="1"/>
      <c r="QNX241" s="1"/>
      <c r="QNY241" s="1"/>
      <c r="QNZ241" s="1"/>
      <c r="QOA241" s="1"/>
      <c r="QOB241" s="1"/>
      <c r="QOC241" s="1"/>
      <c r="QOD241" s="1"/>
      <c r="QOE241" s="1"/>
      <c r="QOF241" s="1"/>
      <c r="QOG241" s="1"/>
      <c r="QOH241" s="1"/>
      <c r="QOI241" s="1"/>
      <c r="QOJ241" s="1"/>
      <c r="QOK241" s="1"/>
      <c r="QOL241" s="1"/>
      <c r="QOM241" s="1"/>
      <c r="QON241" s="1"/>
      <c r="QOO241" s="1"/>
      <c r="QOP241" s="1"/>
      <c r="QOQ241" s="1"/>
      <c r="QOR241" s="1"/>
      <c r="QOS241" s="1"/>
      <c r="QOT241" s="1"/>
      <c r="QOU241" s="1"/>
      <c r="QOV241" s="1"/>
      <c r="QOW241" s="1"/>
      <c r="QOX241" s="1"/>
      <c r="QOY241" s="1"/>
      <c r="QOZ241" s="1"/>
      <c r="QPA241" s="1"/>
      <c r="QPB241" s="1"/>
      <c r="QPC241" s="1"/>
      <c r="QPD241" s="1"/>
      <c r="QPE241" s="1"/>
      <c r="QPF241" s="1"/>
      <c r="QPG241" s="1"/>
      <c r="QPH241" s="1"/>
      <c r="QPI241" s="1"/>
      <c r="QPJ241" s="1"/>
      <c r="QPK241" s="1"/>
      <c r="QPL241" s="1"/>
      <c r="QPM241" s="1"/>
      <c r="QPN241" s="1"/>
      <c r="QPO241" s="1"/>
      <c r="QPP241" s="1"/>
      <c r="QPQ241" s="1"/>
      <c r="QPR241" s="1"/>
      <c r="QPS241" s="1"/>
      <c r="QPT241" s="1"/>
      <c r="QPU241" s="1"/>
      <c r="QPV241" s="1"/>
      <c r="QPW241" s="1"/>
      <c r="QPX241" s="1"/>
      <c r="QPY241" s="1"/>
      <c r="QPZ241" s="1"/>
      <c r="QQA241" s="1"/>
      <c r="QQB241" s="1"/>
      <c r="QQC241" s="1"/>
      <c r="QQD241" s="1"/>
      <c r="QQE241" s="1"/>
      <c r="QQF241" s="1"/>
      <c r="QQG241" s="1"/>
      <c r="QQH241" s="1"/>
      <c r="QQI241" s="1"/>
      <c r="QQJ241" s="1"/>
      <c r="QQK241" s="1"/>
      <c r="QQL241" s="1"/>
      <c r="QQM241" s="1"/>
      <c r="QQN241" s="1"/>
      <c r="QQO241" s="1"/>
      <c r="QQP241" s="1"/>
      <c r="QQQ241" s="1"/>
      <c r="QQR241" s="1"/>
      <c r="QQS241" s="1"/>
      <c r="QQT241" s="1"/>
      <c r="QQU241" s="1"/>
      <c r="QQV241" s="1"/>
      <c r="QQW241" s="1"/>
      <c r="QQX241" s="1"/>
      <c r="QQY241" s="1"/>
      <c r="QQZ241" s="1"/>
      <c r="QRA241" s="1"/>
      <c r="QRB241" s="1"/>
      <c r="QRC241" s="1"/>
      <c r="QRD241" s="1"/>
      <c r="QRE241" s="1"/>
      <c r="QRF241" s="1"/>
      <c r="QRG241" s="1"/>
      <c r="QRH241" s="1"/>
      <c r="QRI241" s="1"/>
      <c r="QRJ241" s="1"/>
      <c r="QRK241" s="1"/>
      <c r="QRL241" s="1"/>
      <c r="QRM241" s="1"/>
      <c r="QRN241" s="1"/>
      <c r="QRO241" s="1"/>
      <c r="QRP241" s="1"/>
      <c r="QRQ241" s="1"/>
      <c r="QRR241" s="1"/>
      <c r="QRS241" s="1"/>
      <c r="QRT241" s="1"/>
      <c r="QRU241" s="1"/>
      <c r="QRV241" s="1"/>
      <c r="QRW241" s="1"/>
      <c r="QRX241" s="1"/>
      <c r="QRY241" s="1"/>
      <c r="QRZ241" s="1"/>
      <c r="QSA241" s="1"/>
      <c r="QSB241" s="1"/>
      <c r="QSC241" s="1"/>
      <c r="QSD241" s="1"/>
      <c r="QSE241" s="1"/>
      <c r="QSF241" s="1"/>
      <c r="QSG241" s="1"/>
      <c r="QSH241" s="1"/>
      <c r="QSI241" s="1"/>
      <c r="QSJ241" s="1"/>
      <c r="QSK241" s="1"/>
      <c r="QSL241" s="1"/>
      <c r="QSM241" s="1"/>
      <c r="QSN241" s="1"/>
      <c r="QSO241" s="1"/>
      <c r="QSP241" s="1"/>
      <c r="QSQ241" s="1"/>
      <c r="QSR241" s="1"/>
      <c r="QSS241" s="1"/>
      <c r="QST241" s="1"/>
      <c r="QSU241" s="1"/>
      <c r="QSV241" s="1"/>
      <c r="QSW241" s="1"/>
      <c r="QSX241" s="1"/>
      <c r="QSY241" s="1"/>
      <c r="QSZ241" s="1"/>
      <c r="QTA241" s="1"/>
      <c r="QTB241" s="1"/>
      <c r="QTC241" s="1"/>
      <c r="QTD241" s="1"/>
      <c r="QTE241" s="1"/>
      <c r="QTF241" s="1"/>
      <c r="QTG241" s="1"/>
      <c r="QTH241" s="1"/>
      <c r="QTI241" s="1"/>
      <c r="QTJ241" s="1"/>
      <c r="QTK241" s="1"/>
      <c r="QTL241" s="1"/>
      <c r="QTM241" s="1"/>
      <c r="QTN241" s="1"/>
      <c r="QTO241" s="1"/>
      <c r="QTP241" s="1"/>
      <c r="QTQ241" s="1"/>
      <c r="QTR241" s="1"/>
      <c r="QTS241" s="1"/>
      <c r="QTT241" s="1"/>
      <c r="QTU241" s="1"/>
      <c r="QTV241" s="1"/>
      <c r="QTW241" s="1"/>
      <c r="QTX241" s="1"/>
      <c r="QTY241" s="1"/>
      <c r="QTZ241" s="1"/>
      <c r="QUA241" s="1"/>
      <c r="QUB241" s="1"/>
      <c r="QUC241" s="1"/>
      <c r="QUD241" s="1"/>
      <c r="QUE241" s="1"/>
      <c r="QUF241" s="1"/>
      <c r="QUG241" s="1"/>
      <c r="QUH241" s="1"/>
      <c r="QUI241" s="1"/>
      <c r="QUJ241" s="1"/>
      <c r="QUK241" s="1"/>
      <c r="QUL241" s="1"/>
      <c r="QUM241" s="1"/>
      <c r="QUN241" s="1"/>
      <c r="QUO241" s="1"/>
      <c r="QUP241" s="1"/>
      <c r="QUQ241" s="1"/>
      <c r="QUR241" s="1"/>
      <c r="QUS241" s="1"/>
      <c r="QUT241" s="1"/>
      <c r="QUU241" s="1"/>
      <c r="QUV241" s="1"/>
      <c r="QUW241" s="1"/>
      <c r="QUX241" s="1"/>
      <c r="QUY241" s="1"/>
      <c r="QUZ241" s="1"/>
      <c r="QVA241" s="1"/>
      <c r="QVB241" s="1"/>
      <c r="QVC241" s="1"/>
      <c r="QVD241" s="1"/>
      <c r="QVE241" s="1"/>
      <c r="QVF241" s="1"/>
      <c r="QVG241" s="1"/>
      <c r="QVH241" s="1"/>
      <c r="QVI241" s="1"/>
      <c r="QVJ241" s="1"/>
      <c r="QVK241" s="1"/>
      <c r="QVL241" s="1"/>
      <c r="QVM241" s="1"/>
      <c r="QVN241" s="1"/>
      <c r="QVO241" s="1"/>
      <c r="QVP241" s="1"/>
      <c r="QVQ241" s="1"/>
      <c r="QVR241" s="1"/>
      <c r="QVS241" s="1"/>
      <c r="QVT241" s="1"/>
      <c r="QVU241" s="1"/>
      <c r="QVV241" s="1"/>
      <c r="QVW241" s="1"/>
      <c r="QVX241" s="1"/>
      <c r="QVY241" s="1"/>
      <c r="QVZ241" s="1"/>
      <c r="QWA241" s="1"/>
      <c r="QWB241" s="1"/>
      <c r="QWC241" s="1"/>
      <c r="QWD241" s="1"/>
      <c r="QWE241" s="1"/>
      <c r="QWF241" s="1"/>
      <c r="QWG241" s="1"/>
      <c r="QWH241" s="1"/>
      <c r="QWI241" s="1"/>
      <c r="QWJ241" s="1"/>
      <c r="QWK241" s="1"/>
      <c r="QWL241" s="1"/>
      <c r="QWM241" s="1"/>
      <c r="QWN241" s="1"/>
      <c r="QWO241" s="1"/>
      <c r="QWP241" s="1"/>
      <c r="QWQ241" s="1"/>
      <c r="QWR241" s="1"/>
      <c r="QWS241" s="1"/>
      <c r="QWT241" s="1"/>
      <c r="QWU241" s="1"/>
      <c r="QWV241" s="1"/>
      <c r="QWW241" s="1"/>
      <c r="QWX241" s="1"/>
      <c r="QWY241" s="1"/>
      <c r="QWZ241" s="1"/>
      <c r="QXA241" s="1"/>
      <c r="QXB241" s="1"/>
      <c r="QXC241" s="1"/>
      <c r="QXD241" s="1"/>
      <c r="QXE241" s="1"/>
      <c r="QXF241" s="1"/>
      <c r="QXG241" s="1"/>
      <c r="QXH241" s="1"/>
      <c r="QXI241" s="1"/>
      <c r="QXJ241" s="1"/>
      <c r="QXK241" s="1"/>
      <c r="QXL241" s="1"/>
      <c r="QXM241" s="1"/>
      <c r="QXN241" s="1"/>
      <c r="QXO241" s="1"/>
      <c r="QXP241" s="1"/>
      <c r="QXQ241" s="1"/>
      <c r="QXR241" s="1"/>
      <c r="QXS241" s="1"/>
      <c r="QXT241" s="1"/>
      <c r="QXU241" s="1"/>
      <c r="QXV241" s="1"/>
      <c r="QXW241" s="1"/>
      <c r="QXX241" s="1"/>
      <c r="QXY241" s="1"/>
      <c r="QXZ241" s="1"/>
      <c r="QYA241" s="1"/>
      <c r="QYB241" s="1"/>
      <c r="QYC241" s="1"/>
      <c r="QYD241" s="1"/>
      <c r="QYE241" s="1"/>
      <c r="QYF241" s="1"/>
      <c r="QYG241" s="1"/>
      <c r="QYH241" s="1"/>
      <c r="QYI241" s="1"/>
      <c r="QYJ241" s="1"/>
      <c r="QYK241" s="1"/>
      <c r="QYL241" s="1"/>
      <c r="QYM241" s="1"/>
      <c r="QYN241" s="1"/>
      <c r="QYO241" s="1"/>
      <c r="QYP241" s="1"/>
      <c r="QYQ241" s="1"/>
      <c r="QYR241" s="1"/>
      <c r="QYS241" s="1"/>
      <c r="QYT241" s="1"/>
      <c r="QYU241" s="1"/>
      <c r="QYV241" s="1"/>
      <c r="QYW241" s="1"/>
      <c r="QYX241" s="1"/>
      <c r="QYY241" s="1"/>
      <c r="QYZ241" s="1"/>
      <c r="QZA241" s="1"/>
      <c r="QZB241" s="1"/>
      <c r="QZC241" s="1"/>
      <c r="QZD241" s="1"/>
      <c r="QZE241" s="1"/>
      <c r="QZF241" s="1"/>
      <c r="QZG241" s="1"/>
      <c r="QZH241" s="1"/>
      <c r="QZI241" s="1"/>
      <c r="QZJ241" s="1"/>
      <c r="QZK241" s="1"/>
      <c r="QZL241" s="1"/>
      <c r="QZM241" s="1"/>
      <c r="QZN241" s="1"/>
      <c r="QZO241" s="1"/>
      <c r="QZP241" s="1"/>
      <c r="QZQ241" s="1"/>
      <c r="QZR241" s="1"/>
      <c r="QZS241" s="1"/>
      <c r="QZT241" s="1"/>
      <c r="QZU241" s="1"/>
      <c r="QZV241" s="1"/>
      <c r="QZW241" s="1"/>
      <c r="QZX241" s="1"/>
      <c r="QZY241" s="1"/>
      <c r="QZZ241" s="1"/>
      <c r="RAA241" s="1"/>
      <c r="RAB241" s="1"/>
      <c r="RAC241" s="1"/>
      <c r="RAD241" s="1"/>
      <c r="RAE241" s="1"/>
      <c r="RAF241" s="1"/>
      <c r="RAG241" s="1"/>
      <c r="RAH241" s="1"/>
      <c r="RAI241" s="1"/>
      <c r="RAJ241" s="1"/>
      <c r="RAK241" s="1"/>
      <c r="RAL241" s="1"/>
      <c r="RAM241" s="1"/>
      <c r="RAN241" s="1"/>
      <c r="RAO241" s="1"/>
      <c r="RAP241" s="1"/>
      <c r="RAQ241" s="1"/>
      <c r="RAR241" s="1"/>
      <c r="RAS241" s="1"/>
      <c r="RAT241" s="1"/>
      <c r="RAU241" s="1"/>
      <c r="RAV241" s="1"/>
      <c r="RAW241" s="1"/>
      <c r="RAX241" s="1"/>
      <c r="RAY241" s="1"/>
      <c r="RAZ241" s="1"/>
      <c r="RBA241" s="1"/>
      <c r="RBB241" s="1"/>
      <c r="RBC241" s="1"/>
      <c r="RBD241" s="1"/>
      <c r="RBE241" s="1"/>
      <c r="RBF241" s="1"/>
      <c r="RBG241" s="1"/>
      <c r="RBH241" s="1"/>
      <c r="RBI241" s="1"/>
      <c r="RBJ241" s="1"/>
      <c r="RBK241" s="1"/>
      <c r="RBL241" s="1"/>
      <c r="RBM241" s="1"/>
      <c r="RBN241" s="1"/>
      <c r="RBO241" s="1"/>
      <c r="RBP241" s="1"/>
      <c r="RBQ241" s="1"/>
      <c r="RBR241" s="1"/>
      <c r="RBS241" s="1"/>
      <c r="RBT241" s="1"/>
      <c r="RBU241" s="1"/>
      <c r="RBV241" s="1"/>
      <c r="RBW241" s="1"/>
      <c r="RBX241" s="1"/>
      <c r="RBY241" s="1"/>
      <c r="RBZ241" s="1"/>
      <c r="RCA241" s="1"/>
      <c r="RCB241" s="1"/>
      <c r="RCC241" s="1"/>
      <c r="RCD241" s="1"/>
      <c r="RCE241" s="1"/>
      <c r="RCF241" s="1"/>
      <c r="RCG241" s="1"/>
      <c r="RCH241" s="1"/>
      <c r="RCI241" s="1"/>
      <c r="RCJ241" s="1"/>
      <c r="RCK241" s="1"/>
      <c r="RCL241" s="1"/>
      <c r="RCM241" s="1"/>
      <c r="RCN241" s="1"/>
      <c r="RCO241" s="1"/>
      <c r="RCP241" s="1"/>
      <c r="RCQ241" s="1"/>
      <c r="RCR241" s="1"/>
      <c r="RCS241" s="1"/>
      <c r="RCT241" s="1"/>
      <c r="RCU241" s="1"/>
      <c r="RCV241" s="1"/>
      <c r="RCW241" s="1"/>
      <c r="RCX241" s="1"/>
      <c r="RCY241" s="1"/>
      <c r="RCZ241" s="1"/>
      <c r="RDA241" s="1"/>
      <c r="RDB241" s="1"/>
      <c r="RDC241" s="1"/>
      <c r="RDD241" s="1"/>
      <c r="RDE241" s="1"/>
      <c r="RDF241" s="1"/>
      <c r="RDG241" s="1"/>
      <c r="RDH241" s="1"/>
      <c r="RDI241" s="1"/>
      <c r="RDJ241" s="1"/>
      <c r="RDK241" s="1"/>
      <c r="RDL241" s="1"/>
      <c r="RDM241" s="1"/>
      <c r="RDN241" s="1"/>
      <c r="RDO241" s="1"/>
      <c r="RDP241" s="1"/>
      <c r="RDQ241" s="1"/>
      <c r="RDR241" s="1"/>
      <c r="RDS241" s="1"/>
      <c r="RDT241" s="1"/>
      <c r="RDU241" s="1"/>
      <c r="RDV241" s="1"/>
      <c r="RDW241" s="1"/>
      <c r="RDX241" s="1"/>
      <c r="RDY241" s="1"/>
      <c r="RDZ241" s="1"/>
      <c r="REA241" s="1"/>
      <c r="REB241" s="1"/>
      <c r="REC241" s="1"/>
      <c r="RED241" s="1"/>
      <c r="REE241" s="1"/>
      <c r="REF241" s="1"/>
      <c r="REG241" s="1"/>
      <c r="REH241" s="1"/>
      <c r="REI241" s="1"/>
      <c r="REJ241" s="1"/>
      <c r="REK241" s="1"/>
      <c r="REL241" s="1"/>
      <c r="REM241" s="1"/>
      <c r="REN241" s="1"/>
      <c r="REO241" s="1"/>
      <c r="REP241" s="1"/>
      <c r="REQ241" s="1"/>
      <c r="RER241" s="1"/>
      <c r="RES241" s="1"/>
      <c r="RET241" s="1"/>
      <c r="REU241" s="1"/>
      <c r="REV241" s="1"/>
      <c r="REW241" s="1"/>
      <c r="REX241" s="1"/>
      <c r="REY241" s="1"/>
      <c r="REZ241" s="1"/>
      <c r="RFA241" s="1"/>
      <c r="RFB241" s="1"/>
      <c r="RFC241" s="1"/>
      <c r="RFD241" s="1"/>
      <c r="RFE241" s="1"/>
      <c r="RFF241" s="1"/>
      <c r="RFG241" s="1"/>
      <c r="RFH241" s="1"/>
      <c r="RFI241" s="1"/>
      <c r="RFJ241" s="1"/>
      <c r="RFK241" s="1"/>
      <c r="RFL241" s="1"/>
      <c r="RFM241" s="1"/>
      <c r="RFN241" s="1"/>
      <c r="RFO241" s="1"/>
      <c r="RFP241" s="1"/>
      <c r="RFQ241" s="1"/>
      <c r="RFR241" s="1"/>
      <c r="RFS241" s="1"/>
      <c r="RFT241" s="1"/>
      <c r="RFU241" s="1"/>
      <c r="RFV241" s="1"/>
      <c r="RFW241" s="1"/>
      <c r="RFX241" s="1"/>
      <c r="RFY241" s="1"/>
      <c r="RFZ241" s="1"/>
      <c r="RGA241" s="1"/>
      <c r="RGB241" s="1"/>
      <c r="RGC241" s="1"/>
      <c r="RGD241" s="1"/>
      <c r="RGE241" s="1"/>
      <c r="RGF241" s="1"/>
      <c r="RGG241" s="1"/>
      <c r="RGH241" s="1"/>
      <c r="RGI241" s="1"/>
      <c r="RGJ241" s="1"/>
      <c r="RGK241" s="1"/>
      <c r="RGL241" s="1"/>
      <c r="RGM241" s="1"/>
      <c r="RGN241" s="1"/>
      <c r="RGO241" s="1"/>
      <c r="RGP241" s="1"/>
      <c r="RGQ241" s="1"/>
      <c r="RGR241" s="1"/>
      <c r="RGS241" s="1"/>
      <c r="RGT241" s="1"/>
      <c r="RGU241" s="1"/>
      <c r="RGV241" s="1"/>
      <c r="RGW241" s="1"/>
      <c r="RGX241" s="1"/>
      <c r="RGY241" s="1"/>
      <c r="RGZ241" s="1"/>
      <c r="RHA241" s="1"/>
      <c r="RHB241" s="1"/>
      <c r="RHC241" s="1"/>
      <c r="RHD241" s="1"/>
      <c r="RHE241" s="1"/>
      <c r="RHF241" s="1"/>
      <c r="RHG241" s="1"/>
      <c r="RHH241" s="1"/>
      <c r="RHI241" s="1"/>
      <c r="RHJ241" s="1"/>
      <c r="RHK241" s="1"/>
      <c r="RHL241" s="1"/>
      <c r="RHM241" s="1"/>
      <c r="RHN241" s="1"/>
      <c r="RHO241" s="1"/>
      <c r="RHP241" s="1"/>
      <c r="RHQ241" s="1"/>
      <c r="RHR241" s="1"/>
      <c r="RHS241" s="1"/>
      <c r="RHT241" s="1"/>
      <c r="RHU241" s="1"/>
      <c r="RHV241" s="1"/>
      <c r="RHW241" s="1"/>
      <c r="RHX241" s="1"/>
      <c r="RHY241" s="1"/>
      <c r="RHZ241" s="1"/>
      <c r="RIA241" s="1"/>
      <c r="RIB241" s="1"/>
      <c r="RIC241" s="1"/>
      <c r="RID241" s="1"/>
      <c r="RIE241" s="1"/>
      <c r="RIF241" s="1"/>
      <c r="RIG241" s="1"/>
      <c r="RIH241" s="1"/>
      <c r="RII241" s="1"/>
      <c r="RIJ241" s="1"/>
      <c r="RIK241" s="1"/>
      <c r="RIL241" s="1"/>
      <c r="RIM241" s="1"/>
      <c r="RIN241" s="1"/>
      <c r="RIO241" s="1"/>
      <c r="RIP241" s="1"/>
      <c r="RIQ241" s="1"/>
      <c r="RIR241" s="1"/>
      <c r="RIS241" s="1"/>
      <c r="RIT241" s="1"/>
      <c r="RIU241" s="1"/>
      <c r="RIV241" s="1"/>
      <c r="RIW241" s="1"/>
      <c r="RIX241" s="1"/>
      <c r="RIY241" s="1"/>
      <c r="RIZ241" s="1"/>
      <c r="RJA241" s="1"/>
      <c r="RJB241" s="1"/>
      <c r="RJC241" s="1"/>
      <c r="RJD241" s="1"/>
      <c r="RJE241" s="1"/>
      <c r="RJF241" s="1"/>
      <c r="RJG241" s="1"/>
      <c r="RJH241" s="1"/>
      <c r="RJI241" s="1"/>
      <c r="RJJ241" s="1"/>
      <c r="RJK241" s="1"/>
      <c r="RJL241" s="1"/>
      <c r="RJM241" s="1"/>
      <c r="RJN241" s="1"/>
      <c r="RJO241" s="1"/>
      <c r="RJP241" s="1"/>
      <c r="RJQ241" s="1"/>
      <c r="RJR241" s="1"/>
      <c r="RJS241" s="1"/>
      <c r="RJT241" s="1"/>
      <c r="RJU241" s="1"/>
      <c r="RJV241" s="1"/>
      <c r="RJW241" s="1"/>
      <c r="RJX241" s="1"/>
      <c r="RJY241" s="1"/>
      <c r="RJZ241" s="1"/>
      <c r="RKA241" s="1"/>
      <c r="RKB241" s="1"/>
      <c r="RKC241" s="1"/>
      <c r="RKD241" s="1"/>
      <c r="RKE241" s="1"/>
      <c r="RKF241" s="1"/>
      <c r="RKG241" s="1"/>
      <c r="RKH241" s="1"/>
      <c r="RKI241" s="1"/>
      <c r="RKJ241" s="1"/>
      <c r="RKK241" s="1"/>
      <c r="RKL241" s="1"/>
      <c r="RKM241" s="1"/>
      <c r="RKN241" s="1"/>
      <c r="RKO241" s="1"/>
      <c r="RKP241" s="1"/>
      <c r="RKQ241" s="1"/>
      <c r="RKR241" s="1"/>
      <c r="RKS241" s="1"/>
      <c r="RKT241" s="1"/>
      <c r="RKU241" s="1"/>
      <c r="RKV241" s="1"/>
      <c r="RKW241" s="1"/>
      <c r="RKX241" s="1"/>
      <c r="RKY241" s="1"/>
      <c r="RKZ241" s="1"/>
      <c r="RLA241" s="1"/>
      <c r="RLB241" s="1"/>
      <c r="RLC241" s="1"/>
      <c r="RLD241" s="1"/>
      <c r="RLE241" s="1"/>
      <c r="RLF241" s="1"/>
      <c r="RLG241" s="1"/>
      <c r="RLH241" s="1"/>
      <c r="RLI241" s="1"/>
      <c r="RLJ241" s="1"/>
      <c r="RLK241" s="1"/>
      <c r="RLL241" s="1"/>
      <c r="RLM241" s="1"/>
      <c r="RLN241" s="1"/>
      <c r="RLO241" s="1"/>
      <c r="RLP241" s="1"/>
      <c r="RLQ241" s="1"/>
      <c r="RLR241" s="1"/>
      <c r="RLS241" s="1"/>
      <c r="RLT241" s="1"/>
      <c r="RLU241" s="1"/>
      <c r="RLV241" s="1"/>
      <c r="RLW241" s="1"/>
      <c r="RLX241" s="1"/>
      <c r="RLY241" s="1"/>
      <c r="RLZ241" s="1"/>
      <c r="RMA241" s="1"/>
      <c r="RMB241" s="1"/>
      <c r="RMC241" s="1"/>
      <c r="RMD241" s="1"/>
      <c r="RME241" s="1"/>
      <c r="RMF241" s="1"/>
      <c r="RMG241" s="1"/>
      <c r="RMH241" s="1"/>
      <c r="RMI241" s="1"/>
      <c r="RMJ241" s="1"/>
      <c r="RMK241" s="1"/>
      <c r="RML241" s="1"/>
      <c r="RMM241" s="1"/>
      <c r="RMN241" s="1"/>
      <c r="RMO241" s="1"/>
      <c r="RMP241" s="1"/>
      <c r="RMQ241" s="1"/>
      <c r="RMR241" s="1"/>
      <c r="RMS241" s="1"/>
      <c r="RMT241" s="1"/>
      <c r="RMU241" s="1"/>
      <c r="RMV241" s="1"/>
      <c r="RMW241" s="1"/>
      <c r="RMX241" s="1"/>
      <c r="RMY241" s="1"/>
      <c r="RMZ241" s="1"/>
      <c r="RNA241" s="1"/>
      <c r="RNB241" s="1"/>
      <c r="RNC241" s="1"/>
      <c r="RND241" s="1"/>
      <c r="RNE241" s="1"/>
      <c r="RNF241" s="1"/>
      <c r="RNG241" s="1"/>
      <c r="RNH241" s="1"/>
      <c r="RNI241" s="1"/>
      <c r="RNJ241" s="1"/>
      <c r="RNK241" s="1"/>
      <c r="RNL241" s="1"/>
      <c r="RNM241" s="1"/>
      <c r="RNN241" s="1"/>
      <c r="RNO241" s="1"/>
      <c r="RNP241" s="1"/>
      <c r="RNQ241" s="1"/>
      <c r="RNR241" s="1"/>
      <c r="RNS241" s="1"/>
      <c r="RNT241" s="1"/>
      <c r="RNU241" s="1"/>
      <c r="RNV241" s="1"/>
      <c r="RNW241" s="1"/>
      <c r="RNX241" s="1"/>
      <c r="RNY241" s="1"/>
      <c r="RNZ241" s="1"/>
      <c r="ROA241" s="1"/>
      <c r="ROB241" s="1"/>
      <c r="ROC241" s="1"/>
      <c r="ROD241" s="1"/>
      <c r="ROE241" s="1"/>
      <c r="ROF241" s="1"/>
      <c r="ROG241" s="1"/>
      <c r="ROH241" s="1"/>
      <c r="ROI241" s="1"/>
      <c r="ROJ241" s="1"/>
      <c r="ROK241" s="1"/>
      <c r="ROL241" s="1"/>
      <c r="ROM241" s="1"/>
      <c r="RON241" s="1"/>
      <c r="ROO241" s="1"/>
      <c r="ROP241" s="1"/>
      <c r="ROQ241" s="1"/>
      <c r="ROR241" s="1"/>
      <c r="ROS241" s="1"/>
      <c r="ROT241" s="1"/>
      <c r="ROU241" s="1"/>
      <c r="ROV241" s="1"/>
      <c r="ROW241" s="1"/>
      <c r="ROX241" s="1"/>
      <c r="ROY241" s="1"/>
      <c r="ROZ241" s="1"/>
      <c r="RPA241" s="1"/>
      <c r="RPB241" s="1"/>
      <c r="RPC241" s="1"/>
      <c r="RPD241" s="1"/>
      <c r="RPE241" s="1"/>
      <c r="RPF241" s="1"/>
      <c r="RPG241" s="1"/>
      <c r="RPH241" s="1"/>
      <c r="RPI241" s="1"/>
      <c r="RPJ241" s="1"/>
      <c r="RPK241" s="1"/>
      <c r="RPL241" s="1"/>
      <c r="RPM241" s="1"/>
      <c r="RPN241" s="1"/>
      <c r="RPO241" s="1"/>
      <c r="RPP241" s="1"/>
      <c r="RPQ241" s="1"/>
      <c r="RPR241" s="1"/>
      <c r="RPS241" s="1"/>
      <c r="RPT241" s="1"/>
      <c r="RPU241" s="1"/>
      <c r="RPV241" s="1"/>
      <c r="RPW241" s="1"/>
      <c r="RPX241" s="1"/>
      <c r="RPY241" s="1"/>
      <c r="RPZ241" s="1"/>
      <c r="RQA241" s="1"/>
      <c r="RQB241" s="1"/>
      <c r="RQC241" s="1"/>
      <c r="RQD241" s="1"/>
      <c r="RQE241" s="1"/>
      <c r="RQF241" s="1"/>
      <c r="RQG241" s="1"/>
      <c r="RQH241" s="1"/>
      <c r="RQI241" s="1"/>
      <c r="RQJ241" s="1"/>
      <c r="RQK241" s="1"/>
      <c r="RQL241" s="1"/>
      <c r="RQM241" s="1"/>
      <c r="RQN241" s="1"/>
      <c r="RQO241" s="1"/>
      <c r="RQP241" s="1"/>
      <c r="RQQ241" s="1"/>
      <c r="RQR241" s="1"/>
      <c r="RQS241" s="1"/>
      <c r="RQT241" s="1"/>
      <c r="RQU241" s="1"/>
      <c r="RQV241" s="1"/>
      <c r="RQW241" s="1"/>
      <c r="RQX241" s="1"/>
      <c r="RQY241" s="1"/>
      <c r="RQZ241" s="1"/>
      <c r="RRA241" s="1"/>
      <c r="RRB241" s="1"/>
      <c r="RRC241" s="1"/>
      <c r="RRD241" s="1"/>
      <c r="RRE241" s="1"/>
      <c r="RRF241" s="1"/>
      <c r="RRG241" s="1"/>
      <c r="RRH241" s="1"/>
      <c r="RRI241" s="1"/>
      <c r="RRJ241" s="1"/>
      <c r="RRK241" s="1"/>
      <c r="RRL241" s="1"/>
      <c r="RRM241" s="1"/>
      <c r="RRN241" s="1"/>
      <c r="RRO241" s="1"/>
      <c r="RRP241" s="1"/>
      <c r="RRQ241" s="1"/>
      <c r="RRR241" s="1"/>
      <c r="RRS241" s="1"/>
      <c r="RRT241" s="1"/>
      <c r="RRU241" s="1"/>
      <c r="RRV241" s="1"/>
      <c r="RRW241" s="1"/>
      <c r="RRX241" s="1"/>
      <c r="RRY241" s="1"/>
      <c r="RRZ241" s="1"/>
      <c r="RSA241" s="1"/>
      <c r="RSB241" s="1"/>
      <c r="RSC241" s="1"/>
      <c r="RSD241" s="1"/>
      <c r="RSE241" s="1"/>
      <c r="RSF241" s="1"/>
      <c r="RSG241" s="1"/>
      <c r="RSH241" s="1"/>
      <c r="RSI241" s="1"/>
      <c r="RSJ241" s="1"/>
      <c r="RSK241" s="1"/>
      <c r="RSL241" s="1"/>
      <c r="RSM241" s="1"/>
      <c r="RSN241" s="1"/>
      <c r="RSO241" s="1"/>
      <c r="RSP241" s="1"/>
      <c r="RSQ241" s="1"/>
      <c r="RSR241" s="1"/>
      <c r="RSS241" s="1"/>
      <c r="RST241" s="1"/>
      <c r="RSU241" s="1"/>
      <c r="RSV241" s="1"/>
      <c r="RSW241" s="1"/>
      <c r="RSX241" s="1"/>
      <c r="RSY241" s="1"/>
      <c r="RSZ241" s="1"/>
      <c r="RTA241" s="1"/>
      <c r="RTB241" s="1"/>
      <c r="RTC241" s="1"/>
      <c r="RTD241" s="1"/>
      <c r="RTE241" s="1"/>
      <c r="RTF241" s="1"/>
      <c r="RTG241" s="1"/>
      <c r="RTH241" s="1"/>
      <c r="RTI241" s="1"/>
      <c r="RTJ241" s="1"/>
      <c r="RTK241" s="1"/>
      <c r="RTL241" s="1"/>
      <c r="RTM241" s="1"/>
      <c r="RTN241" s="1"/>
      <c r="RTO241" s="1"/>
      <c r="RTP241" s="1"/>
      <c r="RTQ241" s="1"/>
      <c r="RTR241" s="1"/>
      <c r="RTS241" s="1"/>
      <c r="RTT241" s="1"/>
      <c r="RTU241" s="1"/>
      <c r="RTV241" s="1"/>
      <c r="RTW241" s="1"/>
      <c r="RTX241" s="1"/>
      <c r="RTY241" s="1"/>
      <c r="RTZ241" s="1"/>
      <c r="RUA241" s="1"/>
      <c r="RUB241" s="1"/>
      <c r="RUC241" s="1"/>
      <c r="RUD241" s="1"/>
      <c r="RUE241" s="1"/>
      <c r="RUF241" s="1"/>
      <c r="RUG241" s="1"/>
      <c r="RUH241" s="1"/>
      <c r="RUI241" s="1"/>
      <c r="RUJ241" s="1"/>
      <c r="RUK241" s="1"/>
      <c r="RUL241" s="1"/>
      <c r="RUM241" s="1"/>
      <c r="RUN241" s="1"/>
      <c r="RUO241" s="1"/>
      <c r="RUP241" s="1"/>
      <c r="RUQ241" s="1"/>
      <c r="RUR241" s="1"/>
      <c r="RUS241" s="1"/>
      <c r="RUT241" s="1"/>
      <c r="RUU241" s="1"/>
      <c r="RUV241" s="1"/>
      <c r="RUW241" s="1"/>
      <c r="RUX241" s="1"/>
      <c r="RUY241" s="1"/>
      <c r="RUZ241" s="1"/>
      <c r="RVA241" s="1"/>
      <c r="RVB241" s="1"/>
      <c r="RVC241" s="1"/>
      <c r="RVD241" s="1"/>
      <c r="RVE241" s="1"/>
      <c r="RVF241" s="1"/>
      <c r="RVG241" s="1"/>
      <c r="RVH241" s="1"/>
      <c r="RVI241" s="1"/>
      <c r="RVJ241" s="1"/>
      <c r="RVK241" s="1"/>
      <c r="RVL241" s="1"/>
      <c r="RVM241" s="1"/>
      <c r="RVN241" s="1"/>
      <c r="RVO241" s="1"/>
      <c r="RVP241" s="1"/>
      <c r="RVQ241" s="1"/>
      <c r="RVR241" s="1"/>
      <c r="RVS241" s="1"/>
      <c r="RVT241" s="1"/>
      <c r="RVU241" s="1"/>
      <c r="RVV241" s="1"/>
      <c r="RVW241" s="1"/>
      <c r="RVX241" s="1"/>
      <c r="RVY241" s="1"/>
      <c r="RVZ241" s="1"/>
      <c r="RWA241" s="1"/>
      <c r="RWB241" s="1"/>
      <c r="RWC241" s="1"/>
      <c r="RWD241" s="1"/>
      <c r="RWE241" s="1"/>
      <c r="RWF241" s="1"/>
      <c r="RWG241" s="1"/>
      <c r="RWH241" s="1"/>
      <c r="RWI241" s="1"/>
      <c r="RWJ241" s="1"/>
      <c r="RWK241" s="1"/>
      <c r="RWL241" s="1"/>
      <c r="RWM241" s="1"/>
      <c r="RWN241" s="1"/>
      <c r="RWO241" s="1"/>
      <c r="RWP241" s="1"/>
      <c r="RWQ241" s="1"/>
      <c r="RWR241" s="1"/>
      <c r="RWS241" s="1"/>
      <c r="RWT241" s="1"/>
      <c r="RWU241" s="1"/>
      <c r="RWV241" s="1"/>
      <c r="RWW241" s="1"/>
      <c r="RWX241" s="1"/>
      <c r="RWY241" s="1"/>
      <c r="RWZ241" s="1"/>
      <c r="RXA241" s="1"/>
      <c r="RXB241" s="1"/>
      <c r="RXC241" s="1"/>
      <c r="RXD241" s="1"/>
      <c r="RXE241" s="1"/>
      <c r="RXF241" s="1"/>
      <c r="RXG241" s="1"/>
      <c r="RXH241" s="1"/>
      <c r="RXI241" s="1"/>
      <c r="RXJ241" s="1"/>
      <c r="RXK241" s="1"/>
      <c r="RXL241" s="1"/>
      <c r="RXM241" s="1"/>
      <c r="RXN241" s="1"/>
      <c r="RXO241" s="1"/>
      <c r="RXP241" s="1"/>
      <c r="RXQ241" s="1"/>
      <c r="RXR241" s="1"/>
      <c r="RXS241" s="1"/>
      <c r="RXT241" s="1"/>
      <c r="RXU241" s="1"/>
      <c r="RXV241" s="1"/>
      <c r="RXW241" s="1"/>
      <c r="RXX241" s="1"/>
      <c r="RXY241" s="1"/>
      <c r="RXZ241" s="1"/>
      <c r="RYA241" s="1"/>
      <c r="RYB241" s="1"/>
      <c r="RYC241" s="1"/>
      <c r="RYD241" s="1"/>
      <c r="RYE241" s="1"/>
      <c r="RYF241" s="1"/>
      <c r="RYG241" s="1"/>
      <c r="RYH241" s="1"/>
      <c r="RYI241" s="1"/>
      <c r="RYJ241" s="1"/>
      <c r="RYK241" s="1"/>
      <c r="RYL241" s="1"/>
      <c r="RYM241" s="1"/>
      <c r="RYN241" s="1"/>
      <c r="RYO241" s="1"/>
      <c r="RYP241" s="1"/>
      <c r="RYQ241" s="1"/>
      <c r="RYR241" s="1"/>
      <c r="RYS241" s="1"/>
      <c r="RYT241" s="1"/>
      <c r="RYU241" s="1"/>
      <c r="RYV241" s="1"/>
      <c r="RYW241" s="1"/>
      <c r="RYX241" s="1"/>
      <c r="RYY241" s="1"/>
      <c r="RYZ241" s="1"/>
      <c r="RZA241" s="1"/>
      <c r="RZB241" s="1"/>
      <c r="RZC241" s="1"/>
      <c r="RZD241" s="1"/>
      <c r="RZE241" s="1"/>
      <c r="RZF241" s="1"/>
      <c r="RZG241" s="1"/>
      <c r="RZH241" s="1"/>
      <c r="RZI241" s="1"/>
      <c r="RZJ241" s="1"/>
      <c r="RZK241" s="1"/>
      <c r="RZL241" s="1"/>
      <c r="RZM241" s="1"/>
      <c r="RZN241" s="1"/>
      <c r="RZO241" s="1"/>
      <c r="RZP241" s="1"/>
      <c r="RZQ241" s="1"/>
      <c r="RZR241" s="1"/>
      <c r="RZS241" s="1"/>
      <c r="RZT241" s="1"/>
      <c r="RZU241" s="1"/>
      <c r="RZV241" s="1"/>
      <c r="RZW241" s="1"/>
      <c r="RZX241" s="1"/>
      <c r="RZY241" s="1"/>
      <c r="RZZ241" s="1"/>
      <c r="SAA241" s="1"/>
      <c r="SAB241" s="1"/>
      <c r="SAC241" s="1"/>
      <c r="SAD241" s="1"/>
      <c r="SAE241" s="1"/>
      <c r="SAF241" s="1"/>
      <c r="SAG241" s="1"/>
      <c r="SAH241" s="1"/>
      <c r="SAI241" s="1"/>
      <c r="SAJ241" s="1"/>
      <c r="SAK241" s="1"/>
      <c r="SAL241" s="1"/>
      <c r="SAM241" s="1"/>
      <c r="SAN241" s="1"/>
      <c r="SAO241" s="1"/>
      <c r="SAP241" s="1"/>
      <c r="SAQ241" s="1"/>
      <c r="SAR241" s="1"/>
      <c r="SAS241" s="1"/>
      <c r="SAT241" s="1"/>
      <c r="SAU241" s="1"/>
      <c r="SAV241" s="1"/>
      <c r="SAW241" s="1"/>
      <c r="SAX241" s="1"/>
      <c r="SAY241" s="1"/>
      <c r="SAZ241" s="1"/>
      <c r="SBA241" s="1"/>
      <c r="SBB241" s="1"/>
      <c r="SBC241" s="1"/>
      <c r="SBD241" s="1"/>
      <c r="SBE241" s="1"/>
      <c r="SBF241" s="1"/>
      <c r="SBG241" s="1"/>
      <c r="SBH241" s="1"/>
      <c r="SBI241" s="1"/>
      <c r="SBJ241" s="1"/>
      <c r="SBK241" s="1"/>
      <c r="SBL241" s="1"/>
      <c r="SBM241" s="1"/>
      <c r="SBN241" s="1"/>
      <c r="SBO241" s="1"/>
      <c r="SBP241" s="1"/>
      <c r="SBQ241" s="1"/>
      <c r="SBR241" s="1"/>
      <c r="SBS241" s="1"/>
      <c r="SBT241" s="1"/>
      <c r="SBU241" s="1"/>
      <c r="SBV241" s="1"/>
      <c r="SBW241" s="1"/>
      <c r="SBX241" s="1"/>
      <c r="SBY241" s="1"/>
      <c r="SBZ241" s="1"/>
      <c r="SCA241" s="1"/>
      <c r="SCB241" s="1"/>
      <c r="SCC241" s="1"/>
      <c r="SCD241" s="1"/>
      <c r="SCE241" s="1"/>
      <c r="SCF241" s="1"/>
      <c r="SCG241" s="1"/>
      <c r="SCH241" s="1"/>
      <c r="SCI241" s="1"/>
      <c r="SCJ241" s="1"/>
      <c r="SCK241" s="1"/>
      <c r="SCL241" s="1"/>
      <c r="SCM241" s="1"/>
      <c r="SCN241" s="1"/>
      <c r="SCO241" s="1"/>
      <c r="SCP241" s="1"/>
      <c r="SCQ241" s="1"/>
      <c r="SCR241" s="1"/>
      <c r="SCS241" s="1"/>
      <c r="SCT241" s="1"/>
      <c r="SCU241" s="1"/>
      <c r="SCV241" s="1"/>
      <c r="SCW241" s="1"/>
      <c r="SCX241" s="1"/>
      <c r="SCY241" s="1"/>
      <c r="SCZ241" s="1"/>
      <c r="SDA241" s="1"/>
      <c r="SDB241" s="1"/>
      <c r="SDC241" s="1"/>
      <c r="SDD241" s="1"/>
      <c r="SDE241" s="1"/>
      <c r="SDF241" s="1"/>
      <c r="SDG241" s="1"/>
      <c r="SDH241" s="1"/>
      <c r="SDI241" s="1"/>
      <c r="SDJ241" s="1"/>
      <c r="SDK241" s="1"/>
      <c r="SDL241" s="1"/>
      <c r="SDM241" s="1"/>
      <c r="SDN241" s="1"/>
      <c r="SDO241" s="1"/>
      <c r="SDP241" s="1"/>
      <c r="SDQ241" s="1"/>
      <c r="SDR241" s="1"/>
      <c r="SDS241" s="1"/>
      <c r="SDT241" s="1"/>
      <c r="SDU241" s="1"/>
      <c r="SDV241" s="1"/>
      <c r="SDW241" s="1"/>
      <c r="SDX241" s="1"/>
      <c r="SDY241" s="1"/>
      <c r="SDZ241" s="1"/>
      <c r="SEA241" s="1"/>
      <c r="SEB241" s="1"/>
      <c r="SEC241" s="1"/>
      <c r="SED241" s="1"/>
      <c r="SEE241" s="1"/>
      <c r="SEF241" s="1"/>
      <c r="SEG241" s="1"/>
      <c r="SEH241" s="1"/>
      <c r="SEI241" s="1"/>
      <c r="SEJ241" s="1"/>
      <c r="SEK241" s="1"/>
      <c r="SEL241" s="1"/>
      <c r="SEM241" s="1"/>
      <c r="SEN241" s="1"/>
      <c r="SEO241" s="1"/>
      <c r="SEP241" s="1"/>
      <c r="SEQ241" s="1"/>
      <c r="SER241" s="1"/>
      <c r="SES241" s="1"/>
      <c r="SET241" s="1"/>
      <c r="SEU241" s="1"/>
      <c r="SEV241" s="1"/>
      <c r="SEW241" s="1"/>
      <c r="SEX241" s="1"/>
      <c r="SEY241" s="1"/>
      <c r="SEZ241" s="1"/>
      <c r="SFA241" s="1"/>
      <c r="SFB241" s="1"/>
      <c r="SFC241" s="1"/>
      <c r="SFD241" s="1"/>
      <c r="SFE241" s="1"/>
      <c r="SFF241" s="1"/>
      <c r="SFG241" s="1"/>
      <c r="SFH241" s="1"/>
      <c r="SFI241" s="1"/>
      <c r="SFJ241" s="1"/>
      <c r="SFK241" s="1"/>
      <c r="SFL241" s="1"/>
      <c r="SFM241" s="1"/>
      <c r="SFN241" s="1"/>
      <c r="SFO241" s="1"/>
      <c r="SFP241" s="1"/>
      <c r="SFQ241" s="1"/>
      <c r="SFR241" s="1"/>
      <c r="SFS241" s="1"/>
      <c r="SFT241" s="1"/>
      <c r="SFU241" s="1"/>
      <c r="SFV241" s="1"/>
      <c r="SFW241" s="1"/>
      <c r="SFX241" s="1"/>
      <c r="SFY241" s="1"/>
      <c r="SFZ241" s="1"/>
      <c r="SGA241" s="1"/>
      <c r="SGB241" s="1"/>
      <c r="SGC241" s="1"/>
      <c r="SGD241" s="1"/>
      <c r="SGE241" s="1"/>
      <c r="SGF241" s="1"/>
      <c r="SGG241" s="1"/>
      <c r="SGH241" s="1"/>
      <c r="SGI241" s="1"/>
      <c r="SGJ241" s="1"/>
      <c r="SGK241" s="1"/>
      <c r="SGL241" s="1"/>
      <c r="SGM241" s="1"/>
      <c r="SGN241" s="1"/>
      <c r="SGO241" s="1"/>
      <c r="SGP241" s="1"/>
      <c r="SGQ241" s="1"/>
      <c r="SGR241" s="1"/>
      <c r="SGS241" s="1"/>
      <c r="SGT241" s="1"/>
      <c r="SGU241" s="1"/>
      <c r="SGV241" s="1"/>
      <c r="SGW241" s="1"/>
      <c r="SGX241" s="1"/>
      <c r="SGY241" s="1"/>
      <c r="SGZ241" s="1"/>
      <c r="SHA241" s="1"/>
      <c r="SHB241" s="1"/>
      <c r="SHC241" s="1"/>
      <c r="SHD241" s="1"/>
      <c r="SHE241" s="1"/>
      <c r="SHF241" s="1"/>
      <c r="SHG241" s="1"/>
      <c r="SHH241" s="1"/>
      <c r="SHI241" s="1"/>
      <c r="SHJ241" s="1"/>
      <c r="SHK241" s="1"/>
      <c r="SHL241" s="1"/>
      <c r="SHM241" s="1"/>
      <c r="SHN241" s="1"/>
      <c r="SHO241" s="1"/>
      <c r="SHP241" s="1"/>
      <c r="SHQ241" s="1"/>
      <c r="SHR241" s="1"/>
      <c r="SHS241" s="1"/>
      <c r="SHT241" s="1"/>
      <c r="SHU241" s="1"/>
      <c r="SHV241" s="1"/>
      <c r="SHW241" s="1"/>
      <c r="SHX241" s="1"/>
      <c r="SHY241" s="1"/>
      <c r="SHZ241" s="1"/>
      <c r="SIA241" s="1"/>
      <c r="SIB241" s="1"/>
      <c r="SIC241" s="1"/>
      <c r="SID241" s="1"/>
      <c r="SIE241" s="1"/>
      <c r="SIF241" s="1"/>
      <c r="SIG241" s="1"/>
      <c r="SIH241" s="1"/>
      <c r="SII241" s="1"/>
      <c r="SIJ241" s="1"/>
      <c r="SIK241" s="1"/>
      <c r="SIL241" s="1"/>
      <c r="SIM241" s="1"/>
      <c r="SIN241" s="1"/>
      <c r="SIO241" s="1"/>
      <c r="SIP241" s="1"/>
      <c r="SIQ241" s="1"/>
      <c r="SIR241" s="1"/>
      <c r="SIS241" s="1"/>
      <c r="SIT241" s="1"/>
      <c r="SIU241" s="1"/>
      <c r="SIV241" s="1"/>
      <c r="SIW241" s="1"/>
      <c r="SIX241" s="1"/>
      <c r="SIY241" s="1"/>
      <c r="SIZ241" s="1"/>
      <c r="SJA241" s="1"/>
      <c r="SJB241" s="1"/>
      <c r="SJC241" s="1"/>
      <c r="SJD241" s="1"/>
      <c r="SJE241" s="1"/>
      <c r="SJF241" s="1"/>
      <c r="SJG241" s="1"/>
      <c r="SJH241" s="1"/>
      <c r="SJI241" s="1"/>
      <c r="SJJ241" s="1"/>
      <c r="SJK241" s="1"/>
      <c r="SJL241" s="1"/>
      <c r="SJM241" s="1"/>
      <c r="SJN241" s="1"/>
      <c r="SJO241" s="1"/>
      <c r="SJP241" s="1"/>
      <c r="SJQ241" s="1"/>
      <c r="SJR241" s="1"/>
      <c r="SJS241" s="1"/>
      <c r="SJT241" s="1"/>
      <c r="SJU241" s="1"/>
      <c r="SJV241" s="1"/>
      <c r="SJW241" s="1"/>
      <c r="SJX241" s="1"/>
      <c r="SJY241" s="1"/>
      <c r="SJZ241" s="1"/>
      <c r="SKA241" s="1"/>
      <c r="SKB241" s="1"/>
      <c r="SKC241" s="1"/>
      <c r="SKD241" s="1"/>
      <c r="SKE241" s="1"/>
      <c r="SKF241" s="1"/>
      <c r="SKG241" s="1"/>
      <c r="SKH241" s="1"/>
      <c r="SKI241" s="1"/>
      <c r="SKJ241" s="1"/>
      <c r="SKK241" s="1"/>
      <c r="SKL241" s="1"/>
      <c r="SKM241" s="1"/>
      <c r="SKN241" s="1"/>
      <c r="SKO241" s="1"/>
      <c r="SKP241" s="1"/>
      <c r="SKQ241" s="1"/>
      <c r="SKR241" s="1"/>
      <c r="SKS241" s="1"/>
      <c r="SKT241" s="1"/>
      <c r="SKU241" s="1"/>
      <c r="SKV241" s="1"/>
      <c r="SKW241" s="1"/>
      <c r="SKX241" s="1"/>
      <c r="SKY241" s="1"/>
      <c r="SKZ241" s="1"/>
      <c r="SLA241" s="1"/>
      <c r="SLB241" s="1"/>
      <c r="SLC241" s="1"/>
      <c r="SLD241" s="1"/>
      <c r="SLE241" s="1"/>
      <c r="SLF241" s="1"/>
      <c r="SLG241" s="1"/>
      <c r="SLH241" s="1"/>
      <c r="SLI241" s="1"/>
      <c r="SLJ241" s="1"/>
      <c r="SLK241" s="1"/>
      <c r="SLL241" s="1"/>
      <c r="SLM241" s="1"/>
      <c r="SLN241" s="1"/>
      <c r="SLO241" s="1"/>
      <c r="SLP241" s="1"/>
      <c r="SLQ241" s="1"/>
      <c r="SLR241" s="1"/>
      <c r="SLS241" s="1"/>
      <c r="SLT241" s="1"/>
      <c r="SLU241" s="1"/>
      <c r="SLV241" s="1"/>
      <c r="SLW241" s="1"/>
      <c r="SLX241" s="1"/>
      <c r="SLY241" s="1"/>
      <c r="SLZ241" s="1"/>
      <c r="SMA241" s="1"/>
      <c r="SMB241" s="1"/>
      <c r="SMC241" s="1"/>
      <c r="SMD241" s="1"/>
      <c r="SME241" s="1"/>
      <c r="SMF241" s="1"/>
      <c r="SMG241" s="1"/>
      <c r="SMH241" s="1"/>
      <c r="SMI241" s="1"/>
      <c r="SMJ241" s="1"/>
      <c r="SMK241" s="1"/>
      <c r="SML241" s="1"/>
      <c r="SMM241" s="1"/>
      <c r="SMN241" s="1"/>
      <c r="SMO241" s="1"/>
      <c r="SMP241" s="1"/>
      <c r="SMQ241" s="1"/>
      <c r="SMR241" s="1"/>
      <c r="SMS241" s="1"/>
      <c r="SMT241" s="1"/>
      <c r="SMU241" s="1"/>
      <c r="SMV241" s="1"/>
      <c r="SMW241" s="1"/>
      <c r="SMX241" s="1"/>
      <c r="SMY241" s="1"/>
      <c r="SMZ241" s="1"/>
      <c r="SNA241" s="1"/>
      <c r="SNB241" s="1"/>
      <c r="SNC241" s="1"/>
      <c r="SND241" s="1"/>
      <c r="SNE241" s="1"/>
      <c r="SNF241" s="1"/>
      <c r="SNG241" s="1"/>
      <c r="SNH241" s="1"/>
      <c r="SNI241" s="1"/>
      <c r="SNJ241" s="1"/>
      <c r="SNK241" s="1"/>
      <c r="SNL241" s="1"/>
      <c r="SNM241" s="1"/>
      <c r="SNN241" s="1"/>
      <c r="SNO241" s="1"/>
      <c r="SNP241" s="1"/>
      <c r="SNQ241" s="1"/>
      <c r="SNR241" s="1"/>
      <c r="SNS241" s="1"/>
      <c r="SNT241" s="1"/>
      <c r="SNU241" s="1"/>
      <c r="SNV241" s="1"/>
      <c r="SNW241" s="1"/>
      <c r="SNX241" s="1"/>
      <c r="SNY241" s="1"/>
      <c r="SNZ241" s="1"/>
      <c r="SOA241" s="1"/>
      <c r="SOB241" s="1"/>
      <c r="SOC241" s="1"/>
      <c r="SOD241" s="1"/>
      <c r="SOE241" s="1"/>
      <c r="SOF241" s="1"/>
      <c r="SOG241" s="1"/>
      <c r="SOH241" s="1"/>
      <c r="SOI241" s="1"/>
      <c r="SOJ241" s="1"/>
      <c r="SOK241" s="1"/>
      <c r="SOL241" s="1"/>
      <c r="SOM241" s="1"/>
      <c r="SON241" s="1"/>
      <c r="SOO241" s="1"/>
      <c r="SOP241" s="1"/>
      <c r="SOQ241" s="1"/>
      <c r="SOR241" s="1"/>
      <c r="SOS241" s="1"/>
      <c r="SOT241" s="1"/>
      <c r="SOU241" s="1"/>
      <c r="SOV241" s="1"/>
      <c r="SOW241" s="1"/>
      <c r="SOX241" s="1"/>
      <c r="SOY241" s="1"/>
      <c r="SOZ241" s="1"/>
      <c r="SPA241" s="1"/>
      <c r="SPB241" s="1"/>
      <c r="SPC241" s="1"/>
      <c r="SPD241" s="1"/>
      <c r="SPE241" s="1"/>
      <c r="SPF241" s="1"/>
      <c r="SPG241" s="1"/>
      <c r="SPH241" s="1"/>
      <c r="SPI241" s="1"/>
      <c r="SPJ241" s="1"/>
      <c r="SPK241" s="1"/>
      <c r="SPL241" s="1"/>
      <c r="SPM241" s="1"/>
      <c r="SPN241" s="1"/>
      <c r="SPO241" s="1"/>
      <c r="SPP241" s="1"/>
      <c r="SPQ241" s="1"/>
      <c r="SPR241" s="1"/>
      <c r="SPS241" s="1"/>
      <c r="SPT241" s="1"/>
      <c r="SPU241" s="1"/>
      <c r="SPV241" s="1"/>
      <c r="SPW241" s="1"/>
      <c r="SPX241" s="1"/>
      <c r="SPY241" s="1"/>
      <c r="SPZ241" s="1"/>
      <c r="SQA241" s="1"/>
      <c r="SQB241" s="1"/>
      <c r="SQC241" s="1"/>
      <c r="SQD241" s="1"/>
      <c r="SQE241" s="1"/>
      <c r="SQF241" s="1"/>
      <c r="SQG241" s="1"/>
      <c r="SQH241" s="1"/>
      <c r="SQI241" s="1"/>
      <c r="SQJ241" s="1"/>
      <c r="SQK241" s="1"/>
      <c r="SQL241" s="1"/>
      <c r="SQM241" s="1"/>
      <c r="SQN241" s="1"/>
      <c r="SQO241" s="1"/>
      <c r="SQP241" s="1"/>
      <c r="SQQ241" s="1"/>
      <c r="SQR241" s="1"/>
      <c r="SQS241" s="1"/>
      <c r="SQT241" s="1"/>
      <c r="SQU241" s="1"/>
      <c r="SQV241" s="1"/>
      <c r="SQW241" s="1"/>
      <c r="SQX241" s="1"/>
      <c r="SQY241" s="1"/>
      <c r="SQZ241" s="1"/>
      <c r="SRA241" s="1"/>
      <c r="SRB241" s="1"/>
      <c r="SRC241" s="1"/>
      <c r="SRD241" s="1"/>
      <c r="SRE241" s="1"/>
      <c r="SRF241" s="1"/>
      <c r="SRG241" s="1"/>
      <c r="SRH241" s="1"/>
      <c r="SRI241" s="1"/>
      <c r="SRJ241" s="1"/>
      <c r="SRK241" s="1"/>
      <c r="SRL241" s="1"/>
      <c r="SRM241" s="1"/>
      <c r="SRN241" s="1"/>
      <c r="SRO241" s="1"/>
      <c r="SRP241" s="1"/>
      <c r="SRQ241" s="1"/>
      <c r="SRR241" s="1"/>
      <c r="SRS241" s="1"/>
      <c r="SRT241" s="1"/>
      <c r="SRU241" s="1"/>
      <c r="SRV241" s="1"/>
      <c r="SRW241" s="1"/>
      <c r="SRX241" s="1"/>
      <c r="SRY241" s="1"/>
      <c r="SRZ241" s="1"/>
      <c r="SSA241" s="1"/>
      <c r="SSB241" s="1"/>
      <c r="SSC241" s="1"/>
      <c r="SSD241" s="1"/>
      <c r="SSE241" s="1"/>
      <c r="SSF241" s="1"/>
      <c r="SSG241" s="1"/>
      <c r="SSH241" s="1"/>
      <c r="SSI241" s="1"/>
      <c r="SSJ241" s="1"/>
      <c r="SSK241" s="1"/>
      <c r="SSL241" s="1"/>
      <c r="SSM241" s="1"/>
      <c r="SSN241" s="1"/>
      <c r="SSO241" s="1"/>
      <c r="SSP241" s="1"/>
      <c r="SSQ241" s="1"/>
      <c r="SSR241" s="1"/>
      <c r="SSS241" s="1"/>
      <c r="SST241" s="1"/>
      <c r="SSU241" s="1"/>
      <c r="SSV241" s="1"/>
      <c r="SSW241" s="1"/>
      <c r="SSX241" s="1"/>
      <c r="SSY241" s="1"/>
      <c r="SSZ241" s="1"/>
      <c r="STA241" s="1"/>
      <c r="STB241" s="1"/>
      <c r="STC241" s="1"/>
      <c r="STD241" s="1"/>
      <c r="STE241" s="1"/>
      <c r="STF241" s="1"/>
      <c r="STG241" s="1"/>
      <c r="STH241" s="1"/>
      <c r="STI241" s="1"/>
      <c r="STJ241" s="1"/>
      <c r="STK241" s="1"/>
      <c r="STL241" s="1"/>
      <c r="STM241" s="1"/>
      <c r="STN241" s="1"/>
      <c r="STO241" s="1"/>
      <c r="STP241" s="1"/>
      <c r="STQ241" s="1"/>
      <c r="STR241" s="1"/>
      <c r="STS241" s="1"/>
      <c r="STT241" s="1"/>
      <c r="STU241" s="1"/>
      <c r="STV241" s="1"/>
      <c r="STW241" s="1"/>
      <c r="STX241" s="1"/>
      <c r="STY241" s="1"/>
      <c r="STZ241" s="1"/>
      <c r="SUA241" s="1"/>
      <c r="SUB241" s="1"/>
      <c r="SUC241" s="1"/>
      <c r="SUD241" s="1"/>
      <c r="SUE241" s="1"/>
      <c r="SUF241" s="1"/>
      <c r="SUG241" s="1"/>
      <c r="SUH241" s="1"/>
      <c r="SUI241" s="1"/>
      <c r="SUJ241" s="1"/>
      <c r="SUK241" s="1"/>
      <c r="SUL241" s="1"/>
      <c r="SUM241" s="1"/>
      <c r="SUN241" s="1"/>
      <c r="SUO241" s="1"/>
      <c r="SUP241" s="1"/>
      <c r="SUQ241" s="1"/>
      <c r="SUR241" s="1"/>
      <c r="SUS241" s="1"/>
      <c r="SUT241" s="1"/>
      <c r="SUU241" s="1"/>
      <c r="SUV241" s="1"/>
      <c r="SUW241" s="1"/>
      <c r="SUX241" s="1"/>
      <c r="SUY241" s="1"/>
      <c r="SUZ241" s="1"/>
      <c r="SVA241" s="1"/>
      <c r="SVB241" s="1"/>
      <c r="SVC241" s="1"/>
      <c r="SVD241" s="1"/>
      <c r="SVE241" s="1"/>
      <c r="SVF241" s="1"/>
      <c r="SVG241" s="1"/>
      <c r="SVH241" s="1"/>
      <c r="SVI241" s="1"/>
      <c r="SVJ241" s="1"/>
      <c r="SVK241" s="1"/>
      <c r="SVL241" s="1"/>
      <c r="SVM241" s="1"/>
      <c r="SVN241" s="1"/>
      <c r="SVO241" s="1"/>
      <c r="SVP241" s="1"/>
      <c r="SVQ241" s="1"/>
      <c r="SVR241" s="1"/>
      <c r="SVS241" s="1"/>
      <c r="SVT241" s="1"/>
      <c r="SVU241" s="1"/>
      <c r="SVV241" s="1"/>
      <c r="SVW241" s="1"/>
      <c r="SVX241" s="1"/>
      <c r="SVY241" s="1"/>
      <c r="SVZ241" s="1"/>
      <c r="SWA241" s="1"/>
      <c r="SWB241" s="1"/>
      <c r="SWC241" s="1"/>
      <c r="SWD241" s="1"/>
      <c r="SWE241" s="1"/>
      <c r="SWF241" s="1"/>
      <c r="SWG241" s="1"/>
      <c r="SWH241" s="1"/>
      <c r="SWI241" s="1"/>
      <c r="SWJ241" s="1"/>
      <c r="SWK241" s="1"/>
      <c r="SWL241" s="1"/>
      <c r="SWM241" s="1"/>
      <c r="SWN241" s="1"/>
      <c r="SWO241" s="1"/>
      <c r="SWP241" s="1"/>
      <c r="SWQ241" s="1"/>
      <c r="SWR241" s="1"/>
      <c r="SWS241" s="1"/>
      <c r="SWT241" s="1"/>
      <c r="SWU241" s="1"/>
      <c r="SWV241" s="1"/>
      <c r="SWW241" s="1"/>
      <c r="SWX241" s="1"/>
      <c r="SWY241" s="1"/>
      <c r="SWZ241" s="1"/>
      <c r="SXA241" s="1"/>
      <c r="SXB241" s="1"/>
      <c r="SXC241" s="1"/>
      <c r="SXD241" s="1"/>
      <c r="SXE241" s="1"/>
      <c r="SXF241" s="1"/>
      <c r="SXG241" s="1"/>
      <c r="SXH241" s="1"/>
      <c r="SXI241" s="1"/>
      <c r="SXJ241" s="1"/>
      <c r="SXK241" s="1"/>
      <c r="SXL241" s="1"/>
      <c r="SXM241" s="1"/>
      <c r="SXN241" s="1"/>
      <c r="SXO241" s="1"/>
      <c r="SXP241" s="1"/>
      <c r="SXQ241" s="1"/>
      <c r="SXR241" s="1"/>
      <c r="SXS241" s="1"/>
      <c r="SXT241" s="1"/>
      <c r="SXU241" s="1"/>
      <c r="SXV241" s="1"/>
      <c r="SXW241" s="1"/>
      <c r="SXX241" s="1"/>
      <c r="SXY241" s="1"/>
      <c r="SXZ241" s="1"/>
      <c r="SYA241" s="1"/>
      <c r="SYB241" s="1"/>
      <c r="SYC241" s="1"/>
      <c r="SYD241" s="1"/>
      <c r="SYE241" s="1"/>
      <c r="SYF241" s="1"/>
      <c r="SYG241" s="1"/>
      <c r="SYH241" s="1"/>
      <c r="SYI241" s="1"/>
      <c r="SYJ241" s="1"/>
      <c r="SYK241" s="1"/>
      <c r="SYL241" s="1"/>
      <c r="SYM241" s="1"/>
      <c r="SYN241" s="1"/>
      <c r="SYO241" s="1"/>
      <c r="SYP241" s="1"/>
      <c r="SYQ241" s="1"/>
      <c r="SYR241" s="1"/>
      <c r="SYS241" s="1"/>
      <c r="SYT241" s="1"/>
      <c r="SYU241" s="1"/>
      <c r="SYV241" s="1"/>
      <c r="SYW241" s="1"/>
      <c r="SYX241" s="1"/>
      <c r="SYY241" s="1"/>
      <c r="SYZ241" s="1"/>
      <c r="SZA241" s="1"/>
      <c r="SZB241" s="1"/>
      <c r="SZC241" s="1"/>
      <c r="SZD241" s="1"/>
      <c r="SZE241" s="1"/>
      <c r="SZF241" s="1"/>
      <c r="SZG241" s="1"/>
      <c r="SZH241" s="1"/>
      <c r="SZI241" s="1"/>
      <c r="SZJ241" s="1"/>
      <c r="SZK241" s="1"/>
      <c r="SZL241" s="1"/>
      <c r="SZM241" s="1"/>
      <c r="SZN241" s="1"/>
      <c r="SZO241" s="1"/>
      <c r="SZP241" s="1"/>
      <c r="SZQ241" s="1"/>
      <c r="SZR241" s="1"/>
      <c r="SZS241" s="1"/>
      <c r="SZT241" s="1"/>
      <c r="SZU241" s="1"/>
      <c r="SZV241" s="1"/>
      <c r="SZW241" s="1"/>
      <c r="SZX241" s="1"/>
      <c r="SZY241" s="1"/>
      <c r="SZZ241" s="1"/>
      <c r="TAA241" s="1"/>
      <c r="TAB241" s="1"/>
      <c r="TAC241" s="1"/>
      <c r="TAD241" s="1"/>
      <c r="TAE241" s="1"/>
      <c r="TAF241" s="1"/>
      <c r="TAG241" s="1"/>
      <c r="TAH241" s="1"/>
      <c r="TAI241" s="1"/>
      <c r="TAJ241" s="1"/>
      <c r="TAK241" s="1"/>
      <c r="TAL241" s="1"/>
      <c r="TAM241" s="1"/>
      <c r="TAN241" s="1"/>
      <c r="TAO241" s="1"/>
      <c r="TAP241" s="1"/>
      <c r="TAQ241" s="1"/>
      <c r="TAR241" s="1"/>
      <c r="TAS241" s="1"/>
      <c r="TAT241" s="1"/>
      <c r="TAU241" s="1"/>
      <c r="TAV241" s="1"/>
      <c r="TAW241" s="1"/>
      <c r="TAX241" s="1"/>
      <c r="TAY241" s="1"/>
      <c r="TAZ241" s="1"/>
      <c r="TBA241" s="1"/>
      <c r="TBB241" s="1"/>
      <c r="TBC241" s="1"/>
      <c r="TBD241" s="1"/>
      <c r="TBE241" s="1"/>
      <c r="TBF241" s="1"/>
      <c r="TBG241" s="1"/>
      <c r="TBH241" s="1"/>
      <c r="TBI241" s="1"/>
      <c r="TBJ241" s="1"/>
      <c r="TBK241" s="1"/>
      <c r="TBL241" s="1"/>
      <c r="TBM241" s="1"/>
      <c r="TBN241" s="1"/>
      <c r="TBO241" s="1"/>
      <c r="TBP241" s="1"/>
      <c r="TBQ241" s="1"/>
      <c r="TBR241" s="1"/>
      <c r="TBS241" s="1"/>
      <c r="TBT241" s="1"/>
      <c r="TBU241" s="1"/>
      <c r="TBV241" s="1"/>
      <c r="TBW241" s="1"/>
      <c r="TBX241" s="1"/>
      <c r="TBY241" s="1"/>
      <c r="TBZ241" s="1"/>
      <c r="TCA241" s="1"/>
      <c r="TCB241" s="1"/>
      <c r="TCC241" s="1"/>
      <c r="TCD241" s="1"/>
      <c r="TCE241" s="1"/>
      <c r="TCF241" s="1"/>
      <c r="TCG241" s="1"/>
      <c r="TCH241" s="1"/>
      <c r="TCI241" s="1"/>
      <c r="TCJ241" s="1"/>
      <c r="TCK241" s="1"/>
      <c r="TCL241" s="1"/>
      <c r="TCM241" s="1"/>
      <c r="TCN241" s="1"/>
      <c r="TCO241" s="1"/>
      <c r="TCP241" s="1"/>
      <c r="TCQ241" s="1"/>
      <c r="TCR241" s="1"/>
      <c r="TCS241" s="1"/>
      <c r="TCT241" s="1"/>
      <c r="TCU241" s="1"/>
      <c r="TCV241" s="1"/>
      <c r="TCW241" s="1"/>
      <c r="TCX241" s="1"/>
      <c r="TCY241" s="1"/>
      <c r="TCZ241" s="1"/>
      <c r="TDA241" s="1"/>
      <c r="TDB241" s="1"/>
      <c r="TDC241" s="1"/>
      <c r="TDD241" s="1"/>
      <c r="TDE241" s="1"/>
      <c r="TDF241" s="1"/>
      <c r="TDG241" s="1"/>
      <c r="TDH241" s="1"/>
      <c r="TDI241" s="1"/>
      <c r="TDJ241" s="1"/>
      <c r="TDK241" s="1"/>
      <c r="TDL241" s="1"/>
      <c r="TDM241" s="1"/>
      <c r="TDN241" s="1"/>
      <c r="TDO241" s="1"/>
      <c r="TDP241" s="1"/>
      <c r="TDQ241" s="1"/>
      <c r="TDR241" s="1"/>
      <c r="TDS241" s="1"/>
      <c r="TDT241" s="1"/>
      <c r="TDU241" s="1"/>
      <c r="TDV241" s="1"/>
      <c r="TDW241" s="1"/>
      <c r="TDX241" s="1"/>
      <c r="TDY241" s="1"/>
      <c r="TDZ241" s="1"/>
      <c r="TEA241" s="1"/>
      <c r="TEB241" s="1"/>
      <c r="TEC241" s="1"/>
      <c r="TED241" s="1"/>
      <c r="TEE241" s="1"/>
      <c r="TEF241" s="1"/>
      <c r="TEG241" s="1"/>
      <c r="TEH241" s="1"/>
      <c r="TEI241" s="1"/>
      <c r="TEJ241" s="1"/>
      <c r="TEK241" s="1"/>
      <c r="TEL241" s="1"/>
      <c r="TEM241" s="1"/>
      <c r="TEN241" s="1"/>
      <c r="TEO241" s="1"/>
      <c r="TEP241" s="1"/>
      <c r="TEQ241" s="1"/>
      <c r="TER241" s="1"/>
      <c r="TES241" s="1"/>
      <c r="TET241" s="1"/>
      <c r="TEU241" s="1"/>
      <c r="TEV241" s="1"/>
      <c r="TEW241" s="1"/>
      <c r="TEX241" s="1"/>
      <c r="TEY241" s="1"/>
      <c r="TEZ241" s="1"/>
      <c r="TFA241" s="1"/>
      <c r="TFB241" s="1"/>
      <c r="TFC241" s="1"/>
      <c r="TFD241" s="1"/>
      <c r="TFE241" s="1"/>
      <c r="TFF241" s="1"/>
      <c r="TFG241" s="1"/>
      <c r="TFH241" s="1"/>
      <c r="TFI241" s="1"/>
      <c r="TFJ241" s="1"/>
      <c r="TFK241" s="1"/>
      <c r="TFL241" s="1"/>
      <c r="TFM241" s="1"/>
      <c r="TFN241" s="1"/>
      <c r="TFO241" s="1"/>
      <c r="TFP241" s="1"/>
      <c r="TFQ241" s="1"/>
      <c r="TFR241" s="1"/>
      <c r="TFS241" s="1"/>
      <c r="TFT241" s="1"/>
      <c r="TFU241" s="1"/>
      <c r="TFV241" s="1"/>
      <c r="TFW241" s="1"/>
      <c r="TFX241" s="1"/>
      <c r="TFY241" s="1"/>
      <c r="TFZ241" s="1"/>
      <c r="TGA241" s="1"/>
      <c r="TGB241" s="1"/>
      <c r="TGC241" s="1"/>
      <c r="TGD241" s="1"/>
      <c r="TGE241" s="1"/>
      <c r="TGF241" s="1"/>
      <c r="TGG241" s="1"/>
      <c r="TGH241" s="1"/>
      <c r="TGI241" s="1"/>
      <c r="TGJ241" s="1"/>
      <c r="TGK241" s="1"/>
      <c r="TGL241" s="1"/>
      <c r="TGM241" s="1"/>
      <c r="TGN241" s="1"/>
      <c r="TGO241" s="1"/>
      <c r="TGP241" s="1"/>
      <c r="TGQ241" s="1"/>
      <c r="TGR241" s="1"/>
      <c r="TGS241" s="1"/>
      <c r="TGT241" s="1"/>
      <c r="TGU241" s="1"/>
      <c r="TGV241" s="1"/>
      <c r="TGW241" s="1"/>
      <c r="TGX241" s="1"/>
      <c r="TGY241" s="1"/>
      <c r="TGZ241" s="1"/>
      <c r="THA241" s="1"/>
      <c r="THB241" s="1"/>
      <c r="THC241" s="1"/>
      <c r="THD241" s="1"/>
      <c r="THE241" s="1"/>
      <c r="THF241" s="1"/>
      <c r="THG241" s="1"/>
      <c r="THH241" s="1"/>
      <c r="THI241" s="1"/>
      <c r="THJ241" s="1"/>
      <c r="THK241" s="1"/>
      <c r="THL241" s="1"/>
      <c r="THM241" s="1"/>
      <c r="THN241" s="1"/>
      <c r="THO241" s="1"/>
      <c r="THP241" s="1"/>
      <c r="THQ241" s="1"/>
      <c r="THR241" s="1"/>
      <c r="THS241" s="1"/>
      <c r="THT241" s="1"/>
      <c r="THU241" s="1"/>
      <c r="THV241" s="1"/>
      <c r="THW241" s="1"/>
      <c r="THX241" s="1"/>
      <c r="THY241" s="1"/>
      <c r="THZ241" s="1"/>
      <c r="TIA241" s="1"/>
      <c r="TIB241" s="1"/>
      <c r="TIC241" s="1"/>
      <c r="TID241" s="1"/>
      <c r="TIE241" s="1"/>
      <c r="TIF241" s="1"/>
      <c r="TIG241" s="1"/>
      <c r="TIH241" s="1"/>
      <c r="TII241" s="1"/>
      <c r="TIJ241" s="1"/>
      <c r="TIK241" s="1"/>
      <c r="TIL241" s="1"/>
      <c r="TIM241" s="1"/>
      <c r="TIN241" s="1"/>
      <c r="TIO241" s="1"/>
      <c r="TIP241" s="1"/>
      <c r="TIQ241" s="1"/>
      <c r="TIR241" s="1"/>
      <c r="TIS241" s="1"/>
      <c r="TIT241" s="1"/>
      <c r="TIU241" s="1"/>
      <c r="TIV241" s="1"/>
      <c r="TIW241" s="1"/>
      <c r="TIX241" s="1"/>
      <c r="TIY241" s="1"/>
      <c r="TIZ241" s="1"/>
      <c r="TJA241" s="1"/>
      <c r="TJB241" s="1"/>
      <c r="TJC241" s="1"/>
      <c r="TJD241" s="1"/>
      <c r="TJE241" s="1"/>
      <c r="TJF241" s="1"/>
      <c r="TJG241" s="1"/>
      <c r="TJH241" s="1"/>
      <c r="TJI241" s="1"/>
      <c r="TJJ241" s="1"/>
      <c r="TJK241" s="1"/>
      <c r="TJL241" s="1"/>
      <c r="TJM241" s="1"/>
      <c r="TJN241" s="1"/>
      <c r="TJO241" s="1"/>
      <c r="TJP241" s="1"/>
      <c r="TJQ241" s="1"/>
      <c r="TJR241" s="1"/>
      <c r="TJS241" s="1"/>
      <c r="TJT241" s="1"/>
      <c r="TJU241" s="1"/>
      <c r="TJV241" s="1"/>
      <c r="TJW241" s="1"/>
      <c r="TJX241" s="1"/>
      <c r="TJY241" s="1"/>
      <c r="TJZ241" s="1"/>
      <c r="TKA241" s="1"/>
      <c r="TKB241" s="1"/>
      <c r="TKC241" s="1"/>
      <c r="TKD241" s="1"/>
      <c r="TKE241" s="1"/>
      <c r="TKF241" s="1"/>
      <c r="TKG241" s="1"/>
      <c r="TKH241" s="1"/>
      <c r="TKI241" s="1"/>
      <c r="TKJ241" s="1"/>
      <c r="TKK241" s="1"/>
      <c r="TKL241" s="1"/>
      <c r="TKM241" s="1"/>
      <c r="TKN241" s="1"/>
      <c r="TKO241" s="1"/>
      <c r="TKP241" s="1"/>
      <c r="TKQ241" s="1"/>
      <c r="TKR241" s="1"/>
      <c r="TKS241" s="1"/>
      <c r="TKT241" s="1"/>
      <c r="TKU241" s="1"/>
      <c r="TKV241" s="1"/>
      <c r="TKW241" s="1"/>
      <c r="TKX241" s="1"/>
      <c r="TKY241" s="1"/>
      <c r="TKZ241" s="1"/>
      <c r="TLA241" s="1"/>
      <c r="TLB241" s="1"/>
      <c r="TLC241" s="1"/>
      <c r="TLD241" s="1"/>
      <c r="TLE241" s="1"/>
      <c r="TLF241" s="1"/>
      <c r="TLG241" s="1"/>
      <c r="TLH241" s="1"/>
      <c r="TLI241" s="1"/>
      <c r="TLJ241" s="1"/>
      <c r="TLK241" s="1"/>
      <c r="TLL241" s="1"/>
      <c r="TLM241" s="1"/>
      <c r="TLN241" s="1"/>
      <c r="TLO241" s="1"/>
      <c r="TLP241" s="1"/>
      <c r="TLQ241" s="1"/>
      <c r="TLR241" s="1"/>
      <c r="TLS241" s="1"/>
      <c r="TLT241" s="1"/>
      <c r="TLU241" s="1"/>
      <c r="TLV241" s="1"/>
      <c r="TLW241" s="1"/>
      <c r="TLX241" s="1"/>
      <c r="TLY241" s="1"/>
      <c r="TLZ241" s="1"/>
      <c r="TMA241" s="1"/>
      <c r="TMB241" s="1"/>
      <c r="TMC241" s="1"/>
      <c r="TMD241" s="1"/>
      <c r="TME241" s="1"/>
      <c r="TMF241" s="1"/>
      <c r="TMG241" s="1"/>
      <c r="TMH241" s="1"/>
      <c r="TMI241" s="1"/>
      <c r="TMJ241" s="1"/>
      <c r="TMK241" s="1"/>
      <c r="TML241" s="1"/>
      <c r="TMM241" s="1"/>
      <c r="TMN241" s="1"/>
      <c r="TMO241" s="1"/>
      <c r="TMP241" s="1"/>
      <c r="TMQ241" s="1"/>
      <c r="TMR241" s="1"/>
      <c r="TMS241" s="1"/>
      <c r="TMT241" s="1"/>
      <c r="TMU241" s="1"/>
      <c r="TMV241" s="1"/>
      <c r="TMW241" s="1"/>
      <c r="TMX241" s="1"/>
      <c r="TMY241" s="1"/>
      <c r="TMZ241" s="1"/>
      <c r="TNA241" s="1"/>
      <c r="TNB241" s="1"/>
      <c r="TNC241" s="1"/>
      <c r="TND241" s="1"/>
      <c r="TNE241" s="1"/>
      <c r="TNF241" s="1"/>
      <c r="TNG241" s="1"/>
      <c r="TNH241" s="1"/>
      <c r="TNI241" s="1"/>
      <c r="TNJ241" s="1"/>
      <c r="TNK241" s="1"/>
      <c r="TNL241" s="1"/>
      <c r="TNM241" s="1"/>
      <c r="TNN241" s="1"/>
      <c r="TNO241" s="1"/>
      <c r="TNP241" s="1"/>
      <c r="TNQ241" s="1"/>
      <c r="TNR241" s="1"/>
      <c r="TNS241" s="1"/>
      <c r="TNT241" s="1"/>
      <c r="TNU241" s="1"/>
      <c r="TNV241" s="1"/>
      <c r="TNW241" s="1"/>
      <c r="TNX241" s="1"/>
      <c r="TNY241" s="1"/>
      <c r="TNZ241" s="1"/>
      <c r="TOA241" s="1"/>
      <c r="TOB241" s="1"/>
      <c r="TOC241" s="1"/>
      <c r="TOD241" s="1"/>
      <c r="TOE241" s="1"/>
      <c r="TOF241" s="1"/>
      <c r="TOG241" s="1"/>
      <c r="TOH241" s="1"/>
      <c r="TOI241" s="1"/>
      <c r="TOJ241" s="1"/>
      <c r="TOK241" s="1"/>
      <c r="TOL241" s="1"/>
      <c r="TOM241" s="1"/>
      <c r="TON241" s="1"/>
      <c r="TOO241" s="1"/>
      <c r="TOP241" s="1"/>
      <c r="TOQ241" s="1"/>
      <c r="TOR241" s="1"/>
      <c r="TOS241" s="1"/>
      <c r="TOT241" s="1"/>
      <c r="TOU241" s="1"/>
      <c r="TOV241" s="1"/>
      <c r="TOW241" s="1"/>
      <c r="TOX241" s="1"/>
      <c r="TOY241" s="1"/>
      <c r="TOZ241" s="1"/>
      <c r="TPA241" s="1"/>
      <c r="TPB241" s="1"/>
      <c r="TPC241" s="1"/>
      <c r="TPD241" s="1"/>
      <c r="TPE241" s="1"/>
      <c r="TPF241" s="1"/>
      <c r="TPG241" s="1"/>
      <c r="TPH241" s="1"/>
      <c r="TPI241" s="1"/>
      <c r="TPJ241" s="1"/>
      <c r="TPK241" s="1"/>
      <c r="TPL241" s="1"/>
      <c r="TPM241" s="1"/>
      <c r="TPN241" s="1"/>
      <c r="TPO241" s="1"/>
      <c r="TPP241" s="1"/>
      <c r="TPQ241" s="1"/>
      <c r="TPR241" s="1"/>
      <c r="TPS241" s="1"/>
      <c r="TPT241" s="1"/>
      <c r="TPU241" s="1"/>
      <c r="TPV241" s="1"/>
      <c r="TPW241" s="1"/>
      <c r="TPX241" s="1"/>
      <c r="TPY241" s="1"/>
      <c r="TPZ241" s="1"/>
      <c r="TQA241" s="1"/>
      <c r="TQB241" s="1"/>
      <c r="TQC241" s="1"/>
      <c r="TQD241" s="1"/>
      <c r="TQE241" s="1"/>
      <c r="TQF241" s="1"/>
      <c r="TQG241" s="1"/>
      <c r="TQH241" s="1"/>
      <c r="TQI241" s="1"/>
      <c r="TQJ241" s="1"/>
      <c r="TQK241" s="1"/>
      <c r="TQL241" s="1"/>
      <c r="TQM241" s="1"/>
      <c r="TQN241" s="1"/>
      <c r="TQO241" s="1"/>
      <c r="TQP241" s="1"/>
      <c r="TQQ241" s="1"/>
      <c r="TQR241" s="1"/>
      <c r="TQS241" s="1"/>
      <c r="TQT241" s="1"/>
      <c r="TQU241" s="1"/>
      <c r="TQV241" s="1"/>
      <c r="TQW241" s="1"/>
      <c r="TQX241" s="1"/>
      <c r="TQY241" s="1"/>
      <c r="TQZ241" s="1"/>
      <c r="TRA241" s="1"/>
      <c r="TRB241" s="1"/>
      <c r="TRC241" s="1"/>
      <c r="TRD241" s="1"/>
      <c r="TRE241" s="1"/>
      <c r="TRF241" s="1"/>
      <c r="TRG241" s="1"/>
      <c r="TRH241" s="1"/>
      <c r="TRI241" s="1"/>
      <c r="TRJ241" s="1"/>
      <c r="TRK241" s="1"/>
      <c r="TRL241" s="1"/>
      <c r="TRM241" s="1"/>
      <c r="TRN241" s="1"/>
      <c r="TRO241" s="1"/>
      <c r="TRP241" s="1"/>
      <c r="TRQ241" s="1"/>
      <c r="TRR241" s="1"/>
      <c r="TRS241" s="1"/>
      <c r="TRT241" s="1"/>
      <c r="TRU241" s="1"/>
      <c r="TRV241" s="1"/>
      <c r="TRW241" s="1"/>
      <c r="TRX241" s="1"/>
      <c r="TRY241" s="1"/>
      <c r="TRZ241" s="1"/>
      <c r="TSA241" s="1"/>
      <c r="TSB241" s="1"/>
      <c r="TSC241" s="1"/>
      <c r="TSD241" s="1"/>
      <c r="TSE241" s="1"/>
      <c r="TSF241" s="1"/>
      <c r="TSG241" s="1"/>
      <c r="TSH241" s="1"/>
      <c r="TSI241" s="1"/>
      <c r="TSJ241" s="1"/>
      <c r="TSK241" s="1"/>
      <c r="TSL241" s="1"/>
      <c r="TSM241" s="1"/>
      <c r="TSN241" s="1"/>
      <c r="TSO241" s="1"/>
      <c r="TSP241" s="1"/>
      <c r="TSQ241" s="1"/>
      <c r="TSR241" s="1"/>
      <c r="TSS241" s="1"/>
      <c r="TST241" s="1"/>
      <c r="TSU241" s="1"/>
      <c r="TSV241" s="1"/>
      <c r="TSW241" s="1"/>
      <c r="TSX241" s="1"/>
      <c r="TSY241" s="1"/>
      <c r="TSZ241" s="1"/>
      <c r="TTA241" s="1"/>
      <c r="TTB241" s="1"/>
      <c r="TTC241" s="1"/>
      <c r="TTD241" s="1"/>
      <c r="TTE241" s="1"/>
      <c r="TTF241" s="1"/>
      <c r="TTG241" s="1"/>
      <c r="TTH241" s="1"/>
      <c r="TTI241" s="1"/>
      <c r="TTJ241" s="1"/>
      <c r="TTK241" s="1"/>
      <c r="TTL241" s="1"/>
      <c r="TTM241" s="1"/>
      <c r="TTN241" s="1"/>
      <c r="TTO241" s="1"/>
      <c r="TTP241" s="1"/>
      <c r="TTQ241" s="1"/>
      <c r="TTR241" s="1"/>
      <c r="TTS241" s="1"/>
      <c r="TTT241" s="1"/>
      <c r="TTU241" s="1"/>
      <c r="TTV241" s="1"/>
      <c r="TTW241" s="1"/>
      <c r="TTX241" s="1"/>
      <c r="TTY241" s="1"/>
      <c r="TTZ241" s="1"/>
      <c r="TUA241" s="1"/>
      <c r="TUB241" s="1"/>
      <c r="TUC241" s="1"/>
      <c r="TUD241" s="1"/>
      <c r="TUE241" s="1"/>
      <c r="TUF241" s="1"/>
      <c r="TUG241" s="1"/>
      <c r="TUH241" s="1"/>
      <c r="TUI241" s="1"/>
      <c r="TUJ241" s="1"/>
      <c r="TUK241" s="1"/>
      <c r="TUL241" s="1"/>
      <c r="TUM241" s="1"/>
      <c r="TUN241" s="1"/>
      <c r="TUO241" s="1"/>
      <c r="TUP241" s="1"/>
      <c r="TUQ241" s="1"/>
      <c r="TUR241" s="1"/>
      <c r="TUS241" s="1"/>
      <c r="TUT241" s="1"/>
      <c r="TUU241" s="1"/>
      <c r="TUV241" s="1"/>
      <c r="TUW241" s="1"/>
      <c r="TUX241" s="1"/>
      <c r="TUY241" s="1"/>
      <c r="TUZ241" s="1"/>
      <c r="TVA241" s="1"/>
      <c r="TVB241" s="1"/>
      <c r="TVC241" s="1"/>
      <c r="TVD241" s="1"/>
      <c r="TVE241" s="1"/>
      <c r="TVF241" s="1"/>
      <c r="TVG241" s="1"/>
      <c r="TVH241" s="1"/>
      <c r="TVI241" s="1"/>
      <c r="TVJ241" s="1"/>
      <c r="TVK241" s="1"/>
      <c r="TVL241" s="1"/>
      <c r="TVM241" s="1"/>
      <c r="TVN241" s="1"/>
      <c r="TVO241" s="1"/>
      <c r="TVP241" s="1"/>
      <c r="TVQ241" s="1"/>
      <c r="TVR241" s="1"/>
      <c r="TVS241" s="1"/>
      <c r="TVT241" s="1"/>
      <c r="TVU241" s="1"/>
      <c r="TVV241" s="1"/>
      <c r="TVW241" s="1"/>
      <c r="TVX241" s="1"/>
      <c r="TVY241" s="1"/>
      <c r="TVZ241" s="1"/>
      <c r="TWA241" s="1"/>
      <c r="TWB241" s="1"/>
      <c r="TWC241" s="1"/>
      <c r="TWD241" s="1"/>
      <c r="TWE241" s="1"/>
      <c r="TWF241" s="1"/>
      <c r="TWG241" s="1"/>
      <c r="TWH241" s="1"/>
      <c r="TWI241" s="1"/>
      <c r="TWJ241" s="1"/>
      <c r="TWK241" s="1"/>
      <c r="TWL241" s="1"/>
      <c r="TWM241" s="1"/>
      <c r="TWN241" s="1"/>
      <c r="TWO241" s="1"/>
      <c r="TWP241" s="1"/>
      <c r="TWQ241" s="1"/>
      <c r="TWR241" s="1"/>
      <c r="TWS241" s="1"/>
      <c r="TWT241" s="1"/>
      <c r="TWU241" s="1"/>
      <c r="TWV241" s="1"/>
      <c r="TWW241" s="1"/>
      <c r="TWX241" s="1"/>
      <c r="TWY241" s="1"/>
      <c r="TWZ241" s="1"/>
      <c r="TXA241" s="1"/>
      <c r="TXB241" s="1"/>
      <c r="TXC241" s="1"/>
      <c r="TXD241" s="1"/>
      <c r="TXE241" s="1"/>
      <c r="TXF241" s="1"/>
      <c r="TXG241" s="1"/>
      <c r="TXH241" s="1"/>
      <c r="TXI241" s="1"/>
      <c r="TXJ241" s="1"/>
      <c r="TXK241" s="1"/>
      <c r="TXL241" s="1"/>
      <c r="TXM241" s="1"/>
      <c r="TXN241" s="1"/>
      <c r="TXO241" s="1"/>
      <c r="TXP241" s="1"/>
      <c r="TXQ241" s="1"/>
      <c r="TXR241" s="1"/>
      <c r="TXS241" s="1"/>
      <c r="TXT241" s="1"/>
      <c r="TXU241" s="1"/>
      <c r="TXV241" s="1"/>
      <c r="TXW241" s="1"/>
      <c r="TXX241" s="1"/>
      <c r="TXY241" s="1"/>
      <c r="TXZ241" s="1"/>
      <c r="TYA241" s="1"/>
      <c r="TYB241" s="1"/>
      <c r="TYC241" s="1"/>
      <c r="TYD241" s="1"/>
      <c r="TYE241" s="1"/>
      <c r="TYF241" s="1"/>
      <c r="TYG241" s="1"/>
      <c r="TYH241" s="1"/>
      <c r="TYI241" s="1"/>
      <c r="TYJ241" s="1"/>
      <c r="TYK241" s="1"/>
      <c r="TYL241" s="1"/>
      <c r="TYM241" s="1"/>
      <c r="TYN241" s="1"/>
      <c r="TYO241" s="1"/>
      <c r="TYP241" s="1"/>
      <c r="TYQ241" s="1"/>
      <c r="TYR241" s="1"/>
      <c r="TYS241" s="1"/>
      <c r="TYT241" s="1"/>
      <c r="TYU241" s="1"/>
      <c r="TYV241" s="1"/>
      <c r="TYW241" s="1"/>
      <c r="TYX241" s="1"/>
      <c r="TYY241" s="1"/>
      <c r="TYZ241" s="1"/>
      <c r="TZA241" s="1"/>
      <c r="TZB241" s="1"/>
      <c r="TZC241" s="1"/>
      <c r="TZD241" s="1"/>
      <c r="TZE241" s="1"/>
      <c r="TZF241" s="1"/>
      <c r="TZG241" s="1"/>
      <c r="TZH241" s="1"/>
      <c r="TZI241" s="1"/>
      <c r="TZJ241" s="1"/>
      <c r="TZK241" s="1"/>
      <c r="TZL241" s="1"/>
      <c r="TZM241" s="1"/>
      <c r="TZN241" s="1"/>
      <c r="TZO241" s="1"/>
      <c r="TZP241" s="1"/>
      <c r="TZQ241" s="1"/>
      <c r="TZR241" s="1"/>
      <c r="TZS241" s="1"/>
      <c r="TZT241" s="1"/>
      <c r="TZU241" s="1"/>
      <c r="TZV241" s="1"/>
      <c r="TZW241" s="1"/>
      <c r="TZX241" s="1"/>
      <c r="TZY241" s="1"/>
      <c r="TZZ241" s="1"/>
      <c r="UAA241" s="1"/>
      <c r="UAB241" s="1"/>
      <c r="UAC241" s="1"/>
      <c r="UAD241" s="1"/>
      <c r="UAE241" s="1"/>
      <c r="UAF241" s="1"/>
      <c r="UAG241" s="1"/>
      <c r="UAH241" s="1"/>
      <c r="UAI241" s="1"/>
      <c r="UAJ241" s="1"/>
      <c r="UAK241" s="1"/>
      <c r="UAL241" s="1"/>
      <c r="UAM241" s="1"/>
      <c r="UAN241" s="1"/>
      <c r="UAO241" s="1"/>
      <c r="UAP241" s="1"/>
      <c r="UAQ241" s="1"/>
      <c r="UAR241" s="1"/>
      <c r="UAS241" s="1"/>
      <c r="UAT241" s="1"/>
      <c r="UAU241" s="1"/>
      <c r="UAV241" s="1"/>
      <c r="UAW241" s="1"/>
      <c r="UAX241" s="1"/>
      <c r="UAY241" s="1"/>
      <c r="UAZ241" s="1"/>
      <c r="UBA241" s="1"/>
      <c r="UBB241" s="1"/>
      <c r="UBC241" s="1"/>
      <c r="UBD241" s="1"/>
      <c r="UBE241" s="1"/>
      <c r="UBF241" s="1"/>
      <c r="UBG241" s="1"/>
      <c r="UBH241" s="1"/>
      <c r="UBI241" s="1"/>
      <c r="UBJ241" s="1"/>
      <c r="UBK241" s="1"/>
      <c r="UBL241" s="1"/>
      <c r="UBM241" s="1"/>
      <c r="UBN241" s="1"/>
      <c r="UBO241" s="1"/>
      <c r="UBP241" s="1"/>
      <c r="UBQ241" s="1"/>
      <c r="UBR241" s="1"/>
      <c r="UBS241" s="1"/>
      <c r="UBT241" s="1"/>
      <c r="UBU241" s="1"/>
      <c r="UBV241" s="1"/>
      <c r="UBW241" s="1"/>
      <c r="UBX241" s="1"/>
      <c r="UBY241" s="1"/>
      <c r="UBZ241" s="1"/>
      <c r="UCA241" s="1"/>
      <c r="UCB241" s="1"/>
      <c r="UCC241" s="1"/>
      <c r="UCD241" s="1"/>
      <c r="UCE241" s="1"/>
      <c r="UCF241" s="1"/>
      <c r="UCG241" s="1"/>
      <c r="UCH241" s="1"/>
      <c r="UCI241" s="1"/>
      <c r="UCJ241" s="1"/>
      <c r="UCK241" s="1"/>
      <c r="UCL241" s="1"/>
      <c r="UCM241" s="1"/>
      <c r="UCN241" s="1"/>
      <c r="UCO241" s="1"/>
      <c r="UCP241" s="1"/>
      <c r="UCQ241" s="1"/>
      <c r="UCR241" s="1"/>
      <c r="UCS241" s="1"/>
      <c r="UCT241" s="1"/>
      <c r="UCU241" s="1"/>
      <c r="UCV241" s="1"/>
      <c r="UCW241" s="1"/>
      <c r="UCX241" s="1"/>
      <c r="UCY241" s="1"/>
      <c r="UCZ241" s="1"/>
      <c r="UDA241" s="1"/>
      <c r="UDB241" s="1"/>
      <c r="UDC241" s="1"/>
      <c r="UDD241" s="1"/>
      <c r="UDE241" s="1"/>
      <c r="UDF241" s="1"/>
      <c r="UDG241" s="1"/>
      <c r="UDH241" s="1"/>
      <c r="UDI241" s="1"/>
      <c r="UDJ241" s="1"/>
      <c r="UDK241" s="1"/>
      <c r="UDL241" s="1"/>
      <c r="UDM241" s="1"/>
      <c r="UDN241" s="1"/>
      <c r="UDO241" s="1"/>
      <c r="UDP241" s="1"/>
      <c r="UDQ241" s="1"/>
      <c r="UDR241" s="1"/>
      <c r="UDS241" s="1"/>
      <c r="UDT241" s="1"/>
      <c r="UDU241" s="1"/>
      <c r="UDV241" s="1"/>
      <c r="UDW241" s="1"/>
      <c r="UDX241" s="1"/>
      <c r="UDY241" s="1"/>
      <c r="UDZ241" s="1"/>
      <c r="UEA241" s="1"/>
      <c r="UEB241" s="1"/>
      <c r="UEC241" s="1"/>
      <c r="UED241" s="1"/>
      <c r="UEE241" s="1"/>
      <c r="UEF241" s="1"/>
      <c r="UEG241" s="1"/>
      <c r="UEH241" s="1"/>
      <c r="UEI241" s="1"/>
      <c r="UEJ241" s="1"/>
      <c r="UEK241" s="1"/>
      <c r="UEL241" s="1"/>
      <c r="UEM241" s="1"/>
      <c r="UEN241" s="1"/>
      <c r="UEO241" s="1"/>
      <c r="UEP241" s="1"/>
      <c r="UEQ241" s="1"/>
      <c r="UER241" s="1"/>
      <c r="UES241" s="1"/>
      <c r="UET241" s="1"/>
      <c r="UEU241" s="1"/>
      <c r="UEV241" s="1"/>
      <c r="UEW241" s="1"/>
      <c r="UEX241" s="1"/>
      <c r="UEY241" s="1"/>
      <c r="UEZ241" s="1"/>
      <c r="UFA241" s="1"/>
      <c r="UFB241" s="1"/>
      <c r="UFC241" s="1"/>
      <c r="UFD241" s="1"/>
      <c r="UFE241" s="1"/>
      <c r="UFF241" s="1"/>
      <c r="UFG241" s="1"/>
      <c r="UFH241" s="1"/>
      <c r="UFI241" s="1"/>
      <c r="UFJ241" s="1"/>
      <c r="UFK241" s="1"/>
      <c r="UFL241" s="1"/>
      <c r="UFM241" s="1"/>
      <c r="UFN241" s="1"/>
      <c r="UFO241" s="1"/>
      <c r="UFP241" s="1"/>
      <c r="UFQ241" s="1"/>
      <c r="UFR241" s="1"/>
      <c r="UFS241" s="1"/>
      <c r="UFT241" s="1"/>
      <c r="UFU241" s="1"/>
      <c r="UFV241" s="1"/>
      <c r="UFW241" s="1"/>
      <c r="UFX241" s="1"/>
      <c r="UFY241" s="1"/>
      <c r="UFZ241" s="1"/>
      <c r="UGA241" s="1"/>
      <c r="UGB241" s="1"/>
      <c r="UGC241" s="1"/>
      <c r="UGD241" s="1"/>
      <c r="UGE241" s="1"/>
      <c r="UGF241" s="1"/>
      <c r="UGG241" s="1"/>
      <c r="UGH241" s="1"/>
      <c r="UGI241" s="1"/>
      <c r="UGJ241" s="1"/>
      <c r="UGK241" s="1"/>
      <c r="UGL241" s="1"/>
      <c r="UGM241" s="1"/>
      <c r="UGN241" s="1"/>
      <c r="UGO241" s="1"/>
      <c r="UGP241" s="1"/>
      <c r="UGQ241" s="1"/>
      <c r="UGR241" s="1"/>
      <c r="UGS241" s="1"/>
      <c r="UGT241" s="1"/>
      <c r="UGU241" s="1"/>
      <c r="UGV241" s="1"/>
      <c r="UGW241" s="1"/>
      <c r="UGX241" s="1"/>
      <c r="UGY241" s="1"/>
      <c r="UGZ241" s="1"/>
      <c r="UHA241" s="1"/>
      <c r="UHB241" s="1"/>
      <c r="UHC241" s="1"/>
      <c r="UHD241" s="1"/>
      <c r="UHE241" s="1"/>
      <c r="UHF241" s="1"/>
      <c r="UHG241" s="1"/>
      <c r="UHH241" s="1"/>
      <c r="UHI241" s="1"/>
      <c r="UHJ241" s="1"/>
      <c r="UHK241" s="1"/>
      <c r="UHL241" s="1"/>
      <c r="UHM241" s="1"/>
      <c r="UHN241" s="1"/>
      <c r="UHO241" s="1"/>
      <c r="UHP241" s="1"/>
      <c r="UHQ241" s="1"/>
      <c r="UHR241" s="1"/>
      <c r="UHS241" s="1"/>
      <c r="UHT241" s="1"/>
      <c r="UHU241" s="1"/>
      <c r="UHV241" s="1"/>
      <c r="UHW241" s="1"/>
      <c r="UHX241" s="1"/>
      <c r="UHY241" s="1"/>
      <c r="UHZ241" s="1"/>
      <c r="UIA241" s="1"/>
      <c r="UIB241" s="1"/>
      <c r="UIC241" s="1"/>
      <c r="UID241" s="1"/>
      <c r="UIE241" s="1"/>
      <c r="UIF241" s="1"/>
      <c r="UIG241" s="1"/>
      <c r="UIH241" s="1"/>
      <c r="UII241" s="1"/>
      <c r="UIJ241" s="1"/>
      <c r="UIK241" s="1"/>
      <c r="UIL241" s="1"/>
      <c r="UIM241" s="1"/>
      <c r="UIN241" s="1"/>
      <c r="UIO241" s="1"/>
      <c r="UIP241" s="1"/>
      <c r="UIQ241" s="1"/>
      <c r="UIR241" s="1"/>
      <c r="UIS241" s="1"/>
      <c r="UIT241" s="1"/>
      <c r="UIU241" s="1"/>
      <c r="UIV241" s="1"/>
      <c r="UIW241" s="1"/>
      <c r="UIX241" s="1"/>
      <c r="UIY241" s="1"/>
      <c r="UIZ241" s="1"/>
      <c r="UJA241" s="1"/>
      <c r="UJB241" s="1"/>
      <c r="UJC241" s="1"/>
      <c r="UJD241" s="1"/>
      <c r="UJE241" s="1"/>
      <c r="UJF241" s="1"/>
      <c r="UJG241" s="1"/>
      <c r="UJH241" s="1"/>
      <c r="UJI241" s="1"/>
      <c r="UJJ241" s="1"/>
      <c r="UJK241" s="1"/>
      <c r="UJL241" s="1"/>
      <c r="UJM241" s="1"/>
      <c r="UJN241" s="1"/>
      <c r="UJO241" s="1"/>
      <c r="UJP241" s="1"/>
      <c r="UJQ241" s="1"/>
      <c r="UJR241" s="1"/>
      <c r="UJS241" s="1"/>
      <c r="UJT241" s="1"/>
      <c r="UJU241" s="1"/>
      <c r="UJV241" s="1"/>
      <c r="UJW241" s="1"/>
      <c r="UJX241" s="1"/>
      <c r="UJY241" s="1"/>
      <c r="UJZ241" s="1"/>
      <c r="UKA241" s="1"/>
      <c r="UKB241" s="1"/>
      <c r="UKC241" s="1"/>
      <c r="UKD241" s="1"/>
      <c r="UKE241" s="1"/>
      <c r="UKF241" s="1"/>
      <c r="UKG241" s="1"/>
      <c r="UKH241" s="1"/>
      <c r="UKI241" s="1"/>
      <c r="UKJ241" s="1"/>
      <c r="UKK241" s="1"/>
      <c r="UKL241" s="1"/>
      <c r="UKM241" s="1"/>
      <c r="UKN241" s="1"/>
      <c r="UKO241" s="1"/>
      <c r="UKP241" s="1"/>
      <c r="UKQ241" s="1"/>
      <c r="UKR241" s="1"/>
      <c r="UKS241" s="1"/>
      <c r="UKT241" s="1"/>
      <c r="UKU241" s="1"/>
      <c r="UKV241" s="1"/>
      <c r="UKW241" s="1"/>
      <c r="UKX241" s="1"/>
      <c r="UKY241" s="1"/>
      <c r="UKZ241" s="1"/>
      <c r="ULA241" s="1"/>
      <c r="ULB241" s="1"/>
      <c r="ULC241" s="1"/>
      <c r="ULD241" s="1"/>
      <c r="ULE241" s="1"/>
      <c r="ULF241" s="1"/>
      <c r="ULG241" s="1"/>
      <c r="ULH241" s="1"/>
      <c r="ULI241" s="1"/>
      <c r="ULJ241" s="1"/>
      <c r="ULK241" s="1"/>
      <c r="ULL241" s="1"/>
      <c r="ULM241" s="1"/>
      <c r="ULN241" s="1"/>
      <c r="ULO241" s="1"/>
      <c r="ULP241" s="1"/>
      <c r="ULQ241" s="1"/>
      <c r="ULR241" s="1"/>
      <c r="ULS241" s="1"/>
      <c r="ULT241" s="1"/>
      <c r="ULU241" s="1"/>
      <c r="ULV241" s="1"/>
      <c r="ULW241" s="1"/>
      <c r="ULX241" s="1"/>
      <c r="ULY241" s="1"/>
      <c r="ULZ241" s="1"/>
      <c r="UMA241" s="1"/>
      <c r="UMB241" s="1"/>
      <c r="UMC241" s="1"/>
      <c r="UMD241" s="1"/>
      <c r="UME241" s="1"/>
      <c r="UMF241" s="1"/>
      <c r="UMG241" s="1"/>
      <c r="UMH241" s="1"/>
      <c r="UMI241" s="1"/>
      <c r="UMJ241" s="1"/>
      <c r="UMK241" s="1"/>
      <c r="UML241" s="1"/>
      <c r="UMM241" s="1"/>
      <c r="UMN241" s="1"/>
      <c r="UMO241" s="1"/>
      <c r="UMP241" s="1"/>
      <c r="UMQ241" s="1"/>
      <c r="UMR241" s="1"/>
      <c r="UMS241" s="1"/>
      <c r="UMT241" s="1"/>
      <c r="UMU241" s="1"/>
      <c r="UMV241" s="1"/>
      <c r="UMW241" s="1"/>
      <c r="UMX241" s="1"/>
      <c r="UMY241" s="1"/>
      <c r="UMZ241" s="1"/>
      <c r="UNA241" s="1"/>
      <c r="UNB241" s="1"/>
      <c r="UNC241" s="1"/>
      <c r="UND241" s="1"/>
      <c r="UNE241" s="1"/>
      <c r="UNF241" s="1"/>
      <c r="UNG241" s="1"/>
      <c r="UNH241" s="1"/>
      <c r="UNI241" s="1"/>
      <c r="UNJ241" s="1"/>
      <c r="UNK241" s="1"/>
      <c r="UNL241" s="1"/>
      <c r="UNM241" s="1"/>
      <c r="UNN241" s="1"/>
      <c r="UNO241" s="1"/>
      <c r="UNP241" s="1"/>
      <c r="UNQ241" s="1"/>
      <c r="UNR241" s="1"/>
      <c r="UNS241" s="1"/>
      <c r="UNT241" s="1"/>
      <c r="UNU241" s="1"/>
      <c r="UNV241" s="1"/>
      <c r="UNW241" s="1"/>
      <c r="UNX241" s="1"/>
      <c r="UNY241" s="1"/>
      <c r="UNZ241" s="1"/>
      <c r="UOA241" s="1"/>
      <c r="UOB241" s="1"/>
      <c r="UOC241" s="1"/>
      <c r="UOD241" s="1"/>
      <c r="UOE241" s="1"/>
      <c r="UOF241" s="1"/>
      <c r="UOG241" s="1"/>
      <c r="UOH241" s="1"/>
      <c r="UOI241" s="1"/>
      <c r="UOJ241" s="1"/>
      <c r="UOK241" s="1"/>
      <c r="UOL241" s="1"/>
      <c r="UOM241" s="1"/>
      <c r="UON241" s="1"/>
      <c r="UOO241" s="1"/>
      <c r="UOP241" s="1"/>
      <c r="UOQ241" s="1"/>
      <c r="UOR241" s="1"/>
      <c r="UOS241" s="1"/>
      <c r="UOT241" s="1"/>
      <c r="UOU241" s="1"/>
      <c r="UOV241" s="1"/>
      <c r="UOW241" s="1"/>
      <c r="UOX241" s="1"/>
      <c r="UOY241" s="1"/>
      <c r="UOZ241" s="1"/>
      <c r="UPA241" s="1"/>
      <c r="UPB241" s="1"/>
      <c r="UPC241" s="1"/>
      <c r="UPD241" s="1"/>
      <c r="UPE241" s="1"/>
      <c r="UPF241" s="1"/>
      <c r="UPG241" s="1"/>
      <c r="UPH241" s="1"/>
      <c r="UPI241" s="1"/>
      <c r="UPJ241" s="1"/>
      <c r="UPK241" s="1"/>
      <c r="UPL241" s="1"/>
      <c r="UPM241" s="1"/>
      <c r="UPN241" s="1"/>
      <c r="UPO241" s="1"/>
      <c r="UPP241" s="1"/>
      <c r="UPQ241" s="1"/>
      <c r="UPR241" s="1"/>
      <c r="UPS241" s="1"/>
      <c r="UPT241" s="1"/>
      <c r="UPU241" s="1"/>
      <c r="UPV241" s="1"/>
      <c r="UPW241" s="1"/>
      <c r="UPX241" s="1"/>
      <c r="UPY241" s="1"/>
      <c r="UPZ241" s="1"/>
      <c r="UQA241" s="1"/>
      <c r="UQB241" s="1"/>
      <c r="UQC241" s="1"/>
      <c r="UQD241" s="1"/>
      <c r="UQE241" s="1"/>
      <c r="UQF241" s="1"/>
      <c r="UQG241" s="1"/>
      <c r="UQH241" s="1"/>
      <c r="UQI241" s="1"/>
      <c r="UQJ241" s="1"/>
      <c r="UQK241" s="1"/>
      <c r="UQL241" s="1"/>
      <c r="UQM241" s="1"/>
      <c r="UQN241" s="1"/>
      <c r="UQO241" s="1"/>
      <c r="UQP241" s="1"/>
      <c r="UQQ241" s="1"/>
      <c r="UQR241" s="1"/>
      <c r="UQS241" s="1"/>
      <c r="UQT241" s="1"/>
      <c r="UQU241" s="1"/>
      <c r="UQV241" s="1"/>
      <c r="UQW241" s="1"/>
      <c r="UQX241" s="1"/>
      <c r="UQY241" s="1"/>
      <c r="UQZ241" s="1"/>
      <c r="URA241" s="1"/>
      <c r="URB241" s="1"/>
      <c r="URC241" s="1"/>
      <c r="URD241" s="1"/>
      <c r="URE241" s="1"/>
      <c r="URF241" s="1"/>
      <c r="URG241" s="1"/>
      <c r="URH241" s="1"/>
      <c r="URI241" s="1"/>
      <c r="URJ241" s="1"/>
      <c r="URK241" s="1"/>
      <c r="URL241" s="1"/>
      <c r="URM241" s="1"/>
      <c r="URN241" s="1"/>
      <c r="URO241" s="1"/>
      <c r="URP241" s="1"/>
      <c r="URQ241" s="1"/>
      <c r="URR241" s="1"/>
      <c r="URS241" s="1"/>
      <c r="URT241" s="1"/>
      <c r="URU241" s="1"/>
      <c r="URV241" s="1"/>
      <c r="URW241" s="1"/>
      <c r="URX241" s="1"/>
      <c r="URY241" s="1"/>
      <c r="URZ241" s="1"/>
      <c r="USA241" s="1"/>
      <c r="USB241" s="1"/>
      <c r="USC241" s="1"/>
      <c r="USD241" s="1"/>
      <c r="USE241" s="1"/>
      <c r="USF241" s="1"/>
      <c r="USG241" s="1"/>
      <c r="USH241" s="1"/>
      <c r="USI241" s="1"/>
      <c r="USJ241" s="1"/>
      <c r="USK241" s="1"/>
      <c r="USL241" s="1"/>
      <c r="USM241" s="1"/>
      <c r="USN241" s="1"/>
      <c r="USO241" s="1"/>
      <c r="USP241" s="1"/>
      <c r="USQ241" s="1"/>
      <c r="USR241" s="1"/>
      <c r="USS241" s="1"/>
      <c r="UST241" s="1"/>
      <c r="USU241" s="1"/>
      <c r="USV241" s="1"/>
      <c r="USW241" s="1"/>
      <c r="USX241" s="1"/>
      <c r="USY241" s="1"/>
      <c r="USZ241" s="1"/>
      <c r="UTA241" s="1"/>
      <c r="UTB241" s="1"/>
      <c r="UTC241" s="1"/>
      <c r="UTD241" s="1"/>
      <c r="UTE241" s="1"/>
      <c r="UTF241" s="1"/>
      <c r="UTG241" s="1"/>
      <c r="UTH241" s="1"/>
      <c r="UTI241" s="1"/>
      <c r="UTJ241" s="1"/>
      <c r="UTK241" s="1"/>
      <c r="UTL241" s="1"/>
      <c r="UTM241" s="1"/>
      <c r="UTN241" s="1"/>
      <c r="UTO241" s="1"/>
      <c r="UTP241" s="1"/>
      <c r="UTQ241" s="1"/>
      <c r="UTR241" s="1"/>
      <c r="UTS241" s="1"/>
      <c r="UTT241" s="1"/>
      <c r="UTU241" s="1"/>
      <c r="UTV241" s="1"/>
      <c r="UTW241" s="1"/>
      <c r="UTX241" s="1"/>
      <c r="UTY241" s="1"/>
      <c r="UTZ241" s="1"/>
      <c r="UUA241" s="1"/>
      <c r="UUB241" s="1"/>
      <c r="UUC241" s="1"/>
      <c r="UUD241" s="1"/>
      <c r="UUE241" s="1"/>
      <c r="UUF241" s="1"/>
      <c r="UUG241" s="1"/>
      <c r="UUH241" s="1"/>
      <c r="UUI241" s="1"/>
      <c r="UUJ241" s="1"/>
      <c r="UUK241" s="1"/>
      <c r="UUL241" s="1"/>
      <c r="UUM241" s="1"/>
      <c r="UUN241" s="1"/>
      <c r="UUO241" s="1"/>
      <c r="UUP241" s="1"/>
      <c r="UUQ241" s="1"/>
      <c r="UUR241" s="1"/>
      <c r="UUS241" s="1"/>
      <c r="UUT241" s="1"/>
      <c r="UUU241" s="1"/>
      <c r="UUV241" s="1"/>
      <c r="UUW241" s="1"/>
      <c r="UUX241" s="1"/>
      <c r="UUY241" s="1"/>
      <c r="UUZ241" s="1"/>
      <c r="UVA241" s="1"/>
      <c r="UVB241" s="1"/>
      <c r="UVC241" s="1"/>
      <c r="UVD241" s="1"/>
      <c r="UVE241" s="1"/>
      <c r="UVF241" s="1"/>
      <c r="UVG241" s="1"/>
      <c r="UVH241" s="1"/>
      <c r="UVI241" s="1"/>
      <c r="UVJ241" s="1"/>
      <c r="UVK241" s="1"/>
      <c r="UVL241" s="1"/>
      <c r="UVM241" s="1"/>
      <c r="UVN241" s="1"/>
      <c r="UVO241" s="1"/>
      <c r="UVP241" s="1"/>
      <c r="UVQ241" s="1"/>
      <c r="UVR241" s="1"/>
      <c r="UVS241" s="1"/>
      <c r="UVT241" s="1"/>
      <c r="UVU241" s="1"/>
      <c r="UVV241" s="1"/>
      <c r="UVW241" s="1"/>
      <c r="UVX241" s="1"/>
      <c r="UVY241" s="1"/>
      <c r="UVZ241" s="1"/>
      <c r="UWA241" s="1"/>
      <c r="UWB241" s="1"/>
      <c r="UWC241" s="1"/>
      <c r="UWD241" s="1"/>
      <c r="UWE241" s="1"/>
      <c r="UWF241" s="1"/>
      <c r="UWG241" s="1"/>
      <c r="UWH241" s="1"/>
      <c r="UWI241" s="1"/>
      <c r="UWJ241" s="1"/>
      <c r="UWK241" s="1"/>
      <c r="UWL241" s="1"/>
      <c r="UWM241" s="1"/>
      <c r="UWN241" s="1"/>
      <c r="UWO241" s="1"/>
      <c r="UWP241" s="1"/>
      <c r="UWQ241" s="1"/>
      <c r="UWR241" s="1"/>
      <c r="UWS241" s="1"/>
      <c r="UWT241" s="1"/>
      <c r="UWU241" s="1"/>
      <c r="UWV241" s="1"/>
      <c r="UWW241" s="1"/>
      <c r="UWX241" s="1"/>
      <c r="UWY241" s="1"/>
      <c r="UWZ241" s="1"/>
      <c r="UXA241" s="1"/>
      <c r="UXB241" s="1"/>
      <c r="UXC241" s="1"/>
      <c r="UXD241" s="1"/>
      <c r="UXE241" s="1"/>
      <c r="UXF241" s="1"/>
      <c r="UXG241" s="1"/>
      <c r="UXH241" s="1"/>
      <c r="UXI241" s="1"/>
      <c r="UXJ241" s="1"/>
      <c r="UXK241" s="1"/>
      <c r="UXL241" s="1"/>
      <c r="UXM241" s="1"/>
      <c r="UXN241" s="1"/>
      <c r="UXO241" s="1"/>
      <c r="UXP241" s="1"/>
      <c r="UXQ241" s="1"/>
      <c r="UXR241" s="1"/>
      <c r="UXS241" s="1"/>
      <c r="UXT241" s="1"/>
      <c r="UXU241" s="1"/>
      <c r="UXV241" s="1"/>
      <c r="UXW241" s="1"/>
      <c r="UXX241" s="1"/>
      <c r="UXY241" s="1"/>
      <c r="UXZ241" s="1"/>
      <c r="UYA241" s="1"/>
      <c r="UYB241" s="1"/>
      <c r="UYC241" s="1"/>
      <c r="UYD241" s="1"/>
      <c r="UYE241" s="1"/>
      <c r="UYF241" s="1"/>
      <c r="UYG241" s="1"/>
      <c r="UYH241" s="1"/>
      <c r="UYI241" s="1"/>
      <c r="UYJ241" s="1"/>
      <c r="UYK241" s="1"/>
      <c r="UYL241" s="1"/>
      <c r="UYM241" s="1"/>
      <c r="UYN241" s="1"/>
      <c r="UYO241" s="1"/>
      <c r="UYP241" s="1"/>
      <c r="UYQ241" s="1"/>
      <c r="UYR241" s="1"/>
      <c r="UYS241" s="1"/>
      <c r="UYT241" s="1"/>
      <c r="UYU241" s="1"/>
      <c r="UYV241" s="1"/>
      <c r="UYW241" s="1"/>
      <c r="UYX241" s="1"/>
      <c r="UYY241" s="1"/>
      <c r="UYZ241" s="1"/>
      <c r="UZA241" s="1"/>
      <c r="UZB241" s="1"/>
      <c r="UZC241" s="1"/>
      <c r="UZD241" s="1"/>
      <c r="UZE241" s="1"/>
      <c r="UZF241" s="1"/>
      <c r="UZG241" s="1"/>
      <c r="UZH241" s="1"/>
      <c r="UZI241" s="1"/>
      <c r="UZJ241" s="1"/>
      <c r="UZK241" s="1"/>
      <c r="UZL241" s="1"/>
      <c r="UZM241" s="1"/>
      <c r="UZN241" s="1"/>
      <c r="UZO241" s="1"/>
      <c r="UZP241" s="1"/>
      <c r="UZQ241" s="1"/>
      <c r="UZR241" s="1"/>
      <c r="UZS241" s="1"/>
      <c r="UZT241" s="1"/>
      <c r="UZU241" s="1"/>
      <c r="UZV241" s="1"/>
      <c r="UZW241" s="1"/>
      <c r="UZX241" s="1"/>
      <c r="UZY241" s="1"/>
      <c r="UZZ241" s="1"/>
      <c r="VAA241" s="1"/>
      <c r="VAB241" s="1"/>
      <c r="VAC241" s="1"/>
      <c r="VAD241" s="1"/>
      <c r="VAE241" s="1"/>
      <c r="VAF241" s="1"/>
      <c r="VAG241" s="1"/>
      <c r="VAH241" s="1"/>
      <c r="VAI241" s="1"/>
      <c r="VAJ241" s="1"/>
      <c r="VAK241" s="1"/>
      <c r="VAL241" s="1"/>
      <c r="VAM241" s="1"/>
      <c r="VAN241" s="1"/>
      <c r="VAO241" s="1"/>
      <c r="VAP241" s="1"/>
      <c r="VAQ241" s="1"/>
      <c r="VAR241" s="1"/>
      <c r="VAS241" s="1"/>
      <c r="VAT241" s="1"/>
      <c r="VAU241" s="1"/>
      <c r="VAV241" s="1"/>
      <c r="VAW241" s="1"/>
      <c r="VAX241" s="1"/>
      <c r="VAY241" s="1"/>
      <c r="VAZ241" s="1"/>
      <c r="VBA241" s="1"/>
      <c r="VBB241" s="1"/>
      <c r="VBC241" s="1"/>
      <c r="VBD241" s="1"/>
      <c r="VBE241" s="1"/>
      <c r="VBF241" s="1"/>
      <c r="VBG241" s="1"/>
      <c r="VBH241" s="1"/>
      <c r="VBI241" s="1"/>
      <c r="VBJ241" s="1"/>
      <c r="VBK241" s="1"/>
      <c r="VBL241" s="1"/>
      <c r="VBM241" s="1"/>
      <c r="VBN241" s="1"/>
      <c r="VBO241" s="1"/>
      <c r="VBP241" s="1"/>
      <c r="VBQ241" s="1"/>
      <c r="VBR241" s="1"/>
      <c r="VBS241" s="1"/>
      <c r="VBT241" s="1"/>
      <c r="VBU241" s="1"/>
      <c r="VBV241" s="1"/>
      <c r="VBW241" s="1"/>
      <c r="VBX241" s="1"/>
      <c r="VBY241" s="1"/>
      <c r="VBZ241" s="1"/>
      <c r="VCA241" s="1"/>
      <c r="VCB241" s="1"/>
      <c r="VCC241" s="1"/>
      <c r="VCD241" s="1"/>
      <c r="VCE241" s="1"/>
      <c r="VCF241" s="1"/>
      <c r="VCG241" s="1"/>
      <c r="VCH241" s="1"/>
      <c r="VCI241" s="1"/>
      <c r="VCJ241" s="1"/>
      <c r="VCK241" s="1"/>
      <c r="VCL241" s="1"/>
      <c r="VCM241" s="1"/>
      <c r="VCN241" s="1"/>
      <c r="VCO241" s="1"/>
      <c r="VCP241" s="1"/>
      <c r="VCQ241" s="1"/>
      <c r="VCR241" s="1"/>
      <c r="VCS241" s="1"/>
    </row>
    <row r="242" spans="1:14969" s="2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P242" s="3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/>
      <c r="AHA242" s="1"/>
      <c r="AHB242" s="1"/>
      <c r="AHC242" s="1"/>
      <c r="AHD242" s="1"/>
      <c r="AHE242" s="1"/>
      <c r="AHF242" s="1"/>
      <c r="AHG242" s="1"/>
      <c r="AHH242" s="1"/>
      <c r="AHI242" s="1"/>
      <c r="AHJ242" s="1"/>
      <c r="AHK242" s="1"/>
      <c r="AHL242" s="1"/>
      <c r="AHM242" s="1"/>
      <c r="AHN242" s="1"/>
      <c r="AHO242" s="1"/>
      <c r="AHP242" s="1"/>
      <c r="AHQ242" s="1"/>
      <c r="AHR242" s="1"/>
      <c r="AHS242" s="1"/>
      <c r="AHT242" s="1"/>
      <c r="AHU242" s="1"/>
      <c r="AHV242" s="1"/>
      <c r="AHW242" s="1"/>
      <c r="AHX242" s="1"/>
      <c r="AHY242" s="1"/>
      <c r="AHZ242" s="1"/>
      <c r="AIA242" s="1"/>
      <c r="AIB242" s="1"/>
      <c r="AIC242" s="1"/>
      <c r="AID242" s="1"/>
      <c r="AIE242" s="1"/>
      <c r="AIF242" s="1"/>
      <c r="AIG242" s="1"/>
      <c r="AIH242" s="1"/>
      <c r="AII242" s="1"/>
      <c r="AIJ242" s="1"/>
      <c r="AIK242" s="1"/>
      <c r="AIL242" s="1"/>
      <c r="AIM242" s="1"/>
      <c r="AIN242" s="1"/>
      <c r="AIO242" s="1"/>
      <c r="AIP242" s="1"/>
      <c r="AIQ242" s="1"/>
      <c r="AIR242" s="1"/>
      <c r="AIS242" s="1"/>
      <c r="AIT242" s="1"/>
      <c r="AIU242" s="1"/>
      <c r="AIV242" s="1"/>
      <c r="AIW242" s="1"/>
      <c r="AIX242" s="1"/>
      <c r="AIY242" s="1"/>
      <c r="AIZ242" s="1"/>
      <c r="AJA242" s="1"/>
      <c r="AJB242" s="1"/>
      <c r="AJC242" s="1"/>
      <c r="AJD242" s="1"/>
      <c r="AJE242" s="1"/>
      <c r="AJF242" s="1"/>
      <c r="AJG242" s="1"/>
      <c r="AJH242" s="1"/>
      <c r="AJI242" s="1"/>
      <c r="AJJ242" s="1"/>
      <c r="AJK242" s="1"/>
      <c r="AJL242" s="1"/>
      <c r="AJM242" s="1"/>
      <c r="AJN242" s="1"/>
      <c r="AJO242" s="1"/>
      <c r="AJP242" s="1"/>
      <c r="AJQ242" s="1"/>
      <c r="AJR242" s="1"/>
      <c r="AJS242" s="1"/>
      <c r="AJT242" s="1"/>
      <c r="AJU242" s="1"/>
      <c r="AJV242" s="1"/>
      <c r="AJW242" s="1"/>
      <c r="AJX242" s="1"/>
      <c r="AJY242" s="1"/>
      <c r="AJZ242" s="1"/>
      <c r="AKA242" s="1"/>
      <c r="AKB242" s="1"/>
      <c r="AKC242" s="1"/>
      <c r="AKD242" s="1"/>
      <c r="AKE242" s="1"/>
      <c r="AKF242" s="1"/>
      <c r="AKG242" s="1"/>
      <c r="AKH242" s="1"/>
      <c r="AKI242" s="1"/>
      <c r="AKJ242" s="1"/>
      <c r="AKK242" s="1"/>
      <c r="AKL242" s="1"/>
      <c r="AKM242" s="1"/>
      <c r="AKN242" s="1"/>
      <c r="AKO242" s="1"/>
      <c r="AKP242" s="1"/>
      <c r="AKQ242" s="1"/>
      <c r="AKR242" s="1"/>
      <c r="AKS242" s="1"/>
      <c r="AKT242" s="1"/>
      <c r="AKU242" s="1"/>
      <c r="AKV242" s="1"/>
      <c r="AKW242" s="1"/>
      <c r="AKX242" s="1"/>
      <c r="AKY242" s="1"/>
      <c r="AKZ242" s="1"/>
      <c r="ALA242" s="1"/>
      <c r="ALB242" s="1"/>
      <c r="ALC242" s="1"/>
      <c r="ALD242" s="1"/>
      <c r="ALE242" s="1"/>
      <c r="ALF242" s="1"/>
      <c r="ALG242" s="1"/>
      <c r="ALH242" s="1"/>
      <c r="ALI242" s="1"/>
      <c r="ALJ242" s="1"/>
      <c r="ALK242" s="1"/>
      <c r="ALL242" s="1"/>
      <c r="ALM242" s="1"/>
      <c r="ALN242" s="1"/>
      <c r="ALO242" s="1"/>
      <c r="ALP242" s="1"/>
      <c r="ALQ242" s="1"/>
      <c r="ALR242" s="1"/>
      <c r="ALS242" s="1"/>
      <c r="ALT242" s="1"/>
      <c r="ALU242" s="1"/>
      <c r="ALV242" s="1"/>
      <c r="ALW242" s="1"/>
      <c r="ALX242" s="1"/>
      <c r="ALY242" s="1"/>
      <c r="ALZ242" s="1"/>
      <c r="AMA242" s="1"/>
      <c r="AMB242" s="1"/>
      <c r="AMC242" s="1"/>
      <c r="AMD242" s="1"/>
      <c r="AME242" s="1"/>
      <c r="AMF242" s="1"/>
      <c r="AMG242" s="1"/>
      <c r="AMH242" s="1"/>
      <c r="AMI242" s="1"/>
      <c r="AMJ242" s="1"/>
      <c r="AMK242" s="1"/>
      <c r="AML242" s="1"/>
      <c r="AMM242" s="1"/>
      <c r="AMN242" s="1"/>
      <c r="AMO242" s="1"/>
      <c r="AMP242" s="1"/>
      <c r="AMQ242" s="1"/>
      <c r="AMR242" s="1"/>
      <c r="AMS242" s="1"/>
      <c r="AMT242" s="1"/>
      <c r="AMU242" s="1"/>
      <c r="AMV242" s="1"/>
      <c r="AMW242" s="1"/>
      <c r="AMX242" s="1"/>
      <c r="AMY242" s="1"/>
      <c r="AMZ242" s="1"/>
      <c r="ANA242" s="1"/>
      <c r="ANB242" s="1"/>
      <c r="ANC242" s="1"/>
      <c r="AND242" s="1"/>
      <c r="ANE242" s="1"/>
      <c r="ANF242" s="1"/>
      <c r="ANG242" s="1"/>
      <c r="ANH242" s="1"/>
      <c r="ANI242" s="1"/>
      <c r="ANJ242" s="1"/>
      <c r="ANK242" s="1"/>
      <c r="ANL242" s="1"/>
      <c r="ANM242" s="1"/>
      <c r="ANN242" s="1"/>
      <c r="ANO242" s="1"/>
      <c r="ANP242" s="1"/>
      <c r="ANQ242" s="1"/>
      <c r="ANR242" s="1"/>
      <c r="ANS242" s="1"/>
      <c r="ANT242" s="1"/>
      <c r="ANU242" s="1"/>
      <c r="ANV242" s="1"/>
      <c r="ANW242" s="1"/>
      <c r="ANX242" s="1"/>
      <c r="ANY242" s="1"/>
      <c r="ANZ242" s="1"/>
      <c r="AOA242" s="1"/>
      <c r="AOB242" s="1"/>
      <c r="AOC242" s="1"/>
      <c r="AOD242" s="1"/>
      <c r="AOE242" s="1"/>
      <c r="AOF242" s="1"/>
      <c r="AOG242" s="1"/>
      <c r="AOH242" s="1"/>
      <c r="AOI242" s="1"/>
      <c r="AOJ242" s="1"/>
      <c r="AOK242" s="1"/>
      <c r="AOL242" s="1"/>
      <c r="AOM242" s="1"/>
      <c r="AON242" s="1"/>
      <c r="AOO242" s="1"/>
      <c r="AOP242" s="1"/>
      <c r="AOQ242" s="1"/>
      <c r="AOR242" s="1"/>
      <c r="AOS242" s="1"/>
      <c r="AOT242" s="1"/>
      <c r="AOU242" s="1"/>
      <c r="AOV242" s="1"/>
      <c r="AOW242" s="1"/>
      <c r="AOX242" s="1"/>
      <c r="AOY242" s="1"/>
      <c r="AOZ242" s="1"/>
      <c r="APA242" s="1"/>
      <c r="APB242" s="1"/>
      <c r="APC242" s="1"/>
      <c r="APD242" s="1"/>
      <c r="APE242" s="1"/>
      <c r="APF242" s="1"/>
      <c r="APG242" s="1"/>
      <c r="APH242" s="1"/>
      <c r="API242" s="1"/>
      <c r="APJ242" s="1"/>
      <c r="APK242" s="1"/>
      <c r="APL242" s="1"/>
      <c r="APM242" s="1"/>
      <c r="APN242" s="1"/>
      <c r="APO242" s="1"/>
      <c r="APP242" s="1"/>
      <c r="APQ242" s="1"/>
      <c r="APR242" s="1"/>
      <c r="APS242" s="1"/>
      <c r="APT242" s="1"/>
      <c r="APU242" s="1"/>
      <c r="APV242" s="1"/>
      <c r="APW242" s="1"/>
      <c r="APX242" s="1"/>
      <c r="APY242" s="1"/>
      <c r="APZ242" s="1"/>
      <c r="AQA242" s="1"/>
      <c r="AQB242" s="1"/>
      <c r="AQC242" s="1"/>
      <c r="AQD242" s="1"/>
      <c r="AQE242" s="1"/>
      <c r="AQF242" s="1"/>
      <c r="AQG242" s="1"/>
      <c r="AQH242" s="1"/>
      <c r="AQI242" s="1"/>
      <c r="AQJ242" s="1"/>
      <c r="AQK242" s="1"/>
      <c r="AQL242" s="1"/>
      <c r="AQM242" s="1"/>
      <c r="AQN242" s="1"/>
      <c r="AQO242" s="1"/>
      <c r="AQP242" s="1"/>
      <c r="AQQ242" s="1"/>
      <c r="AQR242" s="1"/>
      <c r="AQS242" s="1"/>
      <c r="AQT242" s="1"/>
      <c r="AQU242" s="1"/>
      <c r="AQV242" s="1"/>
      <c r="AQW242" s="1"/>
      <c r="AQX242" s="1"/>
      <c r="AQY242" s="1"/>
      <c r="AQZ242" s="1"/>
      <c r="ARA242" s="1"/>
      <c r="ARB242" s="1"/>
      <c r="ARC242" s="1"/>
      <c r="ARD242" s="1"/>
      <c r="ARE242" s="1"/>
      <c r="ARF242" s="1"/>
      <c r="ARG242" s="1"/>
      <c r="ARH242" s="1"/>
      <c r="ARI242" s="1"/>
      <c r="ARJ242" s="1"/>
      <c r="ARK242" s="1"/>
      <c r="ARL242" s="1"/>
      <c r="ARM242" s="1"/>
      <c r="ARN242" s="1"/>
      <c r="ARO242" s="1"/>
      <c r="ARP242" s="1"/>
      <c r="ARQ242" s="1"/>
      <c r="ARR242" s="1"/>
      <c r="ARS242" s="1"/>
      <c r="ART242" s="1"/>
      <c r="ARU242" s="1"/>
      <c r="ARV242" s="1"/>
      <c r="ARW242" s="1"/>
      <c r="ARX242" s="1"/>
      <c r="ARY242" s="1"/>
      <c r="ARZ242" s="1"/>
      <c r="ASA242" s="1"/>
      <c r="ASB242" s="1"/>
      <c r="ASC242" s="1"/>
      <c r="ASD242" s="1"/>
      <c r="ASE242" s="1"/>
      <c r="ASF242" s="1"/>
      <c r="ASG242" s="1"/>
      <c r="ASH242" s="1"/>
      <c r="ASI242" s="1"/>
      <c r="ASJ242" s="1"/>
      <c r="ASK242" s="1"/>
      <c r="ASL242" s="1"/>
      <c r="ASM242" s="1"/>
      <c r="ASN242" s="1"/>
      <c r="ASO242" s="1"/>
      <c r="ASP242" s="1"/>
      <c r="ASQ242" s="1"/>
      <c r="ASR242" s="1"/>
      <c r="ASS242" s="1"/>
      <c r="AST242" s="1"/>
      <c r="ASU242" s="1"/>
      <c r="ASV242" s="1"/>
      <c r="ASW242" s="1"/>
      <c r="ASX242" s="1"/>
      <c r="ASY242" s="1"/>
      <c r="ASZ242" s="1"/>
      <c r="ATA242" s="1"/>
      <c r="ATB242" s="1"/>
      <c r="ATC242" s="1"/>
      <c r="ATD242" s="1"/>
      <c r="ATE242" s="1"/>
      <c r="ATF242" s="1"/>
      <c r="ATG242" s="1"/>
      <c r="ATH242" s="1"/>
      <c r="ATI242" s="1"/>
      <c r="ATJ242" s="1"/>
      <c r="ATK242" s="1"/>
      <c r="ATL242" s="1"/>
      <c r="ATM242" s="1"/>
      <c r="ATN242" s="1"/>
      <c r="ATO242" s="1"/>
      <c r="ATP242" s="1"/>
      <c r="ATQ242" s="1"/>
      <c r="ATR242" s="1"/>
      <c r="ATS242" s="1"/>
      <c r="ATT242" s="1"/>
      <c r="ATU242" s="1"/>
      <c r="ATV242" s="1"/>
      <c r="ATW242" s="1"/>
      <c r="ATX242" s="1"/>
      <c r="ATY242" s="1"/>
      <c r="ATZ242" s="1"/>
      <c r="AUA242" s="1"/>
      <c r="AUB242" s="1"/>
      <c r="AUC242" s="1"/>
      <c r="AUD242" s="1"/>
      <c r="AUE242" s="1"/>
      <c r="AUF242" s="1"/>
      <c r="AUG242" s="1"/>
      <c r="AUH242" s="1"/>
      <c r="AUI242" s="1"/>
      <c r="AUJ242" s="1"/>
      <c r="AUK242" s="1"/>
      <c r="AUL242" s="1"/>
      <c r="AUM242" s="1"/>
      <c r="AUN242" s="1"/>
      <c r="AUO242" s="1"/>
      <c r="AUP242" s="1"/>
      <c r="AUQ242" s="1"/>
      <c r="AUR242" s="1"/>
      <c r="AUS242" s="1"/>
      <c r="AUT242" s="1"/>
      <c r="AUU242" s="1"/>
      <c r="AUV242" s="1"/>
      <c r="AUW242" s="1"/>
      <c r="AUX242" s="1"/>
      <c r="AUY242" s="1"/>
      <c r="AUZ242" s="1"/>
      <c r="AVA242" s="1"/>
      <c r="AVB242" s="1"/>
      <c r="AVC242" s="1"/>
      <c r="AVD242" s="1"/>
      <c r="AVE242" s="1"/>
      <c r="AVF242" s="1"/>
      <c r="AVG242" s="1"/>
      <c r="AVH242" s="1"/>
      <c r="AVI242" s="1"/>
      <c r="AVJ242" s="1"/>
      <c r="AVK242" s="1"/>
      <c r="AVL242" s="1"/>
      <c r="AVM242" s="1"/>
      <c r="AVN242" s="1"/>
      <c r="AVO242" s="1"/>
      <c r="AVP242" s="1"/>
      <c r="AVQ242" s="1"/>
      <c r="AVR242" s="1"/>
      <c r="AVS242" s="1"/>
      <c r="AVT242" s="1"/>
      <c r="AVU242" s="1"/>
      <c r="AVV242" s="1"/>
      <c r="AVW242" s="1"/>
      <c r="AVX242" s="1"/>
      <c r="AVY242" s="1"/>
      <c r="AVZ242" s="1"/>
      <c r="AWA242" s="1"/>
      <c r="AWB242" s="1"/>
      <c r="AWC242" s="1"/>
      <c r="AWD242" s="1"/>
      <c r="AWE242" s="1"/>
      <c r="AWF242" s="1"/>
      <c r="AWG242" s="1"/>
      <c r="AWH242" s="1"/>
      <c r="AWI242" s="1"/>
      <c r="AWJ242" s="1"/>
      <c r="AWK242" s="1"/>
      <c r="AWL242" s="1"/>
      <c r="AWM242" s="1"/>
      <c r="AWN242" s="1"/>
      <c r="AWO242" s="1"/>
      <c r="AWP242" s="1"/>
      <c r="AWQ242" s="1"/>
      <c r="AWR242" s="1"/>
      <c r="AWS242" s="1"/>
      <c r="AWT242" s="1"/>
      <c r="AWU242" s="1"/>
      <c r="AWV242" s="1"/>
      <c r="AWW242" s="1"/>
      <c r="AWX242" s="1"/>
      <c r="AWY242" s="1"/>
      <c r="AWZ242" s="1"/>
      <c r="AXA242" s="1"/>
      <c r="AXB242" s="1"/>
      <c r="AXC242" s="1"/>
      <c r="AXD242" s="1"/>
      <c r="AXE242" s="1"/>
      <c r="AXF242" s="1"/>
      <c r="AXG242" s="1"/>
      <c r="AXH242" s="1"/>
      <c r="AXI242" s="1"/>
      <c r="AXJ242" s="1"/>
      <c r="AXK242" s="1"/>
      <c r="AXL242" s="1"/>
      <c r="AXM242" s="1"/>
      <c r="AXN242" s="1"/>
      <c r="AXO242" s="1"/>
      <c r="AXP242" s="1"/>
      <c r="AXQ242" s="1"/>
      <c r="AXR242" s="1"/>
      <c r="AXS242" s="1"/>
      <c r="AXT242" s="1"/>
      <c r="AXU242" s="1"/>
      <c r="AXV242" s="1"/>
      <c r="AXW242" s="1"/>
      <c r="AXX242" s="1"/>
      <c r="AXY242" s="1"/>
      <c r="AXZ242" s="1"/>
      <c r="AYA242" s="1"/>
      <c r="AYB242" s="1"/>
      <c r="AYC242" s="1"/>
      <c r="AYD242" s="1"/>
      <c r="AYE242" s="1"/>
      <c r="AYF242" s="1"/>
      <c r="AYG242" s="1"/>
      <c r="AYH242" s="1"/>
      <c r="AYI242" s="1"/>
      <c r="AYJ242" s="1"/>
      <c r="AYK242" s="1"/>
      <c r="AYL242" s="1"/>
      <c r="AYM242" s="1"/>
      <c r="AYN242" s="1"/>
      <c r="AYO242" s="1"/>
      <c r="AYP242" s="1"/>
      <c r="AYQ242" s="1"/>
      <c r="AYR242" s="1"/>
      <c r="AYS242" s="1"/>
      <c r="AYT242" s="1"/>
      <c r="AYU242" s="1"/>
      <c r="AYV242" s="1"/>
      <c r="AYW242" s="1"/>
      <c r="AYX242" s="1"/>
      <c r="AYY242" s="1"/>
      <c r="AYZ242" s="1"/>
      <c r="AZA242" s="1"/>
      <c r="AZB242" s="1"/>
      <c r="AZC242" s="1"/>
      <c r="AZD242" s="1"/>
      <c r="AZE242" s="1"/>
      <c r="AZF242" s="1"/>
      <c r="AZG242" s="1"/>
      <c r="AZH242" s="1"/>
      <c r="AZI242" s="1"/>
      <c r="AZJ242" s="1"/>
      <c r="AZK242" s="1"/>
      <c r="AZL242" s="1"/>
      <c r="AZM242" s="1"/>
      <c r="AZN242" s="1"/>
      <c r="AZO242" s="1"/>
      <c r="AZP242" s="1"/>
      <c r="AZQ242" s="1"/>
      <c r="AZR242" s="1"/>
      <c r="AZS242" s="1"/>
      <c r="AZT242" s="1"/>
      <c r="AZU242" s="1"/>
      <c r="AZV242" s="1"/>
      <c r="AZW242" s="1"/>
      <c r="AZX242" s="1"/>
      <c r="AZY242" s="1"/>
      <c r="AZZ242" s="1"/>
      <c r="BAA242" s="1"/>
      <c r="BAB242" s="1"/>
      <c r="BAC242" s="1"/>
      <c r="BAD242" s="1"/>
      <c r="BAE242" s="1"/>
      <c r="BAF242" s="1"/>
      <c r="BAG242" s="1"/>
      <c r="BAH242" s="1"/>
      <c r="BAI242" s="1"/>
      <c r="BAJ242" s="1"/>
      <c r="BAK242" s="1"/>
      <c r="BAL242" s="1"/>
      <c r="BAM242" s="1"/>
      <c r="BAN242" s="1"/>
      <c r="BAO242" s="1"/>
      <c r="BAP242" s="1"/>
      <c r="BAQ242" s="1"/>
      <c r="BAR242" s="1"/>
      <c r="BAS242" s="1"/>
      <c r="BAT242" s="1"/>
      <c r="BAU242" s="1"/>
      <c r="BAV242" s="1"/>
      <c r="BAW242" s="1"/>
      <c r="BAX242" s="1"/>
      <c r="BAY242" s="1"/>
      <c r="BAZ242" s="1"/>
      <c r="BBA242" s="1"/>
      <c r="BBB242" s="1"/>
      <c r="BBC242" s="1"/>
      <c r="BBD242" s="1"/>
      <c r="BBE242" s="1"/>
      <c r="BBF242" s="1"/>
      <c r="BBG242" s="1"/>
      <c r="BBH242" s="1"/>
      <c r="BBI242" s="1"/>
      <c r="BBJ242" s="1"/>
      <c r="BBK242" s="1"/>
      <c r="BBL242" s="1"/>
      <c r="BBM242" s="1"/>
      <c r="BBN242" s="1"/>
      <c r="BBO242" s="1"/>
      <c r="BBP242" s="1"/>
      <c r="BBQ242" s="1"/>
      <c r="BBR242" s="1"/>
      <c r="BBS242" s="1"/>
      <c r="BBT242" s="1"/>
      <c r="BBU242" s="1"/>
      <c r="BBV242" s="1"/>
      <c r="BBW242" s="1"/>
      <c r="BBX242" s="1"/>
      <c r="BBY242" s="1"/>
      <c r="BBZ242" s="1"/>
      <c r="BCA242" s="1"/>
      <c r="BCB242" s="1"/>
      <c r="BCC242" s="1"/>
      <c r="BCD242" s="1"/>
      <c r="BCE242" s="1"/>
      <c r="BCF242" s="1"/>
      <c r="BCG242" s="1"/>
      <c r="BCH242" s="1"/>
      <c r="BCI242" s="1"/>
      <c r="BCJ242" s="1"/>
      <c r="BCK242" s="1"/>
      <c r="BCL242" s="1"/>
      <c r="BCM242" s="1"/>
      <c r="BCN242" s="1"/>
      <c r="BCO242" s="1"/>
      <c r="BCP242" s="1"/>
      <c r="BCQ242" s="1"/>
      <c r="BCR242" s="1"/>
      <c r="BCS242" s="1"/>
      <c r="BCT242" s="1"/>
      <c r="BCU242" s="1"/>
      <c r="BCV242" s="1"/>
      <c r="BCW242" s="1"/>
      <c r="BCX242" s="1"/>
      <c r="BCY242" s="1"/>
      <c r="BCZ242" s="1"/>
      <c r="BDA242" s="1"/>
      <c r="BDB242" s="1"/>
      <c r="BDC242" s="1"/>
      <c r="BDD242" s="1"/>
      <c r="BDE242" s="1"/>
      <c r="BDF242" s="1"/>
      <c r="BDG242" s="1"/>
      <c r="BDH242" s="1"/>
      <c r="BDI242" s="1"/>
      <c r="BDJ242" s="1"/>
      <c r="BDK242" s="1"/>
      <c r="BDL242" s="1"/>
      <c r="BDM242" s="1"/>
      <c r="BDN242" s="1"/>
      <c r="BDO242" s="1"/>
      <c r="BDP242" s="1"/>
      <c r="BDQ242" s="1"/>
      <c r="BDR242" s="1"/>
      <c r="BDS242" s="1"/>
      <c r="BDT242" s="1"/>
      <c r="BDU242" s="1"/>
      <c r="BDV242" s="1"/>
      <c r="BDW242" s="1"/>
      <c r="BDX242" s="1"/>
      <c r="BDY242" s="1"/>
      <c r="BDZ242" s="1"/>
      <c r="BEA242" s="1"/>
      <c r="BEB242" s="1"/>
      <c r="BEC242" s="1"/>
      <c r="BED242" s="1"/>
      <c r="BEE242" s="1"/>
      <c r="BEF242" s="1"/>
      <c r="BEG242" s="1"/>
      <c r="BEH242" s="1"/>
      <c r="BEI242" s="1"/>
      <c r="BEJ242" s="1"/>
      <c r="BEK242" s="1"/>
      <c r="BEL242" s="1"/>
      <c r="BEM242" s="1"/>
      <c r="BEN242" s="1"/>
      <c r="BEO242" s="1"/>
      <c r="BEP242" s="1"/>
      <c r="BEQ242" s="1"/>
      <c r="BER242" s="1"/>
      <c r="BES242" s="1"/>
      <c r="BET242" s="1"/>
      <c r="BEU242" s="1"/>
      <c r="BEV242" s="1"/>
      <c r="BEW242" s="1"/>
      <c r="BEX242" s="1"/>
      <c r="BEY242" s="1"/>
      <c r="BEZ242" s="1"/>
      <c r="BFA242" s="1"/>
      <c r="BFB242" s="1"/>
      <c r="BFC242" s="1"/>
      <c r="BFD242" s="1"/>
      <c r="BFE242" s="1"/>
      <c r="BFF242" s="1"/>
      <c r="BFG242" s="1"/>
      <c r="BFH242" s="1"/>
      <c r="BFI242" s="1"/>
      <c r="BFJ242" s="1"/>
      <c r="BFK242" s="1"/>
      <c r="BFL242" s="1"/>
      <c r="BFM242" s="1"/>
      <c r="BFN242" s="1"/>
      <c r="BFO242" s="1"/>
      <c r="BFP242" s="1"/>
      <c r="BFQ242" s="1"/>
      <c r="BFR242" s="1"/>
      <c r="BFS242" s="1"/>
      <c r="BFT242" s="1"/>
      <c r="BFU242" s="1"/>
      <c r="BFV242" s="1"/>
      <c r="BFW242" s="1"/>
      <c r="BFX242" s="1"/>
      <c r="BFY242" s="1"/>
      <c r="BFZ242" s="1"/>
      <c r="BGA242" s="1"/>
      <c r="BGB242" s="1"/>
      <c r="BGC242" s="1"/>
      <c r="BGD242" s="1"/>
      <c r="BGE242" s="1"/>
      <c r="BGF242" s="1"/>
      <c r="BGG242" s="1"/>
      <c r="BGH242" s="1"/>
      <c r="BGI242" s="1"/>
      <c r="BGJ242" s="1"/>
      <c r="BGK242" s="1"/>
      <c r="BGL242" s="1"/>
      <c r="BGM242" s="1"/>
      <c r="BGN242" s="1"/>
      <c r="BGO242" s="1"/>
      <c r="BGP242" s="1"/>
      <c r="BGQ242" s="1"/>
      <c r="BGR242" s="1"/>
      <c r="BGS242" s="1"/>
      <c r="BGT242" s="1"/>
      <c r="BGU242" s="1"/>
      <c r="BGV242" s="1"/>
      <c r="BGW242" s="1"/>
      <c r="BGX242" s="1"/>
      <c r="BGY242" s="1"/>
      <c r="BGZ242" s="1"/>
      <c r="BHA242" s="1"/>
      <c r="BHB242" s="1"/>
      <c r="BHC242" s="1"/>
      <c r="BHD242" s="1"/>
      <c r="BHE242" s="1"/>
      <c r="BHF242" s="1"/>
      <c r="BHG242" s="1"/>
      <c r="BHH242" s="1"/>
      <c r="BHI242" s="1"/>
      <c r="BHJ242" s="1"/>
      <c r="BHK242" s="1"/>
      <c r="BHL242" s="1"/>
      <c r="BHM242" s="1"/>
      <c r="BHN242" s="1"/>
      <c r="BHO242" s="1"/>
      <c r="BHP242" s="1"/>
      <c r="BHQ242" s="1"/>
      <c r="BHR242" s="1"/>
      <c r="BHS242" s="1"/>
      <c r="BHT242" s="1"/>
      <c r="BHU242" s="1"/>
      <c r="BHV242" s="1"/>
      <c r="BHW242" s="1"/>
      <c r="BHX242" s="1"/>
      <c r="BHY242" s="1"/>
      <c r="BHZ242" s="1"/>
      <c r="BIA242" s="1"/>
      <c r="BIB242" s="1"/>
      <c r="BIC242" s="1"/>
      <c r="BID242" s="1"/>
      <c r="BIE242" s="1"/>
      <c r="BIF242" s="1"/>
      <c r="BIG242" s="1"/>
      <c r="BIH242" s="1"/>
      <c r="BII242" s="1"/>
      <c r="BIJ242" s="1"/>
      <c r="BIK242" s="1"/>
      <c r="BIL242" s="1"/>
      <c r="BIM242" s="1"/>
      <c r="BIN242" s="1"/>
      <c r="BIO242" s="1"/>
      <c r="BIP242" s="1"/>
      <c r="BIQ242" s="1"/>
      <c r="BIR242" s="1"/>
      <c r="BIS242" s="1"/>
      <c r="BIT242" s="1"/>
      <c r="BIU242" s="1"/>
      <c r="BIV242" s="1"/>
      <c r="BIW242" s="1"/>
      <c r="BIX242" s="1"/>
      <c r="BIY242" s="1"/>
      <c r="BIZ242" s="1"/>
      <c r="BJA242" s="1"/>
      <c r="BJB242" s="1"/>
      <c r="BJC242" s="1"/>
      <c r="BJD242" s="1"/>
      <c r="BJE242" s="1"/>
      <c r="BJF242" s="1"/>
      <c r="BJG242" s="1"/>
      <c r="BJH242" s="1"/>
      <c r="BJI242" s="1"/>
      <c r="BJJ242" s="1"/>
      <c r="BJK242" s="1"/>
      <c r="BJL242" s="1"/>
      <c r="BJM242" s="1"/>
      <c r="BJN242" s="1"/>
      <c r="BJO242" s="1"/>
      <c r="BJP242" s="1"/>
      <c r="BJQ242" s="1"/>
      <c r="BJR242" s="1"/>
      <c r="BJS242" s="1"/>
      <c r="BJT242" s="1"/>
      <c r="BJU242" s="1"/>
      <c r="BJV242" s="1"/>
      <c r="BJW242" s="1"/>
      <c r="BJX242" s="1"/>
      <c r="BJY242" s="1"/>
      <c r="BJZ242" s="1"/>
      <c r="BKA242" s="1"/>
      <c r="BKB242" s="1"/>
      <c r="BKC242" s="1"/>
      <c r="BKD242" s="1"/>
      <c r="BKE242" s="1"/>
      <c r="BKF242" s="1"/>
      <c r="BKG242" s="1"/>
      <c r="BKH242" s="1"/>
      <c r="BKI242" s="1"/>
      <c r="BKJ242" s="1"/>
      <c r="BKK242" s="1"/>
      <c r="BKL242" s="1"/>
      <c r="BKM242" s="1"/>
      <c r="BKN242" s="1"/>
      <c r="BKO242" s="1"/>
      <c r="BKP242" s="1"/>
      <c r="BKQ242" s="1"/>
      <c r="BKR242" s="1"/>
      <c r="BKS242" s="1"/>
      <c r="BKT242" s="1"/>
      <c r="BKU242" s="1"/>
      <c r="BKV242" s="1"/>
      <c r="BKW242" s="1"/>
      <c r="BKX242" s="1"/>
      <c r="BKY242" s="1"/>
      <c r="BKZ242" s="1"/>
      <c r="BLA242" s="1"/>
      <c r="BLB242" s="1"/>
      <c r="BLC242" s="1"/>
      <c r="BLD242" s="1"/>
      <c r="BLE242" s="1"/>
      <c r="BLF242" s="1"/>
      <c r="BLG242" s="1"/>
      <c r="BLH242" s="1"/>
      <c r="BLI242" s="1"/>
      <c r="BLJ242" s="1"/>
      <c r="BLK242" s="1"/>
      <c r="BLL242" s="1"/>
      <c r="BLM242" s="1"/>
      <c r="BLN242" s="1"/>
      <c r="BLO242" s="1"/>
      <c r="BLP242" s="1"/>
      <c r="BLQ242" s="1"/>
      <c r="BLR242" s="1"/>
      <c r="BLS242" s="1"/>
      <c r="BLT242" s="1"/>
      <c r="BLU242" s="1"/>
      <c r="BLV242" s="1"/>
      <c r="BLW242" s="1"/>
      <c r="BLX242" s="1"/>
      <c r="BLY242" s="1"/>
      <c r="BLZ242" s="1"/>
      <c r="BMA242" s="1"/>
      <c r="BMB242" s="1"/>
      <c r="BMC242" s="1"/>
      <c r="BMD242" s="1"/>
      <c r="BME242" s="1"/>
      <c r="BMF242" s="1"/>
      <c r="BMG242" s="1"/>
      <c r="BMH242" s="1"/>
      <c r="BMI242" s="1"/>
      <c r="BMJ242" s="1"/>
      <c r="BMK242" s="1"/>
      <c r="BML242" s="1"/>
      <c r="BMM242" s="1"/>
      <c r="BMN242" s="1"/>
      <c r="BMO242" s="1"/>
      <c r="BMP242" s="1"/>
      <c r="BMQ242" s="1"/>
      <c r="BMR242" s="1"/>
      <c r="BMS242" s="1"/>
      <c r="BMT242" s="1"/>
      <c r="BMU242" s="1"/>
      <c r="BMV242" s="1"/>
      <c r="BMW242" s="1"/>
      <c r="BMX242" s="1"/>
      <c r="BMY242" s="1"/>
      <c r="BMZ242" s="1"/>
      <c r="BNA242" s="1"/>
      <c r="BNB242" s="1"/>
      <c r="BNC242" s="1"/>
      <c r="BND242" s="1"/>
      <c r="BNE242" s="1"/>
      <c r="BNF242" s="1"/>
      <c r="BNG242" s="1"/>
      <c r="BNH242" s="1"/>
      <c r="BNI242" s="1"/>
      <c r="BNJ242" s="1"/>
      <c r="BNK242" s="1"/>
      <c r="BNL242" s="1"/>
      <c r="BNM242" s="1"/>
      <c r="BNN242" s="1"/>
      <c r="BNO242" s="1"/>
      <c r="BNP242" s="1"/>
      <c r="BNQ242" s="1"/>
      <c r="BNR242" s="1"/>
      <c r="BNS242" s="1"/>
      <c r="BNT242" s="1"/>
      <c r="BNU242" s="1"/>
      <c r="BNV242" s="1"/>
      <c r="BNW242" s="1"/>
      <c r="BNX242" s="1"/>
      <c r="BNY242" s="1"/>
      <c r="BNZ242" s="1"/>
      <c r="BOA242" s="1"/>
      <c r="BOB242" s="1"/>
      <c r="BOC242" s="1"/>
      <c r="BOD242" s="1"/>
      <c r="BOE242" s="1"/>
      <c r="BOF242" s="1"/>
      <c r="BOG242" s="1"/>
      <c r="BOH242" s="1"/>
      <c r="BOI242" s="1"/>
      <c r="BOJ242" s="1"/>
      <c r="BOK242" s="1"/>
      <c r="BOL242" s="1"/>
      <c r="BOM242" s="1"/>
      <c r="BON242" s="1"/>
      <c r="BOO242" s="1"/>
      <c r="BOP242" s="1"/>
      <c r="BOQ242" s="1"/>
      <c r="BOR242" s="1"/>
      <c r="BOS242" s="1"/>
      <c r="BOT242" s="1"/>
      <c r="BOU242" s="1"/>
      <c r="BOV242" s="1"/>
      <c r="BOW242" s="1"/>
      <c r="BOX242" s="1"/>
      <c r="BOY242" s="1"/>
      <c r="BOZ242" s="1"/>
      <c r="BPA242" s="1"/>
      <c r="BPB242" s="1"/>
      <c r="BPC242" s="1"/>
      <c r="BPD242" s="1"/>
      <c r="BPE242" s="1"/>
      <c r="BPF242" s="1"/>
      <c r="BPG242" s="1"/>
      <c r="BPH242" s="1"/>
      <c r="BPI242" s="1"/>
      <c r="BPJ242" s="1"/>
      <c r="BPK242" s="1"/>
      <c r="BPL242" s="1"/>
      <c r="BPM242" s="1"/>
      <c r="BPN242" s="1"/>
      <c r="BPO242" s="1"/>
      <c r="BPP242" s="1"/>
      <c r="BPQ242" s="1"/>
      <c r="BPR242" s="1"/>
      <c r="BPS242" s="1"/>
      <c r="BPT242" s="1"/>
      <c r="BPU242" s="1"/>
      <c r="BPV242" s="1"/>
      <c r="BPW242" s="1"/>
      <c r="BPX242" s="1"/>
      <c r="BPY242" s="1"/>
      <c r="BPZ242" s="1"/>
      <c r="BQA242" s="1"/>
      <c r="BQB242" s="1"/>
      <c r="BQC242" s="1"/>
      <c r="BQD242" s="1"/>
      <c r="BQE242" s="1"/>
      <c r="BQF242" s="1"/>
      <c r="BQG242" s="1"/>
      <c r="BQH242" s="1"/>
      <c r="BQI242" s="1"/>
      <c r="BQJ242" s="1"/>
      <c r="BQK242" s="1"/>
      <c r="BQL242" s="1"/>
      <c r="BQM242" s="1"/>
      <c r="BQN242" s="1"/>
      <c r="BQO242" s="1"/>
      <c r="BQP242" s="1"/>
      <c r="BQQ242" s="1"/>
      <c r="BQR242" s="1"/>
      <c r="BQS242" s="1"/>
      <c r="BQT242" s="1"/>
      <c r="BQU242" s="1"/>
      <c r="BQV242" s="1"/>
      <c r="BQW242" s="1"/>
      <c r="BQX242" s="1"/>
      <c r="BQY242" s="1"/>
      <c r="BQZ242" s="1"/>
      <c r="BRA242" s="1"/>
      <c r="BRB242" s="1"/>
      <c r="BRC242" s="1"/>
      <c r="BRD242" s="1"/>
      <c r="BRE242" s="1"/>
      <c r="BRF242" s="1"/>
      <c r="BRG242" s="1"/>
      <c r="BRH242" s="1"/>
      <c r="BRI242" s="1"/>
      <c r="BRJ242" s="1"/>
      <c r="BRK242" s="1"/>
      <c r="BRL242" s="1"/>
      <c r="BRM242" s="1"/>
      <c r="BRN242" s="1"/>
      <c r="BRO242" s="1"/>
      <c r="BRP242" s="1"/>
      <c r="BRQ242" s="1"/>
      <c r="BRR242" s="1"/>
      <c r="BRS242" s="1"/>
      <c r="BRT242" s="1"/>
      <c r="BRU242" s="1"/>
      <c r="BRV242" s="1"/>
      <c r="BRW242" s="1"/>
      <c r="BRX242" s="1"/>
      <c r="BRY242" s="1"/>
      <c r="BRZ242" s="1"/>
      <c r="BSA242" s="1"/>
      <c r="BSB242" s="1"/>
      <c r="BSC242" s="1"/>
      <c r="BSD242" s="1"/>
      <c r="BSE242" s="1"/>
      <c r="BSF242" s="1"/>
      <c r="BSG242" s="1"/>
      <c r="BSH242" s="1"/>
      <c r="BSI242" s="1"/>
      <c r="BSJ242" s="1"/>
      <c r="BSK242" s="1"/>
      <c r="BSL242" s="1"/>
      <c r="BSM242" s="1"/>
      <c r="BSN242" s="1"/>
      <c r="BSO242" s="1"/>
      <c r="BSP242" s="1"/>
      <c r="BSQ242" s="1"/>
      <c r="BSR242" s="1"/>
      <c r="BSS242" s="1"/>
      <c r="BST242" s="1"/>
      <c r="BSU242" s="1"/>
      <c r="BSV242" s="1"/>
      <c r="BSW242" s="1"/>
      <c r="BSX242" s="1"/>
      <c r="BSY242" s="1"/>
      <c r="BSZ242" s="1"/>
      <c r="BTA242" s="1"/>
      <c r="BTB242" s="1"/>
      <c r="BTC242" s="1"/>
      <c r="BTD242" s="1"/>
      <c r="BTE242" s="1"/>
      <c r="BTF242" s="1"/>
      <c r="BTG242" s="1"/>
      <c r="BTH242" s="1"/>
      <c r="BTI242" s="1"/>
      <c r="BTJ242" s="1"/>
      <c r="BTK242" s="1"/>
      <c r="BTL242" s="1"/>
      <c r="BTM242" s="1"/>
      <c r="BTN242" s="1"/>
      <c r="BTO242" s="1"/>
      <c r="BTP242" s="1"/>
      <c r="BTQ242" s="1"/>
      <c r="BTR242" s="1"/>
      <c r="BTS242" s="1"/>
      <c r="BTT242" s="1"/>
      <c r="BTU242" s="1"/>
      <c r="BTV242" s="1"/>
      <c r="BTW242" s="1"/>
      <c r="BTX242" s="1"/>
      <c r="BTY242" s="1"/>
      <c r="BTZ242" s="1"/>
      <c r="BUA242" s="1"/>
      <c r="BUB242" s="1"/>
      <c r="BUC242" s="1"/>
      <c r="BUD242" s="1"/>
      <c r="BUE242" s="1"/>
      <c r="BUF242" s="1"/>
      <c r="BUG242" s="1"/>
      <c r="BUH242" s="1"/>
      <c r="BUI242" s="1"/>
      <c r="BUJ242" s="1"/>
      <c r="BUK242" s="1"/>
      <c r="BUL242" s="1"/>
      <c r="BUM242" s="1"/>
      <c r="BUN242" s="1"/>
      <c r="BUO242" s="1"/>
      <c r="BUP242" s="1"/>
      <c r="BUQ242" s="1"/>
      <c r="BUR242" s="1"/>
      <c r="BUS242" s="1"/>
      <c r="BUT242" s="1"/>
      <c r="BUU242" s="1"/>
      <c r="BUV242" s="1"/>
      <c r="BUW242" s="1"/>
      <c r="BUX242" s="1"/>
      <c r="BUY242" s="1"/>
      <c r="BUZ242" s="1"/>
      <c r="BVA242" s="1"/>
      <c r="BVB242" s="1"/>
      <c r="BVC242" s="1"/>
      <c r="BVD242" s="1"/>
      <c r="BVE242" s="1"/>
      <c r="BVF242" s="1"/>
      <c r="BVG242" s="1"/>
      <c r="BVH242" s="1"/>
      <c r="BVI242" s="1"/>
      <c r="BVJ242" s="1"/>
      <c r="BVK242" s="1"/>
      <c r="BVL242" s="1"/>
      <c r="BVM242" s="1"/>
      <c r="BVN242" s="1"/>
      <c r="BVO242" s="1"/>
      <c r="BVP242" s="1"/>
      <c r="BVQ242" s="1"/>
      <c r="BVR242" s="1"/>
      <c r="BVS242" s="1"/>
      <c r="BVT242" s="1"/>
      <c r="BVU242" s="1"/>
      <c r="BVV242" s="1"/>
      <c r="BVW242" s="1"/>
      <c r="BVX242" s="1"/>
      <c r="BVY242" s="1"/>
      <c r="BVZ242" s="1"/>
      <c r="BWA242" s="1"/>
      <c r="BWB242" s="1"/>
      <c r="BWC242" s="1"/>
      <c r="BWD242" s="1"/>
      <c r="BWE242" s="1"/>
      <c r="BWF242" s="1"/>
      <c r="BWG242" s="1"/>
      <c r="BWH242" s="1"/>
      <c r="BWI242" s="1"/>
      <c r="BWJ242" s="1"/>
      <c r="BWK242" s="1"/>
      <c r="BWL242" s="1"/>
      <c r="BWM242" s="1"/>
      <c r="BWN242" s="1"/>
      <c r="BWO242" s="1"/>
      <c r="BWP242" s="1"/>
      <c r="BWQ242" s="1"/>
      <c r="BWR242" s="1"/>
      <c r="BWS242" s="1"/>
      <c r="BWT242" s="1"/>
      <c r="BWU242" s="1"/>
      <c r="BWV242" s="1"/>
      <c r="BWW242" s="1"/>
      <c r="BWX242" s="1"/>
      <c r="BWY242" s="1"/>
      <c r="BWZ242" s="1"/>
      <c r="BXA242" s="1"/>
      <c r="BXB242" s="1"/>
      <c r="BXC242" s="1"/>
      <c r="BXD242" s="1"/>
      <c r="BXE242" s="1"/>
      <c r="BXF242" s="1"/>
      <c r="BXG242" s="1"/>
      <c r="BXH242" s="1"/>
      <c r="BXI242" s="1"/>
      <c r="BXJ242" s="1"/>
      <c r="BXK242" s="1"/>
      <c r="BXL242" s="1"/>
      <c r="BXM242" s="1"/>
      <c r="BXN242" s="1"/>
      <c r="BXO242" s="1"/>
      <c r="BXP242" s="1"/>
      <c r="BXQ242" s="1"/>
      <c r="BXR242" s="1"/>
      <c r="BXS242" s="1"/>
      <c r="BXT242" s="1"/>
      <c r="BXU242" s="1"/>
      <c r="BXV242" s="1"/>
      <c r="BXW242" s="1"/>
      <c r="BXX242" s="1"/>
      <c r="BXY242" s="1"/>
      <c r="BXZ242" s="1"/>
      <c r="BYA242" s="1"/>
      <c r="BYB242" s="1"/>
      <c r="BYC242" s="1"/>
      <c r="BYD242" s="1"/>
      <c r="BYE242" s="1"/>
      <c r="BYF242" s="1"/>
      <c r="BYG242" s="1"/>
      <c r="BYH242" s="1"/>
      <c r="BYI242" s="1"/>
      <c r="BYJ242" s="1"/>
      <c r="BYK242" s="1"/>
      <c r="BYL242" s="1"/>
      <c r="BYM242" s="1"/>
      <c r="BYN242" s="1"/>
      <c r="BYO242" s="1"/>
      <c r="BYP242" s="1"/>
      <c r="BYQ242" s="1"/>
      <c r="BYR242" s="1"/>
      <c r="BYS242" s="1"/>
      <c r="BYT242" s="1"/>
      <c r="BYU242" s="1"/>
      <c r="BYV242" s="1"/>
      <c r="BYW242" s="1"/>
      <c r="BYX242" s="1"/>
      <c r="BYY242" s="1"/>
      <c r="BYZ242" s="1"/>
      <c r="BZA242" s="1"/>
      <c r="BZB242" s="1"/>
      <c r="BZC242" s="1"/>
      <c r="BZD242" s="1"/>
      <c r="BZE242" s="1"/>
      <c r="BZF242" s="1"/>
      <c r="BZG242" s="1"/>
      <c r="BZH242" s="1"/>
      <c r="BZI242" s="1"/>
      <c r="BZJ242" s="1"/>
      <c r="BZK242" s="1"/>
      <c r="BZL242" s="1"/>
      <c r="BZM242" s="1"/>
      <c r="BZN242" s="1"/>
      <c r="BZO242" s="1"/>
      <c r="BZP242" s="1"/>
      <c r="BZQ242" s="1"/>
      <c r="BZR242" s="1"/>
      <c r="BZS242" s="1"/>
      <c r="BZT242" s="1"/>
      <c r="BZU242" s="1"/>
      <c r="BZV242" s="1"/>
      <c r="BZW242" s="1"/>
      <c r="BZX242" s="1"/>
      <c r="BZY242" s="1"/>
      <c r="BZZ242" s="1"/>
      <c r="CAA242" s="1"/>
      <c r="CAB242" s="1"/>
      <c r="CAC242" s="1"/>
      <c r="CAD242" s="1"/>
      <c r="CAE242" s="1"/>
      <c r="CAF242" s="1"/>
      <c r="CAG242" s="1"/>
      <c r="CAH242" s="1"/>
      <c r="CAI242" s="1"/>
      <c r="CAJ242" s="1"/>
      <c r="CAK242" s="1"/>
      <c r="CAL242" s="1"/>
      <c r="CAM242" s="1"/>
      <c r="CAN242" s="1"/>
      <c r="CAO242" s="1"/>
      <c r="CAP242" s="1"/>
      <c r="CAQ242" s="1"/>
      <c r="CAR242" s="1"/>
      <c r="CAS242" s="1"/>
      <c r="CAT242" s="1"/>
      <c r="CAU242" s="1"/>
      <c r="CAV242" s="1"/>
      <c r="CAW242" s="1"/>
      <c r="CAX242" s="1"/>
      <c r="CAY242" s="1"/>
      <c r="CAZ242" s="1"/>
      <c r="CBA242" s="1"/>
      <c r="CBB242" s="1"/>
      <c r="CBC242" s="1"/>
      <c r="CBD242" s="1"/>
      <c r="CBE242" s="1"/>
      <c r="CBF242" s="1"/>
      <c r="CBG242" s="1"/>
      <c r="CBH242" s="1"/>
      <c r="CBI242" s="1"/>
      <c r="CBJ242" s="1"/>
      <c r="CBK242" s="1"/>
      <c r="CBL242" s="1"/>
      <c r="CBM242" s="1"/>
      <c r="CBN242" s="1"/>
      <c r="CBO242" s="1"/>
      <c r="CBP242" s="1"/>
      <c r="CBQ242" s="1"/>
      <c r="CBR242" s="1"/>
      <c r="CBS242" s="1"/>
      <c r="CBT242" s="1"/>
      <c r="CBU242" s="1"/>
      <c r="CBV242" s="1"/>
      <c r="CBW242" s="1"/>
      <c r="CBX242" s="1"/>
      <c r="CBY242" s="1"/>
      <c r="CBZ242" s="1"/>
      <c r="CCA242" s="1"/>
      <c r="CCB242" s="1"/>
      <c r="CCC242" s="1"/>
      <c r="CCD242" s="1"/>
      <c r="CCE242" s="1"/>
      <c r="CCF242" s="1"/>
      <c r="CCG242" s="1"/>
      <c r="CCH242" s="1"/>
      <c r="CCI242" s="1"/>
      <c r="CCJ242" s="1"/>
      <c r="CCK242" s="1"/>
      <c r="CCL242" s="1"/>
      <c r="CCM242" s="1"/>
      <c r="CCN242" s="1"/>
      <c r="CCO242" s="1"/>
      <c r="CCP242" s="1"/>
      <c r="CCQ242" s="1"/>
      <c r="CCR242" s="1"/>
      <c r="CCS242" s="1"/>
      <c r="CCT242" s="1"/>
      <c r="CCU242" s="1"/>
      <c r="CCV242" s="1"/>
      <c r="CCW242" s="1"/>
      <c r="CCX242" s="1"/>
      <c r="CCY242" s="1"/>
      <c r="CCZ242" s="1"/>
      <c r="CDA242" s="1"/>
      <c r="CDB242" s="1"/>
      <c r="CDC242" s="1"/>
      <c r="CDD242" s="1"/>
      <c r="CDE242" s="1"/>
      <c r="CDF242" s="1"/>
      <c r="CDG242" s="1"/>
      <c r="CDH242" s="1"/>
      <c r="CDI242" s="1"/>
      <c r="CDJ242" s="1"/>
      <c r="CDK242" s="1"/>
      <c r="CDL242" s="1"/>
      <c r="CDM242" s="1"/>
      <c r="CDN242" s="1"/>
      <c r="CDO242" s="1"/>
      <c r="CDP242" s="1"/>
      <c r="CDQ242" s="1"/>
      <c r="CDR242" s="1"/>
      <c r="CDS242" s="1"/>
      <c r="CDT242" s="1"/>
      <c r="CDU242" s="1"/>
      <c r="CDV242" s="1"/>
      <c r="CDW242" s="1"/>
      <c r="CDX242" s="1"/>
      <c r="CDY242" s="1"/>
      <c r="CDZ242" s="1"/>
      <c r="CEA242" s="1"/>
      <c r="CEB242" s="1"/>
      <c r="CEC242" s="1"/>
      <c r="CED242" s="1"/>
      <c r="CEE242" s="1"/>
      <c r="CEF242" s="1"/>
      <c r="CEG242" s="1"/>
      <c r="CEH242" s="1"/>
      <c r="CEI242" s="1"/>
      <c r="CEJ242" s="1"/>
      <c r="CEK242" s="1"/>
      <c r="CEL242" s="1"/>
      <c r="CEM242" s="1"/>
      <c r="CEN242" s="1"/>
      <c r="CEO242" s="1"/>
      <c r="CEP242" s="1"/>
      <c r="CEQ242" s="1"/>
      <c r="CER242" s="1"/>
      <c r="CES242" s="1"/>
      <c r="CET242" s="1"/>
      <c r="CEU242" s="1"/>
      <c r="CEV242" s="1"/>
      <c r="CEW242" s="1"/>
      <c r="CEX242" s="1"/>
      <c r="CEY242" s="1"/>
      <c r="CEZ242" s="1"/>
      <c r="CFA242" s="1"/>
      <c r="CFB242" s="1"/>
      <c r="CFC242" s="1"/>
      <c r="CFD242" s="1"/>
      <c r="CFE242" s="1"/>
      <c r="CFF242" s="1"/>
      <c r="CFG242" s="1"/>
      <c r="CFH242" s="1"/>
      <c r="CFI242" s="1"/>
      <c r="CFJ242" s="1"/>
      <c r="CFK242" s="1"/>
      <c r="CFL242" s="1"/>
      <c r="CFM242" s="1"/>
      <c r="CFN242" s="1"/>
      <c r="CFO242" s="1"/>
      <c r="CFP242" s="1"/>
      <c r="CFQ242" s="1"/>
      <c r="CFR242" s="1"/>
      <c r="CFS242" s="1"/>
      <c r="CFT242" s="1"/>
      <c r="CFU242" s="1"/>
      <c r="CFV242" s="1"/>
      <c r="CFW242" s="1"/>
      <c r="CFX242" s="1"/>
      <c r="CFY242" s="1"/>
      <c r="CFZ242" s="1"/>
      <c r="CGA242" s="1"/>
      <c r="CGB242" s="1"/>
      <c r="CGC242" s="1"/>
      <c r="CGD242" s="1"/>
      <c r="CGE242" s="1"/>
      <c r="CGF242" s="1"/>
      <c r="CGG242" s="1"/>
      <c r="CGH242" s="1"/>
      <c r="CGI242" s="1"/>
      <c r="CGJ242" s="1"/>
      <c r="CGK242" s="1"/>
      <c r="CGL242" s="1"/>
      <c r="CGM242" s="1"/>
      <c r="CGN242" s="1"/>
      <c r="CGO242" s="1"/>
      <c r="CGP242" s="1"/>
      <c r="CGQ242" s="1"/>
      <c r="CGR242" s="1"/>
      <c r="CGS242" s="1"/>
      <c r="CGT242" s="1"/>
      <c r="CGU242" s="1"/>
      <c r="CGV242" s="1"/>
      <c r="CGW242" s="1"/>
      <c r="CGX242" s="1"/>
      <c r="CGY242" s="1"/>
      <c r="CGZ242" s="1"/>
      <c r="CHA242" s="1"/>
      <c r="CHB242" s="1"/>
      <c r="CHC242" s="1"/>
      <c r="CHD242" s="1"/>
      <c r="CHE242" s="1"/>
      <c r="CHF242" s="1"/>
      <c r="CHG242" s="1"/>
      <c r="CHH242" s="1"/>
      <c r="CHI242" s="1"/>
      <c r="CHJ242" s="1"/>
      <c r="CHK242" s="1"/>
      <c r="CHL242" s="1"/>
      <c r="CHM242" s="1"/>
      <c r="CHN242" s="1"/>
      <c r="CHO242" s="1"/>
      <c r="CHP242" s="1"/>
      <c r="CHQ242" s="1"/>
      <c r="CHR242" s="1"/>
      <c r="CHS242" s="1"/>
      <c r="CHT242" s="1"/>
      <c r="CHU242" s="1"/>
      <c r="CHV242" s="1"/>
      <c r="CHW242" s="1"/>
      <c r="CHX242" s="1"/>
      <c r="CHY242" s="1"/>
      <c r="CHZ242" s="1"/>
      <c r="CIA242" s="1"/>
      <c r="CIB242" s="1"/>
      <c r="CIC242" s="1"/>
      <c r="CID242" s="1"/>
      <c r="CIE242" s="1"/>
      <c r="CIF242" s="1"/>
      <c r="CIG242" s="1"/>
      <c r="CIH242" s="1"/>
      <c r="CII242" s="1"/>
      <c r="CIJ242" s="1"/>
      <c r="CIK242" s="1"/>
      <c r="CIL242" s="1"/>
      <c r="CIM242" s="1"/>
      <c r="CIN242" s="1"/>
      <c r="CIO242" s="1"/>
      <c r="CIP242" s="1"/>
      <c r="CIQ242" s="1"/>
      <c r="CIR242" s="1"/>
      <c r="CIS242" s="1"/>
      <c r="CIT242" s="1"/>
      <c r="CIU242" s="1"/>
      <c r="CIV242" s="1"/>
      <c r="CIW242" s="1"/>
      <c r="CIX242" s="1"/>
      <c r="CIY242" s="1"/>
      <c r="CIZ242" s="1"/>
      <c r="CJA242" s="1"/>
      <c r="CJB242" s="1"/>
      <c r="CJC242" s="1"/>
      <c r="CJD242" s="1"/>
      <c r="CJE242" s="1"/>
      <c r="CJF242" s="1"/>
      <c r="CJG242" s="1"/>
      <c r="CJH242" s="1"/>
      <c r="CJI242" s="1"/>
      <c r="CJJ242" s="1"/>
      <c r="CJK242" s="1"/>
      <c r="CJL242" s="1"/>
      <c r="CJM242" s="1"/>
      <c r="CJN242" s="1"/>
      <c r="CJO242" s="1"/>
      <c r="CJP242" s="1"/>
      <c r="CJQ242" s="1"/>
      <c r="CJR242" s="1"/>
      <c r="CJS242" s="1"/>
      <c r="CJT242" s="1"/>
      <c r="CJU242" s="1"/>
      <c r="CJV242" s="1"/>
      <c r="CJW242" s="1"/>
      <c r="CJX242" s="1"/>
      <c r="CJY242" s="1"/>
      <c r="CJZ242" s="1"/>
      <c r="CKA242" s="1"/>
      <c r="CKB242" s="1"/>
      <c r="CKC242" s="1"/>
      <c r="CKD242" s="1"/>
      <c r="CKE242" s="1"/>
      <c r="CKF242" s="1"/>
      <c r="CKG242" s="1"/>
      <c r="CKH242" s="1"/>
      <c r="CKI242" s="1"/>
      <c r="CKJ242" s="1"/>
      <c r="CKK242" s="1"/>
      <c r="CKL242" s="1"/>
      <c r="CKM242" s="1"/>
      <c r="CKN242" s="1"/>
      <c r="CKO242" s="1"/>
      <c r="CKP242" s="1"/>
      <c r="CKQ242" s="1"/>
      <c r="CKR242" s="1"/>
      <c r="CKS242" s="1"/>
      <c r="CKT242" s="1"/>
      <c r="CKU242" s="1"/>
      <c r="CKV242" s="1"/>
      <c r="CKW242" s="1"/>
      <c r="CKX242" s="1"/>
      <c r="CKY242" s="1"/>
      <c r="CKZ242" s="1"/>
      <c r="CLA242" s="1"/>
      <c r="CLB242" s="1"/>
      <c r="CLC242" s="1"/>
      <c r="CLD242" s="1"/>
      <c r="CLE242" s="1"/>
      <c r="CLF242" s="1"/>
      <c r="CLG242" s="1"/>
      <c r="CLH242" s="1"/>
      <c r="CLI242" s="1"/>
      <c r="CLJ242" s="1"/>
      <c r="CLK242" s="1"/>
      <c r="CLL242" s="1"/>
      <c r="CLM242" s="1"/>
      <c r="CLN242" s="1"/>
      <c r="CLO242" s="1"/>
      <c r="CLP242" s="1"/>
      <c r="CLQ242" s="1"/>
      <c r="CLR242" s="1"/>
      <c r="CLS242" s="1"/>
      <c r="CLT242" s="1"/>
      <c r="CLU242" s="1"/>
      <c r="CLV242" s="1"/>
      <c r="CLW242" s="1"/>
      <c r="CLX242" s="1"/>
      <c r="CLY242" s="1"/>
      <c r="CLZ242" s="1"/>
      <c r="CMA242" s="1"/>
      <c r="CMB242" s="1"/>
      <c r="CMC242" s="1"/>
      <c r="CMD242" s="1"/>
      <c r="CME242" s="1"/>
      <c r="CMF242" s="1"/>
      <c r="CMG242" s="1"/>
      <c r="CMH242" s="1"/>
      <c r="CMI242" s="1"/>
      <c r="CMJ242" s="1"/>
      <c r="CMK242" s="1"/>
      <c r="CML242" s="1"/>
      <c r="CMM242" s="1"/>
      <c r="CMN242" s="1"/>
      <c r="CMO242" s="1"/>
      <c r="CMP242" s="1"/>
      <c r="CMQ242" s="1"/>
      <c r="CMR242" s="1"/>
      <c r="CMS242" s="1"/>
      <c r="CMT242" s="1"/>
      <c r="CMU242" s="1"/>
      <c r="CMV242" s="1"/>
      <c r="CMW242" s="1"/>
      <c r="CMX242" s="1"/>
      <c r="CMY242" s="1"/>
      <c r="CMZ242" s="1"/>
      <c r="CNA242" s="1"/>
      <c r="CNB242" s="1"/>
      <c r="CNC242" s="1"/>
      <c r="CND242" s="1"/>
      <c r="CNE242" s="1"/>
      <c r="CNF242" s="1"/>
      <c r="CNG242" s="1"/>
      <c r="CNH242" s="1"/>
      <c r="CNI242" s="1"/>
      <c r="CNJ242" s="1"/>
      <c r="CNK242" s="1"/>
      <c r="CNL242" s="1"/>
      <c r="CNM242" s="1"/>
      <c r="CNN242" s="1"/>
      <c r="CNO242" s="1"/>
      <c r="CNP242" s="1"/>
      <c r="CNQ242" s="1"/>
      <c r="CNR242" s="1"/>
      <c r="CNS242" s="1"/>
      <c r="CNT242" s="1"/>
      <c r="CNU242" s="1"/>
      <c r="CNV242" s="1"/>
      <c r="CNW242" s="1"/>
      <c r="CNX242" s="1"/>
      <c r="CNY242" s="1"/>
      <c r="CNZ242" s="1"/>
      <c r="COA242" s="1"/>
      <c r="COB242" s="1"/>
      <c r="COC242" s="1"/>
      <c r="COD242" s="1"/>
      <c r="COE242" s="1"/>
      <c r="COF242" s="1"/>
      <c r="COG242" s="1"/>
      <c r="COH242" s="1"/>
      <c r="COI242" s="1"/>
      <c r="COJ242" s="1"/>
      <c r="COK242" s="1"/>
      <c r="COL242" s="1"/>
      <c r="COM242" s="1"/>
      <c r="CON242" s="1"/>
      <c r="COO242" s="1"/>
      <c r="COP242" s="1"/>
      <c r="COQ242" s="1"/>
      <c r="COR242" s="1"/>
      <c r="COS242" s="1"/>
      <c r="COT242" s="1"/>
      <c r="COU242" s="1"/>
      <c r="COV242" s="1"/>
      <c r="COW242" s="1"/>
      <c r="COX242" s="1"/>
      <c r="COY242" s="1"/>
      <c r="COZ242" s="1"/>
      <c r="CPA242" s="1"/>
      <c r="CPB242" s="1"/>
      <c r="CPC242" s="1"/>
      <c r="CPD242" s="1"/>
      <c r="CPE242" s="1"/>
      <c r="CPF242" s="1"/>
      <c r="CPG242" s="1"/>
      <c r="CPH242" s="1"/>
      <c r="CPI242" s="1"/>
      <c r="CPJ242" s="1"/>
      <c r="CPK242" s="1"/>
      <c r="CPL242" s="1"/>
      <c r="CPM242" s="1"/>
      <c r="CPN242" s="1"/>
      <c r="CPO242" s="1"/>
      <c r="CPP242" s="1"/>
      <c r="CPQ242" s="1"/>
      <c r="CPR242" s="1"/>
      <c r="CPS242" s="1"/>
      <c r="CPT242" s="1"/>
      <c r="CPU242" s="1"/>
      <c r="CPV242" s="1"/>
      <c r="CPW242" s="1"/>
      <c r="CPX242" s="1"/>
      <c r="CPY242" s="1"/>
      <c r="CPZ242" s="1"/>
      <c r="CQA242" s="1"/>
      <c r="CQB242" s="1"/>
      <c r="CQC242" s="1"/>
      <c r="CQD242" s="1"/>
      <c r="CQE242" s="1"/>
      <c r="CQF242" s="1"/>
      <c r="CQG242" s="1"/>
      <c r="CQH242" s="1"/>
      <c r="CQI242" s="1"/>
      <c r="CQJ242" s="1"/>
      <c r="CQK242" s="1"/>
      <c r="CQL242" s="1"/>
      <c r="CQM242" s="1"/>
      <c r="CQN242" s="1"/>
      <c r="CQO242" s="1"/>
      <c r="CQP242" s="1"/>
      <c r="CQQ242" s="1"/>
      <c r="CQR242" s="1"/>
      <c r="CQS242" s="1"/>
      <c r="CQT242" s="1"/>
      <c r="CQU242" s="1"/>
      <c r="CQV242" s="1"/>
      <c r="CQW242" s="1"/>
      <c r="CQX242" s="1"/>
      <c r="CQY242" s="1"/>
      <c r="CQZ242" s="1"/>
      <c r="CRA242" s="1"/>
      <c r="CRB242" s="1"/>
      <c r="CRC242" s="1"/>
      <c r="CRD242" s="1"/>
      <c r="CRE242" s="1"/>
      <c r="CRF242" s="1"/>
      <c r="CRG242" s="1"/>
      <c r="CRH242" s="1"/>
      <c r="CRI242" s="1"/>
      <c r="CRJ242" s="1"/>
      <c r="CRK242" s="1"/>
      <c r="CRL242" s="1"/>
      <c r="CRM242" s="1"/>
      <c r="CRN242" s="1"/>
      <c r="CRO242" s="1"/>
      <c r="CRP242" s="1"/>
      <c r="CRQ242" s="1"/>
      <c r="CRR242" s="1"/>
      <c r="CRS242" s="1"/>
      <c r="CRT242" s="1"/>
      <c r="CRU242" s="1"/>
      <c r="CRV242" s="1"/>
      <c r="CRW242" s="1"/>
      <c r="CRX242" s="1"/>
      <c r="CRY242" s="1"/>
      <c r="CRZ242" s="1"/>
      <c r="CSA242" s="1"/>
      <c r="CSB242" s="1"/>
      <c r="CSC242" s="1"/>
      <c r="CSD242" s="1"/>
      <c r="CSE242" s="1"/>
      <c r="CSF242" s="1"/>
      <c r="CSG242" s="1"/>
      <c r="CSH242" s="1"/>
      <c r="CSI242" s="1"/>
      <c r="CSJ242" s="1"/>
      <c r="CSK242" s="1"/>
      <c r="CSL242" s="1"/>
      <c r="CSM242" s="1"/>
      <c r="CSN242" s="1"/>
      <c r="CSO242" s="1"/>
      <c r="CSP242" s="1"/>
      <c r="CSQ242" s="1"/>
      <c r="CSR242" s="1"/>
      <c r="CSS242" s="1"/>
      <c r="CST242" s="1"/>
      <c r="CSU242" s="1"/>
      <c r="CSV242" s="1"/>
      <c r="CSW242" s="1"/>
      <c r="CSX242" s="1"/>
      <c r="CSY242" s="1"/>
      <c r="CSZ242" s="1"/>
      <c r="CTA242" s="1"/>
      <c r="CTB242" s="1"/>
      <c r="CTC242" s="1"/>
      <c r="CTD242" s="1"/>
      <c r="CTE242" s="1"/>
      <c r="CTF242" s="1"/>
      <c r="CTG242" s="1"/>
      <c r="CTH242" s="1"/>
      <c r="CTI242" s="1"/>
      <c r="CTJ242" s="1"/>
      <c r="CTK242" s="1"/>
      <c r="CTL242" s="1"/>
      <c r="CTM242" s="1"/>
      <c r="CTN242" s="1"/>
      <c r="CTO242" s="1"/>
      <c r="CTP242" s="1"/>
      <c r="CTQ242" s="1"/>
      <c r="CTR242" s="1"/>
      <c r="CTS242" s="1"/>
      <c r="CTT242" s="1"/>
      <c r="CTU242" s="1"/>
      <c r="CTV242" s="1"/>
      <c r="CTW242" s="1"/>
      <c r="CTX242" s="1"/>
      <c r="CTY242" s="1"/>
      <c r="CTZ242" s="1"/>
      <c r="CUA242" s="1"/>
      <c r="CUB242" s="1"/>
      <c r="CUC242" s="1"/>
      <c r="CUD242" s="1"/>
      <c r="CUE242" s="1"/>
      <c r="CUF242" s="1"/>
      <c r="CUG242" s="1"/>
      <c r="CUH242" s="1"/>
      <c r="CUI242" s="1"/>
      <c r="CUJ242" s="1"/>
      <c r="CUK242" s="1"/>
      <c r="CUL242" s="1"/>
      <c r="CUM242" s="1"/>
      <c r="CUN242" s="1"/>
      <c r="CUO242" s="1"/>
      <c r="CUP242" s="1"/>
      <c r="CUQ242" s="1"/>
      <c r="CUR242" s="1"/>
      <c r="CUS242" s="1"/>
      <c r="CUT242" s="1"/>
      <c r="CUU242" s="1"/>
      <c r="CUV242" s="1"/>
      <c r="CUW242" s="1"/>
      <c r="CUX242" s="1"/>
      <c r="CUY242" s="1"/>
      <c r="CUZ242" s="1"/>
      <c r="CVA242" s="1"/>
      <c r="CVB242" s="1"/>
      <c r="CVC242" s="1"/>
      <c r="CVD242" s="1"/>
      <c r="CVE242" s="1"/>
      <c r="CVF242" s="1"/>
      <c r="CVG242" s="1"/>
      <c r="CVH242" s="1"/>
      <c r="CVI242" s="1"/>
      <c r="CVJ242" s="1"/>
      <c r="CVK242" s="1"/>
      <c r="CVL242" s="1"/>
      <c r="CVM242" s="1"/>
      <c r="CVN242" s="1"/>
      <c r="CVO242" s="1"/>
      <c r="CVP242" s="1"/>
      <c r="CVQ242" s="1"/>
      <c r="CVR242" s="1"/>
      <c r="CVS242" s="1"/>
      <c r="CVT242" s="1"/>
      <c r="CVU242" s="1"/>
      <c r="CVV242" s="1"/>
      <c r="CVW242" s="1"/>
      <c r="CVX242" s="1"/>
      <c r="CVY242" s="1"/>
      <c r="CVZ242" s="1"/>
      <c r="CWA242" s="1"/>
      <c r="CWB242" s="1"/>
      <c r="CWC242" s="1"/>
      <c r="CWD242" s="1"/>
      <c r="CWE242" s="1"/>
      <c r="CWF242" s="1"/>
      <c r="CWG242" s="1"/>
      <c r="CWH242" s="1"/>
      <c r="CWI242" s="1"/>
      <c r="CWJ242" s="1"/>
      <c r="CWK242" s="1"/>
      <c r="CWL242" s="1"/>
      <c r="CWM242" s="1"/>
      <c r="CWN242" s="1"/>
      <c r="CWO242" s="1"/>
      <c r="CWP242" s="1"/>
      <c r="CWQ242" s="1"/>
      <c r="CWR242" s="1"/>
      <c r="CWS242" s="1"/>
      <c r="CWT242" s="1"/>
      <c r="CWU242" s="1"/>
      <c r="CWV242" s="1"/>
      <c r="CWW242" s="1"/>
      <c r="CWX242" s="1"/>
      <c r="CWY242" s="1"/>
      <c r="CWZ242" s="1"/>
      <c r="CXA242" s="1"/>
      <c r="CXB242" s="1"/>
      <c r="CXC242" s="1"/>
      <c r="CXD242" s="1"/>
      <c r="CXE242" s="1"/>
      <c r="CXF242" s="1"/>
      <c r="CXG242" s="1"/>
      <c r="CXH242" s="1"/>
      <c r="CXI242" s="1"/>
      <c r="CXJ242" s="1"/>
      <c r="CXK242" s="1"/>
      <c r="CXL242" s="1"/>
      <c r="CXM242" s="1"/>
      <c r="CXN242" s="1"/>
      <c r="CXO242" s="1"/>
      <c r="CXP242" s="1"/>
      <c r="CXQ242" s="1"/>
      <c r="CXR242" s="1"/>
      <c r="CXS242" s="1"/>
      <c r="CXT242" s="1"/>
      <c r="CXU242" s="1"/>
      <c r="CXV242" s="1"/>
      <c r="CXW242" s="1"/>
      <c r="CXX242" s="1"/>
      <c r="CXY242" s="1"/>
      <c r="CXZ242" s="1"/>
      <c r="CYA242" s="1"/>
      <c r="CYB242" s="1"/>
      <c r="CYC242" s="1"/>
      <c r="CYD242" s="1"/>
      <c r="CYE242" s="1"/>
      <c r="CYF242" s="1"/>
      <c r="CYG242" s="1"/>
      <c r="CYH242" s="1"/>
      <c r="CYI242" s="1"/>
      <c r="CYJ242" s="1"/>
      <c r="CYK242" s="1"/>
      <c r="CYL242" s="1"/>
      <c r="CYM242" s="1"/>
      <c r="CYN242" s="1"/>
      <c r="CYO242" s="1"/>
      <c r="CYP242" s="1"/>
      <c r="CYQ242" s="1"/>
      <c r="CYR242" s="1"/>
      <c r="CYS242" s="1"/>
      <c r="CYT242" s="1"/>
      <c r="CYU242" s="1"/>
      <c r="CYV242" s="1"/>
      <c r="CYW242" s="1"/>
      <c r="CYX242" s="1"/>
      <c r="CYY242" s="1"/>
      <c r="CYZ242" s="1"/>
      <c r="CZA242" s="1"/>
      <c r="CZB242" s="1"/>
      <c r="CZC242" s="1"/>
      <c r="CZD242" s="1"/>
      <c r="CZE242" s="1"/>
      <c r="CZF242" s="1"/>
      <c r="CZG242" s="1"/>
      <c r="CZH242" s="1"/>
      <c r="CZI242" s="1"/>
      <c r="CZJ242" s="1"/>
      <c r="CZK242" s="1"/>
      <c r="CZL242" s="1"/>
      <c r="CZM242" s="1"/>
      <c r="CZN242" s="1"/>
      <c r="CZO242" s="1"/>
      <c r="CZP242" s="1"/>
      <c r="CZQ242" s="1"/>
      <c r="CZR242" s="1"/>
      <c r="CZS242" s="1"/>
      <c r="CZT242" s="1"/>
      <c r="CZU242" s="1"/>
      <c r="CZV242" s="1"/>
      <c r="CZW242" s="1"/>
      <c r="CZX242" s="1"/>
      <c r="CZY242" s="1"/>
      <c r="CZZ242" s="1"/>
      <c r="DAA242" s="1"/>
      <c r="DAB242" s="1"/>
      <c r="DAC242" s="1"/>
      <c r="DAD242" s="1"/>
      <c r="DAE242" s="1"/>
      <c r="DAF242" s="1"/>
      <c r="DAG242" s="1"/>
      <c r="DAH242" s="1"/>
      <c r="DAI242" s="1"/>
      <c r="DAJ242" s="1"/>
      <c r="DAK242" s="1"/>
      <c r="DAL242" s="1"/>
      <c r="DAM242" s="1"/>
      <c r="DAN242" s="1"/>
      <c r="DAO242" s="1"/>
      <c r="DAP242" s="1"/>
      <c r="DAQ242" s="1"/>
      <c r="DAR242" s="1"/>
      <c r="DAS242" s="1"/>
      <c r="DAT242" s="1"/>
      <c r="DAU242" s="1"/>
      <c r="DAV242" s="1"/>
      <c r="DAW242" s="1"/>
      <c r="DAX242" s="1"/>
      <c r="DAY242" s="1"/>
      <c r="DAZ242" s="1"/>
      <c r="DBA242" s="1"/>
      <c r="DBB242" s="1"/>
      <c r="DBC242" s="1"/>
      <c r="DBD242" s="1"/>
      <c r="DBE242" s="1"/>
      <c r="DBF242" s="1"/>
      <c r="DBG242" s="1"/>
      <c r="DBH242" s="1"/>
      <c r="DBI242" s="1"/>
      <c r="DBJ242" s="1"/>
      <c r="DBK242" s="1"/>
      <c r="DBL242" s="1"/>
      <c r="DBM242" s="1"/>
      <c r="DBN242" s="1"/>
      <c r="DBO242" s="1"/>
      <c r="DBP242" s="1"/>
      <c r="DBQ242" s="1"/>
      <c r="DBR242" s="1"/>
      <c r="DBS242" s="1"/>
      <c r="DBT242" s="1"/>
      <c r="DBU242" s="1"/>
      <c r="DBV242" s="1"/>
      <c r="DBW242" s="1"/>
      <c r="DBX242" s="1"/>
      <c r="DBY242" s="1"/>
      <c r="DBZ242" s="1"/>
      <c r="DCA242" s="1"/>
      <c r="DCB242" s="1"/>
      <c r="DCC242" s="1"/>
      <c r="DCD242" s="1"/>
      <c r="DCE242" s="1"/>
      <c r="DCF242" s="1"/>
      <c r="DCG242" s="1"/>
      <c r="DCH242" s="1"/>
      <c r="DCI242" s="1"/>
      <c r="DCJ242" s="1"/>
      <c r="DCK242" s="1"/>
      <c r="DCL242" s="1"/>
      <c r="DCM242" s="1"/>
      <c r="DCN242" s="1"/>
      <c r="DCO242" s="1"/>
      <c r="DCP242" s="1"/>
      <c r="DCQ242" s="1"/>
      <c r="DCR242" s="1"/>
      <c r="DCS242" s="1"/>
      <c r="DCT242" s="1"/>
      <c r="DCU242" s="1"/>
      <c r="DCV242" s="1"/>
      <c r="DCW242" s="1"/>
      <c r="DCX242" s="1"/>
      <c r="DCY242" s="1"/>
      <c r="DCZ242" s="1"/>
      <c r="DDA242" s="1"/>
      <c r="DDB242" s="1"/>
      <c r="DDC242" s="1"/>
      <c r="DDD242" s="1"/>
      <c r="DDE242" s="1"/>
      <c r="DDF242" s="1"/>
      <c r="DDG242" s="1"/>
      <c r="DDH242" s="1"/>
      <c r="DDI242" s="1"/>
      <c r="DDJ242" s="1"/>
      <c r="DDK242" s="1"/>
      <c r="DDL242" s="1"/>
      <c r="DDM242" s="1"/>
      <c r="DDN242" s="1"/>
      <c r="DDO242" s="1"/>
      <c r="DDP242" s="1"/>
      <c r="DDQ242" s="1"/>
      <c r="DDR242" s="1"/>
      <c r="DDS242" s="1"/>
      <c r="DDT242" s="1"/>
      <c r="DDU242" s="1"/>
      <c r="DDV242" s="1"/>
      <c r="DDW242" s="1"/>
      <c r="DDX242" s="1"/>
      <c r="DDY242" s="1"/>
      <c r="DDZ242" s="1"/>
      <c r="DEA242" s="1"/>
      <c r="DEB242" s="1"/>
      <c r="DEC242" s="1"/>
      <c r="DED242" s="1"/>
      <c r="DEE242" s="1"/>
      <c r="DEF242" s="1"/>
      <c r="DEG242" s="1"/>
      <c r="DEH242" s="1"/>
      <c r="DEI242" s="1"/>
      <c r="DEJ242" s="1"/>
      <c r="DEK242" s="1"/>
      <c r="DEL242" s="1"/>
      <c r="DEM242" s="1"/>
      <c r="DEN242" s="1"/>
      <c r="DEO242" s="1"/>
      <c r="DEP242" s="1"/>
      <c r="DEQ242" s="1"/>
      <c r="DER242" s="1"/>
      <c r="DES242" s="1"/>
      <c r="DET242" s="1"/>
      <c r="DEU242" s="1"/>
      <c r="DEV242" s="1"/>
      <c r="DEW242" s="1"/>
      <c r="DEX242" s="1"/>
      <c r="DEY242" s="1"/>
      <c r="DEZ242" s="1"/>
      <c r="DFA242" s="1"/>
      <c r="DFB242" s="1"/>
      <c r="DFC242" s="1"/>
      <c r="DFD242" s="1"/>
      <c r="DFE242" s="1"/>
      <c r="DFF242" s="1"/>
      <c r="DFG242" s="1"/>
      <c r="DFH242" s="1"/>
      <c r="DFI242" s="1"/>
      <c r="DFJ242" s="1"/>
      <c r="DFK242" s="1"/>
      <c r="DFL242" s="1"/>
      <c r="DFM242" s="1"/>
      <c r="DFN242" s="1"/>
      <c r="DFO242" s="1"/>
      <c r="DFP242" s="1"/>
      <c r="DFQ242" s="1"/>
      <c r="DFR242" s="1"/>
      <c r="DFS242" s="1"/>
      <c r="DFT242" s="1"/>
      <c r="DFU242" s="1"/>
      <c r="DFV242" s="1"/>
      <c r="DFW242" s="1"/>
      <c r="DFX242" s="1"/>
      <c r="DFY242" s="1"/>
      <c r="DFZ242" s="1"/>
      <c r="DGA242" s="1"/>
      <c r="DGB242" s="1"/>
      <c r="DGC242" s="1"/>
      <c r="DGD242" s="1"/>
      <c r="DGE242" s="1"/>
      <c r="DGF242" s="1"/>
      <c r="DGG242" s="1"/>
      <c r="DGH242" s="1"/>
      <c r="DGI242" s="1"/>
      <c r="DGJ242" s="1"/>
      <c r="DGK242" s="1"/>
      <c r="DGL242" s="1"/>
      <c r="DGM242" s="1"/>
      <c r="DGN242" s="1"/>
      <c r="DGO242" s="1"/>
      <c r="DGP242" s="1"/>
      <c r="DGQ242" s="1"/>
      <c r="DGR242" s="1"/>
      <c r="DGS242" s="1"/>
      <c r="DGT242" s="1"/>
      <c r="DGU242" s="1"/>
      <c r="DGV242" s="1"/>
      <c r="DGW242" s="1"/>
      <c r="DGX242" s="1"/>
      <c r="DGY242" s="1"/>
      <c r="DGZ242" s="1"/>
      <c r="DHA242" s="1"/>
      <c r="DHB242" s="1"/>
      <c r="DHC242" s="1"/>
      <c r="DHD242" s="1"/>
      <c r="DHE242" s="1"/>
      <c r="DHF242" s="1"/>
      <c r="DHG242" s="1"/>
      <c r="DHH242" s="1"/>
      <c r="DHI242" s="1"/>
      <c r="DHJ242" s="1"/>
      <c r="DHK242" s="1"/>
      <c r="DHL242" s="1"/>
      <c r="DHM242" s="1"/>
      <c r="DHN242" s="1"/>
      <c r="DHO242" s="1"/>
      <c r="DHP242" s="1"/>
      <c r="DHQ242" s="1"/>
      <c r="DHR242" s="1"/>
      <c r="DHS242" s="1"/>
      <c r="DHT242" s="1"/>
      <c r="DHU242" s="1"/>
      <c r="DHV242" s="1"/>
      <c r="DHW242" s="1"/>
      <c r="DHX242" s="1"/>
      <c r="DHY242" s="1"/>
      <c r="DHZ242" s="1"/>
      <c r="DIA242" s="1"/>
      <c r="DIB242" s="1"/>
      <c r="DIC242" s="1"/>
      <c r="DID242" s="1"/>
      <c r="DIE242" s="1"/>
      <c r="DIF242" s="1"/>
      <c r="DIG242" s="1"/>
      <c r="DIH242" s="1"/>
      <c r="DII242" s="1"/>
      <c r="DIJ242" s="1"/>
      <c r="DIK242" s="1"/>
      <c r="DIL242" s="1"/>
      <c r="DIM242" s="1"/>
      <c r="DIN242" s="1"/>
      <c r="DIO242" s="1"/>
      <c r="DIP242" s="1"/>
      <c r="DIQ242" s="1"/>
      <c r="DIR242" s="1"/>
      <c r="DIS242" s="1"/>
      <c r="DIT242" s="1"/>
      <c r="DIU242" s="1"/>
      <c r="DIV242" s="1"/>
      <c r="DIW242" s="1"/>
      <c r="DIX242" s="1"/>
      <c r="DIY242" s="1"/>
      <c r="DIZ242" s="1"/>
      <c r="DJA242" s="1"/>
      <c r="DJB242" s="1"/>
      <c r="DJC242" s="1"/>
      <c r="DJD242" s="1"/>
      <c r="DJE242" s="1"/>
      <c r="DJF242" s="1"/>
      <c r="DJG242" s="1"/>
      <c r="DJH242" s="1"/>
      <c r="DJI242" s="1"/>
      <c r="DJJ242" s="1"/>
      <c r="DJK242" s="1"/>
      <c r="DJL242" s="1"/>
      <c r="DJM242" s="1"/>
      <c r="DJN242" s="1"/>
      <c r="DJO242" s="1"/>
      <c r="DJP242" s="1"/>
      <c r="DJQ242" s="1"/>
      <c r="DJR242" s="1"/>
      <c r="DJS242" s="1"/>
      <c r="DJT242" s="1"/>
      <c r="DJU242" s="1"/>
      <c r="DJV242" s="1"/>
      <c r="DJW242" s="1"/>
      <c r="DJX242" s="1"/>
      <c r="DJY242" s="1"/>
      <c r="DJZ242" s="1"/>
      <c r="DKA242" s="1"/>
      <c r="DKB242" s="1"/>
      <c r="DKC242" s="1"/>
      <c r="DKD242" s="1"/>
      <c r="DKE242" s="1"/>
      <c r="DKF242" s="1"/>
      <c r="DKG242" s="1"/>
      <c r="DKH242" s="1"/>
      <c r="DKI242" s="1"/>
      <c r="DKJ242" s="1"/>
      <c r="DKK242" s="1"/>
      <c r="DKL242" s="1"/>
      <c r="DKM242" s="1"/>
      <c r="DKN242" s="1"/>
      <c r="DKO242" s="1"/>
      <c r="DKP242" s="1"/>
      <c r="DKQ242" s="1"/>
      <c r="DKR242" s="1"/>
      <c r="DKS242" s="1"/>
      <c r="DKT242" s="1"/>
      <c r="DKU242" s="1"/>
      <c r="DKV242" s="1"/>
      <c r="DKW242" s="1"/>
      <c r="DKX242" s="1"/>
      <c r="DKY242" s="1"/>
      <c r="DKZ242" s="1"/>
      <c r="DLA242" s="1"/>
      <c r="DLB242" s="1"/>
      <c r="DLC242" s="1"/>
      <c r="DLD242" s="1"/>
      <c r="DLE242" s="1"/>
      <c r="DLF242" s="1"/>
      <c r="DLG242" s="1"/>
      <c r="DLH242" s="1"/>
      <c r="DLI242" s="1"/>
      <c r="DLJ242" s="1"/>
      <c r="DLK242" s="1"/>
      <c r="DLL242" s="1"/>
      <c r="DLM242" s="1"/>
      <c r="DLN242" s="1"/>
      <c r="DLO242" s="1"/>
      <c r="DLP242" s="1"/>
      <c r="DLQ242" s="1"/>
      <c r="DLR242" s="1"/>
      <c r="DLS242" s="1"/>
      <c r="DLT242" s="1"/>
      <c r="DLU242" s="1"/>
      <c r="DLV242" s="1"/>
      <c r="DLW242" s="1"/>
      <c r="DLX242" s="1"/>
      <c r="DLY242" s="1"/>
      <c r="DLZ242" s="1"/>
      <c r="DMA242" s="1"/>
      <c r="DMB242" s="1"/>
      <c r="DMC242" s="1"/>
      <c r="DMD242" s="1"/>
      <c r="DME242" s="1"/>
      <c r="DMF242" s="1"/>
      <c r="DMG242" s="1"/>
      <c r="DMH242" s="1"/>
      <c r="DMI242" s="1"/>
      <c r="DMJ242" s="1"/>
      <c r="DMK242" s="1"/>
      <c r="DML242" s="1"/>
      <c r="DMM242" s="1"/>
      <c r="DMN242" s="1"/>
      <c r="DMO242" s="1"/>
      <c r="DMP242" s="1"/>
      <c r="DMQ242" s="1"/>
      <c r="DMR242" s="1"/>
      <c r="DMS242" s="1"/>
      <c r="DMT242" s="1"/>
      <c r="DMU242" s="1"/>
      <c r="DMV242" s="1"/>
      <c r="DMW242" s="1"/>
      <c r="DMX242" s="1"/>
      <c r="DMY242" s="1"/>
      <c r="DMZ242" s="1"/>
      <c r="DNA242" s="1"/>
      <c r="DNB242" s="1"/>
      <c r="DNC242" s="1"/>
      <c r="DND242" s="1"/>
      <c r="DNE242" s="1"/>
      <c r="DNF242" s="1"/>
      <c r="DNG242" s="1"/>
      <c r="DNH242" s="1"/>
      <c r="DNI242" s="1"/>
      <c r="DNJ242" s="1"/>
      <c r="DNK242" s="1"/>
      <c r="DNL242" s="1"/>
      <c r="DNM242" s="1"/>
      <c r="DNN242" s="1"/>
      <c r="DNO242" s="1"/>
      <c r="DNP242" s="1"/>
      <c r="DNQ242" s="1"/>
      <c r="DNR242" s="1"/>
      <c r="DNS242" s="1"/>
      <c r="DNT242" s="1"/>
      <c r="DNU242" s="1"/>
      <c r="DNV242" s="1"/>
      <c r="DNW242" s="1"/>
      <c r="DNX242" s="1"/>
      <c r="DNY242" s="1"/>
      <c r="DNZ242" s="1"/>
      <c r="DOA242" s="1"/>
      <c r="DOB242" s="1"/>
      <c r="DOC242" s="1"/>
      <c r="DOD242" s="1"/>
      <c r="DOE242" s="1"/>
      <c r="DOF242" s="1"/>
      <c r="DOG242" s="1"/>
      <c r="DOH242" s="1"/>
      <c r="DOI242" s="1"/>
      <c r="DOJ242" s="1"/>
      <c r="DOK242" s="1"/>
      <c r="DOL242" s="1"/>
      <c r="DOM242" s="1"/>
      <c r="DON242" s="1"/>
      <c r="DOO242" s="1"/>
      <c r="DOP242" s="1"/>
      <c r="DOQ242" s="1"/>
      <c r="DOR242" s="1"/>
      <c r="DOS242" s="1"/>
      <c r="DOT242" s="1"/>
      <c r="DOU242" s="1"/>
      <c r="DOV242" s="1"/>
      <c r="DOW242" s="1"/>
      <c r="DOX242" s="1"/>
      <c r="DOY242" s="1"/>
      <c r="DOZ242" s="1"/>
      <c r="DPA242" s="1"/>
      <c r="DPB242" s="1"/>
      <c r="DPC242" s="1"/>
      <c r="DPD242" s="1"/>
      <c r="DPE242" s="1"/>
      <c r="DPF242" s="1"/>
      <c r="DPG242" s="1"/>
      <c r="DPH242" s="1"/>
      <c r="DPI242" s="1"/>
      <c r="DPJ242" s="1"/>
      <c r="DPK242" s="1"/>
      <c r="DPL242" s="1"/>
      <c r="DPM242" s="1"/>
      <c r="DPN242" s="1"/>
      <c r="DPO242" s="1"/>
      <c r="DPP242" s="1"/>
      <c r="DPQ242" s="1"/>
      <c r="DPR242" s="1"/>
      <c r="DPS242" s="1"/>
      <c r="DPT242" s="1"/>
      <c r="DPU242" s="1"/>
      <c r="DPV242" s="1"/>
      <c r="DPW242" s="1"/>
      <c r="DPX242" s="1"/>
      <c r="DPY242" s="1"/>
      <c r="DPZ242" s="1"/>
      <c r="DQA242" s="1"/>
      <c r="DQB242" s="1"/>
      <c r="DQC242" s="1"/>
      <c r="DQD242" s="1"/>
      <c r="DQE242" s="1"/>
      <c r="DQF242" s="1"/>
      <c r="DQG242" s="1"/>
      <c r="DQH242" s="1"/>
      <c r="DQI242" s="1"/>
      <c r="DQJ242" s="1"/>
      <c r="DQK242" s="1"/>
      <c r="DQL242" s="1"/>
      <c r="DQM242" s="1"/>
      <c r="DQN242" s="1"/>
      <c r="DQO242" s="1"/>
      <c r="DQP242" s="1"/>
      <c r="DQQ242" s="1"/>
      <c r="DQR242" s="1"/>
      <c r="DQS242" s="1"/>
      <c r="DQT242" s="1"/>
      <c r="DQU242" s="1"/>
      <c r="DQV242" s="1"/>
      <c r="DQW242" s="1"/>
      <c r="DQX242" s="1"/>
      <c r="DQY242" s="1"/>
      <c r="DQZ242" s="1"/>
      <c r="DRA242" s="1"/>
      <c r="DRB242" s="1"/>
      <c r="DRC242" s="1"/>
      <c r="DRD242" s="1"/>
      <c r="DRE242" s="1"/>
      <c r="DRF242" s="1"/>
      <c r="DRG242" s="1"/>
      <c r="DRH242" s="1"/>
      <c r="DRI242" s="1"/>
      <c r="DRJ242" s="1"/>
      <c r="DRK242" s="1"/>
      <c r="DRL242" s="1"/>
      <c r="DRM242" s="1"/>
      <c r="DRN242" s="1"/>
      <c r="DRO242" s="1"/>
      <c r="DRP242" s="1"/>
      <c r="DRQ242" s="1"/>
      <c r="DRR242" s="1"/>
      <c r="DRS242" s="1"/>
      <c r="DRT242" s="1"/>
      <c r="DRU242" s="1"/>
      <c r="DRV242" s="1"/>
      <c r="DRW242" s="1"/>
      <c r="DRX242" s="1"/>
      <c r="DRY242" s="1"/>
      <c r="DRZ242" s="1"/>
      <c r="DSA242" s="1"/>
      <c r="DSB242" s="1"/>
      <c r="DSC242" s="1"/>
      <c r="DSD242" s="1"/>
      <c r="DSE242" s="1"/>
      <c r="DSF242" s="1"/>
      <c r="DSG242" s="1"/>
      <c r="DSH242" s="1"/>
      <c r="DSI242" s="1"/>
      <c r="DSJ242" s="1"/>
      <c r="DSK242" s="1"/>
      <c r="DSL242" s="1"/>
      <c r="DSM242" s="1"/>
      <c r="DSN242" s="1"/>
      <c r="DSO242" s="1"/>
      <c r="DSP242" s="1"/>
      <c r="DSQ242" s="1"/>
      <c r="DSR242" s="1"/>
      <c r="DSS242" s="1"/>
      <c r="DST242" s="1"/>
      <c r="DSU242" s="1"/>
      <c r="DSV242" s="1"/>
      <c r="DSW242" s="1"/>
      <c r="DSX242" s="1"/>
      <c r="DSY242" s="1"/>
      <c r="DSZ242" s="1"/>
      <c r="DTA242" s="1"/>
      <c r="DTB242" s="1"/>
      <c r="DTC242" s="1"/>
      <c r="DTD242" s="1"/>
      <c r="DTE242" s="1"/>
      <c r="DTF242" s="1"/>
      <c r="DTG242" s="1"/>
      <c r="DTH242" s="1"/>
      <c r="DTI242" s="1"/>
      <c r="DTJ242" s="1"/>
      <c r="DTK242" s="1"/>
      <c r="DTL242" s="1"/>
      <c r="DTM242" s="1"/>
      <c r="DTN242" s="1"/>
      <c r="DTO242" s="1"/>
      <c r="DTP242" s="1"/>
      <c r="DTQ242" s="1"/>
      <c r="DTR242" s="1"/>
      <c r="DTS242" s="1"/>
      <c r="DTT242" s="1"/>
      <c r="DTU242" s="1"/>
      <c r="DTV242" s="1"/>
      <c r="DTW242" s="1"/>
      <c r="DTX242" s="1"/>
      <c r="DTY242" s="1"/>
      <c r="DTZ242" s="1"/>
      <c r="DUA242" s="1"/>
      <c r="DUB242" s="1"/>
      <c r="DUC242" s="1"/>
      <c r="DUD242" s="1"/>
      <c r="DUE242" s="1"/>
      <c r="DUF242" s="1"/>
      <c r="DUG242" s="1"/>
      <c r="DUH242" s="1"/>
      <c r="DUI242" s="1"/>
      <c r="DUJ242" s="1"/>
      <c r="DUK242" s="1"/>
      <c r="DUL242" s="1"/>
      <c r="DUM242" s="1"/>
      <c r="DUN242" s="1"/>
      <c r="DUO242" s="1"/>
      <c r="DUP242" s="1"/>
      <c r="DUQ242" s="1"/>
      <c r="DUR242" s="1"/>
      <c r="DUS242" s="1"/>
      <c r="DUT242" s="1"/>
      <c r="DUU242" s="1"/>
      <c r="DUV242" s="1"/>
      <c r="DUW242" s="1"/>
      <c r="DUX242" s="1"/>
      <c r="DUY242" s="1"/>
      <c r="DUZ242" s="1"/>
      <c r="DVA242" s="1"/>
      <c r="DVB242" s="1"/>
      <c r="DVC242" s="1"/>
      <c r="DVD242" s="1"/>
      <c r="DVE242" s="1"/>
      <c r="DVF242" s="1"/>
      <c r="DVG242" s="1"/>
      <c r="DVH242" s="1"/>
      <c r="DVI242" s="1"/>
      <c r="DVJ242" s="1"/>
      <c r="DVK242" s="1"/>
      <c r="DVL242" s="1"/>
      <c r="DVM242" s="1"/>
      <c r="DVN242" s="1"/>
      <c r="DVO242" s="1"/>
      <c r="DVP242" s="1"/>
      <c r="DVQ242" s="1"/>
      <c r="DVR242" s="1"/>
      <c r="DVS242" s="1"/>
      <c r="DVT242" s="1"/>
      <c r="DVU242" s="1"/>
      <c r="DVV242" s="1"/>
      <c r="DVW242" s="1"/>
      <c r="DVX242" s="1"/>
      <c r="DVY242" s="1"/>
      <c r="DVZ242" s="1"/>
      <c r="DWA242" s="1"/>
      <c r="DWB242" s="1"/>
      <c r="DWC242" s="1"/>
      <c r="DWD242" s="1"/>
      <c r="DWE242" s="1"/>
      <c r="DWF242" s="1"/>
      <c r="DWG242" s="1"/>
      <c r="DWH242" s="1"/>
      <c r="DWI242" s="1"/>
      <c r="DWJ242" s="1"/>
      <c r="DWK242" s="1"/>
      <c r="DWL242" s="1"/>
      <c r="DWM242" s="1"/>
      <c r="DWN242" s="1"/>
      <c r="DWO242" s="1"/>
      <c r="DWP242" s="1"/>
      <c r="DWQ242" s="1"/>
      <c r="DWR242" s="1"/>
      <c r="DWS242" s="1"/>
      <c r="DWT242" s="1"/>
      <c r="DWU242" s="1"/>
      <c r="DWV242" s="1"/>
      <c r="DWW242" s="1"/>
      <c r="DWX242" s="1"/>
      <c r="DWY242" s="1"/>
      <c r="DWZ242" s="1"/>
      <c r="DXA242" s="1"/>
      <c r="DXB242" s="1"/>
      <c r="DXC242" s="1"/>
      <c r="DXD242" s="1"/>
      <c r="DXE242" s="1"/>
      <c r="DXF242" s="1"/>
      <c r="DXG242" s="1"/>
      <c r="DXH242" s="1"/>
      <c r="DXI242" s="1"/>
      <c r="DXJ242" s="1"/>
      <c r="DXK242" s="1"/>
      <c r="DXL242" s="1"/>
      <c r="DXM242" s="1"/>
      <c r="DXN242" s="1"/>
      <c r="DXO242" s="1"/>
      <c r="DXP242" s="1"/>
      <c r="DXQ242" s="1"/>
      <c r="DXR242" s="1"/>
      <c r="DXS242" s="1"/>
      <c r="DXT242" s="1"/>
      <c r="DXU242" s="1"/>
      <c r="DXV242" s="1"/>
      <c r="DXW242" s="1"/>
      <c r="DXX242" s="1"/>
      <c r="DXY242" s="1"/>
      <c r="DXZ242" s="1"/>
      <c r="DYA242" s="1"/>
      <c r="DYB242" s="1"/>
      <c r="DYC242" s="1"/>
      <c r="DYD242" s="1"/>
      <c r="DYE242" s="1"/>
      <c r="DYF242" s="1"/>
      <c r="DYG242" s="1"/>
      <c r="DYH242" s="1"/>
      <c r="DYI242" s="1"/>
      <c r="DYJ242" s="1"/>
      <c r="DYK242" s="1"/>
      <c r="DYL242" s="1"/>
      <c r="DYM242" s="1"/>
      <c r="DYN242" s="1"/>
      <c r="DYO242" s="1"/>
      <c r="DYP242" s="1"/>
      <c r="DYQ242" s="1"/>
      <c r="DYR242" s="1"/>
      <c r="DYS242" s="1"/>
      <c r="DYT242" s="1"/>
      <c r="DYU242" s="1"/>
      <c r="DYV242" s="1"/>
      <c r="DYW242" s="1"/>
      <c r="DYX242" s="1"/>
      <c r="DYY242" s="1"/>
      <c r="DYZ242" s="1"/>
      <c r="DZA242" s="1"/>
      <c r="DZB242" s="1"/>
      <c r="DZC242" s="1"/>
      <c r="DZD242" s="1"/>
      <c r="DZE242" s="1"/>
      <c r="DZF242" s="1"/>
      <c r="DZG242" s="1"/>
      <c r="DZH242" s="1"/>
      <c r="DZI242" s="1"/>
      <c r="DZJ242" s="1"/>
      <c r="DZK242" s="1"/>
      <c r="DZL242" s="1"/>
      <c r="DZM242" s="1"/>
      <c r="DZN242" s="1"/>
      <c r="DZO242" s="1"/>
      <c r="DZP242" s="1"/>
      <c r="DZQ242" s="1"/>
      <c r="DZR242" s="1"/>
      <c r="DZS242" s="1"/>
      <c r="DZT242" s="1"/>
      <c r="DZU242" s="1"/>
      <c r="DZV242" s="1"/>
      <c r="DZW242" s="1"/>
      <c r="DZX242" s="1"/>
      <c r="DZY242" s="1"/>
      <c r="DZZ242" s="1"/>
      <c r="EAA242" s="1"/>
      <c r="EAB242" s="1"/>
      <c r="EAC242" s="1"/>
      <c r="EAD242" s="1"/>
      <c r="EAE242" s="1"/>
      <c r="EAF242" s="1"/>
      <c r="EAG242" s="1"/>
      <c r="EAH242" s="1"/>
      <c r="EAI242" s="1"/>
      <c r="EAJ242" s="1"/>
      <c r="EAK242" s="1"/>
      <c r="EAL242" s="1"/>
      <c r="EAM242" s="1"/>
      <c r="EAN242" s="1"/>
      <c r="EAO242" s="1"/>
      <c r="EAP242" s="1"/>
      <c r="EAQ242" s="1"/>
      <c r="EAR242" s="1"/>
      <c r="EAS242" s="1"/>
      <c r="EAT242" s="1"/>
      <c r="EAU242" s="1"/>
      <c r="EAV242" s="1"/>
      <c r="EAW242" s="1"/>
      <c r="EAX242" s="1"/>
      <c r="EAY242" s="1"/>
      <c r="EAZ242" s="1"/>
      <c r="EBA242" s="1"/>
      <c r="EBB242" s="1"/>
      <c r="EBC242" s="1"/>
      <c r="EBD242" s="1"/>
      <c r="EBE242" s="1"/>
      <c r="EBF242" s="1"/>
      <c r="EBG242" s="1"/>
      <c r="EBH242" s="1"/>
      <c r="EBI242" s="1"/>
      <c r="EBJ242" s="1"/>
      <c r="EBK242" s="1"/>
      <c r="EBL242" s="1"/>
      <c r="EBM242" s="1"/>
      <c r="EBN242" s="1"/>
      <c r="EBO242" s="1"/>
      <c r="EBP242" s="1"/>
      <c r="EBQ242" s="1"/>
      <c r="EBR242" s="1"/>
      <c r="EBS242" s="1"/>
      <c r="EBT242" s="1"/>
      <c r="EBU242" s="1"/>
      <c r="EBV242" s="1"/>
      <c r="EBW242" s="1"/>
      <c r="EBX242" s="1"/>
      <c r="EBY242" s="1"/>
      <c r="EBZ242" s="1"/>
      <c r="ECA242" s="1"/>
      <c r="ECB242" s="1"/>
      <c r="ECC242" s="1"/>
      <c r="ECD242" s="1"/>
      <c r="ECE242" s="1"/>
      <c r="ECF242" s="1"/>
      <c r="ECG242" s="1"/>
      <c r="ECH242" s="1"/>
      <c r="ECI242" s="1"/>
      <c r="ECJ242" s="1"/>
      <c r="ECK242" s="1"/>
      <c r="ECL242" s="1"/>
      <c r="ECM242" s="1"/>
      <c r="ECN242" s="1"/>
      <c r="ECO242" s="1"/>
      <c r="ECP242" s="1"/>
      <c r="ECQ242" s="1"/>
      <c r="ECR242" s="1"/>
      <c r="ECS242" s="1"/>
      <c r="ECT242" s="1"/>
      <c r="ECU242" s="1"/>
      <c r="ECV242" s="1"/>
      <c r="ECW242" s="1"/>
      <c r="ECX242" s="1"/>
      <c r="ECY242" s="1"/>
      <c r="ECZ242" s="1"/>
      <c r="EDA242" s="1"/>
      <c r="EDB242" s="1"/>
      <c r="EDC242" s="1"/>
      <c r="EDD242" s="1"/>
      <c r="EDE242" s="1"/>
      <c r="EDF242" s="1"/>
      <c r="EDG242" s="1"/>
      <c r="EDH242" s="1"/>
      <c r="EDI242" s="1"/>
      <c r="EDJ242" s="1"/>
      <c r="EDK242" s="1"/>
      <c r="EDL242" s="1"/>
      <c r="EDM242" s="1"/>
      <c r="EDN242" s="1"/>
      <c r="EDO242" s="1"/>
      <c r="EDP242" s="1"/>
      <c r="EDQ242" s="1"/>
      <c r="EDR242" s="1"/>
      <c r="EDS242" s="1"/>
      <c r="EDT242" s="1"/>
      <c r="EDU242" s="1"/>
      <c r="EDV242" s="1"/>
      <c r="EDW242" s="1"/>
      <c r="EDX242" s="1"/>
      <c r="EDY242" s="1"/>
      <c r="EDZ242" s="1"/>
      <c r="EEA242" s="1"/>
      <c r="EEB242" s="1"/>
      <c r="EEC242" s="1"/>
      <c r="EED242" s="1"/>
      <c r="EEE242" s="1"/>
      <c r="EEF242" s="1"/>
      <c r="EEG242" s="1"/>
      <c r="EEH242" s="1"/>
      <c r="EEI242" s="1"/>
      <c r="EEJ242" s="1"/>
      <c r="EEK242" s="1"/>
      <c r="EEL242" s="1"/>
      <c r="EEM242" s="1"/>
      <c r="EEN242" s="1"/>
      <c r="EEO242" s="1"/>
      <c r="EEP242" s="1"/>
      <c r="EEQ242" s="1"/>
      <c r="EER242" s="1"/>
      <c r="EES242" s="1"/>
      <c r="EET242" s="1"/>
      <c r="EEU242" s="1"/>
      <c r="EEV242" s="1"/>
      <c r="EEW242" s="1"/>
      <c r="EEX242" s="1"/>
      <c r="EEY242" s="1"/>
      <c r="EEZ242" s="1"/>
      <c r="EFA242" s="1"/>
      <c r="EFB242" s="1"/>
      <c r="EFC242" s="1"/>
      <c r="EFD242" s="1"/>
      <c r="EFE242" s="1"/>
      <c r="EFF242" s="1"/>
      <c r="EFG242" s="1"/>
      <c r="EFH242" s="1"/>
      <c r="EFI242" s="1"/>
      <c r="EFJ242" s="1"/>
      <c r="EFK242" s="1"/>
      <c r="EFL242" s="1"/>
      <c r="EFM242" s="1"/>
      <c r="EFN242" s="1"/>
      <c r="EFO242" s="1"/>
      <c r="EFP242" s="1"/>
      <c r="EFQ242" s="1"/>
      <c r="EFR242" s="1"/>
      <c r="EFS242" s="1"/>
      <c r="EFT242" s="1"/>
      <c r="EFU242" s="1"/>
      <c r="EFV242" s="1"/>
      <c r="EFW242" s="1"/>
      <c r="EFX242" s="1"/>
      <c r="EFY242" s="1"/>
      <c r="EFZ242" s="1"/>
      <c r="EGA242" s="1"/>
      <c r="EGB242" s="1"/>
      <c r="EGC242" s="1"/>
      <c r="EGD242" s="1"/>
      <c r="EGE242" s="1"/>
      <c r="EGF242" s="1"/>
      <c r="EGG242" s="1"/>
      <c r="EGH242" s="1"/>
      <c r="EGI242" s="1"/>
      <c r="EGJ242" s="1"/>
      <c r="EGK242" s="1"/>
      <c r="EGL242" s="1"/>
      <c r="EGM242" s="1"/>
      <c r="EGN242" s="1"/>
      <c r="EGO242" s="1"/>
      <c r="EGP242" s="1"/>
      <c r="EGQ242" s="1"/>
      <c r="EGR242" s="1"/>
      <c r="EGS242" s="1"/>
      <c r="EGT242" s="1"/>
      <c r="EGU242" s="1"/>
      <c r="EGV242" s="1"/>
      <c r="EGW242" s="1"/>
      <c r="EGX242" s="1"/>
      <c r="EGY242" s="1"/>
      <c r="EGZ242" s="1"/>
      <c r="EHA242" s="1"/>
      <c r="EHB242" s="1"/>
      <c r="EHC242" s="1"/>
      <c r="EHD242" s="1"/>
      <c r="EHE242" s="1"/>
      <c r="EHF242" s="1"/>
      <c r="EHG242" s="1"/>
      <c r="EHH242" s="1"/>
      <c r="EHI242" s="1"/>
      <c r="EHJ242" s="1"/>
      <c r="EHK242" s="1"/>
      <c r="EHL242" s="1"/>
      <c r="EHM242" s="1"/>
      <c r="EHN242" s="1"/>
      <c r="EHO242" s="1"/>
      <c r="EHP242" s="1"/>
      <c r="EHQ242" s="1"/>
      <c r="EHR242" s="1"/>
      <c r="EHS242" s="1"/>
      <c r="EHT242" s="1"/>
      <c r="EHU242" s="1"/>
      <c r="EHV242" s="1"/>
      <c r="EHW242" s="1"/>
      <c r="EHX242" s="1"/>
      <c r="EHY242" s="1"/>
      <c r="EHZ242" s="1"/>
      <c r="EIA242" s="1"/>
      <c r="EIB242" s="1"/>
      <c r="EIC242" s="1"/>
      <c r="EID242" s="1"/>
      <c r="EIE242" s="1"/>
      <c r="EIF242" s="1"/>
      <c r="EIG242" s="1"/>
      <c r="EIH242" s="1"/>
      <c r="EII242" s="1"/>
      <c r="EIJ242" s="1"/>
      <c r="EIK242" s="1"/>
      <c r="EIL242" s="1"/>
      <c r="EIM242" s="1"/>
      <c r="EIN242" s="1"/>
      <c r="EIO242" s="1"/>
      <c r="EIP242" s="1"/>
      <c r="EIQ242" s="1"/>
      <c r="EIR242" s="1"/>
      <c r="EIS242" s="1"/>
      <c r="EIT242" s="1"/>
      <c r="EIU242" s="1"/>
      <c r="EIV242" s="1"/>
      <c r="EIW242" s="1"/>
      <c r="EIX242" s="1"/>
      <c r="EIY242" s="1"/>
      <c r="EIZ242" s="1"/>
      <c r="EJA242" s="1"/>
      <c r="EJB242" s="1"/>
      <c r="EJC242" s="1"/>
      <c r="EJD242" s="1"/>
      <c r="EJE242" s="1"/>
      <c r="EJF242" s="1"/>
      <c r="EJG242" s="1"/>
      <c r="EJH242" s="1"/>
      <c r="EJI242" s="1"/>
      <c r="EJJ242" s="1"/>
      <c r="EJK242" s="1"/>
      <c r="EJL242" s="1"/>
      <c r="EJM242" s="1"/>
      <c r="EJN242" s="1"/>
      <c r="EJO242" s="1"/>
      <c r="EJP242" s="1"/>
      <c r="EJQ242" s="1"/>
      <c r="EJR242" s="1"/>
      <c r="EJS242" s="1"/>
      <c r="EJT242" s="1"/>
      <c r="EJU242" s="1"/>
      <c r="EJV242" s="1"/>
      <c r="EJW242" s="1"/>
      <c r="EJX242" s="1"/>
      <c r="EJY242" s="1"/>
      <c r="EJZ242" s="1"/>
      <c r="EKA242" s="1"/>
      <c r="EKB242" s="1"/>
      <c r="EKC242" s="1"/>
      <c r="EKD242" s="1"/>
      <c r="EKE242" s="1"/>
      <c r="EKF242" s="1"/>
      <c r="EKG242" s="1"/>
      <c r="EKH242" s="1"/>
      <c r="EKI242" s="1"/>
      <c r="EKJ242" s="1"/>
      <c r="EKK242" s="1"/>
      <c r="EKL242" s="1"/>
      <c r="EKM242" s="1"/>
      <c r="EKN242" s="1"/>
      <c r="EKO242" s="1"/>
      <c r="EKP242" s="1"/>
      <c r="EKQ242" s="1"/>
      <c r="EKR242" s="1"/>
      <c r="EKS242" s="1"/>
      <c r="EKT242" s="1"/>
      <c r="EKU242" s="1"/>
      <c r="EKV242" s="1"/>
      <c r="EKW242" s="1"/>
      <c r="EKX242" s="1"/>
      <c r="EKY242" s="1"/>
      <c r="EKZ242" s="1"/>
      <c r="ELA242" s="1"/>
      <c r="ELB242" s="1"/>
      <c r="ELC242" s="1"/>
      <c r="ELD242" s="1"/>
      <c r="ELE242" s="1"/>
      <c r="ELF242" s="1"/>
      <c r="ELG242" s="1"/>
      <c r="ELH242" s="1"/>
      <c r="ELI242" s="1"/>
      <c r="ELJ242" s="1"/>
      <c r="ELK242" s="1"/>
      <c r="ELL242" s="1"/>
      <c r="ELM242" s="1"/>
      <c r="ELN242" s="1"/>
      <c r="ELO242" s="1"/>
      <c r="ELP242" s="1"/>
      <c r="ELQ242" s="1"/>
      <c r="ELR242" s="1"/>
      <c r="ELS242" s="1"/>
      <c r="ELT242" s="1"/>
      <c r="ELU242" s="1"/>
      <c r="ELV242" s="1"/>
      <c r="ELW242" s="1"/>
      <c r="ELX242" s="1"/>
      <c r="ELY242" s="1"/>
      <c r="ELZ242" s="1"/>
      <c r="EMA242" s="1"/>
      <c r="EMB242" s="1"/>
      <c r="EMC242" s="1"/>
      <c r="EMD242" s="1"/>
      <c r="EME242" s="1"/>
      <c r="EMF242" s="1"/>
      <c r="EMG242" s="1"/>
      <c r="EMH242" s="1"/>
      <c r="EMI242" s="1"/>
      <c r="EMJ242" s="1"/>
      <c r="EMK242" s="1"/>
      <c r="EML242" s="1"/>
      <c r="EMM242" s="1"/>
      <c r="EMN242" s="1"/>
      <c r="EMO242" s="1"/>
      <c r="EMP242" s="1"/>
      <c r="EMQ242" s="1"/>
      <c r="EMR242" s="1"/>
      <c r="EMS242" s="1"/>
      <c r="EMT242" s="1"/>
      <c r="EMU242" s="1"/>
      <c r="EMV242" s="1"/>
      <c r="EMW242" s="1"/>
      <c r="EMX242" s="1"/>
      <c r="EMY242" s="1"/>
      <c r="EMZ242" s="1"/>
      <c r="ENA242" s="1"/>
      <c r="ENB242" s="1"/>
      <c r="ENC242" s="1"/>
      <c r="END242" s="1"/>
      <c r="ENE242" s="1"/>
      <c r="ENF242" s="1"/>
      <c r="ENG242" s="1"/>
      <c r="ENH242" s="1"/>
      <c r="ENI242" s="1"/>
      <c r="ENJ242" s="1"/>
      <c r="ENK242" s="1"/>
      <c r="ENL242" s="1"/>
      <c r="ENM242" s="1"/>
      <c r="ENN242" s="1"/>
      <c r="ENO242" s="1"/>
      <c r="ENP242" s="1"/>
      <c r="ENQ242" s="1"/>
      <c r="ENR242" s="1"/>
      <c r="ENS242" s="1"/>
      <c r="ENT242" s="1"/>
      <c r="ENU242" s="1"/>
      <c r="ENV242" s="1"/>
      <c r="ENW242" s="1"/>
      <c r="ENX242" s="1"/>
      <c r="ENY242" s="1"/>
      <c r="ENZ242" s="1"/>
      <c r="EOA242" s="1"/>
      <c r="EOB242" s="1"/>
      <c r="EOC242" s="1"/>
      <c r="EOD242" s="1"/>
      <c r="EOE242" s="1"/>
      <c r="EOF242" s="1"/>
      <c r="EOG242" s="1"/>
      <c r="EOH242" s="1"/>
      <c r="EOI242" s="1"/>
      <c r="EOJ242" s="1"/>
      <c r="EOK242" s="1"/>
      <c r="EOL242" s="1"/>
      <c r="EOM242" s="1"/>
      <c r="EON242" s="1"/>
      <c r="EOO242" s="1"/>
      <c r="EOP242" s="1"/>
      <c r="EOQ242" s="1"/>
      <c r="EOR242" s="1"/>
      <c r="EOS242" s="1"/>
      <c r="EOT242" s="1"/>
      <c r="EOU242" s="1"/>
      <c r="EOV242" s="1"/>
      <c r="EOW242" s="1"/>
      <c r="EOX242" s="1"/>
      <c r="EOY242" s="1"/>
      <c r="EOZ242" s="1"/>
      <c r="EPA242" s="1"/>
      <c r="EPB242" s="1"/>
      <c r="EPC242" s="1"/>
      <c r="EPD242" s="1"/>
      <c r="EPE242" s="1"/>
      <c r="EPF242" s="1"/>
      <c r="EPG242" s="1"/>
      <c r="EPH242" s="1"/>
      <c r="EPI242" s="1"/>
      <c r="EPJ242" s="1"/>
      <c r="EPK242" s="1"/>
      <c r="EPL242" s="1"/>
      <c r="EPM242" s="1"/>
      <c r="EPN242" s="1"/>
      <c r="EPO242" s="1"/>
      <c r="EPP242" s="1"/>
      <c r="EPQ242" s="1"/>
      <c r="EPR242" s="1"/>
      <c r="EPS242" s="1"/>
      <c r="EPT242" s="1"/>
      <c r="EPU242" s="1"/>
      <c r="EPV242" s="1"/>
      <c r="EPW242" s="1"/>
      <c r="EPX242" s="1"/>
      <c r="EPY242" s="1"/>
      <c r="EPZ242" s="1"/>
      <c r="EQA242" s="1"/>
      <c r="EQB242" s="1"/>
      <c r="EQC242" s="1"/>
      <c r="EQD242" s="1"/>
      <c r="EQE242" s="1"/>
      <c r="EQF242" s="1"/>
      <c r="EQG242" s="1"/>
      <c r="EQH242" s="1"/>
      <c r="EQI242" s="1"/>
      <c r="EQJ242" s="1"/>
      <c r="EQK242" s="1"/>
      <c r="EQL242" s="1"/>
      <c r="EQM242" s="1"/>
      <c r="EQN242" s="1"/>
      <c r="EQO242" s="1"/>
      <c r="EQP242" s="1"/>
      <c r="EQQ242" s="1"/>
      <c r="EQR242" s="1"/>
      <c r="EQS242" s="1"/>
      <c r="EQT242" s="1"/>
      <c r="EQU242" s="1"/>
      <c r="EQV242" s="1"/>
      <c r="EQW242" s="1"/>
      <c r="EQX242" s="1"/>
      <c r="EQY242" s="1"/>
      <c r="EQZ242" s="1"/>
      <c r="ERA242" s="1"/>
      <c r="ERB242" s="1"/>
      <c r="ERC242" s="1"/>
      <c r="ERD242" s="1"/>
      <c r="ERE242" s="1"/>
      <c r="ERF242" s="1"/>
      <c r="ERG242" s="1"/>
      <c r="ERH242" s="1"/>
      <c r="ERI242" s="1"/>
      <c r="ERJ242" s="1"/>
      <c r="ERK242" s="1"/>
      <c r="ERL242" s="1"/>
      <c r="ERM242" s="1"/>
      <c r="ERN242" s="1"/>
      <c r="ERO242" s="1"/>
      <c r="ERP242" s="1"/>
      <c r="ERQ242" s="1"/>
      <c r="ERR242" s="1"/>
      <c r="ERS242" s="1"/>
      <c r="ERT242" s="1"/>
      <c r="ERU242" s="1"/>
      <c r="ERV242" s="1"/>
      <c r="ERW242" s="1"/>
      <c r="ERX242" s="1"/>
      <c r="ERY242" s="1"/>
      <c r="ERZ242" s="1"/>
      <c r="ESA242" s="1"/>
      <c r="ESB242" s="1"/>
      <c r="ESC242" s="1"/>
      <c r="ESD242" s="1"/>
      <c r="ESE242" s="1"/>
      <c r="ESF242" s="1"/>
      <c r="ESG242" s="1"/>
      <c r="ESH242" s="1"/>
      <c r="ESI242" s="1"/>
      <c r="ESJ242" s="1"/>
      <c r="ESK242" s="1"/>
      <c r="ESL242" s="1"/>
      <c r="ESM242" s="1"/>
      <c r="ESN242" s="1"/>
      <c r="ESO242" s="1"/>
      <c r="ESP242" s="1"/>
      <c r="ESQ242" s="1"/>
      <c r="ESR242" s="1"/>
      <c r="ESS242" s="1"/>
      <c r="EST242" s="1"/>
      <c r="ESU242" s="1"/>
      <c r="ESV242" s="1"/>
      <c r="ESW242" s="1"/>
      <c r="ESX242" s="1"/>
      <c r="ESY242" s="1"/>
      <c r="ESZ242" s="1"/>
      <c r="ETA242" s="1"/>
      <c r="ETB242" s="1"/>
      <c r="ETC242" s="1"/>
      <c r="ETD242" s="1"/>
      <c r="ETE242" s="1"/>
      <c r="ETF242" s="1"/>
      <c r="ETG242" s="1"/>
      <c r="ETH242" s="1"/>
      <c r="ETI242" s="1"/>
      <c r="ETJ242" s="1"/>
      <c r="ETK242" s="1"/>
      <c r="ETL242" s="1"/>
      <c r="ETM242" s="1"/>
      <c r="ETN242" s="1"/>
      <c r="ETO242" s="1"/>
      <c r="ETP242" s="1"/>
      <c r="ETQ242" s="1"/>
      <c r="ETR242" s="1"/>
      <c r="ETS242" s="1"/>
      <c r="ETT242" s="1"/>
      <c r="ETU242" s="1"/>
      <c r="ETV242" s="1"/>
      <c r="ETW242" s="1"/>
      <c r="ETX242" s="1"/>
      <c r="ETY242" s="1"/>
      <c r="ETZ242" s="1"/>
      <c r="EUA242" s="1"/>
      <c r="EUB242" s="1"/>
      <c r="EUC242" s="1"/>
      <c r="EUD242" s="1"/>
      <c r="EUE242" s="1"/>
      <c r="EUF242" s="1"/>
      <c r="EUG242" s="1"/>
      <c r="EUH242" s="1"/>
      <c r="EUI242" s="1"/>
      <c r="EUJ242" s="1"/>
      <c r="EUK242" s="1"/>
      <c r="EUL242" s="1"/>
      <c r="EUM242" s="1"/>
      <c r="EUN242" s="1"/>
      <c r="EUO242" s="1"/>
      <c r="EUP242" s="1"/>
      <c r="EUQ242" s="1"/>
      <c r="EUR242" s="1"/>
      <c r="EUS242" s="1"/>
      <c r="EUT242" s="1"/>
      <c r="EUU242" s="1"/>
      <c r="EUV242" s="1"/>
      <c r="EUW242" s="1"/>
      <c r="EUX242" s="1"/>
      <c r="EUY242" s="1"/>
      <c r="EUZ242" s="1"/>
      <c r="EVA242" s="1"/>
      <c r="EVB242" s="1"/>
      <c r="EVC242" s="1"/>
      <c r="EVD242" s="1"/>
      <c r="EVE242" s="1"/>
      <c r="EVF242" s="1"/>
      <c r="EVG242" s="1"/>
      <c r="EVH242" s="1"/>
      <c r="EVI242" s="1"/>
      <c r="EVJ242" s="1"/>
      <c r="EVK242" s="1"/>
      <c r="EVL242" s="1"/>
      <c r="EVM242" s="1"/>
      <c r="EVN242" s="1"/>
      <c r="EVO242" s="1"/>
      <c r="EVP242" s="1"/>
      <c r="EVQ242" s="1"/>
      <c r="EVR242" s="1"/>
      <c r="EVS242" s="1"/>
      <c r="EVT242" s="1"/>
      <c r="EVU242" s="1"/>
      <c r="EVV242" s="1"/>
      <c r="EVW242" s="1"/>
      <c r="EVX242" s="1"/>
      <c r="EVY242" s="1"/>
      <c r="EVZ242" s="1"/>
      <c r="EWA242" s="1"/>
      <c r="EWB242" s="1"/>
      <c r="EWC242" s="1"/>
      <c r="EWD242" s="1"/>
      <c r="EWE242" s="1"/>
      <c r="EWF242" s="1"/>
      <c r="EWG242" s="1"/>
      <c r="EWH242" s="1"/>
      <c r="EWI242" s="1"/>
      <c r="EWJ242" s="1"/>
      <c r="EWK242" s="1"/>
      <c r="EWL242" s="1"/>
      <c r="EWM242" s="1"/>
      <c r="EWN242" s="1"/>
      <c r="EWO242" s="1"/>
      <c r="EWP242" s="1"/>
      <c r="EWQ242" s="1"/>
      <c r="EWR242" s="1"/>
      <c r="EWS242" s="1"/>
      <c r="EWT242" s="1"/>
      <c r="EWU242" s="1"/>
      <c r="EWV242" s="1"/>
      <c r="EWW242" s="1"/>
      <c r="EWX242" s="1"/>
      <c r="EWY242" s="1"/>
      <c r="EWZ242" s="1"/>
      <c r="EXA242" s="1"/>
      <c r="EXB242" s="1"/>
      <c r="EXC242" s="1"/>
      <c r="EXD242" s="1"/>
      <c r="EXE242" s="1"/>
      <c r="EXF242" s="1"/>
      <c r="EXG242" s="1"/>
      <c r="EXH242" s="1"/>
      <c r="EXI242" s="1"/>
      <c r="EXJ242" s="1"/>
      <c r="EXK242" s="1"/>
      <c r="EXL242" s="1"/>
      <c r="EXM242" s="1"/>
      <c r="EXN242" s="1"/>
      <c r="EXO242" s="1"/>
      <c r="EXP242" s="1"/>
      <c r="EXQ242" s="1"/>
      <c r="EXR242" s="1"/>
      <c r="EXS242" s="1"/>
      <c r="EXT242" s="1"/>
      <c r="EXU242" s="1"/>
      <c r="EXV242" s="1"/>
      <c r="EXW242" s="1"/>
      <c r="EXX242" s="1"/>
      <c r="EXY242" s="1"/>
      <c r="EXZ242" s="1"/>
      <c r="EYA242" s="1"/>
      <c r="EYB242" s="1"/>
      <c r="EYC242" s="1"/>
      <c r="EYD242" s="1"/>
      <c r="EYE242" s="1"/>
      <c r="EYF242" s="1"/>
      <c r="EYG242" s="1"/>
      <c r="EYH242" s="1"/>
      <c r="EYI242" s="1"/>
      <c r="EYJ242" s="1"/>
      <c r="EYK242" s="1"/>
      <c r="EYL242" s="1"/>
      <c r="EYM242" s="1"/>
      <c r="EYN242" s="1"/>
      <c r="EYO242" s="1"/>
      <c r="EYP242" s="1"/>
      <c r="EYQ242" s="1"/>
      <c r="EYR242" s="1"/>
      <c r="EYS242" s="1"/>
      <c r="EYT242" s="1"/>
      <c r="EYU242" s="1"/>
      <c r="EYV242" s="1"/>
      <c r="EYW242" s="1"/>
      <c r="EYX242" s="1"/>
      <c r="EYY242" s="1"/>
      <c r="EYZ242" s="1"/>
      <c r="EZA242" s="1"/>
      <c r="EZB242" s="1"/>
      <c r="EZC242" s="1"/>
      <c r="EZD242" s="1"/>
      <c r="EZE242" s="1"/>
      <c r="EZF242" s="1"/>
      <c r="EZG242" s="1"/>
      <c r="EZH242" s="1"/>
      <c r="EZI242" s="1"/>
      <c r="EZJ242" s="1"/>
      <c r="EZK242" s="1"/>
      <c r="EZL242" s="1"/>
      <c r="EZM242" s="1"/>
      <c r="EZN242" s="1"/>
      <c r="EZO242" s="1"/>
      <c r="EZP242" s="1"/>
      <c r="EZQ242" s="1"/>
      <c r="EZR242" s="1"/>
      <c r="EZS242" s="1"/>
      <c r="EZT242" s="1"/>
      <c r="EZU242" s="1"/>
      <c r="EZV242" s="1"/>
      <c r="EZW242" s="1"/>
      <c r="EZX242" s="1"/>
      <c r="EZY242" s="1"/>
      <c r="EZZ242" s="1"/>
      <c r="FAA242" s="1"/>
      <c r="FAB242" s="1"/>
      <c r="FAC242" s="1"/>
      <c r="FAD242" s="1"/>
      <c r="FAE242" s="1"/>
      <c r="FAF242" s="1"/>
      <c r="FAG242" s="1"/>
      <c r="FAH242" s="1"/>
      <c r="FAI242" s="1"/>
      <c r="FAJ242" s="1"/>
      <c r="FAK242" s="1"/>
      <c r="FAL242" s="1"/>
      <c r="FAM242" s="1"/>
      <c r="FAN242" s="1"/>
      <c r="FAO242" s="1"/>
      <c r="FAP242" s="1"/>
      <c r="FAQ242" s="1"/>
      <c r="FAR242" s="1"/>
      <c r="FAS242" s="1"/>
      <c r="FAT242" s="1"/>
      <c r="FAU242" s="1"/>
      <c r="FAV242" s="1"/>
      <c r="FAW242" s="1"/>
      <c r="FAX242" s="1"/>
      <c r="FAY242" s="1"/>
      <c r="FAZ242" s="1"/>
      <c r="FBA242" s="1"/>
      <c r="FBB242" s="1"/>
      <c r="FBC242" s="1"/>
      <c r="FBD242" s="1"/>
      <c r="FBE242" s="1"/>
      <c r="FBF242" s="1"/>
      <c r="FBG242" s="1"/>
      <c r="FBH242" s="1"/>
      <c r="FBI242" s="1"/>
      <c r="FBJ242" s="1"/>
      <c r="FBK242" s="1"/>
      <c r="FBL242" s="1"/>
      <c r="FBM242" s="1"/>
      <c r="FBN242" s="1"/>
      <c r="FBO242" s="1"/>
      <c r="FBP242" s="1"/>
      <c r="FBQ242" s="1"/>
      <c r="FBR242" s="1"/>
      <c r="FBS242" s="1"/>
      <c r="FBT242" s="1"/>
      <c r="FBU242" s="1"/>
      <c r="FBV242" s="1"/>
      <c r="FBW242" s="1"/>
      <c r="FBX242" s="1"/>
      <c r="FBY242" s="1"/>
      <c r="FBZ242" s="1"/>
      <c r="FCA242" s="1"/>
      <c r="FCB242" s="1"/>
      <c r="FCC242" s="1"/>
      <c r="FCD242" s="1"/>
      <c r="FCE242" s="1"/>
      <c r="FCF242" s="1"/>
      <c r="FCG242" s="1"/>
      <c r="FCH242" s="1"/>
      <c r="FCI242" s="1"/>
      <c r="FCJ242" s="1"/>
      <c r="FCK242" s="1"/>
      <c r="FCL242" s="1"/>
      <c r="FCM242" s="1"/>
      <c r="FCN242" s="1"/>
      <c r="FCO242" s="1"/>
      <c r="FCP242" s="1"/>
      <c r="FCQ242" s="1"/>
      <c r="FCR242" s="1"/>
      <c r="FCS242" s="1"/>
      <c r="FCT242" s="1"/>
      <c r="FCU242" s="1"/>
      <c r="FCV242" s="1"/>
      <c r="FCW242" s="1"/>
      <c r="FCX242" s="1"/>
      <c r="FCY242" s="1"/>
      <c r="FCZ242" s="1"/>
      <c r="FDA242" s="1"/>
      <c r="FDB242" s="1"/>
      <c r="FDC242" s="1"/>
      <c r="FDD242" s="1"/>
      <c r="FDE242" s="1"/>
      <c r="FDF242" s="1"/>
      <c r="FDG242" s="1"/>
      <c r="FDH242" s="1"/>
      <c r="FDI242" s="1"/>
      <c r="FDJ242" s="1"/>
      <c r="FDK242" s="1"/>
      <c r="FDL242" s="1"/>
      <c r="FDM242" s="1"/>
      <c r="FDN242" s="1"/>
      <c r="FDO242" s="1"/>
      <c r="FDP242" s="1"/>
      <c r="FDQ242" s="1"/>
      <c r="FDR242" s="1"/>
      <c r="FDS242" s="1"/>
      <c r="FDT242" s="1"/>
      <c r="FDU242" s="1"/>
      <c r="FDV242" s="1"/>
      <c r="FDW242" s="1"/>
      <c r="FDX242" s="1"/>
      <c r="FDY242" s="1"/>
      <c r="FDZ242" s="1"/>
      <c r="FEA242" s="1"/>
      <c r="FEB242" s="1"/>
      <c r="FEC242" s="1"/>
      <c r="FED242" s="1"/>
      <c r="FEE242" s="1"/>
      <c r="FEF242" s="1"/>
      <c r="FEG242" s="1"/>
      <c r="FEH242" s="1"/>
      <c r="FEI242" s="1"/>
      <c r="FEJ242" s="1"/>
      <c r="FEK242" s="1"/>
      <c r="FEL242" s="1"/>
      <c r="FEM242" s="1"/>
      <c r="FEN242" s="1"/>
      <c r="FEO242" s="1"/>
      <c r="FEP242" s="1"/>
      <c r="FEQ242" s="1"/>
      <c r="FER242" s="1"/>
      <c r="FES242" s="1"/>
      <c r="FET242" s="1"/>
      <c r="FEU242" s="1"/>
      <c r="FEV242" s="1"/>
      <c r="FEW242" s="1"/>
      <c r="FEX242" s="1"/>
      <c r="FEY242" s="1"/>
      <c r="FEZ242" s="1"/>
      <c r="FFA242" s="1"/>
      <c r="FFB242" s="1"/>
      <c r="FFC242" s="1"/>
      <c r="FFD242" s="1"/>
      <c r="FFE242" s="1"/>
      <c r="FFF242" s="1"/>
      <c r="FFG242" s="1"/>
      <c r="FFH242" s="1"/>
      <c r="FFI242" s="1"/>
      <c r="FFJ242" s="1"/>
      <c r="FFK242" s="1"/>
      <c r="FFL242" s="1"/>
      <c r="FFM242" s="1"/>
      <c r="FFN242" s="1"/>
      <c r="FFO242" s="1"/>
      <c r="FFP242" s="1"/>
      <c r="FFQ242" s="1"/>
      <c r="FFR242" s="1"/>
      <c r="FFS242" s="1"/>
      <c r="FFT242" s="1"/>
      <c r="FFU242" s="1"/>
      <c r="FFV242" s="1"/>
      <c r="FFW242" s="1"/>
      <c r="FFX242" s="1"/>
      <c r="FFY242" s="1"/>
      <c r="FFZ242" s="1"/>
      <c r="FGA242" s="1"/>
      <c r="FGB242" s="1"/>
      <c r="FGC242" s="1"/>
      <c r="FGD242" s="1"/>
      <c r="FGE242" s="1"/>
      <c r="FGF242" s="1"/>
      <c r="FGG242" s="1"/>
      <c r="FGH242" s="1"/>
      <c r="FGI242" s="1"/>
      <c r="FGJ242" s="1"/>
      <c r="FGK242" s="1"/>
      <c r="FGL242" s="1"/>
      <c r="FGM242" s="1"/>
      <c r="FGN242" s="1"/>
      <c r="FGO242" s="1"/>
      <c r="FGP242" s="1"/>
      <c r="FGQ242" s="1"/>
      <c r="FGR242" s="1"/>
      <c r="FGS242" s="1"/>
      <c r="FGT242" s="1"/>
      <c r="FGU242" s="1"/>
      <c r="FGV242" s="1"/>
      <c r="FGW242" s="1"/>
      <c r="FGX242" s="1"/>
      <c r="FGY242" s="1"/>
      <c r="FGZ242" s="1"/>
      <c r="FHA242" s="1"/>
      <c r="FHB242" s="1"/>
      <c r="FHC242" s="1"/>
      <c r="FHD242" s="1"/>
      <c r="FHE242" s="1"/>
      <c r="FHF242" s="1"/>
      <c r="FHG242" s="1"/>
      <c r="FHH242" s="1"/>
      <c r="FHI242" s="1"/>
      <c r="FHJ242" s="1"/>
      <c r="FHK242" s="1"/>
      <c r="FHL242" s="1"/>
      <c r="FHM242" s="1"/>
      <c r="FHN242" s="1"/>
      <c r="FHO242" s="1"/>
      <c r="FHP242" s="1"/>
      <c r="FHQ242" s="1"/>
      <c r="FHR242" s="1"/>
      <c r="FHS242" s="1"/>
      <c r="FHT242" s="1"/>
      <c r="FHU242" s="1"/>
      <c r="FHV242" s="1"/>
      <c r="FHW242" s="1"/>
      <c r="FHX242" s="1"/>
      <c r="FHY242" s="1"/>
      <c r="FHZ242" s="1"/>
      <c r="FIA242" s="1"/>
      <c r="FIB242" s="1"/>
      <c r="FIC242" s="1"/>
      <c r="FID242" s="1"/>
      <c r="FIE242" s="1"/>
      <c r="FIF242" s="1"/>
      <c r="FIG242" s="1"/>
      <c r="FIH242" s="1"/>
      <c r="FII242" s="1"/>
      <c r="FIJ242" s="1"/>
      <c r="FIK242" s="1"/>
      <c r="FIL242" s="1"/>
      <c r="FIM242" s="1"/>
      <c r="FIN242" s="1"/>
      <c r="FIO242" s="1"/>
      <c r="FIP242" s="1"/>
      <c r="FIQ242" s="1"/>
      <c r="FIR242" s="1"/>
      <c r="FIS242" s="1"/>
      <c r="FIT242" s="1"/>
      <c r="FIU242" s="1"/>
      <c r="FIV242" s="1"/>
      <c r="FIW242" s="1"/>
      <c r="FIX242" s="1"/>
      <c r="FIY242" s="1"/>
      <c r="FIZ242" s="1"/>
      <c r="FJA242" s="1"/>
      <c r="FJB242" s="1"/>
      <c r="FJC242" s="1"/>
      <c r="FJD242" s="1"/>
      <c r="FJE242" s="1"/>
      <c r="FJF242" s="1"/>
      <c r="FJG242" s="1"/>
      <c r="FJH242" s="1"/>
      <c r="FJI242" s="1"/>
      <c r="FJJ242" s="1"/>
      <c r="FJK242" s="1"/>
      <c r="FJL242" s="1"/>
      <c r="FJM242" s="1"/>
      <c r="FJN242" s="1"/>
      <c r="FJO242" s="1"/>
      <c r="FJP242" s="1"/>
      <c r="FJQ242" s="1"/>
      <c r="FJR242" s="1"/>
      <c r="FJS242" s="1"/>
      <c r="FJT242" s="1"/>
      <c r="FJU242" s="1"/>
      <c r="FJV242" s="1"/>
      <c r="FJW242" s="1"/>
      <c r="FJX242" s="1"/>
      <c r="FJY242" s="1"/>
      <c r="FJZ242" s="1"/>
      <c r="FKA242" s="1"/>
      <c r="FKB242" s="1"/>
      <c r="FKC242" s="1"/>
      <c r="FKD242" s="1"/>
      <c r="FKE242" s="1"/>
      <c r="FKF242" s="1"/>
      <c r="FKG242" s="1"/>
      <c r="FKH242" s="1"/>
      <c r="FKI242" s="1"/>
      <c r="FKJ242" s="1"/>
      <c r="FKK242" s="1"/>
      <c r="FKL242" s="1"/>
      <c r="FKM242" s="1"/>
      <c r="FKN242" s="1"/>
      <c r="FKO242" s="1"/>
      <c r="FKP242" s="1"/>
      <c r="FKQ242" s="1"/>
      <c r="FKR242" s="1"/>
      <c r="FKS242" s="1"/>
      <c r="FKT242" s="1"/>
      <c r="FKU242" s="1"/>
      <c r="FKV242" s="1"/>
      <c r="FKW242" s="1"/>
      <c r="FKX242" s="1"/>
      <c r="FKY242" s="1"/>
      <c r="FKZ242" s="1"/>
      <c r="FLA242" s="1"/>
      <c r="FLB242" s="1"/>
      <c r="FLC242" s="1"/>
      <c r="FLD242" s="1"/>
      <c r="FLE242" s="1"/>
      <c r="FLF242" s="1"/>
      <c r="FLG242" s="1"/>
      <c r="FLH242" s="1"/>
      <c r="FLI242" s="1"/>
      <c r="FLJ242" s="1"/>
      <c r="FLK242" s="1"/>
      <c r="FLL242" s="1"/>
      <c r="FLM242" s="1"/>
      <c r="FLN242" s="1"/>
      <c r="FLO242" s="1"/>
      <c r="FLP242" s="1"/>
      <c r="FLQ242" s="1"/>
      <c r="FLR242" s="1"/>
      <c r="FLS242" s="1"/>
      <c r="FLT242" s="1"/>
      <c r="FLU242" s="1"/>
      <c r="FLV242" s="1"/>
      <c r="FLW242" s="1"/>
      <c r="FLX242" s="1"/>
      <c r="FLY242" s="1"/>
      <c r="FLZ242" s="1"/>
      <c r="FMA242" s="1"/>
      <c r="FMB242" s="1"/>
      <c r="FMC242" s="1"/>
      <c r="FMD242" s="1"/>
      <c r="FME242" s="1"/>
      <c r="FMF242" s="1"/>
      <c r="FMG242" s="1"/>
      <c r="FMH242" s="1"/>
      <c r="FMI242" s="1"/>
      <c r="FMJ242" s="1"/>
      <c r="FMK242" s="1"/>
      <c r="FML242" s="1"/>
      <c r="FMM242" s="1"/>
      <c r="FMN242" s="1"/>
      <c r="FMO242" s="1"/>
      <c r="FMP242" s="1"/>
      <c r="FMQ242" s="1"/>
      <c r="FMR242" s="1"/>
      <c r="FMS242" s="1"/>
      <c r="FMT242" s="1"/>
      <c r="FMU242" s="1"/>
      <c r="FMV242" s="1"/>
      <c r="FMW242" s="1"/>
      <c r="FMX242" s="1"/>
      <c r="FMY242" s="1"/>
      <c r="FMZ242" s="1"/>
      <c r="FNA242" s="1"/>
      <c r="FNB242" s="1"/>
      <c r="FNC242" s="1"/>
      <c r="FND242" s="1"/>
      <c r="FNE242" s="1"/>
      <c r="FNF242" s="1"/>
      <c r="FNG242" s="1"/>
      <c r="FNH242" s="1"/>
      <c r="FNI242" s="1"/>
      <c r="FNJ242" s="1"/>
      <c r="FNK242" s="1"/>
      <c r="FNL242" s="1"/>
      <c r="FNM242" s="1"/>
      <c r="FNN242" s="1"/>
      <c r="FNO242" s="1"/>
      <c r="FNP242" s="1"/>
      <c r="FNQ242" s="1"/>
      <c r="FNR242" s="1"/>
      <c r="FNS242" s="1"/>
      <c r="FNT242" s="1"/>
      <c r="FNU242" s="1"/>
      <c r="FNV242" s="1"/>
      <c r="FNW242" s="1"/>
      <c r="FNX242" s="1"/>
      <c r="FNY242" s="1"/>
      <c r="FNZ242" s="1"/>
      <c r="FOA242" s="1"/>
      <c r="FOB242" s="1"/>
      <c r="FOC242" s="1"/>
      <c r="FOD242" s="1"/>
      <c r="FOE242" s="1"/>
      <c r="FOF242" s="1"/>
      <c r="FOG242" s="1"/>
      <c r="FOH242" s="1"/>
      <c r="FOI242" s="1"/>
      <c r="FOJ242" s="1"/>
      <c r="FOK242" s="1"/>
      <c r="FOL242" s="1"/>
      <c r="FOM242" s="1"/>
      <c r="FON242" s="1"/>
      <c r="FOO242" s="1"/>
      <c r="FOP242" s="1"/>
      <c r="FOQ242" s="1"/>
      <c r="FOR242" s="1"/>
      <c r="FOS242" s="1"/>
      <c r="FOT242" s="1"/>
      <c r="FOU242" s="1"/>
      <c r="FOV242" s="1"/>
      <c r="FOW242" s="1"/>
      <c r="FOX242" s="1"/>
      <c r="FOY242" s="1"/>
      <c r="FOZ242" s="1"/>
      <c r="FPA242" s="1"/>
      <c r="FPB242" s="1"/>
      <c r="FPC242" s="1"/>
      <c r="FPD242" s="1"/>
      <c r="FPE242" s="1"/>
      <c r="FPF242" s="1"/>
      <c r="FPG242" s="1"/>
      <c r="FPH242" s="1"/>
      <c r="FPI242" s="1"/>
      <c r="FPJ242" s="1"/>
      <c r="FPK242" s="1"/>
      <c r="FPL242" s="1"/>
      <c r="FPM242" s="1"/>
      <c r="FPN242" s="1"/>
      <c r="FPO242" s="1"/>
      <c r="FPP242" s="1"/>
      <c r="FPQ242" s="1"/>
      <c r="FPR242" s="1"/>
      <c r="FPS242" s="1"/>
      <c r="FPT242" s="1"/>
      <c r="FPU242" s="1"/>
      <c r="FPV242" s="1"/>
      <c r="FPW242" s="1"/>
      <c r="FPX242" s="1"/>
      <c r="FPY242" s="1"/>
      <c r="FPZ242" s="1"/>
      <c r="FQA242" s="1"/>
      <c r="FQB242" s="1"/>
      <c r="FQC242" s="1"/>
      <c r="FQD242" s="1"/>
      <c r="FQE242" s="1"/>
      <c r="FQF242" s="1"/>
      <c r="FQG242" s="1"/>
      <c r="FQH242" s="1"/>
      <c r="FQI242" s="1"/>
      <c r="FQJ242" s="1"/>
      <c r="FQK242" s="1"/>
      <c r="FQL242" s="1"/>
      <c r="FQM242" s="1"/>
      <c r="FQN242" s="1"/>
      <c r="FQO242" s="1"/>
      <c r="FQP242" s="1"/>
      <c r="FQQ242" s="1"/>
      <c r="FQR242" s="1"/>
      <c r="FQS242" s="1"/>
      <c r="FQT242" s="1"/>
      <c r="FQU242" s="1"/>
      <c r="FQV242" s="1"/>
      <c r="FQW242" s="1"/>
      <c r="FQX242" s="1"/>
      <c r="FQY242" s="1"/>
      <c r="FQZ242" s="1"/>
      <c r="FRA242" s="1"/>
      <c r="FRB242" s="1"/>
      <c r="FRC242" s="1"/>
      <c r="FRD242" s="1"/>
      <c r="FRE242" s="1"/>
      <c r="FRF242" s="1"/>
      <c r="FRG242" s="1"/>
      <c r="FRH242" s="1"/>
      <c r="FRI242" s="1"/>
      <c r="FRJ242" s="1"/>
      <c r="FRK242" s="1"/>
      <c r="FRL242" s="1"/>
      <c r="FRM242" s="1"/>
      <c r="FRN242" s="1"/>
      <c r="FRO242" s="1"/>
      <c r="FRP242" s="1"/>
      <c r="FRQ242" s="1"/>
      <c r="FRR242" s="1"/>
      <c r="FRS242" s="1"/>
      <c r="FRT242" s="1"/>
      <c r="FRU242" s="1"/>
      <c r="FRV242" s="1"/>
      <c r="FRW242" s="1"/>
      <c r="FRX242" s="1"/>
      <c r="FRY242" s="1"/>
      <c r="FRZ242" s="1"/>
      <c r="FSA242" s="1"/>
      <c r="FSB242" s="1"/>
      <c r="FSC242" s="1"/>
      <c r="FSD242" s="1"/>
      <c r="FSE242" s="1"/>
      <c r="FSF242" s="1"/>
      <c r="FSG242" s="1"/>
      <c r="FSH242" s="1"/>
      <c r="FSI242" s="1"/>
      <c r="FSJ242" s="1"/>
      <c r="FSK242" s="1"/>
      <c r="FSL242" s="1"/>
      <c r="FSM242" s="1"/>
      <c r="FSN242" s="1"/>
      <c r="FSO242" s="1"/>
      <c r="FSP242" s="1"/>
      <c r="FSQ242" s="1"/>
      <c r="FSR242" s="1"/>
      <c r="FSS242" s="1"/>
      <c r="FST242" s="1"/>
      <c r="FSU242" s="1"/>
      <c r="FSV242" s="1"/>
      <c r="FSW242" s="1"/>
      <c r="FSX242" s="1"/>
      <c r="FSY242" s="1"/>
      <c r="FSZ242" s="1"/>
      <c r="FTA242" s="1"/>
      <c r="FTB242" s="1"/>
      <c r="FTC242" s="1"/>
      <c r="FTD242" s="1"/>
      <c r="FTE242" s="1"/>
      <c r="FTF242" s="1"/>
      <c r="FTG242" s="1"/>
      <c r="FTH242" s="1"/>
      <c r="FTI242" s="1"/>
      <c r="FTJ242" s="1"/>
      <c r="FTK242" s="1"/>
      <c r="FTL242" s="1"/>
      <c r="FTM242" s="1"/>
      <c r="FTN242" s="1"/>
      <c r="FTO242" s="1"/>
      <c r="FTP242" s="1"/>
      <c r="FTQ242" s="1"/>
      <c r="FTR242" s="1"/>
      <c r="FTS242" s="1"/>
      <c r="FTT242" s="1"/>
      <c r="FTU242" s="1"/>
      <c r="FTV242" s="1"/>
      <c r="FTW242" s="1"/>
      <c r="FTX242" s="1"/>
      <c r="FTY242" s="1"/>
      <c r="FTZ242" s="1"/>
      <c r="FUA242" s="1"/>
      <c r="FUB242" s="1"/>
      <c r="FUC242" s="1"/>
      <c r="FUD242" s="1"/>
      <c r="FUE242" s="1"/>
      <c r="FUF242" s="1"/>
      <c r="FUG242" s="1"/>
      <c r="FUH242" s="1"/>
      <c r="FUI242" s="1"/>
      <c r="FUJ242" s="1"/>
      <c r="FUK242" s="1"/>
      <c r="FUL242" s="1"/>
      <c r="FUM242" s="1"/>
      <c r="FUN242" s="1"/>
      <c r="FUO242" s="1"/>
      <c r="FUP242" s="1"/>
      <c r="FUQ242" s="1"/>
      <c r="FUR242" s="1"/>
      <c r="FUS242" s="1"/>
      <c r="FUT242" s="1"/>
      <c r="FUU242" s="1"/>
      <c r="FUV242" s="1"/>
      <c r="FUW242" s="1"/>
      <c r="FUX242" s="1"/>
      <c r="FUY242" s="1"/>
      <c r="FUZ242" s="1"/>
      <c r="FVA242" s="1"/>
      <c r="FVB242" s="1"/>
      <c r="FVC242" s="1"/>
      <c r="FVD242" s="1"/>
      <c r="FVE242" s="1"/>
      <c r="FVF242" s="1"/>
      <c r="FVG242" s="1"/>
      <c r="FVH242" s="1"/>
      <c r="FVI242" s="1"/>
      <c r="FVJ242" s="1"/>
      <c r="FVK242" s="1"/>
      <c r="FVL242" s="1"/>
      <c r="FVM242" s="1"/>
      <c r="FVN242" s="1"/>
      <c r="FVO242" s="1"/>
      <c r="FVP242" s="1"/>
      <c r="FVQ242" s="1"/>
      <c r="FVR242" s="1"/>
      <c r="FVS242" s="1"/>
      <c r="FVT242" s="1"/>
      <c r="FVU242" s="1"/>
      <c r="FVV242" s="1"/>
      <c r="FVW242" s="1"/>
      <c r="FVX242" s="1"/>
      <c r="FVY242" s="1"/>
      <c r="FVZ242" s="1"/>
      <c r="FWA242" s="1"/>
      <c r="FWB242" s="1"/>
      <c r="FWC242" s="1"/>
      <c r="FWD242" s="1"/>
      <c r="FWE242" s="1"/>
      <c r="FWF242" s="1"/>
      <c r="FWG242" s="1"/>
      <c r="FWH242" s="1"/>
      <c r="FWI242" s="1"/>
      <c r="FWJ242" s="1"/>
      <c r="FWK242" s="1"/>
      <c r="FWL242" s="1"/>
      <c r="FWM242" s="1"/>
      <c r="FWN242" s="1"/>
      <c r="FWO242" s="1"/>
      <c r="FWP242" s="1"/>
      <c r="FWQ242" s="1"/>
      <c r="FWR242" s="1"/>
      <c r="FWS242" s="1"/>
      <c r="FWT242" s="1"/>
      <c r="FWU242" s="1"/>
      <c r="FWV242" s="1"/>
      <c r="FWW242" s="1"/>
      <c r="FWX242" s="1"/>
      <c r="FWY242" s="1"/>
      <c r="FWZ242" s="1"/>
      <c r="FXA242" s="1"/>
      <c r="FXB242" s="1"/>
      <c r="FXC242" s="1"/>
      <c r="FXD242" s="1"/>
      <c r="FXE242" s="1"/>
      <c r="FXF242" s="1"/>
      <c r="FXG242" s="1"/>
      <c r="FXH242" s="1"/>
      <c r="FXI242" s="1"/>
      <c r="FXJ242" s="1"/>
      <c r="FXK242" s="1"/>
      <c r="FXL242" s="1"/>
      <c r="FXM242" s="1"/>
      <c r="FXN242" s="1"/>
      <c r="FXO242" s="1"/>
      <c r="FXP242" s="1"/>
      <c r="FXQ242" s="1"/>
      <c r="FXR242" s="1"/>
      <c r="FXS242" s="1"/>
      <c r="FXT242" s="1"/>
      <c r="FXU242" s="1"/>
      <c r="FXV242" s="1"/>
      <c r="FXW242" s="1"/>
      <c r="FXX242" s="1"/>
      <c r="FXY242" s="1"/>
      <c r="FXZ242" s="1"/>
      <c r="FYA242" s="1"/>
      <c r="FYB242" s="1"/>
      <c r="FYC242" s="1"/>
      <c r="FYD242" s="1"/>
      <c r="FYE242" s="1"/>
      <c r="FYF242" s="1"/>
      <c r="FYG242" s="1"/>
      <c r="FYH242" s="1"/>
      <c r="FYI242" s="1"/>
      <c r="FYJ242" s="1"/>
      <c r="FYK242" s="1"/>
      <c r="FYL242" s="1"/>
      <c r="FYM242" s="1"/>
      <c r="FYN242" s="1"/>
      <c r="FYO242" s="1"/>
      <c r="FYP242" s="1"/>
      <c r="FYQ242" s="1"/>
      <c r="FYR242" s="1"/>
      <c r="FYS242" s="1"/>
      <c r="FYT242" s="1"/>
      <c r="FYU242" s="1"/>
      <c r="FYV242" s="1"/>
      <c r="FYW242" s="1"/>
      <c r="FYX242" s="1"/>
      <c r="FYY242" s="1"/>
      <c r="FYZ242" s="1"/>
      <c r="FZA242" s="1"/>
      <c r="FZB242" s="1"/>
      <c r="FZC242" s="1"/>
      <c r="FZD242" s="1"/>
      <c r="FZE242" s="1"/>
      <c r="FZF242" s="1"/>
      <c r="FZG242" s="1"/>
      <c r="FZH242" s="1"/>
      <c r="FZI242" s="1"/>
      <c r="FZJ242" s="1"/>
      <c r="FZK242" s="1"/>
      <c r="FZL242" s="1"/>
      <c r="FZM242" s="1"/>
      <c r="FZN242" s="1"/>
      <c r="FZO242" s="1"/>
      <c r="FZP242" s="1"/>
      <c r="FZQ242" s="1"/>
      <c r="FZR242" s="1"/>
      <c r="FZS242" s="1"/>
      <c r="FZT242" s="1"/>
      <c r="FZU242" s="1"/>
      <c r="FZV242" s="1"/>
      <c r="FZW242" s="1"/>
      <c r="FZX242" s="1"/>
      <c r="FZY242" s="1"/>
      <c r="FZZ242" s="1"/>
      <c r="GAA242" s="1"/>
      <c r="GAB242" s="1"/>
      <c r="GAC242" s="1"/>
      <c r="GAD242" s="1"/>
      <c r="GAE242" s="1"/>
      <c r="GAF242" s="1"/>
      <c r="GAG242" s="1"/>
      <c r="GAH242" s="1"/>
      <c r="GAI242" s="1"/>
      <c r="GAJ242" s="1"/>
      <c r="GAK242" s="1"/>
      <c r="GAL242" s="1"/>
      <c r="GAM242" s="1"/>
      <c r="GAN242" s="1"/>
      <c r="GAO242" s="1"/>
      <c r="GAP242" s="1"/>
      <c r="GAQ242" s="1"/>
      <c r="GAR242" s="1"/>
      <c r="GAS242" s="1"/>
      <c r="GAT242" s="1"/>
      <c r="GAU242" s="1"/>
      <c r="GAV242" s="1"/>
      <c r="GAW242" s="1"/>
      <c r="GAX242" s="1"/>
      <c r="GAY242" s="1"/>
      <c r="GAZ242" s="1"/>
      <c r="GBA242" s="1"/>
      <c r="GBB242" s="1"/>
      <c r="GBC242" s="1"/>
      <c r="GBD242" s="1"/>
      <c r="GBE242" s="1"/>
      <c r="GBF242" s="1"/>
      <c r="GBG242" s="1"/>
      <c r="GBH242" s="1"/>
      <c r="GBI242" s="1"/>
      <c r="GBJ242" s="1"/>
      <c r="GBK242" s="1"/>
      <c r="GBL242" s="1"/>
      <c r="GBM242" s="1"/>
      <c r="GBN242" s="1"/>
      <c r="GBO242" s="1"/>
      <c r="GBP242" s="1"/>
      <c r="GBQ242" s="1"/>
      <c r="GBR242" s="1"/>
      <c r="GBS242" s="1"/>
      <c r="GBT242" s="1"/>
      <c r="GBU242" s="1"/>
      <c r="GBV242" s="1"/>
      <c r="GBW242" s="1"/>
      <c r="GBX242" s="1"/>
      <c r="GBY242" s="1"/>
      <c r="GBZ242" s="1"/>
      <c r="GCA242" s="1"/>
      <c r="GCB242" s="1"/>
      <c r="GCC242" s="1"/>
      <c r="GCD242" s="1"/>
      <c r="GCE242" s="1"/>
      <c r="GCF242" s="1"/>
      <c r="GCG242" s="1"/>
      <c r="GCH242" s="1"/>
      <c r="GCI242" s="1"/>
      <c r="GCJ242" s="1"/>
      <c r="GCK242" s="1"/>
      <c r="GCL242" s="1"/>
      <c r="GCM242" s="1"/>
      <c r="GCN242" s="1"/>
      <c r="GCO242" s="1"/>
      <c r="GCP242" s="1"/>
      <c r="GCQ242" s="1"/>
      <c r="GCR242" s="1"/>
      <c r="GCS242" s="1"/>
      <c r="GCT242" s="1"/>
      <c r="GCU242" s="1"/>
      <c r="GCV242" s="1"/>
      <c r="GCW242" s="1"/>
      <c r="GCX242" s="1"/>
      <c r="GCY242" s="1"/>
      <c r="GCZ242" s="1"/>
      <c r="GDA242" s="1"/>
      <c r="GDB242" s="1"/>
      <c r="GDC242" s="1"/>
      <c r="GDD242" s="1"/>
      <c r="GDE242" s="1"/>
      <c r="GDF242" s="1"/>
      <c r="GDG242" s="1"/>
      <c r="GDH242" s="1"/>
      <c r="GDI242" s="1"/>
      <c r="GDJ242" s="1"/>
      <c r="GDK242" s="1"/>
      <c r="GDL242" s="1"/>
      <c r="GDM242" s="1"/>
      <c r="GDN242" s="1"/>
      <c r="GDO242" s="1"/>
      <c r="GDP242" s="1"/>
      <c r="GDQ242" s="1"/>
      <c r="GDR242" s="1"/>
      <c r="GDS242" s="1"/>
      <c r="GDT242" s="1"/>
      <c r="GDU242" s="1"/>
      <c r="GDV242" s="1"/>
      <c r="GDW242" s="1"/>
      <c r="GDX242" s="1"/>
      <c r="GDY242" s="1"/>
      <c r="GDZ242" s="1"/>
      <c r="GEA242" s="1"/>
      <c r="GEB242" s="1"/>
      <c r="GEC242" s="1"/>
      <c r="GED242" s="1"/>
      <c r="GEE242" s="1"/>
      <c r="GEF242" s="1"/>
      <c r="GEG242" s="1"/>
      <c r="GEH242" s="1"/>
      <c r="GEI242" s="1"/>
      <c r="GEJ242" s="1"/>
      <c r="GEK242" s="1"/>
      <c r="GEL242" s="1"/>
      <c r="GEM242" s="1"/>
      <c r="GEN242" s="1"/>
      <c r="GEO242" s="1"/>
      <c r="GEP242" s="1"/>
      <c r="GEQ242" s="1"/>
      <c r="GER242" s="1"/>
      <c r="GES242" s="1"/>
      <c r="GET242" s="1"/>
      <c r="GEU242" s="1"/>
      <c r="GEV242" s="1"/>
      <c r="GEW242" s="1"/>
      <c r="GEX242" s="1"/>
      <c r="GEY242" s="1"/>
      <c r="GEZ242" s="1"/>
      <c r="GFA242" s="1"/>
      <c r="GFB242" s="1"/>
      <c r="GFC242" s="1"/>
      <c r="GFD242" s="1"/>
      <c r="GFE242" s="1"/>
      <c r="GFF242" s="1"/>
      <c r="GFG242" s="1"/>
      <c r="GFH242" s="1"/>
      <c r="GFI242" s="1"/>
      <c r="GFJ242" s="1"/>
      <c r="GFK242" s="1"/>
      <c r="GFL242" s="1"/>
      <c r="GFM242" s="1"/>
      <c r="GFN242" s="1"/>
      <c r="GFO242" s="1"/>
      <c r="GFP242" s="1"/>
      <c r="GFQ242" s="1"/>
      <c r="GFR242" s="1"/>
      <c r="GFS242" s="1"/>
      <c r="GFT242" s="1"/>
      <c r="GFU242" s="1"/>
      <c r="GFV242" s="1"/>
      <c r="GFW242" s="1"/>
      <c r="GFX242" s="1"/>
      <c r="GFY242" s="1"/>
      <c r="GFZ242" s="1"/>
      <c r="GGA242" s="1"/>
      <c r="GGB242" s="1"/>
      <c r="GGC242" s="1"/>
      <c r="GGD242" s="1"/>
      <c r="GGE242" s="1"/>
      <c r="GGF242" s="1"/>
      <c r="GGG242" s="1"/>
      <c r="GGH242" s="1"/>
      <c r="GGI242" s="1"/>
      <c r="GGJ242" s="1"/>
      <c r="GGK242" s="1"/>
      <c r="GGL242" s="1"/>
      <c r="GGM242" s="1"/>
      <c r="GGN242" s="1"/>
      <c r="GGO242" s="1"/>
      <c r="GGP242" s="1"/>
      <c r="GGQ242" s="1"/>
      <c r="GGR242" s="1"/>
      <c r="GGS242" s="1"/>
      <c r="GGT242" s="1"/>
      <c r="GGU242" s="1"/>
      <c r="GGV242" s="1"/>
      <c r="GGW242" s="1"/>
      <c r="GGX242" s="1"/>
      <c r="GGY242" s="1"/>
      <c r="GGZ242" s="1"/>
      <c r="GHA242" s="1"/>
      <c r="GHB242" s="1"/>
      <c r="GHC242" s="1"/>
      <c r="GHD242" s="1"/>
      <c r="GHE242" s="1"/>
      <c r="GHF242" s="1"/>
      <c r="GHG242" s="1"/>
      <c r="GHH242" s="1"/>
      <c r="GHI242" s="1"/>
      <c r="GHJ242" s="1"/>
      <c r="GHK242" s="1"/>
      <c r="GHL242" s="1"/>
      <c r="GHM242" s="1"/>
      <c r="GHN242" s="1"/>
      <c r="GHO242" s="1"/>
      <c r="GHP242" s="1"/>
      <c r="GHQ242" s="1"/>
      <c r="GHR242" s="1"/>
      <c r="GHS242" s="1"/>
      <c r="GHT242" s="1"/>
      <c r="GHU242" s="1"/>
      <c r="GHV242" s="1"/>
      <c r="GHW242" s="1"/>
      <c r="GHX242" s="1"/>
      <c r="GHY242" s="1"/>
      <c r="GHZ242" s="1"/>
      <c r="GIA242" s="1"/>
      <c r="GIB242" s="1"/>
      <c r="GIC242" s="1"/>
      <c r="GID242" s="1"/>
      <c r="GIE242" s="1"/>
      <c r="GIF242" s="1"/>
      <c r="GIG242" s="1"/>
      <c r="GIH242" s="1"/>
      <c r="GII242" s="1"/>
      <c r="GIJ242" s="1"/>
      <c r="GIK242" s="1"/>
      <c r="GIL242" s="1"/>
      <c r="GIM242" s="1"/>
      <c r="GIN242" s="1"/>
      <c r="GIO242" s="1"/>
      <c r="GIP242" s="1"/>
      <c r="GIQ242" s="1"/>
      <c r="GIR242" s="1"/>
      <c r="GIS242" s="1"/>
      <c r="GIT242" s="1"/>
      <c r="GIU242" s="1"/>
      <c r="GIV242" s="1"/>
      <c r="GIW242" s="1"/>
      <c r="GIX242" s="1"/>
      <c r="GIY242" s="1"/>
      <c r="GIZ242" s="1"/>
      <c r="GJA242" s="1"/>
      <c r="GJB242" s="1"/>
      <c r="GJC242" s="1"/>
      <c r="GJD242" s="1"/>
      <c r="GJE242" s="1"/>
      <c r="GJF242" s="1"/>
      <c r="GJG242" s="1"/>
      <c r="GJH242" s="1"/>
      <c r="GJI242" s="1"/>
      <c r="GJJ242" s="1"/>
      <c r="GJK242" s="1"/>
      <c r="GJL242" s="1"/>
      <c r="GJM242" s="1"/>
      <c r="GJN242" s="1"/>
      <c r="GJO242" s="1"/>
      <c r="GJP242" s="1"/>
      <c r="GJQ242" s="1"/>
      <c r="GJR242" s="1"/>
      <c r="GJS242" s="1"/>
      <c r="GJT242" s="1"/>
      <c r="GJU242" s="1"/>
      <c r="GJV242" s="1"/>
      <c r="GJW242" s="1"/>
      <c r="GJX242" s="1"/>
      <c r="GJY242" s="1"/>
      <c r="GJZ242" s="1"/>
      <c r="GKA242" s="1"/>
      <c r="GKB242" s="1"/>
      <c r="GKC242" s="1"/>
      <c r="GKD242" s="1"/>
      <c r="GKE242" s="1"/>
      <c r="GKF242" s="1"/>
      <c r="GKG242" s="1"/>
      <c r="GKH242" s="1"/>
      <c r="GKI242" s="1"/>
      <c r="GKJ242" s="1"/>
      <c r="GKK242" s="1"/>
      <c r="GKL242" s="1"/>
      <c r="GKM242" s="1"/>
      <c r="GKN242" s="1"/>
      <c r="GKO242" s="1"/>
      <c r="GKP242" s="1"/>
      <c r="GKQ242" s="1"/>
      <c r="GKR242" s="1"/>
      <c r="GKS242" s="1"/>
      <c r="GKT242" s="1"/>
      <c r="GKU242" s="1"/>
      <c r="GKV242" s="1"/>
      <c r="GKW242" s="1"/>
      <c r="GKX242" s="1"/>
      <c r="GKY242" s="1"/>
      <c r="GKZ242" s="1"/>
      <c r="GLA242" s="1"/>
      <c r="GLB242" s="1"/>
      <c r="GLC242" s="1"/>
      <c r="GLD242" s="1"/>
      <c r="GLE242" s="1"/>
      <c r="GLF242" s="1"/>
      <c r="GLG242" s="1"/>
      <c r="GLH242" s="1"/>
      <c r="GLI242" s="1"/>
      <c r="GLJ242" s="1"/>
      <c r="GLK242" s="1"/>
      <c r="GLL242" s="1"/>
      <c r="GLM242" s="1"/>
      <c r="GLN242" s="1"/>
      <c r="GLO242" s="1"/>
      <c r="GLP242" s="1"/>
      <c r="GLQ242" s="1"/>
      <c r="GLR242" s="1"/>
      <c r="GLS242" s="1"/>
      <c r="GLT242" s="1"/>
      <c r="GLU242" s="1"/>
      <c r="GLV242" s="1"/>
      <c r="GLW242" s="1"/>
      <c r="GLX242" s="1"/>
      <c r="GLY242" s="1"/>
      <c r="GLZ242" s="1"/>
      <c r="GMA242" s="1"/>
      <c r="GMB242" s="1"/>
      <c r="GMC242" s="1"/>
      <c r="GMD242" s="1"/>
      <c r="GME242" s="1"/>
      <c r="GMF242" s="1"/>
      <c r="GMG242" s="1"/>
      <c r="GMH242" s="1"/>
      <c r="GMI242" s="1"/>
      <c r="GMJ242" s="1"/>
      <c r="GMK242" s="1"/>
      <c r="GML242" s="1"/>
      <c r="GMM242" s="1"/>
      <c r="GMN242" s="1"/>
      <c r="GMO242" s="1"/>
      <c r="GMP242" s="1"/>
      <c r="GMQ242" s="1"/>
      <c r="GMR242" s="1"/>
      <c r="GMS242" s="1"/>
      <c r="GMT242" s="1"/>
      <c r="GMU242" s="1"/>
      <c r="GMV242" s="1"/>
      <c r="GMW242" s="1"/>
      <c r="GMX242" s="1"/>
      <c r="GMY242" s="1"/>
      <c r="GMZ242" s="1"/>
      <c r="GNA242" s="1"/>
      <c r="GNB242" s="1"/>
      <c r="GNC242" s="1"/>
      <c r="GND242" s="1"/>
      <c r="GNE242" s="1"/>
      <c r="GNF242" s="1"/>
      <c r="GNG242" s="1"/>
      <c r="GNH242" s="1"/>
      <c r="GNI242" s="1"/>
      <c r="GNJ242" s="1"/>
      <c r="GNK242" s="1"/>
      <c r="GNL242" s="1"/>
      <c r="GNM242" s="1"/>
      <c r="GNN242" s="1"/>
      <c r="GNO242" s="1"/>
      <c r="GNP242" s="1"/>
      <c r="GNQ242" s="1"/>
      <c r="GNR242" s="1"/>
      <c r="GNS242" s="1"/>
      <c r="GNT242" s="1"/>
      <c r="GNU242" s="1"/>
      <c r="GNV242" s="1"/>
      <c r="GNW242" s="1"/>
      <c r="GNX242" s="1"/>
      <c r="GNY242" s="1"/>
      <c r="GNZ242" s="1"/>
      <c r="GOA242" s="1"/>
      <c r="GOB242" s="1"/>
      <c r="GOC242" s="1"/>
      <c r="GOD242" s="1"/>
      <c r="GOE242" s="1"/>
      <c r="GOF242" s="1"/>
      <c r="GOG242" s="1"/>
      <c r="GOH242" s="1"/>
      <c r="GOI242" s="1"/>
      <c r="GOJ242" s="1"/>
      <c r="GOK242" s="1"/>
      <c r="GOL242" s="1"/>
      <c r="GOM242" s="1"/>
      <c r="GON242" s="1"/>
      <c r="GOO242" s="1"/>
      <c r="GOP242" s="1"/>
      <c r="GOQ242" s="1"/>
      <c r="GOR242" s="1"/>
      <c r="GOS242" s="1"/>
      <c r="GOT242" s="1"/>
      <c r="GOU242" s="1"/>
      <c r="GOV242" s="1"/>
      <c r="GOW242" s="1"/>
      <c r="GOX242" s="1"/>
      <c r="GOY242" s="1"/>
      <c r="GOZ242" s="1"/>
      <c r="GPA242" s="1"/>
      <c r="GPB242" s="1"/>
      <c r="GPC242" s="1"/>
      <c r="GPD242" s="1"/>
      <c r="GPE242" s="1"/>
      <c r="GPF242" s="1"/>
      <c r="GPG242" s="1"/>
      <c r="GPH242" s="1"/>
      <c r="GPI242" s="1"/>
      <c r="GPJ242" s="1"/>
      <c r="GPK242" s="1"/>
      <c r="GPL242" s="1"/>
      <c r="GPM242" s="1"/>
      <c r="GPN242" s="1"/>
      <c r="GPO242" s="1"/>
      <c r="GPP242" s="1"/>
      <c r="GPQ242" s="1"/>
      <c r="GPR242" s="1"/>
      <c r="GPS242" s="1"/>
      <c r="GPT242" s="1"/>
      <c r="GPU242" s="1"/>
      <c r="GPV242" s="1"/>
      <c r="GPW242" s="1"/>
      <c r="GPX242" s="1"/>
      <c r="GPY242" s="1"/>
      <c r="GPZ242" s="1"/>
      <c r="GQA242" s="1"/>
      <c r="GQB242" s="1"/>
      <c r="GQC242" s="1"/>
      <c r="GQD242" s="1"/>
      <c r="GQE242" s="1"/>
      <c r="GQF242" s="1"/>
      <c r="GQG242" s="1"/>
      <c r="GQH242" s="1"/>
      <c r="GQI242" s="1"/>
      <c r="GQJ242" s="1"/>
      <c r="GQK242" s="1"/>
      <c r="GQL242" s="1"/>
      <c r="GQM242" s="1"/>
      <c r="GQN242" s="1"/>
      <c r="GQO242" s="1"/>
      <c r="GQP242" s="1"/>
      <c r="GQQ242" s="1"/>
      <c r="GQR242" s="1"/>
      <c r="GQS242" s="1"/>
      <c r="GQT242" s="1"/>
      <c r="GQU242" s="1"/>
      <c r="GQV242" s="1"/>
      <c r="GQW242" s="1"/>
      <c r="GQX242" s="1"/>
      <c r="GQY242" s="1"/>
      <c r="GQZ242" s="1"/>
      <c r="GRA242" s="1"/>
      <c r="GRB242" s="1"/>
      <c r="GRC242" s="1"/>
      <c r="GRD242" s="1"/>
      <c r="GRE242" s="1"/>
      <c r="GRF242" s="1"/>
      <c r="GRG242" s="1"/>
      <c r="GRH242" s="1"/>
      <c r="GRI242" s="1"/>
      <c r="GRJ242" s="1"/>
      <c r="GRK242" s="1"/>
      <c r="GRL242" s="1"/>
      <c r="GRM242" s="1"/>
      <c r="GRN242" s="1"/>
      <c r="GRO242" s="1"/>
      <c r="GRP242" s="1"/>
      <c r="GRQ242" s="1"/>
      <c r="GRR242" s="1"/>
      <c r="GRS242" s="1"/>
      <c r="GRT242" s="1"/>
      <c r="GRU242" s="1"/>
      <c r="GRV242" s="1"/>
      <c r="GRW242" s="1"/>
      <c r="GRX242" s="1"/>
      <c r="GRY242" s="1"/>
      <c r="GRZ242" s="1"/>
      <c r="GSA242" s="1"/>
      <c r="GSB242" s="1"/>
      <c r="GSC242" s="1"/>
      <c r="GSD242" s="1"/>
      <c r="GSE242" s="1"/>
      <c r="GSF242" s="1"/>
      <c r="GSG242" s="1"/>
      <c r="GSH242" s="1"/>
      <c r="GSI242" s="1"/>
      <c r="GSJ242" s="1"/>
      <c r="GSK242" s="1"/>
      <c r="GSL242" s="1"/>
      <c r="GSM242" s="1"/>
      <c r="GSN242" s="1"/>
      <c r="GSO242" s="1"/>
      <c r="GSP242" s="1"/>
      <c r="GSQ242" s="1"/>
      <c r="GSR242" s="1"/>
      <c r="GSS242" s="1"/>
      <c r="GST242" s="1"/>
      <c r="GSU242" s="1"/>
      <c r="GSV242" s="1"/>
      <c r="GSW242" s="1"/>
      <c r="GSX242" s="1"/>
      <c r="GSY242" s="1"/>
      <c r="GSZ242" s="1"/>
      <c r="GTA242" s="1"/>
      <c r="GTB242" s="1"/>
      <c r="GTC242" s="1"/>
      <c r="GTD242" s="1"/>
      <c r="GTE242" s="1"/>
      <c r="GTF242" s="1"/>
      <c r="GTG242" s="1"/>
      <c r="GTH242" s="1"/>
      <c r="GTI242" s="1"/>
      <c r="GTJ242" s="1"/>
      <c r="GTK242" s="1"/>
      <c r="GTL242" s="1"/>
      <c r="GTM242" s="1"/>
      <c r="GTN242" s="1"/>
      <c r="GTO242" s="1"/>
      <c r="GTP242" s="1"/>
      <c r="GTQ242" s="1"/>
      <c r="GTR242" s="1"/>
      <c r="GTS242" s="1"/>
      <c r="GTT242" s="1"/>
      <c r="GTU242" s="1"/>
      <c r="GTV242" s="1"/>
      <c r="GTW242" s="1"/>
      <c r="GTX242" s="1"/>
      <c r="GTY242" s="1"/>
      <c r="GTZ242" s="1"/>
      <c r="GUA242" s="1"/>
      <c r="GUB242" s="1"/>
      <c r="GUC242" s="1"/>
      <c r="GUD242" s="1"/>
      <c r="GUE242" s="1"/>
      <c r="GUF242" s="1"/>
      <c r="GUG242" s="1"/>
      <c r="GUH242" s="1"/>
      <c r="GUI242" s="1"/>
      <c r="GUJ242" s="1"/>
      <c r="GUK242" s="1"/>
      <c r="GUL242" s="1"/>
      <c r="GUM242" s="1"/>
      <c r="GUN242" s="1"/>
      <c r="GUO242" s="1"/>
      <c r="GUP242" s="1"/>
      <c r="GUQ242" s="1"/>
      <c r="GUR242" s="1"/>
      <c r="GUS242" s="1"/>
      <c r="GUT242" s="1"/>
      <c r="GUU242" s="1"/>
      <c r="GUV242" s="1"/>
      <c r="GUW242" s="1"/>
      <c r="GUX242" s="1"/>
      <c r="GUY242" s="1"/>
      <c r="GUZ242" s="1"/>
      <c r="GVA242" s="1"/>
      <c r="GVB242" s="1"/>
      <c r="GVC242" s="1"/>
      <c r="GVD242" s="1"/>
      <c r="GVE242" s="1"/>
      <c r="GVF242" s="1"/>
      <c r="GVG242" s="1"/>
      <c r="GVH242" s="1"/>
      <c r="GVI242" s="1"/>
      <c r="GVJ242" s="1"/>
      <c r="GVK242" s="1"/>
      <c r="GVL242" s="1"/>
      <c r="GVM242" s="1"/>
      <c r="GVN242" s="1"/>
      <c r="GVO242" s="1"/>
      <c r="GVP242" s="1"/>
      <c r="GVQ242" s="1"/>
      <c r="GVR242" s="1"/>
      <c r="GVS242" s="1"/>
      <c r="GVT242" s="1"/>
      <c r="GVU242" s="1"/>
      <c r="GVV242" s="1"/>
      <c r="GVW242" s="1"/>
      <c r="GVX242" s="1"/>
      <c r="GVY242" s="1"/>
      <c r="GVZ242" s="1"/>
      <c r="GWA242" s="1"/>
      <c r="GWB242" s="1"/>
      <c r="GWC242" s="1"/>
      <c r="GWD242" s="1"/>
      <c r="GWE242" s="1"/>
      <c r="GWF242" s="1"/>
      <c r="GWG242" s="1"/>
      <c r="GWH242" s="1"/>
      <c r="GWI242" s="1"/>
      <c r="GWJ242" s="1"/>
      <c r="GWK242" s="1"/>
      <c r="GWL242" s="1"/>
      <c r="GWM242" s="1"/>
      <c r="GWN242" s="1"/>
      <c r="GWO242" s="1"/>
      <c r="GWP242" s="1"/>
      <c r="GWQ242" s="1"/>
      <c r="GWR242" s="1"/>
      <c r="GWS242" s="1"/>
      <c r="GWT242" s="1"/>
      <c r="GWU242" s="1"/>
      <c r="GWV242" s="1"/>
      <c r="GWW242" s="1"/>
      <c r="GWX242" s="1"/>
      <c r="GWY242" s="1"/>
      <c r="GWZ242" s="1"/>
      <c r="GXA242" s="1"/>
      <c r="GXB242" s="1"/>
      <c r="GXC242" s="1"/>
      <c r="GXD242" s="1"/>
      <c r="GXE242" s="1"/>
      <c r="GXF242" s="1"/>
      <c r="GXG242" s="1"/>
      <c r="GXH242" s="1"/>
      <c r="GXI242" s="1"/>
      <c r="GXJ242" s="1"/>
      <c r="GXK242" s="1"/>
      <c r="GXL242" s="1"/>
      <c r="GXM242" s="1"/>
      <c r="GXN242" s="1"/>
      <c r="GXO242" s="1"/>
      <c r="GXP242" s="1"/>
      <c r="GXQ242" s="1"/>
      <c r="GXR242" s="1"/>
      <c r="GXS242" s="1"/>
      <c r="GXT242" s="1"/>
      <c r="GXU242" s="1"/>
      <c r="GXV242" s="1"/>
      <c r="GXW242" s="1"/>
      <c r="GXX242" s="1"/>
      <c r="GXY242" s="1"/>
      <c r="GXZ242" s="1"/>
      <c r="GYA242" s="1"/>
      <c r="GYB242" s="1"/>
      <c r="GYC242" s="1"/>
      <c r="GYD242" s="1"/>
      <c r="GYE242" s="1"/>
      <c r="GYF242" s="1"/>
      <c r="GYG242" s="1"/>
      <c r="GYH242" s="1"/>
      <c r="GYI242" s="1"/>
      <c r="GYJ242" s="1"/>
      <c r="GYK242" s="1"/>
      <c r="GYL242" s="1"/>
      <c r="GYM242" s="1"/>
      <c r="GYN242" s="1"/>
      <c r="GYO242" s="1"/>
      <c r="GYP242" s="1"/>
      <c r="GYQ242" s="1"/>
      <c r="GYR242" s="1"/>
      <c r="GYS242" s="1"/>
      <c r="GYT242" s="1"/>
      <c r="GYU242" s="1"/>
      <c r="GYV242" s="1"/>
      <c r="GYW242" s="1"/>
      <c r="GYX242" s="1"/>
      <c r="GYY242" s="1"/>
      <c r="GYZ242" s="1"/>
      <c r="GZA242" s="1"/>
      <c r="GZB242" s="1"/>
      <c r="GZC242" s="1"/>
      <c r="GZD242" s="1"/>
      <c r="GZE242" s="1"/>
      <c r="GZF242" s="1"/>
      <c r="GZG242" s="1"/>
      <c r="GZH242" s="1"/>
      <c r="GZI242" s="1"/>
      <c r="GZJ242" s="1"/>
      <c r="GZK242" s="1"/>
      <c r="GZL242" s="1"/>
      <c r="GZM242" s="1"/>
      <c r="GZN242" s="1"/>
      <c r="GZO242" s="1"/>
      <c r="GZP242" s="1"/>
      <c r="GZQ242" s="1"/>
      <c r="GZR242" s="1"/>
      <c r="GZS242" s="1"/>
      <c r="GZT242" s="1"/>
      <c r="GZU242" s="1"/>
      <c r="GZV242" s="1"/>
      <c r="GZW242" s="1"/>
      <c r="GZX242" s="1"/>
      <c r="GZY242" s="1"/>
      <c r="GZZ242" s="1"/>
      <c r="HAA242" s="1"/>
      <c r="HAB242" s="1"/>
      <c r="HAC242" s="1"/>
      <c r="HAD242" s="1"/>
      <c r="HAE242" s="1"/>
      <c r="HAF242" s="1"/>
      <c r="HAG242" s="1"/>
      <c r="HAH242" s="1"/>
      <c r="HAI242" s="1"/>
      <c r="HAJ242" s="1"/>
      <c r="HAK242" s="1"/>
      <c r="HAL242" s="1"/>
      <c r="HAM242" s="1"/>
      <c r="HAN242" s="1"/>
      <c r="HAO242" s="1"/>
      <c r="HAP242" s="1"/>
      <c r="HAQ242" s="1"/>
      <c r="HAR242" s="1"/>
      <c r="HAS242" s="1"/>
      <c r="HAT242" s="1"/>
      <c r="HAU242" s="1"/>
      <c r="HAV242" s="1"/>
      <c r="HAW242" s="1"/>
      <c r="HAX242" s="1"/>
      <c r="HAY242" s="1"/>
      <c r="HAZ242" s="1"/>
      <c r="HBA242" s="1"/>
      <c r="HBB242" s="1"/>
      <c r="HBC242" s="1"/>
      <c r="HBD242" s="1"/>
      <c r="HBE242" s="1"/>
      <c r="HBF242" s="1"/>
      <c r="HBG242" s="1"/>
      <c r="HBH242" s="1"/>
      <c r="HBI242" s="1"/>
      <c r="HBJ242" s="1"/>
      <c r="HBK242" s="1"/>
      <c r="HBL242" s="1"/>
      <c r="HBM242" s="1"/>
      <c r="HBN242" s="1"/>
      <c r="HBO242" s="1"/>
      <c r="HBP242" s="1"/>
      <c r="HBQ242" s="1"/>
      <c r="HBR242" s="1"/>
      <c r="HBS242" s="1"/>
      <c r="HBT242" s="1"/>
      <c r="HBU242" s="1"/>
      <c r="HBV242" s="1"/>
      <c r="HBW242" s="1"/>
      <c r="HBX242" s="1"/>
      <c r="HBY242" s="1"/>
      <c r="HBZ242" s="1"/>
      <c r="HCA242" s="1"/>
      <c r="HCB242" s="1"/>
      <c r="HCC242" s="1"/>
      <c r="HCD242" s="1"/>
      <c r="HCE242" s="1"/>
      <c r="HCF242" s="1"/>
      <c r="HCG242" s="1"/>
      <c r="HCH242" s="1"/>
      <c r="HCI242" s="1"/>
      <c r="HCJ242" s="1"/>
      <c r="HCK242" s="1"/>
      <c r="HCL242" s="1"/>
      <c r="HCM242" s="1"/>
      <c r="HCN242" s="1"/>
      <c r="HCO242" s="1"/>
      <c r="HCP242" s="1"/>
      <c r="HCQ242" s="1"/>
      <c r="HCR242" s="1"/>
      <c r="HCS242" s="1"/>
      <c r="HCT242" s="1"/>
      <c r="HCU242" s="1"/>
      <c r="HCV242" s="1"/>
      <c r="HCW242" s="1"/>
      <c r="HCX242" s="1"/>
      <c r="HCY242" s="1"/>
      <c r="HCZ242" s="1"/>
      <c r="HDA242" s="1"/>
      <c r="HDB242" s="1"/>
      <c r="HDC242" s="1"/>
      <c r="HDD242" s="1"/>
      <c r="HDE242" s="1"/>
      <c r="HDF242" s="1"/>
      <c r="HDG242" s="1"/>
      <c r="HDH242" s="1"/>
      <c r="HDI242" s="1"/>
      <c r="HDJ242" s="1"/>
      <c r="HDK242" s="1"/>
      <c r="HDL242" s="1"/>
      <c r="HDM242" s="1"/>
      <c r="HDN242" s="1"/>
      <c r="HDO242" s="1"/>
      <c r="HDP242" s="1"/>
      <c r="HDQ242" s="1"/>
      <c r="HDR242" s="1"/>
      <c r="HDS242" s="1"/>
      <c r="HDT242" s="1"/>
      <c r="HDU242" s="1"/>
      <c r="HDV242" s="1"/>
      <c r="HDW242" s="1"/>
      <c r="HDX242" s="1"/>
      <c r="HDY242" s="1"/>
      <c r="HDZ242" s="1"/>
      <c r="HEA242" s="1"/>
      <c r="HEB242" s="1"/>
      <c r="HEC242" s="1"/>
      <c r="HED242" s="1"/>
      <c r="HEE242" s="1"/>
      <c r="HEF242" s="1"/>
      <c r="HEG242" s="1"/>
      <c r="HEH242" s="1"/>
      <c r="HEI242" s="1"/>
      <c r="HEJ242" s="1"/>
      <c r="HEK242" s="1"/>
      <c r="HEL242" s="1"/>
      <c r="HEM242" s="1"/>
      <c r="HEN242" s="1"/>
      <c r="HEO242" s="1"/>
      <c r="HEP242" s="1"/>
      <c r="HEQ242" s="1"/>
      <c r="HER242" s="1"/>
      <c r="HES242" s="1"/>
      <c r="HET242" s="1"/>
      <c r="HEU242" s="1"/>
      <c r="HEV242" s="1"/>
      <c r="HEW242" s="1"/>
      <c r="HEX242" s="1"/>
      <c r="HEY242" s="1"/>
      <c r="HEZ242" s="1"/>
      <c r="HFA242" s="1"/>
      <c r="HFB242" s="1"/>
      <c r="HFC242" s="1"/>
      <c r="HFD242" s="1"/>
      <c r="HFE242" s="1"/>
      <c r="HFF242" s="1"/>
      <c r="HFG242" s="1"/>
      <c r="HFH242" s="1"/>
      <c r="HFI242" s="1"/>
      <c r="HFJ242" s="1"/>
      <c r="HFK242" s="1"/>
      <c r="HFL242" s="1"/>
      <c r="HFM242" s="1"/>
      <c r="HFN242" s="1"/>
      <c r="HFO242" s="1"/>
      <c r="HFP242" s="1"/>
      <c r="HFQ242" s="1"/>
      <c r="HFR242" s="1"/>
      <c r="HFS242" s="1"/>
      <c r="HFT242" s="1"/>
      <c r="HFU242" s="1"/>
      <c r="HFV242" s="1"/>
      <c r="HFW242" s="1"/>
      <c r="HFX242" s="1"/>
      <c r="HFY242" s="1"/>
      <c r="HFZ242" s="1"/>
      <c r="HGA242" s="1"/>
      <c r="HGB242" s="1"/>
      <c r="HGC242" s="1"/>
      <c r="HGD242" s="1"/>
      <c r="HGE242" s="1"/>
      <c r="HGF242" s="1"/>
      <c r="HGG242" s="1"/>
      <c r="HGH242" s="1"/>
      <c r="HGI242" s="1"/>
      <c r="HGJ242" s="1"/>
      <c r="HGK242" s="1"/>
      <c r="HGL242" s="1"/>
      <c r="HGM242" s="1"/>
      <c r="HGN242" s="1"/>
      <c r="HGO242" s="1"/>
      <c r="HGP242" s="1"/>
      <c r="HGQ242" s="1"/>
      <c r="HGR242" s="1"/>
      <c r="HGS242" s="1"/>
      <c r="HGT242" s="1"/>
      <c r="HGU242" s="1"/>
      <c r="HGV242" s="1"/>
      <c r="HGW242" s="1"/>
      <c r="HGX242" s="1"/>
      <c r="HGY242" s="1"/>
      <c r="HGZ242" s="1"/>
      <c r="HHA242" s="1"/>
      <c r="HHB242" s="1"/>
      <c r="HHC242" s="1"/>
      <c r="HHD242" s="1"/>
      <c r="HHE242" s="1"/>
      <c r="HHF242" s="1"/>
      <c r="HHG242" s="1"/>
      <c r="HHH242" s="1"/>
      <c r="HHI242" s="1"/>
      <c r="HHJ242" s="1"/>
      <c r="HHK242" s="1"/>
      <c r="HHL242" s="1"/>
      <c r="HHM242" s="1"/>
      <c r="HHN242" s="1"/>
      <c r="HHO242" s="1"/>
      <c r="HHP242" s="1"/>
      <c r="HHQ242" s="1"/>
      <c r="HHR242" s="1"/>
      <c r="HHS242" s="1"/>
      <c r="HHT242" s="1"/>
      <c r="HHU242" s="1"/>
      <c r="HHV242" s="1"/>
      <c r="HHW242" s="1"/>
      <c r="HHX242" s="1"/>
      <c r="HHY242" s="1"/>
      <c r="HHZ242" s="1"/>
      <c r="HIA242" s="1"/>
      <c r="HIB242" s="1"/>
      <c r="HIC242" s="1"/>
      <c r="HID242" s="1"/>
      <c r="HIE242" s="1"/>
      <c r="HIF242" s="1"/>
      <c r="HIG242" s="1"/>
      <c r="HIH242" s="1"/>
      <c r="HII242" s="1"/>
      <c r="HIJ242" s="1"/>
      <c r="HIK242" s="1"/>
      <c r="HIL242" s="1"/>
      <c r="HIM242" s="1"/>
      <c r="HIN242" s="1"/>
      <c r="HIO242" s="1"/>
      <c r="HIP242" s="1"/>
      <c r="HIQ242" s="1"/>
      <c r="HIR242" s="1"/>
      <c r="HIS242" s="1"/>
      <c r="HIT242" s="1"/>
      <c r="HIU242" s="1"/>
      <c r="HIV242" s="1"/>
      <c r="HIW242" s="1"/>
      <c r="HIX242" s="1"/>
      <c r="HIY242" s="1"/>
      <c r="HIZ242" s="1"/>
      <c r="HJA242" s="1"/>
      <c r="HJB242" s="1"/>
      <c r="HJC242" s="1"/>
      <c r="HJD242" s="1"/>
      <c r="HJE242" s="1"/>
      <c r="HJF242" s="1"/>
      <c r="HJG242" s="1"/>
      <c r="HJH242" s="1"/>
      <c r="HJI242" s="1"/>
      <c r="HJJ242" s="1"/>
      <c r="HJK242" s="1"/>
      <c r="HJL242" s="1"/>
      <c r="HJM242" s="1"/>
      <c r="HJN242" s="1"/>
      <c r="HJO242" s="1"/>
      <c r="HJP242" s="1"/>
      <c r="HJQ242" s="1"/>
      <c r="HJR242" s="1"/>
      <c r="HJS242" s="1"/>
      <c r="HJT242" s="1"/>
      <c r="HJU242" s="1"/>
      <c r="HJV242" s="1"/>
      <c r="HJW242" s="1"/>
      <c r="HJX242" s="1"/>
      <c r="HJY242" s="1"/>
      <c r="HJZ242" s="1"/>
      <c r="HKA242" s="1"/>
      <c r="HKB242" s="1"/>
      <c r="HKC242" s="1"/>
      <c r="HKD242" s="1"/>
      <c r="HKE242" s="1"/>
      <c r="HKF242" s="1"/>
      <c r="HKG242" s="1"/>
      <c r="HKH242" s="1"/>
      <c r="HKI242" s="1"/>
      <c r="HKJ242" s="1"/>
      <c r="HKK242" s="1"/>
      <c r="HKL242" s="1"/>
      <c r="HKM242" s="1"/>
      <c r="HKN242" s="1"/>
      <c r="HKO242" s="1"/>
      <c r="HKP242" s="1"/>
      <c r="HKQ242" s="1"/>
      <c r="HKR242" s="1"/>
      <c r="HKS242" s="1"/>
      <c r="HKT242" s="1"/>
      <c r="HKU242" s="1"/>
      <c r="HKV242" s="1"/>
      <c r="HKW242" s="1"/>
      <c r="HKX242" s="1"/>
      <c r="HKY242" s="1"/>
      <c r="HKZ242" s="1"/>
      <c r="HLA242" s="1"/>
      <c r="HLB242" s="1"/>
      <c r="HLC242" s="1"/>
      <c r="HLD242" s="1"/>
      <c r="HLE242" s="1"/>
      <c r="HLF242" s="1"/>
      <c r="HLG242" s="1"/>
      <c r="HLH242" s="1"/>
      <c r="HLI242" s="1"/>
      <c r="HLJ242" s="1"/>
      <c r="HLK242" s="1"/>
      <c r="HLL242" s="1"/>
      <c r="HLM242" s="1"/>
      <c r="HLN242" s="1"/>
      <c r="HLO242" s="1"/>
      <c r="HLP242" s="1"/>
      <c r="HLQ242" s="1"/>
      <c r="HLR242" s="1"/>
      <c r="HLS242" s="1"/>
      <c r="HLT242" s="1"/>
      <c r="HLU242" s="1"/>
      <c r="HLV242" s="1"/>
      <c r="HLW242" s="1"/>
      <c r="HLX242" s="1"/>
      <c r="HLY242" s="1"/>
      <c r="HLZ242" s="1"/>
      <c r="HMA242" s="1"/>
      <c r="HMB242" s="1"/>
      <c r="HMC242" s="1"/>
      <c r="HMD242" s="1"/>
      <c r="HME242" s="1"/>
      <c r="HMF242" s="1"/>
      <c r="HMG242" s="1"/>
      <c r="HMH242" s="1"/>
      <c r="HMI242" s="1"/>
      <c r="HMJ242" s="1"/>
      <c r="HMK242" s="1"/>
      <c r="HML242" s="1"/>
      <c r="HMM242" s="1"/>
      <c r="HMN242" s="1"/>
      <c r="HMO242" s="1"/>
      <c r="HMP242" s="1"/>
      <c r="HMQ242" s="1"/>
      <c r="HMR242" s="1"/>
      <c r="HMS242" s="1"/>
      <c r="HMT242" s="1"/>
      <c r="HMU242" s="1"/>
      <c r="HMV242" s="1"/>
      <c r="HMW242" s="1"/>
      <c r="HMX242" s="1"/>
      <c r="HMY242" s="1"/>
      <c r="HMZ242" s="1"/>
      <c r="HNA242" s="1"/>
      <c r="HNB242" s="1"/>
      <c r="HNC242" s="1"/>
      <c r="HND242" s="1"/>
      <c r="HNE242" s="1"/>
      <c r="HNF242" s="1"/>
      <c r="HNG242" s="1"/>
      <c r="HNH242" s="1"/>
      <c r="HNI242" s="1"/>
      <c r="HNJ242" s="1"/>
      <c r="HNK242" s="1"/>
      <c r="HNL242" s="1"/>
      <c r="HNM242" s="1"/>
      <c r="HNN242" s="1"/>
      <c r="HNO242" s="1"/>
      <c r="HNP242" s="1"/>
      <c r="HNQ242" s="1"/>
      <c r="HNR242" s="1"/>
      <c r="HNS242" s="1"/>
      <c r="HNT242" s="1"/>
      <c r="HNU242" s="1"/>
      <c r="HNV242" s="1"/>
      <c r="HNW242" s="1"/>
      <c r="HNX242" s="1"/>
      <c r="HNY242" s="1"/>
      <c r="HNZ242" s="1"/>
      <c r="HOA242" s="1"/>
      <c r="HOB242" s="1"/>
      <c r="HOC242" s="1"/>
      <c r="HOD242" s="1"/>
      <c r="HOE242" s="1"/>
      <c r="HOF242" s="1"/>
      <c r="HOG242" s="1"/>
      <c r="HOH242" s="1"/>
      <c r="HOI242" s="1"/>
      <c r="HOJ242" s="1"/>
      <c r="HOK242" s="1"/>
      <c r="HOL242" s="1"/>
      <c r="HOM242" s="1"/>
      <c r="HON242" s="1"/>
      <c r="HOO242" s="1"/>
      <c r="HOP242" s="1"/>
      <c r="HOQ242" s="1"/>
      <c r="HOR242" s="1"/>
      <c r="HOS242" s="1"/>
      <c r="HOT242" s="1"/>
      <c r="HOU242" s="1"/>
      <c r="HOV242" s="1"/>
      <c r="HOW242" s="1"/>
      <c r="HOX242" s="1"/>
      <c r="HOY242" s="1"/>
      <c r="HOZ242" s="1"/>
      <c r="HPA242" s="1"/>
      <c r="HPB242" s="1"/>
      <c r="HPC242" s="1"/>
      <c r="HPD242" s="1"/>
      <c r="HPE242" s="1"/>
      <c r="HPF242" s="1"/>
      <c r="HPG242" s="1"/>
      <c r="HPH242" s="1"/>
      <c r="HPI242" s="1"/>
      <c r="HPJ242" s="1"/>
      <c r="HPK242" s="1"/>
      <c r="HPL242" s="1"/>
      <c r="HPM242" s="1"/>
      <c r="HPN242" s="1"/>
      <c r="HPO242" s="1"/>
      <c r="HPP242" s="1"/>
      <c r="HPQ242" s="1"/>
      <c r="HPR242" s="1"/>
      <c r="HPS242" s="1"/>
      <c r="HPT242" s="1"/>
      <c r="HPU242" s="1"/>
      <c r="HPV242" s="1"/>
      <c r="HPW242" s="1"/>
      <c r="HPX242" s="1"/>
      <c r="HPY242" s="1"/>
      <c r="HPZ242" s="1"/>
      <c r="HQA242" s="1"/>
      <c r="HQB242" s="1"/>
      <c r="HQC242" s="1"/>
      <c r="HQD242" s="1"/>
      <c r="HQE242" s="1"/>
      <c r="HQF242" s="1"/>
      <c r="HQG242" s="1"/>
      <c r="HQH242" s="1"/>
      <c r="HQI242" s="1"/>
      <c r="HQJ242" s="1"/>
      <c r="HQK242" s="1"/>
      <c r="HQL242" s="1"/>
      <c r="HQM242" s="1"/>
      <c r="HQN242" s="1"/>
      <c r="HQO242" s="1"/>
      <c r="HQP242" s="1"/>
      <c r="HQQ242" s="1"/>
      <c r="HQR242" s="1"/>
      <c r="HQS242" s="1"/>
      <c r="HQT242" s="1"/>
      <c r="HQU242" s="1"/>
      <c r="HQV242" s="1"/>
      <c r="HQW242" s="1"/>
      <c r="HQX242" s="1"/>
      <c r="HQY242" s="1"/>
      <c r="HQZ242" s="1"/>
      <c r="HRA242" s="1"/>
      <c r="HRB242" s="1"/>
      <c r="HRC242" s="1"/>
      <c r="HRD242" s="1"/>
      <c r="HRE242" s="1"/>
      <c r="HRF242" s="1"/>
      <c r="HRG242" s="1"/>
      <c r="HRH242" s="1"/>
      <c r="HRI242" s="1"/>
      <c r="HRJ242" s="1"/>
      <c r="HRK242" s="1"/>
      <c r="HRL242" s="1"/>
      <c r="HRM242" s="1"/>
      <c r="HRN242" s="1"/>
      <c r="HRO242" s="1"/>
      <c r="HRP242" s="1"/>
      <c r="HRQ242" s="1"/>
      <c r="HRR242" s="1"/>
      <c r="HRS242" s="1"/>
      <c r="HRT242" s="1"/>
      <c r="HRU242" s="1"/>
      <c r="HRV242" s="1"/>
      <c r="HRW242" s="1"/>
      <c r="HRX242" s="1"/>
      <c r="HRY242" s="1"/>
      <c r="HRZ242" s="1"/>
      <c r="HSA242" s="1"/>
      <c r="HSB242" s="1"/>
      <c r="HSC242" s="1"/>
      <c r="HSD242" s="1"/>
      <c r="HSE242" s="1"/>
      <c r="HSF242" s="1"/>
      <c r="HSG242" s="1"/>
      <c r="HSH242" s="1"/>
      <c r="HSI242" s="1"/>
      <c r="HSJ242" s="1"/>
      <c r="HSK242" s="1"/>
      <c r="HSL242" s="1"/>
      <c r="HSM242" s="1"/>
      <c r="HSN242" s="1"/>
      <c r="HSO242" s="1"/>
      <c r="HSP242" s="1"/>
      <c r="HSQ242" s="1"/>
      <c r="HSR242" s="1"/>
      <c r="HSS242" s="1"/>
      <c r="HST242" s="1"/>
      <c r="HSU242" s="1"/>
      <c r="HSV242" s="1"/>
      <c r="HSW242" s="1"/>
      <c r="HSX242" s="1"/>
      <c r="HSY242" s="1"/>
      <c r="HSZ242" s="1"/>
      <c r="HTA242" s="1"/>
      <c r="HTB242" s="1"/>
      <c r="HTC242" s="1"/>
      <c r="HTD242" s="1"/>
      <c r="HTE242" s="1"/>
      <c r="HTF242" s="1"/>
      <c r="HTG242" s="1"/>
      <c r="HTH242" s="1"/>
      <c r="HTI242" s="1"/>
      <c r="HTJ242" s="1"/>
      <c r="HTK242" s="1"/>
      <c r="HTL242" s="1"/>
      <c r="HTM242" s="1"/>
      <c r="HTN242" s="1"/>
      <c r="HTO242" s="1"/>
      <c r="HTP242" s="1"/>
      <c r="HTQ242" s="1"/>
      <c r="HTR242" s="1"/>
      <c r="HTS242" s="1"/>
      <c r="HTT242" s="1"/>
      <c r="HTU242" s="1"/>
      <c r="HTV242" s="1"/>
      <c r="HTW242" s="1"/>
      <c r="HTX242" s="1"/>
      <c r="HTY242" s="1"/>
      <c r="HTZ242" s="1"/>
      <c r="HUA242" s="1"/>
      <c r="HUB242" s="1"/>
      <c r="HUC242" s="1"/>
      <c r="HUD242" s="1"/>
      <c r="HUE242" s="1"/>
      <c r="HUF242" s="1"/>
      <c r="HUG242" s="1"/>
      <c r="HUH242" s="1"/>
      <c r="HUI242" s="1"/>
      <c r="HUJ242" s="1"/>
      <c r="HUK242" s="1"/>
      <c r="HUL242" s="1"/>
      <c r="HUM242" s="1"/>
      <c r="HUN242" s="1"/>
      <c r="HUO242" s="1"/>
      <c r="HUP242" s="1"/>
      <c r="HUQ242" s="1"/>
      <c r="HUR242" s="1"/>
      <c r="HUS242" s="1"/>
      <c r="HUT242" s="1"/>
      <c r="HUU242" s="1"/>
      <c r="HUV242" s="1"/>
      <c r="HUW242" s="1"/>
      <c r="HUX242" s="1"/>
      <c r="HUY242" s="1"/>
      <c r="HUZ242" s="1"/>
      <c r="HVA242" s="1"/>
      <c r="HVB242" s="1"/>
      <c r="HVC242" s="1"/>
      <c r="HVD242" s="1"/>
      <c r="HVE242" s="1"/>
      <c r="HVF242" s="1"/>
      <c r="HVG242" s="1"/>
      <c r="HVH242" s="1"/>
      <c r="HVI242" s="1"/>
      <c r="HVJ242" s="1"/>
      <c r="HVK242" s="1"/>
      <c r="HVL242" s="1"/>
      <c r="HVM242" s="1"/>
      <c r="HVN242" s="1"/>
      <c r="HVO242" s="1"/>
      <c r="HVP242" s="1"/>
      <c r="HVQ242" s="1"/>
      <c r="HVR242" s="1"/>
      <c r="HVS242" s="1"/>
      <c r="HVT242" s="1"/>
      <c r="HVU242" s="1"/>
      <c r="HVV242" s="1"/>
      <c r="HVW242" s="1"/>
      <c r="HVX242" s="1"/>
      <c r="HVY242" s="1"/>
      <c r="HVZ242" s="1"/>
      <c r="HWA242" s="1"/>
      <c r="HWB242" s="1"/>
      <c r="HWC242" s="1"/>
      <c r="HWD242" s="1"/>
      <c r="HWE242" s="1"/>
      <c r="HWF242" s="1"/>
      <c r="HWG242" s="1"/>
      <c r="HWH242" s="1"/>
      <c r="HWI242" s="1"/>
      <c r="HWJ242" s="1"/>
      <c r="HWK242" s="1"/>
      <c r="HWL242" s="1"/>
      <c r="HWM242" s="1"/>
      <c r="HWN242" s="1"/>
      <c r="HWO242" s="1"/>
      <c r="HWP242" s="1"/>
      <c r="HWQ242" s="1"/>
      <c r="HWR242" s="1"/>
      <c r="HWS242" s="1"/>
      <c r="HWT242" s="1"/>
      <c r="HWU242" s="1"/>
      <c r="HWV242" s="1"/>
      <c r="HWW242" s="1"/>
      <c r="HWX242" s="1"/>
      <c r="HWY242" s="1"/>
      <c r="HWZ242" s="1"/>
      <c r="HXA242" s="1"/>
      <c r="HXB242" s="1"/>
      <c r="HXC242" s="1"/>
      <c r="HXD242" s="1"/>
      <c r="HXE242" s="1"/>
      <c r="HXF242" s="1"/>
      <c r="HXG242" s="1"/>
      <c r="HXH242" s="1"/>
      <c r="HXI242" s="1"/>
      <c r="HXJ242" s="1"/>
      <c r="HXK242" s="1"/>
      <c r="HXL242" s="1"/>
      <c r="HXM242" s="1"/>
      <c r="HXN242" s="1"/>
      <c r="HXO242" s="1"/>
      <c r="HXP242" s="1"/>
      <c r="HXQ242" s="1"/>
      <c r="HXR242" s="1"/>
      <c r="HXS242" s="1"/>
      <c r="HXT242" s="1"/>
      <c r="HXU242" s="1"/>
      <c r="HXV242" s="1"/>
      <c r="HXW242" s="1"/>
      <c r="HXX242" s="1"/>
      <c r="HXY242" s="1"/>
      <c r="HXZ242" s="1"/>
      <c r="HYA242" s="1"/>
      <c r="HYB242" s="1"/>
      <c r="HYC242" s="1"/>
      <c r="HYD242" s="1"/>
      <c r="HYE242" s="1"/>
      <c r="HYF242" s="1"/>
      <c r="HYG242" s="1"/>
      <c r="HYH242" s="1"/>
      <c r="HYI242" s="1"/>
      <c r="HYJ242" s="1"/>
      <c r="HYK242" s="1"/>
      <c r="HYL242" s="1"/>
      <c r="HYM242" s="1"/>
      <c r="HYN242" s="1"/>
      <c r="HYO242" s="1"/>
      <c r="HYP242" s="1"/>
      <c r="HYQ242" s="1"/>
      <c r="HYR242" s="1"/>
      <c r="HYS242" s="1"/>
      <c r="HYT242" s="1"/>
      <c r="HYU242" s="1"/>
      <c r="HYV242" s="1"/>
      <c r="HYW242" s="1"/>
      <c r="HYX242" s="1"/>
      <c r="HYY242" s="1"/>
      <c r="HYZ242" s="1"/>
      <c r="HZA242" s="1"/>
      <c r="HZB242" s="1"/>
      <c r="HZC242" s="1"/>
      <c r="HZD242" s="1"/>
      <c r="HZE242" s="1"/>
      <c r="HZF242" s="1"/>
      <c r="HZG242" s="1"/>
      <c r="HZH242" s="1"/>
      <c r="HZI242" s="1"/>
      <c r="HZJ242" s="1"/>
      <c r="HZK242" s="1"/>
      <c r="HZL242" s="1"/>
      <c r="HZM242" s="1"/>
      <c r="HZN242" s="1"/>
      <c r="HZO242" s="1"/>
      <c r="HZP242" s="1"/>
      <c r="HZQ242" s="1"/>
      <c r="HZR242" s="1"/>
      <c r="HZS242" s="1"/>
      <c r="HZT242" s="1"/>
      <c r="HZU242" s="1"/>
      <c r="HZV242" s="1"/>
      <c r="HZW242" s="1"/>
      <c r="HZX242" s="1"/>
      <c r="HZY242" s="1"/>
      <c r="HZZ242" s="1"/>
      <c r="IAA242" s="1"/>
      <c r="IAB242" s="1"/>
      <c r="IAC242" s="1"/>
      <c r="IAD242" s="1"/>
      <c r="IAE242" s="1"/>
      <c r="IAF242" s="1"/>
      <c r="IAG242" s="1"/>
      <c r="IAH242" s="1"/>
      <c r="IAI242" s="1"/>
      <c r="IAJ242" s="1"/>
      <c r="IAK242" s="1"/>
      <c r="IAL242" s="1"/>
      <c r="IAM242" s="1"/>
      <c r="IAN242" s="1"/>
      <c r="IAO242" s="1"/>
      <c r="IAP242" s="1"/>
      <c r="IAQ242" s="1"/>
      <c r="IAR242" s="1"/>
      <c r="IAS242" s="1"/>
      <c r="IAT242" s="1"/>
      <c r="IAU242" s="1"/>
      <c r="IAV242" s="1"/>
      <c r="IAW242" s="1"/>
      <c r="IAX242" s="1"/>
      <c r="IAY242" s="1"/>
      <c r="IAZ242" s="1"/>
      <c r="IBA242" s="1"/>
      <c r="IBB242" s="1"/>
      <c r="IBC242" s="1"/>
      <c r="IBD242" s="1"/>
      <c r="IBE242" s="1"/>
      <c r="IBF242" s="1"/>
      <c r="IBG242" s="1"/>
      <c r="IBH242" s="1"/>
      <c r="IBI242" s="1"/>
      <c r="IBJ242" s="1"/>
      <c r="IBK242" s="1"/>
      <c r="IBL242" s="1"/>
      <c r="IBM242" s="1"/>
      <c r="IBN242" s="1"/>
      <c r="IBO242" s="1"/>
      <c r="IBP242" s="1"/>
      <c r="IBQ242" s="1"/>
      <c r="IBR242" s="1"/>
      <c r="IBS242" s="1"/>
      <c r="IBT242" s="1"/>
      <c r="IBU242" s="1"/>
      <c r="IBV242" s="1"/>
      <c r="IBW242" s="1"/>
      <c r="IBX242" s="1"/>
      <c r="IBY242" s="1"/>
      <c r="IBZ242" s="1"/>
      <c r="ICA242" s="1"/>
      <c r="ICB242" s="1"/>
      <c r="ICC242" s="1"/>
      <c r="ICD242" s="1"/>
      <c r="ICE242" s="1"/>
      <c r="ICF242" s="1"/>
      <c r="ICG242" s="1"/>
      <c r="ICH242" s="1"/>
      <c r="ICI242" s="1"/>
      <c r="ICJ242" s="1"/>
      <c r="ICK242" s="1"/>
      <c r="ICL242" s="1"/>
      <c r="ICM242" s="1"/>
      <c r="ICN242" s="1"/>
      <c r="ICO242" s="1"/>
      <c r="ICP242" s="1"/>
      <c r="ICQ242" s="1"/>
      <c r="ICR242" s="1"/>
      <c r="ICS242" s="1"/>
      <c r="ICT242" s="1"/>
      <c r="ICU242" s="1"/>
      <c r="ICV242" s="1"/>
      <c r="ICW242" s="1"/>
      <c r="ICX242" s="1"/>
      <c r="ICY242" s="1"/>
      <c r="ICZ242" s="1"/>
      <c r="IDA242" s="1"/>
      <c r="IDB242" s="1"/>
      <c r="IDC242" s="1"/>
      <c r="IDD242" s="1"/>
      <c r="IDE242" s="1"/>
      <c r="IDF242" s="1"/>
      <c r="IDG242" s="1"/>
      <c r="IDH242" s="1"/>
      <c r="IDI242" s="1"/>
      <c r="IDJ242" s="1"/>
      <c r="IDK242" s="1"/>
      <c r="IDL242" s="1"/>
      <c r="IDM242" s="1"/>
      <c r="IDN242" s="1"/>
      <c r="IDO242" s="1"/>
      <c r="IDP242" s="1"/>
      <c r="IDQ242" s="1"/>
      <c r="IDR242" s="1"/>
      <c r="IDS242" s="1"/>
      <c r="IDT242" s="1"/>
      <c r="IDU242" s="1"/>
      <c r="IDV242" s="1"/>
      <c r="IDW242" s="1"/>
      <c r="IDX242" s="1"/>
      <c r="IDY242" s="1"/>
      <c r="IDZ242" s="1"/>
      <c r="IEA242" s="1"/>
      <c r="IEB242" s="1"/>
      <c r="IEC242" s="1"/>
      <c r="IED242" s="1"/>
      <c r="IEE242" s="1"/>
      <c r="IEF242" s="1"/>
      <c r="IEG242" s="1"/>
      <c r="IEH242" s="1"/>
      <c r="IEI242" s="1"/>
      <c r="IEJ242" s="1"/>
      <c r="IEK242" s="1"/>
      <c r="IEL242" s="1"/>
      <c r="IEM242" s="1"/>
      <c r="IEN242" s="1"/>
      <c r="IEO242" s="1"/>
      <c r="IEP242" s="1"/>
      <c r="IEQ242" s="1"/>
      <c r="IER242" s="1"/>
      <c r="IES242" s="1"/>
      <c r="IET242" s="1"/>
      <c r="IEU242" s="1"/>
      <c r="IEV242" s="1"/>
      <c r="IEW242" s="1"/>
      <c r="IEX242" s="1"/>
      <c r="IEY242" s="1"/>
      <c r="IEZ242" s="1"/>
      <c r="IFA242" s="1"/>
      <c r="IFB242" s="1"/>
      <c r="IFC242" s="1"/>
      <c r="IFD242" s="1"/>
      <c r="IFE242" s="1"/>
      <c r="IFF242" s="1"/>
      <c r="IFG242" s="1"/>
      <c r="IFH242" s="1"/>
      <c r="IFI242" s="1"/>
      <c r="IFJ242" s="1"/>
      <c r="IFK242" s="1"/>
      <c r="IFL242" s="1"/>
      <c r="IFM242" s="1"/>
      <c r="IFN242" s="1"/>
      <c r="IFO242" s="1"/>
      <c r="IFP242" s="1"/>
      <c r="IFQ242" s="1"/>
      <c r="IFR242" s="1"/>
      <c r="IFS242" s="1"/>
      <c r="IFT242" s="1"/>
      <c r="IFU242" s="1"/>
      <c r="IFV242" s="1"/>
      <c r="IFW242" s="1"/>
      <c r="IFX242" s="1"/>
      <c r="IFY242" s="1"/>
      <c r="IFZ242" s="1"/>
      <c r="IGA242" s="1"/>
      <c r="IGB242" s="1"/>
      <c r="IGC242" s="1"/>
      <c r="IGD242" s="1"/>
      <c r="IGE242" s="1"/>
      <c r="IGF242" s="1"/>
      <c r="IGG242" s="1"/>
      <c r="IGH242" s="1"/>
      <c r="IGI242" s="1"/>
      <c r="IGJ242" s="1"/>
      <c r="IGK242" s="1"/>
      <c r="IGL242" s="1"/>
      <c r="IGM242" s="1"/>
      <c r="IGN242" s="1"/>
      <c r="IGO242" s="1"/>
      <c r="IGP242" s="1"/>
      <c r="IGQ242" s="1"/>
      <c r="IGR242" s="1"/>
      <c r="IGS242" s="1"/>
      <c r="IGT242" s="1"/>
      <c r="IGU242" s="1"/>
      <c r="IGV242" s="1"/>
      <c r="IGW242" s="1"/>
      <c r="IGX242" s="1"/>
      <c r="IGY242" s="1"/>
      <c r="IGZ242" s="1"/>
      <c r="IHA242" s="1"/>
      <c r="IHB242" s="1"/>
      <c r="IHC242" s="1"/>
      <c r="IHD242" s="1"/>
      <c r="IHE242" s="1"/>
      <c r="IHF242" s="1"/>
      <c r="IHG242" s="1"/>
      <c r="IHH242" s="1"/>
      <c r="IHI242" s="1"/>
      <c r="IHJ242" s="1"/>
      <c r="IHK242" s="1"/>
      <c r="IHL242" s="1"/>
      <c r="IHM242" s="1"/>
      <c r="IHN242" s="1"/>
      <c r="IHO242" s="1"/>
      <c r="IHP242" s="1"/>
      <c r="IHQ242" s="1"/>
      <c r="IHR242" s="1"/>
      <c r="IHS242" s="1"/>
      <c r="IHT242" s="1"/>
      <c r="IHU242" s="1"/>
      <c r="IHV242" s="1"/>
      <c r="IHW242" s="1"/>
      <c r="IHX242" s="1"/>
      <c r="IHY242" s="1"/>
      <c r="IHZ242" s="1"/>
      <c r="IIA242" s="1"/>
      <c r="IIB242" s="1"/>
      <c r="IIC242" s="1"/>
      <c r="IID242" s="1"/>
      <c r="IIE242" s="1"/>
      <c r="IIF242" s="1"/>
      <c r="IIG242" s="1"/>
      <c r="IIH242" s="1"/>
      <c r="III242" s="1"/>
      <c r="IIJ242" s="1"/>
      <c r="IIK242" s="1"/>
      <c r="IIL242" s="1"/>
      <c r="IIM242" s="1"/>
      <c r="IIN242" s="1"/>
      <c r="IIO242" s="1"/>
      <c r="IIP242" s="1"/>
      <c r="IIQ242" s="1"/>
      <c r="IIR242" s="1"/>
      <c r="IIS242" s="1"/>
      <c r="IIT242" s="1"/>
      <c r="IIU242" s="1"/>
      <c r="IIV242" s="1"/>
      <c r="IIW242" s="1"/>
      <c r="IIX242" s="1"/>
      <c r="IIY242" s="1"/>
      <c r="IIZ242" s="1"/>
      <c r="IJA242" s="1"/>
      <c r="IJB242" s="1"/>
      <c r="IJC242" s="1"/>
      <c r="IJD242" s="1"/>
      <c r="IJE242" s="1"/>
      <c r="IJF242" s="1"/>
      <c r="IJG242" s="1"/>
      <c r="IJH242" s="1"/>
      <c r="IJI242" s="1"/>
      <c r="IJJ242" s="1"/>
      <c r="IJK242" s="1"/>
      <c r="IJL242" s="1"/>
      <c r="IJM242" s="1"/>
      <c r="IJN242" s="1"/>
      <c r="IJO242" s="1"/>
      <c r="IJP242" s="1"/>
      <c r="IJQ242" s="1"/>
      <c r="IJR242" s="1"/>
      <c r="IJS242" s="1"/>
      <c r="IJT242" s="1"/>
      <c r="IJU242" s="1"/>
      <c r="IJV242" s="1"/>
      <c r="IJW242" s="1"/>
      <c r="IJX242" s="1"/>
      <c r="IJY242" s="1"/>
      <c r="IJZ242" s="1"/>
      <c r="IKA242" s="1"/>
      <c r="IKB242" s="1"/>
      <c r="IKC242" s="1"/>
      <c r="IKD242" s="1"/>
      <c r="IKE242" s="1"/>
      <c r="IKF242" s="1"/>
      <c r="IKG242" s="1"/>
      <c r="IKH242" s="1"/>
      <c r="IKI242" s="1"/>
      <c r="IKJ242" s="1"/>
      <c r="IKK242" s="1"/>
      <c r="IKL242" s="1"/>
      <c r="IKM242" s="1"/>
      <c r="IKN242" s="1"/>
      <c r="IKO242" s="1"/>
      <c r="IKP242" s="1"/>
      <c r="IKQ242" s="1"/>
      <c r="IKR242" s="1"/>
      <c r="IKS242" s="1"/>
      <c r="IKT242" s="1"/>
      <c r="IKU242" s="1"/>
      <c r="IKV242" s="1"/>
      <c r="IKW242" s="1"/>
      <c r="IKX242" s="1"/>
      <c r="IKY242" s="1"/>
      <c r="IKZ242" s="1"/>
      <c r="ILA242" s="1"/>
      <c r="ILB242" s="1"/>
      <c r="ILC242" s="1"/>
      <c r="ILD242" s="1"/>
      <c r="ILE242" s="1"/>
      <c r="ILF242" s="1"/>
      <c r="ILG242" s="1"/>
      <c r="ILH242" s="1"/>
      <c r="ILI242" s="1"/>
      <c r="ILJ242" s="1"/>
      <c r="ILK242" s="1"/>
      <c r="ILL242" s="1"/>
      <c r="ILM242" s="1"/>
      <c r="ILN242" s="1"/>
      <c r="ILO242" s="1"/>
      <c r="ILP242" s="1"/>
      <c r="ILQ242" s="1"/>
      <c r="ILR242" s="1"/>
      <c r="ILS242" s="1"/>
      <c r="ILT242" s="1"/>
      <c r="ILU242" s="1"/>
      <c r="ILV242" s="1"/>
      <c r="ILW242" s="1"/>
      <c r="ILX242" s="1"/>
      <c r="ILY242" s="1"/>
      <c r="ILZ242" s="1"/>
      <c r="IMA242" s="1"/>
      <c r="IMB242" s="1"/>
      <c r="IMC242" s="1"/>
      <c r="IMD242" s="1"/>
      <c r="IME242" s="1"/>
      <c r="IMF242" s="1"/>
      <c r="IMG242" s="1"/>
      <c r="IMH242" s="1"/>
      <c r="IMI242" s="1"/>
      <c r="IMJ242" s="1"/>
      <c r="IMK242" s="1"/>
      <c r="IML242" s="1"/>
      <c r="IMM242" s="1"/>
      <c r="IMN242" s="1"/>
      <c r="IMO242" s="1"/>
      <c r="IMP242" s="1"/>
      <c r="IMQ242" s="1"/>
      <c r="IMR242" s="1"/>
      <c r="IMS242" s="1"/>
      <c r="IMT242" s="1"/>
      <c r="IMU242" s="1"/>
      <c r="IMV242" s="1"/>
      <c r="IMW242" s="1"/>
      <c r="IMX242" s="1"/>
      <c r="IMY242" s="1"/>
      <c r="IMZ242" s="1"/>
      <c r="INA242" s="1"/>
      <c r="INB242" s="1"/>
      <c r="INC242" s="1"/>
      <c r="IND242" s="1"/>
      <c r="INE242" s="1"/>
      <c r="INF242" s="1"/>
      <c r="ING242" s="1"/>
      <c r="INH242" s="1"/>
      <c r="INI242" s="1"/>
      <c r="INJ242" s="1"/>
      <c r="INK242" s="1"/>
      <c r="INL242" s="1"/>
      <c r="INM242" s="1"/>
      <c r="INN242" s="1"/>
      <c r="INO242" s="1"/>
      <c r="INP242" s="1"/>
      <c r="INQ242" s="1"/>
      <c r="INR242" s="1"/>
      <c r="INS242" s="1"/>
      <c r="INT242" s="1"/>
      <c r="INU242" s="1"/>
      <c r="INV242" s="1"/>
      <c r="INW242" s="1"/>
      <c r="INX242" s="1"/>
      <c r="INY242" s="1"/>
      <c r="INZ242" s="1"/>
      <c r="IOA242" s="1"/>
      <c r="IOB242" s="1"/>
      <c r="IOC242" s="1"/>
      <c r="IOD242" s="1"/>
      <c r="IOE242" s="1"/>
      <c r="IOF242" s="1"/>
      <c r="IOG242" s="1"/>
      <c r="IOH242" s="1"/>
      <c r="IOI242" s="1"/>
      <c r="IOJ242" s="1"/>
      <c r="IOK242" s="1"/>
      <c r="IOL242" s="1"/>
      <c r="IOM242" s="1"/>
      <c r="ION242" s="1"/>
      <c r="IOO242" s="1"/>
      <c r="IOP242" s="1"/>
      <c r="IOQ242" s="1"/>
      <c r="IOR242" s="1"/>
      <c r="IOS242" s="1"/>
      <c r="IOT242" s="1"/>
      <c r="IOU242" s="1"/>
      <c r="IOV242" s="1"/>
      <c r="IOW242" s="1"/>
      <c r="IOX242" s="1"/>
      <c r="IOY242" s="1"/>
      <c r="IOZ242" s="1"/>
      <c r="IPA242" s="1"/>
      <c r="IPB242" s="1"/>
      <c r="IPC242" s="1"/>
      <c r="IPD242" s="1"/>
      <c r="IPE242" s="1"/>
      <c r="IPF242" s="1"/>
      <c r="IPG242" s="1"/>
      <c r="IPH242" s="1"/>
      <c r="IPI242" s="1"/>
      <c r="IPJ242" s="1"/>
      <c r="IPK242" s="1"/>
      <c r="IPL242" s="1"/>
      <c r="IPM242" s="1"/>
      <c r="IPN242" s="1"/>
      <c r="IPO242" s="1"/>
      <c r="IPP242" s="1"/>
      <c r="IPQ242" s="1"/>
      <c r="IPR242" s="1"/>
      <c r="IPS242" s="1"/>
      <c r="IPT242" s="1"/>
      <c r="IPU242" s="1"/>
      <c r="IPV242" s="1"/>
      <c r="IPW242" s="1"/>
      <c r="IPX242" s="1"/>
      <c r="IPY242" s="1"/>
      <c r="IPZ242" s="1"/>
      <c r="IQA242" s="1"/>
      <c r="IQB242" s="1"/>
      <c r="IQC242" s="1"/>
      <c r="IQD242" s="1"/>
      <c r="IQE242" s="1"/>
      <c r="IQF242" s="1"/>
      <c r="IQG242" s="1"/>
      <c r="IQH242" s="1"/>
      <c r="IQI242" s="1"/>
      <c r="IQJ242" s="1"/>
      <c r="IQK242" s="1"/>
      <c r="IQL242" s="1"/>
      <c r="IQM242" s="1"/>
      <c r="IQN242" s="1"/>
      <c r="IQO242" s="1"/>
      <c r="IQP242" s="1"/>
      <c r="IQQ242" s="1"/>
      <c r="IQR242" s="1"/>
      <c r="IQS242" s="1"/>
      <c r="IQT242" s="1"/>
      <c r="IQU242" s="1"/>
      <c r="IQV242" s="1"/>
      <c r="IQW242" s="1"/>
      <c r="IQX242" s="1"/>
      <c r="IQY242" s="1"/>
      <c r="IQZ242" s="1"/>
      <c r="IRA242" s="1"/>
      <c r="IRB242" s="1"/>
      <c r="IRC242" s="1"/>
      <c r="IRD242" s="1"/>
      <c r="IRE242" s="1"/>
      <c r="IRF242" s="1"/>
      <c r="IRG242" s="1"/>
      <c r="IRH242" s="1"/>
      <c r="IRI242" s="1"/>
      <c r="IRJ242" s="1"/>
      <c r="IRK242" s="1"/>
      <c r="IRL242" s="1"/>
      <c r="IRM242" s="1"/>
      <c r="IRN242" s="1"/>
      <c r="IRO242" s="1"/>
      <c r="IRP242" s="1"/>
      <c r="IRQ242" s="1"/>
      <c r="IRR242" s="1"/>
      <c r="IRS242" s="1"/>
      <c r="IRT242" s="1"/>
      <c r="IRU242" s="1"/>
      <c r="IRV242" s="1"/>
      <c r="IRW242" s="1"/>
      <c r="IRX242" s="1"/>
      <c r="IRY242" s="1"/>
      <c r="IRZ242" s="1"/>
      <c r="ISA242" s="1"/>
      <c r="ISB242" s="1"/>
      <c r="ISC242" s="1"/>
      <c r="ISD242" s="1"/>
      <c r="ISE242" s="1"/>
      <c r="ISF242" s="1"/>
      <c r="ISG242" s="1"/>
      <c r="ISH242" s="1"/>
      <c r="ISI242" s="1"/>
      <c r="ISJ242" s="1"/>
      <c r="ISK242" s="1"/>
      <c r="ISL242" s="1"/>
      <c r="ISM242" s="1"/>
      <c r="ISN242" s="1"/>
      <c r="ISO242" s="1"/>
      <c r="ISP242" s="1"/>
      <c r="ISQ242" s="1"/>
      <c r="ISR242" s="1"/>
      <c r="ISS242" s="1"/>
      <c r="IST242" s="1"/>
      <c r="ISU242" s="1"/>
      <c r="ISV242" s="1"/>
      <c r="ISW242" s="1"/>
      <c r="ISX242" s="1"/>
      <c r="ISY242" s="1"/>
      <c r="ISZ242" s="1"/>
      <c r="ITA242" s="1"/>
      <c r="ITB242" s="1"/>
      <c r="ITC242" s="1"/>
      <c r="ITD242" s="1"/>
      <c r="ITE242" s="1"/>
      <c r="ITF242" s="1"/>
      <c r="ITG242" s="1"/>
      <c r="ITH242" s="1"/>
      <c r="ITI242" s="1"/>
      <c r="ITJ242" s="1"/>
      <c r="ITK242" s="1"/>
      <c r="ITL242" s="1"/>
      <c r="ITM242" s="1"/>
      <c r="ITN242" s="1"/>
      <c r="ITO242" s="1"/>
      <c r="ITP242" s="1"/>
      <c r="ITQ242" s="1"/>
      <c r="ITR242" s="1"/>
      <c r="ITS242" s="1"/>
      <c r="ITT242" s="1"/>
      <c r="ITU242" s="1"/>
      <c r="ITV242" s="1"/>
      <c r="ITW242" s="1"/>
      <c r="ITX242" s="1"/>
      <c r="ITY242" s="1"/>
      <c r="ITZ242" s="1"/>
      <c r="IUA242" s="1"/>
      <c r="IUB242" s="1"/>
      <c r="IUC242" s="1"/>
      <c r="IUD242" s="1"/>
      <c r="IUE242" s="1"/>
      <c r="IUF242" s="1"/>
      <c r="IUG242" s="1"/>
      <c r="IUH242" s="1"/>
      <c r="IUI242" s="1"/>
      <c r="IUJ242" s="1"/>
      <c r="IUK242" s="1"/>
      <c r="IUL242" s="1"/>
      <c r="IUM242" s="1"/>
      <c r="IUN242" s="1"/>
      <c r="IUO242" s="1"/>
      <c r="IUP242" s="1"/>
      <c r="IUQ242" s="1"/>
      <c r="IUR242" s="1"/>
      <c r="IUS242" s="1"/>
      <c r="IUT242" s="1"/>
      <c r="IUU242" s="1"/>
      <c r="IUV242" s="1"/>
      <c r="IUW242" s="1"/>
      <c r="IUX242" s="1"/>
      <c r="IUY242" s="1"/>
      <c r="IUZ242" s="1"/>
      <c r="IVA242" s="1"/>
      <c r="IVB242" s="1"/>
      <c r="IVC242" s="1"/>
      <c r="IVD242" s="1"/>
      <c r="IVE242" s="1"/>
      <c r="IVF242" s="1"/>
      <c r="IVG242" s="1"/>
      <c r="IVH242" s="1"/>
      <c r="IVI242" s="1"/>
      <c r="IVJ242" s="1"/>
      <c r="IVK242" s="1"/>
      <c r="IVL242" s="1"/>
      <c r="IVM242" s="1"/>
      <c r="IVN242" s="1"/>
      <c r="IVO242" s="1"/>
      <c r="IVP242" s="1"/>
      <c r="IVQ242" s="1"/>
      <c r="IVR242" s="1"/>
      <c r="IVS242" s="1"/>
      <c r="IVT242" s="1"/>
      <c r="IVU242" s="1"/>
      <c r="IVV242" s="1"/>
      <c r="IVW242" s="1"/>
      <c r="IVX242" s="1"/>
      <c r="IVY242" s="1"/>
      <c r="IVZ242" s="1"/>
      <c r="IWA242" s="1"/>
      <c r="IWB242" s="1"/>
      <c r="IWC242" s="1"/>
      <c r="IWD242" s="1"/>
      <c r="IWE242" s="1"/>
      <c r="IWF242" s="1"/>
      <c r="IWG242" s="1"/>
      <c r="IWH242" s="1"/>
      <c r="IWI242" s="1"/>
      <c r="IWJ242" s="1"/>
      <c r="IWK242" s="1"/>
      <c r="IWL242" s="1"/>
      <c r="IWM242" s="1"/>
      <c r="IWN242" s="1"/>
      <c r="IWO242" s="1"/>
      <c r="IWP242" s="1"/>
      <c r="IWQ242" s="1"/>
      <c r="IWR242" s="1"/>
      <c r="IWS242" s="1"/>
      <c r="IWT242" s="1"/>
      <c r="IWU242" s="1"/>
      <c r="IWV242" s="1"/>
      <c r="IWW242" s="1"/>
      <c r="IWX242" s="1"/>
      <c r="IWY242" s="1"/>
      <c r="IWZ242" s="1"/>
      <c r="IXA242" s="1"/>
      <c r="IXB242" s="1"/>
      <c r="IXC242" s="1"/>
      <c r="IXD242" s="1"/>
      <c r="IXE242" s="1"/>
      <c r="IXF242" s="1"/>
      <c r="IXG242" s="1"/>
      <c r="IXH242" s="1"/>
      <c r="IXI242" s="1"/>
      <c r="IXJ242" s="1"/>
      <c r="IXK242" s="1"/>
      <c r="IXL242" s="1"/>
      <c r="IXM242" s="1"/>
      <c r="IXN242" s="1"/>
      <c r="IXO242" s="1"/>
      <c r="IXP242" s="1"/>
      <c r="IXQ242" s="1"/>
      <c r="IXR242" s="1"/>
      <c r="IXS242" s="1"/>
      <c r="IXT242" s="1"/>
      <c r="IXU242" s="1"/>
      <c r="IXV242" s="1"/>
      <c r="IXW242" s="1"/>
      <c r="IXX242" s="1"/>
      <c r="IXY242" s="1"/>
      <c r="IXZ242" s="1"/>
      <c r="IYA242" s="1"/>
      <c r="IYB242" s="1"/>
      <c r="IYC242" s="1"/>
      <c r="IYD242" s="1"/>
      <c r="IYE242" s="1"/>
      <c r="IYF242" s="1"/>
      <c r="IYG242" s="1"/>
      <c r="IYH242" s="1"/>
      <c r="IYI242" s="1"/>
      <c r="IYJ242" s="1"/>
      <c r="IYK242" s="1"/>
      <c r="IYL242" s="1"/>
      <c r="IYM242" s="1"/>
      <c r="IYN242" s="1"/>
      <c r="IYO242" s="1"/>
      <c r="IYP242" s="1"/>
      <c r="IYQ242" s="1"/>
      <c r="IYR242" s="1"/>
      <c r="IYS242" s="1"/>
      <c r="IYT242" s="1"/>
      <c r="IYU242" s="1"/>
      <c r="IYV242" s="1"/>
      <c r="IYW242" s="1"/>
      <c r="IYX242" s="1"/>
      <c r="IYY242" s="1"/>
      <c r="IYZ242" s="1"/>
      <c r="IZA242" s="1"/>
      <c r="IZB242" s="1"/>
      <c r="IZC242" s="1"/>
      <c r="IZD242" s="1"/>
      <c r="IZE242" s="1"/>
      <c r="IZF242" s="1"/>
      <c r="IZG242" s="1"/>
      <c r="IZH242" s="1"/>
      <c r="IZI242" s="1"/>
      <c r="IZJ242" s="1"/>
      <c r="IZK242" s="1"/>
      <c r="IZL242" s="1"/>
      <c r="IZM242" s="1"/>
      <c r="IZN242" s="1"/>
      <c r="IZO242" s="1"/>
      <c r="IZP242" s="1"/>
      <c r="IZQ242" s="1"/>
      <c r="IZR242" s="1"/>
      <c r="IZS242" s="1"/>
      <c r="IZT242" s="1"/>
      <c r="IZU242" s="1"/>
      <c r="IZV242" s="1"/>
      <c r="IZW242" s="1"/>
      <c r="IZX242" s="1"/>
      <c r="IZY242" s="1"/>
      <c r="IZZ242" s="1"/>
      <c r="JAA242" s="1"/>
      <c r="JAB242" s="1"/>
      <c r="JAC242" s="1"/>
      <c r="JAD242" s="1"/>
      <c r="JAE242" s="1"/>
      <c r="JAF242" s="1"/>
      <c r="JAG242" s="1"/>
      <c r="JAH242" s="1"/>
      <c r="JAI242" s="1"/>
      <c r="JAJ242" s="1"/>
      <c r="JAK242" s="1"/>
      <c r="JAL242" s="1"/>
      <c r="JAM242" s="1"/>
      <c r="JAN242" s="1"/>
      <c r="JAO242" s="1"/>
      <c r="JAP242" s="1"/>
      <c r="JAQ242" s="1"/>
      <c r="JAR242" s="1"/>
      <c r="JAS242" s="1"/>
      <c r="JAT242" s="1"/>
      <c r="JAU242" s="1"/>
      <c r="JAV242" s="1"/>
      <c r="JAW242" s="1"/>
      <c r="JAX242" s="1"/>
      <c r="JAY242" s="1"/>
      <c r="JAZ242" s="1"/>
      <c r="JBA242" s="1"/>
      <c r="JBB242" s="1"/>
      <c r="JBC242" s="1"/>
      <c r="JBD242" s="1"/>
      <c r="JBE242" s="1"/>
      <c r="JBF242" s="1"/>
      <c r="JBG242" s="1"/>
      <c r="JBH242" s="1"/>
      <c r="JBI242" s="1"/>
      <c r="JBJ242" s="1"/>
      <c r="JBK242" s="1"/>
      <c r="JBL242" s="1"/>
      <c r="JBM242" s="1"/>
      <c r="JBN242" s="1"/>
      <c r="JBO242" s="1"/>
      <c r="JBP242" s="1"/>
      <c r="JBQ242" s="1"/>
      <c r="JBR242" s="1"/>
      <c r="JBS242" s="1"/>
      <c r="JBT242" s="1"/>
      <c r="JBU242" s="1"/>
      <c r="JBV242" s="1"/>
      <c r="JBW242" s="1"/>
      <c r="JBX242" s="1"/>
      <c r="JBY242" s="1"/>
      <c r="JBZ242" s="1"/>
      <c r="JCA242" s="1"/>
      <c r="JCB242" s="1"/>
      <c r="JCC242" s="1"/>
      <c r="JCD242" s="1"/>
      <c r="JCE242" s="1"/>
      <c r="JCF242" s="1"/>
      <c r="JCG242" s="1"/>
      <c r="JCH242" s="1"/>
      <c r="JCI242" s="1"/>
      <c r="JCJ242" s="1"/>
      <c r="JCK242" s="1"/>
      <c r="JCL242" s="1"/>
      <c r="JCM242" s="1"/>
      <c r="JCN242" s="1"/>
      <c r="JCO242" s="1"/>
      <c r="JCP242" s="1"/>
      <c r="JCQ242" s="1"/>
      <c r="JCR242" s="1"/>
      <c r="JCS242" s="1"/>
      <c r="JCT242" s="1"/>
      <c r="JCU242" s="1"/>
      <c r="JCV242" s="1"/>
      <c r="JCW242" s="1"/>
      <c r="JCX242" s="1"/>
      <c r="JCY242" s="1"/>
      <c r="JCZ242" s="1"/>
      <c r="JDA242" s="1"/>
      <c r="JDB242" s="1"/>
      <c r="JDC242" s="1"/>
      <c r="JDD242" s="1"/>
      <c r="JDE242" s="1"/>
      <c r="JDF242" s="1"/>
      <c r="JDG242" s="1"/>
      <c r="JDH242" s="1"/>
      <c r="JDI242" s="1"/>
      <c r="JDJ242" s="1"/>
      <c r="JDK242" s="1"/>
      <c r="JDL242" s="1"/>
      <c r="JDM242" s="1"/>
      <c r="JDN242" s="1"/>
      <c r="JDO242" s="1"/>
      <c r="JDP242" s="1"/>
      <c r="JDQ242" s="1"/>
      <c r="JDR242" s="1"/>
      <c r="JDS242" s="1"/>
      <c r="JDT242" s="1"/>
      <c r="JDU242" s="1"/>
      <c r="JDV242" s="1"/>
      <c r="JDW242" s="1"/>
      <c r="JDX242" s="1"/>
      <c r="JDY242" s="1"/>
      <c r="JDZ242" s="1"/>
      <c r="JEA242" s="1"/>
      <c r="JEB242" s="1"/>
      <c r="JEC242" s="1"/>
      <c r="JED242" s="1"/>
      <c r="JEE242" s="1"/>
      <c r="JEF242" s="1"/>
      <c r="JEG242" s="1"/>
      <c r="JEH242" s="1"/>
      <c r="JEI242" s="1"/>
      <c r="JEJ242" s="1"/>
      <c r="JEK242" s="1"/>
      <c r="JEL242" s="1"/>
      <c r="JEM242" s="1"/>
      <c r="JEN242" s="1"/>
      <c r="JEO242" s="1"/>
      <c r="JEP242" s="1"/>
      <c r="JEQ242" s="1"/>
      <c r="JER242" s="1"/>
      <c r="JES242" s="1"/>
      <c r="JET242" s="1"/>
      <c r="JEU242" s="1"/>
      <c r="JEV242" s="1"/>
      <c r="JEW242" s="1"/>
      <c r="JEX242" s="1"/>
      <c r="JEY242" s="1"/>
      <c r="JEZ242" s="1"/>
      <c r="JFA242" s="1"/>
      <c r="JFB242" s="1"/>
      <c r="JFC242" s="1"/>
      <c r="JFD242" s="1"/>
      <c r="JFE242" s="1"/>
      <c r="JFF242" s="1"/>
      <c r="JFG242" s="1"/>
      <c r="JFH242" s="1"/>
      <c r="JFI242" s="1"/>
      <c r="JFJ242" s="1"/>
      <c r="JFK242" s="1"/>
      <c r="JFL242" s="1"/>
      <c r="JFM242" s="1"/>
      <c r="JFN242" s="1"/>
      <c r="JFO242" s="1"/>
      <c r="JFP242" s="1"/>
      <c r="JFQ242" s="1"/>
      <c r="JFR242" s="1"/>
      <c r="JFS242" s="1"/>
      <c r="JFT242" s="1"/>
      <c r="JFU242" s="1"/>
      <c r="JFV242" s="1"/>
      <c r="JFW242" s="1"/>
      <c r="JFX242" s="1"/>
      <c r="JFY242" s="1"/>
      <c r="JFZ242" s="1"/>
      <c r="JGA242" s="1"/>
      <c r="JGB242" s="1"/>
      <c r="JGC242" s="1"/>
      <c r="JGD242" s="1"/>
      <c r="JGE242" s="1"/>
      <c r="JGF242" s="1"/>
      <c r="JGG242" s="1"/>
      <c r="JGH242" s="1"/>
      <c r="JGI242" s="1"/>
      <c r="JGJ242" s="1"/>
      <c r="JGK242" s="1"/>
      <c r="JGL242" s="1"/>
      <c r="JGM242" s="1"/>
      <c r="JGN242" s="1"/>
      <c r="JGO242" s="1"/>
      <c r="JGP242" s="1"/>
      <c r="JGQ242" s="1"/>
      <c r="JGR242" s="1"/>
      <c r="JGS242" s="1"/>
      <c r="JGT242" s="1"/>
      <c r="JGU242" s="1"/>
      <c r="JGV242" s="1"/>
      <c r="JGW242" s="1"/>
      <c r="JGX242" s="1"/>
      <c r="JGY242" s="1"/>
      <c r="JGZ242" s="1"/>
      <c r="JHA242" s="1"/>
      <c r="JHB242" s="1"/>
      <c r="JHC242" s="1"/>
      <c r="JHD242" s="1"/>
      <c r="JHE242" s="1"/>
      <c r="JHF242" s="1"/>
      <c r="JHG242" s="1"/>
      <c r="JHH242" s="1"/>
      <c r="JHI242" s="1"/>
      <c r="JHJ242" s="1"/>
      <c r="JHK242" s="1"/>
      <c r="JHL242" s="1"/>
      <c r="JHM242" s="1"/>
      <c r="JHN242" s="1"/>
      <c r="JHO242" s="1"/>
      <c r="JHP242" s="1"/>
      <c r="JHQ242" s="1"/>
      <c r="JHR242" s="1"/>
      <c r="JHS242" s="1"/>
      <c r="JHT242" s="1"/>
      <c r="JHU242" s="1"/>
      <c r="JHV242" s="1"/>
      <c r="JHW242" s="1"/>
      <c r="JHX242" s="1"/>
      <c r="JHY242" s="1"/>
      <c r="JHZ242" s="1"/>
      <c r="JIA242" s="1"/>
      <c r="JIB242" s="1"/>
      <c r="JIC242" s="1"/>
      <c r="JID242" s="1"/>
      <c r="JIE242" s="1"/>
      <c r="JIF242" s="1"/>
      <c r="JIG242" s="1"/>
      <c r="JIH242" s="1"/>
      <c r="JII242" s="1"/>
      <c r="JIJ242" s="1"/>
      <c r="JIK242" s="1"/>
      <c r="JIL242" s="1"/>
      <c r="JIM242" s="1"/>
      <c r="JIN242" s="1"/>
      <c r="JIO242" s="1"/>
      <c r="JIP242" s="1"/>
      <c r="JIQ242" s="1"/>
      <c r="JIR242" s="1"/>
      <c r="JIS242" s="1"/>
      <c r="JIT242" s="1"/>
      <c r="JIU242" s="1"/>
      <c r="JIV242" s="1"/>
      <c r="JIW242" s="1"/>
      <c r="JIX242" s="1"/>
      <c r="JIY242" s="1"/>
      <c r="JIZ242" s="1"/>
      <c r="JJA242" s="1"/>
      <c r="JJB242" s="1"/>
      <c r="JJC242" s="1"/>
      <c r="JJD242" s="1"/>
      <c r="JJE242" s="1"/>
      <c r="JJF242" s="1"/>
      <c r="JJG242" s="1"/>
      <c r="JJH242" s="1"/>
      <c r="JJI242" s="1"/>
      <c r="JJJ242" s="1"/>
      <c r="JJK242" s="1"/>
      <c r="JJL242" s="1"/>
      <c r="JJM242" s="1"/>
      <c r="JJN242" s="1"/>
      <c r="JJO242" s="1"/>
      <c r="JJP242" s="1"/>
      <c r="JJQ242" s="1"/>
      <c r="JJR242" s="1"/>
      <c r="JJS242" s="1"/>
      <c r="JJT242" s="1"/>
      <c r="JJU242" s="1"/>
      <c r="JJV242" s="1"/>
      <c r="JJW242" s="1"/>
      <c r="JJX242" s="1"/>
      <c r="JJY242" s="1"/>
      <c r="JJZ242" s="1"/>
      <c r="JKA242" s="1"/>
      <c r="JKB242" s="1"/>
      <c r="JKC242" s="1"/>
      <c r="JKD242" s="1"/>
      <c r="JKE242" s="1"/>
      <c r="JKF242" s="1"/>
      <c r="JKG242" s="1"/>
      <c r="JKH242" s="1"/>
      <c r="JKI242" s="1"/>
      <c r="JKJ242" s="1"/>
      <c r="JKK242" s="1"/>
      <c r="JKL242" s="1"/>
      <c r="JKM242" s="1"/>
      <c r="JKN242" s="1"/>
      <c r="JKO242" s="1"/>
      <c r="JKP242" s="1"/>
      <c r="JKQ242" s="1"/>
      <c r="JKR242" s="1"/>
      <c r="JKS242" s="1"/>
      <c r="JKT242" s="1"/>
      <c r="JKU242" s="1"/>
      <c r="JKV242" s="1"/>
      <c r="JKW242" s="1"/>
      <c r="JKX242" s="1"/>
      <c r="JKY242" s="1"/>
      <c r="JKZ242" s="1"/>
      <c r="JLA242" s="1"/>
      <c r="JLB242" s="1"/>
      <c r="JLC242" s="1"/>
      <c r="JLD242" s="1"/>
      <c r="JLE242" s="1"/>
      <c r="JLF242" s="1"/>
      <c r="JLG242" s="1"/>
      <c r="JLH242" s="1"/>
      <c r="JLI242" s="1"/>
      <c r="JLJ242" s="1"/>
      <c r="JLK242" s="1"/>
      <c r="JLL242" s="1"/>
      <c r="JLM242" s="1"/>
      <c r="JLN242" s="1"/>
      <c r="JLO242" s="1"/>
      <c r="JLP242" s="1"/>
      <c r="JLQ242" s="1"/>
      <c r="JLR242" s="1"/>
      <c r="JLS242" s="1"/>
      <c r="JLT242" s="1"/>
      <c r="JLU242" s="1"/>
      <c r="JLV242" s="1"/>
      <c r="JLW242" s="1"/>
      <c r="JLX242" s="1"/>
      <c r="JLY242" s="1"/>
      <c r="JLZ242" s="1"/>
      <c r="JMA242" s="1"/>
      <c r="JMB242" s="1"/>
      <c r="JMC242" s="1"/>
      <c r="JMD242" s="1"/>
      <c r="JME242" s="1"/>
      <c r="JMF242" s="1"/>
      <c r="JMG242" s="1"/>
      <c r="JMH242" s="1"/>
      <c r="JMI242" s="1"/>
      <c r="JMJ242" s="1"/>
      <c r="JMK242" s="1"/>
      <c r="JML242" s="1"/>
      <c r="JMM242" s="1"/>
      <c r="JMN242" s="1"/>
      <c r="JMO242" s="1"/>
      <c r="JMP242" s="1"/>
      <c r="JMQ242" s="1"/>
      <c r="JMR242" s="1"/>
      <c r="JMS242" s="1"/>
      <c r="JMT242" s="1"/>
      <c r="JMU242" s="1"/>
      <c r="JMV242" s="1"/>
      <c r="JMW242" s="1"/>
      <c r="JMX242" s="1"/>
      <c r="JMY242" s="1"/>
      <c r="JMZ242" s="1"/>
      <c r="JNA242" s="1"/>
      <c r="JNB242" s="1"/>
      <c r="JNC242" s="1"/>
      <c r="JND242" s="1"/>
      <c r="JNE242" s="1"/>
      <c r="JNF242" s="1"/>
      <c r="JNG242" s="1"/>
      <c r="JNH242" s="1"/>
      <c r="JNI242" s="1"/>
      <c r="JNJ242" s="1"/>
      <c r="JNK242" s="1"/>
      <c r="JNL242" s="1"/>
      <c r="JNM242" s="1"/>
      <c r="JNN242" s="1"/>
      <c r="JNO242" s="1"/>
      <c r="JNP242" s="1"/>
      <c r="JNQ242" s="1"/>
      <c r="JNR242" s="1"/>
      <c r="JNS242" s="1"/>
      <c r="JNT242" s="1"/>
      <c r="JNU242" s="1"/>
      <c r="JNV242" s="1"/>
      <c r="JNW242" s="1"/>
      <c r="JNX242" s="1"/>
      <c r="JNY242" s="1"/>
      <c r="JNZ242" s="1"/>
      <c r="JOA242" s="1"/>
      <c r="JOB242" s="1"/>
      <c r="JOC242" s="1"/>
      <c r="JOD242" s="1"/>
      <c r="JOE242" s="1"/>
      <c r="JOF242" s="1"/>
      <c r="JOG242" s="1"/>
      <c r="JOH242" s="1"/>
      <c r="JOI242" s="1"/>
      <c r="JOJ242" s="1"/>
      <c r="JOK242" s="1"/>
      <c r="JOL242" s="1"/>
      <c r="JOM242" s="1"/>
      <c r="JON242" s="1"/>
      <c r="JOO242" s="1"/>
      <c r="JOP242" s="1"/>
      <c r="JOQ242" s="1"/>
      <c r="JOR242" s="1"/>
      <c r="JOS242" s="1"/>
      <c r="JOT242" s="1"/>
      <c r="JOU242" s="1"/>
      <c r="JOV242" s="1"/>
      <c r="JOW242" s="1"/>
      <c r="JOX242" s="1"/>
      <c r="JOY242" s="1"/>
      <c r="JOZ242" s="1"/>
      <c r="JPA242" s="1"/>
      <c r="JPB242" s="1"/>
      <c r="JPC242" s="1"/>
      <c r="JPD242" s="1"/>
      <c r="JPE242" s="1"/>
      <c r="JPF242" s="1"/>
      <c r="JPG242" s="1"/>
      <c r="JPH242" s="1"/>
      <c r="JPI242" s="1"/>
      <c r="JPJ242" s="1"/>
      <c r="JPK242" s="1"/>
      <c r="JPL242" s="1"/>
      <c r="JPM242" s="1"/>
      <c r="JPN242" s="1"/>
      <c r="JPO242" s="1"/>
      <c r="JPP242" s="1"/>
      <c r="JPQ242" s="1"/>
      <c r="JPR242" s="1"/>
      <c r="JPS242" s="1"/>
      <c r="JPT242" s="1"/>
      <c r="JPU242" s="1"/>
      <c r="JPV242" s="1"/>
      <c r="JPW242" s="1"/>
      <c r="JPX242" s="1"/>
      <c r="JPY242" s="1"/>
      <c r="JPZ242" s="1"/>
      <c r="JQA242" s="1"/>
      <c r="JQB242" s="1"/>
      <c r="JQC242" s="1"/>
      <c r="JQD242" s="1"/>
      <c r="JQE242" s="1"/>
      <c r="JQF242" s="1"/>
      <c r="JQG242" s="1"/>
      <c r="JQH242" s="1"/>
      <c r="JQI242" s="1"/>
      <c r="JQJ242" s="1"/>
      <c r="JQK242" s="1"/>
      <c r="JQL242" s="1"/>
      <c r="JQM242" s="1"/>
      <c r="JQN242" s="1"/>
      <c r="JQO242" s="1"/>
      <c r="JQP242" s="1"/>
      <c r="JQQ242" s="1"/>
      <c r="JQR242" s="1"/>
      <c r="JQS242" s="1"/>
      <c r="JQT242" s="1"/>
      <c r="JQU242" s="1"/>
      <c r="JQV242" s="1"/>
      <c r="JQW242" s="1"/>
      <c r="JQX242" s="1"/>
      <c r="JQY242" s="1"/>
      <c r="JQZ242" s="1"/>
      <c r="JRA242" s="1"/>
      <c r="JRB242" s="1"/>
      <c r="JRC242" s="1"/>
      <c r="JRD242" s="1"/>
      <c r="JRE242" s="1"/>
      <c r="JRF242" s="1"/>
      <c r="JRG242" s="1"/>
      <c r="JRH242" s="1"/>
      <c r="JRI242" s="1"/>
      <c r="JRJ242" s="1"/>
      <c r="JRK242" s="1"/>
      <c r="JRL242" s="1"/>
      <c r="JRM242" s="1"/>
      <c r="JRN242" s="1"/>
      <c r="JRO242" s="1"/>
      <c r="JRP242" s="1"/>
      <c r="JRQ242" s="1"/>
      <c r="JRR242" s="1"/>
      <c r="JRS242" s="1"/>
      <c r="JRT242" s="1"/>
      <c r="JRU242" s="1"/>
      <c r="JRV242" s="1"/>
      <c r="JRW242" s="1"/>
      <c r="JRX242" s="1"/>
      <c r="JRY242" s="1"/>
      <c r="JRZ242" s="1"/>
      <c r="JSA242" s="1"/>
      <c r="JSB242" s="1"/>
      <c r="JSC242" s="1"/>
      <c r="JSD242" s="1"/>
      <c r="JSE242" s="1"/>
      <c r="JSF242" s="1"/>
      <c r="JSG242" s="1"/>
      <c r="JSH242" s="1"/>
      <c r="JSI242" s="1"/>
      <c r="JSJ242" s="1"/>
      <c r="JSK242" s="1"/>
      <c r="JSL242" s="1"/>
      <c r="JSM242" s="1"/>
      <c r="JSN242" s="1"/>
      <c r="JSO242" s="1"/>
      <c r="JSP242" s="1"/>
      <c r="JSQ242" s="1"/>
      <c r="JSR242" s="1"/>
      <c r="JSS242" s="1"/>
      <c r="JST242" s="1"/>
      <c r="JSU242" s="1"/>
      <c r="JSV242" s="1"/>
      <c r="JSW242" s="1"/>
      <c r="JSX242" s="1"/>
      <c r="JSY242" s="1"/>
      <c r="JSZ242" s="1"/>
      <c r="JTA242" s="1"/>
      <c r="JTB242" s="1"/>
      <c r="JTC242" s="1"/>
      <c r="JTD242" s="1"/>
      <c r="JTE242" s="1"/>
      <c r="JTF242" s="1"/>
      <c r="JTG242" s="1"/>
      <c r="JTH242" s="1"/>
      <c r="JTI242" s="1"/>
      <c r="JTJ242" s="1"/>
      <c r="JTK242" s="1"/>
      <c r="JTL242" s="1"/>
      <c r="JTM242" s="1"/>
      <c r="JTN242" s="1"/>
      <c r="JTO242" s="1"/>
      <c r="JTP242" s="1"/>
      <c r="JTQ242" s="1"/>
      <c r="JTR242" s="1"/>
      <c r="JTS242" s="1"/>
      <c r="JTT242" s="1"/>
      <c r="JTU242" s="1"/>
      <c r="JTV242" s="1"/>
      <c r="JTW242" s="1"/>
      <c r="JTX242" s="1"/>
      <c r="JTY242" s="1"/>
      <c r="JTZ242" s="1"/>
      <c r="JUA242" s="1"/>
      <c r="JUB242" s="1"/>
      <c r="JUC242" s="1"/>
      <c r="JUD242" s="1"/>
      <c r="JUE242" s="1"/>
      <c r="JUF242" s="1"/>
      <c r="JUG242" s="1"/>
      <c r="JUH242" s="1"/>
      <c r="JUI242" s="1"/>
      <c r="JUJ242" s="1"/>
      <c r="JUK242" s="1"/>
      <c r="JUL242" s="1"/>
      <c r="JUM242" s="1"/>
      <c r="JUN242" s="1"/>
      <c r="JUO242" s="1"/>
      <c r="JUP242" s="1"/>
      <c r="JUQ242" s="1"/>
      <c r="JUR242" s="1"/>
      <c r="JUS242" s="1"/>
      <c r="JUT242" s="1"/>
      <c r="JUU242" s="1"/>
      <c r="JUV242" s="1"/>
      <c r="JUW242" s="1"/>
      <c r="JUX242" s="1"/>
      <c r="JUY242" s="1"/>
      <c r="JUZ242" s="1"/>
      <c r="JVA242" s="1"/>
      <c r="JVB242" s="1"/>
      <c r="JVC242" s="1"/>
      <c r="JVD242" s="1"/>
      <c r="JVE242" s="1"/>
      <c r="JVF242" s="1"/>
      <c r="JVG242" s="1"/>
      <c r="JVH242" s="1"/>
      <c r="JVI242" s="1"/>
      <c r="JVJ242" s="1"/>
      <c r="JVK242" s="1"/>
      <c r="JVL242" s="1"/>
      <c r="JVM242" s="1"/>
      <c r="JVN242" s="1"/>
      <c r="JVO242" s="1"/>
      <c r="JVP242" s="1"/>
      <c r="JVQ242" s="1"/>
      <c r="JVR242" s="1"/>
      <c r="JVS242" s="1"/>
      <c r="JVT242" s="1"/>
      <c r="JVU242" s="1"/>
      <c r="JVV242" s="1"/>
      <c r="JVW242" s="1"/>
      <c r="JVX242" s="1"/>
      <c r="JVY242" s="1"/>
      <c r="JVZ242" s="1"/>
      <c r="JWA242" s="1"/>
      <c r="JWB242" s="1"/>
      <c r="JWC242" s="1"/>
      <c r="JWD242" s="1"/>
      <c r="JWE242" s="1"/>
      <c r="JWF242" s="1"/>
      <c r="JWG242" s="1"/>
      <c r="JWH242" s="1"/>
      <c r="JWI242" s="1"/>
      <c r="JWJ242" s="1"/>
      <c r="JWK242" s="1"/>
      <c r="JWL242" s="1"/>
      <c r="JWM242" s="1"/>
      <c r="JWN242" s="1"/>
      <c r="JWO242" s="1"/>
      <c r="JWP242" s="1"/>
      <c r="JWQ242" s="1"/>
      <c r="JWR242" s="1"/>
      <c r="JWS242" s="1"/>
      <c r="JWT242" s="1"/>
      <c r="JWU242" s="1"/>
      <c r="JWV242" s="1"/>
      <c r="JWW242" s="1"/>
      <c r="JWX242" s="1"/>
      <c r="JWY242" s="1"/>
      <c r="JWZ242" s="1"/>
      <c r="JXA242" s="1"/>
      <c r="JXB242" s="1"/>
      <c r="JXC242" s="1"/>
      <c r="JXD242" s="1"/>
      <c r="JXE242" s="1"/>
      <c r="JXF242" s="1"/>
      <c r="JXG242" s="1"/>
      <c r="JXH242" s="1"/>
      <c r="JXI242" s="1"/>
      <c r="JXJ242" s="1"/>
      <c r="JXK242" s="1"/>
      <c r="JXL242" s="1"/>
      <c r="JXM242" s="1"/>
      <c r="JXN242" s="1"/>
      <c r="JXO242" s="1"/>
      <c r="JXP242" s="1"/>
      <c r="JXQ242" s="1"/>
      <c r="JXR242" s="1"/>
      <c r="JXS242" s="1"/>
      <c r="JXT242" s="1"/>
      <c r="JXU242" s="1"/>
      <c r="JXV242" s="1"/>
      <c r="JXW242" s="1"/>
      <c r="JXX242" s="1"/>
      <c r="JXY242" s="1"/>
      <c r="JXZ242" s="1"/>
      <c r="JYA242" s="1"/>
      <c r="JYB242" s="1"/>
      <c r="JYC242" s="1"/>
      <c r="JYD242" s="1"/>
      <c r="JYE242" s="1"/>
      <c r="JYF242" s="1"/>
      <c r="JYG242" s="1"/>
      <c r="JYH242" s="1"/>
      <c r="JYI242" s="1"/>
      <c r="JYJ242" s="1"/>
      <c r="JYK242" s="1"/>
      <c r="JYL242" s="1"/>
      <c r="JYM242" s="1"/>
      <c r="JYN242" s="1"/>
      <c r="JYO242" s="1"/>
      <c r="JYP242" s="1"/>
      <c r="JYQ242" s="1"/>
      <c r="JYR242" s="1"/>
      <c r="JYS242" s="1"/>
      <c r="JYT242" s="1"/>
      <c r="JYU242" s="1"/>
      <c r="JYV242" s="1"/>
      <c r="JYW242" s="1"/>
      <c r="JYX242" s="1"/>
      <c r="JYY242" s="1"/>
      <c r="JYZ242" s="1"/>
      <c r="JZA242" s="1"/>
      <c r="JZB242" s="1"/>
      <c r="JZC242" s="1"/>
      <c r="JZD242" s="1"/>
      <c r="JZE242" s="1"/>
      <c r="JZF242" s="1"/>
      <c r="JZG242" s="1"/>
      <c r="JZH242" s="1"/>
      <c r="JZI242" s="1"/>
      <c r="JZJ242" s="1"/>
      <c r="JZK242" s="1"/>
      <c r="JZL242" s="1"/>
      <c r="JZM242" s="1"/>
      <c r="JZN242" s="1"/>
      <c r="JZO242" s="1"/>
      <c r="JZP242" s="1"/>
      <c r="JZQ242" s="1"/>
      <c r="JZR242" s="1"/>
      <c r="JZS242" s="1"/>
      <c r="JZT242" s="1"/>
      <c r="JZU242" s="1"/>
      <c r="JZV242" s="1"/>
      <c r="JZW242" s="1"/>
      <c r="JZX242" s="1"/>
      <c r="JZY242" s="1"/>
      <c r="JZZ242" s="1"/>
      <c r="KAA242" s="1"/>
      <c r="KAB242" s="1"/>
      <c r="KAC242" s="1"/>
      <c r="KAD242" s="1"/>
      <c r="KAE242" s="1"/>
      <c r="KAF242" s="1"/>
      <c r="KAG242" s="1"/>
      <c r="KAH242" s="1"/>
      <c r="KAI242" s="1"/>
      <c r="KAJ242" s="1"/>
      <c r="KAK242" s="1"/>
      <c r="KAL242" s="1"/>
      <c r="KAM242" s="1"/>
      <c r="KAN242" s="1"/>
      <c r="KAO242" s="1"/>
      <c r="KAP242" s="1"/>
      <c r="KAQ242" s="1"/>
      <c r="KAR242" s="1"/>
      <c r="KAS242" s="1"/>
      <c r="KAT242" s="1"/>
      <c r="KAU242" s="1"/>
      <c r="KAV242" s="1"/>
      <c r="KAW242" s="1"/>
      <c r="KAX242" s="1"/>
      <c r="KAY242" s="1"/>
      <c r="KAZ242" s="1"/>
      <c r="KBA242" s="1"/>
      <c r="KBB242" s="1"/>
      <c r="KBC242" s="1"/>
      <c r="KBD242" s="1"/>
      <c r="KBE242" s="1"/>
      <c r="KBF242" s="1"/>
      <c r="KBG242" s="1"/>
      <c r="KBH242" s="1"/>
      <c r="KBI242" s="1"/>
      <c r="KBJ242" s="1"/>
      <c r="KBK242" s="1"/>
      <c r="KBL242" s="1"/>
      <c r="KBM242" s="1"/>
      <c r="KBN242" s="1"/>
      <c r="KBO242" s="1"/>
      <c r="KBP242" s="1"/>
      <c r="KBQ242" s="1"/>
      <c r="KBR242" s="1"/>
      <c r="KBS242" s="1"/>
      <c r="KBT242" s="1"/>
      <c r="KBU242" s="1"/>
      <c r="KBV242" s="1"/>
      <c r="KBW242" s="1"/>
      <c r="KBX242" s="1"/>
      <c r="KBY242" s="1"/>
      <c r="KBZ242" s="1"/>
      <c r="KCA242" s="1"/>
      <c r="KCB242" s="1"/>
      <c r="KCC242" s="1"/>
      <c r="KCD242" s="1"/>
      <c r="KCE242" s="1"/>
      <c r="KCF242" s="1"/>
      <c r="KCG242" s="1"/>
      <c r="KCH242" s="1"/>
      <c r="KCI242" s="1"/>
      <c r="KCJ242" s="1"/>
      <c r="KCK242" s="1"/>
      <c r="KCL242" s="1"/>
      <c r="KCM242" s="1"/>
      <c r="KCN242" s="1"/>
      <c r="KCO242" s="1"/>
      <c r="KCP242" s="1"/>
      <c r="KCQ242" s="1"/>
      <c r="KCR242" s="1"/>
      <c r="KCS242" s="1"/>
      <c r="KCT242" s="1"/>
      <c r="KCU242" s="1"/>
      <c r="KCV242" s="1"/>
      <c r="KCW242" s="1"/>
      <c r="KCX242" s="1"/>
      <c r="KCY242" s="1"/>
      <c r="KCZ242" s="1"/>
      <c r="KDA242" s="1"/>
      <c r="KDB242" s="1"/>
      <c r="KDC242" s="1"/>
      <c r="KDD242" s="1"/>
      <c r="KDE242" s="1"/>
      <c r="KDF242" s="1"/>
      <c r="KDG242" s="1"/>
      <c r="KDH242" s="1"/>
      <c r="KDI242" s="1"/>
      <c r="KDJ242" s="1"/>
      <c r="KDK242" s="1"/>
      <c r="KDL242" s="1"/>
      <c r="KDM242" s="1"/>
      <c r="KDN242" s="1"/>
      <c r="KDO242" s="1"/>
      <c r="KDP242" s="1"/>
      <c r="KDQ242" s="1"/>
      <c r="KDR242" s="1"/>
      <c r="KDS242" s="1"/>
      <c r="KDT242" s="1"/>
      <c r="KDU242" s="1"/>
      <c r="KDV242" s="1"/>
      <c r="KDW242" s="1"/>
      <c r="KDX242" s="1"/>
      <c r="KDY242" s="1"/>
      <c r="KDZ242" s="1"/>
      <c r="KEA242" s="1"/>
      <c r="KEB242" s="1"/>
      <c r="KEC242" s="1"/>
      <c r="KED242" s="1"/>
      <c r="KEE242" s="1"/>
      <c r="KEF242" s="1"/>
      <c r="KEG242" s="1"/>
      <c r="KEH242" s="1"/>
      <c r="KEI242" s="1"/>
      <c r="KEJ242" s="1"/>
      <c r="KEK242" s="1"/>
      <c r="KEL242" s="1"/>
      <c r="KEM242" s="1"/>
      <c r="KEN242" s="1"/>
      <c r="KEO242" s="1"/>
      <c r="KEP242" s="1"/>
      <c r="KEQ242" s="1"/>
      <c r="KER242" s="1"/>
      <c r="KES242" s="1"/>
      <c r="KET242" s="1"/>
      <c r="KEU242" s="1"/>
      <c r="KEV242" s="1"/>
      <c r="KEW242" s="1"/>
      <c r="KEX242" s="1"/>
      <c r="KEY242" s="1"/>
      <c r="KEZ242" s="1"/>
      <c r="KFA242" s="1"/>
      <c r="KFB242" s="1"/>
      <c r="KFC242" s="1"/>
      <c r="KFD242" s="1"/>
      <c r="KFE242" s="1"/>
      <c r="KFF242" s="1"/>
      <c r="KFG242" s="1"/>
      <c r="KFH242" s="1"/>
      <c r="KFI242" s="1"/>
      <c r="KFJ242" s="1"/>
      <c r="KFK242" s="1"/>
      <c r="KFL242" s="1"/>
      <c r="KFM242" s="1"/>
      <c r="KFN242" s="1"/>
      <c r="KFO242" s="1"/>
      <c r="KFP242" s="1"/>
      <c r="KFQ242" s="1"/>
      <c r="KFR242" s="1"/>
      <c r="KFS242" s="1"/>
      <c r="KFT242" s="1"/>
      <c r="KFU242" s="1"/>
      <c r="KFV242" s="1"/>
      <c r="KFW242" s="1"/>
      <c r="KFX242" s="1"/>
      <c r="KFY242" s="1"/>
      <c r="KFZ242" s="1"/>
      <c r="KGA242" s="1"/>
      <c r="KGB242" s="1"/>
      <c r="KGC242" s="1"/>
      <c r="KGD242" s="1"/>
      <c r="KGE242" s="1"/>
      <c r="KGF242" s="1"/>
      <c r="KGG242" s="1"/>
      <c r="KGH242" s="1"/>
      <c r="KGI242" s="1"/>
      <c r="KGJ242" s="1"/>
      <c r="KGK242" s="1"/>
      <c r="KGL242" s="1"/>
      <c r="KGM242" s="1"/>
      <c r="KGN242" s="1"/>
      <c r="KGO242" s="1"/>
      <c r="KGP242" s="1"/>
      <c r="KGQ242" s="1"/>
      <c r="KGR242" s="1"/>
      <c r="KGS242" s="1"/>
      <c r="KGT242" s="1"/>
      <c r="KGU242" s="1"/>
      <c r="KGV242" s="1"/>
      <c r="KGW242" s="1"/>
      <c r="KGX242" s="1"/>
      <c r="KGY242" s="1"/>
      <c r="KGZ242" s="1"/>
      <c r="KHA242" s="1"/>
      <c r="KHB242" s="1"/>
      <c r="KHC242" s="1"/>
      <c r="KHD242" s="1"/>
      <c r="KHE242" s="1"/>
      <c r="KHF242" s="1"/>
      <c r="KHG242" s="1"/>
      <c r="KHH242" s="1"/>
      <c r="KHI242" s="1"/>
      <c r="KHJ242" s="1"/>
      <c r="KHK242" s="1"/>
      <c r="KHL242" s="1"/>
      <c r="KHM242" s="1"/>
      <c r="KHN242" s="1"/>
      <c r="KHO242" s="1"/>
      <c r="KHP242" s="1"/>
      <c r="KHQ242" s="1"/>
      <c r="KHR242" s="1"/>
      <c r="KHS242" s="1"/>
      <c r="KHT242" s="1"/>
      <c r="KHU242" s="1"/>
      <c r="KHV242" s="1"/>
      <c r="KHW242" s="1"/>
      <c r="KHX242" s="1"/>
      <c r="KHY242" s="1"/>
      <c r="KHZ242" s="1"/>
      <c r="KIA242" s="1"/>
      <c r="KIB242" s="1"/>
      <c r="KIC242" s="1"/>
      <c r="KID242" s="1"/>
      <c r="KIE242" s="1"/>
      <c r="KIF242" s="1"/>
      <c r="KIG242" s="1"/>
      <c r="KIH242" s="1"/>
      <c r="KII242" s="1"/>
      <c r="KIJ242" s="1"/>
      <c r="KIK242" s="1"/>
      <c r="KIL242" s="1"/>
      <c r="KIM242" s="1"/>
      <c r="KIN242" s="1"/>
      <c r="KIO242" s="1"/>
      <c r="KIP242" s="1"/>
      <c r="KIQ242" s="1"/>
      <c r="KIR242" s="1"/>
      <c r="KIS242" s="1"/>
      <c r="KIT242" s="1"/>
      <c r="KIU242" s="1"/>
      <c r="KIV242" s="1"/>
      <c r="KIW242" s="1"/>
      <c r="KIX242" s="1"/>
      <c r="KIY242" s="1"/>
      <c r="KIZ242" s="1"/>
      <c r="KJA242" s="1"/>
      <c r="KJB242" s="1"/>
      <c r="KJC242" s="1"/>
      <c r="KJD242" s="1"/>
      <c r="KJE242" s="1"/>
      <c r="KJF242" s="1"/>
      <c r="KJG242" s="1"/>
      <c r="KJH242" s="1"/>
      <c r="KJI242" s="1"/>
      <c r="KJJ242" s="1"/>
      <c r="KJK242" s="1"/>
      <c r="KJL242" s="1"/>
      <c r="KJM242" s="1"/>
      <c r="KJN242" s="1"/>
      <c r="KJO242" s="1"/>
      <c r="KJP242" s="1"/>
      <c r="KJQ242" s="1"/>
      <c r="KJR242" s="1"/>
      <c r="KJS242" s="1"/>
      <c r="KJT242" s="1"/>
      <c r="KJU242" s="1"/>
      <c r="KJV242" s="1"/>
      <c r="KJW242" s="1"/>
      <c r="KJX242" s="1"/>
      <c r="KJY242" s="1"/>
      <c r="KJZ242" s="1"/>
      <c r="KKA242" s="1"/>
      <c r="KKB242" s="1"/>
      <c r="KKC242" s="1"/>
      <c r="KKD242" s="1"/>
      <c r="KKE242" s="1"/>
      <c r="KKF242" s="1"/>
      <c r="KKG242" s="1"/>
      <c r="KKH242" s="1"/>
      <c r="KKI242" s="1"/>
      <c r="KKJ242" s="1"/>
      <c r="KKK242" s="1"/>
      <c r="KKL242" s="1"/>
      <c r="KKM242" s="1"/>
      <c r="KKN242" s="1"/>
      <c r="KKO242" s="1"/>
      <c r="KKP242" s="1"/>
      <c r="KKQ242" s="1"/>
      <c r="KKR242" s="1"/>
      <c r="KKS242" s="1"/>
      <c r="KKT242" s="1"/>
      <c r="KKU242" s="1"/>
      <c r="KKV242" s="1"/>
      <c r="KKW242" s="1"/>
      <c r="KKX242" s="1"/>
      <c r="KKY242" s="1"/>
      <c r="KKZ242" s="1"/>
      <c r="KLA242" s="1"/>
      <c r="KLB242" s="1"/>
      <c r="KLC242" s="1"/>
      <c r="KLD242" s="1"/>
      <c r="KLE242" s="1"/>
      <c r="KLF242" s="1"/>
      <c r="KLG242" s="1"/>
      <c r="KLH242" s="1"/>
      <c r="KLI242" s="1"/>
      <c r="KLJ242" s="1"/>
      <c r="KLK242" s="1"/>
      <c r="KLL242" s="1"/>
      <c r="KLM242" s="1"/>
      <c r="KLN242" s="1"/>
      <c r="KLO242" s="1"/>
      <c r="KLP242" s="1"/>
      <c r="KLQ242" s="1"/>
      <c r="KLR242" s="1"/>
      <c r="KLS242" s="1"/>
      <c r="KLT242" s="1"/>
      <c r="KLU242" s="1"/>
      <c r="KLV242" s="1"/>
      <c r="KLW242" s="1"/>
      <c r="KLX242" s="1"/>
      <c r="KLY242" s="1"/>
      <c r="KLZ242" s="1"/>
      <c r="KMA242" s="1"/>
      <c r="KMB242" s="1"/>
      <c r="KMC242" s="1"/>
      <c r="KMD242" s="1"/>
      <c r="KME242" s="1"/>
      <c r="KMF242" s="1"/>
      <c r="KMG242" s="1"/>
      <c r="KMH242" s="1"/>
      <c r="KMI242" s="1"/>
      <c r="KMJ242" s="1"/>
      <c r="KMK242" s="1"/>
      <c r="KML242" s="1"/>
      <c r="KMM242" s="1"/>
      <c r="KMN242" s="1"/>
      <c r="KMO242" s="1"/>
      <c r="KMP242" s="1"/>
      <c r="KMQ242" s="1"/>
      <c r="KMR242" s="1"/>
      <c r="KMS242" s="1"/>
      <c r="KMT242" s="1"/>
      <c r="KMU242" s="1"/>
      <c r="KMV242" s="1"/>
      <c r="KMW242" s="1"/>
      <c r="KMX242" s="1"/>
      <c r="KMY242" s="1"/>
      <c r="KMZ242" s="1"/>
      <c r="KNA242" s="1"/>
      <c r="KNB242" s="1"/>
      <c r="KNC242" s="1"/>
      <c r="KND242" s="1"/>
      <c r="KNE242" s="1"/>
      <c r="KNF242" s="1"/>
      <c r="KNG242" s="1"/>
      <c r="KNH242" s="1"/>
      <c r="KNI242" s="1"/>
      <c r="KNJ242" s="1"/>
      <c r="KNK242" s="1"/>
      <c r="KNL242" s="1"/>
      <c r="KNM242" s="1"/>
      <c r="KNN242" s="1"/>
      <c r="KNO242" s="1"/>
      <c r="KNP242" s="1"/>
      <c r="KNQ242" s="1"/>
      <c r="KNR242" s="1"/>
      <c r="KNS242" s="1"/>
      <c r="KNT242" s="1"/>
      <c r="KNU242" s="1"/>
      <c r="KNV242" s="1"/>
      <c r="KNW242" s="1"/>
      <c r="KNX242" s="1"/>
      <c r="KNY242" s="1"/>
      <c r="KNZ242" s="1"/>
      <c r="KOA242" s="1"/>
      <c r="KOB242" s="1"/>
      <c r="KOC242" s="1"/>
      <c r="KOD242" s="1"/>
      <c r="KOE242" s="1"/>
      <c r="KOF242" s="1"/>
      <c r="KOG242" s="1"/>
      <c r="KOH242" s="1"/>
      <c r="KOI242" s="1"/>
      <c r="KOJ242" s="1"/>
      <c r="KOK242" s="1"/>
      <c r="KOL242" s="1"/>
      <c r="KOM242" s="1"/>
      <c r="KON242" s="1"/>
      <c r="KOO242" s="1"/>
      <c r="KOP242" s="1"/>
      <c r="KOQ242" s="1"/>
      <c r="KOR242" s="1"/>
      <c r="KOS242" s="1"/>
      <c r="KOT242" s="1"/>
      <c r="KOU242" s="1"/>
      <c r="KOV242" s="1"/>
      <c r="KOW242" s="1"/>
      <c r="KOX242" s="1"/>
      <c r="KOY242" s="1"/>
      <c r="KOZ242" s="1"/>
      <c r="KPA242" s="1"/>
      <c r="KPB242" s="1"/>
      <c r="KPC242" s="1"/>
      <c r="KPD242" s="1"/>
      <c r="KPE242" s="1"/>
      <c r="KPF242" s="1"/>
      <c r="KPG242" s="1"/>
      <c r="KPH242" s="1"/>
      <c r="KPI242" s="1"/>
      <c r="KPJ242" s="1"/>
      <c r="KPK242" s="1"/>
      <c r="KPL242" s="1"/>
      <c r="KPM242" s="1"/>
      <c r="KPN242" s="1"/>
      <c r="KPO242" s="1"/>
      <c r="KPP242" s="1"/>
      <c r="KPQ242" s="1"/>
      <c r="KPR242" s="1"/>
      <c r="KPS242" s="1"/>
      <c r="KPT242" s="1"/>
      <c r="KPU242" s="1"/>
      <c r="KPV242" s="1"/>
      <c r="KPW242" s="1"/>
      <c r="KPX242" s="1"/>
      <c r="KPY242" s="1"/>
      <c r="KPZ242" s="1"/>
      <c r="KQA242" s="1"/>
      <c r="KQB242" s="1"/>
      <c r="KQC242" s="1"/>
      <c r="KQD242" s="1"/>
      <c r="KQE242" s="1"/>
      <c r="KQF242" s="1"/>
      <c r="KQG242" s="1"/>
      <c r="KQH242" s="1"/>
      <c r="KQI242" s="1"/>
      <c r="KQJ242" s="1"/>
      <c r="KQK242" s="1"/>
      <c r="KQL242" s="1"/>
      <c r="KQM242" s="1"/>
      <c r="KQN242" s="1"/>
      <c r="KQO242" s="1"/>
      <c r="KQP242" s="1"/>
      <c r="KQQ242" s="1"/>
      <c r="KQR242" s="1"/>
      <c r="KQS242" s="1"/>
      <c r="KQT242" s="1"/>
      <c r="KQU242" s="1"/>
      <c r="KQV242" s="1"/>
      <c r="KQW242" s="1"/>
      <c r="KQX242" s="1"/>
      <c r="KQY242" s="1"/>
      <c r="KQZ242" s="1"/>
      <c r="KRA242" s="1"/>
      <c r="KRB242" s="1"/>
      <c r="KRC242" s="1"/>
      <c r="KRD242" s="1"/>
      <c r="KRE242" s="1"/>
      <c r="KRF242" s="1"/>
      <c r="KRG242" s="1"/>
      <c r="KRH242" s="1"/>
      <c r="KRI242" s="1"/>
      <c r="KRJ242" s="1"/>
      <c r="KRK242" s="1"/>
      <c r="KRL242" s="1"/>
      <c r="KRM242" s="1"/>
      <c r="KRN242" s="1"/>
      <c r="KRO242" s="1"/>
      <c r="KRP242" s="1"/>
      <c r="KRQ242" s="1"/>
      <c r="KRR242" s="1"/>
      <c r="KRS242" s="1"/>
      <c r="KRT242" s="1"/>
      <c r="KRU242" s="1"/>
      <c r="KRV242" s="1"/>
      <c r="KRW242" s="1"/>
      <c r="KRX242" s="1"/>
      <c r="KRY242" s="1"/>
      <c r="KRZ242" s="1"/>
      <c r="KSA242" s="1"/>
      <c r="KSB242" s="1"/>
      <c r="KSC242" s="1"/>
      <c r="KSD242" s="1"/>
      <c r="KSE242" s="1"/>
      <c r="KSF242" s="1"/>
      <c r="KSG242" s="1"/>
      <c r="KSH242" s="1"/>
      <c r="KSI242" s="1"/>
      <c r="KSJ242" s="1"/>
      <c r="KSK242" s="1"/>
      <c r="KSL242" s="1"/>
      <c r="KSM242" s="1"/>
      <c r="KSN242" s="1"/>
      <c r="KSO242" s="1"/>
      <c r="KSP242" s="1"/>
      <c r="KSQ242" s="1"/>
      <c r="KSR242" s="1"/>
      <c r="KSS242" s="1"/>
      <c r="KST242" s="1"/>
      <c r="KSU242" s="1"/>
      <c r="KSV242" s="1"/>
      <c r="KSW242" s="1"/>
      <c r="KSX242" s="1"/>
      <c r="KSY242" s="1"/>
      <c r="KSZ242" s="1"/>
      <c r="KTA242" s="1"/>
      <c r="KTB242" s="1"/>
      <c r="KTC242" s="1"/>
      <c r="KTD242" s="1"/>
      <c r="KTE242" s="1"/>
      <c r="KTF242" s="1"/>
      <c r="KTG242" s="1"/>
      <c r="KTH242" s="1"/>
      <c r="KTI242" s="1"/>
      <c r="KTJ242" s="1"/>
      <c r="KTK242" s="1"/>
      <c r="KTL242" s="1"/>
      <c r="KTM242" s="1"/>
      <c r="KTN242" s="1"/>
      <c r="KTO242" s="1"/>
      <c r="KTP242" s="1"/>
      <c r="KTQ242" s="1"/>
      <c r="KTR242" s="1"/>
      <c r="KTS242" s="1"/>
      <c r="KTT242" s="1"/>
      <c r="KTU242" s="1"/>
      <c r="KTV242" s="1"/>
      <c r="KTW242" s="1"/>
      <c r="KTX242" s="1"/>
      <c r="KTY242" s="1"/>
      <c r="KTZ242" s="1"/>
      <c r="KUA242" s="1"/>
      <c r="KUB242" s="1"/>
      <c r="KUC242" s="1"/>
      <c r="KUD242" s="1"/>
      <c r="KUE242" s="1"/>
      <c r="KUF242" s="1"/>
      <c r="KUG242" s="1"/>
      <c r="KUH242" s="1"/>
      <c r="KUI242" s="1"/>
      <c r="KUJ242" s="1"/>
      <c r="KUK242" s="1"/>
      <c r="KUL242" s="1"/>
      <c r="KUM242" s="1"/>
      <c r="KUN242" s="1"/>
      <c r="KUO242" s="1"/>
      <c r="KUP242" s="1"/>
      <c r="KUQ242" s="1"/>
      <c r="KUR242" s="1"/>
      <c r="KUS242" s="1"/>
      <c r="KUT242" s="1"/>
      <c r="KUU242" s="1"/>
      <c r="KUV242" s="1"/>
      <c r="KUW242" s="1"/>
      <c r="KUX242" s="1"/>
      <c r="KUY242" s="1"/>
      <c r="KUZ242" s="1"/>
      <c r="KVA242" s="1"/>
      <c r="KVB242" s="1"/>
      <c r="KVC242" s="1"/>
      <c r="KVD242" s="1"/>
      <c r="KVE242" s="1"/>
      <c r="KVF242" s="1"/>
      <c r="KVG242" s="1"/>
      <c r="KVH242" s="1"/>
      <c r="KVI242" s="1"/>
      <c r="KVJ242" s="1"/>
      <c r="KVK242" s="1"/>
      <c r="KVL242" s="1"/>
      <c r="KVM242" s="1"/>
      <c r="KVN242" s="1"/>
      <c r="KVO242" s="1"/>
      <c r="KVP242" s="1"/>
      <c r="KVQ242" s="1"/>
      <c r="KVR242" s="1"/>
      <c r="KVS242" s="1"/>
      <c r="KVT242" s="1"/>
      <c r="KVU242" s="1"/>
      <c r="KVV242" s="1"/>
      <c r="KVW242" s="1"/>
      <c r="KVX242" s="1"/>
      <c r="KVY242" s="1"/>
      <c r="KVZ242" s="1"/>
      <c r="KWA242" s="1"/>
      <c r="KWB242" s="1"/>
      <c r="KWC242" s="1"/>
      <c r="KWD242" s="1"/>
      <c r="KWE242" s="1"/>
      <c r="KWF242" s="1"/>
      <c r="KWG242" s="1"/>
      <c r="KWH242" s="1"/>
      <c r="KWI242" s="1"/>
      <c r="KWJ242" s="1"/>
      <c r="KWK242" s="1"/>
      <c r="KWL242" s="1"/>
      <c r="KWM242" s="1"/>
      <c r="KWN242" s="1"/>
      <c r="KWO242" s="1"/>
      <c r="KWP242" s="1"/>
      <c r="KWQ242" s="1"/>
      <c r="KWR242" s="1"/>
      <c r="KWS242" s="1"/>
      <c r="KWT242" s="1"/>
      <c r="KWU242" s="1"/>
      <c r="KWV242" s="1"/>
      <c r="KWW242" s="1"/>
      <c r="KWX242" s="1"/>
      <c r="KWY242" s="1"/>
      <c r="KWZ242" s="1"/>
      <c r="KXA242" s="1"/>
      <c r="KXB242" s="1"/>
      <c r="KXC242" s="1"/>
      <c r="KXD242" s="1"/>
      <c r="KXE242" s="1"/>
      <c r="KXF242" s="1"/>
      <c r="KXG242" s="1"/>
      <c r="KXH242" s="1"/>
      <c r="KXI242" s="1"/>
      <c r="KXJ242" s="1"/>
      <c r="KXK242" s="1"/>
      <c r="KXL242" s="1"/>
      <c r="KXM242" s="1"/>
      <c r="KXN242" s="1"/>
      <c r="KXO242" s="1"/>
      <c r="KXP242" s="1"/>
      <c r="KXQ242" s="1"/>
      <c r="KXR242" s="1"/>
      <c r="KXS242" s="1"/>
      <c r="KXT242" s="1"/>
      <c r="KXU242" s="1"/>
      <c r="KXV242" s="1"/>
      <c r="KXW242" s="1"/>
      <c r="KXX242" s="1"/>
      <c r="KXY242" s="1"/>
      <c r="KXZ242" s="1"/>
      <c r="KYA242" s="1"/>
      <c r="KYB242" s="1"/>
      <c r="KYC242" s="1"/>
      <c r="KYD242" s="1"/>
      <c r="KYE242" s="1"/>
      <c r="KYF242" s="1"/>
      <c r="KYG242" s="1"/>
      <c r="KYH242" s="1"/>
      <c r="KYI242" s="1"/>
      <c r="KYJ242" s="1"/>
      <c r="KYK242" s="1"/>
      <c r="KYL242" s="1"/>
      <c r="KYM242" s="1"/>
      <c r="KYN242" s="1"/>
      <c r="KYO242" s="1"/>
      <c r="KYP242" s="1"/>
      <c r="KYQ242" s="1"/>
      <c r="KYR242" s="1"/>
      <c r="KYS242" s="1"/>
      <c r="KYT242" s="1"/>
      <c r="KYU242" s="1"/>
      <c r="KYV242" s="1"/>
      <c r="KYW242" s="1"/>
      <c r="KYX242" s="1"/>
      <c r="KYY242" s="1"/>
      <c r="KYZ242" s="1"/>
      <c r="KZA242" s="1"/>
      <c r="KZB242" s="1"/>
      <c r="KZC242" s="1"/>
      <c r="KZD242" s="1"/>
      <c r="KZE242" s="1"/>
      <c r="KZF242" s="1"/>
      <c r="KZG242" s="1"/>
      <c r="KZH242" s="1"/>
      <c r="KZI242" s="1"/>
      <c r="KZJ242" s="1"/>
      <c r="KZK242" s="1"/>
      <c r="KZL242" s="1"/>
      <c r="KZM242" s="1"/>
      <c r="KZN242" s="1"/>
      <c r="KZO242" s="1"/>
      <c r="KZP242" s="1"/>
      <c r="KZQ242" s="1"/>
      <c r="KZR242" s="1"/>
      <c r="KZS242" s="1"/>
      <c r="KZT242" s="1"/>
      <c r="KZU242" s="1"/>
      <c r="KZV242" s="1"/>
      <c r="KZW242" s="1"/>
      <c r="KZX242" s="1"/>
      <c r="KZY242" s="1"/>
      <c r="KZZ242" s="1"/>
      <c r="LAA242" s="1"/>
      <c r="LAB242" s="1"/>
      <c r="LAC242" s="1"/>
      <c r="LAD242" s="1"/>
      <c r="LAE242" s="1"/>
      <c r="LAF242" s="1"/>
      <c r="LAG242" s="1"/>
      <c r="LAH242" s="1"/>
      <c r="LAI242" s="1"/>
      <c r="LAJ242" s="1"/>
      <c r="LAK242" s="1"/>
      <c r="LAL242" s="1"/>
      <c r="LAM242" s="1"/>
      <c r="LAN242" s="1"/>
      <c r="LAO242" s="1"/>
      <c r="LAP242" s="1"/>
      <c r="LAQ242" s="1"/>
      <c r="LAR242" s="1"/>
      <c r="LAS242" s="1"/>
      <c r="LAT242" s="1"/>
      <c r="LAU242" s="1"/>
      <c r="LAV242" s="1"/>
      <c r="LAW242" s="1"/>
      <c r="LAX242" s="1"/>
      <c r="LAY242" s="1"/>
      <c r="LAZ242" s="1"/>
      <c r="LBA242" s="1"/>
      <c r="LBB242" s="1"/>
      <c r="LBC242" s="1"/>
      <c r="LBD242" s="1"/>
      <c r="LBE242" s="1"/>
      <c r="LBF242" s="1"/>
      <c r="LBG242" s="1"/>
      <c r="LBH242" s="1"/>
      <c r="LBI242" s="1"/>
      <c r="LBJ242" s="1"/>
      <c r="LBK242" s="1"/>
      <c r="LBL242" s="1"/>
      <c r="LBM242" s="1"/>
      <c r="LBN242" s="1"/>
      <c r="LBO242" s="1"/>
      <c r="LBP242" s="1"/>
      <c r="LBQ242" s="1"/>
      <c r="LBR242" s="1"/>
      <c r="LBS242" s="1"/>
      <c r="LBT242" s="1"/>
      <c r="LBU242" s="1"/>
      <c r="LBV242" s="1"/>
      <c r="LBW242" s="1"/>
      <c r="LBX242" s="1"/>
      <c r="LBY242" s="1"/>
      <c r="LBZ242" s="1"/>
      <c r="LCA242" s="1"/>
      <c r="LCB242" s="1"/>
      <c r="LCC242" s="1"/>
      <c r="LCD242" s="1"/>
      <c r="LCE242" s="1"/>
      <c r="LCF242" s="1"/>
      <c r="LCG242" s="1"/>
      <c r="LCH242" s="1"/>
      <c r="LCI242" s="1"/>
      <c r="LCJ242" s="1"/>
      <c r="LCK242" s="1"/>
      <c r="LCL242" s="1"/>
      <c r="LCM242" s="1"/>
      <c r="LCN242" s="1"/>
      <c r="LCO242" s="1"/>
      <c r="LCP242" s="1"/>
      <c r="LCQ242" s="1"/>
      <c r="LCR242" s="1"/>
      <c r="LCS242" s="1"/>
      <c r="LCT242" s="1"/>
      <c r="LCU242" s="1"/>
      <c r="LCV242" s="1"/>
      <c r="LCW242" s="1"/>
      <c r="LCX242" s="1"/>
      <c r="LCY242" s="1"/>
      <c r="LCZ242" s="1"/>
      <c r="LDA242" s="1"/>
      <c r="LDB242" s="1"/>
      <c r="LDC242" s="1"/>
      <c r="LDD242" s="1"/>
      <c r="LDE242" s="1"/>
      <c r="LDF242" s="1"/>
      <c r="LDG242" s="1"/>
      <c r="LDH242" s="1"/>
      <c r="LDI242" s="1"/>
      <c r="LDJ242" s="1"/>
      <c r="LDK242" s="1"/>
      <c r="LDL242" s="1"/>
      <c r="LDM242" s="1"/>
      <c r="LDN242" s="1"/>
      <c r="LDO242" s="1"/>
      <c r="LDP242" s="1"/>
      <c r="LDQ242" s="1"/>
      <c r="LDR242" s="1"/>
      <c r="LDS242" s="1"/>
      <c r="LDT242" s="1"/>
      <c r="LDU242" s="1"/>
      <c r="LDV242" s="1"/>
      <c r="LDW242" s="1"/>
      <c r="LDX242" s="1"/>
      <c r="LDY242" s="1"/>
      <c r="LDZ242" s="1"/>
      <c r="LEA242" s="1"/>
      <c r="LEB242" s="1"/>
      <c r="LEC242" s="1"/>
      <c r="LED242" s="1"/>
      <c r="LEE242" s="1"/>
      <c r="LEF242" s="1"/>
      <c r="LEG242" s="1"/>
      <c r="LEH242" s="1"/>
      <c r="LEI242" s="1"/>
      <c r="LEJ242" s="1"/>
      <c r="LEK242" s="1"/>
      <c r="LEL242" s="1"/>
      <c r="LEM242" s="1"/>
      <c r="LEN242" s="1"/>
      <c r="LEO242" s="1"/>
      <c r="LEP242" s="1"/>
      <c r="LEQ242" s="1"/>
      <c r="LER242" s="1"/>
      <c r="LES242" s="1"/>
      <c r="LET242" s="1"/>
      <c r="LEU242" s="1"/>
      <c r="LEV242" s="1"/>
      <c r="LEW242" s="1"/>
      <c r="LEX242" s="1"/>
      <c r="LEY242" s="1"/>
      <c r="LEZ242" s="1"/>
      <c r="LFA242" s="1"/>
      <c r="LFB242" s="1"/>
      <c r="LFC242" s="1"/>
      <c r="LFD242" s="1"/>
      <c r="LFE242" s="1"/>
      <c r="LFF242" s="1"/>
      <c r="LFG242" s="1"/>
      <c r="LFH242" s="1"/>
      <c r="LFI242" s="1"/>
      <c r="LFJ242" s="1"/>
      <c r="LFK242" s="1"/>
      <c r="LFL242" s="1"/>
      <c r="LFM242" s="1"/>
      <c r="LFN242" s="1"/>
      <c r="LFO242" s="1"/>
      <c r="LFP242" s="1"/>
      <c r="LFQ242" s="1"/>
      <c r="LFR242" s="1"/>
      <c r="LFS242" s="1"/>
      <c r="LFT242" s="1"/>
      <c r="LFU242" s="1"/>
      <c r="LFV242" s="1"/>
      <c r="LFW242" s="1"/>
      <c r="LFX242" s="1"/>
      <c r="LFY242" s="1"/>
      <c r="LFZ242" s="1"/>
      <c r="LGA242" s="1"/>
      <c r="LGB242" s="1"/>
      <c r="LGC242" s="1"/>
      <c r="LGD242" s="1"/>
      <c r="LGE242" s="1"/>
      <c r="LGF242" s="1"/>
      <c r="LGG242" s="1"/>
      <c r="LGH242" s="1"/>
      <c r="LGI242" s="1"/>
      <c r="LGJ242" s="1"/>
      <c r="LGK242" s="1"/>
      <c r="LGL242" s="1"/>
      <c r="LGM242" s="1"/>
      <c r="LGN242" s="1"/>
      <c r="LGO242" s="1"/>
      <c r="LGP242" s="1"/>
      <c r="LGQ242" s="1"/>
      <c r="LGR242" s="1"/>
      <c r="LGS242" s="1"/>
      <c r="LGT242" s="1"/>
      <c r="LGU242" s="1"/>
      <c r="LGV242" s="1"/>
      <c r="LGW242" s="1"/>
      <c r="LGX242" s="1"/>
      <c r="LGY242" s="1"/>
      <c r="LGZ242" s="1"/>
      <c r="LHA242" s="1"/>
      <c r="LHB242" s="1"/>
      <c r="LHC242" s="1"/>
      <c r="LHD242" s="1"/>
      <c r="LHE242" s="1"/>
      <c r="LHF242" s="1"/>
      <c r="LHG242" s="1"/>
      <c r="LHH242" s="1"/>
      <c r="LHI242" s="1"/>
      <c r="LHJ242" s="1"/>
      <c r="LHK242" s="1"/>
      <c r="LHL242" s="1"/>
      <c r="LHM242" s="1"/>
      <c r="LHN242" s="1"/>
      <c r="LHO242" s="1"/>
      <c r="LHP242" s="1"/>
      <c r="LHQ242" s="1"/>
      <c r="LHR242" s="1"/>
      <c r="LHS242" s="1"/>
      <c r="LHT242" s="1"/>
      <c r="LHU242" s="1"/>
      <c r="LHV242" s="1"/>
      <c r="LHW242" s="1"/>
      <c r="LHX242" s="1"/>
      <c r="LHY242" s="1"/>
      <c r="LHZ242" s="1"/>
      <c r="LIA242" s="1"/>
      <c r="LIB242" s="1"/>
      <c r="LIC242" s="1"/>
      <c r="LID242" s="1"/>
      <c r="LIE242" s="1"/>
      <c r="LIF242" s="1"/>
      <c r="LIG242" s="1"/>
      <c r="LIH242" s="1"/>
      <c r="LII242" s="1"/>
      <c r="LIJ242" s="1"/>
      <c r="LIK242" s="1"/>
      <c r="LIL242" s="1"/>
      <c r="LIM242" s="1"/>
      <c r="LIN242" s="1"/>
      <c r="LIO242" s="1"/>
      <c r="LIP242" s="1"/>
      <c r="LIQ242" s="1"/>
      <c r="LIR242" s="1"/>
      <c r="LIS242" s="1"/>
      <c r="LIT242" s="1"/>
      <c r="LIU242" s="1"/>
      <c r="LIV242" s="1"/>
      <c r="LIW242" s="1"/>
      <c r="LIX242" s="1"/>
      <c r="LIY242" s="1"/>
      <c r="LIZ242" s="1"/>
      <c r="LJA242" s="1"/>
      <c r="LJB242" s="1"/>
      <c r="LJC242" s="1"/>
      <c r="LJD242" s="1"/>
      <c r="LJE242" s="1"/>
      <c r="LJF242" s="1"/>
      <c r="LJG242" s="1"/>
      <c r="LJH242" s="1"/>
      <c r="LJI242" s="1"/>
      <c r="LJJ242" s="1"/>
      <c r="LJK242" s="1"/>
      <c r="LJL242" s="1"/>
      <c r="LJM242" s="1"/>
      <c r="LJN242" s="1"/>
      <c r="LJO242" s="1"/>
      <c r="LJP242" s="1"/>
      <c r="LJQ242" s="1"/>
      <c r="LJR242" s="1"/>
      <c r="LJS242" s="1"/>
      <c r="LJT242" s="1"/>
      <c r="LJU242" s="1"/>
      <c r="LJV242" s="1"/>
      <c r="LJW242" s="1"/>
      <c r="LJX242" s="1"/>
      <c r="LJY242" s="1"/>
      <c r="LJZ242" s="1"/>
      <c r="LKA242" s="1"/>
      <c r="LKB242" s="1"/>
      <c r="LKC242" s="1"/>
      <c r="LKD242" s="1"/>
      <c r="LKE242" s="1"/>
      <c r="LKF242" s="1"/>
      <c r="LKG242" s="1"/>
      <c r="LKH242" s="1"/>
      <c r="LKI242" s="1"/>
      <c r="LKJ242" s="1"/>
      <c r="LKK242" s="1"/>
      <c r="LKL242" s="1"/>
      <c r="LKM242" s="1"/>
      <c r="LKN242" s="1"/>
      <c r="LKO242" s="1"/>
      <c r="LKP242" s="1"/>
      <c r="LKQ242" s="1"/>
      <c r="LKR242" s="1"/>
      <c r="LKS242" s="1"/>
      <c r="LKT242" s="1"/>
      <c r="LKU242" s="1"/>
      <c r="LKV242" s="1"/>
      <c r="LKW242" s="1"/>
      <c r="LKX242" s="1"/>
      <c r="LKY242" s="1"/>
      <c r="LKZ242" s="1"/>
      <c r="LLA242" s="1"/>
      <c r="LLB242" s="1"/>
      <c r="LLC242" s="1"/>
      <c r="LLD242" s="1"/>
      <c r="LLE242" s="1"/>
      <c r="LLF242" s="1"/>
      <c r="LLG242" s="1"/>
      <c r="LLH242" s="1"/>
      <c r="LLI242" s="1"/>
      <c r="LLJ242" s="1"/>
      <c r="LLK242" s="1"/>
      <c r="LLL242" s="1"/>
      <c r="LLM242" s="1"/>
      <c r="LLN242" s="1"/>
      <c r="LLO242" s="1"/>
      <c r="LLP242" s="1"/>
      <c r="LLQ242" s="1"/>
      <c r="LLR242" s="1"/>
      <c r="LLS242" s="1"/>
      <c r="LLT242" s="1"/>
      <c r="LLU242" s="1"/>
      <c r="LLV242" s="1"/>
      <c r="LLW242" s="1"/>
      <c r="LLX242" s="1"/>
      <c r="LLY242" s="1"/>
      <c r="LLZ242" s="1"/>
      <c r="LMA242" s="1"/>
      <c r="LMB242" s="1"/>
      <c r="LMC242" s="1"/>
      <c r="LMD242" s="1"/>
      <c r="LME242" s="1"/>
      <c r="LMF242" s="1"/>
      <c r="LMG242" s="1"/>
      <c r="LMH242" s="1"/>
      <c r="LMI242" s="1"/>
      <c r="LMJ242" s="1"/>
      <c r="LMK242" s="1"/>
      <c r="LML242" s="1"/>
      <c r="LMM242" s="1"/>
      <c r="LMN242" s="1"/>
      <c r="LMO242" s="1"/>
      <c r="LMP242" s="1"/>
      <c r="LMQ242" s="1"/>
      <c r="LMR242" s="1"/>
      <c r="LMS242" s="1"/>
      <c r="LMT242" s="1"/>
      <c r="LMU242" s="1"/>
      <c r="LMV242" s="1"/>
      <c r="LMW242" s="1"/>
      <c r="LMX242" s="1"/>
      <c r="LMY242" s="1"/>
      <c r="LMZ242" s="1"/>
      <c r="LNA242" s="1"/>
      <c r="LNB242" s="1"/>
      <c r="LNC242" s="1"/>
      <c r="LND242" s="1"/>
      <c r="LNE242" s="1"/>
      <c r="LNF242" s="1"/>
      <c r="LNG242" s="1"/>
      <c r="LNH242" s="1"/>
      <c r="LNI242" s="1"/>
      <c r="LNJ242" s="1"/>
      <c r="LNK242" s="1"/>
      <c r="LNL242" s="1"/>
      <c r="LNM242" s="1"/>
      <c r="LNN242" s="1"/>
      <c r="LNO242" s="1"/>
      <c r="LNP242" s="1"/>
      <c r="LNQ242" s="1"/>
      <c r="LNR242" s="1"/>
      <c r="LNS242" s="1"/>
      <c r="LNT242" s="1"/>
      <c r="LNU242" s="1"/>
      <c r="LNV242" s="1"/>
      <c r="LNW242" s="1"/>
      <c r="LNX242" s="1"/>
      <c r="LNY242" s="1"/>
      <c r="LNZ242" s="1"/>
      <c r="LOA242" s="1"/>
      <c r="LOB242" s="1"/>
      <c r="LOC242" s="1"/>
      <c r="LOD242" s="1"/>
      <c r="LOE242" s="1"/>
      <c r="LOF242" s="1"/>
      <c r="LOG242" s="1"/>
      <c r="LOH242" s="1"/>
      <c r="LOI242" s="1"/>
      <c r="LOJ242" s="1"/>
      <c r="LOK242" s="1"/>
      <c r="LOL242" s="1"/>
      <c r="LOM242" s="1"/>
      <c r="LON242" s="1"/>
      <c r="LOO242" s="1"/>
      <c r="LOP242" s="1"/>
      <c r="LOQ242" s="1"/>
      <c r="LOR242" s="1"/>
      <c r="LOS242" s="1"/>
      <c r="LOT242" s="1"/>
      <c r="LOU242" s="1"/>
      <c r="LOV242" s="1"/>
      <c r="LOW242" s="1"/>
      <c r="LOX242" s="1"/>
      <c r="LOY242" s="1"/>
      <c r="LOZ242" s="1"/>
      <c r="LPA242" s="1"/>
      <c r="LPB242" s="1"/>
      <c r="LPC242" s="1"/>
      <c r="LPD242" s="1"/>
      <c r="LPE242" s="1"/>
      <c r="LPF242" s="1"/>
      <c r="LPG242" s="1"/>
      <c r="LPH242" s="1"/>
      <c r="LPI242" s="1"/>
      <c r="LPJ242" s="1"/>
      <c r="LPK242" s="1"/>
      <c r="LPL242" s="1"/>
      <c r="LPM242" s="1"/>
      <c r="LPN242" s="1"/>
      <c r="LPO242" s="1"/>
      <c r="LPP242" s="1"/>
      <c r="LPQ242" s="1"/>
      <c r="LPR242" s="1"/>
      <c r="LPS242" s="1"/>
      <c r="LPT242" s="1"/>
      <c r="LPU242" s="1"/>
      <c r="LPV242" s="1"/>
      <c r="LPW242" s="1"/>
      <c r="LPX242" s="1"/>
      <c r="LPY242" s="1"/>
      <c r="LPZ242" s="1"/>
      <c r="LQA242" s="1"/>
      <c r="LQB242" s="1"/>
      <c r="LQC242" s="1"/>
      <c r="LQD242" s="1"/>
      <c r="LQE242" s="1"/>
      <c r="LQF242" s="1"/>
      <c r="LQG242" s="1"/>
      <c r="LQH242" s="1"/>
      <c r="LQI242" s="1"/>
      <c r="LQJ242" s="1"/>
      <c r="LQK242" s="1"/>
      <c r="LQL242" s="1"/>
      <c r="LQM242" s="1"/>
      <c r="LQN242" s="1"/>
      <c r="LQO242" s="1"/>
      <c r="LQP242" s="1"/>
      <c r="LQQ242" s="1"/>
      <c r="LQR242" s="1"/>
      <c r="LQS242" s="1"/>
      <c r="LQT242" s="1"/>
      <c r="LQU242" s="1"/>
      <c r="LQV242" s="1"/>
      <c r="LQW242" s="1"/>
      <c r="LQX242" s="1"/>
      <c r="LQY242" s="1"/>
      <c r="LQZ242" s="1"/>
      <c r="LRA242" s="1"/>
      <c r="LRB242" s="1"/>
      <c r="LRC242" s="1"/>
      <c r="LRD242" s="1"/>
      <c r="LRE242" s="1"/>
      <c r="LRF242" s="1"/>
      <c r="LRG242" s="1"/>
      <c r="LRH242" s="1"/>
      <c r="LRI242" s="1"/>
      <c r="LRJ242" s="1"/>
      <c r="LRK242" s="1"/>
      <c r="LRL242" s="1"/>
      <c r="LRM242" s="1"/>
      <c r="LRN242" s="1"/>
      <c r="LRO242" s="1"/>
      <c r="LRP242" s="1"/>
      <c r="LRQ242" s="1"/>
      <c r="LRR242" s="1"/>
      <c r="LRS242" s="1"/>
      <c r="LRT242" s="1"/>
      <c r="LRU242" s="1"/>
      <c r="LRV242" s="1"/>
      <c r="LRW242" s="1"/>
      <c r="LRX242" s="1"/>
      <c r="LRY242" s="1"/>
      <c r="LRZ242" s="1"/>
      <c r="LSA242" s="1"/>
      <c r="LSB242" s="1"/>
      <c r="LSC242" s="1"/>
      <c r="LSD242" s="1"/>
      <c r="LSE242" s="1"/>
      <c r="LSF242" s="1"/>
      <c r="LSG242" s="1"/>
      <c r="LSH242" s="1"/>
      <c r="LSI242" s="1"/>
      <c r="LSJ242" s="1"/>
      <c r="LSK242" s="1"/>
      <c r="LSL242" s="1"/>
      <c r="LSM242" s="1"/>
      <c r="LSN242" s="1"/>
      <c r="LSO242" s="1"/>
      <c r="LSP242" s="1"/>
      <c r="LSQ242" s="1"/>
      <c r="LSR242" s="1"/>
      <c r="LSS242" s="1"/>
      <c r="LST242" s="1"/>
      <c r="LSU242" s="1"/>
      <c r="LSV242" s="1"/>
      <c r="LSW242" s="1"/>
      <c r="LSX242" s="1"/>
      <c r="LSY242" s="1"/>
      <c r="LSZ242" s="1"/>
      <c r="LTA242" s="1"/>
      <c r="LTB242" s="1"/>
      <c r="LTC242" s="1"/>
      <c r="LTD242" s="1"/>
      <c r="LTE242" s="1"/>
      <c r="LTF242" s="1"/>
      <c r="LTG242" s="1"/>
      <c r="LTH242" s="1"/>
      <c r="LTI242" s="1"/>
      <c r="LTJ242" s="1"/>
      <c r="LTK242" s="1"/>
      <c r="LTL242" s="1"/>
      <c r="LTM242" s="1"/>
      <c r="LTN242" s="1"/>
      <c r="LTO242" s="1"/>
      <c r="LTP242" s="1"/>
      <c r="LTQ242" s="1"/>
      <c r="LTR242" s="1"/>
      <c r="LTS242" s="1"/>
      <c r="LTT242" s="1"/>
      <c r="LTU242" s="1"/>
      <c r="LTV242" s="1"/>
      <c r="LTW242" s="1"/>
      <c r="LTX242" s="1"/>
      <c r="LTY242" s="1"/>
      <c r="LTZ242" s="1"/>
      <c r="LUA242" s="1"/>
      <c r="LUB242" s="1"/>
      <c r="LUC242" s="1"/>
      <c r="LUD242" s="1"/>
      <c r="LUE242" s="1"/>
      <c r="LUF242" s="1"/>
      <c r="LUG242" s="1"/>
      <c r="LUH242" s="1"/>
      <c r="LUI242" s="1"/>
      <c r="LUJ242" s="1"/>
      <c r="LUK242" s="1"/>
      <c r="LUL242" s="1"/>
      <c r="LUM242" s="1"/>
      <c r="LUN242" s="1"/>
      <c r="LUO242" s="1"/>
      <c r="LUP242" s="1"/>
      <c r="LUQ242" s="1"/>
      <c r="LUR242" s="1"/>
      <c r="LUS242" s="1"/>
      <c r="LUT242" s="1"/>
      <c r="LUU242" s="1"/>
      <c r="LUV242" s="1"/>
      <c r="LUW242" s="1"/>
      <c r="LUX242" s="1"/>
      <c r="LUY242" s="1"/>
      <c r="LUZ242" s="1"/>
      <c r="LVA242" s="1"/>
      <c r="LVB242" s="1"/>
      <c r="LVC242" s="1"/>
      <c r="LVD242" s="1"/>
      <c r="LVE242" s="1"/>
      <c r="LVF242" s="1"/>
      <c r="LVG242" s="1"/>
      <c r="LVH242" s="1"/>
      <c r="LVI242" s="1"/>
      <c r="LVJ242" s="1"/>
      <c r="LVK242" s="1"/>
      <c r="LVL242" s="1"/>
      <c r="LVM242" s="1"/>
      <c r="LVN242" s="1"/>
      <c r="LVO242" s="1"/>
      <c r="LVP242" s="1"/>
      <c r="LVQ242" s="1"/>
      <c r="LVR242" s="1"/>
      <c r="LVS242" s="1"/>
      <c r="LVT242" s="1"/>
      <c r="LVU242" s="1"/>
      <c r="LVV242" s="1"/>
      <c r="LVW242" s="1"/>
      <c r="LVX242" s="1"/>
      <c r="LVY242" s="1"/>
      <c r="LVZ242" s="1"/>
      <c r="LWA242" s="1"/>
      <c r="LWB242" s="1"/>
      <c r="LWC242" s="1"/>
      <c r="LWD242" s="1"/>
      <c r="LWE242" s="1"/>
      <c r="LWF242" s="1"/>
      <c r="LWG242" s="1"/>
      <c r="LWH242" s="1"/>
      <c r="LWI242" s="1"/>
      <c r="LWJ242" s="1"/>
      <c r="LWK242" s="1"/>
      <c r="LWL242" s="1"/>
      <c r="LWM242" s="1"/>
      <c r="LWN242" s="1"/>
      <c r="LWO242" s="1"/>
      <c r="LWP242" s="1"/>
      <c r="LWQ242" s="1"/>
      <c r="LWR242" s="1"/>
      <c r="LWS242" s="1"/>
      <c r="LWT242" s="1"/>
      <c r="LWU242" s="1"/>
      <c r="LWV242" s="1"/>
      <c r="LWW242" s="1"/>
      <c r="LWX242" s="1"/>
      <c r="LWY242" s="1"/>
      <c r="LWZ242" s="1"/>
      <c r="LXA242" s="1"/>
      <c r="LXB242" s="1"/>
      <c r="LXC242" s="1"/>
      <c r="LXD242" s="1"/>
      <c r="LXE242" s="1"/>
      <c r="LXF242" s="1"/>
      <c r="LXG242" s="1"/>
      <c r="LXH242" s="1"/>
      <c r="LXI242" s="1"/>
      <c r="LXJ242" s="1"/>
      <c r="LXK242" s="1"/>
      <c r="LXL242" s="1"/>
      <c r="LXM242" s="1"/>
      <c r="LXN242" s="1"/>
      <c r="LXO242" s="1"/>
      <c r="LXP242" s="1"/>
      <c r="LXQ242" s="1"/>
      <c r="LXR242" s="1"/>
      <c r="LXS242" s="1"/>
      <c r="LXT242" s="1"/>
      <c r="LXU242" s="1"/>
      <c r="LXV242" s="1"/>
      <c r="LXW242" s="1"/>
      <c r="LXX242" s="1"/>
      <c r="LXY242" s="1"/>
      <c r="LXZ242" s="1"/>
      <c r="LYA242" s="1"/>
      <c r="LYB242" s="1"/>
      <c r="LYC242" s="1"/>
      <c r="LYD242" s="1"/>
      <c r="LYE242" s="1"/>
      <c r="LYF242" s="1"/>
      <c r="LYG242" s="1"/>
      <c r="LYH242" s="1"/>
      <c r="LYI242" s="1"/>
      <c r="LYJ242" s="1"/>
      <c r="LYK242" s="1"/>
      <c r="LYL242" s="1"/>
      <c r="LYM242" s="1"/>
      <c r="LYN242" s="1"/>
      <c r="LYO242" s="1"/>
      <c r="LYP242" s="1"/>
      <c r="LYQ242" s="1"/>
      <c r="LYR242" s="1"/>
      <c r="LYS242" s="1"/>
      <c r="LYT242" s="1"/>
      <c r="LYU242" s="1"/>
      <c r="LYV242" s="1"/>
      <c r="LYW242" s="1"/>
      <c r="LYX242" s="1"/>
      <c r="LYY242" s="1"/>
      <c r="LYZ242" s="1"/>
      <c r="LZA242" s="1"/>
      <c r="LZB242" s="1"/>
      <c r="LZC242" s="1"/>
      <c r="LZD242" s="1"/>
      <c r="LZE242" s="1"/>
      <c r="LZF242" s="1"/>
      <c r="LZG242" s="1"/>
      <c r="LZH242" s="1"/>
      <c r="LZI242" s="1"/>
      <c r="LZJ242" s="1"/>
      <c r="LZK242" s="1"/>
      <c r="LZL242" s="1"/>
      <c r="LZM242" s="1"/>
      <c r="LZN242" s="1"/>
      <c r="LZO242" s="1"/>
      <c r="LZP242" s="1"/>
      <c r="LZQ242" s="1"/>
      <c r="LZR242" s="1"/>
      <c r="LZS242" s="1"/>
      <c r="LZT242" s="1"/>
      <c r="LZU242" s="1"/>
      <c r="LZV242" s="1"/>
      <c r="LZW242" s="1"/>
      <c r="LZX242" s="1"/>
      <c r="LZY242" s="1"/>
      <c r="LZZ242" s="1"/>
      <c r="MAA242" s="1"/>
      <c r="MAB242" s="1"/>
      <c r="MAC242" s="1"/>
      <c r="MAD242" s="1"/>
      <c r="MAE242" s="1"/>
      <c r="MAF242" s="1"/>
      <c r="MAG242" s="1"/>
      <c r="MAH242" s="1"/>
      <c r="MAI242" s="1"/>
      <c r="MAJ242" s="1"/>
      <c r="MAK242" s="1"/>
      <c r="MAL242" s="1"/>
      <c r="MAM242" s="1"/>
      <c r="MAN242" s="1"/>
      <c r="MAO242" s="1"/>
      <c r="MAP242" s="1"/>
      <c r="MAQ242" s="1"/>
      <c r="MAR242" s="1"/>
      <c r="MAS242" s="1"/>
      <c r="MAT242" s="1"/>
      <c r="MAU242" s="1"/>
      <c r="MAV242" s="1"/>
      <c r="MAW242" s="1"/>
      <c r="MAX242" s="1"/>
      <c r="MAY242" s="1"/>
      <c r="MAZ242" s="1"/>
      <c r="MBA242" s="1"/>
      <c r="MBB242" s="1"/>
      <c r="MBC242" s="1"/>
      <c r="MBD242" s="1"/>
      <c r="MBE242" s="1"/>
      <c r="MBF242" s="1"/>
      <c r="MBG242" s="1"/>
      <c r="MBH242" s="1"/>
      <c r="MBI242" s="1"/>
      <c r="MBJ242" s="1"/>
      <c r="MBK242" s="1"/>
      <c r="MBL242" s="1"/>
      <c r="MBM242" s="1"/>
      <c r="MBN242" s="1"/>
      <c r="MBO242" s="1"/>
      <c r="MBP242" s="1"/>
      <c r="MBQ242" s="1"/>
      <c r="MBR242" s="1"/>
      <c r="MBS242" s="1"/>
      <c r="MBT242" s="1"/>
      <c r="MBU242" s="1"/>
      <c r="MBV242" s="1"/>
      <c r="MBW242" s="1"/>
      <c r="MBX242" s="1"/>
      <c r="MBY242" s="1"/>
      <c r="MBZ242" s="1"/>
      <c r="MCA242" s="1"/>
      <c r="MCB242" s="1"/>
      <c r="MCC242" s="1"/>
      <c r="MCD242" s="1"/>
      <c r="MCE242" s="1"/>
      <c r="MCF242" s="1"/>
      <c r="MCG242" s="1"/>
      <c r="MCH242" s="1"/>
      <c r="MCI242" s="1"/>
      <c r="MCJ242" s="1"/>
      <c r="MCK242" s="1"/>
      <c r="MCL242" s="1"/>
      <c r="MCM242" s="1"/>
      <c r="MCN242" s="1"/>
      <c r="MCO242" s="1"/>
      <c r="MCP242" s="1"/>
      <c r="MCQ242" s="1"/>
      <c r="MCR242" s="1"/>
      <c r="MCS242" s="1"/>
      <c r="MCT242" s="1"/>
      <c r="MCU242" s="1"/>
      <c r="MCV242" s="1"/>
      <c r="MCW242" s="1"/>
      <c r="MCX242" s="1"/>
      <c r="MCY242" s="1"/>
      <c r="MCZ242" s="1"/>
      <c r="MDA242" s="1"/>
      <c r="MDB242" s="1"/>
      <c r="MDC242" s="1"/>
      <c r="MDD242" s="1"/>
      <c r="MDE242" s="1"/>
      <c r="MDF242" s="1"/>
      <c r="MDG242" s="1"/>
      <c r="MDH242" s="1"/>
      <c r="MDI242" s="1"/>
      <c r="MDJ242" s="1"/>
      <c r="MDK242" s="1"/>
      <c r="MDL242" s="1"/>
      <c r="MDM242" s="1"/>
      <c r="MDN242" s="1"/>
      <c r="MDO242" s="1"/>
      <c r="MDP242" s="1"/>
      <c r="MDQ242" s="1"/>
      <c r="MDR242" s="1"/>
      <c r="MDS242" s="1"/>
      <c r="MDT242" s="1"/>
      <c r="MDU242" s="1"/>
      <c r="MDV242" s="1"/>
      <c r="MDW242" s="1"/>
      <c r="MDX242" s="1"/>
      <c r="MDY242" s="1"/>
      <c r="MDZ242" s="1"/>
      <c r="MEA242" s="1"/>
      <c r="MEB242" s="1"/>
      <c r="MEC242" s="1"/>
      <c r="MED242" s="1"/>
      <c r="MEE242" s="1"/>
      <c r="MEF242" s="1"/>
      <c r="MEG242" s="1"/>
      <c r="MEH242" s="1"/>
      <c r="MEI242" s="1"/>
      <c r="MEJ242" s="1"/>
      <c r="MEK242" s="1"/>
      <c r="MEL242" s="1"/>
      <c r="MEM242" s="1"/>
      <c r="MEN242" s="1"/>
      <c r="MEO242" s="1"/>
      <c r="MEP242" s="1"/>
      <c r="MEQ242" s="1"/>
      <c r="MER242" s="1"/>
      <c r="MES242" s="1"/>
      <c r="MET242" s="1"/>
      <c r="MEU242" s="1"/>
      <c r="MEV242" s="1"/>
      <c r="MEW242" s="1"/>
      <c r="MEX242" s="1"/>
      <c r="MEY242" s="1"/>
      <c r="MEZ242" s="1"/>
      <c r="MFA242" s="1"/>
      <c r="MFB242" s="1"/>
      <c r="MFC242" s="1"/>
      <c r="MFD242" s="1"/>
      <c r="MFE242" s="1"/>
      <c r="MFF242" s="1"/>
      <c r="MFG242" s="1"/>
      <c r="MFH242" s="1"/>
      <c r="MFI242" s="1"/>
      <c r="MFJ242" s="1"/>
      <c r="MFK242" s="1"/>
      <c r="MFL242" s="1"/>
      <c r="MFM242" s="1"/>
      <c r="MFN242" s="1"/>
      <c r="MFO242" s="1"/>
      <c r="MFP242" s="1"/>
      <c r="MFQ242" s="1"/>
      <c r="MFR242" s="1"/>
      <c r="MFS242" s="1"/>
      <c r="MFT242" s="1"/>
      <c r="MFU242" s="1"/>
      <c r="MFV242" s="1"/>
      <c r="MFW242" s="1"/>
      <c r="MFX242" s="1"/>
      <c r="MFY242" s="1"/>
      <c r="MFZ242" s="1"/>
      <c r="MGA242" s="1"/>
      <c r="MGB242" s="1"/>
      <c r="MGC242" s="1"/>
      <c r="MGD242" s="1"/>
      <c r="MGE242" s="1"/>
      <c r="MGF242" s="1"/>
      <c r="MGG242" s="1"/>
      <c r="MGH242" s="1"/>
      <c r="MGI242" s="1"/>
      <c r="MGJ242" s="1"/>
      <c r="MGK242" s="1"/>
      <c r="MGL242" s="1"/>
      <c r="MGM242" s="1"/>
      <c r="MGN242" s="1"/>
      <c r="MGO242" s="1"/>
      <c r="MGP242" s="1"/>
      <c r="MGQ242" s="1"/>
      <c r="MGR242" s="1"/>
      <c r="MGS242" s="1"/>
      <c r="MGT242" s="1"/>
      <c r="MGU242" s="1"/>
      <c r="MGV242" s="1"/>
      <c r="MGW242" s="1"/>
      <c r="MGX242" s="1"/>
      <c r="MGY242" s="1"/>
      <c r="MGZ242" s="1"/>
      <c r="MHA242" s="1"/>
      <c r="MHB242" s="1"/>
      <c r="MHC242" s="1"/>
      <c r="MHD242" s="1"/>
      <c r="MHE242" s="1"/>
      <c r="MHF242" s="1"/>
      <c r="MHG242" s="1"/>
      <c r="MHH242" s="1"/>
      <c r="MHI242" s="1"/>
      <c r="MHJ242" s="1"/>
      <c r="MHK242" s="1"/>
      <c r="MHL242" s="1"/>
      <c r="MHM242" s="1"/>
      <c r="MHN242" s="1"/>
      <c r="MHO242" s="1"/>
      <c r="MHP242" s="1"/>
      <c r="MHQ242" s="1"/>
      <c r="MHR242" s="1"/>
      <c r="MHS242" s="1"/>
      <c r="MHT242" s="1"/>
      <c r="MHU242" s="1"/>
      <c r="MHV242" s="1"/>
      <c r="MHW242" s="1"/>
      <c r="MHX242" s="1"/>
      <c r="MHY242" s="1"/>
      <c r="MHZ242" s="1"/>
      <c r="MIA242" s="1"/>
      <c r="MIB242" s="1"/>
      <c r="MIC242" s="1"/>
      <c r="MID242" s="1"/>
      <c r="MIE242" s="1"/>
      <c r="MIF242" s="1"/>
      <c r="MIG242" s="1"/>
      <c r="MIH242" s="1"/>
      <c r="MII242" s="1"/>
      <c r="MIJ242" s="1"/>
      <c r="MIK242" s="1"/>
      <c r="MIL242" s="1"/>
      <c r="MIM242" s="1"/>
      <c r="MIN242" s="1"/>
      <c r="MIO242" s="1"/>
      <c r="MIP242" s="1"/>
      <c r="MIQ242" s="1"/>
      <c r="MIR242" s="1"/>
      <c r="MIS242" s="1"/>
      <c r="MIT242" s="1"/>
      <c r="MIU242" s="1"/>
      <c r="MIV242" s="1"/>
      <c r="MIW242" s="1"/>
      <c r="MIX242" s="1"/>
      <c r="MIY242" s="1"/>
      <c r="MIZ242" s="1"/>
      <c r="MJA242" s="1"/>
      <c r="MJB242" s="1"/>
      <c r="MJC242" s="1"/>
      <c r="MJD242" s="1"/>
      <c r="MJE242" s="1"/>
      <c r="MJF242" s="1"/>
      <c r="MJG242" s="1"/>
      <c r="MJH242" s="1"/>
      <c r="MJI242" s="1"/>
      <c r="MJJ242" s="1"/>
      <c r="MJK242" s="1"/>
      <c r="MJL242" s="1"/>
      <c r="MJM242" s="1"/>
      <c r="MJN242" s="1"/>
      <c r="MJO242" s="1"/>
      <c r="MJP242" s="1"/>
      <c r="MJQ242" s="1"/>
      <c r="MJR242" s="1"/>
      <c r="MJS242" s="1"/>
      <c r="MJT242" s="1"/>
      <c r="MJU242" s="1"/>
      <c r="MJV242" s="1"/>
      <c r="MJW242" s="1"/>
      <c r="MJX242" s="1"/>
      <c r="MJY242" s="1"/>
      <c r="MJZ242" s="1"/>
      <c r="MKA242" s="1"/>
      <c r="MKB242" s="1"/>
      <c r="MKC242" s="1"/>
      <c r="MKD242" s="1"/>
      <c r="MKE242" s="1"/>
      <c r="MKF242" s="1"/>
      <c r="MKG242" s="1"/>
      <c r="MKH242" s="1"/>
      <c r="MKI242" s="1"/>
      <c r="MKJ242" s="1"/>
      <c r="MKK242" s="1"/>
      <c r="MKL242" s="1"/>
      <c r="MKM242" s="1"/>
      <c r="MKN242" s="1"/>
      <c r="MKO242" s="1"/>
      <c r="MKP242" s="1"/>
      <c r="MKQ242" s="1"/>
      <c r="MKR242" s="1"/>
      <c r="MKS242" s="1"/>
      <c r="MKT242" s="1"/>
      <c r="MKU242" s="1"/>
      <c r="MKV242" s="1"/>
      <c r="MKW242" s="1"/>
      <c r="MKX242" s="1"/>
      <c r="MKY242" s="1"/>
      <c r="MKZ242" s="1"/>
      <c r="MLA242" s="1"/>
      <c r="MLB242" s="1"/>
      <c r="MLC242" s="1"/>
      <c r="MLD242" s="1"/>
      <c r="MLE242" s="1"/>
      <c r="MLF242" s="1"/>
      <c r="MLG242" s="1"/>
      <c r="MLH242" s="1"/>
      <c r="MLI242" s="1"/>
      <c r="MLJ242" s="1"/>
      <c r="MLK242" s="1"/>
      <c r="MLL242" s="1"/>
      <c r="MLM242" s="1"/>
      <c r="MLN242" s="1"/>
      <c r="MLO242" s="1"/>
      <c r="MLP242" s="1"/>
      <c r="MLQ242" s="1"/>
      <c r="MLR242" s="1"/>
      <c r="MLS242" s="1"/>
      <c r="MLT242" s="1"/>
      <c r="MLU242" s="1"/>
      <c r="MLV242" s="1"/>
      <c r="MLW242" s="1"/>
      <c r="MLX242" s="1"/>
      <c r="MLY242" s="1"/>
      <c r="MLZ242" s="1"/>
      <c r="MMA242" s="1"/>
      <c r="MMB242" s="1"/>
      <c r="MMC242" s="1"/>
      <c r="MMD242" s="1"/>
      <c r="MME242" s="1"/>
      <c r="MMF242" s="1"/>
      <c r="MMG242" s="1"/>
      <c r="MMH242" s="1"/>
      <c r="MMI242" s="1"/>
      <c r="MMJ242" s="1"/>
      <c r="MMK242" s="1"/>
      <c r="MML242" s="1"/>
      <c r="MMM242" s="1"/>
      <c r="MMN242" s="1"/>
      <c r="MMO242" s="1"/>
      <c r="MMP242" s="1"/>
      <c r="MMQ242" s="1"/>
      <c r="MMR242" s="1"/>
      <c r="MMS242" s="1"/>
      <c r="MMT242" s="1"/>
      <c r="MMU242" s="1"/>
      <c r="MMV242" s="1"/>
      <c r="MMW242" s="1"/>
      <c r="MMX242" s="1"/>
      <c r="MMY242" s="1"/>
      <c r="MMZ242" s="1"/>
      <c r="MNA242" s="1"/>
      <c r="MNB242" s="1"/>
      <c r="MNC242" s="1"/>
      <c r="MND242" s="1"/>
      <c r="MNE242" s="1"/>
      <c r="MNF242" s="1"/>
      <c r="MNG242" s="1"/>
      <c r="MNH242" s="1"/>
      <c r="MNI242" s="1"/>
      <c r="MNJ242" s="1"/>
      <c r="MNK242" s="1"/>
      <c r="MNL242" s="1"/>
      <c r="MNM242" s="1"/>
      <c r="MNN242" s="1"/>
      <c r="MNO242" s="1"/>
      <c r="MNP242" s="1"/>
      <c r="MNQ242" s="1"/>
      <c r="MNR242" s="1"/>
      <c r="MNS242" s="1"/>
      <c r="MNT242" s="1"/>
      <c r="MNU242" s="1"/>
      <c r="MNV242" s="1"/>
      <c r="MNW242" s="1"/>
      <c r="MNX242" s="1"/>
      <c r="MNY242" s="1"/>
      <c r="MNZ242" s="1"/>
      <c r="MOA242" s="1"/>
      <c r="MOB242" s="1"/>
      <c r="MOC242" s="1"/>
      <c r="MOD242" s="1"/>
      <c r="MOE242" s="1"/>
      <c r="MOF242" s="1"/>
      <c r="MOG242" s="1"/>
      <c r="MOH242" s="1"/>
      <c r="MOI242" s="1"/>
      <c r="MOJ242" s="1"/>
      <c r="MOK242" s="1"/>
      <c r="MOL242" s="1"/>
      <c r="MOM242" s="1"/>
      <c r="MON242" s="1"/>
      <c r="MOO242" s="1"/>
      <c r="MOP242" s="1"/>
      <c r="MOQ242" s="1"/>
      <c r="MOR242" s="1"/>
      <c r="MOS242" s="1"/>
      <c r="MOT242" s="1"/>
      <c r="MOU242" s="1"/>
      <c r="MOV242" s="1"/>
      <c r="MOW242" s="1"/>
      <c r="MOX242" s="1"/>
      <c r="MOY242" s="1"/>
      <c r="MOZ242" s="1"/>
      <c r="MPA242" s="1"/>
      <c r="MPB242" s="1"/>
      <c r="MPC242" s="1"/>
      <c r="MPD242" s="1"/>
      <c r="MPE242" s="1"/>
      <c r="MPF242" s="1"/>
      <c r="MPG242" s="1"/>
      <c r="MPH242" s="1"/>
      <c r="MPI242" s="1"/>
      <c r="MPJ242" s="1"/>
      <c r="MPK242" s="1"/>
      <c r="MPL242" s="1"/>
      <c r="MPM242" s="1"/>
      <c r="MPN242" s="1"/>
      <c r="MPO242" s="1"/>
      <c r="MPP242" s="1"/>
      <c r="MPQ242" s="1"/>
      <c r="MPR242" s="1"/>
      <c r="MPS242" s="1"/>
      <c r="MPT242" s="1"/>
      <c r="MPU242" s="1"/>
      <c r="MPV242" s="1"/>
      <c r="MPW242" s="1"/>
      <c r="MPX242" s="1"/>
      <c r="MPY242" s="1"/>
      <c r="MPZ242" s="1"/>
      <c r="MQA242" s="1"/>
      <c r="MQB242" s="1"/>
      <c r="MQC242" s="1"/>
      <c r="MQD242" s="1"/>
      <c r="MQE242" s="1"/>
      <c r="MQF242" s="1"/>
      <c r="MQG242" s="1"/>
      <c r="MQH242" s="1"/>
      <c r="MQI242" s="1"/>
      <c r="MQJ242" s="1"/>
      <c r="MQK242" s="1"/>
      <c r="MQL242" s="1"/>
      <c r="MQM242" s="1"/>
      <c r="MQN242" s="1"/>
      <c r="MQO242" s="1"/>
      <c r="MQP242" s="1"/>
      <c r="MQQ242" s="1"/>
      <c r="MQR242" s="1"/>
      <c r="MQS242" s="1"/>
      <c r="MQT242" s="1"/>
      <c r="MQU242" s="1"/>
      <c r="MQV242" s="1"/>
      <c r="MQW242" s="1"/>
      <c r="MQX242" s="1"/>
      <c r="MQY242" s="1"/>
      <c r="MQZ242" s="1"/>
      <c r="MRA242" s="1"/>
      <c r="MRB242" s="1"/>
      <c r="MRC242" s="1"/>
      <c r="MRD242" s="1"/>
      <c r="MRE242" s="1"/>
      <c r="MRF242" s="1"/>
      <c r="MRG242" s="1"/>
      <c r="MRH242" s="1"/>
      <c r="MRI242" s="1"/>
      <c r="MRJ242" s="1"/>
      <c r="MRK242" s="1"/>
      <c r="MRL242" s="1"/>
      <c r="MRM242" s="1"/>
      <c r="MRN242" s="1"/>
      <c r="MRO242" s="1"/>
      <c r="MRP242" s="1"/>
      <c r="MRQ242" s="1"/>
      <c r="MRR242" s="1"/>
      <c r="MRS242" s="1"/>
      <c r="MRT242" s="1"/>
      <c r="MRU242" s="1"/>
      <c r="MRV242" s="1"/>
      <c r="MRW242" s="1"/>
      <c r="MRX242" s="1"/>
      <c r="MRY242" s="1"/>
      <c r="MRZ242" s="1"/>
      <c r="MSA242" s="1"/>
      <c r="MSB242" s="1"/>
      <c r="MSC242" s="1"/>
      <c r="MSD242" s="1"/>
      <c r="MSE242" s="1"/>
      <c r="MSF242" s="1"/>
      <c r="MSG242" s="1"/>
      <c r="MSH242" s="1"/>
      <c r="MSI242" s="1"/>
      <c r="MSJ242" s="1"/>
      <c r="MSK242" s="1"/>
      <c r="MSL242" s="1"/>
      <c r="MSM242" s="1"/>
      <c r="MSN242" s="1"/>
      <c r="MSO242" s="1"/>
      <c r="MSP242" s="1"/>
      <c r="MSQ242" s="1"/>
      <c r="MSR242" s="1"/>
      <c r="MSS242" s="1"/>
      <c r="MST242" s="1"/>
      <c r="MSU242" s="1"/>
      <c r="MSV242" s="1"/>
      <c r="MSW242" s="1"/>
      <c r="MSX242" s="1"/>
      <c r="MSY242" s="1"/>
      <c r="MSZ242" s="1"/>
      <c r="MTA242" s="1"/>
      <c r="MTB242" s="1"/>
      <c r="MTC242" s="1"/>
      <c r="MTD242" s="1"/>
      <c r="MTE242" s="1"/>
      <c r="MTF242" s="1"/>
      <c r="MTG242" s="1"/>
      <c r="MTH242" s="1"/>
      <c r="MTI242" s="1"/>
      <c r="MTJ242" s="1"/>
      <c r="MTK242" s="1"/>
      <c r="MTL242" s="1"/>
      <c r="MTM242" s="1"/>
      <c r="MTN242" s="1"/>
      <c r="MTO242" s="1"/>
      <c r="MTP242" s="1"/>
      <c r="MTQ242" s="1"/>
      <c r="MTR242" s="1"/>
      <c r="MTS242" s="1"/>
      <c r="MTT242" s="1"/>
      <c r="MTU242" s="1"/>
      <c r="MTV242" s="1"/>
      <c r="MTW242" s="1"/>
      <c r="MTX242" s="1"/>
      <c r="MTY242" s="1"/>
      <c r="MTZ242" s="1"/>
      <c r="MUA242" s="1"/>
      <c r="MUB242" s="1"/>
      <c r="MUC242" s="1"/>
      <c r="MUD242" s="1"/>
      <c r="MUE242" s="1"/>
      <c r="MUF242" s="1"/>
      <c r="MUG242" s="1"/>
      <c r="MUH242" s="1"/>
      <c r="MUI242" s="1"/>
      <c r="MUJ242" s="1"/>
      <c r="MUK242" s="1"/>
      <c r="MUL242" s="1"/>
      <c r="MUM242" s="1"/>
      <c r="MUN242" s="1"/>
      <c r="MUO242" s="1"/>
      <c r="MUP242" s="1"/>
      <c r="MUQ242" s="1"/>
      <c r="MUR242" s="1"/>
      <c r="MUS242" s="1"/>
      <c r="MUT242" s="1"/>
      <c r="MUU242" s="1"/>
      <c r="MUV242" s="1"/>
      <c r="MUW242" s="1"/>
      <c r="MUX242" s="1"/>
      <c r="MUY242" s="1"/>
      <c r="MUZ242" s="1"/>
      <c r="MVA242" s="1"/>
      <c r="MVB242" s="1"/>
      <c r="MVC242" s="1"/>
      <c r="MVD242" s="1"/>
      <c r="MVE242" s="1"/>
      <c r="MVF242" s="1"/>
      <c r="MVG242" s="1"/>
      <c r="MVH242" s="1"/>
      <c r="MVI242" s="1"/>
      <c r="MVJ242" s="1"/>
      <c r="MVK242" s="1"/>
      <c r="MVL242" s="1"/>
      <c r="MVM242" s="1"/>
      <c r="MVN242" s="1"/>
      <c r="MVO242" s="1"/>
      <c r="MVP242" s="1"/>
      <c r="MVQ242" s="1"/>
      <c r="MVR242" s="1"/>
      <c r="MVS242" s="1"/>
      <c r="MVT242" s="1"/>
      <c r="MVU242" s="1"/>
      <c r="MVV242" s="1"/>
      <c r="MVW242" s="1"/>
      <c r="MVX242" s="1"/>
      <c r="MVY242" s="1"/>
      <c r="MVZ242" s="1"/>
      <c r="MWA242" s="1"/>
      <c r="MWB242" s="1"/>
      <c r="MWC242" s="1"/>
      <c r="MWD242" s="1"/>
      <c r="MWE242" s="1"/>
      <c r="MWF242" s="1"/>
      <c r="MWG242" s="1"/>
      <c r="MWH242" s="1"/>
      <c r="MWI242" s="1"/>
      <c r="MWJ242" s="1"/>
      <c r="MWK242" s="1"/>
      <c r="MWL242" s="1"/>
      <c r="MWM242" s="1"/>
      <c r="MWN242" s="1"/>
      <c r="MWO242" s="1"/>
      <c r="MWP242" s="1"/>
      <c r="MWQ242" s="1"/>
      <c r="MWR242" s="1"/>
      <c r="MWS242" s="1"/>
      <c r="MWT242" s="1"/>
      <c r="MWU242" s="1"/>
      <c r="MWV242" s="1"/>
      <c r="MWW242" s="1"/>
      <c r="MWX242" s="1"/>
      <c r="MWY242" s="1"/>
      <c r="MWZ242" s="1"/>
      <c r="MXA242" s="1"/>
      <c r="MXB242" s="1"/>
      <c r="MXC242" s="1"/>
      <c r="MXD242" s="1"/>
      <c r="MXE242" s="1"/>
      <c r="MXF242" s="1"/>
      <c r="MXG242" s="1"/>
      <c r="MXH242" s="1"/>
      <c r="MXI242" s="1"/>
      <c r="MXJ242" s="1"/>
      <c r="MXK242" s="1"/>
      <c r="MXL242" s="1"/>
      <c r="MXM242" s="1"/>
      <c r="MXN242" s="1"/>
      <c r="MXO242" s="1"/>
      <c r="MXP242" s="1"/>
      <c r="MXQ242" s="1"/>
      <c r="MXR242" s="1"/>
      <c r="MXS242" s="1"/>
      <c r="MXT242" s="1"/>
      <c r="MXU242" s="1"/>
      <c r="MXV242" s="1"/>
      <c r="MXW242" s="1"/>
      <c r="MXX242" s="1"/>
      <c r="MXY242" s="1"/>
      <c r="MXZ242" s="1"/>
      <c r="MYA242" s="1"/>
      <c r="MYB242" s="1"/>
      <c r="MYC242" s="1"/>
      <c r="MYD242" s="1"/>
      <c r="MYE242" s="1"/>
      <c r="MYF242" s="1"/>
      <c r="MYG242" s="1"/>
      <c r="MYH242" s="1"/>
      <c r="MYI242" s="1"/>
      <c r="MYJ242" s="1"/>
      <c r="MYK242" s="1"/>
      <c r="MYL242" s="1"/>
      <c r="MYM242" s="1"/>
      <c r="MYN242" s="1"/>
      <c r="MYO242" s="1"/>
      <c r="MYP242" s="1"/>
      <c r="MYQ242" s="1"/>
      <c r="MYR242" s="1"/>
      <c r="MYS242" s="1"/>
      <c r="MYT242" s="1"/>
      <c r="MYU242" s="1"/>
      <c r="MYV242" s="1"/>
      <c r="MYW242" s="1"/>
      <c r="MYX242" s="1"/>
      <c r="MYY242" s="1"/>
      <c r="MYZ242" s="1"/>
      <c r="MZA242" s="1"/>
      <c r="MZB242" s="1"/>
      <c r="MZC242" s="1"/>
      <c r="MZD242" s="1"/>
      <c r="MZE242" s="1"/>
      <c r="MZF242" s="1"/>
      <c r="MZG242" s="1"/>
      <c r="MZH242" s="1"/>
      <c r="MZI242" s="1"/>
      <c r="MZJ242" s="1"/>
      <c r="MZK242" s="1"/>
      <c r="MZL242" s="1"/>
      <c r="MZM242" s="1"/>
      <c r="MZN242" s="1"/>
      <c r="MZO242" s="1"/>
      <c r="MZP242" s="1"/>
      <c r="MZQ242" s="1"/>
      <c r="MZR242" s="1"/>
      <c r="MZS242" s="1"/>
      <c r="MZT242" s="1"/>
      <c r="MZU242" s="1"/>
      <c r="MZV242" s="1"/>
      <c r="MZW242" s="1"/>
      <c r="MZX242" s="1"/>
      <c r="MZY242" s="1"/>
      <c r="MZZ242" s="1"/>
      <c r="NAA242" s="1"/>
      <c r="NAB242" s="1"/>
      <c r="NAC242" s="1"/>
      <c r="NAD242" s="1"/>
      <c r="NAE242" s="1"/>
      <c r="NAF242" s="1"/>
      <c r="NAG242" s="1"/>
      <c r="NAH242" s="1"/>
      <c r="NAI242" s="1"/>
      <c r="NAJ242" s="1"/>
      <c r="NAK242" s="1"/>
      <c r="NAL242" s="1"/>
      <c r="NAM242" s="1"/>
      <c r="NAN242" s="1"/>
      <c r="NAO242" s="1"/>
      <c r="NAP242" s="1"/>
      <c r="NAQ242" s="1"/>
      <c r="NAR242" s="1"/>
      <c r="NAS242" s="1"/>
      <c r="NAT242" s="1"/>
      <c r="NAU242" s="1"/>
      <c r="NAV242" s="1"/>
      <c r="NAW242" s="1"/>
      <c r="NAX242" s="1"/>
      <c r="NAY242" s="1"/>
      <c r="NAZ242" s="1"/>
      <c r="NBA242" s="1"/>
      <c r="NBB242" s="1"/>
      <c r="NBC242" s="1"/>
      <c r="NBD242" s="1"/>
      <c r="NBE242" s="1"/>
      <c r="NBF242" s="1"/>
      <c r="NBG242" s="1"/>
      <c r="NBH242" s="1"/>
      <c r="NBI242" s="1"/>
      <c r="NBJ242" s="1"/>
      <c r="NBK242" s="1"/>
      <c r="NBL242" s="1"/>
      <c r="NBM242" s="1"/>
      <c r="NBN242" s="1"/>
      <c r="NBO242" s="1"/>
      <c r="NBP242" s="1"/>
      <c r="NBQ242" s="1"/>
      <c r="NBR242" s="1"/>
      <c r="NBS242" s="1"/>
      <c r="NBT242" s="1"/>
      <c r="NBU242" s="1"/>
      <c r="NBV242" s="1"/>
      <c r="NBW242" s="1"/>
      <c r="NBX242" s="1"/>
      <c r="NBY242" s="1"/>
      <c r="NBZ242" s="1"/>
      <c r="NCA242" s="1"/>
      <c r="NCB242" s="1"/>
      <c r="NCC242" s="1"/>
      <c r="NCD242" s="1"/>
      <c r="NCE242" s="1"/>
      <c r="NCF242" s="1"/>
      <c r="NCG242" s="1"/>
      <c r="NCH242" s="1"/>
      <c r="NCI242" s="1"/>
      <c r="NCJ242" s="1"/>
      <c r="NCK242" s="1"/>
      <c r="NCL242" s="1"/>
      <c r="NCM242" s="1"/>
      <c r="NCN242" s="1"/>
      <c r="NCO242" s="1"/>
      <c r="NCP242" s="1"/>
      <c r="NCQ242" s="1"/>
      <c r="NCR242" s="1"/>
      <c r="NCS242" s="1"/>
      <c r="NCT242" s="1"/>
      <c r="NCU242" s="1"/>
      <c r="NCV242" s="1"/>
      <c r="NCW242" s="1"/>
      <c r="NCX242" s="1"/>
      <c r="NCY242" s="1"/>
      <c r="NCZ242" s="1"/>
      <c r="NDA242" s="1"/>
      <c r="NDB242" s="1"/>
      <c r="NDC242" s="1"/>
      <c r="NDD242" s="1"/>
      <c r="NDE242" s="1"/>
      <c r="NDF242" s="1"/>
      <c r="NDG242" s="1"/>
      <c r="NDH242" s="1"/>
      <c r="NDI242" s="1"/>
      <c r="NDJ242" s="1"/>
      <c r="NDK242" s="1"/>
      <c r="NDL242" s="1"/>
      <c r="NDM242" s="1"/>
      <c r="NDN242" s="1"/>
      <c r="NDO242" s="1"/>
      <c r="NDP242" s="1"/>
      <c r="NDQ242" s="1"/>
      <c r="NDR242" s="1"/>
      <c r="NDS242" s="1"/>
      <c r="NDT242" s="1"/>
      <c r="NDU242" s="1"/>
      <c r="NDV242" s="1"/>
      <c r="NDW242" s="1"/>
      <c r="NDX242" s="1"/>
      <c r="NDY242" s="1"/>
      <c r="NDZ242" s="1"/>
      <c r="NEA242" s="1"/>
      <c r="NEB242" s="1"/>
      <c r="NEC242" s="1"/>
      <c r="NED242" s="1"/>
      <c r="NEE242" s="1"/>
      <c r="NEF242" s="1"/>
      <c r="NEG242" s="1"/>
      <c r="NEH242" s="1"/>
      <c r="NEI242" s="1"/>
      <c r="NEJ242" s="1"/>
      <c r="NEK242" s="1"/>
      <c r="NEL242" s="1"/>
      <c r="NEM242" s="1"/>
      <c r="NEN242" s="1"/>
      <c r="NEO242" s="1"/>
      <c r="NEP242" s="1"/>
      <c r="NEQ242" s="1"/>
      <c r="NER242" s="1"/>
      <c r="NES242" s="1"/>
      <c r="NET242" s="1"/>
      <c r="NEU242" s="1"/>
      <c r="NEV242" s="1"/>
      <c r="NEW242" s="1"/>
      <c r="NEX242" s="1"/>
      <c r="NEY242" s="1"/>
      <c r="NEZ242" s="1"/>
      <c r="NFA242" s="1"/>
      <c r="NFB242" s="1"/>
      <c r="NFC242" s="1"/>
      <c r="NFD242" s="1"/>
      <c r="NFE242" s="1"/>
      <c r="NFF242" s="1"/>
      <c r="NFG242" s="1"/>
      <c r="NFH242" s="1"/>
      <c r="NFI242" s="1"/>
      <c r="NFJ242" s="1"/>
      <c r="NFK242" s="1"/>
      <c r="NFL242" s="1"/>
      <c r="NFM242" s="1"/>
      <c r="NFN242" s="1"/>
      <c r="NFO242" s="1"/>
      <c r="NFP242" s="1"/>
      <c r="NFQ242" s="1"/>
      <c r="NFR242" s="1"/>
      <c r="NFS242" s="1"/>
      <c r="NFT242" s="1"/>
      <c r="NFU242" s="1"/>
      <c r="NFV242" s="1"/>
      <c r="NFW242" s="1"/>
      <c r="NFX242" s="1"/>
      <c r="NFY242" s="1"/>
      <c r="NFZ242" s="1"/>
      <c r="NGA242" s="1"/>
      <c r="NGB242" s="1"/>
      <c r="NGC242" s="1"/>
      <c r="NGD242" s="1"/>
      <c r="NGE242" s="1"/>
      <c r="NGF242" s="1"/>
      <c r="NGG242" s="1"/>
      <c r="NGH242" s="1"/>
      <c r="NGI242" s="1"/>
      <c r="NGJ242" s="1"/>
      <c r="NGK242" s="1"/>
      <c r="NGL242" s="1"/>
      <c r="NGM242" s="1"/>
      <c r="NGN242" s="1"/>
      <c r="NGO242" s="1"/>
      <c r="NGP242" s="1"/>
      <c r="NGQ242" s="1"/>
      <c r="NGR242" s="1"/>
      <c r="NGS242" s="1"/>
      <c r="NGT242" s="1"/>
      <c r="NGU242" s="1"/>
      <c r="NGV242" s="1"/>
      <c r="NGW242" s="1"/>
      <c r="NGX242" s="1"/>
      <c r="NGY242" s="1"/>
      <c r="NGZ242" s="1"/>
      <c r="NHA242" s="1"/>
      <c r="NHB242" s="1"/>
      <c r="NHC242" s="1"/>
      <c r="NHD242" s="1"/>
      <c r="NHE242" s="1"/>
      <c r="NHF242" s="1"/>
      <c r="NHG242" s="1"/>
      <c r="NHH242" s="1"/>
      <c r="NHI242" s="1"/>
      <c r="NHJ242" s="1"/>
      <c r="NHK242" s="1"/>
      <c r="NHL242" s="1"/>
      <c r="NHM242" s="1"/>
      <c r="NHN242" s="1"/>
      <c r="NHO242" s="1"/>
      <c r="NHP242" s="1"/>
      <c r="NHQ242" s="1"/>
      <c r="NHR242" s="1"/>
      <c r="NHS242" s="1"/>
      <c r="NHT242" s="1"/>
      <c r="NHU242" s="1"/>
      <c r="NHV242" s="1"/>
      <c r="NHW242" s="1"/>
      <c r="NHX242" s="1"/>
      <c r="NHY242" s="1"/>
      <c r="NHZ242" s="1"/>
      <c r="NIA242" s="1"/>
      <c r="NIB242" s="1"/>
      <c r="NIC242" s="1"/>
      <c r="NID242" s="1"/>
      <c r="NIE242" s="1"/>
      <c r="NIF242" s="1"/>
      <c r="NIG242" s="1"/>
      <c r="NIH242" s="1"/>
      <c r="NII242" s="1"/>
      <c r="NIJ242" s="1"/>
      <c r="NIK242" s="1"/>
      <c r="NIL242" s="1"/>
      <c r="NIM242" s="1"/>
      <c r="NIN242" s="1"/>
      <c r="NIO242" s="1"/>
      <c r="NIP242" s="1"/>
      <c r="NIQ242" s="1"/>
      <c r="NIR242" s="1"/>
      <c r="NIS242" s="1"/>
      <c r="NIT242" s="1"/>
      <c r="NIU242" s="1"/>
      <c r="NIV242" s="1"/>
      <c r="NIW242" s="1"/>
      <c r="NIX242" s="1"/>
      <c r="NIY242" s="1"/>
      <c r="NIZ242" s="1"/>
      <c r="NJA242" s="1"/>
      <c r="NJB242" s="1"/>
      <c r="NJC242" s="1"/>
      <c r="NJD242" s="1"/>
      <c r="NJE242" s="1"/>
      <c r="NJF242" s="1"/>
      <c r="NJG242" s="1"/>
      <c r="NJH242" s="1"/>
      <c r="NJI242" s="1"/>
      <c r="NJJ242" s="1"/>
      <c r="NJK242" s="1"/>
      <c r="NJL242" s="1"/>
      <c r="NJM242" s="1"/>
      <c r="NJN242" s="1"/>
      <c r="NJO242" s="1"/>
      <c r="NJP242" s="1"/>
      <c r="NJQ242" s="1"/>
      <c r="NJR242" s="1"/>
      <c r="NJS242" s="1"/>
      <c r="NJT242" s="1"/>
      <c r="NJU242" s="1"/>
      <c r="NJV242" s="1"/>
      <c r="NJW242" s="1"/>
      <c r="NJX242" s="1"/>
      <c r="NJY242" s="1"/>
      <c r="NJZ242" s="1"/>
      <c r="NKA242" s="1"/>
      <c r="NKB242" s="1"/>
      <c r="NKC242" s="1"/>
      <c r="NKD242" s="1"/>
      <c r="NKE242" s="1"/>
      <c r="NKF242" s="1"/>
      <c r="NKG242" s="1"/>
      <c r="NKH242" s="1"/>
      <c r="NKI242" s="1"/>
      <c r="NKJ242" s="1"/>
      <c r="NKK242" s="1"/>
      <c r="NKL242" s="1"/>
      <c r="NKM242" s="1"/>
      <c r="NKN242" s="1"/>
      <c r="NKO242" s="1"/>
      <c r="NKP242" s="1"/>
      <c r="NKQ242" s="1"/>
      <c r="NKR242" s="1"/>
      <c r="NKS242" s="1"/>
      <c r="NKT242" s="1"/>
      <c r="NKU242" s="1"/>
      <c r="NKV242" s="1"/>
      <c r="NKW242" s="1"/>
      <c r="NKX242" s="1"/>
      <c r="NKY242" s="1"/>
      <c r="NKZ242" s="1"/>
      <c r="NLA242" s="1"/>
      <c r="NLB242" s="1"/>
      <c r="NLC242" s="1"/>
      <c r="NLD242" s="1"/>
      <c r="NLE242" s="1"/>
      <c r="NLF242" s="1"/>
      <c r="NLG242" s="1"/>
      <c r="NLH242" s="1"/>
      <c r="NLI242" s="1"/>
      <c r="NLJ242" s="1"/>
      <c r="NLK242" s="1"/>
      <c r="NLL242" s="1"/>
      <c r="NLM242" s="1"/>
      <c r="NLN242" s="1"/>
      <c r="NLO242" s="1"/>
      <c r="NLP242" s="1"/>
      <c r="NLQ242" s="1"/>
      <c r="NLR242" s="1"/>
      <c r="NLS242" s="1"/>
      <c r="NLT242" s="1"/>
      <c r="NLU242" s="1"/>
      <c r="NLV242" s="1"/>
      <c r="NLW242" s="1"/>
      <c r="NLX242" s="1"/>
      <c r="NLY242" s="1"/>
      <c r="NLZ242" s="1"/>
      <c r="NMA242" s="1"/>
      <c r="NMB242" s="1"/>
      <c r="NMC242" s="1"/>
      <c r="NMD242" s="1"/>
      <c r="NME242" s="1"/>
      <c r="NMF242" s="1"/>
      <c r="NMG242" s="1"/>
      <c r="NMH242" s="1"/>
      <c r="NMI242" s="1"/>
      <c r="NMJ242" s="1"/>
      <c r="NMK242" s="1"/>
      <c r="NML242" s="1"/>
      <c r="NMM242" s="1"/>
      <c r="NMN242" s="1"/>
      <c r="NMO242" s="1"/>
      <c r="NMP242" s="1"/>
      <c r="NMQ242" s="1"/>
      <c r="NMR242" s="1"/>
      <c r="NMS242" s="1"/>
      <c r="NMT242" s="1"/>
      <c r="NMU242" s="1"/>
      <c r="NMV242" s="1"/>
      <c r="NMW242" s="1"/>
      <c r="NMX242" s="1"/>
      <c r="NMY242" s="1"/>
      <c r="NMZ242" s="1"/>
      <c r="NNA242" s="1"/>
      <c r="NNB242" s="1"/>
      <c r="NNC242" s="1"/>
      <c r="NND242" s="1"/>
      <c r="NNE242" s="1"/>
      <c r="NNF242" s="1"/>
      <c r="NNG242" s="1"/>
      <c r="NNH242" s="1"/>
      <c r="NNI242" s="1"/>
      <c r="NNJ242" s="1"/>
      <c r="NNK242" s="1"/>
      <c r="NNL242" s="1"/>
      <c r="NNM242" s="1"/>
      <c r="NNN242" s="1"/>
      <c r="NNO242" s="1"/>
      <c r="NNP242" s="1"/>
      <c r="NNQ242" s="1"/>
      <c r="NNR242" s="1"/>
      <c r="NNS242" s="1"/>
      <c r="NNT242" s="1"/>
      <c r="NNU242" s="1"/>
      <c r="NNV242" s="1"/>
      <c r="NNW242" s="1"/>
      <c r="NNX242" s="1"/>
      <c r="NNY242" s="1"/>
      <c r="NNZ242" s="1"/>
      <c r="NOA242" s="1"/>
      <c r="NOB242" s="1"/>
      <c r="NOC242" s="1"/>
      <c r="NOD242" s="1"/>
      <c r="NOE242" s="1"/>
      <c r="NOF242" s="1"/>
      <c r="NOG242" s="1"/>
      <c r="NOH242" s="1"/>
      <c r="NOI242" s="1"/>
      <c r="NOJ242" s="1"/>
      <c r="NOK242" s="1"/>
      <c r="NOL242" s="1"/>
      <c r="NOM242" s="1"/>
      <c r="NON242" s="1"/>
      <c r="NOO242" s="1"/>
      <c r="NOP242" s="1"/>
      <c r="NOQ242" s="1"/>
      <c r="NOR242" s="1"/>
      <c r="NOS242" s="1"/>
      <c r="NOT242" s="1"/>
      <c r="NOU242" s="1"/>
      <c r="NOV242" s="1"/>
      <c r="NOW242" s="1"/>
      <c r="NOX242" s="1"/>
      <c r="NOY242" s="1"/>
      <c r="NOZ242" s="1"/>
      <c r="NPA242" s="1"/>
      <c r="NPB242" s="1"/>
      <c r="NPC242" s="1"/>
      <c r="NPD242" s="1"/>
      <c r="NPE242" s="1"/>
      <c r="NPF242" s="1"/>
      <c r="NPG242" s="1"/>
      <c r="NPH242" s="1"/>
      <c r="NPI242" s="1"/>
      <c r="NPJ242" s="1"/>
      <c r="NPK242" s="1"/>
      <c r="NPL242" s="1"/>
      <c r="NPM242" s="1"/>
      <c r="NPN242" s="1"/>
      <c r="NPO242" s="1"/>
      <c r="NPP242" s="1"/>
      <c r="NPQ242" s="1"/>
      <c r="NPR242" s="1"/>
      <c r="NPS242" s="1"/>
      <c r="NPT242" s="1"/>
      <c r="NPU242" s="1"/>
      <c r="NPV242" s="1"/>
      <c r="NPW242" s="1"/>
      <c r="NPX242" s="1"/>
      <c r="NPY242" s="1"/>
      <c r="NPZ242" s="1"/>
      <c r="NQA242" s="1"/>
      <c r="NQB242" s="1"/>
      <c r="NQC242" s="1"/>
      <c r="NQD242" s="1"/>
      <c r="NQE242" s="1"/>
      <c r="NQF242" s="1"/>
      <c r="NQG242" s="1"/>
      <c r="NQH242" s="1"/>
      <c r="NQI242" s="1"/>
      <c r="NQJ242" s="1"/>
      <c r="NQK242" s="1"/>
      <c r="NQL242" s="1"/>
      <c r="NQM242" s="1"/>
      <c r="NQN242" s="1"/>
      <c r="NQO242" s="1"/>
      <c r="NQP242" s="1"/>
      <c r="NQQ242" s="1"/>
      <c r="NQR242" s="1"/>
      <c r="NQS242" s="1"/>
      <c r="NQT242" s="1"/>
      <c r="NQU242" s="1"/>
      <c r="NQV242" s="1"/>
      <c r="NQW242" s="1"/>
      <c r="NQX242" s="1"/>
      <c r="NQY242" s="1"/>
      <c r="NQZ242" s="1"/>
      <c r="NRA242" s="1"/>
      <c r="NRB242" s="1"/>
      <c r="NRC242" s="1"/>
      <c r="NRD242" s="1"/>
      <c r="NRE242" s="1"/>
      <c r="NRF242" s="1"/>
      <c r="NRG242" s="1"/>
      <c r="NRH242" s="1"/>
      <c r="NRI242" s="1"/>
      <c r="NRJ242" s="1"/>
      <c r="NRK242" s="1"/>
      <c r="NRL242" s="1"/>
      <c r="NRM242" s="1"/>
      <c r="NRN242" s="1"/>
      <c r="NRO242" s="1"/>
      <c r="NRP242" s="1"/>
      <c r="NRQ242" s="1"/>
      <c r="NRR242" s="1"/>
      <c r="NRS242" s="1"/>
      <c r="NRT242" s="1"/>
      <c r="NRU242" s="1"/>
      <c r="NRV242" s="1"/>
      <c r="NRW242" s="1"/>
      <c r="NRX242" s="1"/>
      <c r="NRY242" s="1"/>
      <c r="NRZ242" s="1"/>
      <c r="NSA242" s="1"/>
      <c r="NSB242" s="1"/>
      <c r="NSC242" s="1"/>
      <c r="NSD242" s="1"/>
      <c r="NSE242" s="1"/>
      <c r="NSF242" s="1"/>
      <c r="NSG242" s="1"/>
      <c r="NSH242" s="1"/>
      <c r="NSI242" s="1"/>
      <c r="NSJ242" s="1"/>
      <c r="NSK242" s="1"/>
      <c r="NSL242" s="1"/>
      <c r="NSM242" s="1"/>
      <c r="NSN242" s="1"/>
      <c r="NSO242" s="1"/>
      <c r="NSP242" s="1"/>
      <c r="NSQ242" s="1"/>
      <c r="NSR242" s="1"/>
      <c r="NSS242" s="1"/>
      <c r="NST242" s="1"/>
      <c r="NSU242" s="1"/>
      <c r="NSV242" s="1"/>
      <c r="NSW242" s="1"/>
      <c r="NSX242" s="1"/>
      <c r="NSY242" s="1"/>
      <c r="NSZ242" s="1"/>
      <c r="NTA242" s="1"/>
      <c r="NTB242" s="1"/>
      <c r="NTC242" s="1"/>
      <c r="NTD242" s="1"/>
      <c r="NTE242" s="1"/>
      <c r="NTF242" s="1"/>
      <c r="NTG242" s="1"/>
      <c r="NTH242" s="1"/>
      <c r="NTI242" s="1"/>
      <c r="NTJ242" s="1"/>
      <c r="NTK242" s="1"/>
      <c r="NTL242" s="1"/>
      <c r="NTM242" s="1"/>
      <c r="NTN242" s="1"/>
      <c r="NTO242" s="1"/>
      <c r="NTP242" s="1"/>
      <c r="NTQ242" s="1"/>
      <c r="NTR242" s="1"/>
      <c r="NTS242" s="1"/>
      <c r="NTT242" s="1"/>
      <c r="NTU242" s="1"/>
      <c r="NTV242" s="1"/>
      <c r="NTW242" s="1"/>
      <c r="NTX242" s="1"/>
      <c r="NTY242" s="1"/>
      <c r="NTZ242" s="1"/>
      <c r="NUA242" s="1"/>
      <c r="NUB242" s="1"/>
      <c r="NUC242" s="1"/>
      <c r="NUD242" s="1"/>
      <c r="NUE242" s="1"/>
      <c r="NUF242" s="1"/>
      <c r="NUG242" s="1"/>
      <c r="NUH242" s="1"/>
      <c r="NUI242" s="1"/>
      <c r="NUJ242" s="1"/>
      <c r="NUK242" s="1"/>
      <c r="NUL242" s="1"/>
      <c r="NUM242" s="1"/>
      <c r="NUN242" s="1"/>
      <c r="NUO242" s="1"/>
      <c r="NUP242" s="1"/>
      <c r="NUQ242" s="1"/>
      <c r="NUR242" s="1"/>
      <c r="NUS242" s="1"/>
      <c r="NUT242" s="1"/>
      <c r="NUU242" s="1"/>
      <c r="NUV242" s="1"/>
      <c r="NUW242" s="1"/>
      <c r="NUX242" s="1"/>
      <c r="NUY242" s="1"/>
      <c r="NUZ242" s="1"/>
      <c r="NVA242" s="1"/>
      <c r="NVB242" s="1"/>
      <c r="NVC242" s="1"/>
      <c r="NVD242" s="1"/>
      <c r="NVE242" s="1"/>
      <c r="NVF242" s="1"/>
      <c r="NVG242" s="1"/>
      <c r="NVH242" s="1"/>
      <c r="NVI242" s="1"/>
      <c r="NVJ242" s="1"/>
      <c r="NVK242" s="1"/>
      <c r="NVL242" s="1"/>
      <c r="NVM242" s="1"/>
      <c r="NVN242" s="1"/>
      <c r="NVO242" s="1"/>
      <c r="NVP242" s="1"/>
      <c r="NVQ242" s="1"/>
      <c r="NVR242" s="1"/>
      <c r="NVS242" s="1"/>
      <c r="NVT242" s="1"/>
      <c r="NVU242" s="1"/>
      <c r="NVV242" s="1"/>
      <c r="NVW242" s="1"/>
      <c r="NVX242" s="1"/>
      <c r="NVY242" s="1"/>
      <c r="NVZ242" s="1"/>
      <c r="NWA242" s="1"/>
      <c r="NWB242" s="1"/>
      <c r="NWC242" s="1"/>
      <c r="NWD242" s="1"/>
      <c r="NWE242" s="1"/>
      <c r="NWF242" s="1"/>
      <c r="NWG242" s="1"/>
      <c r="NWH242" s="1"/>
      <c r="NWI242" s="1"/>
      <c r="NWJ242" s="1"/>
      <c r="NWK242" s="1"/>
      <c r="NWL242" s="1"/>
      <c r="NWM242" s="1"/>
      <c r="NWN242" s="1"/>
      <c r="NWO242" s="1"/>
      <c r="NWP242" s="1"/>
      <c r="NWQ242" s="1"/>
      <c r="NWR242" s="1"/>
      <c r="NWS242" s="1"/>
      <c r="NWT242" s="1"/>
      <c r="NWU242" s="1"/>
      <c r="NWV242" s="1"/>
      <c r="NWW242" s="1"/>
      <c r="NWX242" s="1"/>
      <c r="NWY242" s="1"/>
      <c r="NWZ242" s="1"/>
      <c r="NXA242" s="1"/>
      <c r="NXB242" s="1"/>
      <c r="NXC242" s="1"/>
      <c r="NXD242" s="1"/>
      <c r="NXE242" s="1"/>
      <c r="NXF242" s="1"/>
      <c r="NXG242" s="1"/>
      <c r="NXH242" s="1"/>
      <c r="NXI242" s="1"/>
      <c r="NXJ242" s="1"/>
      <c r="NXK242" s="1"/>
      <c r="NXL242" s="1"/>
      <c r="NXM242" s="1"/>
      <c r="NXN242" s="1"/>
      <c r="NXO242" s="1"/>
      <c r="NXP242" s="1"/>
      <c r="NXQ242" s="1"/>
      <c r="NXR242" s="1"/>
      <c r="NXS242" s="1"/>
      <c r="NXT242" s="1"/>
      <c r="NXU242" s="1"/>
      <c r="NXV242" s="1"/>
      <c r="NXW242" s="1"/>
      <c r="NXX242" s="1"/>
      <c r="NXY242" s="1"/>
      <c r="NXZ242" s="1"/>
      <c r="NYA242" s="1"/>
      <c r="NYB242" s="1"/>
      <c r="NYC242" s="1"/>
      <c r="NYD242" s="1"/>
      <c r="NYE242" s="1"/>
      <c r="NYF242" s="1"/>
      <c r="NYG242" s="1"/>
      <c r="NYH242" s="1"/>
      <c r="NYI242" s="1"/>
      <c r="NYJ242" s="1"/>
      <c r="NYK242" s="1"/>
      <c r="NYL242" s="1"/>
      <c r="NYM242" s="1"/>
      <c r="NYN242" s="1"/>
      <c r="NYO242" s="1"/>
      <c r="NYP242" s="1"/>
      <c r="NYQ242" s="1"/>
      <c r="NYR242" s="1"/>
      <c r="NYS242" s="1"/>
      <c r="NYT242" s="1"/>
      <c r="NYU242" s="1"/>
      <c r="NYV242" s="1"/>
      <c r="NYW242" s="1"/>
      <c r="NYX242" s="1"/>
      <c r="NYY242" s="1"/>
      <c r="NYZ242" s="1"/>
      <c r="NZA242" s="1"/>
      <c r="NZB242" s="1"/>
      <c r="NZC242" s="1"/>
      <c r="NZD242" s="1"/>
      <c r="NZE242" s="1"/>
      <c r="NZF242" s="1"/>
      <c r="NZG242" s="1"/>
      <c r="NZH242" s="1"/>
      <c r="NZI242" s="1"/>
      <c r="NZJ242" s="1"/>
      <c r="NZK242" s="1"/>
      <c r="NZL242" s="1"/>
      <c r="NZM242" s="1"/>
      <c r="NZN242" s="1"/>
      <c r="NZO242" s="1"/>
      <c r="NZP242" s="1"/>
      <c r="NZQ242" s="1"/>
      <c r="NZR242" s="1"/>
      <c r="NZS242" s="1"/>
      <c r="NZT242" s="1"/>
      <c r="NZU242" s="1"/>
      <c r="NZV242" s="1"/>
      <c r="NZW242" s="1"/>
      <c r="NZX242" s="1"/>
      <c r="NZY242" s="1"/>
      <c r="NZZ242" s="1"/>
      <c r="OAA242" s="1"/>
      <c r="OAB242" s="1"/>
      <c r="OAC242" s="1"/>
      <c r="OAD242" s="1"/>
      <c r="OAE242" s="1"/>
      <c r="OAF242" s="1"/>
      <c r="OAG242" s="1"/>
      <c r="OAH242" s="1"/>
      <c r="OAI242" s="1"/>
      <c r="OAJ242" s="1"/>
      <c r="OAK242" s="1"/>
      <c r="OAL242" s="1"/>
      <c r="OAM242" s="1"/>
      <c r="OAN242" s="1"/>
      <c r="OAO242" s="1"/>
      <c r="OAP242" s="1"/>
      <c r="OAQ242" s="1"/>
      <c r="OAR242" s="1"/>
      <c r="OAS242" s="1"/>
      <c r="OAT242" s="1"/>
      <c r="OAU242" s="1"/>
      <c r="OAV242" s="1"/>
      <c r="OAW242" s="1"/>
      <c r="OAX242" s="1"/>
      <c r="OAY242" s="1"/>
      <c r="OAZ242" s="1"/>
      <c r="OBA242" s="1"/>
      <c r="OBB242" s="1"/>
      <c r="OBC242" s="1"/>
      <c r="OBD242" s="1"/>
      <c r="OBE242" s="1"/>
      <c r="OBF242" s="1"/>
      <c r="OBG242" s="1"/>
      <c r="OBH242" s="1"/>
      <c r="OBI242" s="1"/>
      <c r="OBJ242" s="1"/>
      <c r="OBK242" s="1"/>
      <c r="OBL242" s="1"/>
      <c r="OBM242" s="1"/>
      <c r="OBN242" s="1"/>
      <c r="OBO242" s="1"/>
      <c r="OBP242" s="1"/>
      <c r="OBQ242" s="1"/>
      <c r="OBR242" s="1"/>
      <c r="OBS242" s="1"/>
      <c r="OBT242" s="1"/>
      <c r="OBU242" s="1"/>
      <c r="OBV242" s="1"/>
      <c r="OBW242" s="1"/>
      <c r="OBX242" s="1"/>
      <c r="OBY242" s="1"/>
      <c r="OBZ242" s="1"/>
      <c r="OCA242" s="1"/>
      <c r="OCB242" s="1"/>
      <c r="OCC242" s="1"/>
      <c r="OCD242" s="1"/>
      <c r="OCE242" s="1"/>
      <c r="OCF242" s="1"/>
      <c r="OCG242" s="1"/>
      <c r="OCH242" s="1"/>
      <c r="OCI242" s="1"/>
      <c r="OCJ242" s="1"/>
      <c r="OCK242" s="1"/>
      <c r="OCL242" s="1"/>
      <c r="OCM242" s="1"/>
      <c r="OCN242" s="1"/>
      <c r="OCO242" s="1"/>
      <c r="OCP242" s="1"/>
      <c r="OCQ242" s="1"/>
      <c r="OCR242" s="1"/>
      <c r="OCS242" s="1"/>
      <c r="OCT242" s="1"/>
      <c r="OCU242" s="1"/>
      <c r="OCV242" s="1"/>
      <c r="OCW242" s="1"/>
      <c r="OCX242" s="1"/>
      <c r="OCY242" s="1"/>
      <c r="OCZ242" s="1"/>
      <c r="ODA242" s="1"/>
      <c r="ODB242" s="1"/>
      <c r="ODC242" s="1"/>
      <c r="ODD242" s="1"/>
      <c r="ODE242" s="1"/>
      <c r="ODF242" s="1"/>
      <c r="ODG242" s="1"/>
      <c r="ODH242" s="1"/>
      <c r="ODI242" s="1"/>
      <c r="ODJ242" s="1"/>
      <c r="ODK242" s="1"/>
      <c r="ODL242" s="1"/>
      <c r="ODM242" s="1"/>
      <c r="ODN242" s="1"/>
      <c r="ODO242" s="1"/>
      <c r="ODP242" s="1"/>
      <c r="ODQ242" s="1"/>
      <c r="ODR242" s="1"/>
      <c r="ODS242" s="1"/>
      <c r="ODT242" s="1"/>
      <c r="ODU242" s="1"/>
      <c r="ODV242" s="1"/>
      <c r="ODW242" s="1"/>
      <c r="ODX242" s="1"/>
      <c r="ODY242" s="1"/>
      <c r="ODZ242" s="1"/>
      <c r="OEA242" s="1"/>
      <c r="OEB242" s="1"/>
      <c r="OEC242" s="1"/>
      <c r="OED242" s="1"/>
      <c r="OEE242" s="1"/>
      <c r="OEF242" s="1"/>
      <c r="OEG242" s="1"/>
      <c r="OEH242" s="1"/>
      <c r="OEI242" s="1"/>
      <c r="OEJ242" s="1"/>
      <c r="OEK242" s="1"/>
      <c r="OEL242" s="1"/>
      <c r="OEM242" s="1"/>
      <c r="OEN242" s="1"/>
      <c r="OEO242" s="1"/>
      <c r="OEP242" s="1"/>
      <c r="OEQ242" s="1"/>
      <c r="OER242" s="1"/>
      <c r="OES242" s="1"/>
      <c r="OET242" s="1"/>
      <c r="OEU242" s="1"/>
      <c r="OEV242" s="1"/>
      <c r="OEW242" s="1"/>
      <c r="OEX242" s="1"/>
      <c r="OEY242" s="1"/>
      <c r="OEZ242" s="1"/>
      <c r="OFA242" s="1"/>
      <c r="OFB242" s="1"/>
      <c r="OFC242" s="1"/>
      <c r="OFD242" s="1"/>
      <c r="OFE242" s="1"/>
      <c r="OFF242" s="1"/>
      <c r="OFG242" s="1"/>
      <c r="OFH242" s="1"/>
      <c r="OFI242" s="1"/>
      <c r="OFJ242" s="1"/>
      <c r="OFK242" s="1"/>
      <c r="OFL242" s="1"/>
      <c r="OFM242" s="1"/>
      <c r="OFN242" s="1"/>
      <c r="OFO242" s="1"/>
      <c r="OFP242" s="1"/>
      <c r="OFQ242" s="1"/>
      <c r="OFR242" s="1"/>
      <c r="OFS242" s="1"/>
      <c r="OFT242" s="1"/>
      <c r="OFU242" s="1"/>
      <c r="OFV242" s="1"/>
      <c r="OFW242" s="1"/>
      <c r="OFX242" s="1"/>
      <c r="OFY242" s="1"/>
      <c r="OFZ242" s="1"/>
      <c r="OGA242" s="1"/>
      <c r="OGB242" s="1"/>
      <c r="OGC242" s="1"/>
      <c r="OGD242" s="1"/>
      <c r="OGE242" s="1"/>
      <c r="OGF242" s="1"/>
      <c r="OGG242" s="1"/>
      <c r="OGH242" s="1"/>
      <c r="OGI242" s="1"/>
      <c r="OGJ242" s="1"/>
      <c r="OGK242" s="1"/>
      <c r="OGL242" s="1"/>
      <c r="OGM242" s="1"/>
      <c r="OGN242" s="1"/>
      <c r="OGO242" s="1"/>
      <c r="OGP242" s="1"/>
      <c r="OGQ242" s="1"/>
      <c r="OGR242" s="1"/>
      <c r="OGS242" s="1"/>
      <c r="OGT242" s="1"/>
      <c r="OGU242" s="1"/>
      <c r="OGV242" s="1"/>
      <c r="OGW242" s="1"/>
      <c r="OGX242" s="1"/>
      <c r="OGY242" s="1"/>
      <c r="OGZ242" s="1"/>
      <c r="OHA242" s="1"/>
      <c r="OHB242" s="1"/>
      <c r="OHC242" s="1"/>
      <c r="OHD242" s="1"/>
      <c r="OHE242" s="1"/>
      <c r="OHF242" s="1"/>
      <c r="OHG242" s="1"/>
      <c r="OHH242" s="1"/>
      <c r="OHI242" s="1"/>
      <c r="OHJ242" s="1"/>
      <c r="OHK242" s="1"/>
      <c r="OHL242" s="1"/>
      <c r="OHM242" s="1"/>
      <c r="OHN242" s="1"/>
      <c r="OHO242" s="1"/>
      <c r="OHP242" s="1"/>
      <c r="OHQ242" s="1"/>
      <c r="OHR242" s="1"/>
      <c r="OHS242" s="1"/>
      <c r="OHT242" s="1"/>
      <c r="OHU242" s="1"/>
      <c r="OHV242" s="1"/>
      <c r="OHW242" s="1"/>
      <c r="OHX242" s="1"/>
      <c r="OHY242" s="1"/>
      <c r="OHZ242" s="1"/>
      <c r="OIA242" s="1"/>
      <c r="OIB242" s="1"/>
      <c r="OIC242" s="1"/>
      <c r="OID242" s="1"/>
      <c r="OIE242" s="1"/>
      <c r="OIF242" s="1"/>
      <c r="OIG242" s="1"/>
      <c r="OIH242" s="1"/>
      <c r="OII242" s="1"/>
      <c r="OIJ242" s="1"/>
      <c r="OIK242" s="1"/>
      <c r="OIL242" s="1"/>
      <c r="OIM242" s="1"/>
      <c r="OIN242" s="1"/>
      <c r="OIO242" s="1"/>
      <c r="OIP242" s="1"/>
      <c r="OIQ242" s="1"/>
      <c r="OIR242" s="1"/>
      <c r="OIS242" s="1"/>
      <c r="OIT242" s="1"/>
      <c r="OIU242" s="1"/>
      <c r="OIV242" s="1"/>
      <c r="OIW242" s="1"/>
      <c r="OIX242" s="1"/>
      <c r="OIY242" s="1"/>
      <c r="OIZ242" s="1"/>
      <c r="OJA242" s="1"/>
      <c r="OJB242" s="1"/>
      <c r="OJC242" s="1"/>
      <c r="OJD242" s="1"/>
      <c r="OJE242" s="1"/>
      <c r="OJF242" s="1"/>
      <c r="OJG242" s="1"/>
      <c r="OJH242" s="1"/>
      <c r="OJI242" s="1"/>
      <c r="OJJ242" s="1"/>
      <c r="OJK242" s="1"/>
      <c r="OJL242" s="1"/>
      <c r="OJM242" s="1"/>
      <c r="OJN242" s="1"/>
      <c r="OJO242" s="1"/>
      <c r="OJP242" s="1"/>
      <c r="OJQ242" s="1"/>
      <c r="OJR242" s="1"/>
      <c r="OJS242" s="1"/>
      <c r="OJT242" s="1"/>
      <c r="OJU242" s="1"/>
      <c r="OJV242" s="1"/>
      <c r="OJW242" s="1"/>
      <c r="OJX242" s="1"/>
      <c r="OJY242" s="1"/>
      <c r="OJZ242" s="1"/>
      <c r="OKA242" s="1"/>
      <c r="OKB242" s="1"/>
      <c r="OKC242" s="1"/>
      <c r="OKD242" s="1"/>
      <c r="OKE242" s="1"/>
      <c r="OKF242" s="1"/>
      <c r="OKG242" s="1"/>
      <c r="OKH242" s="1"/>
      <c r="OKI242" s="1"/>
      <c r="OKJ242" s="1"/>
      <c r="OKK242" s="1"/>
      <c r="OKL242" s="1"/>
      <c r="OKM242" s="1"/>
      <c r="OKN242" s="1"/>
      <c r="OKO242" s="1"/>
      <c r="OKP242" s="1"/>
      <c r="OKQ242" s="1"/>
      <c r="OKR242" s="1"/>
      <c r="OKS242" s="1"/>
      <c r="OKT242" s="1"/>
      <c r="OKU242" s="1"/>
      <c r="OKV242" s="1"/>
      <c r="OKW242" s="1"/>
      <c r="OKX242" s="1"/>
      <c r="OKY242" s="1"/>
      <c r="OKZ242" s="1"/>
      <c r="OLA242" s="1"/>
      <c r="OLB242" s="1"/>
      <c r="OLC242" s="1"/>
      <c r="OLD242" s="1"/>
      <c r="OLE242" s="1"/>
      <c r="OLF242" s="1"/>
      <c r="OLG242" s="1"/>
      <c r="OLH242" s="1"/>
      <c r="OLI242" s="1"/>
      <c r="OLJ242" s="1"/>
      <c r="OLK242" s="1"/>
      <c r="OLL242" s="1"/>
      <c r="OLM242" s="1"/>
      <c r="OLN242" s="1"/>
      <c r="OLO242" s="1"/>
      <c r="OLP242" s="1"/>
      <c r="OLQ242" s="1"/>
      <c r="OLR242" s="1"/>
      <c r="OLS242" s="1"/>
      <c r="OLT242" s="1"/>
      <c r="OLU242" s="1"/>
      <c r="OLV242" s="1"/>
      <c r="OLW242" s="1"/>
      <c r="OLX242" s="1"/>
      <c r="OLY242" s="1"/>
      <c r="OLZ242" s="1"/>
      <c r="OMA242" s="1"/>
      <c r="OMB242" s="1"/>
      <c r="OMC242" s="1"/>
      <c r="OMD242" s="1"/>
      <c r="OME242" s="1"/>
      <c r="OMF242" s="1"/>
      <c r="OMG242" s="1"/>
      <c r="OMH242" s="1"/>
      <c r="OMI242" s="1"/>
      <c r="OMJ242" s="1"/>
      <c r="OMK242" s="1"/>
      <c r="OML242" s="1"/>
      <c r="OMM242" s="1"/>
      <c r="OMN242" s="1"/>
      <c r="OMO242" s="1"/>
      <c r="OMP242" s="1"/>
      <c r="OMQ242" s="1"/>
      <c r="OMR242" s="1"/>
      <c r="OMS242" s="1"/>
      <c r="OMT242" s="1"/>
      <c r="OMU242" s="1"/>
      <c r="OMV242" s="1"/>
      <c r="OMW242" s="1"/>
      <c r="OMX242" s="1"/>
      <c r="OMY242" s="1"/>
      <c r="OMZ242" s="1"/>
      <c r="ONA242" s="1"/>
      <c r="ONB242" s="1"/>
      <c r="ONC242" s="1"/>
      <c r="OND242" s="1"/>
      <c r="ONE242" s="1"/>
      <c r="ONF242" s="1"/>
      <c r="ONG242" s="1"/>
      <c r="ONH242" s="1"/>
      <c r="ONI242" s="1"/>
      <c r="ONJ242" s="1"/>
      <c r="ONK242" s="1"/>
      <c r="ONL242" s="1"/>
      <c r="ONM242" s="1"/>
      <c r="ONN242" s="1"/>
      <c r="ONO242" s="1"/>
      <c r="ONP242" s="1"/>
      <c r="ONQ242" s="1"/>
      <c r="ONR242" s="1"/>
      <c r="ONS242" s="1"/>
      <c r="ONT242" s="1"/>
      <c r="ONU242" s="1"/>
      <c r="ONV242" s="1"/>
      <c r="ONW242" s="1"/>
      <c r="ONX242" s="1"/>
      <c r="ONY242" s="1"/>
      <c r="ONZ242" s="1"/>
      <c r="OOA242" s="1"/>
      <c r="OOB242" s="1"/>
      <c r="OOC242" s="1"/>
      <c r="OOD242" s="1"/>
      <c r="OOE242" s="1"/>
      <c r="OOF242" s="1"/>
      <c r="OOG242" s="1"/>
      <c r="OOH242" s="1"/>
      <c r="OOI242" s="1"/>
      <c r="OOJ242" s="1"/>
      <c r="OOK242" s="1"/>
      <c r="OOL242" s="1"/>
      <c r="OOM242" s="1"/>
      <c r="OON242" s="1"/>
      <c r="OOO242" s="1"/>
      <c r="OOP242" s="1"/>
      <c r="OOQ242" s="1"/>
      <c r="OOR242" s="1"/>
      <c r="OOS242" s="1"/>
      <c r="OOT242" s="1"/>
      <c r="OOU242" s="1"/>
      <c r="OOV242" s="1"/>
      <c r="OOW242" s="1"/>
      <c r="OOX242" s="1"/>
      <c r="OOY242" s="1"/>
      <c r="OOZ242" s="1"/>
      <c r="OPA242" s="1"/>
      <c r="OPB242" s="1"/>
      <c r="OPC242" s="1"/>
      <c r="OPD242" s="1"/>
      <c r="OPE242" s="1"/>
      <c r="OPF242" s="1"/>
      <c r="OPG242" s="1"/>
      <c r="OPH242" s="1"/>
      <c r="OPI242" s="1"/>
      <c r="OPJ242" s="1"/>
      <c r="OPK242" s="1"/>
      <c r="OPL242" s="1"/>
      <c r="OPM242" s="1"/>
      <c r="OPN242" s="1"/>
      <c r="OPO242" s="1"/>
      <c r="OPP242" s="1"/>
      <c r="OPQ242" s="1"/>
      <c r="OPR242" s="1"/>
      <c r="OPS242" s="1"/>
      <c r="OPT242" s="1"/>
      <c r="OPU242" s="1"/>
      <c r="OPV242" s="1"/>
      <c r="OPW242" s="1"/>
      <c r="OPX242" s="1"/>
      <c r="OPY242" s="1"/>
      <c r="OPZ242" s="1"/>
      <c r="OQA242" s="1"/>
      <c r="OQB242" s="1"/>
      <c r="OQC242" s="1"/>
      <c r="OQD242" s="1"/>
      <c r="OQE242" s="1"/>
      <c r="OQF242" s="1"/>
      <c r="OQG242" s="1"/>
      <c r="OQH242" s="1"/>
      <c r="OQI242" s="1"/>
      <c r="OQJ242" s="1"/>
      <c r="OQK242" s="1"/>
      <c r="OQL242" s="1"/>
      <c r="OQM242" s="1"/>
      <c r="OQN242" s="1"/>
      <c r="OQO242" s="1"/>
      <c r="OQP242" s="1"/>
      <c r="OQQ242" s="1"/>
      <c r="OQR242" s="1"/>
      <c r="OQS242" s="1"/>
      <c r="OQT242" s="1"/>
      <c r="OQU242" s="1"/>
      <c r="OQV242" s="1"/>
      <c r="OQW242" s="1"/>
      <c r="OQX242" s="1"/>
      <c r="OQY242" s="1"/>
      <c r="OQZ242" s="1"/>
      <c r="ORA242" s="1"/>
      <c r="ORB242" s="1"/>
      <c r="ORC242" s="1"/>
      <c r="ORD242" s="1"/>
      <c r="ORE242" s="1"/>
      <c r="ORF242" s="1"/>
      <c r="ORG242" s="1"/>
      <c r="ORH242" s="1"/>
      <c r="ORI242" s="1"/>
      <c r="ORJ242" s="1"/>
      <c r="ORK242" s="1"/>
      <c r="ORL242" s="1"/>
      <c r="ORM242" s="1"/>
      <c r="ORN242" s="1"/>
      <c r="ORO242" s="1"/>
      <c r="ORP242" s="1"/>
      <c r="ORQ242" s="1"/>
      <c r="ORR242" s="1"/>
      <c r="ORS242" s="1"/>
      <c r="ORT242" s="1"/>
      <c r="ORU242" s="1"/>
      <c r="ORV242" s="1"/>
      <c r="ORW242" s="1"/>
      <c r="ORX242" s="1"/>
      <c r="ORY242" s="1"/>
      <c r="ORZ242" s="1"/>
      <c r="OSA242" s="1"/>
      <c r="OSB242" s="1"/>
      <c r="OSC242" s="1"/>
      <c r="OSD242" s="1"/>
      <c r="OSE242" s="1"/>
      <c r="OSF242" s="1"/>
      <c r="OSG242" s="1"/>
      <c r="OSH242" s="1"/>
      <c r="OSI242" s="1"/>
      <c r="OSJ242" s="1"/>
      <c r="OSK242" s="1"/>
      <c r="OSL242" s="1"/>
      <c r="OSM242" s="1"/>
      <c r="OSN242" s="1"/>
      <c r="OSO242" s="1"/>
      <c r="OSP242" s="1"/>
      <c r="OSQ242" s="1"/>
      <c r="OSR242" s="1"/>
      <c r="OSS242" s="1"/>
      <c r="OST242" s="1"/>
      <c r="OSU242" s="1"/>
      <c r="OSV242" s="1"/>
      <c r="OSW242" s="1"/>
      <c r="OSX242" s="1"/>
      <c r="OSY242" s="1"/>
      <c r="OSZ242" s="1"/>
      <c r="OTA242" s="1"/>
      <c r="OTB242" s="1"/>
      <c r="OTC242" s="1"/>
      <c r="OTD242" s="1"/>
      <c r="OTE242" s="1"/>
      <c r="OTF242" s="1"/>
      <c r="OTG242" s="1"/>
      <c r="OTH242" s="1"/>
      <c r="OTI242" s="1"/>
      <c r="OTJ242" s="1"/>
      <c r="OTK242" s="1"/>
      <c r="OTL242" s="1"/>
      <c r="OTM242" s="1"/>
      <c r="OTN242" s="1"/>
      <c r="OTO242" s="1"/>
      <c r="OTP242" s="1"/>
      <c r="OTQ242" s="1"/>
      <c r="OTR242" s="1"/>
      <c r="OTS242" s="1"/>
      <c r="OTT242" s="1"/>
      <c r="OTU242" s="1"/>
      <c r="OTV242" s="1"/>
      <c r="OTW242" s="1"/>
      <c r="OTX242" s="1"/>
      <c r="OTY242" s="1"/>
      <c r="OTZ242" s="1"/>
      <c r="OUA242" s="1"/>
      <c r="OUB242" s="1"/>
      <c r="OUC242" s="1"/>
      <c r="OUD242" s="1"/>
      <c r="OUE242" s="1"/>
      <c r="OUF242" s="1"/>
      <c r="OUG242" s="1"/>
      <c r="OUH242" s="1"/>
      <c r="OUI242" s="1"/>
      <c r="OUJ242" s="1"/>
      <c r="OUK242" s="1"/>
      <c r="OUL242" s="1"/>
      <c r="OUM242" s="1"/>
      <c r="OUN242" s="1"/>
      <c r="OUO242" s="1"/>
      <c r="OUP242" s="1"/>
      <c r="OUQ242" s="1"/>
      <c r="OUR242" s="1"/>
      <c r="OUS242" s="1"/>
      <c r="OUT242" s="1"/>
      <c r="OUU242" s="1"/>
      <c r="OUV242" s="1"/>
      <c r="OUW242" s="1"/>
      <c r="OUX242" s="1"/>
      <c r="OUY242" s="1"/>
      <c r="OUZ242" s="1"/>
      <c r="OVA242" s="1"/>
      <c r="OVB242" s="1"/>
      <c r="OVC242" s="1"/>
      <c r="OVD242" s="1"/>
      <c r="OVE242" s="1"/>
      <c r="OVF242" s="1"/>
      <c r="OVG242" s="1"/>
      <c r="OVH242" s="1"/>
      <c r="OVI242" s="1"/>
      <c r="OVJ242" s="1"/>
      <c r="OVK242" s="1"/>
      <c r="OVL242" s="1"/>
      <c r="OVM242" s="1"/>
      <c r="OVN242" s="1"/>
      <c r="OVO242" s="1"/>
      <c r="OVP242" s="1"/>
      <c r="OVQ242" s="1"/>
      <c r="OVR242" s="1"/>
      <c r="OVS242" s="1"/>
      <c r="OVT242" s="1"/>
      <c r="OVU242" s="1"/>
      <c r="OVV242" s="1"/>
      <c r="OVW242" s="1"/>
      <c r="OVX242" s="1"/>
      <c r="OVY242" s="1"/>
      <c r="OVZ242" s="1"/>
      <c r="OWA242" s="1"/>
      <c r="OWB242" s="1"/>
      <c r="OWC242" s="1"/>
      <c r="OWD242" s="1"/>
      <c r="OWE242" s="1"/>
      <c r="OWF242" s="1"/>
      <c r="OWG242" s="1"/>
      <c r="OWH242" s="1"/>
      <c r="OWI242" s="1"/>
      <c r="OWJ242" s="1"/>
      <c r="OWK242" s="1"/>
      <c r="OWL242" s="1"/>
      <c r="OWM242" s="1"/>
      <c r="OWN242" s="1"/>
      <c r="OWO242" s="1"/>
      <c r="OWP242" s="1"/>
      <c r="OWQ242" s="1"/>
      <c r="OWR242" s="1"/>
      <c r="OWS242" s="1"/>
      <c r="OWT242" s="1"/>
      <c r="OWU242" s="1"/>
      <c r="OWV242" s="1"/>
      <c r="OWW242" s="1"/>
      <c r="OWX242" s="1"/>
      <c r="OWY242" s="1"/>
      <c r="OWZ242" s="1"/>
      <c r="OXA242" s="1"/>
      <c r="OXB242" s="1"/>
      <c r="OXC242" s="1"/>
      <c r="OXD242" s="1"/>
      <c r="OXE242" s="1"/>
      <c r="OXF242" s="1"/>
      <c r="OXG242" s="1"/>
      <c r="OXH242" s="1"/>
      <c r="OXI242" s="1"/>
      <c r="OXJ242" s="1"/>
      <c r="OXK242" s="1"/>
      <c r="OXL242" s="1"/>
      <c r="OXM242" s="1"/>
      <c r="OXN242" s="1"/>
      <c r="OXO242" s="1"/>
      <c r="OXP242" s="1"/>
      <c r="OXQ242" s="1"/>
      <c r="OXR242" s="1"/>
      <c r="OXS242" s="1"/>
      <c r="OXT242" s="1"/>
      <c r="OXU242" s="1"/>
      <c r="OXV242" s="1"/>
      <c r="OXW242" s="1"/>
      <c r="OXX242" s="1"/>
      <c r="OXY242" s="1"/>
      <c r="OXZ242" s="1"/>
      <c r="OYA242" s="1"/>
      <c r="OYB242" s="1"/>
      <c r="OYC242" s="1"/>
      <c r="OYD242" s="1"/>
      <c r="OYE242" s="1"/>
      <c r="OYF242" s="1"/>
      <c r="OYG242" s="1"/>
      <c r="OYH242" s="1"/>
      <c r="OYI242" s="1"/>
      <c r="OYJ242" s="1"/>
      <c r="OYK242" s="1"/>
      <c r="OYL242" s="1"/>
      <c r="OYM242" s="1"/>
      <c r="OYN242" s="1"/>
      <c r="OYO242" s="1"/>
      <c r="OYP242" s="1"/>
      <c r="OYQ242" s="1"/>
      <c r="OYR242" s="1"/>
      <c r="OYS242" s="1"/>
      <c r="OYT242" s="1"/>
      <c r="OYU242" s="1"/>
      <c r="OYV242" s="1"/>
      <c r="OYW242" s="1"/>
      <c r="OYX242" s="1"/>
      <c r="OYY242" s="1"/>
      <c r="OYZ242" s="1"/>
      <c r="OZA242" s="1"/>
      <c r="OZB242" s="1"/>
      <c r="OZC242" s="1"/>
      <c r="OZD242" s="1"/>
      <c r="OZE242" s="1"/>
      <c r="OZF242" s="1"/>
      <c r="OZG242" s="1"/>
      <c r="OZH242" s="1"/>
      <c r="OZI242" s="1"/>
      <c r="OZJ242" s="1"/>
      <c r="OZK242" s="1"/>
      <c r="OZL242" s="1"/>
      <c r="OZM242" s="1"/>
      <c r="OZN242" s="1"/>
      <c r="OZO242" s="1"/>
      <c r="OZP242" s="1"/>
      <c r="OZQ242" s="1"/>
      <c r="OZR242" s="1"/>
      <c r="OZS242" s="1"/>
      <c r="OZT242" s="1"/>
      <c r="OZU242" s="1"/>
      <c r="OZV242" s="1"/>
      <c r="OZW242" s="1"/>
      <c r="OZX242" s="1"/>
      <c r="OZY242" s="1"/>
      <c r="OZZ242" s="1"/>
      <c r="PAA242" s="1"/>
      <c r="PAB242" s="1"/>
      <c r="PAC242" s="1"/>
      <c r="PAD242" s="1"/>
      <c r="PAE242" s="1"/>
      <c r="PAF242" s="1"/>
      <c r="PAG242" s="1"/>
      <c r="PAH242" s="1"/>
      <c r="PAI242" s="1"/>
      <c r="PAJ242" s="1"/>
      <c r="PAK242" s="1"/>
      <c r="PAL242" s="1"/>
      <c r="PAM242" s="1"/>
      <c r="PAN242" s="1"/>
      <c r="PAO242" s="1"/>
      <c r="PAP242" s="1"/>
      <c r="PAQ242" s="1"/>
      <c r="PAR242" s="1"/>
      <c r="PAS242" s="1"/>
      <c r="PAT242" s="1"/>
      <c r="PAU242" s="1"/>
      <c r="PAV242" s="1"/>
      <c r="PAW242" s="1"/>
      <c r="PAX242" s="1"/>
      <c r="PAY242" s="1"/>
      <c r="PAZ242" s="1"/>
      <c r="PBA242" s="1"/>
      <c r="PBB242" s="1"/>
      <c r="PBC242" s="1"/>
      <c r="PBD242" s="1"/>
      <c r="PBE242" s="1"/>
      <c r="PBF242" s="1"/>
      <c r="PBG242" s="1"/>
      <c r="PBH242" s="1"/>
      <c r="PBI242" s="1"/>
      <c r="PBJ242" s="1"/>
      <c r="PBK242" s="1"/>
      <c r="PBL242" s="1"/>
      <c r="PBM242" s="1"/>
      <c r="PBN242" s="1"/>
      <c r="PBO242" s="1"/>
      <c r="PBP242" s="1"/>
      <c r="PBQ242" s="1"/>
      <c r="PBR242" s="1"/>
      <c r="PBS242" s="1"/>
      <c r="PBT242" s="1"/>
      <c r="PBU242" s="1"/>
      <c r="PBV242" s="1"/>
      <c r="PBW242" s="1"/>
      <c r="PBX242" s="1"/>
      <c r="PBY242" s="1"/>
      <c r="PBZ242" s="1"/>
      <c r="PCA242" s="1"/>
      <c r="PCB242" s="1"/>
      <c r="PCC242" s="1"/>
      <c r="PCD242" s="1"/>
      <c r="PCE242" s="1"/>
      <c r="PCF242" s="1"/>
      <c r="PCG242" s="1"/>
      <c r="PCH242" s="1"/>
      <c r="PCI242" s="1"/>
      <c r="PCJ242" s="1"/>
      <c r="PCK242" s="1"/>
      <c r="PCL242" s="1"/>
      <c r="PCM242" s="1"/>
      <c r="PCN242" s="1"/>
      <c r="PCO242" s="1"/>
      <c r="PCP242" s="1"/>
      <c r="PCQ242" s="1"/>
      <c r="PCR242" s="1"/>
      <c r="PCS242" s="1"/>
      <c r="PCT242" s="1"/>
      <c r="PCU242" s="1"/>
      <c r="PCV242" s="1"/>
      <c r="PCW242" s="1"/>
      <c r="PCX242" s="1"/>
      <c r="PCY242" s="1"/>
      <c r="PCZ242" s="1"/>
      <c r="PDA242" s="1"/>
      <c r="PDB242" s="1"/>
      <c r="PDC242" s="1"/>
      <c r="PDD242" s="1"/>
      <c r="PDE242" s="1"/>
      <c r="PDF242" s="1"/>
      <c r="PDG242" s="1"/>
      <c r="PDH242" s="1"/>
      <c r="PDI242" s="1"/>
      <c r="PDJ242" s="1"/>
      <c r="PDK242" s="1"/>
      <c r="PDL242" s="1"/>
      <c r="PDM242" s="1"/>
      <c r="PDN242" s="1"/>
      <c r="PDO242" s="1"/>
      <c r="PDP242" s="1"/>
      <c r="PDQ242" s="1"/>
      <c r="PDR242" s="1"/>
      <c r="PDS242" s="1"/>
      <c r="PDT242" s="1"/>
      <c r="PDU242" s="1"/>
      <c r="PDV242" s="1"/>
      <c r="PDW242" s="1"/>
      <c r="PDX242" s="1"/>
      <c r="PDY242" s="1"/>
      <c r="PDZ242" s="1"/>
      <c r="PEA242" s="1"/>
      <c r="PEB242" s="1"/>
      <c r="PEC242" s="1"/>
      <c r="PED242" s="1"/>
      <c r="PEE242" s="1"/>
      <c r="PEF242" s="1"/>
      <c r="PEG242" s="1"/>
      <c r="PEH242" s="1"/>
      <c r="PEI242" s="1"/>
      <c r="PEJ242" s="1"/>
      <c r="PEK242" s="1"/>
      <c r="PEL242" s="1"/>
      <c r="PEM242" s="1"/>
      <c r="PEN242" s="1"/>
      <c r="PEO242" s="1"/>
      <c r="PEP242" s="1"/>
      <c r="PEQ242" s="1"/>
      <c r="PER242" s="1"/>
      <c r="PES242" s="1"/>
      <c r="PET242" s="1"/>
      <c r="PEU242" s="1"/>
      <c r="PEV242" s="1"/>
      <c r="PEW242" s="1"/>
      <c r="PEX242" s="1"/>
      <c r="PEY242" s="1"/>
      <c r="PEZ242" s="1"/>
      <c r="PFA242" s="1"/>
      <c r="PFB242" s="1"/>
      <c r="PFC242" s="1"/>
      <c r="PFD242" s="1"/>
      <c r="PFE242" s="1"/>
      <c r="PFF242" s="1"/>
      <c r="PFG242" s="1"/>
      <c r="PFH242" s="1"/>
      <c r="PFI242" s="1"/>
      <c r="PFJ242" s="1"/>
      <c r="PFK242" s="1"/>
      <c r="PFL242" s="1"/>
      <c r="PFM242" s="1"/>
      <c r="PFN242" s="1"/>
      <c r="PFO242" s="1"/>
      <c r="PFP242" s="1"/>
      <c r="PFQ242" s="1"/>
      <c r="PFR242" s="1"/>
      <c r="PFS242" s="1"/>
      <c r="PFT242" s="1"/>
      <c r="PFU242" s="1"/>
      <c r="PFV242" s="1"/>
      <c r="PFW242" s="1"/>
      <c r="PFX242" s="1"/>
      <c r="PFY242" s="1"/>
      <c r="PFZ242" s="1"/>
      <c r="PGA242" s="1"/>
      <c r="PGB242" s="1"/>
      <c r="PGC242" s="1"/>
      <c r="PGD242" s="1"/>
      <c r="PGE242" s="1"/>
      <c r="PGF242" s="1"/>
      <c r="PGG242" s="1"/>
      <c r="PGH242" s="1"/>
      <c r="PGI242" s="1"/>
      <c r="PGJ242" s="1"/>
      <c r="PGK242" s="1"/>
      <c r="PGL242" s="1"/>
      <c r="PGM242" s="1"/>
      <c r="PGN242" s="1"/>
      <c r="PGO242" s="1"/>
      <c r="PGP242" s="1"/>
      <c r="PGQ242" s="1"/>
      <c r="PGR242" s="1"/>
      <c r="PGS242" s="1"/>
      <c r="PGT242" s="1"/>
      <c r="PGU242" s="1"/>
      <c r="PGV242" s="1"/>
      <c r="PGW242" s="1"/>
      <c r="PGX242" s="1"/>
      <c r="PGY242" s="1"/>
      <c r="PGZ242" s="1"/>
      <c r="PHA242" s="1"/>
      <c r="PHB242" s="1"/>
      <c r="PHC242" s="1"/>
      <c r="PHD242" s="1"/>
      <c r="PHE242" s="1"/>
      <c r="PHF242" s="1"/>
      <c r="PHG242" s="1"/>
      <c r="PHH242" s="1"/>
      <c r="PHI242" s="1"/>
      <c r="PHJ242" s="1"/>
      <c r="PHK242" s="1"/>
      <c r="PHL242" s="1"/>
      <c r="PHM242" s="1"/>
      <c r="PHN242" s="1"/>
      <c r="PHO242" s="1"/>
      <c r="PHP242" s="1"/>
      <c r="PHQ242" s="1"/>
      <c r="PHR242" s="1"/>
      <c r="PHS242" s="1"/>
      <c r="PHT242" s="1"/>
      <c r="PHU242" s="1"/>
      <c r="PHV242" s="1"/>
      <c r="PHW242" s="1"/>
      <c r="PHX242" s="1"/>
      <c r="PHY242" s="1"/>
      <c r="PHZ242" s="1"/>
      <c r="PIA242" s="1"/>
      <c r="PIB242" s="1"/>
      <c r="PIC242" s="1"/>
      <c r="PID242" s="1"/>
      <c r="PIE242" s="1"/>
      <c r="PIF242" s="1"/>
      <c r="PIG242" s="1"/>
      <c r="PIH242" s="1"/>
      <c r="PII242" s="1"/>
      <c r="PIJ242" s="1"/>
      <c r="PIK242" s="1"/>
      <c r="PIL242" s="1"/>
      <c r="PIM242" s="1"/>
      <c r="PIN242" s="1"/>
      <c r="PIO242" s="1"/>
      <c r="PIP242" s="1"/>
      <c r="PIQ242" s="1"/>
      <c r="PIR242" s="1"/>
      <c r="PIS242" s="1"/>
      <c r="PIT242" s="1"/>
      <c r="PIU242" s="1"/>
      <c r="PIV242" s="1"/>
      <c r="PIW242" s="1"/>
      <c r="PIX242" s="1"/>
      <c r="PIY242" s="1"/>
      <c r="PIZ242" s="1"/>
      <c r="PJA242" s="1"/>
      <c r="PJB242" s="1"/>
      <c r="PJC242" s="1"/>
      <c r="PJD242" s="1"/>
      <c r="PJE242" s="1"/>
      <c r="PJF242" s="1"/>
      <c r="PJG242" s="1"/>
      <c r="PJH242" s="1"/>
      <c r="PJI242" s="1"/>
      <c r="PJJ242" s="1"/>
      <c r="PJK242" s="1"/>
      <c r="PJL242" s="1"/>
      <c r="PJM242" s="1"/>
      <c r="PJN242" s="1"/>
      <c r="PJO242" s="1"/>
      <c r="PJP242" s="1"/>
      <c r="PJQ242" s="1"/>
      <c r="PJR242" s="1"/>
      <c r="PJS242" s="1"/>
      <c r="PJT242" s="1"/>
      <c r="PJU242" s="1"/>
      <c r="PJV242" s="1"/>
      <c r="PJW242" s="1"/>
      <c r="PJX242" s="1"/>
      <c r="PJY242" s="1"/>
      <c r="PJZ242" s="1"/>
      <c r="PKA242" s="1"/>
      <c r="PKB242" s="1"/>
      <c r="PKC242" s="1"/>
      <c r="PKD242" s="1"/>
      <c r="PKE242" s="1"/>
      <c r="PKF242" s="1"/>
      <c r="PKG242" s="1"/>
      <c r="PKH242" s="1"/>
      <c r="PKI242" s="1"/>
      <c r="PKJ242" s="1"/>
      <c r="PKK242" s="1"/>
      <c r="PKL242" s="1"/>
      <c r="PKM242" s="1"/>
      <c r="PKN242" s="1"/>
      <c r="PKO242" s="1"/>
      <c r="PKP242" s="1"/>
      <c r="PKQ242" s="1"/>
      <c r="PKR242" s="1"/>
      <c r="PKS242" s="1"/>
      <c r="PKT242" s="1"/>
      <c r="PKU242" s="1"/>
      <c r="PKV242" s="1"/>
      <c r="PKW242" s="1"/>
      <c r="PKX242" s="1"/>
      <c r="PKY242" s="1"/>
      <c r="PKZ242" s="1"/>
      <c r="PLA242" s="1"/>
      <c r="PLB242" s="1"/>
      <c r="PLC242" s="1"/>
      <c r="PLD242" s="1"/>
      <c r="PLE242" s="1"/>
      <c r="PLF242" s="1"/>
      <c r="PLG242" s="1"/>
      <c r="PLH242" s="1"/>
      <c r="PLI242" s="1"/>
      <c r="PLJ242" s="1"/>
      <c r="PLK242" s="1"/>
      <c r="PLL242" s="1"/>
      <c r="PLM242" s="1"/>
      <c r="PLN242" s="1"/>
      <c r="PLO242" s="1"/>
      <c r="PLP242" s="1"/>
      <c r="PLQ242" s="1"/>
      <c r="PLR242" s="1"/>
      <c r="PLS242" s="1"/>
      <c r="PLT242" s="1"/>
      <c r="PLU242" s="1"/>
      <c r="PLV242" s="1"/>
      <c r="PLW242" s="1"/>
      <c r="PLX242" s="1"/>
      <c r="PLY242" s="1"/>
      <c r="PLZ242" s="1"/>
      <c r="PMA242" s="1"/>
      <c r="PMB242" s="1"/>
      <c r="PMC242" s="1"/>
      <c r="PMD242" s="1"/>
      <c r="PME242" s="1"/>
      <c r="PMF242" s="1"/>
      <c r="PMG242" s="1"/>
      <c r="PMH242" s="1"/>
      <c r="PMI242" s="1"/>
      <c r="PMJ242" s="1"/>
      <c r="PMK242" s="1"/>
      <c r="PML242" s="1"/>
      <c r="PMM242" s="1"/>
      <c r="PMN242" s="1"/>
      <c r="PMO242" s="1"/>
      <c r="PMP242" s="1"/>
      <c r="PMQ242" s="1"/>
      <c r="PMR242" s="1"/>
      <c r="PMS242" s="1"/>
      <c r="PMT242" s="1"/>
      <c r="PMU242" s="1"/>
      <c r="PMV242" s="1"/>
      <c r="PMW242" s="1"/>
      <c r="PMX242" s="1"/>
      <c r="PMY242" s="1"/>
      <c r="PMZ242" s="1"/>
      <c r="PNA242" s="1"/>
      <c r="PNB242" s="1"/>
      <c r="PNC242" s="1"/>
      <c r="PND242" s="1"/>
      <c r="PNE242" s="1"/>
      <c r="PNF242" s="1"/>
      <c r="PNG242" s="1"/>
      <c r="PNH242" s="1"/>
      <c r="PNI242" s="1"/>
      <c r="PNJ242" s="1"/>
      <c r="PNK242" s="1"/>
      <c r="PNL242" s="1"/>
      <c r="PNM242" s="1"/>
      <c r="PNN242" s="1"/>
      <c r="PNO242" s="1"/>
      <c r="PNP242" s="1"/>
      <c r="PNQ242" s="1"/>
      <c r="PNR242" s="1"/>
      <c r="PNS242" s="1"/>
      <c r="PNT242" s="1"/>
      <c r="PNU242" s="1"/>
      <c r="PNV242" s="1"/>
      <c r="PNW242" s="1"/>
      <c r="PNX242" s="1"/>
      <c r="PNY242" s="1"/>
      <c r="PNZ242" s="1"/>
      <c r="POA242" s="1"/>
      <c r="POB242" s="1"/>
      <c r="POC242" s="1"/>
      <c r="POD242" s="1"/>
      <c r="POE242" s="1"/>
      <c r="POF242" s="1"/>
      <c r="POG242" s="1"/>
      <c r="POH242" s="1"/>
      <c r="POI242" s="1"/>
      <c r="POJ242" s="1"/>
      <c r="POK242" s="1"/>
      <c r="POL242" s="1"/>
      <c r="POM242" s="1"/>
      <c r="PON242" s="1"/>
      <c r="POO242" s="1"/>
      <c r="POP242" s="1"/>
      <c r="POQ242" s="1"/>
      <c r="POR242" s="1"/>
      <c r="POS242" s="1"/>
      <c r="POT242" s="1"/>
      <c r="POU242" s="1"/>
      <c r="POV242" s="1"/>
      <c r="POW242" s="1"/>
      <c r="POX242" s="1"/>
      <c r="POY242" s="1"/>
      <c r="POZ242" s="1"/>
      <c r="PPA242" s="1"/>
      <c r="PPB242" s="1"/>
      <c r="PPC242" s="1"/>
      <c r="PPD242" s="1"/>
      <c r="PPE242" s="1"/>
      <c r="PPF242" s="1"/>
      <c r="PPG242" s="1"/>
      <c r="PPH242" s="1"/>
      <c r="PPI242" s="1"/>
      <c r="PPJ242" s="1"/>
      <c r="PPK242" s="1"/>
      <c r="PPL242" s="1"/>
      <c r="PPM242" s="1"/>
      <c r="PPN242" s="1"/>
      <c r="PPO242" s="1"/>
      <c r="PPP242" s="1"/>
      <c r="PPQ242" s="1"/>
      <c r="PPR242" s="1"/>
      <c r="PPS242" s="1"/>
      <c r="PPT242" s="1"/>
      <c r="PPU242" s="1"/>
      <c r="PPV242" s="1"/>
      <c r="PPW242" s="1"/>
      <c r="PPX242" s="1"/>
      <c r="PPY242" s="1"/>
      <c r="PPZ242" s="1"/>
      <c r="PQA242" s="1"/>
      <c r="PQB242" s="1"/>
      <c r="PQC242" s="1"/>
      <c r="PQD242" s="1"/>
      <c r="PQE242" s="1"/>
      <c r="PQF242" s="1"/>
      <c r="PQG242" s="1"/>
      <c r="PQH242" s="1"/>
      <c r="PQI242" s="1"/>
      <c r="PQJ242" s="1"/>
      <c r="PQK242" s="1"/>
      <c r="PQL242" s="1"/>
      <c r="PQM242" s="1"/>
      <c r="PQN242" s="1"/>
      <c r="PQO242" s="1"/>
      <c r="PQP242" s="1"/>
      <c r="PQQ242" s="1"/>
      <c r="PQR242" s="1"/>
      <c r="PQS242" s="1"/>
      <c r="PQT242" s="1"/>
      <c r="PQU242" s="1"/>
      <c r="PQV242" s="1"/>
      <c r="PQW242" s="1"/>
      <c r="PQX242" s="1"/>
      <c r="PQY242" s="1"/>
      <c r="PQZ242" s="1"/>
      <c r="PRA242" s="1"/>
      <c r="PRB242" s="1"/>
      <c r="PRC242" s="1"/>
      <c r="PRD242" s="1"/>
      <c r="PRE242" s="1"/>
      <c r="PRF242" s="1"/>
      <c r="PRG242" s="1"/>
      <c r="PRH242" s="1"/>
      <c r="PRI242" s="1"/>
      <c r="PRJ242" s="1"/>
      <c r="PRK242" s="1"/>
      <c r="PRL242" s="1"/>
      <c r="PRM242" s="1"/>
      <c r="PRN242" s="1"/>
      <c r="PRO242" s="1"/>
      <c r="PRP242" s="1"/>
      <c r="PRQ242" s="1"/>
      <c r="PRR242" s="1"/>
      <c r="PRS242" s="1"/>
      <c r="PRT242" s="1"/>
      <c r="PRU242" s="1"/>
      <c r="PRV242" s="1"/>
      <c r="PRW242" s="1"/>
      <c r="PRX242" s="1"/>
      <c r="PRY242" s="1"/>
      <c r="PRZ242" s="1"/>
      <c r="PSA242" s="1"/>
      <c r="PSB242" s="1"/>
      <c r="PSC242" s="1"/>
      <c r="PSD242" s="1"/>
      <c r="PSE242" s="1"/>
      <c r="PSF242" s="1"/>
      <c r="PSG242" s="1"/>
      <c r="PSH242" s="1"/>
      <c r="PSI242" s="1"/>
      <c r="PSJ242" s="1"/>
      <c r="PSK242" s="1"/>
      <c r="PSL242" s="1"/>
      <c r="PSM242" s="1"/>
      <c r="PSN242" s="1"/>
      <c r="PSO242" s="1"/>
      <c r="PSP242" s="1"/>
      <c r="PSQ242" s="1"/>
      <c r="PSR242" s="1"/>
      <c r="PSS242" s="1"/>
      <c r="PST242" s="1"/>
      <c r="PSU242" s="1"/>
      <c r="PSV242" s="1"/>
      <c r="PSW242" s="1"/>
      <c r="PSX242" s="1"/>
      <c r="PSY242" s="1"/>
      <c r="PSZ242" s="1"/>
      <c r="PTA242" s="1"/>
      <c r="PTB242" s="1"/>
      <c r="PTC242" s="1"/>
      <c r="PTD242" s="1"/>
      <c r="PTE242" s="1"/>
      <c r="PTF242" s="1"/>
      <c r="PTG242" s="1"/>
      <c r="PTH242" s="1"/>
      <c r="PTI242" s="1"/>
      <c r="PTJ242" s="1"/>
      <c r="PTK242" s="1"/>
      <c r="PTL242" s="1"/>
      <c r="PTM242" s="1"/>
      <c r="PTN242" s="1"/>
      <c r="PTO242" s="1"/>
      <c r="PTP242" s="1"/>
      <c r="PTQ242" s="1"/>
      <c r="PTR242" s="1"/>
      <c r="PTS242" s="1"/>
      <c r="PTT242" s="1"/>
      <c r="PTU242" s="1"/>
      <c r="PTV242" s="1"/>
      <c r="PTW242" s="1"/>
      <c r="PTX242" s="1"/>
      <c r="PTY242" s="1"/>
      <c r="PTZ242" s="1"/>
      <c r="PUA242" s="1"/>
      <c r="PUB242" s="1"/>
      <c r="PUC242" s="1"/>
      <c r="PUD242" s="1"/>
      <c r="PUE242" s="1"/>
      <c r="PUF242" s="1"/>
      <c r="PUG242" s="1"/>
      <c r="PUH242" s="1"/>
      <c r="PUI242" s="1"/>
      <c r="PUJ242" s="1"/>
      <c r="PUK242" s="1"/>
      <c r="PUL242" s="1"/>
      <c r="PUM242" s="1"/>
      <c r="PUN242" s="1"/>
      <c r="PUO242" s="1"/>
      <c r="PUP242" s="1"/>
      <c r="PUQ242" s="1"/>
      <c r="PUR242" s="1"/>
      <c r="PUS242" s="1"/>
      <c r="PUT242" s="1"/>
      <c r="PUU242" s="1"/>
      <c r="PUV242" s="1"/>
      <c r="PUW242" s="1"/>
      <c r="PUX242" s="1"/>
      <c r="PUY242" s="1"/>
      <c r="PUZ242" s="1"/>
      <c r="PVA242" s="1"/>
      <c r="PVB242" s="1"/>
      <c r="PVC242" s="1"/>
      <c r="PVD242" s="1"/>
      <c r="PVE242" s="1"/>
      <c r="PVF242" s="1"/>
      <c r="PVG242" s="1"/>
      <c r="PVH242" s="1"/>
      <c r="PVI242" s="1"/>
      <c r="PVJ242" s="1"/>
      <c r="PVK242" s="1"/>
      <c r="PVL242" s="1"/>
      <c r="PVM242" s="1"/>
      <c r="PVN242" s="1"/>
      <c r="PVO242" s="1"/>
      <c r="PVP242" s="1"/>
      <c r="PVQ242" s="1"/>
      <c r="PVR242" s="1"/>
      <c r="PVS242" s="1"/>
      <c r="PVT242" s="1"/>
      <c r="PVU242" s="1"/>
      <c r="PVV242" s="1"/>
      <c r="PVW242" s="1"/>
      <c r="PVX242" s="1"/>
      <c r="PVY242" s="1"/>
      <c r="PVZ242" s="1"/>
      <c r="PWA242" s="1"/>
      <c r="PWB242" s="1"/>
      <c r="PWC242" s="1"/>
      <c r="PWD242" s="1"/>
      <c r="PWE242" s="1"/>
      <c r="PWF242" s="1"/>
      <c r="PWG242" s="1"/>
      <c r="PWH242" s="1"/>
      <c r="PWI242" s="1"/>
      <c r="PWJ242" s="1"/>
      <c r="PWK242" s="1"/>
      <c r="PWL242" s="1"/>
      <c r="PWM242" s="1"/>
      <c r="PWN242" s="1"/>
      <c r="PWO242" s="1"/>
      <c r="PWP242" s="1"/>
      <c r="PWQ242" s="1"/>
      <c r="PWR242" s="1"/>
      <c r="PWS242" s="1"/>
      <c r="PWT242" s="1"/>
      <c r="PWU242" s="1"/>
      <c r="PWV242" s="1"/>
      <c r="PWW242" s="1"/>
      <c r="PWX242" s="1"/>
      <c r="PWY242" s="1"/>
      <c r="PWZ242" s="1"/>
      <c r="PXA242" s="1"/>
      <c r="PXB242" s="1"/>
      <c r="PXC242" s="1"/>
      <c r="PXD242" s="1"/>
      <c r="PXE242" s="1"/>
      <c r="PXF242" s="1"/>
      <c r="PXG242" s="1"/>
      <c r="PXH242" s="1"/>
      <c r="PXI242" s="1"/>
      <c r="PXJ242" s="1"/>
      <c r="PXK242" s="1"/>
      <c r="PXL242" s="1"/>
      <c r="PXM242" s="1"/>
      <c r="PXN242" s="1"/>
      <c r="PXO242" s="1"/>
      <c r="PXP242" s="1"/>
      <c r="PXQ242" s="1"/>
      <c r="PXR242" s="1"/>
      <c r="PXS242" s="1"/>
      <c r="PXT242" s="1"/>
      <c r="PXU242" s="1"/>
      <c r="PXV242" s="1"/>
      <c r="PXW242" s="1"/>
      <c r="PXX242" s="1"/>
      <c r="PXY242" s="1"/>
      <c r="PXZ242" s="1"/>
      <c r="PYA242" s="1"/>
      <c r="PYB242" s="1"/>
      <c r="PYC242" s="1"/>
      <c r="PYD242" s="1"/>
      <c r="PYE242" s="1"/>
      <c r="PYF242" s="1"/>
      <c r="PYG242" s="1"/>
      <c r="PYH242" s="1"/>
      <c r="PYI242" s="1"/>
      <c r="PYJ242" s="1"/>
      <c r="PYK242" s="1"/>
      <c r="PYL242" s="1"/>
      <c r="PYM242" s="1"/>
      <c r="PYN242" s="1"/>
      <c r="PYO242" s="1"/>
      <c r="PYP242" s="1"/>
      <c r="PYQ242" s="1"/>
      <c r="PYR242" s="1"/>
      <c r="PYS242" s="1"/>
      <c r="PYT242" s="1"/>
      <c r="PYU242" s="1"/>
      <c r="PYV242" s="1"/>
      <c r="PYW242" s="1"/>
      <c r="PYX242" s="1"/>
      <c r="PYY242" s="1"/>
      <c r="PYZ242" s="1"/>
      <c r="PZA242" s="1"/>
      <c r="PZB242" s="1"/>
      <c r="PZC242" s="1"/>
      <c r="PZD242" s="1"/>
      <c r="PZE242" s="1"/>
      <c r="PZF242" s="1"/>
      <c r="PZG242" s="1"/>
      <c r="PZH242" s="1"/>
      <c r="PZI242" s="1"/>
      <c r="PZJ242" s="1"/>
      <c r="PZK242" s="1"/>
      <c r="PZL242" s="1"/>
      <c r="PZM242" s="1"/>
      <c r="PZN242" s="1"/>
      <c r="PZO242" s="1"/>
      <c r="PZP242" s="1"/>
      <c r="PZQ242" s="1"/>
      <c r="PZR242" s="1"/>
      <c r="PZS242" s="1"/>
      <c r="PZT242" s="1"/>
      <c r="PZU242" s="1"/>
      <c r="PZV242" s="1"/>
      <c r="PZW242" s="1"/>
      <c r="PZX242" s="1"/>
      <c r="PZY242" s="1"/>
      <c r="PZZ242" s="1"/>
      <c r="QAA242" s="1"/>
      <c r="QAB242" s="1"/>
      <c r="QAC242" s="1"/>
      <c r="QAD242" s="1"/>
      <c r="QAE242" s="1"/>
      <c r="QAF242" s="1"/>
      <c r="QAG242" s="1"/>
      <c r="QAH242" s="1"/>
      <c r="QAI242" s="1"/>
      <c r="QAJ242" s="1"/>
      <c r="QAK242" s="1"/>
      <c r="QAL242" s="1"/>
      <c r="QAM242" s="1"/>
      <c r="QAN242" s="1"/>
      <c r="QAO242" s="1"/>
      <c r="QAP242" s="1"/>
      <c r="QAQ242" s="1"/>
      <c r="QAR242" s="1"/>
      <c r="QAS242" s="1"/>
      <c r="QAT242" s="1"/>
      <c r="QAU242" s="1"/>
      <c r="QAV242" s="1"/>
      <c r="QAW242" s="1"/>
      <c r="QAX242" s="1"/>
      <c r="QAY242" s="1"/>
      <c r="QAZ242" s="1"/>
      <c r="QBA242" s="1"/>
      <c r="QBB242" s="1"/>
      <c r="QBC242" s="1"/>
      <c r="QBD242" s="1"/>
      <c r="QBE242" s="1"/>
      <c r="QBF242" s="1"/>
      <c r="QBG242" s="1"/>
      <c r="QBH242" s="1"/>
      <c r="QBI242" s="1"/>
      <c r="QBJ242" s="1"/>
      <c r="QBK242" s="1"/>
      <c r="QBL242" s="1"/>
      <c r="QBM242" s="1"/>
      <c r="QBN242" s="1"/>
      <c r="QBO242" s="1"/>
      <c r="QBP242" s="1"/>
      <c r="QBQ242" s="1"/>
      <c r="QBR242" s="1"/>
      <c r="QBS242" s="1"/>
      <c r="QBT242" s="1"/>
      <c r="QBU242" s="1"/>
      <c r="QBV242" s="1"/>
      <c r="QBW242" s="1"/>
      <c r="QBX242" s="1"/>
      <c r="QBY242" s="1"/>
      <c r="QBZ242" s="1"/>
      <c r="QCA242" s="1"/>
      <c r="QCB242" s="1"/>
      <c r="QCC242" s="1"/>
      <c r="QCD242" s="1"/>
      <c r="QCE242" s="1"/>
      <c r="QCF242" s="1"/>
      <c r="QCG242" s="1"/>
      <c r="QCH242" s="1"/>
      <c r="QCI242" s="1"/>
      <c r="QCJ242" s="1"/>
      <c r="QCK242" s="1"/>
      <c r="QCL242" s="1"/>
      <c r="QCM242" s="1"/>
      <c r="QCN242" s="1"/>
      <c r="QCO242" s="1"/>
      <c r="QCP242" s="1"/>
      <c r="QCQ242" s="1"/>
      <c r="QCR242" s="1"/>
      <c r="QCS242" s="1"/>
      <c r="QCT242" s="1"/>
      <c r="QCU242" s="1"/>
      <c r="QCV242" s="1"/>
      <c r="QCW242" s="1"/>
      <c r="QCX242" s="1"/>
      <c r="QCY242" s="1"/>
      <c r="QCZ242" s="1"/>
      <c r="QDA242" s="1"/>
      <c r="QDB242" s="1"/>
      <c r="QDC242" s="1"/>
      <c r="QDD242" s="1"/>
      <c r="QDE242" s="1"/>
      <c r="QDF242" s="1"/>
      <c r="QDG242" s="1"/>
      <c r="QDH242" s="1"/>
      <c r="QDI242" s="1"/>
      <c r="QDJ242" s="1"/>
      <c r="QDK242" s="1"/>
      <c r="QDL242" s="1"/>
      <c r="QDM242" s="1"/>
      <c r="QDN242" s="1"/>
      <c r="QDO242" s="1"/>
      <c r="QDP242" s="1"/>
      <c r="QDQ242" s="1"/>
      <c r="QDR242" s="1"/>
      <c r="QDS242" s="1"/>
      <c r="QDT242" s="1"/>
      <c r="QDU242" s="1"/>
      <c r="QDV242" s="1"/>
      <c r="QDW242" s="1"/>
      <c r="QDX242" s="1"/>
      <c r="QDY242" s="1"/>
      <c r="QDZ242" s="1"/>
      <c r="QEA242" s="1"/>
      <c r="QEB242" s="1"/>
      <c r="QEC242" s="1"/>
      <c r="QED242" s="1"/>
      <c r="QEE242" s="1"/>
      <c r="QEF242" s="1"/>
      <c r="QEG242" s="1"/>
      <c r="QEH242" s="1"/>
      <c r="QEI242" s="1"/>
      <c r="QEJ242" s="1"/>
      <c r="QEK242" s="1"/>
      <c r="QEL242" s="1"/>
      <c r="QEM242" s="1"/>
      <c r="QEN242" s="1"/>
      <c r="QEO242" s="1"/>
      <c r="QEP242" s="1"/>
      <c r="QEQ242" s="1"/>
      <c r="QER242" s="1"/>
      <c r="QES242" s="1"/>
      <c r="QET242" s="1"/>
      <c r="QEU242" s="1"/>
      <c r="QEV242" s="1"/>
      <c r="QEW242" s="1"/>
      <c r="QEX242" s="1"/>
      <c r="QEY242" s="1"/>
      <c r="QEZ242" s="1"/>
      <c r="QFA242" s="1"/>
      <c r="QFB242" s="1"/>
      <c r="QFC242" s="1"/>
      <c r="QFD242" s="1"/>
      <c r="QFE242" s="1"/>
      <c r="QFF242" s="1"/>
      <c r="QFG242" s="1"/>
      <c r="QFH242" s="1"/>
      <c r="QFI242" s="1"/>
      <c r="QFJ242" s="1"/>
      <c r="QFK242" s="1"/>
      <c r="QFL242" s="1"/>
      <c r="QFM242" s="1"/>
      <c r="QFN242" s="1"/>
      <c r="QFO242" s="1"/>
      <c r="QFP242" s="1"/>
      <c r="QFQ242" s="1"/>
      <c r="QFR242" s="1"/>
      <c r="QFS242" s="1"/>
      <c r="QFT242" s="1"/>
      <c r="QFU242" s="1"/>
      <c r="QFV242" s="1"/>
      <c r="QFW242" s="1"/>
      <c r="QFX242" s="1"/>
      <c r="QFY242" s="1"/>
      <c r="QFZ242" s="1"/>
      <c r="QGA242" s="1"/>
      <c r="QGB242" s="1"/>
      <c r="QGC242" s="1"/>
      <c r="QGD242" s="1"/>
      <c r="QGE242" s="1"/>
      <c r="QGF242" s="1"/>
      <c r="QGG242" s="1"/>
      <c r="QGH242" s="1"/>
      <c r="QGI242" s="1"/>
      <c r="QGJ242" s="1"/>
      <c r="QGK242" s="1"/>
      <c r="QGL242" s="1"/>
      <c r="QGM242" s="1"/>
      <c r="QGN242" s="1"/>
      <c r="QGO242" s="1"/>
      <c r="QGP242" s="1"/>
      <c r="QGQ242" s="1"/>
      <c r="QGR242" s="1"/>
      <c r="QGS242" s="1"/>
      <c r="QGT242" s="1"/>
      <c r="QGU242" s="1"/>
      <c r="QGV242" s="1"/>
      <c r="QGW242" s="1"/>
      <c r="QGX242" s="1"/>
      <c r="QGY242" s="1"/>
      <c r="QGZ242" s="1"/>
      <c r="QHA242" s="1"/>
      <c r="QHB242" s="1"/>
      <c r="QHC242" s="1"/>
      <c r="QHD242" s="1"/>
      <c r="QHE242" s="1"/>
      <c r="QHF242" s="1"/>
      <c r="QHG242" s="1"/>
      <c r="QHH242" s="1"/>
      <c r="QHI242" s="1"/>
      <c r="QHJ242" s="1"/>
      <c r="QHK242" s="1"/>
      <c r="QHL242" s="1"/>
      <c r="QHM242" s="1"/>
      <c r="QHN242" s="1"/>
      <c r="QHO242" s="1"/>
      <c r="QHP242" s="1"/>
      <c r="QHQ242" s="1"/>
      <c r="QHR242" s="1"/>
      <c r="QHS242" s="1"/>
      <c r="QHT242" s="1"/>
      <c r="QHU242" s="1"/>
      <c r="QHV242" s="1"/>
      <c r="QHW242" s="1"/>
      <c r="QHX242" s="1"/>
      <c r="QHY242" s="1"/>
      <c r="QHZ242" s="1"/>
      <c r="QIA242" s="1"/>
      <c r="QIB242" s="1"/>
      <c r="QIC242" s="1"/>
      <c r="QID242" s="1"/>
      <c r="QIE242" s="1"/>
      <c r="QIF242" s="1"/>
      <c r="QIG242" s="1"/>
      <c r="QIH242" s="1"/>
      <c r="QII242" s="1"/>
      <c r="QIJ242" s="1"/>
      <c r="QIK242" s="1"/>
      <c r="QIL242" s="1"/>
      <c r="QIM242" s="1"/>
      <c r="QIN242" s="1"/>
      <c r="QIO242" s="1"/>
      <c r="QIP242" s="1"/>
      <c r="QIQ242" s="1"/>
      <c r="QIR242" s="1"/>
      <c r="QIS242" s="1"/>
      <c r="QIT242" s="1"/>
      <c r="QIU242" s="1"/>
      <c r="QIV242" s="1"/>
      <c r="QIW242" s="1"/>
      <c r="QIX242" s="1"/>
      <c r="QIY242" s="1"/>
      <c r="QIZ242" s="1"/>
      <c r="QJA242" s="1"/>
      <c r="QJB242" s="1"/>
      <c r="QJC242" s="1"/>
      <c r="QJD242" s="1"/>
      <c r="QJE242" s="1"/>
      <c r="QJF242" s="1"/>
      <c r="QJG242" s="1"/>
      <c r="QJH242" s="1"/>
      <c r="QJI242" s="1"/>
      <c r="QJJ242" s="1"/>
      <c r="QJK242" s="1"/>
      <c r="QJL242" s="1"/>
      <c r="QJM242" s="1"/>
      <c r="QJN242" s="1"/>
      <c r="QJO242" s="1"/>
      <c r="QJP242" s="1"/>
      <c r="QJQ242" s="1"/>
      <c r="QJR242" s="1"/>
      <c r="QJS242" s="1"/>
      <c r="QJT242" s="1"/>
      <c r="QJU242" s="1"/>
      <c r="QJV242" s="1"/>
      <c r="QJW242" s="1"/>
      <c r="QJX242" s="1"/>
      <c r="QJY242" s="1"/>
      <c r="QJZ242" s="1"/>
      <c r="QKA242" s="1"/>
      <c r="QKB242" s="1"/>
      <c r="QKC242" s="1"/>
      <c r="QKD242" s="1"/>
      <c r="QKE242" s="1"/>
      <c r="QKF242" s="1"/>
      <c r="QKG242" s="1"/>
      <c r="QKH242" s="1"/>
      <c r="QKI242" s="1"/>
      <c r="QKJ242" s="1"/>
      <c r="QKK242" s="1"/>
      <c r="QKL242" s="1"/>
      <c r="QKM242" s="1"/>
      <c r="QKN242" s="1"/>
      <c r="QKO242" s="1"/>
      <c r="QKP242" s="1"/>
      <c r="QKQ242" s="1"/>
      <c r="QKR242" s="1"/>
      <c r="QKS242" s="1"/>
      <c r="QKT242" s="1"/>
      <c r="QKU242" s="1"/>
      <c r="QKV242" s="1"/>
      <c r="QKW242" s="1"/>
      <c r="QKX242" s="1"/>
      <c r="QKY242" s="1"/>
      <c r="QKZ242" s="1"/>
      <c r="QLA242" s="1"/>
      <c r="QLB242" s="1"/>
      <c r="QLC242" s="1"/>
      <c r="QLD242" s="1"/>
      <c r="QLE242" s="1"/>
      <c r="QLF242" s="1"/>
      <c r="QLG242" s="1"/>
      <c r="QLH242" s="1"/>
      <c r="QLI242" s="1"/>
      <c r="QLJ242" s="1"/>
      <c r="QLK242" s="1"/>
      <c r="QLL242" s="1"/>
      <c r="QLM242" s="1"/>
      <c r="QLN242" s="1"/>
      <c r="QLO242" s="1"/>
      <c r="QLP242" s="1"/>
      <c r="QLQ242" s="1"/>
      <c r="QLR242" s="1"/>
      <c r="QLS242" s="1"/>
      <c r="QLT242" s="1"/>
      <c r="QLU242" s="1"/>
      <c r="QLV242" s="1"/>
      <c r="QLW242" s="1"/>
      <c r="QLX242" s="1"/>
      <c r="QLY242" s="1"/>
      <c r="QLZ242" s="1"/>
      <c r="QMA242" s="1"/>
      <c r="QMB242" s="1"/>
      <c r="QMC242" s="1"/>
      <c r="QMD242" s="1"/>
      <c r="QME242" s="1"/>
      <c r="QMF242" s="1"/>
      <c r="QMG242" s="1"/>
      <c r="QMH242" s="1"/>
      <c r="QMI242" s="1"/>
      <c r="QMJ242" s="1"/>
      <c r="QMK242" s="1"/>
      <c r="QML242" s="1"/>
      <c r="QMM242" s="1"/>
      <c r="QMN242" s="1"/>
      <c r="QMO242" s="1"/>
      <c r="QMP242" s="1"/>
      <c r="QMQ242" s="1"/>
      <c r="QMR242" s="1"/>
      <c r="QMS242" s="1"/>
      <c r="QMT242" s="1"/>
      <c r="QMU242" s="1"/>
      <c r="QMV242" s="1"/>
      <c r="QMW242" s="1"/>
      <c r="QMX242" s="1"/>
      <c r="QMY242" s="1"/>
      <c r="QMZ242" s="1"/>
      <c r="QNA242" s="1"/>
      <c r="QNB242" s="1"/>
      <c r="QNC242" s="1"/>
      <c r="QND242" s="1"/>
      <c r="QNE242" s="1"/>
      <c r="QNF242" s="1"/>
      <c r="QNG242" s="1"/>
      <c r="QNH242" s="1"/>
      <c r="QNI242" s="1"/>
      <c r="QNJ242" s="1"/>
      <c r="QNK242" s="1"/>
      <c r="QNL242" s="1"/>
      <c r="QNM242" s="1"/>
      <c r="QNN242" s="1"/>
      <c r="QNO242" s="1"/>
      <c r="QNP242" s="1"/>
      <c r="QNQ242" s="1"/>
      <c r="QNR242" s="1"/>
      <c r="QNS242" s="1"/>
      <c r="QNT242" s="1"/>
      <c r="QNU242" s="1"/>
      <c r="QNV242" s="1"/>
      <c r="QNW242" s="1"/>
      <c r="QNX242" s="1"/>
      <c r="QNY242" s="1"/>
      <c r="QNZ242" s="1"/>
      <c r="QOA242" s="1"/>
      <c r="QOB242" s="1"/>
      <c r="QOC242" s="1"/>
      <c r="QOD242" s="1"/>
      <c r="QOE242" s="1"/>
      <c r="QOF242" s="1"/>
      <c r="QOG242" s="1"/>
      <c r="QOH242" s="1"/>
      <c r="QOI242" s="1"/>
      <c r="QOJ242" s="1"/>
      <c r="QOK242" s="1"/>
      <c r="QOL242" s="1"/>
      <c r="QOM242" s="1"/>
      <c r="QON242" s="1"/>
      <c r="QOO242" s="1"/>
      <c r="QOP242" s="1"/>
      <c r="QOQ242" s="1"/>
      <c r="QOR242" s="1"/>
      <c r="QOS242" s="1"/>
      <c r="QOT242" s="1"/>
      <c r="QOU242" s="1"/>
      <c r="QOV242" s="1"/>
      <c r="QOW242" s="1"/>
      <c r="QOX242" s="1"/>
      <c r="QOY242" s="1"/>
      <c r="QOZ242" s="1"/>
      <c r="QPA242" s="1"/>
      <c r="QPB242" s="1"/>
      <c r="QPC242" s="1"/>
      <c r="QPD242" s="1"/>
      <c r="QPE242" s="1"/>
      <c r="QPF242" s="1"/>
      <c r="QPG242" s="1"/>
      <c r="QPH242" s="1"/>
      <c r="QPI242" s="1"/>
      <c r="QPJ242" s="1"/>
      <c r="QPK242" s="1"/>
      <c r="QPL242" s="1"/>
      <c r="QPM242" s="1"/>
      <c r="QPN242" s="1"/>
      <c r="QPO242" s="1"/>
      <c r="QPP242" s="1"/>
      <c r="QPQ242" s="1"/>
      <c r="QPR242" s="1"/>
      <c r="QPS242" s="1"/>
      <c r="QPT242" s="1"/>
      <c r="QPU242" s="1"/>
      <c r="QPV242" s="1"/>
      <c r="QPW242" s="1"/>
      <c r="QPX242" s="1"/>
      <c r="QPY242" s="1"/>
      <c r="QPZ242" s="1"/>
      <c r="QQA242" s="1"/>
      <c r="QQB242" s="1"/>
      <c r="QQC242" s="1"/>
      <c r="QQD242" s="1"/>
      <c r="QQE242" s="1"/>
      <c r="QQF242" s="1"/>
      <c r="QQG242" s="1"/>
      <c r="QQH242" s="1"/>
      <c r="QQI242" s="1"/>
      <c r="QQJ242" s="1"/>
      <c r="QQK242" s="1"/>
      <c r="QQL242" s="1"/>
      <c r="QQM242" s="1"/>
      <c r="QQN242" s="1"/>
      <c r="QQO242" s="1"/>
      <c r="QQP242" s="1"/>
      <c r="QQQ242" s="1"/>
      <c r="QQR242" s="1"/>
      <c r="QQS242" s="1"/>
      <c r="QQT242" s="1"/>
      <c r="QQU242" s="1"/>
      <c r="QQV242" s="1"/>
      <c r="QQW242" s="1"/>
      <c r="QQX242" s="1"/>
      <c r="QQY242" s="1"/>
      <c r="QQZ242" s="1"/>
      <c r="QRA242" s="1"/>
      <c r="QRB242" s="1"/>
      <c r="QRC242" s="1"/>
      <c r="QRD242" s="1"/>
      <c r="QRE242" s="1"/>
      <c r="QRF242" s="1"/>
      <c r="QRG242" s="1"/>
      <c r="QRH242" s="1"/>
      <c r="QRI242" s="1"/>
      <c r="QRJ242" s="1"/>
      <c r="QRK242" s="1"/>
      <c r="QRL242" s="1"/>
      <c r="QRM242" s="1"/>
      <c r="QRN242" s="1"/>
      <c r="QRO242" s="1"/>
      <c r="QRP242" s="1"/>
      <c r="QRQ242" s="1"/>
      <c r="QRR242" s="1"/>
      <c r="QRS242" s="1"/>
      <c r="QRT242" s="1"/>
      <c r="QRU242" s="1"/>
      <c r="QRV242" s="1"/>
      <c r="QRW242" s="1"/>
      <c r="QRX242" s="1"/>
      <c r="QRY242" s="1"/>
      <c r="QRZ242" s="1"/>
      <c r="QSA242" s="1"/>
      <c r="QSB242" s="1"/>
      <c r="QSC242" s="1"/>
      <c r="QSD242" s="1"/>
      <c r="QSE242" s="1"/>
      <c r="QSF242" s="1"/>
      <c r="QSG242" s="1"/>
      <c r="QSH242" s="1"/>
      <c r="QSI242" s="1"/>
      <c r="QSJ242" s="1"/>
      <c r="QSK242" s="1"/>
      <c r="QSL242" s="1"/>
      <c r="QSM242" s="1"/>
      <c r="QSN242" s="1"/>
      <c r="QSO242" s="1"/>
      <c r="QSP242" s="1"/>
      <c r="QSQ242" s="1"/>
      <c r="QSR242" s="1"/>
      <c r="QSS242" s="1"/>
      <c r="QST242" s="1"/>
      <c r="QSU242" s="1"/>
      <c r="QSV242" s="1"/>
      <c r="QSW242" s="1"/>
      <c r="QSX242" s="1"/>
      <c r="QSY242" s="1"/>
      <c r="QSZ242" s="1"/>
      <c r="QTA242" s="1"/>
      <c r="QTB242" s="1"/>
      <c r="QTC242" s="1"/>
      <c r="QTD242" s="1"/>
      <c r="QTE242" s="1"/>
      <c r="QTF242" s="1"/>
      <c r="QTG242" s="1"/>
      <c r="QTH242" s="1"/>
      <c r="QTI242" s="1"/>
      <c r="QTJ242" s="1"/>
      <c r="QTK242" s="1"/>
      <c r="QTL242" s="1"/>
      <c r="QTM242" s="1"/>
      <c r="QTN242" s="1"/>
      <c r="QTO242" s="1"/>
      <c r="QTP242" s="1"/>
      <c r="QTQ242" s="1"/>
      <c r="QTR242" s="1"/>
      <c r="QTS242" s="1"/>
      <c r="QTT242" s="1"/>
      <c r="QTU242" s="1"/>
      <c r="QTV242" s="1"/>
      <c r="QTW242" s="1"/>
      <c r="QTX242" s="1"/>
      <c r="QTY242" s="1"/>
      <c r="QTZ242" s="1"/>
      <c r="QUA242" s="1"/>
      <c r="QUB242" s="1"/>
      <c r="QUC242" s="1"/>
      <c r="QUD242" s="1"/>
      <c r="QUE242" s="1"/>
      <c r="QUF242" s="1"/>
      <c r="QUG242" s="1"/>
      <c r="QUH242" s="1"/>
      <c r="QUI242" s="1"/>
      <c r="QUJ242" s="1"/>
      <c r="QUK242" s="1"/>
      <c r="QUL242" s="1"/>
      <c r="QUM242" s="1"/>
      <c r="QUN242" s="1"/>
      <c r="QUO242" s="1"/>
      <c r="QUP242" s="1"/>
      <c r="QUQ242" s="1"/>
      <c r="QUR242" s="1"/>
      <c r="QUS242" s="1"/>
      <c r="QUT242" s="1"/>
      <c r="QUU242" s="1"/>
      <c r="QUV242" s="1"/>
      <c r="QUW242" s="1"/>
      <c r="QUX242" s="1"/>
      <c r="QUY242" s="1"/>
      <c r="QUZ242" s="1"/>
      <c r="QVA242" s="1"/>
      <c r="QVB242" s="1"/>
      <c r="QVC242" s="1"/>
      <c r="QVD242" s="1"/>
      <c r="QVE242" s="1"/>
      <c r="QVF242" s="1"/>
      <c r="QVG242" s="1"/>
      <c r="QVH242" s="1"/>
      <c r="QVI242" s="1"/>
      <c r="QVJ242" s="1"/>
      <c r="QVK242" s="1"/>
      <c r="QVL242" s="1"/>
      <c r="QVM242" s="1"/>
      <c r="QVN242" s="1"/>
      <c r="QVO242" s="1"/>
      <c r="QVP242" s="1"/>
      <c r="QVQ242" s="1"/>
      <c r="QVR242" s="1"/>
      <c r="QVS242" s="1"/>
      <c r="QVT242" s="1"/>
      <c r="QVU242" s="1"/>
      <c r="QVV242" s="1"/>
      <c r="QVW242" s="1"/>
      <c r="QVX242" s="1"/>
      <c r="QVY242" s="1"/>
      <c r="QVZ242" s="1"/>
      <c r="QWA242" s="1"/>
      <c r="QWB242" s="1"/>
      <c r="QWC242" s="1"/>
      <c r="QWD242" s="1"/>
      <c r="QWE242" s="1"/>
      <c r="QWF242" s="1"/>
      <c r="QWG242" s="1"/>
      <c r="QWH242" s="1"/>
      <c r="QWI242" s="1"/>
      <c r="QWJ242" s="1"/>
      <c r="QWK242" s="1"/>
      <c r="QWL242" s="1"/>
      <c r="QWM242" s="1"/>
      <c r="QWN242" s="1"/>
      <c r="QWO242" s="1"/>
      <c r="QWP242" s="1"/>
      <c r="QWQ242" s="1"/>
      <c r="QWR242" s="1"/>
      <c r="QWS242" s="1"/>
      <c r="QWT242" s="1"/>
      <c r="QWU242" s="1"/>
      <c r="QWV242" s="1"/>
      <c r="QWW242" s="1"/>
      <c r="QWX242" s="1"/>
      <c r="QWY242" s="1"/>
      <c r="QWZ242" s="1"/>
      <c r="QXA242" s="1"/>
      <c r="QXB242" s="1"/>
      <c r="QXC242" s="1"/>
      <c r="QXD242" s="1"/>
      <c r="QXE242" s="1"/>
      <c r="QXF242" s="1"/>
      <c r="QXG242" s="1"/>
      <c r="QXH242" s="1"/>
      <c r="QXI242" s="1"/>
      <c r="QXJ242" s="1"/>
      <c r="QXK242" s="1"/>
      <c r="QXL242" s="1"/>
      <c r="QXM242" s="1"/>
      <c r="QXN242" s="1"/>
      <c r="QXO242" s="1"/>
      <c r="QXP242" s="1"/>
      <c r="QXQ242" s="1"/>
      <c r="QXR242" s="1"/>
      <c r="QXS242" s="1"/>
      <c r="QXT242" s="1"/>
      <c r="QXU242" s="1"/>
      <c r="QXV242" s="1"/>
      <c r="QXW242" s="1"/>
      <c r="QXX242" s="1"/>
      <c r="QXY242" s="1"/>
      <c r="QXZ242" s="1"/>
      <c r="QYA242" s="1"/>
      <c r="QYB242" s="1"/>
      <c r="QYC242" s="1"/>
      <c r="QYD242" s="1"/>
      <c r="QYE242" s="1"/>
      <c r="QYF242" s="1"/>
      <c r="QYG242" s="1"/>
      <c r="QYH242" s="1"/>
      <c r="QYI242" s="1"/>
      <c r="QYJ242" s="1"/>
      <c r="QYK242" s="1"/>
      <c r="QYL242" s="1"/>
      <c r="QYM242" s="1"/>
      <c r="QYN242" s="1"/>
      <c r="QYO242" s="1"/>
      <c r="QYP242" s="1"/>
      <c r="QYQ242" s="1"/>
      <c r="QYR242" s="1"/>
      <c r="QYS242" s="1"/>
      <c r="QYT242" s="1"/>
      <c r="QYU242" s="1"/>
      <c r="QYV242" s="1"/>
      <c r="QYW242" s="1"/>
      <c r="QYX242" s="1"/>
      <c r="QYY242" s="1"/>
      <c r="QYZ242" s="1"/>
      <c r="QZA242" s="1"/>
      <c r="QZB242" s="1"/>
      <c r="QZC242" s="1"/>
      <c r="QZD242" s="1"/>
      <c r="QZE242" s="1"/>
      <c r="QZF242" s="1"/>
      <c r="QZG242" s="1"/>
      <c r="QZH242" s="1"/>
      <c r="QZI242" s="1"/>
      <c r="QZJ242" s="1"/>
      <c r="QZK242" s="1"/>
      <c r="QZL242" s="1"/>
      <c r="QZM242" s="1"/>
      <c r="QZN242" s="1"/>
      <c r="QZO242" s="1"/>
      <c r="QZP242" s="1"/>
      <c r="QZQ242" s="1"/>
      <c r="QZR242" s="1"/>
      <c r="QZS242" s="1"/>
      <c r="QZT242" s="1"/>
      <c r="QZU242" s="1"/>
      <c r="QZV242" s="1"/>
      <c r="QZW242" s="1"/>
      <c r="QZX242" s="1"/>
      <c r="QZY242" s="1"/>
      <c r="QZZ242" s="1"/>
      <c r="RAA242" s="1"/>
      <c r="RAB242" s="1"/>
      <c r="RAC242" s="1"/>
      <c r="RAD242" s="1"/>
      <c r="RAE242" s="1"/>
      <c r="RAF242" s="1"/>
      <c r="RAG242" s="1"/>
      <c r="RAH242" s="1"/>
      <c r="RAI242" s="1"/>
      <c r="RAJ242" s="1"/>
      <c r="RAK242" s="1"/>
      <c r="RAL242" s="1"/>
      <c r="RAM242" s="1"/>
      <c r="RAN242" s="1"/>
      <c r="RAO242" s="1"/>
      <c r="RAP242" s="1"/>
      <c r="RAQ242" s="1"/>
      <c r="RAR242" s="1"/>
      <c r="RAS242" s="1"/>
      <c r="RAT242" s="1"/>
      <c r="RAU242" s="1"/>
      <c r="RAV242" s="1"/>
      <c r="RAW242" s="1"/>
      <c r="RAX242" s="1"/>
      <c r="RAY242" s="1"/>
      <c r="RAZ242" s="1"/>
      <c r="RBA242" s="1"/>
      <c r="RBB242" s="1"/>
      <c r="RBC242" s="1"/>
      <c r="RBD242" s="1"/>
      <c r="RBE242" s="1"/>
      <c r="RBF242" s="1"/>
      <c r="RBG242" s="1"/>
      <c r="RBH242" s="1"/>
      <c r="RBI242" s="1"/>
      <c r="RBJ242" s="1"/>
      <c r="RBK242" s="1"/>
      <c r="RBL242" s="1"/>
      <c r="RBM242" s="1"/>
      <c r="RBN242" s="1"/>
      <c r="RBO242" s="1"/>
      <c r="RBP242" s="1"/>
      <c r="RBQ242" s="1"/>
      <c r="RBR242" s="1"/>
      <c r="RBS242" s="1"/>
      <c r="RBT242" s="1"/>
      <c r="RBU242" s="1"/>
      <c r="RBV242" s="1"/>
      <c r="RBW242" s="1"/>
      <c r="RBX242" s="1"/>
      <c r="RBY242" s="1"/>
      <c r="RBZ242" s="1"/>
      <c r="RCA242" s="1"/>
      <c r="RCB242" s="1"/>
      <c r="RCC242" s="1"/>
      <c r="RCD242" s="1"/>
      <c r="RCE242" s="1"/>
      <c r="RCF242" s="1"/>
      <c r="RCG242" s="1"/>
      <c r="RCH242" s="1"/>
      <c r="RCI242" s="1"/>
      <c r="RCJ242" s="1"/>
      <c r="RCK242" s="1"/>
      <c r="RCL242" s="1"/>
      <c r="RCM242" s="1"/>
      <c r="RCN242" s="1"/>
      <c r="RCO242" s="1"/>
      <c r="RCP242" s="1"/>
      <c r="RCQ242" s="1"/>
      <c r="RCR242" s="1"/>
      <c r="RCS242" s="1"/>
      <c r="RCT242" s="1"/>
      <c r="RCU242" s="1"/>
      <c r="RCV242" s="1"/>
      <c r="RCW242" s="1"/>
      <c r="RCX242" s="1"/>
      <c r="RCY242" s="1"/>
      <c r="RCZ242" s="1"/>
      <c r="RDA242" s="1"/>
      <c r="RDB242" s="1"/>
      <c r="RDC242" s="1"/>
      <c r="RDD242" s="1"/>
      <c r="RDE242" s="1"/>
      <c r="RDF242" s="1"/>
      <c r="RDG242" s="1"/>
      <c r="RDH242" s="1"/>
      <c r="RDI242" s="1"/>
      <c r="RDJ242" s="1"/>
      <c r="RDK242" s="1"/>
      <c r="RDL242" s="1"/>
      <c r="RDM242" s="1"/>
      <c r="RDN242" s="1"/>
      <c r="RDO242" s="1"/>
      <c r="RDP242" s="1"/>
      <c r="RDQ242" s="1"/>
      <c r="RDR242" s="1"/>
      <c r="RDS242" s="1"/>
      <c r="RDT242" s="1"/>
      <c r="RDU242" s="1"/>
      <c r="RDV242" s="1"/>
      <c r="RDW242" s="1"/>
      <c r="RDX242" s="1"/>
      <c r="RDY242" s="1"/>
      <c r="RDZ242" s="1"/>
      <c r="REA242" s="1"/>
      <c r="REB242" s="1"/>
      <c r="REC242" s="1"/>
      <c r="RED242" s="1"/>
      <c r="REE242" s="1"/>
      <c r="REF242" s="1"/>
      <c r="REG242" s="1"/>
      <c r="REH242" s="1"/>
      <c r="REI242" s="1"/>
      <c r="REJ242" s="1"/>
      <c r="REK242" s="1"/>
      <c r="REL242" s="1"/>
      <c r="REM242" s="1"/>
      <c r="REN242" s="1"/>
      <c r="REO242" s="1"/>
      <c r="REP242" s="1"/>
      <c r="REQ242" s="1"/>
      <c r="RER242" s="1"/>
      <c r="RES242" s="1"/>
      <c r="RET242" s="1"/>
      <c r="REU242" s="1"/>
      <c r="REV242" s="1"/>
      <c r="REW242" s="1"/>
      <c r="REX242" s="1"/>
      <c r="REY242" s="1"/>
      <c r="REZ242" s="1"/>
      <c r="RFA242" s="1"/>
      <c r="RFB242" s="1"/>
      <c r="RFC242" s="1"/>
      <c r="RFD242" s="1"/>
      <c r="RFE242" s="1"/>
      <c r="RFF242" s="1"/>
      <c r="RFG242" s="1"/>
      <c r="RFH242" s="1"/>
      <c r="RFI242" s="1"/>
      <c r="RFJ242" s="1"/>
      <c r="RFK242" s="1"/>
      <c r="RFL242" s="1"/>
      <c r="RFM242" s="1"/>
      <c r="RFN242" s="1"/>
      <c r="RFO242" s="1"/>
      <c r="RFP242" s="1"/>
      <c r="RFQ242" s="1"/>
      <c r="RFR242" s="1"/>
      <c r="RFS242" s="1"/>
      <c r="RFT242" s="1"/>
      <c r="RFU242" s="1"/>
      <c r="RFV242" s="1"/>
      <c r="RFW242" s="1"/>
      <c r="RFX242" s="1"/>
      <c r="RFY242" s="1"/>
      <c r="RFZ242" s="1"/>
      <c r="RGA242" s="1"/>
      <c r="RGB242" s="1"/>
      <c r="RGC242" s="1"/>
      <c r="RGD242" s="1"/>
      <c r="RGE242" s="1"/>
      <c r="RGF242" s="1"/>
      <c r="RGG242" s="1"/>
      <c r="RGH242" s="1"/>
      <c r="RGI242" s="1"/>
      <c r="RGJ242" s="1"/>
      <c r="RGK242" s="1"/>
      <c r="RGL242" s="1"/>
      <c r="RGM242" s="1"/>
      <c r="RGN242" s="1"/>
      <c r="RGO242" s="1"/>
      <c r="RGP242" s="1"/>
      <c r="RGQ242" s="1"/>
      <c r="RGR242" s="1"/>
      <c r="RGS242" s="1"/>
      <c r="RGT242" s="1"/>
      <c r="RGU242" s="1"/>
      <c r="RGV242" s="1"/>
      <c r="RGW242" s="1"/>
      <c r="RGX242" s="1"/>
      <c r="RGY242" s="1"/>
      <c r="RGZ242" s="1"/>
      <c r="RHA242" s="1"/>
      <c r="RHB242" s="1"/>
      <c r="RHC242" s="1"/>
      <c r="RHD242" s="1"/>
      <c r="RHE242" s="1"/>
      <c r="RHF242" s="1"/>
      <c r="RHG242" s="1"/>
      <c r="RHH242" s="1"/>
      <c r="RHI242" s="1"/>
      <c r="RHJ242" s="1"/>
      <c r="RHK242" s="1"/>
      <c r="RHL242" s="1"/>
      <c r="RHM242" s="1"/>
      <c r="RHN242" s="1"/>
      <c r="RHO242" s="1"/>
      <c r="RHP242" s="1"/>
      <c r="RHQ242" s="1"/>
      <c r="RHR242" s="1"/>
      <c r="RHS242" s="1"/>
      <c r="RHT242" s="1"/>
      <c r="RHU242" s="1"/>
      <c r="RHV242" s="1"/>
      <c r="RHW242" s="1"/>
      <c r="RHX242" s="1"/>
      <c r="RHY242" s="1"/>
      <c r="RHZ242" s="1"/>
      <c r="RIA242" s="1"/>
      <c r="RIB242" s="1"/>
      <c r="RIC242" s="1"/>
      <c r="RID242" s="1"/>
      <c r="RIE242" s="1"/>
      <c r="RIF242" s="1"/>
      <c r="RIG242" s="1"/>
      <c r="RIH242" s="1"/>
      <c r="RII242" s="1"/>
      <c r="RIJ242" s="1"/>
      <c r="RIK242" s="1"/>
      <c r="RIL242" s="1"/>
      <c r="RIM242" s="1"/>
      <c r="RIN242" s="1"/>
      <c r="RIO242" s="1"/>
      <c r="RIP242" s="1"/>
      <c r="RIQ242" s="1"/>
      <c r="RIR242" s="1"/>
      <c r="RIS242" s="1"/>
      <c r="RIT242" s="1"/>
      <c r="RIU242" s="1"/>
      <c r="RIV242" s="1"/>
      <c r="RIW242" s="1"/>
      <c r="RIX242" s="1"/>
      <c r="RIY242" s="1"/>
      <c r="RIZ242" s="1"/>
      <c r="RJA242" s="1"/>
      <c r="RJB242" s="1"/>
      <c r="RJC242" s="1"/>
      <c r="RJD242" s="1"/>
      <c r="RJE242" s="1"/>
      <c r="RJF242" s="1"/>
      <c r="RJG242" s="1"/>
      <c r="RJH242" s="1"/>
      <c r="RJI242" s="1"/>
      <c r="RJJ242" s="1"/>
      <c r="RJK242" s="1"/>
      <c r="RJL242" s="1"/>
      <c r="RJM242" s="1"/>
      <c r="RJN242" s="1"/>
      <c r="RJO242" s="1"/>
      <c r="RJP242" s="1"/>
      <c r="RJQ242" s="1"/>
      <c r="RJR242" s="1"/>
      <c r="RJS242" s="1"/>
      <c r="RJT242" s="1"/>
      <c r="RJU242" s="1"/>
      <c r="RJV242" s="1"/>
      <c r="RJW242" s="1"/>
      <c r="RJX242" s="1"/>
      <c r="RJY242" s="1"/>
      <c r="RJZ242" s="1"/>
      <c r="RKA242" s="1"/>
      <c r="RKB242" s="1"/>
      <c r="RKC242" s="1"/>
      <c r="RKD242" s="1"/>
      <c r="RKE242" s="1"/>
      <c r="RKF242" s="1"/>
      <c r="RKG242" s="1"/>
      <c r="RKH242" s="1"/>
      <c r="RKI242" s="1"/>
      <c r="RKJ242" s="1"/>
      <c r="RKK242" s="1"/>
      <c r="RKL242" s="1"/>
      <c r="RKM242" s="1"/>
      <c r="RKN242" s="1"/>
      <c r="RKO242" s="1"/>
      <c r="RKP242" s="1"/>
      <c r="RKQ242" s="1"/>
      <c r="RKR242" s="1"/>
      <c r="RKS242" s="1"/>
      <c r="RKT242" s="1"/>
      <c r="RKU242" s="1"/>
      <c r="RKV242" s="1"/>
      <c r="RKW242" s="1"/>
      <c r="RKX242" s="1"/>
      <c r="RKY242" s="1"/>
      <c r="RKZ242" s="1"/>
      <c r="RLA242" s="1"/>
      <c r="RLB242" s="1"/>
      <c r="RLC242" s="1"/>
      <c r="RLD242" s="1"/>
      <c r="RLE242" s="1"/>
      <c r="RLF242" s="1"/>
      <c r="RLG242" s="1"/>
      <c r="RLH242" s="1"/>
      <c r="RLI242" s="1"/>
      <c r="RLJ242" s="1"/>
      <c r="RLK242" s="1"/>
      <c r="RLL242" s="1"/>
      <c r="RLM242" s="1"/>
      <c r="RLN242" s="1"/>
      <c r="RLO242" s="1"/>
      <c r="RLP242" s="1"/>
      <c r="RLQ242" s="1"/>
      <c r="RLR242" s="1"/>
      <c r="RLS242" s="1"/>
      <c r="RLT242" s="1"/>
      <c r="RLU242" s="1"/>
      <c r="RLV242" s="1"/>
      <c r="RLW242" s="1"/>
      <c r="RLX242" s="1"/>
      <c r="RLY242" s="1"/>
      <c r="RLZ242" s="1"/>
      <c r="RMA242" s="1"/>
      <c r="RMB242" s="1"/>
      <c r="RMC242" s="1"/>
      <c r="RMD242" s="1"/>
      <c r="RME242" s="1"/>
      <c r="RMF242" s="1"/>
      <c r="RMG242" s="1"/>
      <c r="RMH242" s="1"/>
      <c r="RMI242" s="1"/>
      <c r="RMJ242" s="1"/>
      <c r="RMK242" s="1"/>
      <c r="RML242" s="1"/>
      <c r="RMM242" s="1"/>
      <c r="RMN242" s="1"/>
      <c r="RMO242" s="1"/>
      <c r="RMP242" s="1"/>
      <c r="RMQ242" s="1"/>
      <c r="RMR242" s="1"/>
      <c r="RMS242" s="1"/>
      <c r="RMT242" s="1"/>
      <c r="RMU242" s="1"/>
      <c r="RMV242" s="1"/>
      <c r="RMW242" s="1"/>
      <c r="RMX242" s="1"/>
      <c r="RMY242" s="1"/>
      <c r="RMZ242" s="1"/>
      <c r="RNA242" s="1"/>
      <c r="RNB242" s="1"/>
      <c r="RNC242" s="1"/>
      <c r="RND242" s="1"/>
      <c r="RNE242" s="1"/>
      <c r="RNF242" s="1"/>
      <c r="RNG242" s="1"/>
      <c r="RNH242" s="1"/>
      <c r="RNI242" s="1"/>
      <c r="RNJ242" s="1"/>
      <c r="RNK242" s="1"/>
      <c r="RNL242" s="1"/>
      <c r="RNM242" s="1"/>
      <c r="RNN242" s="1"/>
      <c r="RNO242" s="1"/>
      <c r="RNP242" s="1"/>
      <c r="RNQ242" s="1"/>
      <c r="RNR242" s="1"/>
      <c r="RNS242" s="1"/>
      <c r="RNT242" s="1"/>
      <c r="RNU242" s="1"/>
      <c r="RNV242" s="1"/>
      <c r="RNW242" s="1"/>
      <c r="RNX242" s="1"/>
      <c r="RNY242" s="1"/>
      <c r="RNZ242" s="1"/>
      <c r="ROA242" s="1"/>
      <c r="ROB242" s="1"/>
      <c r="ROC242" s="1"/>
      <c r="ROD242" s="1"/>
      <c r="ROE242" s="1"/>
      <c r="ROF242" s="1"/>
      <c r="ROG242" s="1"/>
      <c r="ROH242" s="1"/>
      <c r="ROI242" s="1"/>
      <c r="ROJ242" s="1"/>
      <c r="ROK242" s="1"/>
      <c r="ROL242" s="1"/>
      <c r="ROM242" s="1"/>
      <c r="RON242" s="1"/>
      <c r="ROO242" s="1"/>
      <c r="ROP242" s="1"/>
      <c r="ROQ242" s="1"/>
      <c r="ROR242" s="1"/>
      <c r="ROS242" s="1"/>
      <c r="ROT242" s="1"/>
      <c r="ROU242" s="1"/>
      <c r="ROV242" s="1"/>
      <c r="ROW242" s="1"/>
      <c r="ROX242" s="1"/>
      <c r="ROY242" s="1"/>
      <c r="ROZ242" s="1"/>
      <c r="RPA242" s="1"/>
      <c r="RPB242" s="1"/>
      <c r="RPC242" s="1"/>
      <c r="RPD242" s="1"/>
      <c r="RPE242" s="1"/>
      <c r="RPF242" s="1"/>
      <c r="RPG242" s="1"/>
      <c r="RPH242" s="1"/>
      <c r="RPI242" s="1"/>
      <c r="RPJ242" s="1"/>
      <c r="RPK242" s="1"/>
      <c r="RPL242" s="1"/>
      <c r="RPM242" s="1"/>
      <c r="RPN242" s="1"/>
      <c r="RPO242" s="1"/>
      <c r="RPP242" s="1"/>
      <c r="RPQ242" s="1"/>
      <c r="RPR242" s="1"/>
      <c r="RPS242" s="1"/>
      <c r="RPT242" s="1"/>
      <c r="RPU242" s="1"/>
      <c r="RPV242" s="1"/>
      <c r="RPW242" s="1"/>
      <c r="RPX242" s="1"/>
      <c r="RPY242" s="1"/>
      <c r="RPZ242" s="1"/>
      <c r="RQA242" s="1"/>
      <c r="RQB242" s="1"/>
      <c r="RQC242" s="1"/>
      <c r="RQD242" s="1"/>
      <c r="RQE242" s="1"/>
      <c r="RQF242" s="1"/>
      <c r="RQG242" s="1"/>
      <c r="RQH242" s="1"/>
      <c r="RQI242" s="1"/>
      <c r="RQJ242" s="1"/>
      <c r="RQK242" s="1"/>
      <c r="RQL242" s="1"/>
      <c r="RQM242" s="1"/>
      <c r="RQN242" s="1"/>
      <c r="RQO242" s="1"/>
      <c r="RQP242" s="1"/>
      <c r="RQQ242" s="1"/>
      <c r="RQR242" s="1"/>
      <c r="RQS242" s="1"/>
      <c r="RQT242" s="1"/>
      <c r="RQU242" s="1"/>
      <c r="RQV242" s="1"/>
      <c r="RQW242" s="1"/>
      <c r="RQX242" s="1"/>
      <c r="RQY242" s="1"/>
      <c r="RQZ242" s="1"/>
      <c r="RRA242" s="1"/>
      <c r="RRB242" s="1"/>
      <c r="RRC242" s="1"/>
      <c r="RRD242" s="1"/>
      <c r="RRE242" s="1"/>
      <c r="RRF242" s="1"/>
      <c r="RRG242" s="1"/>
      <c r="RRH242" s="1"/>
      <c r="RRI242" s="1"/>
      <c r="RRJ242" s="1"/>
      <c r="RRK242" s="1"/>
      <c r="RRL242" s="1"/>
      <c r="RRM242" s="1"/>
      <c r="RRN242" s="1"/>
      <c r="RRO242" s="1"/>
      <c r="RRP242" s="1"/>
      <c r="RRQ242" s="1"/>
      <c r="RRR242" s="1"/>
      <c r="RRS242" s="1"/>
      <c r="RRT242" s="1"/>
      <c r="RRU242" s="1"/>
      <c r="RRV242" s="1"/>
      <c r="RRW242" s="1"/>
      <c r="RRX242" s="1"/>
      <c r="RRY242" s="1"/>
      <c r="RRZ242" s="1"/>
      <c r="RSA242" s="1"/>
      <c r="RSB242" s="1"/>
      <c r="RSC242" s="1"/>
      <c r="RSD242" s="1"/>
      <c r="RSE242" s="1"/>
      <c r="RSF242" s="1"/>
      <c r="RSG242" s="1"/>
      <c r="RSH242" s="1"/>
      <c r="RSI242" s="1"/>
      <c r="RSJ242" s="1"/>
      <c r="RSK242" s="1"/>
      <c r="RSL242" s="1"/>
      <c r="RSM242" s="1"/>
      <c r="RSN242" s="1"/>
      <c r="RSO242" s="1"/>
      <c r="RSP242" s="1"/>
      <c r="RSQ242" s="1"/>
      <c r="RSR242" s="1"/>
      <c r="RSS242" s="1"/>
      <c r="RST242" s="1"/>
      <c r="RSU242" s="1"/>
      <c r="RSV242" s="1"/>
      <c r="RSW242" s="1"/>
      <c r="RSX242" s="1"/>
      <c r="RSY242" s="1"/>
      <c r="RSZ242" s="1"/>
      <c r="RTA242" s="1"/>
      <c r="RTB242" s="1"/>
      <c r="RTC242" s="1"/>
      <c r="RTD242" s="1"/>
      <c r="RTE242" s="1"/>
      <c r="RTF242" s="1"/>
      <c r="RTG242" s="1"/>
      <c r="RTH242" s="1"/>
      <c r="RTI242" s="1"/>
      <c r="RTJ242" s="1"/>
      <c r="RTK242" s="1"/>
      <c r="RTL242" s="1"/>
      <c r="RTM242" s="1"/>
      <c r="RTN242" s="1"/>
      <c r="RTO242" s="1"/>
      <c r="RTP242" s="1"/>
      <c r="RTQ242" s="1"/>
      <c r="RTR242" s="1"/>
      <c r="RTS242" s="1"/>
      <c r="RTT242" s="1"/>
      <c r="RTU242" s="1"/>
      <c r="RTV242" s="1"/>
      <c r="RTW242" s="1"/>
      <c r="RTX242" s="1"/>
      <c r="RTY242" s="1"/>
      <c r="RTZ242" s="1"/>
      <c r="RUA242" s="1"/>
      <c r="RUB242" s="1"/>
      <c r="RUC242" s="1"/>
      <c r="RUD242" s="1"/>
      <c r="RUE242" s="1"/>
      <c r="RUF242" s="1"/>
      <c r="RUG242" s="1"/>
      <c r="RUH242" s="1"/>
      <c r="RUI242" s="1"/>
      <c r="RUJ242" s="1"/>
      <c r="RUK242" s="1"/>
      <c r="RUL242" s="1"/>
      <c r="RUM242" s="1"/>
      <c r="RUN242" s="1"/>
      <c r="RUO242" s="1"/>
      <c r="RUP242" s="1"/>
      <c r="RUQ242" s="1"/>
      <c r="RUR242" s="1"/>
      <c r="RUS242" s="1"/>
      <c r="RUT242" s="1"/>
      <c r="RUU242" s="1"/>
      <c r="RUV242" s="1"/>
      <c r="RUW242" s="1"/>
      <c r="RUX242" s="1"/>
      <c r="RUY242" s="1"/>
      <c r="RUZ242" s="1"/>
      <c r="RVA242" s="1"/>
      <c r="RVB242" s="1"/>
      <c r="RVC242" s="1"/>
      <c r="RVD242" s="1"/>
      <c r="RVE242" s="1"/>
      <c r="RVF242" s="1"/>
      <c r="RVG242" s="1"/>
      <c r="RVH242" s="1"/>
      <c r="RVI242" s="1"/>
      <c r="RVJ242" s="1"/>
      <c r="RVK242" s="1"/>
      <c r="RVL242" s="1"/>
      <c r="RVM242" s="1"/>
      <c r="RVN242" s="1"/>
      <c r="RVO242" s="1"/>
      <c r="RVP242" s="1"/>
      <c r="RVQ242" s="1"/>
      <c r="RVR242" s="1"/>
      <c r="RVS242" s="1"/>
      <c r="RVT242" s="1"/>
      <c r="RVU242" s="1"/>
      <c r="RVV242" s="1"/>
      <c r="RVW242" s="1"/>
      <c r="RVX242" s="1"/>
      <c r="RVY242" s="1"/>
      <c r="RVZ242" s="1"/>
      <c r="RWA242" s="1"/>
      <c r="RWB242" s="1"/>
      <c r="RWC242" s="1"/>
      <c r="RWD242" s="1"/>
      <c r="RWE242" s="1"/>
      <c r="RWF242" s="1"/>
      <c r="RWG242" s="1"/>
      <c r="RWH242" s="1"/>
      <c r="RWI242" s="1"/>
      <c r="RWJ242" s="1"/>
      <c r="RWK242" s="1"/>
      <c r="RWL242" s="1"/>
      <c r="RWM242" s="1"/>
      <c r="RWN242" s="1"/>
      <c r="RWO242" s="1"/>
      <c r="RWP242" s="1"/>
      <c r="RWQ242" s="1"/>
      <c r="RWR242" s="1"/>
      <c r="RWS242" s="1"/>
      <c r="RWT242" s="1"/>
      <c r="RWU242" s="1"/>
      <c r="RWV242" s="1"/>
      <c r="RWW242" s="1"/>
      <c r="RWX242" s="1"/>
      <c r="RWY242" s="1"/>
      <c r="RWZ242" s="1"/>
      <c r="RXA242" s="1"/>
      <c r="RXB242" s="1"/>
      <c r="RXC242" s="1"/>
      <c r="RXD242" s="1"/>
      <c r="RXE242" s="1"/>
      <c r="RXF242" s="1"/>
      <c r="RXG242" s="1"/>
      <c r="RXH242" s="1"/>
      <c r="RXI242" s="1"/>
      <c r="RXJ242" s="1"/>
      <c r="RXK242" s="1"/>
      <c r="RXL242" s="1"/>
      <c r="RXM242" s="1"/>
      <c r="RXN242" s="1"/>
      <c r="RXO242" s="1"/>
      <c r="RXP242" s="1"/>
      <c r="RXQ242" s="1"/>
      <c r="RXR242" s="1"/>
      <c r="RXS242" s="1"/>
      <c r="RXT242" s="1"/>
      <c r="RXU242" s="1"/>
      <c r="RXV242" s="1"/>
      <c r="RXW242" s="1"/>
      <c r="RXX242" s="1"/>
      <c r="RXY242" s="1"/>
      <c r="RXZ242" s="1"/>
      <c r="RYA242" s="1"/>
      <c r="RYB242" s="1"/>
      <c r="RYC242" s="1"/>
      <c r="RYD242" s="1"/>
      <c r="RYE242" s="1"/>
      <c r="RYF242" s="1"/>
      <c r="RYG242" s="1"/>
      <c r="RYH242" s="1"/>
      <c r="RYI242" s="1"/>
      <c r="RYJ242" s="1"/>
      <c r="RYK242" s="1"/>
      <c r="RYL242" s="1"/>
      <c r="RYM242" s="1"/>
      <c r="RYN242" s="1"/>
      <c r="RYO242" s="1"/>
      <c r="RYP242" s="1"/>
      <c r="RYQ242" s="1"/>
      <c r="RYR242" s="1"/>
      <c r="RYS242" s="1"/>
      <c r="RYT242" s="1"/>
      <c r="RYU242" s="1"/>
      <c r="RYV242" s="1"/>
      <c r="RYW242" s="1"/>
      <c r="RYX242" s="1"/>
      <c r="RYY242" s="1"/>
      <c r="RYZ242" s="1"/>
      <c r="RZA242" s="1"/>
      <c r="RZB242" s="1"/>
      <c r="RZC242" s="1"/>
      <c r="RZD242" s="1"/>
      <c r="RZE242" s="1"/>
      <c r="RZF242" s="1"/>
      <c r="RZG242" s="1"/>
      <c r="RZH242" s="1"/>
      <c r="RZI242" s="1"/>
      <c r="RZJ242" s="1"/>
      <c r="RZK242" s="1"/>
      <c r="RZL242" s="1"/>
      <c r="RZM242" s="1"/>
      <c r="RZN242" s="1"/>
      <c r="RZO242" s="1"/>
      <c r="RZP242" s="1"/>
      <c r="RZQ242" s="1"/>
      <c r="RZR242" s="1"/>
      <c r="RZS242" s="1"/>
      <c r="RZT242" s="1"/>
      <c r="RZU242" s="1"/>
      <c r="RZV242" s="1"/>
      <c r="RZW242" s="1"/>
      <c r="RZX242" s="1"/>
      <c r="RZY242" s="1"/>
      <c r="RZZ242" s="1"/>
      <c r="SAA242" s="1"/>
      <c r="SAB242" s="1"/>
      <c r="SAC242" s="1"/>
      <c r="SAD242" s="1"/>
      <c r="SAE242" s="1"/>
      <c r="SAF242" s="1"/>
      <c r="SAG242" s="1"/>
      <c r="SAH242" s="1"/>
      <c r="SAI242" s="1"/>
      <c r="SAJ242" s="1"/>
      <c r="SAK242" s="1"/>
      <c r="SAL242" s="1"/>
      <c r="SAM242" s="1"/>
      <c r="SAN242" s="1"/>
      <c r="SAO242" s="1"/>
      <c r="SAP242" s="1"/>
      <c r="SAQ242" s="1"/>
      <c r="SAR242" s="1"/>
      <c r="SAS242" s="1"/>
      <c r="SAT242" s="1"/>
      <c r="SAU242" s="1"/>
      <c r="SAV242" s="1"/>
      <c r="SAW242" s="1"/>
      <c r="SAX242" s="1"/>
      <c r="SAY242" s="1"/>
      <c r="SAZ242" s="1"/>
      <c r="SBA242" s="1"/>
      <c r="SBB242" s="1"/>
      <c r="SBC242" s="1"/>
      <c r="SBD242" s="1"/>
      <c r="SBE242" s="1"/>
      <c r="SBF242" s="1"/>
      <c r="SBG242" s="1"/>
      <c r="SBH242" s="1"/>
      <c r="SBI242" s="1"/>
      <c r="SBJ242" s="1"/>
      <c r="SBK242" s="1"/>
      <c r="SBL242" s="1"/>
      <c r="SBM242" s="1"/>
      <c r="SBN242" s="1"/>
      <c r="SBO242" s="1"/>
      <c r="SBP242" s="1"/>
      <c r="SBQ242" s="1"/>
      <c r="SBR242" s="1"/>
      <c r="SBS242" s="1"/>
      <c r="SBT242" s="1"/>
      <c r="SBU242" s="1"/>
      <c r="SBV242" s="1"/>
      <c r="SBW242" s="1"/>
      <c r="SBX242" s="1"/>
      <c r="SBY242" s="1"/>
      <c r="SBZ242" s="1"/>
      <c r="SCA242" s="1"/>
      <c r="SCB242" s="1"/>
      <c r="SCC242" s="1"/>
      <c r="SCD242" s="1"/>
      <c r="SCE242" s="1"/>
      <c r="SCF242" s="1"/>
      <c r="SCG242" s="1"/>
      <c r="SCH242" s="1"/>
      <c r="SCI242" s="1"/>
      <c r="SCJ242" s="1"/>
      <c r="SCK242" s="1"/>
      <c r="SCL242" s="1"/>
      <c r="SCM242" s="1"/>
      <c r="SCN242" s="1"/>
      <c r="SCO242" s="1"/>
      <c r="SCP242" s="1"/>
      <c r="SCQ242" s="1"/>
      <c r="SCR242" s="1"/>
      <c r="SCS242" s="1"/>
      <c r="SCT242" s="1"/>
      <c r="SCU242" s="1"/>
      <c r="SCV242" s="1"/>
      <c r="SCW242" s="1"/>
      <c r="SCX242" s="1"/>
      <c r="SCY242" s="1"/>
      <c r="SCZ242" s="1"/>
      <c r="SDA242" s="1"/>
      <c r="SDB242" s="1"/>
      <c r="SDC242" s="1"/>
      <c r="SDD242" s="1"/>
      <c r="SDE242" s="1"/>
      <c r="SDF242" s="1"/>
      <c r="SDG242" s="1"/>
      <c r="SDH242" s="1"/>
      <c r="SDI242" s="1"/>
      <c r="SDJ242" s="1"/>
      <c r="SDK242" s="1"/>
      <c r="SDL242" s="1"/>
      <c r="SDM242" s="1"/>
      <c r="SDN242" s="1"/>
      <c r="SDO242" s="1"/>
      <c r="SDP242" s="1"/>
      <c r="SDQ242" s="1"/>
      <c r="SDR242" s="1"/>
      <c r="SDS242" s="1"/>
      <c r="SDT242" s="1"/>
      <c r="SDU242" s="1"/>
      <c r="SDV242" s="1"/>
      <c r="SDW242" s="1"/>
      <c r="SDX242" s="1"/>
      <c r="SDY242" s="1"/>
      <c r="SDZ242" s="1"/>
      <c r="SEA242" s="1"/>
      <c r="SEB242" s="1"/>
      <c r="SEC242" s="1"/>
      <c r="SED242" s="1"/>
      <c r="SEE242" s="1"/>
      <c r="SEF242" s="1"/>
      <c r="SEG242" s="1"/>
      <c r="SEH242" s="1"/>
      <c r="SEI242" s="1"/>
      <c r="SEJ242" s="1"/>
      <c r="SEK242" s="1"/>
      <c r="SEL242" s="1"/>
      <c r="SEM242" s="1"/>
      <c r="SEN242" s="1"/>
      <c r="SEO242" s="1"/>
      <c r="SEP242" s="1"/>
      <c r="SEQ242" s="1"/>
      <c r="SER242" s="1"/>
      <c r="SES242" s="1"/>
      <c r="SET242" s="1"/>
      <c r="SEU242" s="1"/>
      <c r="SEV242" s="1"/>
      <c r="SEW242" s="1"/>
      <c r="SEX242" s="1"/>
      <c r="SEY242" s="1"/>
      <c r="SEZ242" s="1"/>
      <c r="SFA242" s="1"/>
      <c r="SFB242" s="1"/>
      <c r="SFC242" s="1"/>
      <c r="SFD242" s="1"/>
      <c r="SFE242" s="1"/>
      <c r="SFF242" s="1"/>
      <c r="SFG242" s="1"/>
      <c r="SFH242" s="1"/>
      <c r="SFI242" s="1"/>
      <c r="SFJ242" s="1"/>
      <c r="SFK242" s="1"/>
      <c r="SFL242" s="1"/>
      <c r="SFM242" s="1"/>
      <c r="SFN242" s="1"/>
      <c r="SFO242" s="1"/>
      <c r="SFP242" s="1"/>
      <c r="SFQ242" s="1"/>
      <c r="SFR242" s="1"/>
      <c r="SFS242" s="1"/>
      <c r="SFT242" s="1"/>
      <c r="SFU242" s="1"/>
      <c r="SFV242" s="1"/>
      <c r="SFW242" s="1"/>
      <c r="SFX242" s="1"/>
      <c r="SFY242" s="1"/>
      <c r="SFZ242" s="1"/>
      <c r="SGA242" s="1"/>
      <c r="SGB242" s="1"/>
      <c r="SGC242" s="1"/>
      <c r="SGD242" s="1"/>
      <c r="SGE242" s="1"/>
      <c r="SGF242" s="1"/>
      <c r="SGG242" s="1"/>
      <c r="SGH242" s="1"/>
      <c r="SGI242" s="1"/>
      <c r="SGJ242" s="1"/>
      <c r="SGK242" s="1"/>
      <c r="SGL242" s="1"/>
      <c r="SGM242" s="1"/>
      <c r="SGN242" s="1"/>
      <c r="SGO242" s="1"/>
      <c r="SGP242" s="1"/>
      <c r="SGQ242" s="1"/>
      <c r="SGR242" s="1"/>
      <c r="SGS242" s="1"/>
      <c r="SGT242" s="1"/>
      <c r="SGU242" s="1"/>
      <c r="SGV242" s="1"/>
      <c r="SGW242" s="1"/>
      <c r="SGX242" s="1"/>
      <c r="SGY242" s="1"/>
      <c r="SGZ242" s="1"/>
      <c r="SHA242" s="1"/>
      <c r="SHB242" s="1"/>
      <c r="SHC242" s="1"/>
      <c r="SHD242" s="1"/>
      <c r="SHE242" s="1"/>
      <c r="SHF242" s="1"/>
      <c r="SHG242" s="1"/>
      <c r="SHH242" s="1"/>
      <c r="SHI242" s="1"/>
      <c r="SHJ242" s="1"/>
      <c r="SHK242" s="1"/>
      <c r="SHL242" s="1"/>
      <c r="SHM242" s="1"/>
      <c r="SHN242" s="1"/>
      <c r="SHO242" s="1"/>
      <c r="SHP242" s="1"/>
      <c r="SHQ242" s="1"/>
      <c r="SHR242" s="1"/>
      <c r="SHS242" s="1"/>
      <c r="SHT242" s="1"/>
      <c r="SHU242" s="1"/>
      <c r="SHV242" s="1"/>
      <c r="SHW242" s="1"/>
      <c r="SHX242" s="1"/>
      <c r="SHY242" s="1"/>
      <c r="SHZ242" s="1"/>
      <c r="SIA242" s="1"/>
      <c r="SIB242" s="1"/>
      <c r="SIC242" s="1"/>
      <c r="SID242" s="1"/>
      <c r="SIE242" s="1"/>
      <c r="SIF242" s="1"/>
      <c r="SIG242" s="1"/>
      <c r="SIH242" s="1"/>
      <c r="SII242" s="1"/>
      <c r="SIJ242" s="1"/>
      <c r="SIK242" s="1"/>
      <c r="SIL242" s="1"/>
      <c r="SIM242" s="1"/>
      <c r="SIN242" s="1"/>
      <c r="SIO242" s="1"/>
      <c r="SIP242" s="1"/>
      <c r="SIQ242" s="1"/>
      <c r="SIR242" s="1"/>
      <c r="SIS242" s="1"/>
      <c r="SIT242" s="1"/>
      <c r="SIU242" s="1"/>
      <c r="SIV242" s="1"/>
      <c r="SIW242" s="1"/>
      <c r="SIX242" s="1"/>
      <c r="SIY242" s="1"/>
      <c r="SIZ242" s="1"/>
      <c r="SJA242" s="1"/>
      <c r="SJB242" s="1"/>
      <c r="SJC242" s="1"/>
      <c r="SJD242" s="1"/>
      <c r="SJE242" s="1"/>
      <c r="SJF242" s="1"/>
      <c r="SJG242" s="1"/>
      <c r="SJH242" s="1"/>
      <c r="SJI242" s="1"/>
      <c r="SJJ242" s="1"/>
      <c r="SJK242" s="1"/>
      <c r="SJL242" s="1"/>
      <c r="SJM242" s="1"/>
      <c r="SJN242" s="1"/>
      <c r="SJO242" s="1"/>
      <c r="SJP242" s="1"/>
      <c r="SJQ242" s="1"/>
      <c r="SJR242" s="1"/>
      <c r="SJS242" s="1"/>
      <c r="SJT242" s="1"/>
      <c r="SJU242" s="1"/>
      <c r="SJV242" s="1"/>
      <c r="SJW242" s="1"/>
      <c r="SJX242" s="1"/>
      <c r="SJY242" s="1"/>
      <c r="SJZ242" s="1"/>
      <c r="SKA242" s="1"/>
      <c r="SKB242" s="1"/>
      <c r="SKC242" s="1"/>
      <c r="SKD242" s="1"/>
      <c r="SKE242" s="1"/>
      <c r="SKF242" s="1"/>
      <c r="SKG242" s="1"/>
      <c r="SKH242" s="1"/>
      <c r="SKI242" s="1"/>
      <c r="SKJ242" s="1"/>
      <c r="SKK242" s="1"/>
      <c r="SKL242" s="1"/>
      <c r="SKM242" s="1"/>
      <c r="SKN242" s="1"/>
      <c r="SKO242" s="1"/>
      <c r="SKP242" s="1"/>
      <c r="SKQ242" s="1"/>
      <c r="SKR242" s="1"/>
      <c r="SKS242" s="1"/>
      <c r="SKT242" s="1"/>
      <c r="SKU242" s="1"/>
      <c r="SKV242" s="1"/>
      <c r="SKW242" s="1"/>
      <c r="SKX242" s="1"/>
      <c r="SKY242" s="1"/>
      <c r="SKZ242" s="1"/>
      <c r="SLA242" s="1"/>
      <c r="SLB242" s="1"/>
      <c r="SLC242" s="1"/>
      <c r="SLD242" s="1"/>
      <c r="SLE242" s="1"/>
      <c r="SLF242" s="1"/>
      <c r="SLG242" s="1"/>
      <c r="SLH242" s="1"/>
      <c r="SLI242" s="1"/>
      <c r="SLJ242" s="1"/>
      <c r="SLK242" s="1"/>
      <c r="SLL242" s="1"/>
      <c r="SLM242" s="1"/>
      <c r="SLN242" s="1"/>
      <c r="SLO242" s="1"/>
      <c r="SLP242" s="1"/>
      <c r="SLQ242" s="1"/>
      <c r="SLR242" s="1"/>
      <c r="SLS242" s="1"/>
      <c r="SLT242" s="1"/>
      <c r="SLU242" s="1"/>
      <c r="SLV242" s="1"/>
      <c r="SLW242" s="1"/>
      <c r="SLX242" s="1"/>
      <c r="SLY242" s="1"/>
      <c r="SLZ242" s="1"/>
      <c r="SMA242" s="1"/>
      <c r="SMB242" s="1"/>
      <c r="SMC242" s="1"/>
      <c r="SMD242" s="1"/>
      <c r="SME242" s="1"/>
      <c r="SMF242" s="1"/>
      <c r="SMG242" s="1"/>
      <c r="SMH242" s="1"/>
      <c r="SMI242" s="1"/>
      <c r="SMJ242" s="1"/>
      <c r="SMK242" s="1"/>
      <c r="SML242" s="1"/>
      <c r="SMM242" s="1"/>
      <c r="SMN242" s="1"/>
      <c r="SMO242" s="1"/>
      <c r="SMP242" s="1"/>
      <c r="SMQ242" s="1"/>
      <c r="SMR242" s="1"/>
      <c r="SMS242" s="1"/>
      <c r="SMT242" s="1"/>
      <c r="SMU242" s="1"/>
      <c r="SMV242" s="1"/>
      <c r="SMW242" s="1"/>
      <c r="SMX242" s="1"/>
      <c r="SMY242" s="1"/>
      <c r="SMZ242" s="1"/>
      <c r="SNA242" s="1"/>
      <c r="SNB242" s="1"/>
      <c r="SNC242" s="1"/>
      <c r="SND242" s="1"/>
      <c r="SNE242" s="1"/>
      <c r="SNF242" s="1"/>
      <c r="SNG242" s="1"/>
      <c r="SNH242" s="1"/>
      <c r="SNI242" s="1"/>
      <c r="SNJ242" s="1"/>
      <c r="SNK242" s="1"/>
      <c r="SNL242" s="1"/>
      <c r="SNM242" s="1"/>
      <c r="SNN242" s="1"/>
      <c r="SNO242" s="1"/>
      <c r="SNP242" s="1"/>
      <c r="SNQ242" s="1"/>
      <c r="SNR242" s="1"/>
      <c r="SNS242" s="1"/>
      <c r="SNT242" s="1"/>
      <c r="SNU242" s="1"/>
      <c r="SNV242" s="1"/>
      <c r="SNW242" s="1"/>
      <c r="SNX242" s="1"/>
      <c r="SNY242" s="1"/>
      <c r="SNZ242" s="1"/>
      <c r="SOA242" s="1"/>
      <c r="SOB242" s="1"/>
      <c r="SOC242" s="1"/>
      <c r="SOD242" s="1"/>
      <c r="SOE242" s="1"/>
      <c r="SOF242" s="1"/>
      <c r="SOG242" s="1"/>
      <c r="SOH242" s="1"/>
      <c r="SOI242" s="1"/>
      <c r="SOJ242" s="1"/>
      <c r="SOK242" s="1"/>
      <c r="SOL242" s="1"/>
      <c r="SOM242" s="1"/>
      <c r="SON242" s="1"/>
      <c r="SOO242" s="1"/>
      <c r="SOP242" s="1"/>
      <c r="SOQ242" s="1"/>
      <c r="SOR242" s="1"/>
      <c r="SOS242" s="1"/>
      <c r="SOT242" s="1"/>
      <c r="SOU242" s="1"/>
      <c r="SOV242" s="1"/>
      <c r="SOW242" s="1"/>
      <c r="SOX242" s="1"/>
      <c r="SOY242" s="1"/>
      <c r="SOZ242" s="1"/>
      <c r="SPA242" s="1"/>
      <c r="SPB242" s="1"/>
      <c r="SPC242" s="1"/>
      <c r="SPD242" s="1"/>
      <c r="SPE242" s="1"/>
      <c r="SPF242" s="1"/>
      <c r="SPG242" s="1"/>
      <c r="SPH242" s="1"/>
      <c r="SPI242" s="1"/>
      <c r="SPJ242" s="1"/>
      <c r="SPK242" s="1"/>
      <c r="SPL242" s="1"/>
      <c r="SPM242" s="1"/>
      <c r="SPN242" s="1"/>
      <c r="SPO242" s="1"/>
      <c r="SPP242" s="1"/>
      <c r="SPQ242" s="1"/>
      <c r="SPR242" s="1"/>
      <c r="SPS242" s="1"/>
      <c r="SPT242" s="1"/>
      <c r="SPU242" s="1"/>
      <c r="SPV242" s="1"/>
      <c r="SPW242" s="1"/>
      <c r="SPX242" s="1"/>
      <c r="SPY242" s="1"/>
      <c r="SPZ242" s="1"/>
      <c r="SQA242" s="1"/>
      <c r="SQB242" s="1"/>
      <c r="SQC242" s="1"/>
      <c r="SQD242" s="1"/>
      <c r="SQE242" s="1"/>
      <c r="SQF242" s="1"/>
      <c r="SQG242" s="1"/>
      <c r="SQH242" s="1"/>
      <c r="SQI242" s="1"/>
      <c r="SQJ242" s="1"/>
      <c r="SQK242" s="1"/>
      <c r="SQL242" s="1"/>
      <c r="SQM242" s="1"/>
      <c r="SQN242" s="1"/>
      <c r="SQO242" s="1"/>
      <c r="SQP242" s="1"/>
      <c r="SQQ242" s="1"/>
      <c r="SQR242" s="1"/>
      <c r="SQS242" s="1"/>
      <c r="SQT242" s="1"/>
      <c r="SQU242" s="1"/>
      <c r="SQV242" s="1"/>
      <c r="SQW242" s="1"/>
      <c r="SQX242" s="1"/>
      <c r="SQY242" s="1"/>
      <c r="SQZ242" s="1"/>
      <c r="SRA242" s="1"/>
      <c r="SRB242" s="1"/>
      <c r="SRC242" s="1"/>
      <c r="SRD242" s="1"/>
      <c r="SRE242" s="1"/>
      <c r="SRF242" s="1"/>
      <c r="SRG242" s="1"/>
      <c r="SRH242" s="1"/>
      <c r="SRI242" s="1"/>
      <c r="SRJ242" s="1"/>
      <c r="SRK242" s="1"/>
      <c r="SRL242" s="1"/>
      <c r="SRM242" s="1"/>
      <c r="SRN242" s="1"/>
      <c r="SRO242" s="1"/>
      <c r="SRP242" s="1"/>
      <c r="SRQ242" s="1"/>
      <c r="SRR242" s="1"/>
      <c r="SRS242" s="1"/>
      <c r="SRT242" s="1"/>
      <c r="SRU242" s="1"/>
      <c r="SRV242" s="1"/>
      <c r="SRW242" s="1"/>
      <c r="SRX242" s="1"/>
      <c r="SRY242" s="1"/>
      <c r="SRZ242" s="1"/>
      <c r="SSA242" s="1"/>
      <c r="SSB242" s="1"/>
      <c r="SSC242" s="1"/>
      <c r="SSD242" s="1"/>
      <c r="SSE242" s="1"/>
      <c r="SSF242" s="1"/>
      <c r="SSG242" s="1"/>
      <c r="SSH242" s="1"/>
      <c r="SSI242" s="1"/>
      <c r="SSJ242" s="1"/>
      <c r="SSK242" s="1"/>
      <c r="SSL242" s="1"/>
      <c r="SSM242" s="1"/>
      <c r="SSN242" s="1"/>
      <c r="SSO242" s="1"/>
      <c r="SSP242" s="1"/>
      <c r="SSQ242" s="1"/>
      <c r="SSR242" s="1"/>
      <c r="SSS242" s="1"/>
      <c r="SST242" s="1"/>
      <c r="SSU242" s="1"/>
      <c r="SSV242" s="1"/>
      <c r="SSW242" s="1"/>
      <c r="SSX242" s="1"/>
      <c r="SSY242" s="1"/>
      <c r="SSZ242" s="1"/>
      <c r="STA242" s="1"/>
      <c r="STB242" s="1"/>
      <c r="STC242" s="1"/>
      <c r="STD242" s="1"/>
      <c r="STE242" s="1"/>
      <c r="STF242" s="1"/>
      <c r="STG242" s="1"/>
      <c r="STH242" s="1"/>
      <c r="STI242" s="1"/>
      <c r="STJ242" s="1"/>
      <c r="STK242" s="1"/>
      <c r="STL242" s="1"/>
      <c r="STM242" s="1"/>
      <c r="STN242" s="1"/>
      <c r="STO242" s="1"/>
      <c r="STP242" s="1"/>
      <c r="STQ242" s="1"/>
      <c r="STR242" s="1"/>
      <c r="STS242" s="1"/>
      <c r="STT242" s="1"/>
      <c r="STU242" s="1"/>
      <c r="STV242" s="1"/>
      <c r="STW242" s="1"/>
      <c r="STX242" s="1"/>
      <c r="STY242" s="1"/>
      <c r="STZ242" s="1"/>
      <c r="SUA242" s="1"/>
      <c r="SUB242" s="1"/>
      <c r="SUC242" s="1"/>
      <c r="SUD242" s="1"/>
      <c r="SUE242" s="1"/>
      <c r="SUF242" s="1"/>
      <c r="SUG242" s="1"/>
      <c r="SUH242" s="1"/>
      <c r="SUI242" s="1"/>
      <c r="SUJ242" s="1"/>
      <c r="SUK242" s="1"/>
      <c r="SUL242" s="1"/>
      <c r="SUM242" s="1"/>
      <c r="SUN242" s="1"/>
      <c r="SUO242" s="1"/>
      <c r="SUP242" s="1"/>
      <c r="SUQ242" s="1"/>
      <c r="SUR242" s="1"/>
      <c r="SUS242" s="1"/>
      <c r="SUT242" s="1"/>
      <c r="SUU242" s="1"/>
      <c r="SUV242" s="1"/>
      <c r="SUW242" s="1"/>
      <c r="SUX242" s="1"/>
      <c r="SUY242" s="1"/>
      <c r="SUZ242" s="1"/>
      <c r="SVA242" s="1"/>
      <c r="SVB242" s="1"/>
      <c r="SVC242" s="1"/>
      <c r="SVD242" s="1"/>
      <c r="SVE242" s="1"/>
      <c r="SVF242" s="1"/>
      <c r="SVG242" s="1"/>
      <c r="SVH242" s="1"/>
      <c r="SVI242" s="1"/>
      <c r="SVJ242" s="1"/>
      <c r="SVK242" s="1"/>
      <c r="SVL242" s="1"/>
      <c r="SVM242" s="1"/>
      <c r="SVN242" s="1"/>
      <c r="SVO242" s="1"/>
      <c r="SVP242" s="1"/>
      <c r="SVQ242" s="1"/>
      <c r="SVR242" s="1"/>
      <c r="SVS242" s="1"/>
      <c r="SVT242" s="1"/>
      <c r="SVU242" s="1"/>
      <c r="SVV242" s="1"/>
      <c r="SVW242" s="1"/>
      <c r="SVX242" s="1"/>
      <c r="SVY242" s="1"/>
      <c r="SVZ242" s="1"/>
      <c r="SWA242" s="1"/>
      <c r="SWB242" s="1"/>
      <c r="SWC242" s="1"/>
      <c r="SWD242" s="1"/>
      <c r="SWE242" s="1"/>
      <c r="SWF242" s="1"/>
      <c r="SWG242" s="1"/>
      <c r="SWH242" s="1"/>
      <c r="SWI242" s="1"/>
      <c r="SWJ242" s="1"/>
      <c r="SWK242" s="1"/>
      <c r="SWL242" s="1"/>
      <c r="SWM242" s="1"/>
      <c r="SWN242" s="1"/>
      <c r="SWO242" s="1"/>
      <c r="SWP242" s="1"/>
      <c r="SWQ242" s="1"/>
      <c r="SWR242" s="1"/>
      <c r="SWS242" s="1"/>
      <c r="SWT242" s="1"/>
      <c r="SWU242" s="1"/>
      <c r="SWV242" s="1"/>
      <c r="SWW242" s="1"/>
      <c r="SWX242" s="1"/>
      <c r="SWY242" s="1"/>
      <c r="SWZ242" s="1"/>
      <c r="SXA242" s="1"/>
      <c r="SXB242" s="1"/>
      <c r="SXC242" s="1"/>
      <c r="SXD242" s="1"/>
      <c r="SXE242" s="1"/>
      <c r="SXF242" s="1"/>
      <c r="SXG242" s="1"/>
      <c r="SXH242" s="1"/>
      <c r="SXI242" s="1"/>
      <c r="SXJ242" s="1"/>
      <c r="SXK242" s="1"/>
      <c r="SXL242" s="1"/>
      <c r="SXM242" s="1"/>
      <c r="SXN242" s="1"/>
      <c r="SXO242" s="1"/>
      <c r="SXP242" s="1"/>
      <c r="SXQ242" s="1"/>
      <c r="SXR242" s="1"/>
      <c r="SXS242" s="1"/>
      <c r="SXT242" s="1"/>
      <c r="SXU242" s="1"/>
      <c r="SXV242" s="1"/>
      <c r="SXW242" s="1"/>
      <c r="SXX242" s="1"/>
      <c r="SXY242" s="1"/>
      <c r="SXZ242" s="1"/>
      <c r="SYA242" s="1"/>
      <c r="SYB242" s="1"/>
      <c r="SYC242" s="1"/>
      <c r="SYD242" s="1"/>
      <c r="SYE242" s="1"/>
      <c r="SYF242" s="1"/>
      <c r="SYG242" s="1"/>
      <c r="SYH242" s="1"/>
      <c r="SYI242" s="1"/>
      <c r="SYJ242" s="1"/>
      <c r="SYK242" s="1"/>
      <c r="SYL242" s="1"/>
      <c r="SYM242" s="1"/>
      <c r="SYN242" s="1"/>
      <c r="SYO242" s="1"/>
      <c r="SYP242" s="1"/>
      <c r="SYQ242" s="1"/>
      <c r="SYR242" s="1"/>
      <c r="SYS242" s="1"/>
      <c r="SYT242" s="1"/>
      <c r="SYU242" s="1"/>
      <c r="SYV242" s="1"/>
      <c r="SYW242" s="1"/>
      <c r="SYX242" s="1"/>
      <c r="SYY242" s="1"/>
      <c r="SYZ242" s="1"/>
      <c r="SZA242" s="1"/>
      <c r="SZB242" s="1"/>
      <c r="SZC242" s="1"/>
      <c r="SZD242" s="1"/>
      <c r="SZE242" s="1"/>
      <c r="SZF242" s="1"/>
      <c r="SZG242" s="1"/>
      <c r="SZH242" s="1"/>
      <c r="SZI242" s="1"/>
      <c r="SZJ242" s="1"/>
      <c r="SZK242" s="1"/>
      <c r="SZL242" s="1"/>
      <c r="SZM242" s="1"/>
      <c r="SZN242" s="1"/>
      <c r="SZO242" s="1"/>
      <c r="SZP242" s="1"/>
      <c r="SZQ242" s="1"/>
      <c r="SZR242" s="1"/>
      <c r="SZS242" s="1"/>
      <c r="SZT242" s="1"/>
      <c r="SZU242" s="1"/>
      <c r="SZV242" s="1"/>
      <c r="SZW242" s="1"/>
      <c r="SZX242" s="1"/>
      <c r="SZY242" s="1"/>
      <c r="SZZ242" s="1"/>
      <c r="TAA242" s="1"/>
      <c r="TAB242" s="1"/>
      <c r="TAC242" s="1"/>
      <c r="TAD242" s="1"/>
      <c r="TAE242" s="1"/>
      <c r="TAF242" s="1"/>
      <c r="TAG242" s="1"/>
      <c r="TAH242" s="1"/>
      <c r="TAI242" s="1"/>
      <c r="TAJ242" s="1"/>
      <c r="TAK242" s="1"/>
      <c r="TAL242" s="1"/>
      <c r="TAM242" s="1"/>
      <c r="TAN242" s="1"/>
      <c r="TAO242" s="1"/>
      <c r="TAP242" s="1"/>
      <c r="TAQ242" s="1"/>
      <c r="TAR242" s="1"/>
      <c r="TAS242" s="1"/>
      <c r="TAT242" s="1"/>
      <c r="TAU242" s="1"/>
      <c r="TAV242" s="1"/>
      <c r="TAW242" s="1"/>
      <c r="TAX242" s="1"/>
      <c r="TAY242" s="1"/>
      <c r="TAZ242" s="1"/>
      <c r="TBA242" s="1"/>
      <c r="TBB242" s="1"/>
      <c r="TBC242" s="1"/>
      <c r="TBD242" s="1"/>
      <c r="TBE242" s="1"/>
      <c r="TBF242" s="1"/>
      <c r="TBG242" s="1"/>
      <c r="TBH242" s="1"/>
      <c r="TBI242" s="1"/>
      <c r="TBJ242" s="1"/>
      <c r="TBK242" s="1"/>
      <c r="TBL242" s="1"/>
      <c r="TBM242" s="1"/>
      <c r="TBN242" s="1"/>
      <c r="TBO242" s="1"/>
      <c r="TBP242" s="1"/>
      <c r="TBQ242" s="1"/>
      <c r="TBR242" s="1"/>
      <c r="TBS242" s="1"/>
      <c r="TBT242" s="1"/>
      <c r="TBU242" s="1"/>
      <c r="TBV242" s="1"/>
      <c r="TBW242" s="1"/>
      <c r="TBX242" s="1"/>
      <c r="TBY242" s="1"/>
      <c r="TBZ242" s="1"/>
      <c r="TCA242" s="1"/>
      <c r="TCB242" s="1"/>
      <c r="TCC242" s="1"/>
      <c r="TCD242" s="1"/>
      <c r="TCE242" s="1"/>
      <c r="TCF242" s="1"/>
      <c r="TCG242" s="1"/>
      <c r="TCH242" s="1"/>
      <c r="TCI242" s="1"/>
      <c r="TCJ242" s="1"/>
      <c r="TCK242" s="1"/>
      <c r="TCL242" s="1"/>
      <c r="TCM242" s="1"/>
      <c r="TCN242" s="1"/>
      <c r="TCO242" s="1"/>
      <c r="TCP242" s="1"/>
      <c r="TCQ242" s="1"/>
      <c r="TCR242" s="1"/>
      <c r="TCS242" s="1"/>
      <c r="TCT242" s="1"/>
      <c r="TCU242" s="1"/>
      <c r="TCV242" s="1"/>
      <c r="TCW242" s="1"/>
      <c r="TCX242" s="1"/>
      <c r="TCY242" s="1"/>
      <c r="TCZ242" s="1"/>
      <c r="TDA242" s="1"/>
      <c r="TDB242" s="1"/>
      <c r="TDC242" s="1"/>
      <c r="TDD242" s="1"/>
      <c r="TDE242" s="1"/>
      <c r="TDF242" s="1"/>
      <c r="TDG242" s="1"/>
      <c r="TDH242" s="1"/>
      <c r="TDI242" s="1"/>
      <c r="TDJ242" s="1"/>
      <c r="TDK242" s="1"/>
      <c r="TDL242" s="1"/>
      <c r="TDM242" s="1"/>
      <c r="TDN242" s="1"/>
      <c r="TDO242" s="1"/>
      <c r="TDP242" s="1"/>
      <c r="TDQ242" s="1"/>
      <c r="TDR242" s="1"/>
      <c r="TDS242" s="1"/>
      <c r="TDT242" s="1"/>
      <c r="TDU242" s="1"/>
      <c r="TDV242" s="1"/>
      <c r="TDW242" s="1"/>
      <c r="TDX242" s="1"/>
      <c r="TDY242" s="1"/>
      <c r="TDZ242" s="1"/>
      <c r="TEA242" s="1"/>
      <c r="TEB242" s="1"/>
      <c r="TEC242" s="1"/>
      <c r="TED242" s="1"/>
      <c r="TEE242" s="1"/>
      <c r="TEF242" s="1"/>
      <c r="TEG242" s="1"/>
      <c r="TEH242" s="1"/>
      <c r="TEI242" s="1"/>
      <c r="TEJ242" s="1"/>
      <c r="TEK242" s="1"/>
      <c r="TEL242" s="1"/>
      <c r="TEM242" s="1"/>
      <c r="TEN242" s="1"/>
      <c r="TEO242" s="1"/>
      <c r="TEP242" s="1"/>
      <c r="TEQ242" s="1"/>
      <c r="TER242" s="1"/>
      <c r="TES242" s="1"/>
      <c r="TET242" s="1"/>
      <c r="TEU242" s="1"/>
      <c r="TEV242" s="1"/>
      <c r="TEW242" s="1"/>
      <c r="TEX242" s="1"/>
      <c r="TEY242" s="1"/>
      <c r="TEZ242" s="1"/>
      <c r="TFA242" s="1"/>
      <c r="TFB242" s="1"/>
      <c r="TFC242" s="1"/>
      <c r="TFD242" s="1"/>
      <c r="TFE242" s="1"/>
      <c r="TFF242" s="1"/>
      <c r="TFG242" s="1"/>
      <c r="TFH242" s="1"/>
      <c r="TFI242" s="1"/>
      <c r="TFJ242" s="1"/>
      <c r="TFK242" s="1"/>
      <c r="TFL242" s="1"/>
      <c r="TFM242" s="1"/>
      <c r="TFN242" s="1"/>
      <c r="TFO242" s="1"/>
      <c r="TFP242" s="1"/>
      <c r="TFQ242" s="1"/>
      <c r="TFR242" s="1"/>
      <c r="TFS242" s="1"/>
      <c r="TFT242" s="1"/>
      <c r="TFU242" s="1"/>
      <c r="TFV242" s="1"/>
      <c r="TFW242" s="1"/>
      <c r="TFX242" s="1"/>
      <c r="TFY242" s="1"/>
      <c r="TFZ242" s="1"/>
      <c r="TGA242" s="1"/>
      <c r="TGB242" s="1"/>
      <c r="TGC242" s="1"/>
      <c r="TGD242" s="1"/>
      <c r="TGE242" s="1"/>
      <c r="TGF242" s="1"/>
      <c r="TGG242" s="1"/>
      <c r="TGH242" s="1"/>
      <c r="TGI242" s="1"/>
      <c r="TGJ242" s="1"/>
      <c r="TGK242" s="1"/>
      <c r="TGL242" s="1"/>
      <c r="TGM242" s="1"/>
      <c r="TGN242" s="1"/>
      <c r="TGO242" s="1"/>
      <c r="TGP242" s="1"/>
      <c r="TGQ242" s="1"/>
      <c r="TGR242" s="1"/>
      <c r="TGS242" s="1"/>
      <c r="TGT242" s="1"/>
      <c r="TGU242" s="1"/>
      <c r="TGV242" s="1"/>
      <c r="TGW242" s="1"/>
      <c r="TGX242" s="1"/>
      <c r="TGY242" s="1"/>
      <c r="TGZ242" s="1"/>
      <c r="THA242" s="1"/>
      <c r="THB242" s="1"/>
      <c r="THC242" s="1"/>
      <c r="THD242" s="1"/>
      <c r="THE242" s="1"/>
      <c r="THF242" s="1"/>
      <c r="THG242" s="1"/>
      <c r="THH242" s="1"/>
      <c r="THI242" s="1"/>
      <c r="THJ242" s="1"/>
      <c r="THK242" s="1"/>
      <c r="THL242" s="1"/>
      <c r="THM242" s="1"/>
      <c r="THN242" s="1"/>
      <c r="THO242" s="1"/>
      <c r="THP242" s="1"/>
      <c r="THQ242" s="1"/>
      <c r="THR242" s="1"/>
      <c r="THS242" s="1"/>
      <c r="THT242" s="1"/>
      <c r="THU242" s="1"/>
      <c r="THV242" s="1"/>
      <c r="THW242" s="1"/>
      <c r="THX242" s="1"/>
      <c r="THY242" s="1"/>
      <c r="THZ242" s="1"/>
      <c r="TIA242" s="1"/>
      <c r="TIB242" s="1"/>
      <c r="TIC242" s="1"/>
      <c r="TID242" s="1"/>
      <c r="TIE242" s="1"/>
      <c r="TIF242" s="1"/>
      <c r="TIG242" s="1"/>
      <c r="TIH242" s="1"/>
      <c r="TII242" s="1"/>
      <c r="TIJ242" s="1"/>
      <c r="TIK242" s="1"/>
      <c r="TIL242" s="1"/>
      <c r="TIM242" s="1"/>
      <c r="TIN242" s="1"/>
      <c r="TIO242" s="1"/>
      <c r="TIP242" s="1"/>
      <c r="TIQ242" s="1"/>
      <c r="TIR242" s="1"/>
      <c r="TIS242" s="1"/>
      <c r="TIT242" s="1"/>
      <c r="TIU242" s="1"/>
      <c r="TIV242" s="1"/>
      <c r="TIW242" s="1"/>
      <c r="TIX242" s="1"/>
      <c r="TIY242" s="1"/>
      <c r="TIZ242" s="1"/>
      <c r="TJA242" s="1"/>
      <c r="TJB242" s="1"/>
      <c r="TJC242" s="1"/>
      <c r="TJD242" s="1"/>
      <c r="TJE242" s="1"/>
      <c r="TJF242" s="1"/>
      <c r="TJG242" s="1"/>
      <c r="TJH242" s="1"/>
      <c r="TJI242" s="1"/>
      <c r="TJJ242" s="1"/>
      <c r="TJK242" s="1"/>
      <c r="TJL242" s="1"/>
      <c r="TJM242" s="1"/>
      <c r="TJN242" s="1"/>
      <c r="TJO242" s="1"/>
      <c r="TJP242" s="1"/>
      <c r="TJQ242" s="1"/>
      <c r="TJR242" s="1"/>
      <c r="TJS242" s="1"/>
      <c r="TJT242" s="1"/>
      <c r="TJU242" s="1"/>
      <c r="TJV242" s="1"/>
      <c r="TJW242" s="1"/>
      <c r="TJX242" s="1"/>
      <c r="TJY242" s="1"/>
      <c r="TJZ242" s="1"/>
      <c r="TKA242" s="1"/>
      <c r="TKB242" s="1"/>
      <c r="TKC242" s="1"/>
      <c r="TKD242" s="1"/>
      <c r="TKE242" s="1"/>
      <c r="TKF242" s="1"/>
      <c r="TKG242" s="1"/>
      <c r="TKH242" s="1"/>
      <c r="TKI242" s="1"/>
      <c r="TKJ242" s="1"/>
      <c r="TKK242" s="1"/>
      <c r="TKL242" s="1"/>
      <c r="TKM242" s="1"/>
      <c r="TKN242" s="1"/>
      <c r="TKO242" s="1"/>
      <c r="TKP242" s="1"/>
      <c r="TKQ242" s="1"/>
      <c r="TKR242" s="1"/>
      <c r="TKS242" s="1"/>
      <c r="TKT242" s="1"/>
      <c r="TKU242" s="1"/>
      <c r="TKV242" s="1"/>
      <c r="TKW242" s="1"/>
      <c r="TKX242" s="1"/>
      <c r="TKY242" s="1"/>
      <c r="TKZ242" s="1"/>
      <c r="TLA242" s="1"/>
      <c r="TLB242" s="1"/>
      <c r="TLC242" s="1"/>
      <c r="TLD242" s="1"/>
      <c r="TLE242" s="1"/>
      <c r="TLF242" s="1"/>
      <c r="TLG242" s="1"/>
      <c r="TLH242" s="1"/>
      <c r="TLI242" s="1"/>
      <c r="TLJ242" s="1"/>
      <c r="TLK242" s="1"/>
      <c r="TLL242" s="1"/>
      <c r="TLM242" s="1"/>
      <c r="TLN242" s="1"/>
      <c r="TLO242" s="1"/>
      <c r="TLP242" s="1"/>
      <c r="TLQ242" s="1"/>
      <c r="TLR242" s="1"/>
      <c r="TLS242" s="1"/>
      <c r="TLT242" s="1"/>
      <c r="TLU242" s="1"/>
      <c r="TLV242" s="1"/>
      <c r="TLW242" s="1"/>
      <c r="TLX242" s="1"/>
      <c r="TLY242" s="1"/>
      <c r="TLZ242" s="1"/>
      <c r="TMA242" s="1"/>
      <c r="TMB242" s="1"/>
      <c r="TMC242" s="1"/>
      <c r="TMD242" s="1"/>
      <c r="TME242" s="1"/>
      <c r="TMF242" s="1"/>
      <c r="TMG242" s="1"/>
      <c r="TMH242" s="1"/>
      <c r="TMI242" s="1"/>
      <c r="TMJ242" s="1"/>
      <c r="TMK242" s="1"/>
      <c r="TML242" s="1"/>
      <c r="TMM242" s="1"/>
      <c r="TMN242" s="1"/>
      <c r="TMO242" s="1"/>
      <c r="TMP242" s="1"/>
      <c r="TMQ242" s="1"/>
      <c r="TMR242" s="1"/>
      <c r="TMS242" s="1"/>
      <c r="TMT242" s="1"/>
      <c r="TMU242" s="1"/>
      <c r="TMV242" s="1"/>
      <c r="TMW242" s="1"/>
      <c r="TMX242" s="1"/>
      <c r="TMY242" s="1"/>
      <c r="TMZ242" s="1"/>
      <c r="TNA242" s="1"/>
      <c r="TNB242" s="1"/>
      <c r="TNC242" s="1"/>
      <c r="TND242" s="1"/>
      <c r="TNE242" s="1"/>
      <c r="TNF242" s="1"/>
      <c r="TNG242" s="1"/>
      <c r="TNH242" s="1"/>
      <c r="TNI242" s="1"/>
      <c r="TNJ242" s="1"/>
      <c r="TNK242" s="1"/>
      <c r="TNL242" s="1"/>
      <c r="TNM242" s="1"/>
      <c r="TNN242" s="1"/>
      <c r="TNO242" s="1"/>
      <c r="TNP242" s="1"/>
      <c r="TNQ242" s="1"/>
      <c r="TNR242" s="1"/>
      <c r="TNS242" s="1"/>
      <c r="TNT242" s="1"/>
      <c r="TNU242" s="1"/>
      <c r="TNV242" s="1"/>
      <c r="TNW242" s="1"/>
      <c r="TNX242" s="1"/>
      <c r="TNY242" s="1"/>
      <c r="TNZ242" s="1"/>
      <c r="TOA242" s="1"/>
      <c r="TOB242" s="1"/>
      <c r="TOC242" s="1"/>
      <c r="TOD242" s="1"/>
      <c r="TOE242" s="1"/>
      <c r="TOF242" s="1"/>
      <c r="TOG242" s="1"/>
      <c r="TOH242" s="1"/>
      <c r="TOI242" s="1"/>
      <c r="TOJ242" s="1"/>
      <c r="TOK242" s="1"/>
      <c r="TOL242" s="1"/>
      <c r="TOM242" s="1"/>
      <c r="TON242" s="1"/>
      <c r="TOO242" s="1"/>
      <c r="TOP242" s="1"/>
      <c r="TOQ242" s="1"/>
      <c r="TOR242" s="1"/>
      <c r="TOS242" s="1"/>
      <c r="TOT242" s="1"/>
      <c r="TOU242" s="1"/>
      <c r="TOV242" s="1"/>
      <c r="TOW242" s="1"/>
      <c r="TOX242" s="1"/>
      <c r="TOY242" s="1"/>
      <c r="TOZ242" s="1"/>
      <c r="TPA242" s="1"/>
      <c r="TPB242" s="1"/>
      <c r="TPC242" s="1"/>
      <c r="TPD242" s="1"/>
      <c r="TPE242" s="1"/>
      <c r="TPF242" s="1"/>
      <c r="TPG242" s="1"/>
      <c r="TPH242" s="1"/>
      <c r="TPI242" s="1"/>
      <c r="TPJ242" s="1"/>
      <c r="TPK242" s="1"/>
      <c r="TPL242" s="1"/>
      <c r="TPM242" s="1"/>
      <c r="TPN242" s="1"/>
      <c r="TPO242" s="1"/>
      <c r="TPP242" s="1"/>
      <c r="TPQ242" s="1"/>
      <c r="TPR242" s="1"/>
      <c r="TPS242" s="1"/>
      <c r="TPT242" s="1"/>
      <c r="TPU242" s="1"/>
      <c r="TPV242" s="1"/>
      <c r="TPW242" s="1"/>
      <c r="TPX242" s="1"/>
      <c r="TPY242" s="1"/>
      <c r="TPZ242" s="1"/>
      <c r="TQA242" s="1"/>
      <c r="TQB242" s="1"/>
      <c r="TQC242" s="1"/>
      <c r="TQD242" s="1"/>
      <c r="TQE242" s="1"/>
      <c r="TQF242" s="1"/>
      <c r="TQG242" s="1"/>
      <c r="TQH242" s="1"/>
      <c r="TQI242" s="1"/>
      <c r="TQJ242" s="1"/>
      <c r="TQK242" s="1"/>
      <c r="TQL242" s="1"/>
      <c r="TQM242" s="1"/>
      <c r="TQN242" s="1"/>
      <c r="TQO242" s="1"/>
      <c r="TQP242" s="1"/>
      <c r="TQQ242" s="1"/>
      <c r="TQR242" s="1"/>
      <c r="TQS242" s="1"/>
      <c r="TQT242" s="1"/>
      <c r="TQU242" s="1"/>
      <c r="TQV242" s="1"/>
      <c r="TQW242" s="1"/>
      <c r="TQX242" s="1"/>
      <c r="TQY242" s="1"/>
      <c r="TQZ242" s="1"/>
      <c r="TRA242" s="1"/>
      <c r="TRB242" s="1"/>
      <c r="TRC242" s="1"/>
      <c r="TRD242" s="1"/>
      <c r="TRE242" s="1"/>
      <c r="TRF242" s="1"/>
      <c r="TRG242" s="1"/>
      <c r="TRH242" s="1"/>
      <c r="TRI242" s="1"/>
      <c r="TRJ242" s="1"/>
      <c r="TRK242" s="1"/>
      <c r="TRL242" s="1"/>
      <c r="TRM242" s="1"/>
      <c r="TRN242" s="1"/>
      <c r="TRO242" s="1"/>
      <c r="TRP242" s="1"/>
      <c r="TRQ242" s="1"/>
      <c r="TRR242" s="1"/>
      <c r="TRS242" s="1"/>
      <c r="TRT242" s="1"/>
      <c r="TRU242" s="1"/>
      <c r="TRV242" s="1"/>
      <c r="TRW242" s="1"/>
      <c r="TRX242" s="1"/>
      <c r="TRY242" s="1"/>
      <c r="TRZ242" s="1"/>
      <c r="TSA242" s="1"/>
      <c r="TSB242" s="1"/>
      <c r="TSC242" s="1"/>
      <c r="TSD242" s="1"/>
      <c r="TSE242" s="1"/>
      <c r="TSF242" s="1"/>
      <c r="TSG242" s="1"/>
      <c r="TSH242" s="1"/>
      <c r="TSI242" s="1"/>
      <c r="TSJ242" s="1"/>
      <c r="TSK242" s="1"/>
      <c r="TSL242" s="1"/>
      <c r="TSM242" s="1"/>
      <c r="TSN242" s="1"/>
      <c r="TSO242" s="1"/>
      <c r="TSP242" s="1"/>
      <c r="TSQ242" s="1"/>
      <c r="TSR242" s="1"/>
      <c r="TSS242" s="1"/>
      <c r="TST242" s="1"/>
      <c r="TSU242" s="1"/>
      <c r="TSV242" s="1"/>
      <c r="TSW242" s="1"/>
      <c r="TSX242" s="1"/>
      <c r="TSY242" s="1"/>
      <c r="TSZ242" s="1"/>
      <c r="TTA242" s="1"/>
      <c r="TTB242" s="1"/>
      <c r="TTC242" s="1"/>
      <c r="TTD242" s="1"/>
      <c r="TTE242" s="1"/>
      <c r="TTF242" s="1"/>
      <c r="TTG242" s="1"/>
      <c r="TTH242" s="1"/>
      <c r="TTI242" s="1"/>
      <c r="TTJ242" s="1"/>
      <c r="TTK242" s="1"/>
      <c r="TTL242" s="1"/>
      <c r="TTM242" s="1"/>
      <c r="TTN242" s="1"/>
      <c r="TTO242" s="1"/>
      <c r="TTP242" s="1"/>
      <c r="TTQ242" s="1"/>
      <c r="TTR242" s="1"/>
      <c r="TTS242" s="1"/>
      <c r="TTT242" s="1"/>
      <c r="TTU242" s="1"/>
      <c r="TTV242" s="1"/>
      <c r="TTW242" s="1"/>
      <c r="TTX242" s="1"/>
      <c r="TTY242" s="1"/>
      <c r="TTZ242" s="1"/>
      <c r="TUA242" s="1"/>
      <c r="TUB242" s="1"/>
      <c r="TUC242" s="1"/>
      <c r="TUD242" s="1"/>
      <c r="TUE242" s="1"/>
      <c r="TUF242" s="1"/>
      <c r="TUG242" s="1"/>
      <c r="TUH242" s="1"/>
      <c r="TUI242" s="1"/>
      <c r="TUJ242" s="1"/>
      <c r="TUK242" s="1"/>
      <c r="TUL242" s="1"/>
      <c r="TUM242" s="1"/>
      <c r="TUN242" s="1"/>
      <c r="TUO242" s="1"/>
      <c r="TUP242" s="1"/>
      <c r="TUQ242" s="1"/>
      <c r="TUR242" s="1"/>
      <c r="TUS242" s="1"/>
      <c r="TUT242" s="1"/>
      <c r="TUU242" s="1"/>
      <c r="TUV242" s="1"/>
      <c r="TUW242" s="1"/>
      <c r="TUX242" s="1"/>
      <c r="TUY242" s="1"/>
      <c r="TUZ242" s="1"/>
      <c r="TVA242" s="1"/>
      <c r="TVB242" s="1"/>
      <c r="TVC242" s="1"/>
      <c r="TVD242" s="1"/>
      <c r="TVE242" s="1"/>
      <c r="TVF242" s="1"/>
      <c r="TVG242" s="1"/>
      <c r="TVH242" s="1"/>
      <c r="TVI242" s="1"/>
      <c r="TVJ242" s="1"/>
      <c r="TVK242" s="1"/>
      <c r="TVL242" s="1"/>
      <c r="TVM242" s="1"/>
      <c r="TVN242" s="1"/>
      <c r="TVO242" s="1"/>
      <c r="TVP242" s="1"/>
      <c r="TVQ242" s="1"/>
      <c r="TVR242" s="1"/>
      <c r="TVS242" s="1"/>
      <c r="TVT242" s="1"/>
      <c r="TVU242" s="1"/>
      <c r="TVV242" s="1"/>
      <c r="TVW242" s="1"/>
      <c r="TVX242" s="1"/>
      <c r="TVY242" s="1"/>
      <c r="TVZ242" s="1"/>
      <c r="TWA242" s="1"/>
      <c r="TWB242" s="1"/>
      <c r="TWC242" s="1"/>
      <c r="TWD242" s="1"/>
      <c r="TWE242" s="1"/>
      <c r="TWF242" s="1"/>
      <c r="TWG242" s="1"/>
      <c r="TWH242" s="1"/>
      <c r="TWI242" s="1"/>
      <c r="TWJ242" s="1"/>
      <c r="TWK242" s="1"/>
      <c r="TWL242" s="1"/>
      <c r="TWM242" s="1"/>
      <c r="TWN242" s="1"/>
      <c r="TWO242" s="1"/>
      <c r="TWP242" s="1"/>
      <c r="TWQ242" s="1"/>
      <c r="TWR242" s="1"/>
      <c r="TWS242" s="1"/>
      <c r="TWT242" s="1"/>
      <c r="TWU242" s="1"/>
      <c r="TWV242" s="1"/>
      <c r="TWW242" s="1"/>
      <c r="TWX242" s="1"/>
      <c r="TWY242" s="1"/>
      <c r="TWZ242" s="1"/>
      <c r="TXA242" s="1"/>
      <c r="TXB242" s="1"/>
      <c r="TXC242" s="1"/>
      <c r="TXD242" s="1"/>
      <c r="TXE242" s="1"/>
      <c r="TXF242" s="1"/>
      <c r="TXG242" s="1"/>
      <c r="TXH242" s="1"/>
      <c r="TXI242" s="1"/>
      <c r="TXJ242" s="1"/>
      <c r="TXK242" s="1"/>
      <c r="TXL242" s="1"/>
      <c r="TXM242" s="1"/>
      <c r="TXN242" s="1"/>
      <c r="TXO242" s="1"/>
      <c r="TXP242" s="1"/>
      <c r="TXQ242" s="1"/>
      <c r="TXR242" s="1"/>
      <c r="TXS242" s="1"/>
      <c r="TXT242" s="1"/>
      <c r="TXU242" s="1"/>
      <c r="TXV242" s="1"/>
      <c r="TXW242" s="1"/>
      <c r="TXX242" s="1"/>
      <c r="TXY242" s="1"/>
      <c r="TXZ242" s="1"/>
      <c r="TYA242" s="1"/>
      <c r="TYB242" s="1"/>
      <c r="TYC242" s="1"/>
      <c r="TYD242" s="1"/>
      <c r="TYE242" s="1"/>
      <c r="TYF242" s="1"/>
      <c r="TYG242" s="1"/>
      <c r="TYH242" s="1"/>
      <c r="TYI242" s="1"/>
      <c r="TYJ242" s="1"/>
      <c r="TYK242" s="1"/>
      <c r="TYL242" s="1"/>
      <c r="TYM242" s="1"/>
      <c r="TYN242" s="1"/>
      <c r="TYO242" s="1"/>
      <c r="TYP242" s="1"/>
      <c r="TYQ242" s="1"/>
      <c r="TYR242" s="1"/>
      <c r="TYS242" s="1"/>
      <c r="TYT242" s="1"/>
      <c r="TYU242" s="1"/>
      <c r="TYV242" s="1"/>
      <c r="TYW242" s="1"/>
      <c r="TYX242" s="1"/>
      <c r="TYY242" s="1"/>
      <c r="TYZ242" s="1"/>
      <c r="TZA242" s="1"/>
      <c r="TZB242" s="1"/>
      <c r="TZC242" s="1"/>
      <c r="TZD242" s="1"/>
      <c r="TZE242" s="1"/>
      <c r="TZF242" s="1"/>
      <c r="TZG242" s="1"/>
      <c r="TZH242" s="1"/>
      <c r="TZI242" s="1"/>
      <c r="TZJ242" s="1"/>
      <c r="TZK242" s="1"/>
      <c r="TZL242" s="1"/>
      <c r="TZM242" s="1"/>
      <c r="TZN242" s="1"/>
      <c r="TZO242" s="1"/>
      <c r="TZP242" s="1"/>
      <c r="TZQ242" s="1"/>
      <c r="TZR242" s="1"/>
      <c r="TZS242" s="1"/>
      <c r="TZT242" s="1"/>
      <c r="TZU242" s="1"/>
      <c r="TZV242" s="1"/>
      <c r="TZW242" s="1"/>
      <c r="TZX242" s="1"/>
      <c r="TZY242" s="1"/>
      <c r="TZZ242" s="1"/>
      <c r="UAA242" s="1"/>
      <c r="UAB242" s="1"/>
      <c r="UAC242" s="1"/>
      <c r="UAD242" s="1"/>
      <c r="UAE242" s="1"/>
      <c r="UAF242" s="1"/>
      <c r="UAG242" s="1"/>
      <c r="UAH242" s="1"/>
      <c r="UAI242" s="1"/>
      <c r="UAJ242" s="1"/>
      <c r="UAK242" s="1"/>
      <c r="UAL242" s="1"/>
      <c r="UAM242" s="1"/>
      <c r="UAN242" s="1"/>
      <c r="UAO242" s="1"/>
      <c r="UAP242" s="1"/>
      <c r="UAQ242" s="1"/>
      <c r="UAR242" s="1"/>
      <c r="UAS242" s="1"/>
      <c r="UAT242" s="1"/>
      <c r="UAU242" s="1"/>
      <c r="UAV242" s="1"/>
      <c r="UAW242" s="1"/>
      <c r="UAX242" s="1"/>
      <c r="UAY242" s="1"/>
      <c r="UAZ242" s="1"/>
      <c r="UBA242" s="1"/>
      <c r="UBB242" s="1"/>
      <c r="UBC242" s="1"/>
      <c r="UBD242" s="1"/>
      <c r="UBE242" s="1"/>
      <c r="UBF242" s="1"/>
      <c r="UBG242" s="1"/>
      <c r="UBH242" s="1"/>
      <c r="UBI242" s="1"/>
      <c r="UBJ242" s="1"/>
      <c r="UBK242" s="1"/>
      <c r="UBL242" s="1"/>
      <c r="UBM242" s="1"/>
      <c r="UBN242" s="1"/>
      <c r="UBO242" s="1"/>
      <c r="UBP242" s="1"/>
      <c r="UBQ242" s="1"/>
      <c r="UBR242" s="1"/>
      <c r="UBS242" s="1"/>
      <c r="UBT242" s="1"/>
      <c r="UBU242" s="1"/>
      <c r="UBV242" s="1"/>
      <c r="UBW242" s="1"/>
      <c r="UBX242" s="1"/>
      <c r="UBY242" s="1"/>
      <c r="UBZ242" s="1"/>
      <c r="UCA242" s="1"/>
      <c r="UCB242" s="1"/>
      <c r="UCC242" s="1"/>
      <c r="UCD242" s="1"/>
      <c r="UCE242" s="1"/>
      <c r="UCF242" s="1"/>
      <c r="UCG242" s="1"/>
      <c r="UCH242" s="1"/>
      <c r="UCI242" s="1"/>
      <c r="UCJ242" s="1"/>
      <c r="UCK242" s="1"/>
      <c r="UCL242" s="1"/>
      <c r="UCM242" s="1"/>
      <c r="UCN242" s="1"/>
      <c r="UCO242" s="1"/>
      <c r="UCP242" s="1"/>
      <c r="UCQ242" s="1"/>
      <c r="UCR242" s="1"/>
      <c r="UCS242" s="1"/>
      <c r="UCT242" s="1"/>
      <c r="UCU242" s="1"/>
      <c r="UCV242" s="1"/>
      <c r="UCW242" s="1"/>
      <c r="UCX242" s="1"/>
      <c r="UCY242" s="1"/>
      <c r="UCZ242" s="1"/>
      <c r="UDA242" s="1"/>
      <c r="UDB242" s="1"/>
      <c r="UDC242" s="1"/>
      <c r="UDD242" s="1"/>
      <c r="UDE242" s="1"/>
      <c r="UDF242" s="1"/>
      <c r="UDG242" s="1"/>
      <c r="UDH242" s="1"/>
      <c r="UDI242" s="1"/>
      <c r="UDJ242" s="1"/>
      <c r="UDK242" s="1"/>
      <c r="UDL242" s="1"/>
      <c r="UDM242" s="1"/>
      <c r="UDN242" s="1"/>
      <c r="UDO242" s="1"/>
      <c r="UDP242" s="1"/>
      <c r="UDQ242" s="1"/>
      <c r="UDR242" s="1"/>
      <c r="UDS242" s="1"/>
      <c r="UDT242" s="1"/>
      <c r="UDU242" s="1"/>
      <c r="UDV242" s="1"/>
      <c r="UDW242" s="1"/>
      <c r="UDX242" s="1"/>
      <c r="UDY242" s="1"/>
      <c r="UDZ242" s="1"/>
      <c r="UEA242" s="1"/>
      <c r="UEB242" s="1"/>
      <c r="UEC242" s="1"/>
      <c r="UED242" s="1"/>
      <c r="UEE242" s="1"/>
      <c r="UEF242" s="1"/>
      <c r="UEG242" s="1"/>
      <c r="UEH242" s="1"/>
      <c r="UEI242" s="1"/>
      <c r="UEJ242" s="1"/>
      <c r="UEK242" s="1"/>
      <c r="UEL242" s="1"/>
      <c r="UEM242" s="1"/>
      <c r="UEN242" s="1"/>
      <c r="UEO242" s="1"/>
      <c r="UEP242" s="1"/>
      <c r="UEQ242" s="1"/>
      <c r="UER242" s="1"/>
      <c r="UES242" s="1"/>
      <c r="UET242" s="1"/>
      <c r="UEU242" s="1"/>
      <c r="UEV242" s="1"/>
      <c r="UEW242" s="1"/>
      <c r="UEX242" s="1"/>
      <c r="UEY242" s="1"/>
      <c r="UEZ242" s="1"/>
      <c r="UFA242" s="1"/>
      <c r="UFB242" s="1"/>
      <c r="UFC242" s="1"/>
      <c r="UFD242" s="1"/>
      <c r="UFE242" s="1"/>
      <c r="UFF242" s="1"/>
      <c r="UFG242" s="1"/>
      <c r="UFH242" s="1"/>
      <c r="UFI242" s="1"/>
      <c r="UFJ242" s="1"/>
      <c r="UFK242" s="1"/>
      <c r="UFL242" s="1"/>
      <c r="UFM242" s="1"/>
      <c r="UFN242" s="1"/>
      <c r="UFO242" s="1"/>
      <c r="UFP242" s="1"/>
      <c r="UFQ242" s="1"/>
      <c r="UFR242" s="1"/>
      <c r="UFS242" s="1"/>
      <c r="UFT242" s="1"/>
      <c r="UFU242" s="1"/>
      <c r="UFV242" s="1"/>
      <c r="UFW242" s="1"/>
      <c r="UFX242" s="1"/>
      <c r="UFY242" s="1"/>
      <c r="UFZ242" s="1"/>
      <c r="UGA242" s="1"/>
      <c r="UGB242" s="1"/>
      <c r="UGC242" s="1"/>
      <c r="UGD242" s="1"/>
      <c r="UGE242" s="1"/>
      <c r="UGF242" s="1"/>
      <c r="UGG242" s="1"/>
      <c r="UGH242" s="1"/>
      <c r="UGI242" s="1"/>
      <c r="UGJ242" s="1"/>
      <c r="UGK242" s="1"/>
      <c r="UGL242" s="1"/>
      <c r="UGM242" s="1"/>
      <c r="UGN242" s="1"/>
      <c r="UGO242" s="1"/>
      <c r="UGP242" s="1"/>
      <c r="UGQ242" s="1"/>
      <c r="UGR242" s="1"/>
      <c r="UGS242" s="1"/>
      <c r="UGT242" s="1"/>
      <c r="UGU242" s="1"/>
      <c r="UGV242" s="1"/>
      <c r="UGW242" s="1"/>
      <c r="UGX242" s="1"/>
      <c r="UGY242" s="1"/>
      <c r="UGZ242" s="1"/>
      <c r="UHA242" s="1"/>
      <c r="UHB242" s="1"/>
      <c r="UHC242" s="1"/>
      <c r="UHD242" s="1"/>
      <c r="UHE242" s="1"/>
      <c r="UHF242" s="1"/>
      <c r="UHG242" s="1"/>
      <c r="UHH242" s="1"/>
      <c r="UHI242" s="1"/>
      <c r="UHJ242" s="1"/>
      <c r="UHK242" s="1"/>
      <c r="UHL242" s="1"/>
      <c r="UHM242" s="1"/>
      <c r="UHN242" s="1"/>
      <c r="UHO242" s="1"/>
      <c r="UHP242" s="1"/>
      <c r="UHQ242" s="1"/>
      <c r="UHR242" s="1"/>
      <c r="UHS242" s="1"/>
      <c r="UHT242" s="1"/>
      <c r="UHU242" s="1"/>
      <c r="UHV242" s="1"/>
      <c r="UHW242" s="1"/>
      <c r="UHX242" s="1"/>
      <c r="UHY242" s="1"/>
      <c r="UHZ242" s="1"/>
      <c r="UIA242" s="1"/>
      <c r="UIB242" s="1"/>
      <c r="UIC242" s="1"/>
      <c r="UID242" s="1"/>
      <c r="UIE242" s="1"/>
      <c r="UIF242" s="1"/>
      <c r="UIG242" s="1"/>
      <c r="UIH242" s="1"/>
      <c r="UII242" s="1"/>
      <c r="UIJ242" s="1"/>
      <c r="UIK242" s="1"/>
      <c r="UIL242" s="1"/>
      <c r="UIM242" s="1"/>
      <c r="UIN242" s="1"/>
      <c r="UIO242" s="1"/>
      <c r="UIP242" s="1"/>
      <c r="UIQ242" s="1"/>
      <c r="UIR242" s="1"/>
      <c r="UIS242" s="1"/>
      <c r="UIT242" s="1"/>
      <c r="UIU242" s="1"/>
      <c r="UIV242" s="1"/>
      <c r="UIW242" s="1"/>
      <c r="UIX242" s="1"/>
      <c r="UIY242" s="1"/>
      <c r="UIZ242" s="1"/>
      <c r="UJA242" s="1"/>
      <c r="UJB242" s="1"/>
      <c r="UJC242" s="1"/>
      <c r="UJD242" s="1"/>
      <c r="UJE242" s="1"/>
      <c r="UJF242" s="1"/>
      <c r="UJG242" s="1"/>
      <c r="UJH242" s="1"/>
      <c r="UJI242" s="1"/>
      <c r="UJJ242" s="1"/>
      <c r="UJK242" s="1"/>
      <c r="UJL242" s="1"/>
      <c r="UJM242" s="1"/>
      <c r="UJN242" s="1"/>
      <c r="UJO242" s="1"/>
      <c r="UJP242" s="1"/>
      <c r="UJQ242" s="1"/>
      <c r="UJR242" s="1"/>
      <c r="UJS242" s="1"/>
      <c r="UJT242" s="1"/>
      <c r="UJU242" s="1"/>
      <c r="UJV242" s="1"/>
      <c r="UJW242" s="1"/>
      <c r="UJX242" s="1"/>
      <c r="UJY242" s="1"/>
      <c r="UJZ242" s="1"/>
      <c r="UKA242" s="1"/>
      <c r="UKB242" s="1"/>
      <c r="UKC242" s="1"/>
      <c r="UKD242" s="1"/>
      <c r="UKE242" s="1"/>
      <c r="UKF242" s="1"/>
      <c r="UKG242" s="1"/>
      <c r="UKH242" s="1"/>
      <c r="UKI242" s="1"/>
      <c r="UKJ242" s="1"/>
      <c r="UKK242" s="1"/>
      <c r="UKL242" s="1"/>
      <c r="UKM242" s="1"/>
      <c r="UKN242" s="1"/>
      <c r="UKO242" s="1"/>
      <c r="UKP242" s="1"/>
      <c r="UKQ242" s="1"/>
      <c r="UKR242" s="1"/>
      <c r="UKS242" s="1"/>
      <c r="UKT242" s="1"/>
      <c r="UKU242" s="1"/>
      <c r="UKV242" s="1"/>
      <c r="UKW242" s="1"/>
      <c r="UKX242" s="1"/>
      <c r="UKY242" s="1"/>
      <c r="UKZ242" s="1"/>
      <c r="ULA242" s="1"/>
      <c r="ULB242" s="1"/>
      <c r="ULC242" s="1"/>
      <c r="ULD242" s="1"/>
      <c r="ULE242" s="1"/>
      <c r="ULF242" s="1"/>
      <c r="ULG242" s="1"/>
      <c r="ULH242" s="1"/>
      <c r="ULI242" s="1"/>
      <c r="ULJ242" s="1"/>
      <c r="ULK242" s="1"/>
      <c r="ULL242" s="1"/>
      <c r="ULM242" s="1"/>
      <c r="ULN242" s="1"/>
      <c r="ULO242" s="1"/>
      <c r="ULP242" s="1"/>
      <c r="ULQ242" s="1"/>
      <c r="ULR242" s="1"/>
      <c r="ULS242" s="1"/>
      <c r="ULT242" s="1"/>
      <c r="ULU242" s="1"/>
      <c r="ULV242" s="1"/>
      <c r="ULW242" s="1"/>
      <c r="ULX242" s="1"/>
      <c r="ULY242" s="1"/>
      <c r="ULZ242" s="1"/>
      <c r="UMA242" s="1"/>
      <c r="UMB242" s="1"/>
      <c r="UMC242" s="1"/>
      <c r="UMD242" s="1"/>
      <c r="UME242" s="1"/>
      <c r="UMF242" s="1"/>
      <c r="UMG242" s="1"/>
      <c r="UMH242" s="1"/>
      <c r="UMI242" s="1"/>
      <c r="UMJ242" s="1"/>
      <c r="UMK242" s="1"/>
      <c r="UML242" s="1"/>
      <c r="UMM242" s="1"/>
      <c r="UMN242" s="1"/>
      <c r="UMO242" s="1"/>
      <c r="UMP242" s="1"/>
      <c r="UMQ242" s="1"/>
      <c r="UMR242" s="1"/>
      <c r="UMS242" s="1"/>
      <c r="UMT242" s="1"/>
      <c r="UMU242" s="1"/>
      <c r="UMV242" s="1"/>
      <c r="UMW242" s="1"/>
      <c r="UMX242" s="1"/>
      <c r="UMY242" s="1"/>
      <c r="UMZ242" s="1"/>
      <c r="UNA242" s="1"/>
      <c r="UNB242" s="1"/>
      <c r="UNC242" s="1"/>
      <c r="UND242" s="1"/>
      <c r="UNE242" s="1"/>
      <c r="UNF242" s="1"/>
      <c r="UNG242" s="1"/>
      <c r="UNH242" s="1"/>
      <c r="UNI242" s="1"/>
      <c r="UNJ242" s="1"/>
      <c r="UNK242" s="1"/>
      <c r="UNL242" s="1"/>
      <c r="UNM242" s="1"/>
      <c r="UNN242" s="1"/>
      <c r="UNO242" s="1"/>
      <c r="UNP242" s="1"/>
      <c r="UNQ242" s="1"/>
      <c r="UNR242" s="1"/>
      <c r="UNS242" s="1"/>
      <c r="UNT242" s="1"/>
      <c r="UNU242" s="1"/>
      <c r="UNV242" s="1"/>
      <c r="UNW242" s="1"/>
      <c r="UNX242" s="1"/>
      <c r="UNY242" s="1"/>
      <c r="UNZ242" s="1"/>
      <c r="UOA242" s="1"/>
      <c r="UOB242" s="1"/>
      <c r="UOC242" s="1"/>
      <c r="UOD242" s="1"/>
      <c r="UOE242" s="1"/>
      <c r="UOF242" s="1"/>
      <c r="UOG242" s="1"/>
      <c r="UOH242" s="1"/>
      <c r="UOI242" s="1"/>
      <c r="UOJ242" s="1"/>
      <c r="UOK242" s="1"/>
      <c r="UOL242" s="1"/>
      <c r="UOM242" s="1"/>
      <c r="UON242" s="1"/>
      <c r="UOO242" s="1"/>
      <c r="UOP242" s="1"/>
      <c r="UOQ242" s="1"/>
      <c r="UOR242" s="1"/>
      <c r="UOS242" s="1"/>
      <c r="UOT242" s="1"/>
      <c r="UOU242" s="1"/>
      <c r="UOV242" s="1"/>
      <c r="UOW242" s="1"/>
      <c r="UOX242" s="1"/>
      <c r="UOY242" s="1"/>
      <c r="UOZ242" s="1"/>
      <c r="UPA242" s="1"/>
      <c r="UPB242" s="1"/>
      <c r="UPC242" s="1"/>
      <c r="UPD242" s="1"/>
      <c r="UPE242" s="1"/>
      <c r="UPF242" s="1"/>
      <c r="UPG242" s="1"/>
      <c r="UPH242" s="1"/>
      <c r="UPI242" s="1"/>
      <c r="UPJ242" s="1"/>
      <c r="UPK242" s="1"/>
      <c r="UPL242" s="1"/>
      <c r="UPM242" s="1"/>
      <c r="UPN242" s="1"/>
      <c r="UPO242" s="1"/>
      <c r="UPP242" s="1"/>
      <c r="UPQ242" s="1"/>
      <c r="UPR242" s="1"/>
      <c r="UPS242" s="1"/>
      <c r="UPT242" s="1"/>
      <c r="UPU242" s="1"/>
      <c r="UPV242" s="1"/>
      <c r="UPW242" s="1"/>
      <c r="UPX242" s="1"/>
      <c r="UPY242" s="1"/>
      <c r="UPZ242" s="1"/>
      <c r="UQA242" s="1"/>
      <c r="UQB242" s="1"/>
      <c r="UQC242" s="1"/>
      <c r="UQD242" s="1"/>
      <c r="UQE242" s="1"/>
      <c r="UQF242" s="1"/>
      <c r="UQG242" s="1"/>
      <c r="UQH242" s="1"/>
      <c r="UQI242" s="1"/>
      <c r="UQJ242" s="1"/>
      <c r="UQK242" s="1"/>
      <c r="UQL242" s="1"/>
      <c r="UQM242" s="1"/>
      <c r="UQN242" s="1"/>
      <c r="UQO242" s="1"/>
      <c r="UQP242" s="1"/>
      <c r="UQQ242" s="1"/>
      <c r="UQR242" s="1"/>
      <c r="UQS242" s="1"/>
      <c r="UQT242" s="1"/>
      <c r="UQU242" s="1"/>
      <c r="UQV242" s="1"/>
      <c r="UQW242" s="1"/>
      <c r="UQX242" s="1"/>
      <c r="UQY242" s="1"/>
      <c r="UQZ242" s="1"/>
      <c r="URA242" s="1"/>
      <c r="URB242" s="1"/>
      <c r="URC242" s="1"/>
      <c r="URD242" s="1"/>
      <c r="URE242" s="1"/>
      <c r="URF242" s="1"/>
      <c r="URG242" s="1"/>
      <c r="URH242" s="1"/>
      <c r="URI242" s="1"/>
      <c r="URJ242" s="1"/>
      <c r="URK242" s="1"/>
      <c r="URL242" s="1"/>
      <c r="URM242" s="1"/>
      <c r="URN242" s="1"/>
      <c r="URO242" s="1"/>
      <c r="URP242" s="1"/>
      <c r="URQ242" s="1"/>
      <c r="URR242" s="1"/>
      <c r="URS242" s="1"/>
      <c r="URT242" s="1"/>
      <c r="URU242" s="1"/>
      <c r="URV242" s="1"/>
      <c r="URW242" s="1"/>
      <c r="URX242" s="1"/>
      <c r="URY242" s="1"/>
      <c r="URZ242" s="1"/>
      <c r="USA242" s="1"/>
      <c r="USB242" s="1"/>
      <c r="USC242" s="1"/>
      <c r="USD242" s="1"/>
      <c r="USE242" s="1"/>
      <c r="USF242" s="1"/>
      <c r="USG242" s="1"/>
      <c r="USH242" s="1"/>
      <c r="USI242" s="1"/>
      <c r="USJ242" s="1"/>
      <c r="USK242" s="1"/>
      <c r="USL242" s="1"/>
      <c r="USM242" s="1"/>
      <c r="USN242" s="1"/>
      <c r="USO242" s="1"/>
      <c r="USP242" s="1"/>
      <c r="USQ242" s="1"/>
      <c r="USR242" s="1"/>
      <c r="USS242" s="1"/>
      <c r="UST242" s="1"/>
      <c r="USU242" s="1"/>
      <c r="USV242" s="1"/>
      <c r="USW242" s="1"/>
      <c r="USX242" s="1"/>
      <c r="USY242" s="1"/>
      <c r="USZ242" s="1"/>
      <c r="UTA242" s="1"/>
      <c r="UTB242" s="1"/>
      <c r="UTC242" s="1"/>
      <c r="UTD242" s="1"/>
      <c r="UTE242" s="1"/>
      <c r="UTF242" s="1"/>
      <c r="UTG242" s="1"/>
      <c r="UTH242" s="1"/>
      <c r="UTI242" s="1"/>
      <c r="UTJ242" s="1"/>
      <c r="UTK242" s="1"/>
      <c r="UTL242" s="1"/>
      <c r="UTM242" s="1"/>
      <c r="UTN242" s="1"/>
      <c r="UTO242" s="1"/>
      <c r="UTP242" s="1"/>
      <c r="UTQ242" s="1"/>
      <c r="UTR242" s="1"/>
      <c r="UTS242" s="1"/>
      <c r="UTT242" s="1"/>
      <c r="UTU242" s="1"/>
      <c r="UTV242" s="1"/>
      <c r="UTW242" s="1"/>
      <c r="UTX242" s="1"/>
      <c r="UTY242" s="1"/>
      <c r="UTZ242" s="1"/>
      <c r="UUA242" s="1"/>
      <c r="UUB242" s="1"/>
      <c r="UUC242" s="1"/>
      <c r="UUD242" s="1"/>
      <c r="UUE242" s="1"/>
      <c r="UUF242" s="1"/>
      <c r="UUG242" s="1"/>
      <c r="UUH242" s="1"/>
      <c r="UUI242" s="1"/>
      <c r="UUJ242" s="1"/>
      <c r="UUK242" s="1"/>
      <c r="UUL242" s="1"/>
      <c r="UUM242" s="1"/>
      <c r="UUN242" s="1"/>
      <c r="UUO242" s="1"/>
      <c r="UUP242" s="1"/>
      <c r="UUQ242" s="1"/>
      <c r="UUR242" s="1"/>
      <c r="UUS242" s="1"/>
      <c r="UUT242" s="1"/>
      <c r="UUU242" s="1"/>
      <c r="UUV242" s="1"/>
      <c r="UUW242" s="1"/>
      <c r="UUX242" s="1"/>
      <c r="UUY242" s="1"/>
      <c r="UUZ242" s="1"/>
      <c r="UVA242" s="1"/>
      <c r="UVB242" s="1"/>
      <c r="UVC242" s="1"/>
      <c r="UVD242" s="1"/>
      <c r="UVE242" s="1"/>
      <c r="UVF242" s="1"/>
      <c r="UVG242" s="1"/>
      <c r="UVH242" s="1"/>
      <c r="UVI242" s="1"/>
      <c r="UVJ242" s="1"/>
      <c r="UVK242" s="1"/>
      <c r="UVL242" s="1"/>
      <c r="UVM242" s="1"/>
      <c r="UVN242" s="1"/>
      <c r="UVO242" s="1"/>
      <c r="UVP242" s="1"/>
      <c r="UVQ242" s="1"/>
      <c r="UVR242" s="1"/>
      <c r="UVS242" s="1"/>
      <c r="UVT242" s="1"/>
      <c r="UVU242" s="1"/>
      <c r="UVV242" s="1"/>
      <c r="UVW242" s="1"/>
      <c r="UVX242" s="1"/>
      <c r="UVY242" s="1"/>
      <c r="UVZ242" s="1"/>
      <c r="UWA242" s="1"/>
      <c r="UWB242" s="1"/>
      <c r="UWC242" s="1"/>
      <c r="UWD242" s="1"/>
      <c r="UWE242" s="1"/>
      <c r="UWF242" s="1"/>
      <c r="UWG242" s="1"/>
      <c r="UWH242" s="1"/>
      <c r="UWI242" s="1"/>
      <c r="UWJ242" s="1"/>
      <c r="UWK242" s="1"/>
      <c r="UWL242" s="1"/>
      <c r="UWM242" s="1"/>
      <c r="UWN242" s="1"/>
      <c r="UWO242" s="1"/>
      <c r="UWP242" s="1"/>
      <c r="UWQ242" s="1"/>
      <c r="UWR242" s="1"/>
      <c r="UWS242" s="1"/>
      <c r="UWT242" s="1"/>
      <c r="UWU242" s="1"/>
      <c r="UWV242" s="1"/>
      <c r="UWW242" s="1"/>
      <c r="UWX242" s="1"/>
      <c r="UWY242" s="1"/>
      <c r="UWZ242" s="1"/>
      <c r="UXA242" s="1"/>
      <c r="UXB242" s="1"/>
      <c r="UXC242" s="1"/>
      <c r="UXD242" s="1"/>
      <c r="UXE242" s="1"/>
      <c r="UXF242" s="1"/>
      <c r="UXG242" s="1"/>
      <c r="UXH242" s="1"/>
      <c r="UXI242" s="1"/>
      <c r="UXJ242" s="1"/>
      <c r="UXK242" s="1"/>
      <c r="UXL242" s="1"/>
      <c r="UXM242" s="1"/>
      <c r="UXN242" s="1"/>
      <c r="UXO242" s="1"/>
      <c r="UXP242" s="1"/>
      <c r="UXQ242" s="1"/>
      <c r="UXR242" s="1"/>
      <c r="UXS242" s="1"/>
      <c r="UXT242" s="1"/>
      <c r="UXU242" s="1"/>
      <c r="UXV242" s="1"/>
      <c r="UXW242" s="1"/>
      <c r="UXX242" s="1"/>
      <c r="UXY242" s="1"/>
      <c r="UXZ242" s="1"/>
      <c r="UYA242" s="1"/>
      <c r="UYB242" s="1"/>
      <c r="UYC242" s="1"/>
      <c r="UYD242" s="1"/>
      <c r="UYE242" s="1"/>
      <c r="UYF242" s="1"/>
      <c r="UYG242" s="1"/>
      <c r="UYH242" s="1"/>
      <c r="UYI242" s="1"/>
      <c r="UYJ242" s="1"/>
      <c r="UYK242" s="1"/>
      <c r="UYL242" s="1"/>
      <c r="UYM242" s="1"/>
      <c r="UYN242" s="1"/>
      <c r="UYO242" s="1"/>
      <c r="UYP242" s="1"/>
      <c r="UYQ242" s="1"/>
      <c r="UYR242" s="1"/>
      <c r="UYS242" s="1"/>
      <c r="UYT242" s="1"/>
      <c r="UYU242" s="1"/>
      <c r="UYV242" s="1"/>
      <c r="UYW242" s="1"/>
      <c r="UYX242" s="1"/>
      <c r="UYY242" s="1"/>
      <c r="UYZ242" s="1"/>
      <c r="UZA242" s="1"/>
      <c r="UZB242" s="1"/>
      <c r="UZC242" s="1"/>
      <c r="UZD242" s="1"/>
      <c r="UZE242" s="1"/>
      <c r="UZF242" s="1"/>
      <c r="UZG242" s="1"/>
      <c r="UZH242" s="1"/>
      <c r="UZI242" s="1"/>
      <c r="UZJ242" s="1"/>
      <c r="UZK242" s="1"/>
      <c r="UZL242" s="1"/>
      <c r="UZM242" s="1"/>
      <c r="UZN242" s="1"/>
      <c r="UZO242" s="1"/>
      <c r="UZP242" s="1"/>
      <c r="UZQ242" s="1"/>
      <c r="UZR242" s="1"/>
      <c r="UZS242" s="1"/>
      <c r="UZT242" s="1"/>
      <c r="UZU242" s="1"/>
      <c r="UZV242" s="1"/>
      <c r="UZW242" s="1"/>
      <c r="UZX242" s="1"/>
      <c r="UZY242" s="1"/>
      <c r="UZZ242" s="1"/>
      <c r="VAA242" s="1"/>
      <c r="VAB242" s="1"/>
      <c r="VAC242" s="1"/>
      <c r="VAD242" s="1"/>
      <c r="VAE242" s="1"/>
      <c r="VAF242" s="1"/>
      <c r="VAG242" s="1"/>
      <c r="VAH242" s="1"/>
      <c r="VAI242" s="1"/>
      <c r="VAJ242" s="1"/>
      <c r="VAK242" s="1"/>
      <c r="VAL242" s="1"/>
      <c r="VAM242" s="1"/>
      <c r="VAN242" s="1"/>
      <c r="VAO242" s="1"/>
      <c r="VAP242" s="1"/>
      <c r="VAQ242" s="1"/>
      <c r="VAR242" s="1"/>
      <c r="VAS242" s="1"/>
      <c r="VAT242" s="1"/>
      <c r="VAU242" s="1"/>
      <c r="VAV242" s="1"/>
      <c r="VAW242" s="1"/>
      <c r="VAX242" s="1"/>
      <c r="VAY242" s="1"/>
      <c r="VAZ242" s="1"/>
      <c r="VBA242" s="1"/>
      <c r="VBB242" s="1"/>
      <c r="VBC242" s="1"/>
      <c r="VBD242" s="1"/>
      <c r="VBE242" s="1"/>
      <c r="VBF242" s="1"/>
      <c r="VBG242" s="1"/>
      <c r="VBH242" s="1"/>
      <c r="VBI242" s="1"/>
      <c r="VBJ242" s="1"/>
      <c r="VBK242" s="1"/>
      <c r="VBL242" s="1"/>
      <c r="VBM242" s="1"/>
      <c r="VBN242" s="1"/>
      <c r="VBO242" s="1"/>
      <c r="VBP242" s="1"/>
      <c r="VBQ242" s="1"/>
      <c r="VBR242" s="1"/>
      <c r="VBS242" s="1"/>
      <c r="VBT242" s="1"/>
      <c r="VBU242" s="1"/>
      <c r="VBV242" s="1"/>
      <c r="VBW242" s="1"/>
      <c r="VBX242" s="1"/>
      <c r="VBY242" s="1"/>
      <c r="VBZ242" s="1"/>
      <c r="VCA242" s="1"/>
      <c r="VCB242" s="1"/>
      <c r="VCC242" s="1"/>
      <c r="VCD242" s="1"/>
      <c r="VCE242" s="1"/>
      <c r="VCF242" s="1"/>
      <c r="VCG242" s="1"/>
      <c r="VCH242" s="1"/>
      <c r="VCI242" s="1"/>
      <c r="VCJ242" s="1"/>
      <c r="VCK242" s="1"/>
      <c r="VCL242" s="1"/>
      <c r="VCM242" s="1"/>
      <c r="VCN242" s="1"/>
      <c r="VCO242" s="1"/>
      <c r="VCP242" s="1"/>
      <c r="VCQ242" s="1"/>
      <c r="VCR242" s="1"/>
      <c r="VCS242" s="1"/>
    </row>
  </sheetData>
  <mergeCells count="6">
    <mergeCell ref="B5:B6"/>
    <mergeCell ref="C5:C6"/>
    <mergeCell ref="D5:D6"/>
    <mergeCell ref="E5:E6"/>
    <mergeCell ref="B2:AL2"/>
    <mergeCell ref="F5:AJ5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2022-09-06T08:59:53Z</dcterms:created>
  <dcterms:modified xsi:type="dcterms:W3CDTF">2023-01-03T07:15:28Z</dcterms:modified>
</cp:coreProperties>
</file>