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A9CA5D16-8FFF-4DE3-B945-ED2B053F66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ember 2024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Qty cons analysis" sheetId="33" state="hidden" r:id="rId9"/>
    <sheet name="Utility" sheetId="32" state="hidden" r:id="rId10"/>
    <sheet name="Prod" sheetId="31" state="hidden" r:id="rId11"/>
    <sheet name="OIP Refinery " sheetId="36" r:id="rId12"/>
    <sheet name="Oip Fract ." sheetId="37" r:id="rId13"/>
    <sheet name="Downtime Ref Des" sheetId="34" state="hidden" r:id="rId14"/>
    <sheet name="Downtime Fract Des" sheetId="35" state="hidden" r:id="rId15"/>
    <sheet name="2024" sheetId="16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0" hidden="1">'Desember 2024'!$A$4:$VVF$4</definedName>
    <definedName name="_xlnm.Print_Area" localSheetId="0">'Desember 2024'!$W$2:$AM$72</definedName>
    <definedName name="_xlnm.Print_Area" localSheetId="14">'Downtime Fract Des'!$E$1:$L$71</definedName>
    <definedName name="_xlnm.Print_Area" localSheetId="13">'Downtime Ref Des'!$E$1:$L$65</definedName>
    <definedName name="_xlnm.Print_Area" localSheetId="2">'Peformance Test REFINERY 1'!#REF!</definedName>
    <definedName name="_xlnm.Print_Area" localSheetId="10">Prod!$B$2:$H$87</definedName>
    <definedName name="_xlnm.Print_Area" localSheetId="8">'Qty cons analysis'!$D$2:$I$54</definedName>
    <definedName name="_xlnm.Print_Area" localSheetId="9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34" l="1"/>
  <c r="AM22" i="6" l="1"/>
  <c r="E25" i="31"/>
  <c r="AM279" i="6"/>
  <c r="H32" i="32"/>
  <c r="H23" i="32"/>
  <c r="H16" i="32"/>
  <c r="AM240" i="6"/>
  <c r="AM238" i="6"/>
  <c r="E59" i="32"/>
  <c r="I38" i="35"/>
  <c r="G38" i="35"/>
  <c r="M37" i="35"/>
  <c r="K37" i="35"/>
  <c r="J37" i="35"/>
  <c r="I51" i="35" s="1"/>
  <c r="M36" i="35"/>
  <c r="K36" i="35"/>
  <c r="J36" i="35"/>
  <c r="M35" i="35"/>
  <c r="K35" i="35"/>
  <c r="J35" i="35"/>
  <c r="M34" i="35"/>
  <c r="K34" i="35"/>
  <c r="J34" i="35"/>
  <c r="I42" i="35" s="1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I50" i="35" s="1"/>
  <c r="M19" i="35"/>
  <c r="K19" i="35"/>
  <c r="J19" i="35"/>
  <c r="M18" i="35"/>
  <c r="K18" i="35"/>
  <c r="J18" i="35"/>
  <c r="M17" i="35"/>
  <c r="K17" i="35"/>
  <c r="J17" i="35"/>
  <c r="I54" i="35" s="1"/>
  <c r="M16" i="35"/>
  <c r="K16" i="35"/>
  <c r="J16" i="35"/>
  <c r="I52" i="35" s="1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J38" i="35" s="1"/>
  <c r="M8" i="35"/>
  <c r="K8" i="35"/>
  <c r="J8" i="35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37" i="34"/>
  <c r="G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I41" i="34" s="1"/>
  <c r="I51" i="34" s="1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I43" i="34" s="1"/>
  <c r="M9" i="34"/>
  <c r="K9" i="34"/>
  <c r="J9" i="34"/>
  <c r="I44" i="34" s="1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7" i="34" s="1"/>
  <c r="K7" i="34"/>
  <c r="J7" i="34"/>
  <c r="I49" i="34" s="1"/>
  <c r="I55" i="35" l="1"/>
  <c r="J37" i="34"/>
  <c r="G53" i="31" l="1"/>
  <c r="G52" i="31"/>
  <c r="G51" i="31"/>
  <c r="E22" i="31"/>
  <c r="E43" i="31" l="1"/>
  <c r="E38" i="31"/>
  <c r="E34" i="31"/>
  <c r="O19" i="6"/>
  <c r="AK275" i="6"/>
  <c r="AK273" i="6"/>
  <c r="AK270" i="6"/>
  <c r="AK264" i="6"/>
  <c r="AK262" i="6"/>
  <c r="AK260" i="6"/>
  <c r="AK255" i="6"/>
  <c r="AK253" i="6"/>
  <c r="AK252" i="6"/>
  <c r="AK250" i="6"/>
  <c r="AK244" i="6"/>
  <c r="AK245" i="6" s="1"/>
  <c r="AK87" i="6"/>
  <c r="AK84" i="6"/>
  <c r="AK85" i="6" s="1"/>
  <c r="AK83" i="6"/>
  <c r="AK70" i="6"/>
  <c r="AK69" i="6"/>
  <c r="AK68" i="6"/>
  <c r="AK67" i="6"/>
  <c r="AK61" i="6"/>
  <c r="AK60" i="6"/>
  <c r="AK59" i="6"/>
  <c r="AK54" i="6"/>
  <c r="AK72" i="6" s="1"/>
  <c r="AK49" i="6"/>
  <c r="AK44" i="6"/>
  <c r="AK40" i="6"/>
  <c r="AK66" i="6" s="1"/>
  <c r="AK35" i="6"/>
  <c r="AK64" i="6" s="1"/>
  <c r="AK31" i="6"/>
  <c r="AK12" i="6"/>
  <c r="AK81" i="6" s="1"/>
  <c r="AK8" i="6"/>
  <c r="AK28" i="6" l="1"/>
  <c r="AK280" i="6" s="1"/>
  <c r="AK11" i="6"/>
  <c r="AK75" i="6" s="1"/>
  <c r="E23" i="31"/>
  <c r="AK71" i="6"/>
  <c r="AK63" i="6"/>
  <c r="AK62" i="6"/>
  <c r="AK65" i="6"/>
  <c r="AK278" i="6" l="1"/>
  <c r="AK29" i="6"/>
  <c r="T49" i="16"/>
  <c r="AM6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AG71" i="6"/>
  <c r="AH71" i="6"/>
  <c r="AH70" i="6"/>
  <c r="AG270" i="6"/>
  <c r="AH270" i="6"/>
  <c r="AI270" i="6"/>
  <c r="AJ270" i="6"/>
  <c r="AH72" i="6"/>
  <c r="AH26" i="6"/>
  <c r="AH25" i="6"/>
  <c r="AG32" i="6"/>
  <c r="AG26" i="6"/>
  <c r="AG25" i="6"/>
  <c r="AG24" i="6"/>
  <c r="AG20" i="6"/>
  <c r="AG19" i="6"/>
  <c r="AG18" i="6"/>
  <c r="AG9" i="6"/>
  <c r="AG7" i="6"/>
  <c r="S270" i="6"/>
  <c r="S264" i="6"/>
  <c r="S253" i="6"/>
  <c r="S255" i="6" s="1"/>
  <c r="S244" i="6"/>
  <c r="S245" i="6" s="1"/>
  <c r="S87" i="6"/>
  <c r="S70" i="6"/>
  <c r="S69" i="6"/>
  <c r="S68" i="6"/>
  <c r="S67" i="6"/>
  <c r="S54" i="6"/>
  <c r="S72" i="6" s="1"/>
  <c r="S49" i="6"/>
  <c r="S44" i="6"/>
  <c r="S40" i="6"/>
  <c r="S66" i="6" s="1"/>
  <c r="S35" i="6"/>
  <c r="S64" i="6" s="1"/>
  <c r="S31" i="6"/>
  <c r="S26" i="6"/>
  <c r="S25" i="6"/>
  <c r="S24" i="6"/>
  <c r="S252" i="6" s="1"/>
  <c r="S20" i="6"/>
  <c r="S19" i="6"/>
  <c r="S18" i="6"/>
  <c r="S12" i="6"/>
  <c r="S81" i="6" s="1"/>
  <c r="S9" i="6"/>
  <c r="S275" i="6" s="1"/>
  <c r="S7" i="6"/>
  <c r="AM239" i="6" l="1"/>
  <c r="H18" i="32"/>
  <c r="AM15" i="6"/>
  <c r="F16" i="31" s="1"/>
  <c r="G16" i="31" s="1"/>
  <c r="S65" i="6"/>
  <c r="S60" i="6"/>
  <c r="AG61" i="6"/>
  <c r="S11" i="6"/>
  <c r="S75" i="6" s="1"/>
  <c r="S260" i="6"/>
  <c r="S84" i="6"/>
  <c r="S85" i="6" s="1"/>
  <c r="S62" i="6"/>
  <c r="S28" i="6"/>
  <c r="S8" i="6"/>
  <c r="S63" i="6"/>
  <c r="S243" i="6"/>
  <c r="S262" i="6"/>
  <c r="S61" i="6"/>
  <c r="S250" i="6"/>
  <c r="S273" i="6"/>
  <c r="S59" i="6"/>
  <c r="S83" i="6"/>
  <c r="S280" i="6" l="1"/>
  <c r="S27" i="6"/>
  <c r="S29" i="6"/>
  <c r="L36" i="36" l="1"/>
  <c r="L35" i="36"/>
  <c r="L34" i="36"/>
  <c r="L33" i="36"/>
  <c r="L32" i="36"/>
  <c r="J35" i="36"/>
  <c r="J34" i="36"/>
  <c r="J33" i="36"/>
  <c r="J32" i="36"/>
  <c r="J36" i="36"/>
  <c r="H12" i="37"/>
  <c r="L31" i="36"/>
  <c r="Y46" i="6"/>
  <c r="Y45" i="6"/>
  <c r="AF277" i="6"/>
  <c r="AF270" i="6"/>
  <c r="AM78" i="6"/>
  <c r="AF26" i="6"/>
  <c r="AF25" i="6"/>
  <c r="N45" i="6"/>
  <c r="N44" i="6" s="1"/>
  <c r="R45" i="6"/>
  <c r="AE270" i="6"/>
  <c r="AD270" i="6"/>
  <c r="AE46" i="6"/>
  <c r="AE45" i="6"/>
  <c r="AE24" i="6"/>
  <c r="AE252" i="6" s="1"/>
  <c r="AE19" i="6"/>
  <c r="AD19" i="6"/>
  <c r="AE20" i="6"/>
  <c r="AE9" i="6"/>
  <c r="AE250" i="6" s="1"/>
  <c r="L30" i="36"/>
  <c r="AD46" i="6"/>
  <c r="AD45" i="6"/>
  <c r="AE26" i="6"/>
  <c r="AE25" i="6"/>
  <c r="AD26" i="6"/>
  <c r="AD25" i="6"/>
  <c r="AD24" i="6"/>
  <c r="AD20" i="6"/>
  <c r="AD9" i="6"/>
  <c r="AD243" i="6" s="1"/>
  <c r="AD250" i="6" l="1"/>
  <c r="AD8" i="6"/>
  <c r="AE8" i="6"/>
  <c r="AE83" i="6"/>
  <c r="AE243" i="6"/>
  <c r="F29" i="37"/>
  <c r="F27" i="37"/>
  <c r="F28" i="37"/>
  <c r="AE18" i="6"/>
  <c r="G25" i="36"/>
  <c r="L29" i="36"/>
  <c r="AD18" i="6" s="1"/>
  <c r="AE277" i="6"/>
  <c r="AD277" i="6"/>
  <c r="AM76" i="6"/>
  <c r="AC46" i="6" l="1"/>
  <c r="AC45" i="6"/>
  <c r="AC24" i="6"/>
  <c r="AC19" i="6"/>
  <c r="AC20" i="6"/>
  <c r="AC9" i="6"/>
  <c r="AC250" i="6" l="1"/>
  <c r="AC8" i="6"/>
  <c r="AC26" i="6"/>
  <c r="AC25" i="6"/>
  <c r="AB18" i="6"/>
  <c r="AC18" i="6"/>
  <c r="AB242" i="6"/>
  <c r="AB244" i="6" s="1"/>
  <c r="AC242" i="6"/>
  <c r="AC244" i="6" s="1"/>
  <c r="L28" i="36"/>
  <c r="AC270" i="6"/>
  <c r="AB270" i="6"/>
  <c r="Y244" i="6"/>
  <c r="Z244" i="6"/>
  <c r="L244" i="6"/>
  <c r="M244" i="6"/>
  <c r="O244" i="6"/>
  <c r="P244" i="6"/>
  <c r="Q244" i="6"/>
  <c r="R244" i="6"/>
  <c r="T244" i="6"/>
  <c r="U244" i="6"/>
  <c r="V244" i="6"/>
  <c r="W244" i="6"/>
  <c r="X244" i="6"/>
  <c r="AA244" i="6"/>
  <c r="J244" i="6"/>
  <c r="I244" i="6"/>
  <c r="N242" i="6"/>
  <c r="N244" i="6" s="1"/>
  <c r="AC277" i="6"/>
  <c r="K29" i="37"/>
  <c r="AB277" i="6"/>
  <c r="AA277" i="6"/>
  <c r="Z277" i="6"/>
  <c r="AB46" i="6"/>
  <c r="AB45" i="6"/>
  <c r="AB28" i="6"/>
  <c r="AB280" i="6" s="1"/>
  <c r="AB26" i="6"/>
  <c r="AB25" i="6"/>
  <c r="AB24" i="6"/>
  <c r="AB20" i="6"/>
  <c r="AB19" i="6"/>
  <c r="L27" i="36"/>
  <c r="AA19" i="6"/>
  <c r="AB9" i="6"/>
  <c r="AA46" i="6"/>
  <c r="V270" i="6"/>
  <c r="W270" i="6"/>
  <c r="X270" i="6"/>
  <c r="Y270" i="6"/>
  <c r="Z270" i="6"/>
  <c r="AA270" i="6"/>
  <c r="AA45" i="6"/>
  <c r="AA24" i="6"/>
  <c r="AA26" i="6"/>
  <c r="AA25" i="6"/>
  <c r="AA20" i="6"/>
  <c r="AA9" i="6"/>
  <c r="Z7" i="6"/>
  <c r="Z19" i="6"/>
  <c r="Z26" i="6"/>
  <c r="Z25" i="6"/>
  <c r="Z24" i="6"/>
  <c r="Z252" i="6" s="1"/>
  <c r="Z20" i="6"/>
  <c r="Z9" i="6"/>
  <c r="Z83" i="6" s="1"/>
  <c r="Z46" i="6"/>
  <c r="Z45" i="6"/>
  <c r="K28" i="37"/>
  <c r="Q27" i="37"/>
  <c r="V37" i="37"/>
  <c r="V36" i="37"/>
  <c r="V35" i="37"/>
  <c r="V34" i="37"/>
  <c r="V33" i="37"/>
  <c r="V32" i="37"/>
  <c r="V31" i="37"/>
  <c r="V30" i="37"/>
  <c r="V29" i="37"/>
  <c r="V28" i="37"/>
  <c r="V27" i="37"/>
  <c r="T37" i="37"/>
  <c r="T36" i="37"/>
  <c r="T35" i="37"/>
  <c r="T34" i="37"/>
  <c r="T33" i="37"/>
  <c r="T32" i="37"/>
  <c r="T31" i="37"/>
  <c r="T30" i="37"/>
  <c r="T29" i="37"/>
  <c r="T28" i="37"/>
  <c r="T27" i="37"/>
  <c r="Q29" i="37"/>
  <c r="Q28" i="37"/>
  <c r="N28" i="37"/>
  <c r="Q37" i="37"/>
  <c r="Q36" i="37"/>
  <c r="Q35" i="37"/>
  <c r="Q34" i="37"/>
  <c r="Q33" i="37"/>
  <c r="Q32" i="37"/>
  <c r="N37" i="37"/>
  <c r="N36" i="37"/>
  <c r="N35" i="37"/>
  <c r="N34" i="37"/>
  <c r="N33" i="37"/>
  <c r="N32" i="37"/>
  <c r="N31" i="37"/>
  <c r="N30" i="37"/>
  <c r="N29" i="37"/>
  <c r="N27" i="37"/>
  <c r="K37" i="37"/>
  <c r="K36" i="37"/>
  <c r="K35" i="37"/>
  <c r="K34" i="37"/>
  <c r="K33" i="37"/>
  <c r="K32" i="37"/>
  <c r="K31" i="37"/>
  <c r="L26" i="36"/>
  <c r="AA18" i="6" s="1"/>
  <c r="L25" i="36"/>
  <c r="Z18" i="6" s="1"/>
  <c r="Z31" i="6"/>
  <c r="AC243" i="6" l="1"/>
  <c r="AB275" i="6"/>
  <c r="AB8" i="6"/>
  <c r="AA275" i="6"/>
  <c r="AA8" i="6"/>
  <c r="AB273" i="6"/>
  <c r="AA273" i="6"/>
  <c r="AB245" i="6"/>
  <c r="AB243" i="6"/>
  <c r="Z275" i="6"/>
  <c r="Z8" i="6"/>
  <c r="Z243" i="6"/>
  <c r="AB27" i="6"/>
  <c r="AA243" i="6"/>
  <c r="Z273" i="6"/>
  <c r="AB278" i="6"/>
  <c r="Y277" i="6"/>
  <c r="W74" i="6"/>
  <c r="X74" i="6"/>
  <c r="Y19" i="6" l="1"/>
  <c r="L24" i="36"/>
  <c r="Y18" i="6" s="1"/>
  <c r="Y26" i="6"/>
  <c r="Y25" i="6"/>
  <c r="Y24" i="6"/>
  <c r="Y20" i="6"/>
  <c r="Y14" i="6"/>
  <c r="Y13" i="6"/>
  <c r="Y31" i="6" l="1"/>
  <c r="Y9" i="6" l="1"/>
  <c r="Y7" i="6"/>
  <c r="U270" i="6"/>
  <c r="T270" i="6"/>
  <c r="U264" i="6"/>
  <c r="T264" i="6"/>
  <c r="U253" i="6"/>
  <c r="U255" i="6" s="1"/>
  <c r="T253" i="6"/>
  <c r="T255" i="6" s="1"/>
  <c r="U245" i="6"/>
  <c r="T245" i="6"/>
  <c r="U87" i="6"/>
  <c r="T87" i="6"/>
  <c r="U70" i="6"/>
  <c r="T70" i="6"/>
  <c r="U69" i="6"/>
  <c r="T69" i="6"/>
  <c r="U61" i="6"/>
  <c r="T61" i="6"/>
  <c r="U54" i="6"/>
  <c r="U72" i="6" s="1"/>
  <c r="T54" i="6"/>
  <c r="T72" i="6" s="1"/>
  <c r="U49" i="6"/>
  <c r="T49" i="6"/>
  <c r="U46" i="6"/>
  <c r="U68" i="6" s="1"/>
  <c r="T46" i="6"/>
  <c r="U45" i="6"/>
  <c r="T45" i="6"/>
  <c r="U40" i="6"/>
  <c r="U66" i="6" s="1"/>
  <c r="T40" i="6"/>
  <c r="T65" i="6" s="1"/>
  <c r="U35" i="6"/>
  <c r="U64" i="6" s="1"/>
  <c r="T35" i="6"/>
  <c r="T64" i="6" s="1"/>
  <c r="U31" i="6"/>
  <c r="U62" i="6" s="1"/>
  <c r="T31" i="6"/>
  <c r="T62" i="6" s="1"/>
  <c r="U26" i="6"/>
  <c r="T26" i="6"/>
  <c r="U25" i="6"/>
  <c r="T25" i="6"/>
  <c r="U24" i="6"/>
  <c r="U262" i="6" s="1"/>
  <c r="T24" i="6"/>
  <c r="T262" i="6" s="1"/>
  <c r="U20" i="6"/>
  <c r="T20" i="6"/>
  <c r="U19" i="6"/>
  <c r="T19" i="6"/>
  <c r="U12" i="6"/>
  <c r="U81" i="6" s="1"/>
  <c r="T12" i="6"/>
  <c r="T81" i="6" s="1"/>
  <c r="U9" i="6"/>
  <c r="U8" i="6" s="1"/>
  <c r="T9" i="6"/>
  <c r="T8" i="6" s="1"/>
  <c r="T7" i="6"/>
  <c r="Y275" i="6" l="1"/>
  <c r="Y273" i="6"/>
  <c r="Y8" i="6"/>
  <c r="T44" i="6"/>
  <c r="U84" i="6"/>
  <c r="U85" i="6" s="1"/>
  <c r="T60" i="6"/>
  <c r="Y243" i="6"/>
  <c r="T28" i="6"/>
  <c r="U44" i="6"/>
  <c r="U28" i="6" s="1"/>
  <c r="U27" i="6" s="1"/>
  <c r="T67" i="6"/>
  <c r="U60" i="6"/>
  <c r="U67" i="6"/>
  <c r="T68" i="6"/>
  <c r="T84" i="6"/>
  <c r="T85" i="6" s="1"/>
  <c r="U65" i="6"/>
  <c r="T66" i="6"/>
  <c r="T250" i="6"/>
  <c r="T260" i="6"/>
  <c r="T273" i="6"/>
  <c r="U11" i="6"/>
  <c r="U75" i="6" s="1"/>
  <c r="U250" i="6"/>
  <c r="U260" i="6"/>
  <c r="U273" i="6"/>
  <c r="T59" i="6"/>
  <c r="T63" i="6"/>
  <c r="T83" i="6"/>
  <c r="T243" i="6"/>
  <c r="T252" i="6"/>
  <c r="T275" i="6"/>
  <c r="T11" i="6"/>
  <c r="T75" i="6" s="1"/>
  <c r="U59" i="6"/>
  <c r="U63" i="6"/>
  <c r="U83" i="6"/>
  <c r="U243" i="6"/>
  <c r="U252" i="6"/>
  <c r="U275" i="6"/>
  <c r="T280" i="6" l="1"/>
  <c r="T27" i="6"/>
  <c r="T29" i="6"/>
  <c r="U280" i="6"/>
  <c r="U29" i="6"/>
  <c r="O6" i="18"/>
  <c r="L19" i="17"/>
  <c r="K13" i="17"/>
  <c r="K12" i="17"/>
  <c r="R255" i="6"/>
  <c r="P255" i="6"/>
  <c r="O255" i="6"/>
  <c r="L255" i="6"/>
  <c r="M255" i="6"/>
  <c r="K255" i="6"/>
  <c r="E250" i="6" l="1"/>
  <c r="K267" i="38"/>
  <c r="C92" i="40"/>
  <c r="E242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78" i="6"/>
  <c r="E280" i="6"/>
  <c r="X277" i="6"/>
  <c r="W277" i="6"/>
  <c r="E273" i="6"/>
  <c r="X19" i="6" l="1"/>
  <c r="R270" i="6"/>
  <c r="R264" i="6"/>
  <c r="R245" i="6"/>
  <c r="R87" i="6"/>
  <c r="R82" i="6"/>
  <c r="R70" i="6"/>
  <c r="R69" i="6"/>
  <c r="R54" i="6"/>
  <c r="R72" i="6" s="1"/>
  <c r="R49" i="6"/>
  <c r="R68" i="6"/>
  <c r="R40" i="6"/>
  <c r="R66" i="6" s="1"/>
  <c r="R35" i="6"/>
  <c r="R64" i="6" s="1"/>
  <c r="R32" i="6"/>
  <c r="R31" i="6" s="1"/>
  <c r="R26" i="6"/>
  <c r="R25" i="6"/>
  <c r="R24" i="6"/>
  <c r="R252" i="6" s="1"/>
  <c r="R20" i="6"/>
  <c r="R19" i="6"/>
  <c r="R12" i="6"/>
  <c r="R81" i="6" s="1"/>
  <c r="R9" i="6"/>
  <c r="R275" i="6" s="1"/>
  <c r="R7" i="6"/>
  <c r="R84" i="6" l="1"/>
  <c r="R85" i="6" s="1"/>
  <c r="R60" i="6"/>
  <c r="R83" i="6"/>
  <c r="R243" i="6"/>
  <c r="R61" i="6"/>
  <c r="R8" i="6"/>
  <c r="R62" i="6"/>
  <c r="R63" i="6"/>
  <c r="R260" i="6"/>
  <c r="R65" i="6"/>
  <c r="R11" i="6"/>
  <c r="R75" i="6" s="1"/>
  <c r="R59" i="6"/>
  <c r="R67" i="6"/>
  <c r="R250" i="6"/>
  <c r="R273" i="6"/>
  <c r="R44" i="6"/>
  <c r="R28" i="6" s="1"/>
  <c r="R27" i="6" s="1"/>
  <c r="R262" i="6"/>
  <c r="R280" i="6" l="1"/>
  <c r="R29" i="6"/>
  <c r="X33" i="6" l="1"/>
  <c r="X32" i="6"/>
  <c r="L23" i="36"/>
  <c r="X18" i="6" s="1"/>
  <c r="M25" i="3"/>
  <c r="X26" i="6"/>
  <c r="X25" i="6"/>
  <c r="X24" i="6"/>
  <c r="X20" i="6"/>
  <c r="X9" i="6"/>
  <c r="X7" i="6"/>
  <c r="X31" i="6" l="1"/>
  <c r="X8" i="6"/>
  <c r="X273" i="6"/>
  <c r="X275" i="6"/>
  <c r="H9" i="39"/>
  <c r="H19" i="39"/>
  <c r="E252" i="6" l="1"/>
  <c r="C281" i="39"/>
  <c r="C272" i="39"/>
  <c r="C261" i="39"/>
  <c r="C253" i="39"/>
  <c r="C252" i="39"/>
  <c r="C244" i="39"/>
  <c r="C53" i="39"/>
  <c r="C48" i="39"/>
  <c r="C26" i="39"/>
  <c r="C19" i="39"/>
  <c r="E262" i="6"/>
  <c r="E260" i="6"/>
  <c r="H85" i="39"/>
  <c r="G85" i="39"/>
  <c r="R257" i="39"/>
  <c r="R256" i="39"/>
  <c r="E275" i="6"/>
  <c r="W253" i="6"/>
  <c r="W255" i="6" s="1"/>
  <c r="M243" i="6"/>
  <c r="O243" i="6"/>
  <c r="E14" i="3"/>
  <c r="AM261" i="6"/>
  <c r="I30" i="32" s="1"/>
  <c r="M275" i="6"/>
  <c r="O275" i="6"/>
  <c r="O273" i="6"/>
  <c r="G99" i="40" l="1"/>
  <c r="W26" i="6"/>
  <c r="W25" i="6"/>
  <c r="AM74" i="6"/>
  <c r="W45" i="6"/>
  <c r="W32" i="6"/>
  <c r="W62" i="6" s="1"/>
  <c r="W24" i="6"/>
  <c r="W262" i="6" s="1"/>
  <c r="W19" i="6"/>
  <c r="W20" i="6"/>
  <c r="W9" i="6"/>
  <c r="W243" i="6" l="1"/>
  <c r="W273" i="6"/>
  <c r="W8" i="6"/>
  <c r="W275" i="6"/>
  <c r="W250" i="6"/>
  <c r="L22" i="36"/>
  <c r="W18" i="6" s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V18" i="6"/>
  <c r="Q18" i="6"/>
  <c r="P18" i="6"/>
  <c r="O18" i="6"/>
  <c r="N18" i="6"/>
  <c r="M18" i="6"/>
  <c r="M19" i="6"/>
  <c r="K18" i="6"/>
  <c r="J18" i="6"/>
  <c r="L18" i="6"/>
  <c r="I9" i="6"/>
  <c r="K8" i="6"/>
  <c r="L8" i="6"/>
  <c r="M8" i="6"/>
  <c r="O8" i="6"/>
  <c r="AM257" i="6"/>
  <c r="AM247" i="6"/>
  <c r="I18" i="32" s="1"/>
  <c r="AM86" i="6"/>
  <c r="V19" i="6"/>
  <c r="V26" i="6"/>
  <c r="V25" i="6"/>
  <c r="S22" i="37"/>
  <c r="P22" i="37"/>
  <c r="M22" i="37"/>
  <c r="P21" i="37"/>
  <c r="L20" i="36"/>
  <c r="L19" i="36"/>
  <c r="L17" i="36"/>
  <c r="L18" i="36"/>
  <c r="L21" i="36"/>
  <c r="AM269" i="6"/>
  <c r="I35" i="32" s="1"/>
  <c r="V45" i="6"/>
  <c r="V32" i="6"/>
  <c r="V62" i="6" s="1"/>
  <c r="V24" i="6"/>
  <c r="V20" i="6"/>
  <c r="V9" i="6"/>
  <c r="V243" i="6" s="1"/>
  <c r="V7" i="6"/>
  <c r="I243" i="6" l="1"/>
  <c r="H15" i="40"/>
  <c r="H99" i="40"/>
  <c r="V250" i="6"/>
  <c r="V273" i="6"/>
  <c r="V275" i="6"/>
  <c r="G95" i="40"/>
  <c r="H90" i="40"/>
  <c r="H32" i="40"/>
  <c r="V8" i="6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S21" i="37"/>
  <c r="M21" i="37"/>
  <c r="L15" i="36"/>
  <c r="F18" i="3"/>
  <c r="F19" i="3"/>
  <c r="F20" i="3"/>
  <c r="S20" i="37"/>
  <c r="P20" i="37"/>
  <c r="M20" i="37"/>
  <c r="AM46" i="6"/>
  <c r="M19" i="37" l="1"/>
  <c r="P19" i="37"/>
  <c r="S19" i="37"/>
  <c r="S18" i="37" l="1"/>
  <c r="P18" i="37"/>
  <c r="M18" i="37"/>
  <c r="Q270" i="6" l="1"/>
  <c r="P252" i="16"/>
  <c r="P54" i="16"/>
  <c r="P53" i="16" s="1"/>
  <c r="P52" i="16"/>
  <c r="P14" i="16"/>
  <c r="Q9" i="6"/>
  <c r="Q243" i="6" s="1"/>
  <c r="P82" i="6"/>
  <c r="Q24" i="6"/>
  <c r="Q45" i="6"/>
  <c r="AM45" i="6" s="1"/>
  <c r="Q32" i="6"/>
  <c r="Q20" i="6"/>
  <c r="Q19" i="6"/>
  <c r="Q7" i="6"/>
  <c r="AM67" i="6" l="1"/>
  <c r="Q273" i="6"/>
  <c r="Q275" i="6"/>
  <c r="Q8" i="6"/>
  <c r="Q250" i="6"/>
  <c r="P24" i="6"/>
  <c r="S17" i="37"/>
  <c r="P17" i="37"/>
  <c r="M17" i="37"/>
  <c r="M16" i="37"/>
  <c r="L16" i="36"/>
  <c r="O82" i="6"/>
  <c r="N82" i="6"/>
  <c r="M82" i="6"/>
  <c r="J82" i="6"/>
  <c r="I82" i="6"/>
  <c r="O57" i="16"/>
  <c r="P16" i="37"/>
  <c r="S16" i="37"/>
  <c r="P26" i="6"/>
  <c r="P7" i="6"/>
  <c r="P19" i="6"/>
  <c r="P33" i="6"/>
  <c r="AM33" i="6" s="1"/>
  <c r="P32" i="6"/>
  <c r="AM32" i="6" s="1"/>
  <c r="P9" i="6"/>
  <c r="AM61" i="6" l="1"/>
  <c r="AM62" i="6"/>
  <c r="P273" i="6"/>
  <c r="P243" i="6"/>
  <c r="P275" i="6"/>
  <c r="P8" i="6"/>
  <c r="P250" i="6"/>
  <c r="P83" i="6"/>
  <c r="N19" i="6"/>
  <c r="O15" i="36"/>
  <c r="R15" i="36"/>
  <c r="R14" i="36"/>
  <c r="L12" i="36"/>
  <c r="L13" i="36"/>
  <c r="L14" i="36"/>
  <c r="S14" i="36" s="1"/>
  <c r="L11" i="36"/>
  <c r="P270" i="6"/>
  <c r="O270" i="6"/>
  <c r="N270" i="6"/>
  <c r="P245" i="6"/>
  <c r="J17" i="3"/>
  <c r="I270" i="6"/>
  <c r="S15" i="36" l="1"/>
  <c r="E28" i="36" l="1"/>
  <c r="E27" i="36"/>
  <c r="O87" i="6" l="1"/>
  <c r="AM19" i="6"/>
  <c r="O250" i="6" l="1"/>
  <c r="K10" i="3"/>
  <c r="J10" i="3"/>
  <c r="J16" i="3"/>
  <c r="J15" i="3"/>
  <c r="J13" i="3"/>
  <c r="J12" i="3"/>
  <c r="J11" i="3"/>
  <c r="J14" i="3"/>
  <c r="M15" i="37" l="1"/>
  <c r="M14" i="37"/>
  <c r="O252" i="6"/>
  <c r="N24" i="6"/>
  <c r="AM24" i="6" s="1"/>
  <c r="N252" i="6" l="1"/>
  <c r="O7" i="6"/>
  <c r="K275" i="6" l="1"/>
  <c r="K273" i="6"/>
  <c r="K242" i="6"/>
  <c r="AM242" i="6" s="1"/>
  <c r="L243" i="6"/>
  <c r="J270" i="6"/>
  <c r="K270" i="6"/>
  <c r="L270" i="6"/>
  <c r="M270" i="6"/>
  <c r="M250" i="6"/>
  <c r="G27" i="36"/>
  <c r="K243" i="6" l="1"/>
  <c r="K244" i="6"/>
  <c r="K245" i="6"/>
  <c r="N20" i="6"/>
  <c r="N9" i="6"/>
  <c r="M7" i="6"/>
  <c r="M273" i="6" s="1"/>
  <c r="L7" i="6"/>
  <c r="N8" i="6" l="1"/>
  <c r="N275" i="6"/>
  <c r="N273" i="6"/>
  <c r="N83" i="6"/>
  <c r="N243" i="6"/>
  <c r="N250" i="6"/>
  <c r="K84" i="6"/>
  <c r="K85" i="6" s="1"/>
  <c r="K250" i="6"/>
  <c r="K7" i="6"/>
  <c r="O56" i="16"/>
  <c r="J9" i="6"/>
  <c r="AM9" i="6" s="1"/>
  <c r="AM8" i="6" s="1"/>
  <c r="E8" i="37"/>
  <c r="E7" i="37"/>
  <c r="E28" i="37"/>
  <c r="H28" i="37" s="1"/>
  <c r="E27" i="37"/>
  <c r="C24" i="36"/>
  <c r="J243" i="6" l="1"/>
  <c r="J8" i="6"/>
  <c r="J275" i="6"/>
  <c r="J83" i="6"/>
  <c r="J250" i="6"/>
  <c r="J255" i="6"/>
  <c r="AM59" i="6" l="1"/>
  <c r="M84" i="6"/>
  <c r="M85" i="6" s="1"/>
  <c r="J87" i="6"/>
  <c r="J7" i="6" l="1"/>
  <c r="J273" i="6" s="1"/>
  <c r="I7" i="6" l="1"/>
  <c r="H7" i="6"/>
  <c r="G7" i="6"/>
  <c r="AM7" i="6" l="1"/>
  <c r="H35" i="37"/>
  <c r="H34" i="37"/>
  <c r="E30" i="37"/>
  <c r="F30" i="37" s="1"/>
  <c r="H30" i="37" s="1"/>
  <c r="E29" i="37"/>
  <c r="H29" i="37" s="1"/>
  <c r="H27" i="37"/>
  <c r="E21" i="37"/>
  <c r="F21" i="37" s="1"/>
  <c r="H21" i="37" s="1"/>
  <c r="E20" i="37"/>
  <c r="F20" i="37" s="1"/>
  <c r="H20" i="37" s="1"/>
  <c r="E19" i="37"/>
  <c r="F19" i="37" s="1"/>
  <c r="H19" i="37" s="1"/>
  <c r="E18" i="37"/>
  <c r="F18" i="37" s="1"/>
  <c r="H18" i="37" s="1"/>
  <c r="E17" i="37"/>
  <c r="F17" i="37" s="1"/>
  <c r="H17" i="37" s="1"/>
  <c r="E16" i="37"/>
  <c r="F16" i="37" s="1"/>
  <c r="H16" i="37" s="1"/>
  <c r="E15" i="37"/>
  <c r="F15" i="37" s="1"/>
  <c r="H15" i="37" s="1"/>
  <c r="E14" i="37"/>
  <c r="F14" i="37" s="1"/>
  <c r="H14" i="37" s="1"/>
  <c r="E13" i="37"/>
  <c r="F13" i="37" s="1"/>
  <c r="H13" i="37" s="1"/>
  <c r="E12" i="37"/>
  <c r="F12" i="37" s="1"/>
  <c r="E11" i="37"/>
  <c r="F11" i="37" s="1"/>
  <c r="H11" i="37" s="1"/>
  <c r="E10" i="37"/>
  <c r="F10" i="37" s="1"/>
  <c r="H10" i="37" s="1"/>
  <c r="E9" i="37"/>
  <c r="F9" i="37" s="1"/>
  <c r="H9" i="37" s="1"/>
  <c r="F8" i="37"/>
  <c r="H8" i="37" s="1"/>
  <c r="F7" i="37"/>
  <c r="H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E6" i="36"/>
  <c r="G6" i="36" s="1"/>
  <c r="H23" i="37" l="1"/>
  <c r="H31" i="37"/>
  <c r="H36" i="37"/>
  <c r="G19" i="36"/>
  <c r="E24" i="36"/>
  <c r="I24" i="37" l="1"/>
  <c r="P61" i="6"/>
  <c r="J29" i="6"/>
  <c r="G8" i="6"/>
  <c r="H8" i="6"/>
  <c r="AF8" i="6"/>
  <c r="AG8" i="6"/>
  <c r="AH8" i="6"/>
  <c r="AI8" i="6"/>
  <c r="AJ8" i="6"/>
  <c r="G270" i="6" l="1"/>
  <c r="G264" i="6"/>
  <c r="G253" i="6"/>
  <c r="G255" i="6" s="1"/>
  <c r="G244" i="6"/>
  <c r="G245" i="6" s="1"/>
  <c r="G87" i="6"/>
  <c r="G72" i="6"/>
  <c r="G70" i="6"/>
  <c r="G69" i="6"/>
  <c r="G61" i="6"/>
  <c r="G60" i="6"/>
  <c r="G54" i="6"/>
  <c r="G49" i="6"/>
  <c r="G44" i="6"/>
  <c r="G67" i="6"/>
  <c r="G40" i="6"/>
  <c r="G66" i="6" s="1"/>
  <c r="G35" i="6"/>
  <c r="G63" i="6" s="1"/>
  <c r="G31" i="6"/>
  <c r="G62" i="6" s="1"/>
  <c r="G262" i="6"/>
  <c r="G12" i="6"/>
  <c r="G81" i="6" s="1"/>
  <c r="G275" i="6"/>
  <c r="G59" i="6" l="1"/>
  <c r="G84" i="6"/>
  <c r="G85" i="6" s="1"/>
  <c r="G64" i="6"/>
  <c r="G68" i="6"/>
  <c r="G28" i="6"/>
  <c r="G29" i="6" s="1"/>
  <c r="G65" i="6"/>
  <c r="G250" i="6"/>
  <c r="G260" i="6"/>
  <c r="G273" i="6"/>
  <c r="G11" i="6"/>
  <c r="G75" i="6" s="1"/>
  <c r="G83" i="6"/>
  <c r="G252" i="6"/>
  <c r="Q76" i="16" l="1"/>
  <c r="O4" i="18"/>
  <c r="AD252" i="6" l="1"/>
  <c r="AC252" i="6"/>
  <c r="I87" i="6" l="1"/>
  <c r="N253" i="6" l="1"/>
  <c r="J84" i="6" l="1"/>
  <c r="K59" i="6" l="1"/>
  <c r="J59" i="6"/>
  <c r="K14" i="17" l="1"/>
  <c r="M22" i="16" l="1"/>
  <c r="N23" i="16"/>
  <c r="M23" i="16"/>
  <c r="O54" i="16" l="1"/>
  <c r="N53" i="16"/>
  <c r="M53" i="16"/>
  <c r="O47" i="16"/>
  <c r="O36" i="16"/>
  <c r="O35" i="16"/>
  <c r="O34" i="16"/>
  <c r="O33" i="16"/>
  <c r="O31" i="16"/>
  <c r="O30" i="16"/>
  <c r="O29" i="16"/>
  <c r="O23" i="16"/>
  <c r="O17" i="16"/>
  <c r="O16" i="16"/>
  <c r="O15" i="16"/>
  <c r="O14" i="16"/>
  <c r="O9" i="16"/>
  <c r="O53" i="16" l="1"/>
  <c r="O52" i="16"/>
  <c r="O10" i="16"/>
  <c r="Q54" i="16" l="1"/>
  <c r="Q14" i="16"/>
  <c r="AM36" i="6"/>
  <c r="Q30" i="16" s="1"/>
  <c r="AM37" i="6"/>
  <c r="Q31" i="16" s="1"/>
  <c r="AJ83" i="6" l="1"/>
  <c r="AI83" i="6"/>
  <c r="AH83" i="6"/>
  <c r="AG83" i="6"/>
  <c r="AF83" i="6"/>
  <c r="AD83" i="6"/>
  <c r="AC83" i="6"/>
  <c r="AB83" i="6"/>
  <c r="AA83" i="6"/>
  <c r="Y83" i="6"/>
  <c r="X83" i="6"/>
  <c r="W83" i="6"/>
  <c r="V83" i="6"/>
  <c r="Q83" i="6"/>
  <c r="O83" i="6"/>
  <c r="M83" i="6"/>
  <c r="L83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Q49" i="6"/>
  <c r="P49" i="6"/>
  <c r="O49" i="6"/>
  <c r="N49" i="6"/>
  <c r="M49" i="6"/>
  <c r="L49" i="6"/>
  <c r="J49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Q44" i="6"/>
  <c r="O44" i="6"/>
  <c r="M44" i="6"/>
  <c r="L44" i="6"/>
  <c r="J44" i="6"/>
  <c r="AJ40" i="6"/>
  <c r="AJ66" i="6" s="1"/>
  <c r="AI40" i="6"/>
  <c r="AI66" i="6" s="1"/>
  <c r="AH40" i="6"/>
  <c r="AH65" i="6" s="1"/>
  <c r="AG40" i="6"/>
  <c r="AG65" i="6" s="1"/>
  <c r="AF40" i="6"/>
  <c r="AF65" i="6" s="1"/>
  <c r="AE40" i="6"/>
  <c r="AE65" i="6" s="1"/>
  <c r="AD40" i="6"/>
  <c r="AD66" i="6" s="1"/>
  <c r="AC40" i="6"/>
  <c r="AC65" i="6" s="1"/>
  <c r="AB40" i="6"/>
  <c r="AB66" i="6" s="1"/>
  <c r="AA40" i="6"/>
  <c r="AA66" i="6" s="1"/>
  <c r="Z65" i="6"/>
  <c r="Y65" i="6"/>
  <c r="X40" i="6"/>
  <c r="X66" i="6" s="1"/>
  <c r="W40" i="6"/>
  <c r="W65" i="6" s="1"/>
  <c r="V40" i="6"/>
  <c r="V65" i="6" s="1"/>
  <c r="Q40" i="6"/>
  <c r="Q66" i="6" s="1"/>
  <c r="P40" i="6"/>
  <c r="P66" i="6" s="1"/>
  <c r="O40" i="6"/>
  <c r="O65" i="6" s="1"/>
  <c r="N40" i="6"/>
  <c r="N66" i="6" s="1"/>
  <c r="M40" i="6"/>
  <c r="M65" i="6" s="1"/>
  <c r="L40" i="6"/>
  <c r="L65" i="6" s="1"/>
  <c r="J40" i="6"/>
  <c r="J65" i="6" s="1"/>
  <c r="AJ35" i="6"/>
  <c r="AJ63" i="6" s="1"/>
  <c r="AI35" i="6"/>
  <c r="AI64" i="6" s="1"/>
  <c r="AH35" i="6"/>
  <c r="AH63" i="6" s="1"/>
  <c r="AG35" i="6"/>
  <c r="AG64" i="6" s="1"/>
  <c r="AF35" i="6"/>
  <c r="AF63" i="6" s="1"/>
  <c r="AE35" i="6"/>
  <c r="AE63" i="6" s="1"/>
  <c r="AD35" i="6"/>
  <c r="AC35" i="6"/>
  <c r="AC64" i="6" s="1"/>
  <c r="AB35" i="6"/>
  <c r="AB63" i="6" s="1"/>
  <c r="AA35" i="6"/>
  <c r="AA64" i="6" s="1"/>
  <c r="Z64" i="6"/>
  <c r="Y64" i="6"/>
  <c r="X35" i="6"/>
  <c r="W35" i="6"/>
  <c r="W64" i="6" s="1"/>
  <c r="V35" i="6"/>
  <c r="V64" i="6" s="1"/>
  <c r="Q35" i="6"/>
  <c r="Q64" i="6" s="1"/>
  <c r="P35" i="6"/>
  <c r="P64" i="6" s="1"/>
  <c r="O35" i="6"/>
  <c r="O63" i="6" s="1"/>
  <c r="N35" i="6"/>
  <c r="N64" i="6" s="1"/>
  <c r="M35" i="6"/>
  <c r="M64" i="6" s="1"/>
  <c r="L35" i="6"/>
  <c r="L63" i="6" s="1"/>
  <c r="J35" i="6"/>
  <c r="J64" i="6" s="1"/>
  <c r="AJ31" i="6"/>
  <c r="AJ62" i="6" s="1"/>
  <c r="AI31" i="6"/>
  <c r="AI62" i="6" s="1"/>
  <c r="AH31" i="6"/>
  <c r="AH62" i="6" s="1"/>
  <c r="AG31" i="6"/>
  <c r="AG62" i="6" s="1"/>
  <c r="AF31" i="6"/>
  <c r="AE31" i="6"/>
  <c r="AE62" i="6" s="1"/>
  <c r="AD31" i="6"/>
  <c r="AD62" i="6" s="1"/>
  <c r="AC31" i="6"/>
  <c r="AC62" i="6" s="1"/>
  <c r="AB31" i="6"/>
  <c r="AB62" i="6" s="1"/>
  <c r="AA31" i="6"/>
  <c r="AA62" i="6" s="1"/>
  <c r="Z62" i="6"/>
  <c r="Y62" i="6"/>
  <c r="X62" i="6"/>
  <c r="W31" i="6"/>
  <c r="V31" i="6"/>
  <c r="Q31" i="6"/>
  <c r="P31" i="6"/>
  <c r="P62" i="6" s="1"/>
  <c r="O31" i="6"/>
  <c r="O62" i="6" s="1"/>
  <c r="N31" i="6"/>
  <c r="N62" i="6" s="1"/>
  <c r="M31" i="6"/>
  <c r="L31" i="6"/>
  <c r="L62" i="6" s="1"/>
  <c r="J31" i="6"/>
  <c r="J62" i="6" s="1"/>
  <c r="H12" i="6"/>
  <c r="H81" i="6" s="1"/>
  <c r="H31" i="6"/>
  <c r="H62" i="6" s="1"/>
  <c r="H35" i="6"/>
  <c r="H64" i="6" s="1"/>
  <c r="H40" i="6"/>
  <c r="H65" i="6" s="1"/>
  <c r="I49" i="6"/>
  <c r="H49" i="6"/>
  <c r="I44" i="6"/>
  <c r="H44" i="6"/>
  <c r="H54" i="6"/>
  <c r="H275" i="6"/>
  <c r="H60" i="6"/>
  <c r="H59" i="6"/>
  <c r="H70" i="6"/>
  <c r="H69" i="6"/>
  <c r="H68" i="6"/>
  <c r="H67" i="6"/>
  <c r="H61" i="6"/>
  <c r="J12" i="6"/>
  <c r="J11" i="6" s="1"/>
  <c r="J75" i="6" s="1"/>
  <c r="L12" i="6"/>
  <c r="L11" i="6" s="1"/>
  <c r="L75" i="6" s="1"/>
  <c r="M12" i="6"/>
  <c r="M11" i="6" s="1"/>
  <c r="M75" i="6" s="1"/>
  <c r="N12" i="6"/>
  <c r="N81" i="6" s="1"/>
  <c r="O12" i="6"/>
  <c r="O11" i="6" s="1"/>
  <c r="O75" i="6" s="1"/>
  <c r="P12" i="6"/>
  <c r="P11" i="6" s="1"/>
  <c r="P75" i="6" s="1"/>
  <c r="Q12" i="6"/>
  <c r="Q11" i="6" s="1"/>
  <c r="Q75" i="6" s="1"/>
  <c r="V12" i="6"/>
  <c r="V81" i="6" s="1"/>
  <c r="W12" i="6"/>
  <c r="W11" i="6" s="1"/>
  <c r="W75" i="6" s="1"/>
  <c r="X12" i="6"/>
  <c r="X11" i="6" s="1"/>
  <c r="X75" i="6" s="1"/>
  <c r="Y12" i="6"/>
  <c r="Y11" i="6" s="1"/>
  <c r="Y75" i="6" s="1"/>
  <c r="Z12" i="6"/>
  <c r="Z11" i="6" s="1"/>
  <c r="Z75" i="6" s="1"/>
  <c r="AA12" i="6"/>
  <c r="AA11" i="6" s="1"/>
  <c r="AA75" i="6" s="1"/>
  <c r="AB12" i="6"/>
  <c r="AB81" i="6" s="1"/>
  <c r="AC12" i="6"/>
  <c r="AC11" i="6" s="1"/>
  <c r="AC75" i="6" s="1"/>
  <c r="AD12" i="6"/>
  <c r="AD81" i="6" s="1"/>
  <c r="AE12" i="6"/>
  <c r="AE11" i="6" s="1"/>
  <c r="AE75" i="6" s="1"/>
  <c r="AF12" i="6"/>
  <c r="AF11" i="6" s="1"/>
  <c r="AF75" i="6" s="1"/>
  <c r="AG12" i="6"/>
  <c r="AG11" i="6" s="1"/>
  <c r="AG75" i="6" s="1"/>
  <c r="AH12" i="6"/>
  <c r="AH11" i="6" s="1"/>
  <c r="AH75" i="6" s="1"/>
  <c r="AI12" i="6"/>
  <c r="AI11" i="6" s="1"/>
  <c r="AI75" i="6" s="1"/>
  <c r="AJ12" i="6"/>
  <c r="AJ81" i="6" s="1"/>
  <c r="J54" i="6"/>
  <c r="L72" i="6"/>
  <c r="M54" i="6"/>
  <c r="M72" i="6" s="1"/>
  <c r="N54" i="6"/>
  <c r="O54" i="6"/>
  <c r="O72" i="6" s="1"/>
  <c r="P54" i="6"/>
  <c r="Q54" i="6"/>
  <c r="V54" i="6"/>
  <c r="V72" i="6" s="1"/>
  <c r="W54" i="6"/>
  <c r="X54" i="6"/>
  <c r="Y54" i="6"/>
  <c r="Z54" i="6"/>
  <c r="AA54" i="6"/>
  <c r="AB54" i="6"/>
  <c r="AB72" i="6" s="1"/>
  <c r="AC54" i="6"/>
  <c r="AC72" i="6" s="1"/>
  <c r="AD54" i="6"/>
  <c r="AD72" i="6" s="1"/>
  <c r="AE54" i="6"/>
  <c r="AE72" i="6" s="1"/>
  <c r="AF54" i="6"/>
  <c r="AG54" i="6"/>
  <c r="AH54" i="6"/>
  <c r="AI54" i="6"/>
  <c r="AI72" i="6" s="1"/>
  <c r="AJ54" i="6"/>
  <c r="AJ72" i="6" s="1"/>
  <c r="Y59" i="6"/>
  <c r="Z59" i="6"/>
  <c r="AA59" i="6"/>
  <c r="AB59" i="6"/>
  <c r="AC59" i="6"/>
  <c r="AD59" i="6"/>
  <c r="AE59" i="6"/>
  <c r="AF59" i="6"/>
  <c r="AG59" i="6"/>
  <c r="AH59" i="6"/>
  <c r="AI59" i="6"/>
  <c r="AJ59" i="6"/>
  <c r="J60" i="6"/>
  <c r="L60" i="6"/>
  <c r="M60" i="6"/>
  <c r="N60" i="6"/>
  <c r="O60" i="6"/>
  <c r="P60" i="6"/>
  <c r="Q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J61" i="6"/>
  <c r="L61" i="6"/>
  <c r="M61" i="6"/>
  <c r="N61" i="6"/>
  <c r="O61" i="6"/>
  <c r="Q61" i="6"/>
  <c r="V61" i="6"/>
  <c r="W61" i="6"/>
  <c r="X61" i="6"/>
  <c r="Y61" i="6"/>
  <c r="Z61" i="6"/>
  <c r="AA61" i="6"/>
  <c r="AB61" i="6"/>
  <c r="AC61" i="6"/>
  <c r="AD61" i="6"/>
  <c r="AE61" i="6"/>
  <c r="AF61" i="6"/>
  <c r="AH61" i="6"/>
  <c r="AI61" i="6"/>
  <c r="AJ61" i="6"/>
  <c r="M62" i="6"/>
  <c r="AI63" i="6"/>
  <c r="Q65" i="6"/>
  <c r="J67" i="6"/>
  <c r="L67" i="6"/>
  <c r="M67" i="6"/>
  <c r="N67" i="6"/>
  <c r="O67" i="6"/>
  <c r="P67" i="6"/>
  <c r="Q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J68" i="6"/>
  <c r="L68" i="6"/>
  <c r="M68" i="6"/>
  <c r="N68" i="6"/>
  <c r="O68" i="6"/>
  <c r="P68" i="6"/>
  <c r="Q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J69" i="6"/>
  <c r="L69" i="6"/>
  <c r="M69" i="6"/>
  <c r="N69" i="6"/>
  <c r="O69" i="6"/>
  <c r="P69" i="6"/>
  <c r="Q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J70" i="6"/>
  <c r="L70" i="6"/>
  <c r="M70" i="6"/>
  <c r="N70" i="6"/>
  <c r="O70" i="6"/>
  <c r="P70" i="6"/>
  <c r="Q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I70" i="6"/>
  <c r="AJ70" i="6"/>
  <c r="Y84" i="6"/>
  <c r="Y85" i="6" s="1"/>
  <c r="Z84" i="6"/>
  <c r="Z85" i="6" s="1"/>
  <c r="AA84" i="6"/>
  <c r="AA85" i="6" s="1"/>
  <c r="AB84" i="6"/>
  <c r="AB85" i="6" s="1"/>
  <c r="AC84" i="6"/>
  <c r="AC85" i="6" s="1"/>
  <c r="AD84" i="6"/>
  <c r="AD85" i="6" s="1"/>
  <c r="AE84" i="6"/>
  <c r="AE85" i="6" s="1"/>
  <c r="AF84" i="6"/>
  <c r="AF85" i="6" s="1"/>
  <c r="AG84" i="6"/>
  <c r="AG85" i="6" s="1"/>
  <c r="AH84" i="6"/>
  <c r="AH85" i="6" s="1"/>
  <c r="AI84" i="6"/>
  <c r="AI85" i="6" s="1"/>
  <c r="AJ84" i="6"/>
  <c r="AJ85" i="6" s="1"/>
  <c r="L87" i="6"/>
  <c r="M87" i="6"/>
  <c r="N87" i="6"/>
  <c r="P87" i="6"/>
  <c r="Q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M245" i="6"/>
  <c r="Q245" i="6"/>
  <c r="W245" i="6"/>
  <c r="AD244" i="6"/>
  <c r="AD245" i="6" s="1"/>
  <c r="AE244" i="6"/>
  <c r="AE245" i="6" s="1"/>
  <c r="L250" i="6"/>
  <c r="X250" i="6"/>
  <c r="Y250" i="6"/>
  <c r="Z250" i="6"/>
  <c r="AA250" i="6"/>
  <c r="AB250" i="6"/>
  <c r="AF250" i="6"/>
  <c r="AG250" i="6"/>
  <c r="AH250" i="6"/>
  <c r="AI250" i="6"/>
  <c r="AJ250" i="6"/>
  <c r="J252" i="6"/>
  <c r="L252" i="6"/>
  <c r="M252" i="6"/>
  <c r="P252" i="6"/>
  <c r="Q252" i="6"/>
  <c r="V252" i="6"/>
  <c r="W252" i="6"/>
  <c r="X252" i="6"/>
  <c r="Y252" i="6"/>
  <c r="AA252" i="6"/>
  <c r="AB252" i="6"/>
  <c r="AF252" i="6"/>
  <c r="AG252" i="6"/>
  <c r="AH252" i="6"/>
  <c r="AI252" i="6"/>
  <c r="AJ252" i="6"/>
  <c r="N255" i="6"/>
  <c r="Q255" i="6"/>
  <c r="V253" i="6"/>
  <c r="V255" i="6" s="1"/>
  <c r="X253" i="6"/>
  <c r="Y253" i="6"/>
  <c r="Z253" i="6"/>
  <c r="Z255" i="6" s="1"/>
  <c r="AA253" i="6"/>
  <c r="AA255" i="6" s="1"/>
  <c r="AB253" i="6"/>
  <c r="AB255" i="6" s="1"/>
  <c r="AC253" i="6"/>
  <c r="AC255" i="6" s="1"/>
  <c r="AD253" i="6"/>
  <c r="AD255" i="6" s="1"/>
  <c r="AE253" i="6"/>
  <c r="AE255" i="6" s="1"/>
  <c r="AF253" i="6"/>
  <c r="AF255" i="6" s="1"/>
  <c r="AG253" i="6"/>
  <c r="AG255" i="6" s="1"/>
  <c r="AH253" i="6"/>
  <c r="AH255" i="6" s="1"/>
  <c r="AI253" i="6"/>
  <c r="AI255" i="6" s="1"/>
  <c r="AJ253" i="6"/>
  <c r="AJ255" i="6" s="1"/>
  <c r="J260" i="6"/>
  <c r="M260" i="6"/>
  <c r="N260" i="6"/>
  <c r="O260" i="6"/>
  <c r="P260" i="6"/>
  <c r="Q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Q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J264" i="6"/>
  <c r="L264" i="6"/>
  <c r="M264" i="6"/>
  <c r="N264" i="6"/>
  <c r="O264" i="6"/>
  <c r="P264" i="6"/>
  <c r="Q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L273" i="6"/>
  <c r="AC273" i="6"/>
  <c r="AD273" i="6"/>
  <c r="AE273" i="6"/>
  <c r="AF273" i="6"/>
  <c r="AG273" i="6"/>
  <c r="AH273" i="6"/>
  <c r="AI273" i="6"/>
  <c r="AJ273" i="6"/>
  <c r="L275" i="6"/>
  <c r="AC275" i="6"/>
  <c r="AD275" i="6"/>
  <c r="AE275" i="6"/>
  <c r="AF275" i="6"/>
  <c r="AG275" i="6"/>
  <c r="AH275" i="6"/>
  <c r="AI275" i="6"/>
  <c r="AJ275" i="6"/>
  <c r="I54" i="6"/>
  <c r="I72" i="6" s="1"/>
  <c r="I70" i="6"/>
  <c r="I69" i="6"/>
  <c r="I61" i="6"/>
  <c r="I68" i="6"/>
  <c r="I40" i="6"/>
  <c r="I66" i="6" s="1"/>
  <c r="I35" i="6"/>
  <c r="I64" i="6" s="1"/>
  <c r="Q61" i="16" s="1"/>
  <c r="I31" i="6"/>
  <c r="I62" i="6" s="1"/>
  <c r="I12" i="6"/>
  <c r="H252" i="6"/>
  <c r="H253" i="6"/>
  <c r="H255" i="6" s="1"/>
  <c r="H260" i="6"/>
  <c r="H250" i="6"/>
  <c r="I264" i="6"/>
  <c r="I255" i="6"/>
  <c r="I252" i="6"/>
  <c r="H84" i="6"/>
  <c r="H85" i="6" s="1"/>
  <c r="H273" i="6"/>
  <c r="H270" i="6"/>
  <c r="H264" i="6"/>
  <c r="H262" i="6"/>
  <c r="H87" i="6"/>
  <c r="H83" i="6"/>
  <c r="V28" i="6" l="1"/>
  <c r="V27" i="6" s="1"/>
  <c r="AF62" i="6"/>
  <c r="AF28" i="6"/>
  <c r="X63" i="6"/>
  <c r="X28" i="6"/>
  <c r="X27" i="6" s="1"/>
  <c r="X65" i="6"/>
  <c r="Y255" i="6"/>
  <c r="AM253" i="6"/>
  <c r="AM254" i="6" s="1"/>
  <c r="X255" i="6"/>
  <c r="P65" i="6"/>
  <c r="AH64" i="6"/>
  <c r="AF66" i="6"/>
  <c r="AA63" i="6"/>
  <c r="Z63" i="6"/>
  <c r="J63" i="6"/>
  <c r="Q28" i="6"/>
  <c r="AJ64" i="6"/>
  <c r="AH66" i="6"/>
  <c r="AB64" i="6"/>
  <c r="Z66" i="6"/>
  <c r="L64" i="6"/>
  <c r="W72" i="6"/>
  <c r="Y66" i="6"/>
  <c r="AG66" i="6"/>
  <c r="AF72" i="6"/>
  <c r="N72" i="6"/>
  <c r="X64" i="6"/>
  <c r="Q63" i="6"/>
  <c r="AG63" i="6"/>
  <c r="P63" i="6"/>
  <c r="X72" i="6"/>
  <c r="P72" i="6"/>
  <c r="Y63" i="6"/>
  <c r="AD65" i="6"/>
  <c r="V66" i="6"/>
  <c r="AF64" i="6"/>
  <c r="H11" i="6"/>
  <c r="H75" i="6" s="1"/>
  <c r="AA72" i="6"/>
  <c r="AI71" i="6"/>
  <c r="AD28" i="6"/>
  <c r="N65" i="6"/>
  <c r="W63" i="6"/>
  <c r="N28" i="6"/>
  <c r="AB65" i="6"/>
  <c r="Q62" i="6"/>
  <c r="L66" i="6"/>
  <c r="J66" i="6"/>
  <c r="AD63" i="6"/>
  <c r="V63" i="6"/>
  <c r="N63" i="6"/>
  <c r="AJ65" i="6"/>
  <c r="AC63" i="6"/>
  <c r="M63" i="6"/>
  <c r="AA65" i="6"/>
  <c r="AI65" i="6"/>
  <c r="AD64" i="6"/>
  <c r="L28" i="6"/>
  <c r="L29" i="6" s="1"/>
  <c r="I81" i="6"/>
  <c r="P28" i="6"/>
  <c r="AB11" i="6"/>
  <c r="AB75" i="6" s="1"/>
  <c r="V11" i="6"/>
  <c r="V75" i="6" s="1"/>
  <c r="AJ11" i="6"/>
  <c r="AJ75" i="6" s="1"/>
  <c r="O81" i="6"/>
  <c r="W81" i="6"/>
  <c r="AE81" i="6"/>
  <c r="AD11" i="6"/>
  <c r="AD75" i="6" s="1"/>
  <c r="AG28" i="6"/>
  <c r="Z28" i="6"/>
  <c r="AH28" i="6"/>
  <c r="P81" i="6"/>
  <c r="X81" i="6"/>
  <c r="AF81" i="6"/>
  <c r="AA28" i="6"/>
  <c r="AI28" i="6"/>
  <c r="AI278" i="6" s="1"/>
  <c r="Q81" i="6"/>
  <c r="Y81" i="6"/>
  <c r="AG81" i="6"/>
  <c r="Z81" i="6"/>
  <c r="AH81" i="6"/>
  <c r="J81" i="6"/>
  <c r="AA81" i="6"/>
  <c r="AI81" i="6"/>
  <c r="N11" i="6"/>
  <c r="N75" i="6" s="1"/>
  <c r="L81" i="6"/>
  <c r="Y28" i="6"/>
  <c r="M81" i="6"/>
  <c r="AC81" i="6"/>
  <c r="J28" i="6"/>
  <c r="H66" i="6"/>
  <c r="H63" i="6"/>
  <c r="AJ28" i="6"/>
  <c r="AJ278" i="6" s="1"/>
  <c r="W28" i="6"/>
  <c r="W27" i="6" s="1"/>
  <c r="AE66" i="6"/>
  <c r="W66" i="6"/>
  <c r="O66" i="6"/>
  <c r="AC66" i="6"/>
  <c r="M66" i="6"/>
  <c r="O28" i="6"/>
  <c r="AE28" i="6"/>
  <c r="AE64" i="6"/>
  <c r="O64" i="6"/>
  <c r="M28" i="6"/>
  <c r="M29" i="6" s="1"/>
  <c r="AC28" i="6"/>
  <c r="H28" i="6"/>
  <c r="H72" i="6"/>
  <c r="I28" i="6"/>
  <c r="I29" i="6" s="1"/>
  <c r="I63" i="6"/>
  <c r="Q60" i="16" s="1"/>
  <c r="Z72" i="6"/>
  <c r="J72" i="6"/>
  <c r="AG72" i="6"/>
  <c r="Y72" i="6"/>
  <c r="Q72" i="6"/>
  <c r="AJ71" i="6"/>
  <c r="I65" i="6"/>
  <c r="I67" i="6"/>
  <c r="Q280" i="6" l="1"/>
  <c r="Q27" i="6"/>
  <c r="AH27" i="6"/>
  <c r="AH278" i="6"/>
  <c r="AH280" i="6"/>
  <c r="AG27" i="6"/>
  <c r="AG280" i="6"/>
  <c r="AG278" i="6"/>
  <c r="AF27" i="6"/>
  <c r="AF278" i="6"/>
  <c r="AF280" i="6"/>
  <c r="X278" i="6"/>
  <c r="AE278" i="6"/>
  <c r="AE27" i="6"/>
  <c r="AE280" i="6"/>
  <c r="AD278" i="6"/>
  <c r="AD27" i="6"/>
  <c r="AD280" i="6"/>
  <c r="AC27" i="6"/>
  <c r="AC278" i="6"/>
  <c r="AC280" i="6"/>
  <c r="V262" i="6"/>
  <c r="V280" i="6"/>
  <c r="W280" i="6"/>
  <c r="W278" i="6"/>
  <c r="Z280" i="6"/>
  <c r="Z278" i="6"/>
  <c r="Y280" i="6"/>
  <c r="Y278" i="6"/>
  <c r="AA27" i="6"/>
  <c r="AA280" i="6"/>
  <c r="AA278" i="6"/>
  <c r="Z27" i="6"/>
  <c r="AF29" i="6"/>
  <c r="AB29" i="6"/>
  <c r="AH29" i="6"/>
  <c r="AJ29" i="6"/>
  <c r="AJ280" i="6"/>
  <c r="AI29" i="6"/>
  <c r="AI280" i="6"/>
  <c r="AA29" i="6"/>
  <c r="AG29" i="6"/>
  <c r="AD29" i="6"/>
  <c r="X280" i="6"/>
  <c r="AE29" i="6"/>
  <c r="AC29" i="6"/>
  <c r="Y27" i="6"/>
  <c r="N29" i="6"/>
  <c r="N280" i="6"/>
  <c r="AM28" i="6"/>
  <c r="O29" i="6"/>
  <c r="O280" i="6"/>
  <c r="P280" i="6"/>
  <c r="P27" i="6"/>
  <c r="W29" i="6"/>
  <c r="Z29" i="6"/>
  <c r="Y29" i="6"/>
  <c r="X29" i="6"/>
  <c r="V29" i="6"/>
  <c r="Q29" i="6"/>
  <c r="P29" i="6"/>
  <c r="T13" i="16"/>
  <c r="AM27" i="6" l="1"/>
  <c r="AM23" i="6"/>
  <c r="O3" i="18" s="1"/>
  <c r="O5" i="18" s="1"/>
  <c r="AM262" i="6"/>
  <c r="Q22" i="16"/>
  <c r="Q23" i="16"/>
  <c r="Q239" i="16"/>
  <c r="Q8" i="16" l="1"/>
  <c r="E8" i="3" l="1"/>
  <c r="F8" i="3" s="1"/>
  <c r="H8" i="3" s="1"/>
  <c r="J8" i="3" s="1"/>
  <c r="K8" i="3" l="1"/>
  <c r="N8" i="3" s="1"/>
  <c r="M8" i="3"/>
  <c r="AM44" i="6"/>
  <c r="Q38" i="16" l="1"/>
  <c r="AM68" i="6"/>
  <c r="AM283" i="6" l="1"/>
  <c r="Q261" i="16" s="1"/>
  <c r="AM282" i="6"/>
  <c r="Q260" i="16" s="1"/>
  <c r="Q257" i="16"/>
  <c r="AM277" i="6"/>
  <c r="AM274" i="6"/>
  <c r="Q254" i="16" s="1"/>
  <c r="AM272" i="6"/>
  <c r="AM270" i="6"/>
  <c r="Q251" i="16"/>
  <c r="Q252" i="16" s="1"/>
  <c r="AM265" i="6"/>
  <c r="Q248" i="16" s="1"/>
  <c r="AM264" i="6"/>
  <c r="AM263" i="6"/>
  <c r="Q245" i="16"/>
  <c r="AM259" i="6"/>
  <c r="Q242" i="16"/>
  <c r="AM255" i="6"/>
  <c r="Q240" i="16" s="1"/>
  <c r="AM251" i="6"/>
  <c r="Q238" i="16" s="1"/>
  <c r="AM249" i="6"/>
  <c r="I20" i="32" s="1"/>
  <c r="Q235" i="16"/>
  <c r="Q228" i="16"/>
  <c r="AM82" i="6"/>
  <c r="AM80" i="6"/>
  <c r="Q69" i="16"/>
  <c r="AM57" i="6"/>
  <c r="AM56" i="6"/>
  <c r="AM55" i="6"/>
  <c r="AM54" i="6"/>
  <c r="AM53" i="6"/>
  <c r="Q47" i="16" s="1"/>
  <c r="T47" i="16" s="1"/>
  <c r="AM51" i="6"/>
  <c r="AM50" i="6"/>
  <c r="AM49" i="6"/>
  <c r="AM48" i="6"/>
  <c r="AM42" i="6"/>
  <c r="Q36" i="16" s="1"/>
  <c r="AM41" i="6"/>
  <c r="Q35" i="16" s="1"/>
  <c r="AM40" i="6"/>
  <c r="Q34" i="16" s="1"/>
  <c r="AM39" i="6"/>
  <c r="Q33" i="16" s="1"/>
  <c r="AM35" i="6"/>
  <c r="Q29" i="16" s="1"/>
  <c r="AM12" i="6"/>
  <c r="Q258" i="16" l="1"/>
  <c r="I41" i="32"/>
  <c r="Q246" i="16"/>
  <c r="I26" i="32"/>
  <c r="Q244" i="16"/>
  <c r="I29" i="32"/>
  <c r="I27" i="32" s="1"/>
  <c r="Q247" i="16"/>
  <c r="I31" i="32"/>
  <c r="Q71" i="16"/>
  <c r="T71" i="16" s="1"/>
  <c r="T72" i="16" s="1"/>
  <c r="AM87" i="6"/>
  <c r="K20" i="32"/>
  <c r="J20" i="32"/>
  <c r="AM70" i="6"/>
  <c r="Q50" i="16"/>
  <c r="T50" i="16" s="1"/>
  <c r="Q48" i="16"/>
  <c r="AM71" i="6"/>
  <c r="Q66" i="16" s="1"/>
  <c r="Q51" i="16"/>
  <c r="T51" i="16" s="1"/>
  <c r="Q255" i="16"/>
  <c r="Q229" i="16"/>
  <c r="Q237" i="16"/>
  <c r="Q73" i="16"/>
  <c r="AM258" i="6"/>
  <c r="AM69" i="6"/>
  <c r="AM81" i="6"/>
  <c r="Q72" i="16" s="1"/>
  <c r="AM65" i="6"/>
  <c r="Q62" i="16" s="1"/>
  <c r="AM66" i="6"/>
  <c r="Q63" i="16" s="1"/>
  <c r="AM63" i="6"/>
  <c r="AM64" i="6"/>
  <c r="T48" i="16" l="1"/>
  <c r="I32" i="32"/>
  <c r="I25" i="32"/>
  <c r="T67" i="16"/>
  <c r="T66" i="16"/>
  <c r="Q77" i="16"/>
  <c r="T76" i="16"/>
  <c r="K53" i="16"/>
  <c r="H53" i="16"/>
  <c r="M10" i="16" l="1"/>
  <c r="J53" i="16" l="1"/>
  <c r="I75" i="16"/>
  <c r="I9" i="16"/>
  <c r="I10" i="16"/>
  <c r="E28" i="3" l="1"/>
  <c r="F28" i="3" s="1"/>
  <c r="H28" i="3" s="1"/>
  <c r="J28" i="3" s="1"/>
  <c r="AA245" i="6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49" i="6" l="1"/>
  <c r="Q27" i="16"/>
  <c r="Q26" i="16"/>
  <c r="Q53" i="16" l="1"/>
  <c r="E18" i="3"/>
  <c r="H18" i="3" s="1"/>
  <c r="J18" i="3" s="1"/>
  <c r="K18" i="3" s="1"/>
  <c r="K36" i="32" l="1"/>
  <c r="K28" i="32"/>
  <c r="K19" i="32"/>
  <c r="G63" i="31"/>
  <c r="F53" i="31"/>
  <c r="G42" i="31"/>
  <c r="G36" i="31"/>
  <c r="G35" i="31"/>
  <c r="F34" i="31"/>
  <c r="G34" i="31" s="1"/>
  <c r="G33" i="31"/>
  <c r="F54" i="31" l="1"/>
  <c r="G54" i="31" s="1"/>
  <c r="F226" i="16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F10" i="16"/>
  <c r="G226" i="16"/>
  <c r="G225" i="16"/>
  <c r="G224" i="16"/>
  <c r="G223" i="16"/>
  <c r="G222" i="16"/>
  <c r="G211" i="16"/>
  <c r="G210" i="16"/>
  <c r="G213" i="16" s="1"/>
  <c r="G202" i="16"/>
  <c r="G205" i="16" s="1"/>
  <c r="G201" i="16"/>
  <c r="G196" i="16"/>
  <c r="G195" i="16"/>
  <c r="G179" i="16"/>
  <c r="G178" i="16"/>
  <c r="G177" i="16"/>
  <c r="G168" i="16"/>
  <c r="G189" i="16" s="1"/>
  <c r="G167" i="16"/>
  <c r="G171" i="16" s="1"/>
  <c r="G192" i="16" s="1"/>
  <c r="G166" i="16"/>
  <c r="G165" i="16"/>
  <c r="G161" i="16"/>
  <c r="G173" i="16" s="1"/>
  <c r="G149" i="16"/>
  <c r="G148" i="16"/>
  <c r="G151" i="16" s="1"/>
  <c r="G140" i="16"/>
  <c r="G143" i="16" s="1"/>
  <c r="G139" i="16"/>
  <c r="G145" i="16" s="1"/>
  <c r="G135" i="16"/>
  <c r="G144" i="16" s="1"/>
  <c r="G134" i="16"/>
  <c r="G122" i="16"/>
  <c r="G125" i="16" s="1"/>
  <c r="G121" i="16"/>
  <c r="G113" i="16"/>
  <c r="G112" i="16"/>
  <c r="G107" i="16"/>
  <c r="G95" i="16"/>
  <c r="G94" i="16"/>
  <c r="G86" i="16"/>
  <c r="G89" i="16" s="1"/>
  <c r="G85" i="16"/>
  <c r="G91" i="16" s="1"/>
  <c r="G83" i="16"/>
  <c r="G80" i="16"/>
  <c r="G90" i="16" s="1"/>
  <c r="G79" i="16"/>
  <c r="G10" i="16"/>
  <c r="G9" i="16"/>
  <c r="M226" i="16"/>
  <c r="M225" i="16"/>
  <c r="M224" i="16"/>
  <c r="M223" i="16"/>
  <c r="M222" i="16"/>
  <c r="M211" i="16"/>
  <c r="M210" i="16"/>
  <c r="M213" i="16" s="1"/>
  <c r="M202" i="16"/>
  <c r="M205" i="16" s="1"/>
  <c r="M201" i="16"/>
  <c r="M206" i="16" s="1"/>
  <c r="M196" i="16"/>
  <c r="M195" i="16"/>
  <c r="M180" i="16"/>
  <c r="M184" i="16" s="1"/>
  <c r="M179" i="16"/>
  <c r="M178" i="16"/>
  <c r="M177" i="16"/>
  <c r="M168" i="16"/>
  <c r="M167" i="16"/>
  <c r="M171" i="16" s="1"/>
  <c r="M166" i="16"/>
  <c r="M165" i="16"/>
  <c r="M162" i="16"/>
  <c r="M161" i="16"/>
  <c r="M173" i="16" s="1"/>
  <c r="M149" i="16"/>
  <c r="M148" i="16"/>
  <c r="M151" i="16" s="1"/>
  <c r="M140" i="16"/>
  <c r="M143" i="16" s="1"/>
  <c r="M139" i="16"/>
  <c r="M135" i="16"/>
  <c r="M144" i="16" s="1"/>
  <c r="M134" i="16"/>
  <c r="M122" i="16"/>
  <c r="M121" i="16"/>
  <c r="M113" i="16"/>
  <c r="M116" i="16" s="1"/>
  <c r="M112" i="16"/>
  <c r="M115" i="16" s="1"/>
  <c r="M107" i="16"/>
  <c r="M117" i="16" s="1"/>
  <c r="M95" i="16"/>
  <c r="M94" i="16"/>
  <c r="M86" i="16"/>
  <c r="M85" i="16"/>
  <c r="M80" i="16"/>
  <c r="M90" i="16" s="1"/>
  <c r="M79" i="16"/>
  <c r="M9" i="16"/>
  <c r="M156" i="16" l="1"/>
  <c r="M81" i="16"/>
  <c r="M82" i="16" s="1"/>
  <c r="M101" i="16"/>
  <c r="F136" i="16"/>
  <c r="F137" i="16" s="1"/>
  <c r="M108" i="16"/>
  <c r="M109" i="16" s="1"/>
  <c r="F118" i="16"/>
  <c r="F171" i="16"/>
  <c r="F192" i="16" s="1"/>
  <c r="G101" i="16"/>
  <c r="M118" i="16"/>
  <c r="M220" i="16"/>
  <c r="M129" i="16"/>
  <c r="G156" i="16"/>
  <c r="M174" i="16"/>
  <c r="M240" i="16"/>
  <c r="F174" i="16"/>
  <c r="M218" i="16"/>
  <c r="M89" i="16"/>
  <c r="M128" i="16"/>
  <c r="M189" i="16"/>
  <c r="M214" i="16"/>
  <c r="M221" i="16" s="1"/>
  <c r="G102" i="16"/>
  <c r="F128" i="16"/>
  <c r="F143" i="16"/>
  <c r="F159" i="16" s="1"/>
  <c r="M102" i="16"/>
  <c r="M125" i="16"/>
  <c r="M132" i="16" s="1"/>
  <c r="M170" i="16"/>
  <c r="F91" i="16"/>
  <c r="M172" i="16"/>
  <c r="M193" i="16" s="1"/>
  <c r="M197" i="16"/>
  <c r="M198" i="16" s="1"/>
  <c r="G108" i="16"/>
  <c r="G109" i="16" s="1"/>
  <c r="F101" i="16"/>
  <c r="F197" i="16"/>
  <c r="F198" i="16" s="1"/>
  <c r="G187" i="16"/>
  <c r="M163" i="16"/>
  <c r="M188" i="16"/>
  <c r="F81" i="16"/>
  <c r="F82" i="16" s="1"/>
  <c r="F108" i="16"/>
  <c r="F109" i="16" s="1"/>
  <c r="F145" i="16"/>
  <c r="F221" i="16"/>
  <c r="G220" i="16"/>
  <c r="M91" i="16"/>
  <c r="G81" i="16"/>
  <c r="G82" i="16" s="1"/>
  <c r="F102" i="16"/>
  <c r="M155" i="16"/>
  <c r="G206" i="16"/>
  <c r="F158" i="16"/>
  <c r="M88" i="16"/>
  <c r="M187" i="16"/>
  <c r="G118" i="16"/>
  <c r="G136" i="16"/>
  <c r="G137" i="16" s="1"/>
  <c r="G155" i="16"/>
  <c r="G207" i="16"/>
  <c r="G129" i="16"/>
  <c r="G188" i="16"/>
  <c r="F155" i="16"/>
  <c r="F187" i="16"/>
  <c r="G88" i="16"/>
  <c r="G117" i="16"/>
  <c r="G218" i="16"/>
  <c r="F129" i="16"/>
  <c r="F156" i="16"/>
  <c r="M183" i="16"/>
  <c r="M192" i="16" s="1"/>
  <c r="G128" i="16"/>
  <c r="G142" i="16"/>
  <c r="G158" i="16" s="1"/>
  <c r="G174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G97" i="16"/>
  <c r="G170" i="16"/>
  <c r="G191" i="16" s="1"/>
  <c r="G197" i="16"/>
  <c r="G198" i="16" s="1"/>
  <c r="G98" i="16"/>
  <c r="G105" i="16" s="1"/>
  <c r="G124" i="16"/>
  <c r="G162" i="16"/>
  <c r="G163" i="16" s="1"/>
  <c r="G172" i="16"/>
  <c r="G193" i="16" s="1"/>
  <c r="G115" i="16"/>
  <c r="G214" i="16"/>
  <c r="G221" i="16" s="1"/>
  <c r="G116" i="16"/>
  <c r="G132" i="16" s="1"/>
  <c r="G152" i="16"/>
  <c r="G159" i="16" s="1"/>
  <c r="G204" i="16"/>
  <c r="G217" i="16"/>
  <c r="M97" i="16"/>
  <c r="M145" i="16"/>
  <c r="M204" i="16"/>
  <c r="M217" i="16"/>
  <c r="M98" i="16"/>
  <c r="M124" i="16"/>
  <c r="M131" i="16" s="1"/>
  <c r="M136" i="16"/>
  <c r="M137" i="16" s="1"/>
  <c r="M182" i="16"/>
  <c r="M207" i="16"/>
  <c r="M152" i="16"/>
  <c r="M159" i="16" s="1"/>
  <c r="M142" i="16"/>
  <c r="M158" i="16" s="1"/>
  <c r="G53" i="16" l="1"/>
  <c r="G23" i="16"/>
  <c r="G22" i="16" s="1"/>
  <c r="M104" i="16"/>
  <c r="M105" i="16"/>
  <c r="G104" i="16"/>
  <c r="M191" i="16"/>
  <c r="F23" i="16"/>
  <c r="F22" i="16" s="1"/>
  <c r="F131" i="16"/>
  <c r="F53" i="16"/>
  <c r="G131" i="16"/>
  <c r="F25" i="19" l="1"/>
  <c r="F24" i="19"/>
  <c r="F23" i="19"/>
  <c r="F22" i="19"/>
  <c r="F17" i="19"/>
  <c r="G17" i="19"/>
  <c r="D44" i="17"/>
  <c r="D41" i="17"/>
  <c r="D40" i="17"/>
  <c r="K10" i="18"/>
  <c r="K18" i="32" l="1"/>
  <c r="J18" i="32"/>
  <c r="I6" i="22"/>
  <c r="K6" i="21"/>
  <c r="K6" i="23"/>
  <c r="I6" i="24"/>
  <c r="H2" i="28"/>
  <c r="H2" i="27"/>
  <c r="H2" i="26"/>
  <c r="N6" i="1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I111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6" i="29" s="1"/>
  <c r="H10" i="30" l="1"/>
  <c r="H54" i="29"/>
  <c r="H33" i="29"/>
  <c r="H61" i="29"/>
  <c r="H63" i="29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C8" i="27"/>
  <c r="H7" i="27"/>
  <c r="E7" i="27"/>
  <c r="C4" i="27"/>
  <c r="C11" i="27" s="1"/>
  <c r="H13" i="26"/>
  <c r="C12" i="26"/>
  <c r="E12" i="26" s="1"/>
  <c r="H12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Q40" i="16"/>
  <c r="T40" i="16" s="1"/>
  <c r="Q39" i="16"/>
  <c r="T39" i="16" s="1"/>
  <c r="T38" i="16" l="1"/>
  <c r="Q64" i="16"/>
  <c r="AM20" i="6" l="1"/>
  <c r="AM84" i="6" l="1"/>
  <c r="Q20" i="16"/>
  <c r="AM280" i="6"/>
  <c r="AM278" i="6"/>
  <c r="AM252" i="6"/>
  <c r="D8" i="18" s="1"/>
  <c r="F40" i="31"/>
  <c r="F39" i="31"/>
  <c r="N252" i="16"/>
  <c r="N226" i="16"/>
  <c r="N225" i="16"/>
  <c r="N224" i="16"/>
  <c r="N223" i="16"/>
  <c r="N222" i="16"/>
  <c r="N211" i="16"/>
  <c r="N210" i="16"/>
  <c r="N202" i="16"/>
  <c r="N205" i="16" s="1"/>
  <c r="N201" i="16"/>
  <c r="N206" i="16" s="1"/>
  <c r="N196" i="16"/>
  <c r="N195" i="16"/>
  <c r="N184" i="16"/>
  <c r="N179" i="16"/>
  <c r="N178" i="16"/>
  <c r="N177" i="16"/>
  <c r="N168" i="16"/>
  <c r="N189" i="16" s="1"/>
  <c r="N167" i="16"/>
  <c r="N171" i="16" s="1"/>
  <c r="N166" i="16"/>
  <c r="N165" i="16"/>
  <c r="N161" i="16"/>
  <c r="N173" i="16" s="1"/>
  <c r="N149" i="16"/>
  <c r="N148" i="16"/>
  <c r="N151" i="16" s="1"/>
  <c r="N140" i="16"/>
  <c r="N143" i="16" s="1"/>
  <c r="N139" i="16"/>
  <c r="N135" i="16"/>
  <c r="N144" i="16" s="1"/>
  <c r="N134" i="16"/>
  <c r="N122" i="16"/>
  <c r="N121" i="16"/>
  <c r="N124" i="16" s="1"/>
  <c r="N113" i="16"/>
  <c r="N112" i="16"/>
  <c r="N115" i="16" s="1"/>
  <c r="N107" i="16"/>
  <c r="N117" i="16" s="1"/>
  <c r="N95" i="16"/>
  <c r="N98" i="16" s="1"/>
  <c r="N94" i="16"/>
  <c r="N86" i="16"/>
  <c r="N89" i="16" s="1"/>
  <c r="N85" i="16"/>
  <c r="N80" i="16"/>
  <c r="N90" i="16" s="1"/>
  <c r="N79" i="16"/>
  <c r="N9" i="16"/>
  <c r="G40" i="31" l="1"/>
  <c r="G39" i="31"/>
  <c r="F55" i="31"/>
  <c r="G55" i="31" s="1"/>
  <c r="N218" i="16"/>
  <c r="I22" i="32"/>
  <c r="K35" i="32"/>
  <c r="J35" i="32"/>
  <c r="F38" i="31"/>
  <c r="G38" i="31" s="1"/>
  <c r="N129" i="16"/>
  <c r="N81" i="16"/>
  <c r="N82" i="16" s="1"/>
  <c r="N172" i="16"/>
  <c r="N193" i="16" s="1"/>
  <c r="N10" i="16"/>
  <c r="N162" i="16"/>
  <c r="N163" i="16" s="1"/>
  <c r="N188" i="16"/>
  <c r="N102" i="16"/>
  <c r="N155" i="16"/>
  <c r="N174" i="16"/>
  <c r="N12" i="16"/>
  <c r="N214" i="16"/>
  <c r="N221" i="16" s="1"/>
  <c r="N108" i="16"/>
  <c r="N109" i="16" s="1"/>
  <c r="N187" i="16"/>
  <c r="N197" i="16"/>
  <c r="N198" i="16" s="1"/>
  <c r="N204" i="16"/>
  <c r="N101" i="16"/>
  <c r="N131" i="16"/>
  <c r="N145" i="16"/>
  <c r="N182" i="16"/>
  <c r="N240" i="16"/>
  <c r="N105" i="16"/>
  <c r="N207" i="16"/>
  <c r="N97" i="16"/>
  <c r="N128" i="16"/>
  <c r="N156" i="16"/>
  <c r="N170" i="16"/>
  <c r="N217" i="16"/>
  <c r="N136" i="16"/>
  <c r="N137" i="16" s="1"/>
  <c r="N183" i="16"/>
  <c r="N192" i="16" s="1"/>
  <c r="N88" i="16"/>
  <c r="N125" i="16"/>
  <c r="N116" i="16"/>
  <c r="N152" i="16"/>
  <c r="N159" i="16" s="1"/>
  <c r="N91" i="16"/>
  <c r="N142" i="16"/>
  <c r="N158" i="16" s="1"/>
  <c r="N213" i="16"/>
  <c r="N220" i="16" s="1"/>
  <c r="N118" i="16"/>
  <c r="F56" i="31" l="1"/>
  <c r="G56" i="31"/>
  <c r="N191" i="16"/>
  <c r="N104" i="16"/>
  <c r="N132" i="16"/>
  <c r="O226" i="16" l="1"/>
  <c r="O225" i="16"/>
  <c r="O224" i="16"/>
  <c r="O223" i="16"/>
  <c r="O222" i="16"/>
  <c r="O211" i="16"/>
  <c r="O214" i="16" s="1"/>
  <c r="O210" i="16"/>
  <c r="O202" i="16"/>
  <c r="O205" i="16" s="1"/>
  <c r="O201" i="16"/>
  <c r="O204" i="16" s="1"/>
  <c r="O196" i="16"/>
  <c r="O195" i="16"/>
  <c r="O184" i="16"/>
  <c r="O179" i="16"/>
  <c r="O183" i="16" s="1"/>
  <c r="O178" i="16"/>
  <c r="O182" i="16" s="1"/>
  <c r="O177" i="16"/>
  <c r="O168" i="16"/>
  <c r="O172" i="16" s="1"/>
  <c r="O167" i="16"/>
  <c r="O171" i="16" s="1"/>
  <c r="O166" i="16"/>
  <c r="O162" i="16" s="1"/>
  <c r="O165" i="16"/>
  <c r="O161" i="16"/>
  <c r="O173" i="16" s="1"/>
  <c r="O149" i="16"/>
  <c r="O148" i="16"/>
  <c r="O140" i="16"/>
  <c r="O143" i="16" s="1"/>
  <c r="O139" i="16"/>
  <c r="O142" i="16" s="1"/>
  <c r="O135" i="16"/>
  <c r="O144" i="16" s="1"/>
  <c r="O134" i="16"/>
  <c r="O122" i="16"/>
  <c r="O121" i="16"/>
  <c r="O113" i="16"/>
  <c r="O116" i="16" s="1"/>
  <c r="O112" i="16"/>
  <c r="O108" i="16" s="1"/>
  <c r="O107" i="16"/>
  <c r="O117" i="16" s="1"/>
  <c r="O95" i="16"/>
  <c r="O98" i="16" s="1"/>
  <c r="O94" i="16"/>
  <c r="O86" i="16"/>
  <c r="O85" i="16"/>
  <c r="O81" i="16" s="1"/>
  <c r="O80" i="16"/>
  <c r="O90" i="16" s="1"/>
  <c r="O79" i="16"/>
  <c r="T54" i="16"/>
  <c r="O66" i="16"/>
  <c r="T14" i="16"/>
  <c r="O189" i="16" l="1"/>
  <c r="O129" i="16"/>
  <c r="O88" i="16"/>
  <c r="O91" i="16"/>
  <c r="O128" i="16"/>
  <c r="O174" i="16"/>
  <c r="O101" i="16"/>
  <c r="O155" i="16"/>
  <c r="O197" i="16"/>
  <c r="O198" i="16" s="1"/>
  <c r="O156" i="16"/>
  <c r="O124" i="16"/>
  <c r="O125" i="16"/>
  <c r="O132" i="16" s="1"/>
  <c r="O192" i="16"/>
  <c r="O217" i="16"/>
  <c r="O102" i="16"/>
  <c r="O221" i="16"/>
  <c r="O109" i="16"/>
  <c r="O151" i="16"/>
  <c r="O158" i="16" s="1"/>
  <c r="O187" i="16"/>
  <c r="O206" i="16"/>
  <c r="O97" i="16"/>
  <c r="O115" i="16"/>
  <c r="O152" i="16"/>
  <c r="O159" i="16" s="1"/>
  <c r="O188" i="16"/>
  <c r="O67" i="16"/>
  <c r="O89" i="16"/>
  <c r="O105" i="16" s="1"/>
  <c r="O163" i="16"/>
  <c r="O193" i="16"/>
  <c r="O82" i="16"/>
  <c r="O61" i="16"/>
  <c r="O60" i="16"/>
  <c r="O145" i="16"/>
  <c r="O170" i="16"/>
  <c r="O191" i="16" s="1"/>
  <c r="O218" i="16"/>
  <c r="O136" i="16"/>
  <c r="O137" i="16" s="1"/>
  <c r="O62" i="16"/>
  <c r="O207" i="16"/>
  <c r="O118" i="16"/>
  <c r="O213" i="16"/>
  <c r="O220" i="16" s="1"/>
  <c r="O131" i="16" l="1"/>
  <c r="O104" i="16"/>
  <c r="O63" i="16"/>
  <c r="I39" i="32" l="1"/>
  <c r="T248" i="16"/>
  <c r="T235" i="16"/>
  <c r="I12" i="32"/>
  <c r="J12" i="32" s="1"/>
  <c r="G11" i="33"/>
  <c r="H11" i="33" s="1"/>
  <c r="F45" i="31"/>
  <c r="F44" i="31"/>
  <c r="F9" i="31"/>
  <c r="G9" i="31" s="1"/>
  <c r="F43" i="31" l="1"/>
  <c r="G43" i="31" s="1"/>
  <c r="F57" i="31"/>
  <c r="G57" i="31" s="1"/>
  <c r="G44" i="31"/>
  <c r="F58" i="31"/>
  <c r="G58" i="31" s="1"/>
  <c r="G45" i="31"/>
  <c r="T65" i="16"/>
  <c r="T64" i="16"/>
  <c r="O252" i="16"/>
  <c r="T251" i="16"/>
  <c r="I11" i="32"/>
  <c r="T228" i="16"/>
  <c r="G16" i="33"/>
  <c r="H16" i="33" s="1"/>
  <c r="G18" i="33"/>
  <c r="H18" i="33" s="1"/>
  <c r="I38" i="32"/>
  <c r="G21" i="33"/>
  <c r="H21" i="33" s="1"/>
  <c r="I21" i="32"/>
  <c r="I23" i="32" s="1"/>
  <c r="I37" i="32"/>
  <c r="G17" i="33"/>
  <c r="H17" i="33" s="1"/>
  <c r="T258" i="16"/>
  <c r="G23" i="33"/>
  <c r="H23" i="33" s="1"/>
  <c r="G15" i="33"/>
  <c r="H15" i="33" s="1"/>
  <c r="T257" i="16"/>
  <c r="G22" i="33"/>
  <c r="H22" i="33" s="1"/>
  <c r="I40" i="32"/>
  <c r="T245" i="16"/>
  <c r="G20" i="33"/>
  <c r="H20" i="33" s="1"/>
  <c r="K39" i="32"/>
  <c r="J39" i="32"/>
  <c r="T261" i="16"/>
  <c r="I42" i="32"/>
  <c r="T69" i="16"/>
  <c r="F60" i="31"/>
  <c r="G10" i="33"/>
  <c r="H10" i="33" s="1"/>
  <c r="T238" i="16"/>
  <c r="T242" i="16"/>
  <c r="F23" i="31"/>
  <c r="G23" i="31" s="1"/>
  <c r="G7" i="33"/>
  <c r="H7" i="33" s="1"/>
  <c r="F64" i="31"/>
  <c r="G12" i="33"/>
  <c r="H12" i="33" s="1"/>
  <c r="T20" i="16"/>
  <c r="F19" i="31"/>
  <c r="G19" i="31" s="1"/>
  <c r="F26" i="31"/>
  <c r="T260" i="16"/>
  <c r="F27" i="31"/>
  <c r="T246" i="16"/>
  <c r="T237" i="16"/>
  <c r="T254" i="16"/>
  <c r="T255" i="16"/>
  <c r="T244" i="16"/>
  <c r="O64" i="16"/>
  <c r="AM266" i="6"/>
  <c r="E4" i="27" s="1"/>
  <c r="H17" i="27" s="1"/>
  <c r="K35" i="17" s="1"/>
  <c r="F68" i="31"/>
  <c r="G68" i="31" s="1"/>
  <c r="F49" i="31" l="1"/>
  <c r="G49" i="31" s="1"/>
  <c r="G27" i="31"/>
  <c r="G26" i="31"/>
  <c r="F25" i="31"/>
  <c r="G25" i="31" s="1"/>
  <c r="T73" i="16"/>
  <c r="O74" i="16"/>
  <c r="O233" i="16"/>
  <c r="T229" i="16"/>
  <c r="T77" i="16"/>
  <c r="E5" i="26"/>
  <c r="H5" i="26" s="1"/>
  <c r="H14" i="26" s="1"/>
  <c r="O59" i="16"/>
  <c r="J38" i="32"/>
  <c r="K38" i="32"/>
  <c r="K41" i="32"/>
  <c r="J41" i="32"/>
  <c r="G60" i="31"/>
  <c r="K12" i="32"/>
  <c r="K26" i="32"/>
  <c r="O70" i="16"/>
  <c r="G64" i="31"/>
  <c r="K21" i="32"/>
  <c r="J21" i="32"/>
  <c r="E4" i="28"/>
  <c r="H5" i="28" s="1"/>
  <c r="H12" i="28" s="1"/>
  <c r="H13" i="28" s="1"/>
  <c r="K42" i="32"/>
  <c r="J42" i="32"/>
  <c r="F69" i="31"/>
  <c r="G69" i="31" s="1"/>
  <c r="O65" i="16"/>
  <c r="AM31" i="6" l="1"/>
  <c r="Q65" i="16"/>
  <c r="O58" i="16"/>
  <c r="F50" i="31"/>
  <c r="G50" i="31" s="1"/>
  <c r="K29" i="32"/>
  <c r="J29" i="32"/>
  <c r="K30" i="32"/>
  <c r="J30" i="32"/>
  <c r="J40" i="32"/>
  <c r="K40" i="32"/>
  <c r="K23" i="17"/>
  <c r="K13" i="18"/>
  <c r="K37" i="32"/>
  <c r="J37" i="32"/>
  <c r="Q25" i="16" l="1"/>
  <c r="Q58" i="16" s="1"/>
  <c r="K22" i="32"/>
  <c r="J22" i="32"/>
  <c r="F13" i="31"/>
  <c r="F62" i="31"/>
  <c r="G62" i="31" s="1"/>
  <c r="AM72" i="6"/>
  <c r="Q67" i="16" s="1"/>
  <c r="Q59" i="16" l="1"/>
  <c r="Q52" i="16"/>
  <c r="O240" i="16"/>
  <c r="T239" i="16"/>
  <c r="T240" i="16" s="1"/>
  <c r="K31" i="32"/>
  <c r="J31" i="32"/>
  <c r="K23" i="32"/>
  <c r="J23" i="32"/>
  <c r="AM29" i="6"/>
  <c r="F22" i="31" l="1"/>
  <c r="G22" i="31" s="1"/>
  <c r="K27" i="32"/>
  <c r="AN28" i="6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K32" i="32" l="1"/>
  <c r="J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1" i="16" l="1"/>
  <c r="R251" i="16"/>
  <c r="R252" i="16" s="1"/>
  <c r="T252" i="16"/>
  <c r="R248" i="16"/>
  <c r="D248" i="16"/>
  <c r="U247" i="16"/>
  <c r="D247" i="16"/>
  <c r="R246" i="16"/>
  <c r="D246" i="16"/>
  <c r="R245" i="16"/>
  <c r="R244" i="16"/>
  <c r="AX242" i="16"/>
  <c r="R242" i="16"/>
  <c r="U240" i="16"/>
  <c r="R239" i="16"/>
  <c r="R238" i="16"/>
  <c r="R237" i="16"/>
  <c r="R235" i="16"/>
  <c r="D235" i="16"/>
  <c r="D239" i="16" s="1"/>
  <c r="D240" i="16" s="1"/>
  <c r="U233" i="16"/>
  <c r="D233" i="16"/>
  <c r="D229" i="16" s="1"/>
  <c r="R232" i="16"/>
  <c r="R231" i="16"/>
  <c r="AX229" i="16"/>
  <c r="R229" i="16"/>
  <c r="R233" i="16" s="1"/>
  <c r="R228" i="16"/>
  <c r="U226" i="16"/>
  <c r="L226" i="16"/>
  <c r="K226" i="16"/>
  <c r="J226" i="16"/>
  <c r="I226" i="16"/>
  <c r="H226" i="16"/>
  <c r="U225" i="16"/>
  <c r="R225" i="16"/>
  <c r="Q225" i="16"/>
  <c r="L225" i="16"/>
  <c r="K225" i="16"/>
  <c r="J225" i="16"/>
  <c r="I225" i="16"/>
  <c r="H225" i="16"/>
  <c r="R224" i="16"/>
  <c r="Q224" i="16"/>
  <c r="L224" i="16"/>
  <c r="K224" i="16"/>
  <c r="J224" i="16"/>
  <c r="I224" i="16"/>
  <c r="H224" i="16"/>
  <c r="R223" i="16"/>
  <c r="Q223" i="16"/>
  <c r="L223" i="16"/>
  <c r="K223" i="16"/>
  <c r="J223" i="16"/>
  <c r="I223" i="16"/>
  <c r="H223" i="16"/>
  <c r="R222" i="16"/>
  <c r="Q222" i="16"/>
  <c r="L222" i="16"/>
  <c r="K222" i="16"/>
  <c r="J222" i="16"/>
  <c r="I222" i="16"/>
  <c r="H222" i="16"/>
  <c r="T212" i="16"/>
  <c r="R211" i="16"/>
  <c r="R214" i="16" s="1"/>
  <c r="Q211" i="16"/>
  <c r="L211" i="16"/>
  <c r="L214" i="16" s="1"/>
  <c r="K211" i="16"/>
  <c r="K214" i="16" s="1"/>
  <c r="J211" i="16"/>
  <c r="I211" i="16"/>
  <c r="H211" i="16"/>
  <c r="R210" i="16"/>
  <c r="R213" i="16" s="1"/>
  <c r="Q210" i="16"/>
  <c r="L210" i="16"/>
  <c r="K210" i="16"/>
  <c r="K213" i="16" s="1"/>
  <c r="J210" i="16"/>
  <c r="I210" i="16"/>
  <c r="I213" i="16" s="1"/>
  <c r="H210" i="16"/>
  <c r="R202" i="16"/>
  <c r="R205" i="16" s="1"/>
  <c r="Q202" i="16"/>
  <c r="Q205" i="16" s="1"/>
  <c r="L202" i="16"/>
  <c r="L205" i="16" s="1"/>
  <c r="K202" i="16"/>
  <c r="K205" i="16" s="1"/>
  <c r="J202" i="16"/>
  <c r="J205" i="16" s="1"/>
  <c r="I202" i="16"/>
  <c r="I205" i="16" s="1"/>
  <c r="H202" i="16"/>
  <c r="H205" i="16" s="1"/>
  <c r="R201" i="16"/>
  <c r="R206" i="16" s="1"/>
  <c r="Q201" i="16"/>
  <c r="Q207" i="16" s="1"/>
  <c r="L201" i="16"/>
  <c r="L207" i="16" s="1"/>
  <c r="K201" i="16"/>
  <c r="K204" i="16" s="1"/>
  <c r="J201" i="16"/>
  <c r="J207" i="16" s="1"/>
  <c r="I201" i="16"/>
  <c r="I206" i="16" s="1"/>
  <c r="H201" i="16"/>
  <c r="H207" i="16" s="1"/>
  <c r="H199" i="16"/>
  <c r="H198" i="16"/>
  <c r="H197" i="16"/>
  <c r="R196" i="16"/>
  <c r="Q196" i="16"/>
  <c r="L196" i="16"/>
  <c r="K196" i="16"/>
  <c r="J196" i="16"/>
  <c r="I196" i="16"/>
  <c r="H196" i="16"/>
  <c r="R195" i="16"/>
  <c r="Q195" i="16"/>
  <c r="L195" i="16"/>
  <c r="K195" i="16"/>
  <c r="J195" i="16"/>
  <c r="I195" i="16"/>
  <c r="H195" i="16"/>
  <c r="L184" i="16"/>
  <c r="K184" i="16"/>
  <c r="R180" i="16"/>
  <c r="Q180" i="16"/>
  <c r="R179" i="16"/>
  <c r="Q179" i="16"/>
  <c r="Q183" i="16" s="1"/>
  <c r="L179" i="16"/>
  <c r="L183" i="16" s="1"/>
  <c r="K179" i="16"/>
  <c r="J179" i="16"/>
  <c r="I179" i="16"/>
  <c r="H179" i="16"/>
  <c r="R178" i="16"/>
  <c r="Q178" i="16"/>
  <c r="Q182" i="16" s="1"/>
  <c r="L178" i="16"/>
  <c r="L182" i="16" s="1"/>
  <c r="K178" i="16"/>
  <c r="J178" i="16"/>
  <c r="I178" i="16"/>
  <c r="H178" i="16"/>
  <c r="L177" i="16"/>
  <c r="K177" i="16"/>
  <c r="J177" i="16"/>
  <c r="I177" i="16"/>
  <c r="H177" i="16"/>
  <c r="U171" i="16"/>
  <c r="U170" i="16"/>
  <c r="R168" i="16"/>
  <c r="R172" i="16" s="1"/>
  <c r="Q168" i="16"/>
  <c r="Q172" i="16" s="1"/>
  <c r="L168" i="16"/>
  <c r="L189" i="16" s="1"/>
  <c r="K168" i="16"/>
  <c r="K189" i="16" s="1"/>
  <c r="J168" i="16"/>
  <c r="J172" i="16" s="1"/>
  <c r="J193" i="16" s="1"/>
  <c r="I168" i="16"/>
  <c r="I172" i="16" s="1"/>
  <c r="I193" i="16" s="1"/>
  <c r="H168" i="16"/>
  <c r="H189" i="16" s="1"/>
  <c r="R167" i="16"/>
  <c r="Q167" i="16"/>
  <c r="Q171" i="16" s="1"/>
  <c r="L167" i="16"/>
  <c r="K167" i="16"/>
  <c r="K171" i="16" s="1"/>
  <c r="J167" i="16"/>
  <c r="J171" i="16" s="1"/>
  <c r="J192" i="16" s="1"/>
  <c r="I167" i="16"/>
  <c r="I171" i="16" s="1"/>
  <c r="I192" i="16" s="1"/>
  <c r="H167" i="16"/>
  <c r="R166" i="16"/>
  <c r="R170" i="16" s="1"/>
  <c r="Q166" i="16"/>
  <c r="Q174" i="16" s="1"/>
  <c r="L166" i="16"/>
  <c r="K166" i="16"/>
  <c r="J166" i="16"/>
  <c r="I166" i="16"/>
  <c r="H166" i="16"/>
  <c r="L165" i="16"/>
  <c r="K165" i="16"/>
  <c r="J165" i="16"/>
  <c r="I165" i="16"/>
  <c r="H165" i="16"/>
  <c r="I162" i="16"/>
  <c r="H162" i="16"/>
  <c r="R161" i="16"/>
  <c r="R173" i="16" s="1"/>
  <c r="Q161" i="16"/>
  <c r="Q173" i="16" s="1"/>
  <c r="L161" i="16"/>
  <c r="L173" i="16" s="1"/>
  <c r="K161" i="16"/>
  <c r="K173" i="16" s="1"/>
  <c r="J161" i="16"/>
  <c r="I161" i="16"/>
  <c r="H161" i="16"/>
  <c r="H173" i="16" s="1"/>
  <c r="U173" i="16"/>
  <c r="C152" i="16"/>
  <c r="C151" i="16"/>
  <c r="R149" i="16"/>
  <c r="R152" i="16" s="1"/>
  <c r="Q149" i="16"/>
  <c r="L149" i="16"/>
  <c r="L152" i="16" s="1"/>
  <c r="K149" i="16"/>
  <c r="J149" i="16"/>
  <c r="I149" i="16"/>
  <c r="I152" i="16" s="1"/>
  <c r="H149" i="16"/>
  <c r="R148" i="16"/>
  <c r="Q148" i="16"/>
  <c r="Q151" i="16" s="1"/>
  <c r="L148" i="16"/>
  <c r="K148" i="16"/>
  <c r="J148" i="16"/>
  <c r="J151" i="16" s="1"/>
  <c r="I148" i="16"/>
  <c r="I151" i="16" s="1"/>
  <c r="H148" i="16"/>
  <c r="H151" i="16" s="1"/>
  <c r="U148" i="16"/>
  <c r="U143" i="16"/>
  <c r="U142" i="16"/>
  <c r="R140" i="16"/>
  <c r="Q140" i="16"/>
  <c r="Q143" i="16" s="1"/>
  <c r="L140" i="16"/>
  <c r="L143" i="16" s="1"/>
  <c r="K140" i="16"/>
  <c r="K143" i="16" s="1"/>
  <c r="J140" i="16"/>
  <c r="J143" i="16" s="1"/>
  <c r="I140" i="16"/>
  <c r="H140" i="16"/>
  <c r="H143" i="16" s="1"/>
  <c r="R139" i="16"/>
  <c r="Q139" i="16"/>
  <c r="L139" i="16"/>
  <c r="L142" i="16" s="1"/>
  <c r="K139" i="16"/>
  <c r="J139" i="16"/>
  <c r="J142" i="16" s="1"/>
  <c r="I139" i="16"/>
  <c r="H139" i="16"/>
  <c r="U145" i="16"/>
  <c r="GA137" i="16"/>
  <c r="R135" i="16"/>
  <c r="Q135" i="16"/>
  <c r="Q144" i="16" s="1"/>
  <c r="L135" i="16"/>
  <c r="L144" i="16" s="1"/>
  <c r="K135" i="16"/>
  <c r="K144" i="16" s="1"/>
  <c r="J135" i="16"/>
  <c r="J144" i="16" s="1"/>
  <c r="I135" i="16"/>
  <c r="H135" i="16"/>
  <c r="H144" i="16" s="1"/>
  <c r="U144" i="16"/>
  <c r="R134" i="16"/>
  <c r="Q134" i="16"/>
  <c r="L134" i="16"/>
  <c r="K134" i="16"/>
  <c r="J134" i="16"/>
  <c r="I134" i="16"/>
  <c r="H134" i="16"/>
  <c r="I125" i="16"/>
  <c r="I124" i="16"/>
  <c r="R122" i="16"/>
  <c r="R125" i="16" s="1"/>
  <c r="Q122" i="16"/>
  <c r="L122" i="16"/>
  <c r="L125" i="16" s="1"/>
  <c r="K122" i="16"/>
  <c r="J122" i="16"/>
  <c r="J125" i="16" s="1"/>
  <c r="I122" i="16"/>
  <c r="H122" i="16"/>
  <c r="R121" i="16"/>
  <c r="R124" i="16" s="1"/>
  <c r="Q121" i="16"/>
  <c r="Q124" i="16" s="1"/>
  <c r="L121" i="16"/>
  <c r="L124" i="16" s="1"/>
  <c r="K121" i="16"/>
  <c r="K124" i="16" s="1"/>
  <c r="J121" i="16"/>
  <c r="I121" i="16"/>
  <c r="H121" i="16"/>
  <c r="H124" i="16" s="1"/>
  <c r="U116" i="16"/>
  <c r="U115" i="16"/>
  <c r="R113" i="16"/>
  <c r="R116" i="16" s="1"/>
  <c r="Q113" i="16"/>
  <c r="Q116" i="16" s="1"/>
  <c r="L113" i="16"/>
  <c r="L116" i="16" s="1"/>
  <c r="K113" i="16"/>
  <c r="K116" i="16" s="1"/>
  <c r="J113" i="16"/>
  <c r="J116" i="16" s="1"/>
  <c r="I113" i="16"/>
  <c r="I116" i="16" s="1"/>
  <c r="H113" i="16"/>
  <c r="H116" i="16" s="1"/>
  <c r="R112" i="16"/>
  <c r="R115" i="16" s="1"/>
  <c r="Q112" i="16"/>
  <c r="Q115" i="16" s="1"/>
  <c r="L112" i="16"/>
  <c r="L115" i="16" s="1"/>
  <c r="K112" i="16"/>
  <c r="K115" i="16" s="1"/>
  <c r="J112" i="16"/>
  <c r="I112" i="16"/>
  <c r="I115" i="16" s="1"/>
  <c r="H112" i="16"/>
  <c r="H115" i="16" s="1"/>
  <c r="H110" i="16"/>
  <c r="H109" i="16"/>
  <c r="J108" i="16"/>
  <c r="H108" i="16"/>
  <c r="R107" i="16"/>
  <c r="R117" i="16" s="1"/>
  <c r="Q107" i="16"/>
  <c r="Q117" i="16" s="1"/>
  <c r="L107" i="16"/>
  <c r="L117" i="16" s="1"/>
  <c r="K107" i="16"/>
  <c r="K117" i="16" s="1"/>
  <c r="J107" i="16"/>
  <c r="I107" i="16"/>
  <c r="I117" i="16" s="1"/>
  <c r="H107" i="16"/>
  <c r="H117" i="16" s="1"/>
  <c r="U117" i="16"/>
  <c r="R95" i="16"/>
  <c r="Q95" i="16"/>
  <c r="L95" i="16"/>
  <c r="L98" i="16" s="1"/>
  <c r="K95" i="16"/>
  <c r="K98" i="16" s="1"/>
  <c r="J95" i="16"/>
  <c r="I95" i="16"/>
  <c r="H95" i="16"/>
  <c r="H98" i="16" s="1"/>
  <c r="U95" i="16"/>
  <c r="U102" i="16" s="1"/>
  <c r="R94" i="16"/>
  <c r="Q94" i="16"/>
  <c r="Q97" i="16" s="1"/>
  <c r="L94" i="16"/>
  <c r="K94" i="16"/>
  <c r="K97" i="16" s="1"/>
  <c r="J94" i="16"/>
  <c r="J97" i="16" s="1"/>
  <c r="I94" i="16"/>
  <c r="H94" i="16"/>
  <c r="H97" i="16" s="1"/>
  <c r="U91" i="16"/>
  <c r="U89" i="16"/>
  <c r="U88" i="16"/>
  <c r="R86" i="16"/>
  <c r="R89" i="16" s="1"/>
  <c r="Q86" i="16"/>
  <c r="Q89" i="16" s="1"/>
  <c r="L86" i="16"/>
  <c r="L89" i="16" s="1"/>
  <c r="K86" i="16"/>
  <c r="J86" i="16"/>
  <c r="I86" i="16"/>
  <c r="I89" i="16" s="1"/>
  <c r="H86" i="16"/>
  <c r="H89" i="16" s="1"/>
  <c r="R85" i="16"/>
  <c r="Q85" i="16"/>
  <c r="Q88" i="16" s="1"/>
  <c r="L85" i="16"/>
  <c r="K85" i="16"/>
  <c r="K88" i="16" s="1"/>
  <c r="J85" i="16"/>
  <c r="I85" i="16"/>
  <c r="H85" i="16"/>
  <c r="H88" i="16" s="1"/>
  <c r="I83" i="16"/>
  <c r="H83" i="16"/>
  <c r="FX82" i="16"/>
  <c r="OZ82" i="16" s="1"/>
  <c r="I82" i="16"/>
  <c r="FX81" i="16"/>
  <c r="OZ81" i="16" s="1"/>
  <c r="U81" i="16"/>
  <c r="I81" i="16"/>
  <c r="R80" i="16"/>
  <c r="Q80" i="16"/>
  <c r="L80" i="16"/>
  <c r="L90" i="16" s="1"/>
  <c r="K80" i="16"/>
  <c r="K90" i="16" s="1"/>
  <c r="J80" i="16"/>
  <c r="J90" i="16" s="1"/>
  <c r="I80" i="16"/>
  <c r="I90" i="16" s="1"/>
  <c r="H80" i="16"/>
  <c r="R79" i="16"/>
  <c r="Q79" i="16"/>
  <c r="L79" i="16"/>
  <c r="K79" i="16"/>
  <c r="J79" i="16"/>
  <c r="I79" i="16"/>
  <c r="H79" i="16"/>
  <c r="U79" i="16"/>
  <c r="OY78" i="16"/>
  <c r="GA77" i="16"/>
  <c r="R76" i="16"/>
  <c r="U75" i="16"/>
  <c r="R73" i="16"/>
  <c r="R71" i="16"/>
  <c r="FN70" i="16"/>
  <c r="R69" i="16"/>
  <c r="OR67" i="16"/>
  <c r="OR66" i="16" s="1"/>
  <c r="FN67" i="16"/>
  <c r="OP57" i="16"/>
  <c r="OR57" i="16" s="1"/>
  <c r="U57" i="16"/>
  <c r="OR56" i="16"/>
  <c r="U56" i="16"/>
  <c r="R54" i="16"/>
  <c r="DG51" i="16"/>
  <c r="R51" i="16"/>
  <c r="R50" i="16"/>
  <c r="R49" i="16"/>
  <c r="U48" i="16"/>
  <c r="U67" i="16" s="1"/>
  <c r="D48" i="16"/>
  <c r="R40" i="16"/>
  <c r="R39" i="16"/>
  <c r="U38" i="16"/>
  <c r="R36" i="16"/>
  <c r="I36" i="16"/>
  <c r="T36" i="16" s="1"/>
  <c r="R35" i="16"/>
  <c r="I35" i="16"/>
  <c r="T35" i="16" s="1"/>
  <c r="U34" i="16"/>
  <c r="D34" i="16"/>
  <c r="DI33" i="16"/>
  <c r="DH33" i="16"/>
  <c r="DG33" i="16"/>
  <c r="R33" i="16"/>
  <c r="I33" i="16"/>
  <c r="T33" i="16" s="1"/>
  <c r="PF32" i="16"/>
  <c r="DI32" i="16"/>
  <c r="DH32" i="16"/>
  <c r="DG32" i="16"/>
  <c r="R31" i="16"/>
  <c r="T31" i="16"/>
  <c r="R30" i="16"/>
  <c r="U29" i="16"/>
  <c r="PF27" i="16"/>
  <c r="R27" i="16"/>
  <c r="I27" i="16"/>
  <c r="T27" i="16" s="1"/>
  <c r="AEG26" i="16"/>
  <c r="PF26" i="16"/>
  <c r="OO26" i="16"/>
  <c r="OO32" i="16" s="1"/>
  <c r="R26" i="16"/>
  <c r="I26" i="16"/>
  <c r="T26" i="16" s="1"/>
  <c r="AEG25" i="16"/>
  <c r="U25" i="16"/>
  <c r="I25" i="16"/>
  <c r="D25" i="16"/>
  <c r="D22" i="16"/>
  <c r="AEG20" i="16"/>
  <c r="AER20" i="16" s="1"/>
  <c r="PF20" i="16"/>
  <c r="R20" i="16"/>
  <c r="D20" i="16"/>
  <c r="AEG19" i="16"/>
  <c r="AER19" i="16" s="1"/>
  <c r="R19" i="16"/>
  <c r="D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6" i="16" s="1"/>
  <c r="R11" i="16"/>
  <c r="H10" i="16"/>
  <c r="R9" i="16"/>
  <c r="L9" i="16"/>
  <c r="K9" i="16"/>
  <c r="J9" i="16"/>
  <c r="H9" i="16"/>
  <c r="R8" i="16"/>
  <c r="T8" i="16" s="1"/>
  <c r="X8" i="16" s="1"/>
  <c r="T34" i="16" l="1"/>
  <c r="T63" i="16" s="1"/>
  <c r="T25" i="16"/>
  <c r="T58" i="16" s="1"/>
  <c r="T30" i="16"/>
  <c r="PF34" i="16"/>
  <c r="OS24" i="16" s="1"/>
  <c r="PF24" i="16" s="1"/>
  <c r="U66" i="16"/>
  <c r="AEE25" i="16"/>
  <c r="U47" i="16"/>
  <c r="V47" i="16" s="1"/>
  <c r="H187" i="16"/>
  <c r="R38" i="16"/>
  <c r="R65" i="16" s="1"/>
  <c r="R25" i="16"/>
  <c r="R59" i="16" s="1"/>
  <c r="R240" i="16"/>
  <c r="Q162" i="16"/>
  <c r="Q163" i="16" s="1"/>
  <c r="J10" i="16"/>
  <c r="L187" i="16"/>
  <c r="J109" i="16"/>
  <c r="R70" i="16"/>
  <c r="R48" i="16"/>
  <c r="R67" i="16" s="1"/>
  <c r="R72" i="16"/>
  <c r="L132" i="16"/>
  <c r="J136" i="16"/>
  <c r="J137" i="16" s="1"/>
  <c r="U163" i="16"/>
  <c r="U195" i="16"/>
  <c r="R247" i="16"/>
  <c r="K131" i="16"/>
  <c r="I174" i="16"/>
  <c r="R74" i="16"/>
  <c r="I91" i="16"/>
  <c r="R91" i="16"/>
  <c r="H118" i="16"/>
  <c r="T247" i="16"/>
  <c r="R34" i="16"/>
  <c r="R63" i="16" s="1"/>
  <c r="L108" i="16"/>
  <c r="L109" i="16" s="1"/>
  <c r="U83" i="16"/>
  <c r="Q108" i="16"/>
  <c r="Q109" i="16" s="1"/>
  <c r="L197" i="16"/>
  <c r="L198" i="16" s="1"/>
  <c r="I128" i="16"/>
  <c r="T148" i="16"/>
  <c r="V148" i="16" s="1"/>
  <c r="K221" i="16"/>
  <c r="J187" i="16"/>
  <c r="R226" i="16"/>
  <c r="Q102" i="16"/>
  <c r="R155" i="16"/>
  <c r="K162" i="16"/>
  <c r="K163" i="16" s="1"/>
  <c r="U82" i="16"/>
  <c r="U80" i="16" s="1"/>
  <c r="U90" i="16" s="1"/>
  <c r="J118" i="16"/>
  <c r="Q187" i="16"/>
  <c r="J81" i="16"/>
  <c r="J82" i="16" s="1"/>
  <c r="R221" i="16"/>
  <c r="R57" i="16"/>
  <c r="V71" i="16"/>
  <c r="R77" i="16"/>
  <c r="T83" i="16"/>
  <c r="J91" i="16"/>
  <c r="K102" i="16"/>
  <c r="K118" i="16"/>
  <c r="K128" i="16"/>
  <c r="H163" i="16"/>
  <c r="J189" i="16"/>
  <c r="L204" i="16"/>
  <c r="I207" i="16"/>
  <c r="J217" i="16"/>
  <c r="J89" i="16"/>
  <c r="Q104" i="16"/>
  <c r="L102" i="16"/>
  <c r="L118" i="16"/>
  <c r="H129" i="16"/>
  <c r="Q129" i="16"/>
  <c r="Q125" i="16"/>
  <c r="Q132" i="16" s="1"/>
  <c r="K156" i="16"/>
  <c r="I155" i="16"/>
  <c r="H170" i="16"/>
  <c r="H191" i="16" s="1"/>
  <c r="Q197" i="16"/>
  <c r="Q198" i="16" s="1"/>
  <c r="Q204" i="16"/>
  <c r="K218" i="16"/>
  <c r="R81" i="16"/>
  <c r="R82" i="16" s="1"/>
  <c r="Q98" i="16"/>
  <c r="Q105" i="16" s="1"/>
  <c r="Q118" i="16"/>
  <c r="I129" i="16"/>
  <c r="U137" i="16"/>
  <c r="L159" i="16"/>
  <c r="J155" i="16"/>
  <c r="V167" i="16"/>
  <c r="V171" i="16" s="1"/>
  <c r="L170" i="16"/>
  <c r="L191" i="16" s="1"/>
  <c r="H172" i="16"/>
  <c r="H193" i="16" s="1"/>
  <c r="R174" i="16"/>
  <c r="R197" i="16"/>
  <c r="R198" i="16" s="1"/>
  <c r="R204" i="16"/>
  <c r="L218" i="16"/>
  <c r="T223" i="16"/>
  <c r="V223" i="16" s="1"/>
  <c r="T225" i="16"/>
  <c r="V225" i="16" s="1"/>
  <c r="R56" i="16"/>
  <c r="R29" i="16"/>
  <c r="R61" i="16" s="1"/>
  <c r="I34" i="16"/>
  <c r="J101" i="16"/>
  <c r="H102" i="16"/>
  <c r="K136" i="16"/>
  <c r="K137" i="16" s="1"/>
  <c r="R162" i="16"/>
  <c r="R163" i="16" s="1"/>
  <c r="H206" i="16"/>
  <c r="R207" i="16"/>
  <c r="K91" i="16"/>
  <c r="K101" i="16"/>
  <c r="J117" i="16"/>
  <c r="K129" i="16"/>
  <c r="H125" i="16"/>
  <c r="V125" i="16" s="1"/>
  <c r="Q170" i="16"/>
  <c r="Q191" i="16" s="1"/>
  <c r="T195" i="16"/>
  <c r="V195" i="16" s="1"/>
  <c r="L206" i="16"/>
  <c r="R218" i="16"/>
  <c r="K10" i="16"/>
  <c r="L129" i="16"/>
  <c r="R151" i="16"/>
  <c r="U168" i="16"/>
  <c r="U172" i="16" s="1"/>
  <c r="H204" i="16"/>
  <c r="L221" i="16"/>
  <c r="J128" i="16"/>
  <c r="L10" i="16"/>
  <c r="T79" i="16"/>
  <c r="V79" i="16" s="1"/>
  <c r="J124" i="16"/>
  <c r="K125" i="16"/>
  <c r="K132" i="16" s="1"/>
  <c r="K142" i="16"/>
  <c r="K145" i="16"/>
  <c r="H156" i="16"/>
  <c r="Q156" i="16"/>
  <c r="L162" i="16"/>
  <c r="L163" i="16" s="1"/>
  <c r="I197" i="16"/>
  <c r="I198" i="16" s="1"/>
  <c r="I204" i="16"/>
  <c r="T205" i="16"/>
  <c r="Q206" i="16"/>
  <c r="I217" i="16"/>
  <c r="T222" i="16"/>
  <c r="V222" i="16" s="1"/>
  <c r="T224" i="16"/>
  <c r="V224" i="16" s="1"/>
  <c r="AGV24" i="16"/>
  <c r="AGV20" i="16"/>
  <c r="OR68" i="16"/>
  <c r="H90" i="16"/>
  <c r="Q226" i="16"/>
  <c r="Q90" i="16"/>
  <c r="I102" i="16"/>
  <c r="I98" i="16"/>
  <c r="I105" i="16" s="1"/>
  <c r="R102" i="16"/>
  <c r="R98" i="16"/>
  <c r="R105" i="16" s="1"/>
  <c r="R75" i="16"/>
  <c r="T86" i="16"/>
  <c r="J129" i="16"/>
  <c r="R10" i="16"/>
  <c r="U59" i="16"/>
  <c r="U58" i="16"/>
  <c r="U33" i="16"/>
  <c r="H104" i="16"/>
  <c r="L97" i="16"/>
  <c r="L101" i="16"/>
  <c r="H101" i="16"/>
  <c r="J132" i="16"/>
  <c r="T122" i="16"/>
  <c r="OS16" i="16"/>
  <c r="J23" i="16"/>
  <c r="J22" i="16" s="1"/>
  <c r="H91" i="16"/>
  <c r="H81" i="16"/>
  <c r="H82" i="16" s="1"/>
  <c r="L91" i="16"/>
  <c r="L81" i="16"/>
  <c r="L82" i="16" s="1"/>
  <c r="Q91" i="16"/>
  <c r="Q81" i="16"/>
  <c r="Q82" i="16" s="1"/>
  <c r="L88" i="16"/>
  <c r="Q101" i="16"/>
  <c r="I88" i="16"/>
  <c r="R88" i="16"/>
  <c r="J102" i="16"/>
  <c r="J98" i="16"/>
  <c r="T95" i="16"/>
  <c r="I118" i="16"/>
  <c r="I108" i="16"/>
  <c r="R118" i="16"/>
  <c r="R108" i="16"/>
  <c r="R109" i="16" s="1"/>
  <c r="I132" i="16"/>
  <c r="R128" i="16"/>
  <c r="I136" i="16"/>
  <c r="I137" i="16" s="1"/>
  <c r="I143" i="16"/>
  <c r="I159" i="16" s="1"/>
  <c r="R136" i="16"/>
  <c r="R137" i="16" s="1"/>
  <c r="R143" i="16"/>
  <c r="R159" i="16" s="1"/>
  <c r="R156" i="16"/>
  <c r="T179" i="16"/>
  <c r="U179" i="16"/>
  <c r="K188" i="16"/>
  <c r="K183" i="16"/>
  <c r="T178" i="16"/>
  <c r="U178" i="16"/>
  <c r="U187" i="16" s="1"/>
  <c r="K182" i="16"/>
  <c r="K187" i="16"/>
  <c r="K81" i="16"/>
  <c r="K82" i="16" s="1"/>
  <c r="K89" i="16"/>
  <c r="K105" i="16" s="1"/>
  <c r="I97" i="16"/>
  <c r="I101" i="16"/>
  <c r="R97" i="16"/>
  <c r="R101" i="16"/>
  <c r="I156" i="16"/>
  <c r="K172" i="16"/>
  <c r="K193" i="16" s="1"/>
  <c r="V179" i="16"/>
  <c r="R189" i="16"/>
  <c r="R184" i="16"/>
  <c r="R193" i="16" s="1"/>
  <c r="H217" i="16"/>
  <c r="H213" i="16"/>
  <c r="H220" i="16" s="1"/>
  <c r="L213" i="16"/>
  <c r="L220" i="16" s="1"/>
  <c r="L217" i="16"/>
  <c r="Q213" i="16"/>
  <c r="Q220" i="16" s="1"/>
  <c r="Q217" i="16"/>
  <c r="K104" i="16"/>
  <c r="H105" i="16"/>
  <c r="L105" i="16"/>
  <c r="T113" i="16"/>
  <c r="H131" i="16"/>
  <c r="V124" i="16"/>
  <c r="L131" i="16"/>
  <c r="Q131" i="16"/>
  <c r="L128" i="16"/>
  <c r="T140" i="16"/>
  <c r="T143" i="16" s="1"/>
  <c r="T145" i="16"/>
  <c r="J158" i="16"/>
  <c r="H152" i="16"/>
  <c r="Q152" i="16"/>
  <c r="Q159" i="16" s="1"/>
  <c r="L156" i="16"/>
  <c r="I173" i="16"/>
  <c r="I163" i="16"/>
  <c r="J174" i="16"/>
  <c r="J170" i="16"/>
  <c r="J191" i="16" s="1"/>
  <c r="T166" i="16"/>
  <c r="T170" i="16" s="1"/>
  <c r="H171" i="16"/>
  <c r="H192" i="16" s="1"/>
  <c r="V178" i="16"/>
  <c r="H188" i="16"/>
  <c r="T202" i="16"/>
  <c r="T85" i="16"/>
  <c r="J88" i="16"/>
  <c r="J104" i="16" s="1"/>
  <c r="T94" i="16"/>
  <c r="R131" i="16"/>
  <c r="H145" i="16"/>
  <c r="H136" i="16"/>
  <c r="L145" i="16"/>
  <c r="L136" i="16"/>
  <c r="L137" i="16" s="1"/>
  <c r="Q145" i="16"/>
  <c r="Q136" i="16"/>
  <c r="Q137" i="16" s="1"/>
  <c r="T144" i="16"/>
  <c r="K151" i="16"/>
  <c r="K155" i="16"/>
  <c r="T173" i="16"/>
  <c r="J173" i="16"/>
  <c r="K174" i="16"/>
  <c r="V166" i="16"/>
  <c r="V170" i="16" s="1"/>
  <c r="R171" i="16"/>
  <c r="H174" i="16"/>
  <c r="I188" i="16"/>
  <c r="R188" i="16"/>
  <c r="L188" i="16"/>
  <c r="K197" i="16"/>
  <c r="K198" i="16" s="1"/>
  <c r="K220" i="16"/>
  <c r="K207" i="16"/>
  <c r="K206" i="16"/>
  <c r="R90" i="16"/>
  <c r="U94" i="16"/>
  <c r="U101" i="16" s="1"/>
  <c r="U109" i="16"/>
  <c r="K108" i="16"/>
  <c r="T117" i="16"/>
  <c r="R132" i="16"/>
  <c r="I131" i="16"/>
  <c r="H128" i="16"/>
  <c r="Q128" i="16"/>
  <c r="R129" i="16"/>
  <c r="I145" i="16"/>
  <c r="R145" i="16"/>
  <c r="H142" i="16"/>
  <c r="H158" i="16" s="1"/>
  <c r="Q142" i="16"/>
  <c r="Q158" i="16" s="1"/>
  <c r="I144" i="16"/>
  <c r="R144" i="16"/>
  <c r="J145" i="16"/>
  <c r="H155" i="16"/>
  <c r="L155" i="16"/>
  <c r="Q155" i="16"/>
  <c r="J156" i="16"/>
  <c r="L151" i="16"/>
  <c r="L158" i="16" s="1"/>
  <c r="J162" i="16"/>
  <c r="T168" i="16"/>
  <c r="T172" i="16" s="1"/>
  <c r="K170" i="16"/>
  <c r="L171" i="16"/>
  <c r="L192" i="16" s="1"/>
  <c r="L174" i="16"/>
  <c r="Q184" i="16"/>
  <c r="Q193" i="16" s="1"/>
  <c r="Q189" i="16"/>
  <c r="Q192" i="16"/>
  <c r="K217" i="16"/>
  <c r="H214" i="16"/>
  <c r="H218" i="16"/>
  <c r="T211" i="16"/>
  <c r="Q214" i="16"/>
  <c r="Q221" i="16" s="1"/>
  <c r="Q218" i="16"/>
  <c r="T112" i="16"/>
  <c r="J115" i="16"/>
  <c r="T121" i="16"/>
  <c r="U122" i="16"/>
  <c r="U129" i="16" s="1"/>
  <c r="I142" i="16"/>
  <c r="I158" i="16" s="1"/>
  <c r="R142" i="16"/>
  <c r="T149" i="16"/>
  <c r="V149" i="16" s="1"/>
  <c r="J152" i="16"/>
  <c r="J159" i="16" s="1"/>
  <c r="T167" i="16"/>
  <c r="T171" i="16" s="1"/>
  <c r="V168" i="16"/>
  <c r="V172" i="16" s="1"/>
  <c r="I170" i="16"/>
  <c r="I191" i="16" s="1"/>
  <c r="L172" i="16"/>
  <c r="L193" i="16" s="1"/>
  <c r="I187" i="16"/>
  <c r="R187" i="16"/>
  <c r="Q188" i="16"/>
  <c r="R182" i="16"/>
  <c r="R191" i="16" s="1"/>
  <c r="R183" i="16"/>
  <c r="I218" i="16"/>
  <c r="U121" i="16"/>
  <c r="U128" i="16" s="1"/>
  <c r="T139" i="16"/>
  <c r="U149" i="16"/>
  <c r="K152" i="16"/>
  <c r="K159" i="16" s="1"/>
  <c r="I189" i="16"/>
  <c r="J204" i="16"/>
  <c r="J206" i="16"/>
  <c r="J197" i="16"/>
  <c r="T201" i="16"/>
  <c r="T210" i="16"/>
  <c r="J218" i="16"/>
  <c r="J214" i="16"/>
  <c r="J221" i="16" s="1"/>
  <c r="J213" i="16"/>
  <c r="J220" i="16" s="1"/>
  <c r="I214" i="16"/>
  <c r="I221" i="16" s="1"/>
  <c r="R217" i="16"/>
  <c r="J188" i="16"/>
  <c r="I220" i="16"/>
  <c r="R220" i="16"/>
  <c r="T59" i="16" l="1"/>
  <c r="T62" i="16"/>
  <c r="T29" i="16"/>
  <c r="T61" i="16" s="1"/>
  <c r="H23" i="16"/>
  <c r="H22" i="16" s="1"/>
  <c r="J131" i="16"/>
  <c r="R58" i="16"/>
  <c r="T91" i="16"/>
  <c r="V91" i="16" s="1"/>
  <c r="T52" i="16"/>
  <c r="U98" i="16"/>
  <c r="U105" i="16" s="1"/>
  <c r="AX30" i="16"/>
  <c r="R64" i="16"/>
  <c r="U124" i="16"/>
  <c r="U131" i="16" s="1"/>
  <c r="T218" i="16"/>
  <c r="U97" i="16"/>
  <c r="U104" i="16" s="1"/>
  <c r="V30" i="16"/>
  <c r="T97" i="16"/>
  <c r="T226" i="16"/>
  <c r="V226" i="16" s="1"/>
  <c r="T90" i="16"/>
  <c r="V90" i="16" s="1"/>
  <c r="OR71" i="16"/>
  <c r="U188" i="16"/>
  <c r="R66" i="16"/>
  <c r="T163" i="16"/>
  <c r="R158" i="16"/>
  <c r="T136" i="16"/>
  <c r="T134" i="16" s="1"/>
  <c r="K158" i="16"/>
  <c r="U136" i="16"/>
  <c r="U134" i="16" s="1"/>
  <c r="R62" i="16"/>
  <c r="OR70" i="16"/>
  <c r="R52" i="16"/>
  <c r="T204" i="16"/>
  <c r="V33" i="16"/>
  <c r="T137" i="16"/>
  <c r="R53" i="16"/>
  <c r="T128" i="16"/>
  <c r="R104" i="16"/>
  <c r="J105" i="16"/>
  <c r="V173" i="16"/>
  <c r="T129" i="16"/>
  <c r="T82" i="16"/>
  <c r="V82" i="16" s="1"/>
  <c r="U108" i="16"/>
  <c r="U107" i="16" s="1"/>
  <c r="V34" i="16"/>
  <c r="T102" i="16"/>
  <c r="K23" i="16"/>
  <c r="K22" i="16" s="1"/>
  <c r="U162" i="16"/>
  <c r="U161" i="16" s="1"/>
  <c r="I23" i="16"/>
  <c r="R60" i="16"/>
  <c r="V35" i="16"/>
  <c r="U118" i="16"/>
  <c r="R192" i="16"/>
  <c r="V144" i="16"/>
  <c r="V117" i="16"/>
  <c r="T118" i="16"/>
  <c r="V118" i="16" s="1"/>
  <c r="I104" i="16"/>
  <c r="T207" i="16"/>
  <c r="H132" i="16"/>
  <c r="L53" i="16"/>
  <c r="T206" i="16"/>
  <c r="T174" i="16"/>
  <c r="V95" i="16"/>
  <c r="U125" i="16"/>
  <c r="U132" i="16" s="1"/>
  <c r="T124" i="16"/>
  <c r="U151" i="16"/>
  <c r="L23" i="16"/>
  <c r="L22" i="16" s="1"/>
  <c r="T217" i="16"/>
  <c r="J198" i="16"/>
  <c r="V122" i="16"/>
  <c r="T152" i="16"/>
  <c r="T159" i="16" s="1"/>
  <c r="H221" i="16"/>
  <c r="T214" i="16"/>
  <c r="T221" i="16" s="1"/>
  <c r="V140" i="16"/>
  <c r="V143" i="16" s="1"/>
  <c r="V121" i="16"/>
  <c r="H137" i="16"/>
  <c r="T187" i="16"/>
  <c r="T125" i="16"/>
  <c r="L104" i="16"/>
  <c r="V51" i="16"/>
  <c r="V86" i="16"/>
  <c r="T89" i="16"/>
  <c r="V89" i="16" s="1"/>
  <c r="T142" i="16"/>
  <c r="V139" i="16"/>
  <c r="V142" i="16" s="1"/>
  <c r="T213" i="16"/>
  <c r="T220" i="16" s="1"/>
  <c r="U152" i="16"/>
  <c r="T151" i="16"/>
  <c r="V151" i="16" s="1"/>
  <c r="K109" i="16"/>
  <c r="V174" i="16"/>
  <c r="V145" i="16"/>
  <c r="T109" i="16"/>
  <c r="T184" i="16"/>
  <c r="H159" i="16"/>
  <c r="V113" i="16"/>
  <c r="V116" i="16" s="1"/>
  <c r="V132" i="16" s="1"/>
  <c r="T116" i="16"/>
  <c r="K191" i="16"/>
  <c r="V182" i="16"/>
  <c r="V191" i="16" s="1"/>
  <c r="T182" i="16"/>
  <c r="T191" i="16" s="1"/>
  <c r="U182" i="16"/>
  <c r="U191" i="16" s="1"/>
  <c r="K192" i="16"/>
  <c r="T183" i="16"/>
  <c r="T192" i="16" s="1"/>
  <c r="U183" i="16"/>
  <c r="U192" i="16" s="1"/>
  <c r="V183" i="16"/>
  <c r="V192" i="16" s="1"/>
  <c r="T188" i="16"/>
  <c r="I109" i="16"/>
  <c r="V112" i="16"/>
  <c r="V115" i="16" s="1"/>
  <c r="V131" i="16" s="1"/>
  <c r="T115" i="16"/>
  <c r="T156" i="16"/>
  <c r="T162" i="16"/>
  <c r="T161" i="16" s="1"/>
  <c r="U197" i="16"/>
  <c r="U198" i="16"/>
  <c r="U184" i="16"/>
  <c r="U174" i="16"/>
  <c r="J163" i="16"/>
  <c r="V163" i="16" s="1"/>
  <c r="T101" i="16"/>
  <c r="V94" i="16"/>
  <c r="V85" i="16"/>
  <c r="T88" i="16"/>
  <c r="V88" i="16" s="1"/>
  <c r="T81" i="16"/>
  <c r="T197" i="16"/>
  <c r="V184" i="16"/>
  <c r="V187" i="16"/>
  <c r="V162" i="16"/>
  <c r="V161" i="16" s="1"/>
  <c r="T108" i="16"/>
  <c r="V108" i="16" s="1"/>
  <c r="V188" i="16"/>
  <c r="T155" i="16"/>
  <c r="T98" i="16"/>
  <c r="V97" i="16"/>
  <c r="V31" i="16"/>
  <c r="AX31" i="16"/>
  <c r="V26" i="16"/>
  <c r="AIV16" i="16"/>
  <c r="AIW16" i="16" s="1"/>
  <c r="V36" i="16"/>
  <c r="T60" i="16" l="1"/>
  <c r="I22" i="16"/>
  <c r="T22" i="16" s="1"/>
  <c r="T23" i="16"/>
  <c r="AX72" i="16"/>
  <c r="V29" i="16"/>
  <c r="V102" i="16"/>
  <c r="OR72" i="16"/>
  <c r="OR74" i="16" s="1"/>
  <c r="U135" i="16"/>
  <c r="V137" i="16"/>
  <c r="T158" i="16"/>
  <c r="V136" i="16"/>
  <c r="V135" i="16" s="1"/>
  <c r="T135" i="16"/>
  <c r="AX29" i="16"/>
  <c r="V101" i="16"/>
  <c r="T105" i="16"/>
  <c r="T131" i="16"/>
  <c r="T104" i="16"/>
  <c r="T80" i="16"/>
  <c r="V80" i="16" s="1"/>
  <c r="V81" i="16"/>
  <c r="U196" i="16"/>
  <c r="T132" i="16"/>
  <c r="V104" i="16"/>
  <c r="T107" i="16"/>
  <c r="V109" i="16"/>
  <c r="V107" i="16" s="1"/>
  <c r="V152" i="16"/>
  <c r="V197" i="16"/>
  <c r="V98" i="16"/>
  <c r="V105" i="16" s="1"/>
  <c r="V129" i="16"/>
  <c r="T198" i="16"/>
  <c r="T196" i="16" s="1"/>
  <c r="V128" i="16"/>
  <c r="V134" i="16" l="1"/>
  <c r="V198" i="16"/>
  <c r="V196" i="16" s="1"/>
  <c r="E37" i="3" l="1"/>
  <c r="F37" i="3" s="1"/>
  <c r="H37" i="3" s="1"/>
  <c r="J37" i="3" s="1"/>
  <c r="AJ244" i="6" s="1"/>
  <c r="AJ245" i="6" s="1"/>
  <c r="F2" i="20" l="1"/>
  <c r="F14" i="20" s="1"/>
  <c r="C2" i="20"/>
  <c r="C18" i="20" s="1"/>
  <c r="C19" i="20" s="1"/>
  <c r="N4" i="17"/>
  <c r="V8" i="16"/>
  <c r="M37" i="3"/>
  <c r="K37" i="3"/>
  <c r="N37" i="3" s="1"/>
  <c r="D35" i="17" l="1"/>
  <c r="F35" i="17" s="1"/>
  <c r="I4" i="19"/>
  <c r="K4" i="23"/>
  <c r="I4" i="24"/>
  <c r="H8" i="17"/>
  <c r="K4" i="21"/>
  <c r="D37" i="17"/>
  <c r="F37" i="17" s="1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69" i="16" l="1"/>
  <c r="V242" i="16"/>
  <c r="V237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29" i="16"/>
  <c r="V73" i="16" l="1"/>
  <c r="O84" i="6"/>
  <c r="N84" i="6"/>
  <c r="N85" i="6" s="1"/>
  <c r="X59" i="6" l="1"/>
  <c r="X84" i="6"/>
  <c r="X85" i="6" s="1"/>
  <c r="V84" i="6"/>
  <c r="V85" i="6" s="1"/>
  <c r="V59" i="6"/>
  <c r="W84" i="6"/>
  <c r="W85" i="6" s="1"/>
  <c r="W59" i="6"/>
  <c r="Q59" i="6"/>
  <c r="Q84" i="6"/>
  <c r="Q85" i="6" s="1"/>
  <c r="P59" i="6"/>
  <c r="P84" i="6"/>
  <c r="P85" i="6" s="1"/>
  <c r="O59" i="6"/>
  <c r="O85" i="6"/>
  <c r="N59" i="6"/>
  <c r="M59" i="6"/>
  <c r="L59" i="6"/>
  <c r="L84" i="6"/>
  <c r="L85" i="6" s="1"/>
  <c r="J85" i="6"/>
  <c r="Q17" i="16" l="1"/>
  <c r="Q19" i="16"/>
  <c r="F18" i="31"/>
  <c r="V27" i="16"/>
  <c r="AIV17" i="16"/>
  <c r="AIW17" i="16" s="1"/>
  <c r="G18" i="31" l="1"/>
  <c r="T17" i="16"/>
  <c r="V17" i="16"/>
  <c r="U17" i="16"/>
  <c r="AM13" i="6"/>
  <c r="F14" i="31" s="1"/>
  <c r="G14" i="31" s="1"/>
  <c r="AM14" i="6"/>
  <c r="O75" i="16"/>
  <c r="T19" i="16"/>
  <c r="V25" i="16"/>
  <c r="Q15" i="16" l="1"/>
  <c r="Q16" i="16"/>
  <c r="T16" i="16" s="1"/>
  <c r="F15" i="31"/>
  <c r="G15" i="31" s="1"/>
  <c r="T15" i="16" l="1"/>
  <c r="U15" i="16"/>
  <c r="V15" i="16"/>
  <c r="U16" i="16"/>
  <c r="V16" i="16"/>
  <c r="S16" i="8" l="1"/>
  <c r="V76" i="16" l="1"/>
  <c r="V77" i="16" s="1"/>
  <c r="V228" i="16" l="1"/>
  <c r="T53" i="16" l="1"/>
  <c r="V50" i="16"/>
  <c r="V48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E44" i="6" l="1"/>
  <c r="U257" i="16" l="1"/>
  <c r="D10" i="18"/>
  <c r="F10" i="18" s="1"/>
  <c r="D13" i="18"/>
  <c r="F13" i="18" s="1"/>
  <c r="J13" i="18" s="1"/>
  <c r="M13" i="18" s="1"/>
  <c r="U258" i="16"/>
  <c r="D11" i="18"/>
  <c r="F11" i="18" s="1"/>
  <c r="V238" i="16"/>
  <c r="V246" i="16"/>
  <c r="V248" i="16"/>
  <c r="V235" i="16"/>
  <c r="U261" i="16"/>
  <c r="U260" i="16"/>
  <c r="U255" i="16"/>
  <c r="F8" i="18"/>
  <c r="J8" i="18" s="1"/>
  <c r="U254" i="16" l="1"/>
  <c r="J11" i="18"/>
  <c r="M11" i="18"/>
  <c r="N13" i="18"/>
  <c r="O13" i="18"/>
  <c r="M10" i="18"/>
  <c r="J10" i="18"/>
  <c r="V244" i="16"/>
  <c r="AFR244" i="16"/>
  <c r="V247" i="16"/>
  <c r="U49" i="16"/>
  <c r="V49" i="16"/>
  <c r="AFR245" i="16"/>
  <c r="V245" i="16"/>
  <c r="V252" i="16"/>
  <c r="V251" i="16"/>
  <c r="N10" i="18" l="1"/>
  <c r="O10" i="18"/>
  <c r="O11" i="18"/>
  <c r="N11" i="18"/>
  <c r="V39" i="16"/>
  <c r="V239" i="16"/>
  <c r="V240" i="16"/>
  <c r="AIV11" i="16"/>
  <c r="AIW11" i="16" s="1"/>
  <c r="V20" i="16"/>
  <c r="V40" i="16"/>
  <c r="V19" i="16" l="1"/>
  <c r="E22" i="3"/>
  <c r="F22" i="3" s="1"/>
  <c r="H22" i="3" s="1"/>
  <c r="J22" i="3" s="1"/>
  <c r="E23" i="3"/>
  <c r="F23" i="3" s="1"/>
  <c r="H23" i="3" s="1"/>
  <c r="J23" i="3" s="1"/>
  <c r="V245" i="6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Z245" i="6" s="1"/>
  <c r="E30" i="3"/>
  <c r="F30" i="3" s="1"/>
  <c r="H30" i="3" s="1"/>
  <c r="J30" i="3" s="1"/>
  <c r="AC245" i="6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AF244" i="6" s="1"/>
  <c r="AF245" i="6" s="1"/>
  <c r="E34" i="3"/>
  <c r="F34" i="3" s="1"/>
  <c r="H34" i="3" s="1"/>
  <c r="J34" i="3" s="1"/>
  <c r="AG244" i="6" s="1"/>
  <c r="AG245" i="6" s="1"/>
  <c r="E35" i="3"/>
  <c r="F35" i="3" s="1"/>
  <c r="H35" i="3" s="1"/>
  <c r="J35" i="3" s="1"/>
  <c r="AH244" i="6" s="1"/>
  <c r="AH245" i="6" s="1"/>
  <c r="E36" i="3"/>
  <c r="F36" i="3" s="1"/>
  <c r="H36" i="3" s="1"/>
  <c r="J36" i="3" s="1"/>
  <c r="AI244" i="6" s="1"/>
  <c r="AI245" i="6" s="1"/>
  <c r="X245" i="6" l="1"/>
  <c r="X243" i="6"/>
  <c r="AM243" i="6"/>
  <c r="Y245" i="6"/>
  <c r="AX20" i="16"/>
  <c r="AX19" i="16" s="1"/>
  <c r="V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E19" i="3"/>
  <c r="H19" i="3" s="1"/>
  <c r="J19" i="3" s="1"/>
  <c r="E17" i="3"/>
  <c r="F17" i="3" s="1"/>
  <c r="H17" i="3" s="1"/>
  <c r="E16" i="3"/>
  <c r="F16" i="3" s="1"/>
  <c r="H16" i="3" s="1"/>
  <c r="O245" i="6" s="1"/>
  <c r="E15" i="3"/>
  <c r="F15" i="3" s="1"/>
  <c r="H15" i="3" s="1"/>
  <c r="F14" i="3"/>
  <c r="H14" i="3" s="1"/>
  <c r="E13" i="3"/>
  <c r="F13" i="3" s="1"/>
  <c r="H13" i="3" s="1"/>
  <c r="L245" i="6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N245" i="6"/>
  <c r="I245" i="6"/>
  <c r="H244" i="6"/>
  <c r="H245" i="6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Q231" i="16" l="1"/>
  <c r="T231" i="16" s="1"/>
  <c r="J245" i="6"/>
  <c r="AM245" i="6" s="1"/>
  <c r="Q233" i="16" s="1"/>
  <c r="G14" i="33"/>
  <c r="H14" i="33" s="1"/>
  <c r="I14" i="32"/>
  <c r="AM244" i="6"/>
  <c r="G45" i="3"/>
  <c r="C44" i="3"/>
  <c r="C46" i="3" s="1"/>
  <c r="C48" i="3" s="1"/>
  <c r="C50" i="3" s="1"/>
  <c r="F44" i="3"/>
  <c r="F46" i="3" s="1"/>
  <c r="H39" i="3"/>
  <c r="H41" i="3" s="1"/>
  <c r="H38" i="3"/>
  <c r="I16" i="32" l="1"/>
  <c r="J16" i="32" s="1"/>
  <c r="K14" i="32"/>
  <c r="J14" i="32"/>
  <c r="Q232" i="16"/>
  <c r="G13" i="33"/>
  <c r="T232" i="16"/>
  <c r="T233" i="16" s="1"/>
  <c r="I15" i="32"/>
  <c r="V231" i="16"/>
  <c r="J39" i="3"/>
  <c r="J41" i="3" s="1"/>
  <c r="J38" i="3"/>
  <c r="M38" i="3"/>
  <c r="K15" i="32" l="1"/>
  <c r="K16" i="32" s="1"/>
  <c r="J15" i="32"/>
  <c r="K38" i="3"/>
  <c r="N38" i="3"/>
  <c r="V232" i="16" l="1"/>
  <c r="V233" i="16"/>
  <c r="I84" i="6" l="1"/>
  <c r="I85" i="6" s="1"/>
  <c r="I250" i="6"/>
  <c r="I83" i="6"/>
  <c r="I273" i="6"/>
  <c r="I59" i="6"/>
  <c r="I60" i="6"/>
  <c r="I275" i="6"/>
  <c r="I260" i="6"/>
  <c r="I8" i="6"/>
  <c r="I11" i="6"/>
  <c r="AM83" i="6" l="1"/>
  <c r="Q9" i="16"/>
  <c r="AM260" i="6"/>
  <c r="AM250" i="6"/>
  <c r="AM248" i="6" s="1"/>
  <c r="D17" i="17"/>
  <c r="G6" i="33"/>
  <c r="AM10" i="6"/>
  <c r="N3" i="17" s="1"/>
  <c r="F14" i="17" s="1"/>
  <c r="J14" i="17" s="1"/>
  <c r="M14" i="17" s="1"/>
  <c r="Q11" i="16"/>
  <c r="AM275" i="6"/>
  <c r="D20" i="17" s="1"/>
  <c r="AM11" i="6"/>
  <c r="I75" i="6"/>
  <c r="Q12" i="16"/>
  <c r="T12" i="16" s="1"/>
  <c r="AN10" i="6"/>
  <c r="AM273" i="6"/>
  <c r="D19" i="17" s="1"/>
  <c r="AM60" i="6"/>
  <c r="Q57" i="16" l="1"/>
  <c r="T11" i="16"/>
  <c r="G32" i="33"/>
  <c r="H32" i="33" s="1"/>
  <c r="G27" i="33"/>
  <c r="H27" i="33" s="1"/>
  <c r="G30" i="33"/>
  <c r="H30" i="33" s="1"/>
  <c r="G38" i="33"/>
  <c r="H38" i="33" s="1"/>
  <c r="G37" i="33"/>
  <c r="H37" i="33" s="1"/>
  <c r="G28" i="33"/>
  <c r="H28" i="33" s="1"/>
  <c r="G34" i="33"/>
  <c r="H34" i="33" s="1"/>
  <c r="G26" i="33"/>
  <c r="H26" i="33" s="1"/>
  <c r="G33" i="33"/>
  <c r="H33" i="33" s="1"/>
  <c r="G31" i="33"/>
  <c r="H31" i="33" s="1"/>
  <c r="G36" i="33"/>
  <c r="H36" i="33" s="1"/>
  <c r="Q74" i="16"/>
  <c r="FN74" i="16" s="1"/>
  <c r="AM75" i="6"/>
  <c r="F12" i="31"/>
  <c r="D9" i="17"/>
  <c r="F9" i="17" s="1"/>
  <c r="J9" i="17" s="1"/>
  <c r="M9" i="17" s="1"/>
  <c r="H6" i="33"/>
  <c r="I3" i="24"/>
  <c r="I5" i="24" s="1"/>
  <c r="H15" i="24" s="1"/>
  <c r="I3" i="19"/>
  <c r="I5" i="19" s="1"/>
  <c r="H13" i="19" s="1"/>
  <c r="F21" i="17"/>
  <c r="M21" i="17" s="1"/>
  <c r="F19" i="17"/>
  <c r="M19" i="17" s="1"/>
  <c r="G39" i="33"/>
  <c r="H39" i="33" s="1"/>
  <c r="F17" i="17"/>
  <c r="J17" i="17" s="1"/>
  <c r="F20" i="17"/>
  <c r="M20" i="17" s="1"/>
  <c r="Q10" i="16"/>
  <c r="T10" i="16" s="1"/>
  <c r="Q56" i="16"/>
  <c r="F13" i="17"/>
  <c r="J13" i="17" s="1"/>
  <c r="M13" i="17" s="1"/>
  <c r="N5" i="17"/>
  <c r="O14" i="17" s="1"/>
  <c r="I3" i="22"/>
  <c r="I5" i="22" s="1"/>
  <c r="K3" i="23"/>
  <c r="K5" i="23" s="1"/>
  <c r="K3" i="21"/>
  <c r="K5" i="21" s="1"/>
  <c r="D23" i="17"/>
  <c r="F23" i="17" s="1"/>
  <c r="J23" i="17" s="1"/>
  <c r="M23" i="17" s="1"/>
  <c r="AO258" i="6"/>
  <c r="G67" i="31"/>
  <c r="AM85" i="6"/>
  <c r="Q75" i="16"/>
  <c r="E4" i="26"/>
  <c r="H15" i="26" s="1"/>
  <c r="K16" i="17" s="1"/>
  <c r="D16" i="17"/>
  <c r="F16" i="17" s="1"/>
  <c r="J16" i="17" s="1"/>
  <c r="D12" i="17"/>
  <c r="F12" i="17" s="1"/>
  <c r="J12" i="17" s="1"/>
  <c r="M12" i="17" s="1"/>
  <c r="G29" i="33" l="1"/>
  <c r="H29" i="33" s="1"/>
  <c r="H13" i="33"/>
  <c r="F11" i="31"/>
  <c r="F61" i="31"/>
  <c r="I12" i="24"/>
  <c r="J21" i="17"/>
  <c r="I11" i="24"/>
  <c r="H14" i="24"/>
  <c r="H9" i="24"/>
  <c r="H11" i="24"/>
  <c r="H12" i="24"/>
  <c r="H13" i="24"/>
  <c r="I9" i="24"/>
  <c r="H10" i="24"/>
  <c r="I15" i="24"/>
  <c r="J19" i="17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35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10" i="17"/>
  <c r="N26" i="17"/>
  <c r="O40" i="17"/>
  <c r="N47" i="17"/>
  <c r="N33" i="17"/>
  <c r="O43" i="17"/>
  <c r="O42" i="17"/>
  <c r="O24" i="17"/>
  <c r="N13" i="17"/>
  <c r="O13" i="17"/>
  <c r="N9" i="17"/>
  <c r="T57" i="16"/>
  <c r="AX11" i="16"/>
  <c r="T74" i="16"/>
  <c r="AX74" i="16" s="1"/>
  <c r="T56" i="16"/>
  <c r="V11" i="16"/>
  <c r="V74" i="16" s="1"/>
  <c r="T70" i="16"/>
  <c r="AX70" i="16" s="1"/>
  <c r="T75" i="16"/>
  <c r="V75" i="16" s="1"/>
  <c r="OO15" i="16"/>
  <c r="OO17" i="16" s="1"/>
  <c r="AIV8" i="16"/>
  <c r="AIW8" i="16" s="1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D8" i="17"/>
  <c r="F8" i="17" s="1"/>
  <c r="J8" i="17" s="1"/>
  <c r="M8" i="17" s="1"/>
  <c r="Q70" i="16"/>
  <c r="O19" i="17"/>
  <c r="N19" i="17"/>
  <c r="G61" i="31"/>
  <c r="O12" i="17"/>
  <c r="N12" i="17"/>
  <c r="O23" i="17"/>
  <c r="N23" i="17"/>
  <c r="N21" i="17"/>
  <c r="O21" i="17"/>
  <c r="M16" i="17"/>
  <c r="K17" i="17"/>
  <c r="M17" i="17" s="1"/>
  <c r="K8" i="18"/>
  <c r="M8" i="18" s="1"/>
  <c r="G11" i="31" l="1"/>
  <c r="F47" i="31"/>
  <c r="H20" i="24"/>
  <c r="I20" i="24"/>
  <c r="H26" i="19"/>
  <c r="I26" i="19"/>
  <c r="K9" i="23"/>
  <c r="O20" i="17"/>
  <c r="N20" i="17"/>
  <c r="F15" i="21"/>
  <c r="I15" i="21" s="1"/>
  <c r="F18" i="21"/>
  <c r="I8" i="21"/>
  <c r="OO20" i="16"/>
  <c r="OO18" i="16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F48" i="31"/>
  <c r="G48" i="31" s="1"/>
  <c r="N17" i="17"/>
  <c r="O17" i="17"/>
  <c r="M48" i="17"/>
  <c r="G11" i="19" s="1"/>
  <c r="N8" i="17"/>
  <c r="O8" i="17"/>
  <c r="G47" i="31" l="1"/>
  <c r="J52" i="31"/>
  <c r="O48" i="17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J53" i="31" l="1"/>
  <c r="J54" i="31"/>
  <c r="I14" i="19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14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9" authorId="0" shapeId="0" xr:uid="{C07F26FF-135D-44B9-AE25-725E4164D6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COM PMG 2 JAM 15.00 FEED CPO</t>
        </r>
      </text>
    </comment>
    <comment ref="K9" authorId="0" shapeId="0" xr:uid="{7076E002-899F-4026-99AE-90CA9CD8D5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TUNE UP SYSTEM </t>
        </r>
      </text>
    </comment>
    <comment ref="M9" authorId="0" shapeId="0" xr:uid="{69FC4EE7-3F52-4D6F-90AC-6348874723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
</t>
        </r>
      </text>
    </comment>
    <comment ref="O9" authorId="0" shapeId="0" xr:uid="{4486FF75-0371-4951-88A7-F05E3F360C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
plant tidak ada stop continue proses sehingga sounding tanpa sirkulasi </t>
        </r>
      </text>
    </comment>
    <comment ref="AD9" authorId="0" shapeId="0" xr:uid="{A233EF70-840B-4ECB-9611-BB8A42436C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set brand IV60 3 CR</t>
        </r>
      </text>
    </comment>
    <comment ref="M19" authorId="0" shapeId="0" xr:uid="{55D4443A-D75E-4F1A-8F91-1E9299F770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</t>
        </r>
      </text>
    </comment>
    <comment ref="O19" authorId="0" shapeId="0" xr:uid="{7BC7877B-0079-4E01-9C5D-78A538D725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</t>
        </r>
      </text>
    </comment>
    <comment ref="W19" authorId="0" shapeId="0" xr:uid="{57E40049-3583-41DC-B637-3058C07966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peformance test refinery start jam 21.00 wib
</t>
        </r>
      </text>
    </comment>
    <comment ref="X19" authorId="0" shapeId="0" xr:uid="{39DEB917-7611-4289-B343-F9E4FC8327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peformance test refinery ke 2</t>
        </r>
      </text>
    </comment>
    <comment ref="Y19" authorId="0" shapeId="0" xr:uid="{45EEBEC3-B98B-4552-965E-16C60C9F43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peformance test refinery ke 3</t>
        </r>
      </text>
    </comment>
    <comment ref="AD19" authorId="0" shapeId="0" xr:uid="{6CDA1421-9573-4A6E-A48F-C83066A417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pengurangan level dan pengosongan </t>
        </r>
      </text>
    </comment>
    <comment ref="AE19" authorId="0" shapeId="0" xr:uid="{F33D8C25-D845-45AE-926C-9FA460371F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cooling down dan pengosongan </t>
        </r>
      </text>
    </comment>
    <comment ref="AF19" authorId="0" shapeId="0" xr:uid="{A93C995A-3E1A-4D59-8F0A-583703858E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pengosongan plant ke Tk 109 : 54.158 selebihnya ke fract </t>
        </r>
      </text>
    </comment>
    <comment ref="M20" authorId="0" shapeId="0" xr:uid="{56BAD742-9F43-4EFA-A9F2-35ACBCF19F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
</t>
        </r>
      </text>
    </comment>
    <comment ref="N20" authorId="0" shapeId="0" xr:uid="{DFC78780-84AD-4AAE-96D4-9FB62C0DEA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</t>
        </r>
      </text>
    </comment>
    <comment ref="O20" authorId="0" shapeId="0" xr:uid="{5034B420-A470-4C1D-87D1-F5B56316E3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</t>
        </r>
      </text>
    </comment>
    <comment ref="P20" authorId="0" shapeId="0" xr:uid="{3AAE8B70-5297-478E-98A3-4B04E1E7C3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 flow meter</t>
        </r>
      </text>
    </comment>
    <comment ref="N24" authorId="0" shapeId="0" xr:uid="{237A8DB8-C115-4654-AEC3-5C7703F08F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feed awal tanggal 8/12/24 jam 11.30 wib</t>
        </r>
      </text>
    </comment>
    <comment ref="O24" authorId="0" shapeId="0" xr:uid="{2CAD8C42-CF08-4708-A8D6-B9F1885AAA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meter</t>
        </r>
      </text>
    </comment>
    <comment ref="W32" authorId="0" shapeId="0" xr:uid="{8A15C3B5-9A52-4923-8A10-A90C2FB1F3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peformance test fraksinasi start jam 07.00 wib IV 56 ke tk 111</t>
        </r>
      </text>
    </comment>
    <comment ref="X32" authorId="0" shapeId="0" xr:uid="{00EAFD10-1A7C-44E7-9623-64A41AD727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peformance test fraksinasi ke 2 ke tk 110 
</t>
        </r>
      </text>
    </comment>
    <comment ref="Y45" authorId="0" shapeId="0" xr:uid="{B5D2DDBE-5149-4FC4-8BD9-B59EF7761B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PEFORMA TEST IV 60 = 286 TON START JAM 24.00 WIB SELEBIHNYA IV56</t>
        </r>
      </text>
    </comment>
    <comment ref="Z45" authorId="0" shapeId="0" xr:uid="{F711F633-6454-415A-8DE9-3A9620D147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IV60</t>
        </r>
      </text>
    </comment>
    <comment ref="AA45" authorId="0" shapeId="0" xr:uid="{C1C95252-CA0F-4E37-AE17-AB42306580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IV60
</t>
        </r>
      </text>
    </comment>
    <comment ref="AB45" authorId="0" shapeId="0" xr:uid="{72F316F1-7C29-4647-BAB6-909CAB1384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IV 60 : 304,7 selebihnya IV 58
</t>
        </r>
      </text>
    </comment>
    <comment ref="AC45" authorId="0" shapeId="0" xr:uid="{F024D935-6A50-431D-9521-1CAC1F1C29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IV60 = 350,3 ton selebihnya IV 58 
</t>
        </r>
      </text>
    </comment>
    <comment ref="I74" authorId="0" shapeId="0" xr:uid="{15F54424-DB50-4B02-8F63-B0A453D376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Tabur be ke Leaf 3 bag persiapan com </t>
        </r>
      </text>
    </comment>
    <comment ref="AD74" authorId="0" shapeId="0" xr:uid="{BB855DBD-F6CE-4936-B371-D1DAC21E7F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brand 3 cr</t>
        </r>
      </text>
    </comment>
    <comment ref="W277" authorId="0" shapeId="0" xr:uid="{CB953223-5B74-4837-AC0A-C4604D6767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
</t>
        </r>
      </text>
    </comment>
    <comment ref="X277" authorId="0" shapeId="0" xr:uid="{D2518C37-F9CB-47E6-A881-36647BD8FD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</t>
        </r>
      </text>
    </comment>
    <comment ref="Y277" authorId="0" shapeId="0" xr:uid="{146BA5C8-DA04-41F9-A978-F1FF9FE1C3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</t>
        </r>
      </text>
    </comment>
    <comment ref="Z277" authorId="0" shapeId="0" xr:uid="{4A7C7854-DC99-49E3-8E39-DC81DEE800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</t>
        </r>
      </text>
    </comment>
    <comment ref="AA277" authorId="0" shapeId="0" xr:uid="{133FE5C1-7B4F-4A18-9A66-43888A4AA0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</t>
        </r>
      </text>
    </comment>
    <comment ref="AB277" authorId="0" shapeId="0" xr:uid="{465781DE-9D52-496A-B518-BF6204796B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</t>
        </r>
      </text>
    </comment>
    <comment ref="AC277" authorId="0" shapeId="0" xr:uid="{EF387624-E4DC-400C-A9C3-8D539A2B61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unit
</t>
        </r>
      </text>
    </comment>
    <comment ref="AD277" authorId="0" shapeId="0" xr:uid="{1FE12565-CBD8-4B3A-8EF3-4B1A848F49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unit
</t>
        </r>
      </text>
    </comment>
    <comment ref="AE277" authorId="0" shapeId="0" xr:uid="{E2C2B9BC-739F-4C1E-8656-6F6529FC74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unit
</t>
        </r>
      </text>
    </comment>
    <comment ref="AF277" authorId="0" shapeId="0" xr:uid="{93ABA27B-0B88-4C5C-8558-2893AD7F87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unit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14" authorId="0" shapeId="0" xr:uid="{63E50B35-0CEC-44FB-BA06-9C3BA379B0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U15" authorId="0" shapeId="0" xr:uid="{9BD72B91-F5D1-429A-8350-F9F897A60E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  <comment ref="U17" authorId="0" shapeId="0" xr:uid="{306EED20-CB62-4A66-88DD-572B0CEDEF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level transmitter
</t>
        </r>
      </text>
    </comment>
    <comment ref="W17" authorId="0" shapeId="0" xr:uid="{572F370A-3C87-420C-8F3E-1D767EAC1E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level transmitter</t>
        </r>
      </text>
    </comment>
    <comment ref="T18" authorId="0" shapeId="0" xr:uid="{4532E876-4D9E-4FE6-9172-CF609CACEA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level transmitter
</t>
        </r>
      </text>
    </comment>
    <comment ref="V18" authorId="0" shapeId="0" xr:uid="{3569C29B-755F-42C7-9BD9-B6A9DA1E19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level transmitter</t>
        </r>
      </text>
    </comment>
    <comment ref="U19" authorId="0" shapeId="0" xr:uid="{AC47FAB2-0A4E-4186-A667-95A5160FA8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
</t>
        </r>
      </text>
    </comment>
    <comment ref="W19" authorId="0" shapeId="0" xr:uid="{6E088FEB-7EAB-4CD5-858D-6E1451C6B5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
</t>
        </r>
      </text>
    </comment>
    <comment ref="U20" authorId="0" shapeId="0" xr:uid="{A9115544-39B2-47BC-9F0B-591ED140F9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0" authorId="0" shapeId="0" xr:uid="{F101AAF1-570E-45FF-A8EE-6F321B3479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</t>
        </r>
      </text>
    </comment>
    <comment ref="U21" authorId="0" shapeId="0" xr:uid="{69E91E45-EE28-4E45-AF44-0623C4195D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1" authorId="0" shapeId="0" xr:uid="{E63EF268-9EA5-4E09-BE2C-E8B0863601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2" authorId="0" shapeId="0" xr:uid="{0059D097-9151-4A7A-A594-08EE877884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2" authorId="0" shapeId="0" xr:uid="{3DC51B04-0D3E-4336-92DF-24F56D2FB2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3" authorId="0" shapeId="0" xr:uid="{00D2A5E7-DBA8-4DE6-AEE1-A74929DCB5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3" authorId="0" shapeId="0" xr:uid="{A26D101B-AC1B-40E8-9D20-450BBC3102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4" authorId="0" shapeId="0" xr:uid="{1BA7EB28-91B1-4C55-B9B5-4E13E2A116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4" authorId="0" shapeId="0" xr:uid="{8D6B310F-5FC9-4D7B-A645-8B10C5C90F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5" authorId="0" shapeId="0" xr:uid="{53DF3D94-AC59-499E-B4C0-277563B489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5" authorId="0" shapeId="0" xr:uid="{EF73C451-E74E-449E-93C0-C8290E6D10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6" authorId="0" shapeId="0" xr:uid="{36B23DEC-7819-49C5-9F37-A2EA43E8C8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6" authorId="0" shapeId="0" xr:uid="{D74143D3-301C-4ED9-8BBB-7E9C8B143D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U27" authorId="0" shapeId="0" xr:uid="{1C29E63F-2E04-4F33-B3E3-B95B529888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  <comment ref="W27" authorId="0" shapeId="0" xr:uid="{5F9EC8A7-FF27-4B6A-83F2-A3C077B605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flowmeter
</t>
        </r>
      </text>
    </comment>
  </commentList>
</comments>
</file>

<file path=xl/sharedStrings.xml><?xml version="1.0" encoding="utf-8"?>
<sst xmlns="http://schemas.openxmlformats.org/spreadsheetml/2006/main" count="3842" uniqueCount="1124">
  <si>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</si>
  <si>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</si>
  <si>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</si>
  <si>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</si>
  <si>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</si>
  <si>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</si>
  <si>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</si>
  <si>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</si>
  <si>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</si>
  <si>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</si>
  <si>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</si>
  <si>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</si>
  <si>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</si>
  <si>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</si>
  <si>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</si>
  <si>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</si>
  <si>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</si>
  <si>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</si>
  <si>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</si>
  <si>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</si>
  <si>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</si>
  <si>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</si>
  <si>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</si>
  <si>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</si>
  <si>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</si>
  <si>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</si>
  <si>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</si>
  <si>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</si>
  <si>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</si>
  <si>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</si>
  <si>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</si>
  <si>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</si>
  <si>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</si>
  <si>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</si>
  <si>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</si>
  <si>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</si>
  <si>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</si>
  <si>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</si>
  <si>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</si>
  <si>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</si>
  <si>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</si>
  <si>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</si>
  <si>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</si>
  <si>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</si>
  <si>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</si>
  <si>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</si>
  <si>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</si>
  <si>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</si>
  <si>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</si>
  <si>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</si>
  <si>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</si>
  <si>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</si>
  <si>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</si>
  <si>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</si>
  <si>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</si>
  <si>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</si>
  <si>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</si>
  <si>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</si>
  <si>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</si>
  <si>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</si>
  <si>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</si>
  <si>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</si>
  <si>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</si>
  <si>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</si>
  <si>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</si>
  <si>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</si>
  <si>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</si>
  <si>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</si>
  <si>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</si>
  <si>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</si>
  <si>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</si>
  <si>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</si>
  <si>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</si>
  <si>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</si>
  <si>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</si>
  <si>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</si>
  <si>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</si>
  <si>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</si>
  <si>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</si>
  <si>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</si>
  <si>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</si>
  <si>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</si>
  <si>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</si>
  <si>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</si>
  <si>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</si>
  <si>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</si>
  <si>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</si>
  <si>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</si>
  <si>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</si>
  <si>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</si>
  <si>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</si>
  <si>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</si>
  <si>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</si>
  <si>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</si>
  <si>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</si>
  <si>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</si>
  <si>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</si>
  <si>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</si>
  <si>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</si>
  <si>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</si>
  <si>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</si>
  <si>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</si>
  <si>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</si>
  <si>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</si>
  <si>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</si>
  <si>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</si>
  <si>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</si>
  <si>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</si>
  <si>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</si>
  <si>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</si>
  <si>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</si>
  <si>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</si>
  <si>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</si>
  <si>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</si>
  <si>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</si>
  <si>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</si>
  <si>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</si>
  <si>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</si>
  <si>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</si>
  <si>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</si>
  <si>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</si>
  <si>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</si>
  <si>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</si>
  <si>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</si>
  <si>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</si>
  <si>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</si>
  <si>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</si>
  <si>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</si>
  <si>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</si>
  <si>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</si>
  <si>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</si>
  <si>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</si>
  <si>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</si>
  <si>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</si>
  <si>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</si>
  <si>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</si>
  <si>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</si>
  <si>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</si>
  <si>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</si>
  <si>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</si>
  <si>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</si>
  <si>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</si>
  <si>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</si>
  <si>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</si>
  <si>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</si>
  <si>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</si>
  <si>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</si>
  <si>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</si>
  <si>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</si>
  <si>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</si>
  <si>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</si>
  <si>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</si>
  <si>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</si>
  <si>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</si>
  <si>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</si>
  <si>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</si>
  <si>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</si>
  <si>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</si>
  <si>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</si>
  <si>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</si>
  <si>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</si>
  <si>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</si>
  <si>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</si>
  <si>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</si>
  <si>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</si>
  <si>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</si>
  <si>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</si>
  <si>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</si>
  <si>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</si>
  <si>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</si>
  <si>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</si>
  <si>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</si>
  <si>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</si>
  <si>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</si>
  <si>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</si>
  <si>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</si>
  <si>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</si>
  <si>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</si>
  <si>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</si>
  <si>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</si>
  <si>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</si>
  <si>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</si>
  <si>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</si>
  <si>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</si>
  <si>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</si>
  <si>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</si>
  <si>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</si>
  <si>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</si>
  <si>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</si>
  <si>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</si>
  <si>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</si>
  <si>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</si>
  <si>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</si>
  <si>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</si>
  <si>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</si>
  <si>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</si>
  <si>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</si>
  <si>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</si>
  <si>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</si>
  <si>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</si>
  <si>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</si>
  <si>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</si>
  <si>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</si>
  <si>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</si>
  <si>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</si>
  <si>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</si>
  <si>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</si>
  <si>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</si>
  <si>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</si>
  <si>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</si>
  <si>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</si>
  <si>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</si>
  <si>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</si>
  <si>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</si>
  <si>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</si>
  <si>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</si>
  <si>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</si>
  <si>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</si>
  <si>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</si>
  <si>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</si>
  <si>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</si>
  <si>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</si>
  <si>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</si>
  <si>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</si>
  <si>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</si>
  <si>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</si>
  <si>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</si>
  <si>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</si>
  <si>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</si>
  <si>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</si>
  <si>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</si>
  <si>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</si>
  <si>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</si>
  <si>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</si>
  <si>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</si>
  <si>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</si>
  <si>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</si>
  <si>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</si>
  <si>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</si>
  <si>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</si>
  <si>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</si>
  <si>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</si>
  <si>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</si>
  <si>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</si>
  <si>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</si>
  <si>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</si>
  <si>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</si>
  <si>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</si>
  <si>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</si>
  <si>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</si>
  <si>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</si>
  <si>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</si>
  <si>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</si>
  <si>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</si>
  <si>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</si>
  <si>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</si>
  <si>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</si>
  <si>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</si>
  <si>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</si>
  <si>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</si>
  <si>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</si>
  <si>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</si>
  <si>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</si>
  <si>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</si>
  <si>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</si>
  <si>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</si>
  <si>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</si>
  <si>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</si>
  <si>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</si>
  <si>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</si>
  <si>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</si>
  <si>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</si>
  <si>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</si>
  <si>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</si>
  <si>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</si>
  <si>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</si>
  <si>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</si>
  <si>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</si>
  <si>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</si>
  <si>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</si>
  <si>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</si>
  <si>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</si>
  <si>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</si>
  <si>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</si>
  <si>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</si>
  <si>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</si>
  <si>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</si>
  <si>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</si>
  <si>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</si>
  <si>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</si>
  <si>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</si>
  <si>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</si>
  <si>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</si>
  <si>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</si>
  <si>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</si>
  <si>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</si>
  <si>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</si>
  <si>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PRODUCTION REPORT 2024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</si>
  <si>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</si>
  <si>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</si>
  <si>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</si>
  <si>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</si>
  <si>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</si>
  <si>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</si>
  <si>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</si>
  <si>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</si>
  <si>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</si>
  <si>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</si>
  <si>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</si>
  <si>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</si>
  <si>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</si>
  <si>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</si>
  <si>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</si>
  <si>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</si>
  <si>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</si>
  <si>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</si>
  <si>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</si>
  <si>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</si>
  <si>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</si>
  <si>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</si>
  <si>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</si>
  <si>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</si>
  <si>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</si>
  <si>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</si>
  <si>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</si>
  <si>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</si>
  <si>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</si>
  <si>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</si>
  <si>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</si>
  <si>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</si>
  <si>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</si>
  <si>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</si>
  <si>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</si>
  <si>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</si>
  <si>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</si>
  <si>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</si>
  <si>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</si>
  <si>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</si>
  <si>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</si>
  <si>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</si>
  <si>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</si>
  <si>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</si>
  <si>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</si>
  <si>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</si>
  <si>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</si>
  <si>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</si>
  <si>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</si>
  <si>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</si>
  <si>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</si>
  <si>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</si>
  <si>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</si>
  <si>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</si>
  <si>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</si>
  <si>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</si>
  <si>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</si>
  <si>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</si>
  <si>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</si>
  <si>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</si>
  <si>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</si>
  <si>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</si>
  <si>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</si>
  <si>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</si>
  <si>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</si>
  <si>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</si>
  <si>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</si>
  <si>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</si>
  <si>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</si>
  <si>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</si>
  <si>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</si>
  <si>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</si>
  <si>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</si>
  <si>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</si>
  <si>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</si>
  <si>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</si>
  <si>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</si>
  <si>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</si>
  <si>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</si>
  <si>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</si>
  <si>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</si>
  <si>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</si>
  <si>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</si>
  <si>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</si>
  <si>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</si>
  <si>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</si>
  <si>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</si>
  <si>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</si>
  <si>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</si>
  <si>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</si>
  <si>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</si>
  <si>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</si>
  <si>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</si>
  <si>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</si>
  <si>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</si>
  <si>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</si>
  <si>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</si>
  <si>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</si>
  <si>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</si>
  <si>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</si>
  <si>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</si>
  <si>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</si>
  <si>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</si>
  <si>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</si>
  <si>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</si>
  <si>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</si>
  <si>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</si>
  <si>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</si>
  <si>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</si>
  <si>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</si>
  <si>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</si>
  <si>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</si>
  <si>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</si>
  <si>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</si>
  <si>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</si>
  <si>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</si>
  <si>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</si>
  <si>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</si>
  <si>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</si>
  <si>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</si>
  <si>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</si>
  <si>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</si>
  <si>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</si>
  <si>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</si>
  <si>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</si>
  <si>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</si>
  <si>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</si>
  <si>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</si>
  <si>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</si>
  <si>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</si>
  <si>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</si>
  <si>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</si>
  <si>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</si>
  <si>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</si>
  <si>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</si>
  <si>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</si>
  <si>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</si>
  <si>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</si>
  <si>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</si>
  <si>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</si>
  <si>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</si>
  <si>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</si>
  <si>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</si>
  <si>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</si>
  <si>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</si>
  <si>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</si>
  <si>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</si>
  <si>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</si>
  <si>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</si>
  <si>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</si>
  <si>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</si>
  <si>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</si>
  <si>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</si>
  <si>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</si>
  <si>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</si>
  <si>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</si>
  <si>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</si>
  <si>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</si>
  <si>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</si>
  <si>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</si>
  <si>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</si>
  <si>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</si>
  <si>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</si>
  <si>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</si>
  <si>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</si>
  <si>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</si>
  <si>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</si>
  <si>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</si>
  <si>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</si>
  <si>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</si>
  <si>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</si>
  <si>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</si>
  <si>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</si>
  <si>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</si>
  <si>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</si>
  <si>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</si>
  <si>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</si>
  <si>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</si>
  <si>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</si>
  <si>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</si>
  <si>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</si>
  <si>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</si>
  <si>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</si>
  <si>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</si>
  <si>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</si>
  <si>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</si>
  <si>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</si>
  <si>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</si>
  <si>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</si>
  <si>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</si>
  <si>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</si>
  <si>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</si>
  <si>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</si>
  <si>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</si>
  <si>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</si>
  <si>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</si>
  <si>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</si>
  <si>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</si>
  <si>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</si>
  <si>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</si>
  <si>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</si>
  <si>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</si>
  <si>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</si>
  <si>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</si>
  <si>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</si>
  <si>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</si>
  <si>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</si>
  <si>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</si>
  <si>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</si>
  <si>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</si>
  <si>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</si>
  <si>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</si>
  <si>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</si>
  <si>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</si>
  <si>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</si>
  <si>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</si>
  <si>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</si>
  <si>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</si>
  <si>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</si>
  <si>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</si>
  <si>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</si>
  <si>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</si>
  <si>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</si>
  <si>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</si>
  <si>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</si>
  <si>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</si>
  <si>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</si>
  <si>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</si>
  <si>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</si>
  <si>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</si>
  <si>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</si>
  <si>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</si>
  <si>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</si>
  <si>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</si>
  <si>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</si>
  <si>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</si>
  <si>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</si>
  <si>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</si>
  <si>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</si>
  <si>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</si>
  <si>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</si>
  <si>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</si>
  <si>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</si>
  <si>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</si>
  <si>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</si>
  <si>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</si>
  <si>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</si>
  <si>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</si>
  <si>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</si>
  <si>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</si>
  <si>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</si>
  <si>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</si>
  <si>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</si>
  <si>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</si>
  <si>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</si>
  <si>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</si>
  <si>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</si>
  <si>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</si>
  <si>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</si>
  <si>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</si>
  <si>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</si>
  <si>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</si>
  <si>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</si>
  <si>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</si>
  <si>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</si>
  <si>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</si>
  <si>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</si>
  <si>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</si>
  <si>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</si>
  <si>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</si>
  <si>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</si>
  <si>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</si>
  <si>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</si>
  <si>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</si>
  <si>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</si>
  <si>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</si>
  <si>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</si>
  <si>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</si>
  <si>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</si>
  <si>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</si>
  <si>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</si>
  <si>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</si>
  <si>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</si>
  <si>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</si>
  <si>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</si>
  <si>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</si>
  <si>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</si>
  <si>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</si>
  <si>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</si>
  <si>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</si>
  <si>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</si>
  <si>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</si>
  <si>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</si>
  <si>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</si>
  <si>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</si>
  <si>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</si>
  <si>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</si>
  <si>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</si>
  <si>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</si>
  <si>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</si>
  <si>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</si>
  <si>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</si>
  <si>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</si>
  <si>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</si>
  <si>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</si>
  <si>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</si>
  <si>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</si>
  <si>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</si>
  <si>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</si>
  <si>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</si>
  <si>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</si>
  <si>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</si>
  <si>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</si>
  <si>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</si>
  <si>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</si>
  <si>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</si>
  <si>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</si>
  <si>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</si>
  <si>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</si>
  <si>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</si>
  <si>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</si>
  <si>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</si>
  <si>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</si>
  <si>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</si>
  <si>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</si>
  <si>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</si>
  <si>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</si>
  <si>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</si>
  <si>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</si>
  <si>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</si>
  <si>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</si>
  <si>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</si>
  <si>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</si>
  <si>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</si>
  <si>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</si>
  <si>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</si>
  <si>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</si>
  <si>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</si>
  <si>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</si>
  <si>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</si>
  <si>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</si>
  <si>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</si>
  <si>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</si>
  <si>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</si>
  <si>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</si>
  <si>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</si>
  <si>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</si>
  <si>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</si>
  <si>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</si>
  <si>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</si>
  <si>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</si>
  <si>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</si>
  <si>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</si>
  <si>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</si>
  <si>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</si>
  <si>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</si>
  <si>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</si>
  <si>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</si>
  <si>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</si>
  <si>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</si>
  <si>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</si>
  <si>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</si>
  <si>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</si>
  <si>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</si>
  <si>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</si>
  <si>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</si>
  <si>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</si>
  <si>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</si>
  <si>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</si>
  <si>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</si>
  <si>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</si>
  <si>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</si>
  <si>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</si>
  <si>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</si>
  <si>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</si>
  <si>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</si>
  <si>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</si>
  <si>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</si>
  <si>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</si>
  <si>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</si>
  <si>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</si>
  <si>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</si>
  <si>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</si>
  <si>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</si>
  <si>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</si>
  <si>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</si>
  <si>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</si>
  <si>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</si>
  <si>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</si>
  <si>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</si>
  <si>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</si>
  <si>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</si>
  <si>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</si>
  <si>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</si>
  <si>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</si>
  <si>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</si>
  <si>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</si>
  <si>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</si>
  <si>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</si>
  <si>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</si>
  <si>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</si>
  <si>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</si>
  <si>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</si>
  <si>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</si>
  <si>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</si>
  <si>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</si>
  <si>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</si>
  <si>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</si>
  <si>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</si>
  <si>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</si>
  <si>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</si>
  <si>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</si>
  <si>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</si>
  <si>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</si>
  <si>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</si>
  <si>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</si>
  <si>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</si>
  <si>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</si>
  <si>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</si>
  <si>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</si>
  <si>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</si>
  <si>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</si>
  <si>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</si>
  <si>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</si>
  <si>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</si>
  <si>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</si>
  <si>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</si>
  <si>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</si>
  <si>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</si>
  <si>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</si>
  <si>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</si>
  <si>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</si>
  <si>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</si>
  <si>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</si>
  <si>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</si>
  <si>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</si>
  <si>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</si>
  <si>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</si>
  <si>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</si>
  <si>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</si>
  <si>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</si>
  <si>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</si>
  <si>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</si>
  <si>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</si>
  <si>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</si>
  <si>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</si>
  <si>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</si>
  <si>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</si>
  <si>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</si>
  <si>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</si>
  <si>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</si>
  <si>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</si>
  <si>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</si>
  <si>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</si>
  <si>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</si>
  <si>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</si>
  <si>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</si>
  <si>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</si>
  <si>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</si>
  <si>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</si>
  <si>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</si>
  <si>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</si>
  <si>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</si>
  <si>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</si>
  <si>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</si>
  <si>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</si>
  <si>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</si>
  <si>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</si>
  <si>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</si>
  <si>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</si>
  <si>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</si>
  <si>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BE Achieve dengan pemakaian consume Bleaching Earth 7,80 Kg/MT</t>
  </si>
  <si>
    <t>- Untuk hari olah Produksi terpenuhi namun dalam kondisi Slow Flowrate dikarenakan Shortage CPO dan target Shipment yang
   tercapai hanya Olein IV 56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</si>
  <si>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</si>
  <si>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</si>
  <si>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</si>
  <si>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</si>
  <si>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</si>
  <si>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</si>
  <si>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</si>
  <si>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</si>
  <si>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</si>
  <si>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</si>
  <si>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</si>
  <si>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</si>
  <si>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</si>
  <si>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</si>
  <si>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</si>
  <si>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</si>
  <si>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</si>
  <si>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</si>
  <si>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</si>
  <si>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</si>
  <si>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</si>
  <si>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</si>
  <si>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</si>
  <si>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</si>
  <si>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</si>
  <si>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</si>
  <si>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</si>
  <si>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</si>
  <si>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</si>
  <si>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</si>
  <si>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</si>
  <si>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</si>
  <si>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</si>
  <si>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</si>
  <si>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</si>
  <si>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</si>
  <si>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</si>
  <si>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</si>
  <si>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</si>
  <si>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</si>
  <si>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</si>
  <si>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</si>
  <si>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</si>
  <si>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</si>
  <si>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</si>
  <si>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</si>
  <si>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</si>
  <si>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</si>
  <si>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</si>
  <si>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</si>
  <si>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</si>
  <si>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</si>
  <si>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</si>
  <si>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</si>
  <si>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</si>
  <si>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</si>
  <si>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</si>
  <si>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</si>
  <si>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</si>
  <si>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</si>
  <si>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</si>
  <si>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</si>
  <si>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</si>
  <si>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</si>
  <si>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</si>
  <si>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</si>
  <si>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</si>
  <si>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</si>
  <si>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</si>
  <si>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</si>
  <si>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</si>
  <si>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</si>
  <si>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</si>
  <si>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</si>
  <si>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</si>
  <si>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</si>
  <si>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</si>
  <si>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</si>
  <si>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</si>
  <si>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</si>
  <si>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</si>
  <si>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</si>
  <si>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</si>
  <si>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</si>
  <si>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</si>
  <si>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</si>
  <si>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</si>
  <si>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</si>
  <si>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</si>
  <si>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</si>
  <si>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</si>
  <si>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</si>
  <si>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</si>
  <si>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</si>
  <si>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Oil In Plant (OIP) Refinery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</si>
  <si>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</si>
  <si>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</si>
  <si>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</si>
  <si>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</si>
  <si>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</si>
  <si>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</si>
  <si>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</si>
  <si>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</si>
  <si>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</si>
  <si>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</si>
  <si>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</si>
  <si>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</si>
  <si>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</si>
  <si>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</si>
  <si>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</si>
  <si>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</si>
  <si>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</si>
  <si>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</si>
  <si>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</si>
  <si>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</si>
  <si>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</si>
  <si>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</si>
  <si>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</si>
  <si>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</si>
  <si>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</si>
  <si>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</si>
  <si>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</si>
  <si>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</si>
  <si>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</si>
  <si>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</si>
  <si>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</si>
  <si>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</si>
  <si>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</si>
  <si>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 xml:space="preserve">DESEMBER </t>
  </si>
  <si>
    <t>Oil In Plant (OIP) Fraksinasi</t>
  </si>
  <si>
    <t>RBDPO OIP</t>
  </si>
  <si>
    <t>Suhu CR (°C)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</si>
  <si>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</si>
  <si>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</si>
  <si>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</si>
  <si>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</si>
  <si>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</si>
  <si>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</si>
  <si>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</si>
  <si>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</si>
  <si>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</si>
  <si>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</si>
  <si>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</si>
  <si>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</si>
  <si>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</si>
  <si>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</si>
  <si>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</si>
  <si>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</si>
  <si>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</si>
  <si>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</si>
  <si>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</si>
  <si>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</si>
  <si>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</si>
  <si>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</si>
  <si>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</si>
  <si>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</si>
  <si>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</si>
  <si>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</si>
  <si>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</si>
  <si>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</si>
  <si>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</si>
  <si>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</si>
  <si>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</si>
  <si>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</si>
  <si>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</si>
  <si>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</si>
  <si>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2.22</t>
  </si>
  <si>
    <t>TANK</t>
  </si>
  <si>
    <t>Buffer tank  RBDPO</t>
  </si>
  <si>
    <t>TK131</t>
  </si>
  <si>
    <t>TK132</t>
  </si>
  <si>
    <t>Aktual ( Kg )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</si>
  <si>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</si>
  <si>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</si>
  <si>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</si>
  <si>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</si>
  <si>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</si>
  <si>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</si>
  <si>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</si>
  <si>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</si>
  <si>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</si>
  <si>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</si>
  <si>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</si>
  <si>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</si>
  <si>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</si>
  <si>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</si>
  <si>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</si>
  <si>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</si>
  <si>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</si>
  <si>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</si>
  <si>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</si>
  <si>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</si>
  <si>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</si>
  <si>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</si>
  <si>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</si>
  <si>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</si>
  <si>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</si>
  <si>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</si>
  <si>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</si>
  <si>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</si>
  <si>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</si>
  <si>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</si>
  <si>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</si>
  <si>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</si>
  <si>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</si>
  <si>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</si>
  <si>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</si>
  <si>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</si>
  <si>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</si>
  <si>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</si>
  <si>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</si>
  <si>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</si>
  <si>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</si>
  <si>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</si>
  <si>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</si>
  <si>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</si>
  <si>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</si>
  <si>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</si>
  <si>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4.03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</si>
  <si>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</si>
  <si>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</si>
  <si>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</si>
  <si>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</si>
  <si>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</si>
  <si>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</si>
  <si>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</si>
  <si>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</si>
  <si>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</si>
  <si>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</si>
  <si>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</si>
  <si>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</si>
  <si>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</si>
  <si>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</si>
  <si>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</si>
  <si>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</si>
  <si>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</si>
  <si>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</si>
  <si>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</si>
  <si>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</si>
  <si>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</si>
  <si>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</si>
  <si>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</si>
  <si>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</si>
  <si>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</si>
  <si>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</si>
  <si>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</si>
  <si>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</si>
  <si>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</si>
  <si>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</si>
  <si>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</si>
  <si>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</si>
  <si>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</si>
  <si>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</si>
  <si>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</si>
  <si>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</si>
  <si>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</si>
  <si>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</si>
  <si>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</si>
  <si>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</si>
  <si>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</si>
  <si>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</si>
  <si>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</si>
  <si>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</si>
  <si>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</si>
  <si>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</si>
  <si>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</si>
  <si>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</si>
  <si>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</si>
  <si>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</si>
  <si>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</si>
  <si>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</si>
  <si>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</si>
  <si>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</si>
  <si>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</si>
  <si>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</si>
  <si>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</si>
  <si>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</si>
  <si>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</si>
  <si>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</si>
  <si>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</si>
  <si>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</si>
  <si>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</si>
  <si>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</si>
  <si>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</si>
  <si>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</si>
  <si>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</si>
  <si>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</si>
  <si>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</si>
  <si>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</si>
  <si>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</si>
  <si>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</si>
  <si>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</si>
  <si>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</si>
  <si>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</si>
  <si>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</si>
  <si>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</si>
  <si>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</si>
  <si>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</si>
  <si>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</si>
  <si>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</si>
  <si>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</si>
  <si>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</si>
  <si>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</si>
  <si>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</si>
  <si>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</si>
  <si>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</si>
  <si>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</si>
  <si>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</si>
  <si>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</si>
  <si>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</si>
  <si>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</si>
  <si>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</si>
  <si>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</si>
  <si>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</si>
  <si>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</si>
  <si>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</si>
  <si>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</si>
  <si>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</si>
  <si>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</si>
  <si>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</si>
  <si>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</si>
  <si>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</si>
  <si>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"105/107</t>
  </si>
  <si>
    <t>Periode 01 s/d 31 Desember 2024</t>
  </si>
  <si>
    <t>Desember</t>
  </si>
  <si>
    <t xml:space="preserve">Bany Subana </t>
  </si>
  <si>
    <t>Bany Subana</t>
  </si>
  <si>
    <t>- Total CPO Proses sebesar : 25.641 Mt dengan total CPO Incoming ke INL sebanyak : 9.134 MT</t>
  </si>
  <si>
    <t>- Rata rata incoming CPO perhari 294 MT</t>
  </si>
  <si>
    <t>- PMG II Commissioning</t>
  </si>
  <si>
    <t>Periode 01/31 Desember 2024</t>
  </si>
  <si>
    <t>SHUT DOWN</t>
  </si>
  <si>
    <t>Downtime due to Start Up Plant</t>
  </si>
  <si>
    <t>Slow flow rate due to Olein IV 60 process</t>
  </si>
  <si>
    <t>Note : Kapasitas 2500 TPD</t>
  </si>
  <si>
    <t>Slow flow rate due to Olein IV 56 process &amp; IV 58 process</t>
  </si>
  <si>
    <t>PRODUCTION REPORT PMG II</t>
  </si>
  <si>
    <t>MONTHLY PRODUCTION REPORT PMG II</t>
  </si>
  <si>
    <t>-0,73</t>
  </si>
  <si>
    <t>- BE Achieve dengan pemakaian consume Bleaching Earth 8,9 Kg/MT</t>
  </si>
  <si>
    <t>- Start 03 Desember end 20 Desember</t>
  </si>
  <si>
    <t>Tidak Produksi</t>
  </si>
  <si>
    <t>&lt; 28</t>
  </si>
  <si>
    <t>&lt; 35</t>
  </si>
  <si>
    <t>&lt; 0,04</t>
  </si>
  <si>
    <t>&lt; 0,13</t>
  </si>
  <si>
    <t>- Refinery - Utility / Chiller</t>
  </si>
  <si>
    <t>- Utility Chiller</t>
  </si>
  <si>
    <t>- Over pemakaian Gas dikarenakan running sesuai RKAP 18 hari namun plant running 23 hari</t>
  </si>
  <si>
    <t>-0,64</t>
  </si>
  <si>
    <t>Power (Utility System/Chiller)</t>
  </si>
  <si>
    <t>Power (utility System/chiller )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</si>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</sst>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  <numFmt numFmtId="202" formatCode="_-* #,##0.000_-;\-* #,##0.000_-;_-* &quot;-&quot;_-;_-@_-"/>
  </numFmts>
  <fonts count="9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9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</cellStyleXfs>
  <cellXfs count="2265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3" fontId="0" fillId="8" borderId="0" xfId="0" applyNumberFormat="1" applyFill="1"/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178" fontId="2" fillId="5" borderId="0" xfId="3" applyNumberFormat="1" applyFont="1" applyFill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164" fontId="2" fillId="5" borderId="3" xfId="1" applyNumberFormat="1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9" fontId="2" fillId="0" borderId="0" xfId="3" applyFont="1"/>
    <xf numFmtId="196" fontId="2" fillId="0" borderId="0" xfId="0" applyNumberFormat="1" applyFont="1"/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166" fontId="2" fillId="5" borderId="108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18" fillId="0" borderId="11" xfId="1" applyNumberFormat="1" applyFont="1" applyFill="1" applyBorder="1" applyAlignment="1"/>
    <xf numFmtId="166" fontId="64" fillId="0" borderId="11" xfId="1" applyNumberFormat="1" applyFont="1" applyFill="1" applyBorder="1" applyAlignment="1"/>
    <xf numFmtId="0" fontId="2" fillId="0" borderId="171" xfId="0" applyFont="1" applyBorder="1" applyAlignment="1">
      <alignment horizontal="center"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0" fontId="2" fillId="0" borderId="174" xfId="0" applyFont="1" applyBorder="1" applyAlignment="1">
      <alignment horizontal="center" vertical="center"/>
    </xf>
    <xf numFmtId="166" fontId="2" fillId="5" borderId="62" xfId="1" quotePrefix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166" fontId="2" fillId="5" borderId="62" xfId="1" applyNumberFormat="1" applyFont="1" applyFill="1" applyBorder="1"/>
    <xf numFmtId="0" fontId="10" fillId="0" borderId="175" xfId="0" applyFont="1" applyBorder="1" applyAlignment="1">
      <alignment horizontal="center" vertical="center"/>
    </xf>
    <xf numFmtId="166" fontId="2" fillId="5" borderId="65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0" fontId="10" fillId="0" borderId="176" xfId="0" applyFont="1" applyBorder="1" applyAlignment="1">
      <alignment horizontal="center" vertical="center"/>
    </xf>
    <xf numFmtId="43" fontId="2" fillId="0" borderId="178" xfId="1" applyFont="1" applyFill="1" applyBorder="1" applyAlignment="1">
      <alignment vertical="center"/>
    </xf>
    <xf numFmtId="43" fontId="2" fillId="0" borderId="179" xfId="1" applyFont="1" applyFill="1" applyBorder="1" applyAlignment="1">
      <alignment vertical="center"/>
    </xf>
    <xf numFmtId="166" fontId="9" fillId="0" borderId="180" xfId="1" applyNumberFormat="1" applyFont="1" applyFill="1" applyBorder="1" applyAlignment="1">
      <alignment vertical="center"/>
    </xf>
    <xf numFmtId="0" fontId="9" fillId="0" borderId="181" xfId="0" applyFont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6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74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173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166" fontId="2" fillId="5" borderId="65" xfId="1" applyNumberFormat="1" applyFont="1" applyFill="1" applyBorder="1"/>
    <xf numFmtId="43" fontId="2" fillId="0" borderId="183" xfId="1" applyFont="1" applyFill="1" applyBorder="1" applyAlignment="1">
      <alignment vertical="center"/>
    </xf>
    <xf numFmtId="166" fontId="2" fillId="5" borderId="177" xfId="1" applyNumberFormat="1" applyFont="1" applyFill="1" applyBorder="1"/>
    <xf numFmtId="166" fontId="9" fillId="0" borderId="167" xfId="1" applyNumberFormat="1" applyFont="1" applyFill="1" applyBorder="1" applyAlignment="1">
      <alignment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2" fontId="2" fillId="0" borderId="0" xfId="0" applyNumberFormat="1" applyFont="1"/>
    <xf numFmtId="2" fontId="8" fillId="5" borderId="0" xfId="0" applyNumberFormat="1" applyFont="1" applyFill="1"/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2" borderId="11" xfId="6" applyFill="1" applyBorder="1" applyAlignment="1">
      <alignment horizontal="right" vertical="center"/>
    </xf>
    <xf numFmtId="0" fontId="15" fillId="23" borderId="11" xfId="6" applyFill="1" applyBorder="1"/>
    <xf numFmtId="197" fontId="15" fillId="0" borderId="11" xfId="6" applyNumberFormat="1" applyBorder="1"/>
    <xf numFmtId="198" fontId="81" fillId="21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98" fontId="81" fillId="21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180" fontId="15" fillId="21" borderId="16" xfId="6" applyNumberFormat="1" applyFill="1" applyBorder="1"/>
    <xf numFmtId="0" fontId="82" fillId="0" borderId="0" xfId="6" applyFont="1"/>
    <xf numFmtId="180" fontId="15" fillId="21" borderId="16" xfId="6" applyNumberFormat="1" applyFill="1" applyBorder="1" applyAlignment="1">
      <alignment vertical="center"/>
    </xf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41" fontId="2" fillId="6" borderId="4" xfId="2" applyFont="1" applyFill="1" applyBorder="1" applyAlignment="1">
      <alignment horizontal="right"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66" fontId="21" fillId="0" borderId="11" xfId="17" applyNumberFormat="1" applyFont="1" applyFill="1" applyBorder="1"/>
    <xf numFmtId="0" fontId="19" fillId="5" borderId="11" xfId="6" applyFont="1" applyFill="1" applyBorder="1" applyAlignment="1">
      <alignment horizontal="center" vertical="center" wrapText="1"/>
    </xf>
    <xf numFmtId="180" fontId="82" fillId="7" borderId="11" xfId="6" applyNumberFormat="1" applyFont="1" applyFill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4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0" fontId="2" fillId="0" borderId="0" xfId="3" applyNumberFormat="1" applyFont="1"/>
    <xf numFmtId="2" fontId="2" fillId="6" borderId="8" xfId="0" applyNumberFormat="1" applyFont="1" applyFill="1" applyBorder="1" applyAlignment="1">
      <alignment horizontal="center"/>
    </xf>
    <xf numFmtId="167" fontId="2" fillId="0" borderId="3" xfId="1" applyNumberFormat="1" applyFont="1" applyBorder="1"/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4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5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5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8" xfId="0" applyBorder="1"/>
    <xf numFmtId="0" fontId="0" fillId="0" borderId="84" xfId="0" applyBorder="1"/>
    <xf numFmtId="164" fontId="0" fillId="0" borderId="84" xfId="0" applyNumberFormat="1" applyBorder="1"/>
    <xf numFmtId="0" fontId="0" fillId="0" borderId="189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90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167" fontId="15" fillId="0" borderId="11" xfId="6" applyNumberFormat="1" applyBorder="1"/>
    <xf numFmtId="185" fontId="0" fillId="0" borderId="6" xfId="0" applyNumberFormat="1" applyBorder="1" applyAlignment="1">
      <alignment horizontal="center" vertical="center"/>
    </xf>
    <xf numFmtId="0" fontId="1" fillId="0" borderId="59" xfId="6" applyFont="1" applyBorder="1"/>
    <xf numFmtId="166" fontId="2" fillId="28" borderId="4" xfId="1" applyNumberFormat="1" applyFont="1" applyFill="1" applyBorder="1" applyAlignment="1">
      <alignment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1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2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4" xfId="0" applyNumberFormat="1" applyFont="1" applyBorder="1" applyAlignment="1">
      <alignment horizontal="center"/>
    </xf>
    <xf numFmtId="0" fontId="0" fillId="0" borderId="193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202" fontId="2" fillId="6" borderId="4" xfId="2" applyNumberFormat="1" applyFont="1" applyFill="1" applyBorder="1" applyAlignment="1">
      <alignment vertical="center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166" fontId="15" fillId="0" borderId="11" xfId="6" applyNumberFormat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167" fontId="15" fillId="0" borderId="11" xfId="6" applyNumberFormat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166" fontId="2" fillId="30" borderId="4" xfId="1" applyNumberFormat="1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168" fontId="2" fillId="6" borderId="4" xfId="1" applyNumberFormat="1" applyFont="1" applyFill="1" applyBorder="1" applyAlignment="1">
      <alignment horizontal="center" vertical="center"/>
    </xf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42" fontId="2" fillId="0" borderId="0" xfId="0" applyNumberFormat="1" applyFont="1"/>
    <xf numFmtId="166" fontId="2" fillId="5" borderId="66" xfId="1" applyNumberFormat="1" applyFont="1" applyFill="1" applyBorder="1" applyAlignment="1">
      <alignment vertical="center"/>
    </xf>
    <xf numFmtId="0" fontId="53" fillId="2" borderId="5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4" fontId="2" fillId="7" borderId="0" xfId="1" applyNumberFormat="1" applyFont="1" applyFill="1" applyBorder="1" applyAlignment="1">
      <alignment vertical="center"/>
    </xf>
    <xf numFmtId="0" fontId="53" fillId="2" borderId="21" xfId="0" applyFont="1" applyFill="1" applyBorder="1" applyAlignment="1">
      <alignment vertical="center"/>
    </xf>
    <xf numFmtId="166" fontId="2" fillId="4" borderId="11" xfId="1" applyNumberFormat="1" applyFont="1" applyFill="1" applyBorder="1"/>
    <xf numFmtId="170" fontId="10" fillId="16" borderId="4" xfId="5" quotePrefix="1" applyNumberFormat="1" applyFont="1" applyFill="1" applyBorder="1" applyAlignment="1">
      <alignment horizontal="right" vertical="center"/>
    </xf>
    <xf numFmtId="165" fontId="2" fillId="6" borderId="4" xfId="2" applyNumberFormat="1" applyFont="1" applyFill="1" applyBorder="1"/>
    <xf numFmtId="41" fontId="2" fillId="7" borderId="4" xfId="2" applyFont="1" applyFill="1" applyBorder="1"/>
    <xf numFmtId="0" fontId="2" fillId="5" borderId="30" xfId="0" applyFont="1" applyFill="1" applyBorder="1"/>
    <xf numFmtId="180" fontId="2" fillId="5" borderId="2" xfId="0" applyNumberFormat="1" applyFont="1" applyFill="1" applyBorder="1"/>
    <xf numFmtId="166" fontId="2" fillId="5" borderId="2" xfId="1" applyNumberFormat="1" applyFont="1" applyFill="1" applyBorder="1" applyAlignment="1">
      <alignment vertical="center"/>
    </xf>
    <xf numFmtId="174" fontId="2" fillId="5" borderId="2" xfId="1" applyNumberFormat="1" applyFont="1" applyFill="1" applyBorder="1" applyAlignment="1">
      <alignment vertical="center"/>
    </xf>
    <xf numFmtId="0" fontId="3" fillId="4" borderId="8" xfId="0" applyFont="1" applyFill="1" applyBorder="1"/>
    <xf numFmtId="164" fontId="2" fillId="3" borderId="2" xfId="1" applyNumberFormat="1" applyFont="1" applyFill="1" applyBorder="1" applyAlignment="1">
      <alignment horizontal="center"/>
    </xf>
    <xf numFmtId="167" fontId="2" fillId="17" borderId="4" xfId="5" applyNumberFormat="1" applyFont="1" applyFill="1" applyBorder="1"/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7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36" fillId="0" borderId="74" xfId="16" applyFont="1" applyBorder="1" applyAlignment="1">
      <alignment horizontal="center" vertic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66" fillId="0" borderId="0" xfId="16" quotePrefix="1" applyFont="1" applyAlignment="1">
      <alignment horizontal="left" vertical="center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64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18" fillId="5" borderId="0" xfId="16" quotePrefix="1" applyFont="1" applyFill="1" applyAlignment="1">
      <alignment horizontal="left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15" fillId="0" borderId="0" xfId="6" applyAlignment="1">
      <alignment horizontal="center"/>
    </xf>
    <xf numFmtId="0" fontId="21" fillId="27" borderId="16" xfId="6" applyFont="1" applyFill="1" applyBorder="1" applyAlignment="1">
      <alignment horizontal="center"/>
    </xf>
    <xf numFmtId="0" fontId="21" fillId="27" borderId="50" xfId="6" applyFont="1" applyFill="1" applyBorder="1" applyAlignment="1">
      <alignment horizontal="center"/>
    </xf>
    <xf numFmtId="0" fontId="21" fillId="27" borderId="21" xfId="6" applyFont="1" applyFill="1" applyBorder="1" applyAlignment="1">
      <alignment horizontal="center"/>
    </xf>
    <xf numFmtId="0" fontId="19" fillId="28" borderId="16" xfId="6" applyFont="1" applyFill="1" applyBorder="1" applyAlignment="1">
      <alignment horizontal="center"/>
    </xf>
    <xf numFmtId="0" fontId="19" fillId="28" borderId="50" xfId="6" applyFont="1" applyFill="1" applyBorder="1" applyAlignment="1">
      <alignment horizont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90"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3" xfId="39" xr:uid="{797D288C-C5C7-4F24-BFDB-2C1780659DB5}"/>
    <cellStyle name="Comma [0] 2 4" xfId="89" xr:uid="{2752D895-9A99-4F1A-9AAC-C8B7DCBFCBC0}"/>
    <cellStyle name="Comma [0] 3" xfId="27" xr:uid="{D1D915A8-AD67-4C83-B00D-6F1F8CAC39C2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3" xfId="86" xr:uid="{E9824DFF-9C1D-4B7E-A469-864326F4B36F}"/>
    <cellStyle name="Comma [0] 7 6 2 4" xfId="76" xr:uid="{76202EC3-B6A1-4F29-8DC9-C5022B13BC19}"/>
    <cellStyle name="Comma [0] 7 6 3" xfId="29" xr:uid="{04ACA5F1-DD3F-418D-BD60-6181D4261DF5}"/>
    <cellStyle name="Comma 10" xfId="14" xr:uid="{D19F8384-4AD9-4057-9DEE-0CB81B34BF07}"/>
    <cellStyle name="Comma 10 2" xfId="34" xr:uid="{8EAE8B3D-977F-46B7-90AB-A47603A9F3CD}"/>
    <cellStyle name="Comma 11" xfId="33" xr:uid="{A18E9DF8-0166-49A6-A49F-508A00938552}"/>
    <cellStyle name="Comma 12" xfId="37" xr:uid="{513BAD3F-5FDE-4902-B235-AC6711FDBF75}"/>
    <cellStyle name="Comma 13" xfId="51" xr:uid="{36878A85-C09B-4E82-8B46-3C3B31997AA6}"/>
    <cellStyle name="Comma 14" xfId="52" xr:uid="{3BC2A69F-85B5-4721-B3CA-44243E17A28C}"/>
    <cellStyle name="Comma 15" xfId="53" xr:uid="{31594E66-BE66-4550-B2CC-D2EE1DE5CA1B}"/>
    <cellStyle name="Comma 16" xfId="54" xr:uid="{A01E7C94-4AA8-49D9-BF5A-E280F5085C89}"/>
    <cellStyle name="Comma 17" xfId="55" xr:uid="{A37EAD8C-8A90-4613-B13E-873CF5615D25}"/>
    <cellStyle name="Comma 18" xfId="48" xr:uid="{B97B05EC-54CC-45AB-B636-F7842D8E7E38}"/>
    <cellStyle name="Comma 19" xfId="31" xr:uid="{D42E312C-06C8-409A-86D8-6AAA58E0C17C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3" xfId="88" xr:uid="{F534A226-CCE2-408B-B0B2-2FCE5703897D}"/>
    <cellStyle name="Comma 2 4" xfId="78" xr:uid="{2EAB4A5B-8377-48D4-9DA4-39939CF65DFB}"/>
    <cellStyle name="Comma 20" xfId="30" xr:uid="{ADD69484-F603-479D-B1B0-523F1B63F3FC}"/>
    <cellStyle name="Comma 21" xfId="58" xr:uid="{FB38CD4A-7003-4578-9CC7-5379CBB24538}"/>
    <cellStyle name="Comma 22" xfId="56" xr:uid="{CC95F0BC-AA1B-41A5-99DD-8FF7E8E3FAAA}"/>
    <cellStyle name="Comma 23" xfId="46" xr:uid="{57316692-215C-43C1-9A17-1E2C89D4B299}"/>
    <cellStyle name="Comma 24" xfId="59" xr:uid="{815E800E-142D-4081-A39F-C1C99F46C3DB}"/>
    <cellStyle name="Comma 25" xfId="60" xr:uid="{87EB0049-15DC-4AFB-935C-9BC7E763DA92}"/>
    <cellStyle name="Comma 26" xfId="61" xr:uid="{C70692F9-33F1-4C3E-A690-D1AFB3D1D492}"/>
    <cellStyle name="Comma 27" xfId="62" xr:uid="{2537D875-3D33-445A-93A7-A336E57BC92E}"/>
    <cellStyle name="Comma 28" xfId="63" xr:uid="{DF478E1E-919D-43CE-9B38-3510DE34C88A}"/>
    <cellStyle name="Comma 29" xfId="64" xr:uid="{E6A8AD48-430A-459C-A9FF-326CC71D493A}"/>
    <cellStyle name="Comma 3" xfId="19" xr:uid="{44D675AE-C82A-41B6-B56D-ABEF675C7D9E}"/>
    <cellStyle name="Comma 3 2" xfId="40" xr:uid="{B9605F6C-6D33-4C4B-9BE6-647185645F32}"/>
    <cellStyle name="Comma 30" xfId="65" xr:uid="{3059CF6A-7A09-4731-B595-1BD7AF3A6EDF}"/>
    <cellStyle name="Comma 31" xfId="66" xr:uid="{1FA83441-1F9E-452D-B3E7-EB04D182F245}"/>
    <cellStyle name="Comma 32" xfId="67" xr:uid="{284FCDD1-10FF-4FF1-A1FB-640739149608}"/>
    <cellStyle name="Comma 33" xfId="69" xr:uid="{5C628A5A-9AD8-456D-91D0-6DF50FC519BE}"/>
    <cellStyle name="Comma 34" xfId="57" xr:uid="{64C0B890-845A-4B34-9C89-074E450EE9E9}"/>
    <cellStyle name="Comma 35" xfId="32" xr:uid="{2E6465F5-C249-4ADE-A0F5-876ED874D48D}"/>
    <cellStyle name="Comma 36" xfId="70" xr:uid="{D7257EE1-F5A8-4D66-AD01-3DCEFAB50B1C}"/>
    <cellStyle name="Comma 37" xfId="68" xr:uid="{4BFEDA01-3F5A-42A3-88F1-DBCF3BDD88E7}"/>
    <cellStyle name="Comma 38" xfId="43" xr:uid="{2257C0D6-E320-426C-AF6B-EFD976DD48CD}"/>
    <cellStyle name="Comma 39" xfId="71" xr:uid="{4CA9D2C6-7921-4E8E-802F-0DCC10E6F385}"/>
    <cellStyle name="Comma 4" xfId="23" xr:uid="{633D257A-A42F-4E38-B591-D20E04F9D3BB}"/>
    <cellStyle name="Comma 4 2" xfId="44" xr:uid="{7E94CA32-F87B-4430-80FD-526567A478E5}"/>
    <cellStyle name="Comma 40" xfId="49" xr:uid="{CD055125-697C-4484-904E-C5B6555AC713}"/>
    <cellStyle name="Comma 5" xfId="26" xr:uid="{AD9202DF-4176-4253-BA9F-E22A010814DC}"/>
    <cellStyle name="Comma 6" xfId="28" xr:uid="{FFF74D1C-F09D-4A33-B1DC-7D73CDBBA2D7}"/>
    <cellStyle name="Comma 6 6 2" xfId="75" xr:uid="{F337BE6F-C89C-472D-AB25-C968ED011ECE}"/>
    <cellStyle name="Comma 6 6 2 2" xfId="80" xr:uid="{AFC4C5D4-692C-437E-B23B-A9A4529260B2}"/>
    <cellStyle name="Comma 6 6 2 3" xfId="85" xr:uid="{7D3F7E80-0005-4D83-B749-32B2FCA86685}"/>
    <cellStyle name="Comma 7" xfId="36" xr:uid="{BBA746ED-4AC1-42F8-BDA4-BEE4B5C75D32}"/>
    <cellStyle name="Comma 8" xfId="47" xr:uid="{F6B419F5-CD27-4289-9A75-1F200423A92F}"/>
    <cellStyle name="Comma 9" xfId="50" xr:uid="{0B2ABB2F-F64B-427E-8550-34B5DAD35401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2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).xlsx" TargetMode="External"/><Relationship Id="rId1" Type="http://schemas.openxmlformats.org/officeDocument/2006/relationships/externalLinkPath" Target="file:///C:\Users\User\Downloads\12.%20PT_INL_Monthly%20Storage%20Tangki%20PT.INL%20Desember%20202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2).xlsx" TargetMode="External"/><Relationship Id="rId1" Type="http://schemas.openxmlformats.org/officeDocument/2006/relationships/externalLinkPath" Target="file:///C:\Users\User\Downloads\12.%20PT_INL_Monthly%20Storage%20Tangki%20PT.INL%20Desember%202024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3).xlsx" TargetMode="External"/><Relationship Id="rId1" Type="http://schemas.openxmlformats.org/officeDocument/2006/relationships/externalLinkPath" Target="file:///C:\Users\User\Downloads\12.%20PT_INL_Monthly%20Storage%20Tangki%20PT.INL%20Desember%202024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4).xlsx" TargetMode="External"/><Relationship Id="rId1" Type="http://schemas.openxmlformats.org/officeDocument/2006/relationships/externalLinkPath" Target="file:///C:\Users\User\Downloads\12.%20PT_INL_Monthly%20Storage%20Tangki%20PT.INL%20Desember%202024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5).xlsx" TargetMode="External"/><Relationship Id="rId1" Type="http://schemas.openxmlformats.org/officeDocument/2006/relationships/externalLinkPath" Target="file:///C:\Users\User\Downloads\12.%20PT_INL_Monthly%20Storage%20Tangki%20PT.INL%20Desember%202024%20(5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6).xlsx" TargetMode="External"/><Relationship Id="rId1" Type="http://schemas.openxmlformats.org/officeDocument/2006/relationships/externalLinkPath" Target="file:///C:\Users\User\Downloads\12.%20PT_INL_Monthly%20Storage%20Tangki%20PT.INL%20Desember%202024%20(6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7).xlsx" TargetMode="External"/><Relationship Id="rId1" Type="http://schemas.openxmlformats.org/officeDocument/2006/relationships/externalLinkPath" Target="file:///C:\Users\User\Downloads\12.%20PT_INL_Monthly%20Storage%20Tangki%20PT.INL%20Desember%202024%20(7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8).xlsx" TargetMode="External"/><Relationship Id="rId1" Type="http://schemas.openxmlformats.org/officeDocument/2006/relationships/externalLinkPath" Target="file:///C:\Users\User\Downloads\12.%20PT_INL_Monthly%20Storage%20Tangki%20PT.INL%20Desember%202024%20(8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2).xlsx" TargetMode="External"/><Relationship Id="rId1" Type="http://schemas.openxmlformats.org/officeDocument/2006/relationships/externalLinkPath" Target="file:///C:\Users\User\Downloads\12.%20PT_INL_Monthly%20Storage%20Tangki%20PT.INL%20Desember%202024%20(12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9).xlsx" TargetMode="External"/><Relationship Id="rId1" Type="http://schemas.openxmlformats.org/officeDocument/2006/relationships/externalLinkPath" Target="file:///C:\Users\User\Downloads\12.%20PT_INL_Monthly%20Storage%20Tangki%20PT.INL%20Desember%202024%20(9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0).xlsx" TargetMode="External"/><Relationship Id="rId1" Type="http://schemas.openxmlformats.org/officeDocument/2006/relationships/externalLinkPath" Target="file:///C:\Users\User\Downloads\12.%20PT_INL_Monthly%20Storage%20Tangki%20PT.INL%20Desember%202024%20(10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3).xlsx" TargetMode="External"/><Relationship Id="rId1" Type="http://schemas.openxmlformats.org/officeDocument/2006/relationships/externalLinkPath" Target="file:///C:\Users\User\Downloads\12.%20PT_INL_Monthly%20Storage%20Tangki%20PT.INL%20Desember%202024%20(13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1).xlsx" TargetMode="External"/><Relationship Id="rId1" Type="http://schemas.openxmlformats.org/officeDocument/2006/relationships/externalLinkPath" Target="file:///C:\Users\User\Downloads\12.%20PT_INL_Monthly%20Storage%20Tangki%20PT.INL%20Desember%202024%20(11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4).xlsx" TargetMode="External"/><Relationship Id="rId1" Type="http://schemas.openxmlformats.org/officeDocument/2006/relationships/externalLinkPath" Target="file:///C:\Users\User\Downloads\12.%20PT_INL_Monthly%20Storage%20Tangki%20PT.INL%20Desember%202024%20(14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PT_INL_Monthly%20Storage%20Tangki%20PT.INL%20Desember%202024%20(16).xlsx" TargetMode="External"/><Relationship Id="rId1" Type="http://schemas.openxmlformats.org/officeDocument/2006/relationships/externalLinkPath" Target="file:///C:\Users\User\Downloads\12.%20PT_INL_Monthly%20Storage%20Tangki%20PT.INL%20Desember%202024%20(16)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DAILY%20REPORT%20PRODUCTION%20DESEMBER%20%20(3).xlsx" TargetMode="External"/><Relationship Id="rId1" Type="http://schemas.openxmlformats.org/officeDocument/2006/relationships/externalLinkPath" Target="file:///C:\Users\User\Downloads\12.%20DAILY%20REPORT%20PRODUCTION%20DESEMBER%20%20(3)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2.%20DAILY%20REPORT%20PRODUCTION%20DESEMBER%202024%20(26)%20(3)%20(1).xlsx" TargetMode="External"/><Relationship Id="rId1" Type="http://schemas.openxmlformats.org/officeDocument/2006/relationships/externalLinkPath" Target="file:///C:\Users\User\Downloads\12.%20DAILY%20REPORT%20PRODUCTION%20DESEMBER%202024%20(26)%20(3)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ANY%20SUBANA%20FILE\2.2%20RKOPT%20INL%202024%20TW%20I%20(%2007_02_2024)%20%20only%20PMG%201%20alternatif%202.xlsx" TargetMode="External"/><Relationship Id="rId1" Type="http://schemas.openxmlformats.org/officeDocument/2006/relationships/externalLinkPath" Target="/BANY%20SUBANA%20FILE/2.2%20RKOPT%20INL%202024%20TW%20I%20(%2007_02_2024)%20%20only%20PMG%201%20alternatif%202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4.DAILY%20REPORT%20PRODUCTION%20APRIL%202024%20(4).xlsx" TargetMode="External"/><Relationship Id="rId1" Type="http://schemas.openxmlformats.org/officeDocument/2006/relationships/externalLinkPath" Target="file:///C:\Users\User\Downloads\04.DAILY%20REPORT%20PRODUCTION%20APRIL%202024%20(4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5.DAILY%20REPORT%20PRODUCTION%20MEI%202024%20(6).xlsx" TargetMode="External"/><Relationship Id="rId1" Type="http://schemas.openxmlformats.org/officeDocument/2006/relationships/externalLinkPath" Target="file:///C:\Users\User\Downloads\05.DAILY%20REPORT%20PRODUCTION%20MEI%202024%20(6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6.DAILY%20REPORT%20PRODUCTION%20JUNI%202024%20(6).xlsx" TargetMode="External"/><Relationship Id="rId1" Type="http://schemas.openxmlformats.org/officeDocument/2006/relationships/externalLinkPath" Target="file:///C:\Users\User\Downloads\06.DAILY%20REPORT%20PRODUCTION%20JUNI%202024%20(6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7.%20DAILY%20REPORT%20PRODUCTION%20JULI%202024.xlsx" TargetMode="External"/><Relationship Id="rId1" Type="http://schemas.openxmlformats.org/officeDocument/2006/relationships/externalLinkPath" Target="file:///C:\Users\User\Downloads\07.%20DAILY%20REPORT%20PRODUCTION%20JULI%20202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8.%20DAILY%20REPORT%20PRODUCTION%20AGUSTUS%202024.xlsx" TargetMode="External"/><Relationship Id="rId1" Type="http://schemas.openxmlformats.org/officeDocument/2006/relationships/externalLinkPath" Target="file:///C:\Users\User\Downloads\08.%20DAILY%20REPORT%20PRODUCTION%20AGUSTUS%20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file:///C:\Users\User\Downloads\09.%20DAILY%20REPORT%20PRODUCTION%20SEPTEMBER%202024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10.%20DAILY%20REPORT%20PRODUCTION%20OKTOBER%202024.xlsx" TargetMode="External"/><Relationship Id="rId1" Type="http://schemas.openxmlformats.org/officeDocument/2006/relationships/externalLinkPath" Target="file:///C:\Users\User\Downloads\10.%20DAILY%20REPORT%20PRODUCTION%20OKTOBER%20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</sheetNames>
    <sheetDataSet>
      <sheetData sheetId="0" refreshError="1"/>
      <sheetData sheetId="1" refreshError="1">
        <row r="15">
          <cell r="P15">
            <v>864484</v>
          </cell>
        </row>
      </sheetData>
      <sheetData sheetId="2" refreshError="1">
        <row r="15">
          <cell r="P15">
            <v>920182</v>
          </cell>
        </row>
      </sheetData>
      <sheetData sheetId="3" refreshError="1">
        <row r="15">
          <cell r="P15">
            <v>464321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</sheetNames>
    <sheetDataSet>
      <sheetData sheetId="0">
        <row r="15">
          <cell r="P15">
            <v>1416573</v>
          </cell>
          <cell r="Q15">
            <v>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</sheetNames>
    <sheetDataSet>
      <sheetData sheetId="0"/>
      <sheetData sheetId="1"/>
      <sheetData sheetId="2">
        <row r="15">
          <cell r="P15">
            <v>920182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">
          <cell r="P15">
            <v>1133688</v>
          </cell>
        </row>
      </sheetData>
      <sheetData sheetId="7" refreshError="1">
        <row r="15">
          <cell r="P15">
            <v>1225114</v>
          </cell>
        </row>
      </sheetData>
      <sheetData sheetId="8" refreshError="1">
        <row r="15">
          <cell r="Q15">
            <v>1864782</v>
          </cell>
        </row>
        <row r="18">
          <cell r="P18">
            <v>1675467</v>
          </cell>
        </row>
        <row r="27">
          <cell r="P27">
            <v>74300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5">
          <cell r="P15">
            <v>600192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5">
          <cell r="P15">
            <v>397080</v>
          </cell>
          <cell r="Q15">
            <v>621025</v>
          </cell>
        </row>
        <row r="18">
          <cell r="P18">
            <v>662958</v>
          </cell>
          <cell r="Q18">
            <v>366697</v>
          </cell>
        </row>
        <row r="23">
          <cell r="P23">
            <v>144963</v>
          </cell>
        </row>
        <row r="31">
          <cell r="P31">
            <v>33961</v>
          </cell>
        </row>
      </sheetData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P15">
            <v>902048</v>
          </cell>
          <cell r="Q15">
            <v>247984</v>
          </cell>
        </row>
        <row r="18">
          <cell r="P18">
            <v>245761</v>
          </cell>
          <cell r="Q18">
            <v>1206767</v>
          </cell>
        </row>
        <row r="21">
          <cell r="P21">
            <v>91214</v>
          </cell>
        </row>
        <row r="22">
          <cell r="P22">
            <v>422273</v>
          </cell>
        </row>
        <row r="27">
          <cell r="P27">
            <v>10475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P15">
            <v>558257</v>
          </cell>
          <cell r="Q15">
            <v>1063200</v>
          </cell>
        </row>
        <row r="18">
          <cell r="P18">
            <v>921067</v>
          </cell>
          <cell r="Q18">
            <v>1107426</v>
          </cell>
        </row>
        <row r="21">
          <cell r="P21">
            <v>92131</v>
          </cell>
        </row>
        <row r="22">
          <cell r="P22">
            <v>600664</v>
          </cell>
        </row>
        <row r="27">
          <cell r="P27">
            <v>42351</v>
          </cell>
        </row>
      </sheetData>
      <sheetData sheetId="13"/>
      <sheetData sheetId="14"/>
      <sheetData sheetId="15"/>
      <sheetData sheetId="16"/>
      <sheetData sheetId="17"/>
      <sheetData sheetId="18">
        <row r="15">
          <cell r="P15">
            <v>111765</v>
          </cell>
          <cell r="Q15">
            <v>2416411</v>
          </cell>
        </row>
        <row r="18">
          <cell r="P18">
            <v>2519071</v>
          </cell>
          <cell r="Q18">
            <v>3737260</v>
          </cell>
        </row>
        <row r="23">
          <cell r="P23">
            <v>2369769</v>
          </cell>
        </row>
        <row r="27">
          <cell r="P27">
            <v>105866</v>
          </cell>
        </row>
        <row r="31">
          <cell r="P31">
            <v>547180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7 REV"/>
      <sheetName val="08"/>
      <sheetName val="08 REV"/>
      <sheetName val="09"/>
      <sheetName val="09 REV"/>
      <sheetName val="10"/>
      <sheetName val="10 REV"/>
      <sheetName val="11"/>
      <sheetName val="11 REV"/>
      <sheetName val="12"/>
      <sheetName val="12 REV"/>
      <sheetName val="13"/>
      <sheetName val="13 REV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19 REV"/>
      <sheetName val="20"/>
      <sheetName val="20 REV"/>
      <sheetName val="21"/>
      <sheetName val="21 REV"/>
      <sheetName val="22"/>
      <sheetName val="22 REV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P15">
            <v>248740</v>
          </cell>
          <cell r="Q15">
            <v>2196288</v>
          </cell>
        </row>
        <row r="18">
          <cell r="P18">
            <v>2114296</v>
          </cell>
          <cell r="Q18">
            <v>985016</v>
          </cell>
        </row>
        <row r="27">
          <cell r="P27">
            <v>100021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5">
          <cell r="P15">
            <v>326528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1">
          <cell r="P21">
            <v>134128</v>
          </cell>
        </row>
        <row r="27">
          <cell r="P27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P15">
            <v>598141</v>
          </cell>
          <cell r="Q15">
            <v>1639113</v>
          </cell>
        </row>
        <row r="18">
          <cell r="P18">
            <v>1558432</v>
          </cell>
          <cell r="Q18">
            <v>2026430</v>
          </cell>
        </row>
        <row r="23">
          <cell r="P23">
            <v>1484274</v>
          </cell>
        </row>
        <row r="27">
          <cell r="P27">
            <v>71404</v>
          </cell>
        </row>
        <row r="31">
          <cell r="P31">
            <v>458908</v>
          </cell>
        </row>
      </sheetData>
      <sheetData sheetId="15">
        <row r="15">
          <cell r="Q15">
            <v>1616712</v>
          </cell>
        </row>
        <row r="18">
          <cell r="P18">
            <v>1565846</v>
          </cell>
          <cell r="Q18">
            <v>2148697</v>
          </cell>
        </row>
        <row r="23">
          <cell r="P23">
            <v>1603408</v>
          </cell>
        </row>
        <row r="27">
          <cell r="P27">
            <v>70951</v>
          </cell>
        </row>
        <row r="31">
          <cell r="P31">
            <v>515761</v>
          </cell>
        </row>
      </sheetData>
      <sheetData sheetId="16"/>
      <sheetData sheetId="17"/>
      <sheetData sheetId="18"/>
      <sheetData sheetId="19">
        <row r="15">
          <cell r="P15">
            <v>0</v>
          </cell>
          <cell r="Q15">
            <v>2155472</v>
          </cell>
        </row>
        <row r="18">
          <cell r="P18">
            <v>2026413</v>
          </cell>
          <cell r="Q18">
            <v>1378873</v>
          </cell>
        </row>
        <row r="27">
          <cell r="P27">
            <v>87291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P15">
            <v>313454</v>
          </cell>
          <cell r="Q15">
            <v>907136</v>
          </cell>
        </row>
        <row r="18">
          <cell r="Q18">
            <v>657964</v>
          </cell>
        </row>
        <row r="21">
          <cell r="P21">
            <v>275346</v>
          </cell>
        </row>
        <row r="22">
          <cell r="P22">
            <v>579219</v>
          </cell>
        </row>
        <row r="23">
          <cell r="P23">
            <v>854565</v>
          </cell>
        </row>
        <row r="27">
          <cell r="P27">
            <v>40085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P23">
            <v>1026260</v>
          </cell>
        </row>
        <row r="31">
          <cell r="P31">
            <v>373475</v>
          </cell>
        </row>
      </sheetData>
      <sheetData sheetId="20" refreshError="1">
        <row r="15">
          <cell r="P15">
            <v>28079</v>
          </cell>
          <cell r="Q15">
            <v>1498922</v>
          </cell>
        </row>
        <row r="18">
          <cell r="P18">
            <v>1431730</v>
          </cell>
          <cell r="Q18">
            <v>30924</v>
          </cell>
        </row>
        <row r="23">
          <cell r="P23">
            <v>102005</v>
          </cell>
        </row>
        <row r="27">
          <cell r="P27">
            <v>64662</v>
          </cell>
        </row>
        <row r="31">
          <cell r="P31">
            <v>126174</v>
          </cell>
        </row>
      </sheetData>
      <sheetData sheetId="21" refreshError="1">
        <row r="15">
          <cell r="Q15">
            <v>698565</v>
          </cell>
        </row>
        <row r="18">
          <cell r="P18">
            <v>685270</v>
          </cell>
          <cell r="Q18">
            <v>476133</v>
          </cell>
        </row>
        <row r="23">
          <cell r="P23">
            <v>355278</v>
          </cell>
        </row>
        <row r="27">
          <cell r="P27">
            <v>28286</v>
          </cell>
        </row>
        <row r="31">
          <cell r="P31">
            <v>190898</v>
          </cell>
        </row>
      </sheetData>
      <sheetData sheetId="22" refreshError="1">
        <row r="15">
          <cell r="Q15">
            <v>1675125</v>
          </cell>
        </row>
        <row r="18">
          <cell r="P18">
            <v>1575334</v>
          </cell>
          <cell r="Q18">
            <v>1230701</v>
          </cell>
        </row>
        <row r="23">
          <cell r="P23">
            <v>803105</v>
          </cell>
        </row>
        <row r="27">
          <cell r="P27">
            <v>69976</v>
          </cell>
        </row>
        <row r="31">
          <cell r="P31">
            <v>452644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Q15">
            <v>1962242</v>
          </cell>
        </row>
        <row r="18">
          <cell r="P18">
            <v>1780021</v>
          </cell>
          <cell r="Q18">
            <v>2347734</v>
          </cell>
        </row>
        <row r="19">
          <cell r="P19">
            <v>1618321</v>
          </cell>
        </row>
        <row r="22">
          <cell r="P22">
            <v>186695</v>
          </cell>
        </row>
        <row r="27">
          <cell r="P27">
            <v>75721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5">
          <cell r="Q15">
            <v>1790351</v>
          </cell>
        </row>
        <row r="18">
          <cell r="P18">
            <v>1712817</v>
          </cell>
          <cell r="Q18">
            <v>1954027</v>
          </cell>
        </row>
        <row r="23">
          <cell r="P23">
            <v>1168886</v>
          </cell>
        </row>
        <row r="27">
          <cell r="P27">
            <v>73470</v>
          </cell>
        </row>
        <row r="31">
          <cell r="P31">
            <v>426695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7 REV"/>
      <sheetName val="08"/>
      <sheetName val="08 REV"/>
      <sheetName val="09"/>
      <sheetName val="09 REV"/>
      <sheetName val="10"/>
      <sheetName val="10 REV"/>
      <sheetName val="11"/>
      <sheetName val="11 REV"/>
      <sheetName val="12"/>
      <sheetName val="12 REV"/>
      <sheetName val="13"/>
      <sheetName val="13 REV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19 REV"/>
      <sheetName val="20"/>
      <sheetName val="20 REV"/>
      <sheetName val="21"/>
      <sheetName val="21 REV"/>
      <sheetName val="22"/>
      <sheetName val="22 REV"/>
      <sheetName val="23"/>
      <sheetName val="24"/>
      <sheetName val="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5">
          <cell r="Q15">
            <v>738441</v>
          </cell>
        </row>
        <row r="18">
          <cell r="P18">
            <v>574346</v>
          </cell>
          <cell r="Q18">
            <v>1112757</v>
          </cell>
        </row>
        <row r="23">
          <cell r="P23">
            <v>977923</v>
          </cell>
        </row>
        <row r="27">
          <cell r="P27">
            <v>36964</v>
          </cell>
        </row>
        <row r="31">
          <cell r="P31">
            <v>515873</v>
          </cell>
        </row>
      </sheetData>
      <sheetData sheetId="41" refreshError="1">
        <row r="15">
          <cell r="Q15">
            <v>105017</v>
          </cell>
        </row>
        <row r="18">
          <cell r="P18">
            <v>175955</v>
          </cell>
          <cell r="Q18">
            <v>1485846</v>
          </cell>
        </row>
        <row r="23">
          <cell r="P23">
            <v>1029443</v>
          </cell>
        </row>
        <row r="27">
          <cell r="P27">
            <v>18342</v>
          </cell>
        </row>
        <row r="31">
          <cell r="P31">
            <v>544756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ember 2024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4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L18">
            <v>16100</v>
          </cell>
        </row>
      </sheetData>
      <sheetData sheetId="9">
        <row r="19">
          <cell r="U19">
            <v>160000</v>
          </cell>
          <cell r="W19">
            <v>112000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ember 2024"/>
      <sheetName val="Peformance Test REFINERY "/>
      <sheetName val="SUMMARY HPP "/>
      <sheetName val="Convert Gas"/>
      <sheetName val="OIP Refinery "/>
      <sheetName val="Oip Fract ."/>
      <sheetName val="2024"/>
      <sheetName val="Downtime Ref Oktober"/>
      <sheetName val="Downtime Fract Oktober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/>
      <sheetData sheetId="4"/>
      <sheetData sheetId="5">
        <row r="18">
          <cell r="U18">
            <v>447800</v>
          </cell>
          <cell r="W18">
            <v>347595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umsi"/>
      <sheetName val="Ops Ref-1-P"/>
      <sheetName val="Sales-Highlight-P"/>
      <sheetName val="FinHigh-2-P"/>
      <sheetName val="PL Konsol-1-P"/>
      <sheetName val="CF Konsol-1-P"/>
      <sheetName val="Administrasi"/>
      <sheetName val="Sales Expense"/>
      <sheetName val="GAE"/>
      <sheetName val="Others"/>
      <sheetName val="1. Neraca LM"/>
      <sheetName val="2. LR LM"/>
      <sheetName val="2.1 LR per Produk"/>
      <sheetName val="2.2 Costing"/>
      <sheetName val="5. LM-2"/>
      <sheetName val="3. Arus Kas LM"/>
      <sheetName val="CAPEX RKAP 2024"/>
      <sheetName val="6. LM-13"/>
      <sheetName val="7. HPP"/>
      <sheetName val="4. Persediaan"/>
      <sheetName val="Cost "/>
      <sheetName val="3.1 Detail Cash Out"/>
      <sheetName val="8. Beban Penjualan "/>
      <sheetName val="Planning Production Plant 1 (22"/>
      <sheetName val="Produksi Retail Sei Mangkei"/>
      <sheetName val="Isian RKAP Produksi"/>
      <sheetName val="RKAP 2024 Produksi (Pemeliharaa"/>
      <sheetName val="Isian RKAP 2024 Produksi (Pemel"/>
      <sheetName val="Isian RKAP 2024 Produksi (Chemi"/>
      <sheetName val="Planning Production Plant 2 (25"/>
      <sheetName val="Produksi Retail Surabaya"/>
      <sheetName val="Isian RKAP Logistik 2024"/>
      <sheetName val="Isian RKAP Marketing 2024"/>
      <sheetName val="9. Beban Admin Umum"/>
      <sheetName val="Isian RKAP 2024 HC &amp; ICT"/>
      <sheetName val="10. Beban Keuangan"/>
      <sheetName val="11. Pendapatan Lain-lain LM"/>
      <sheetName val="12. Beban Lain-Lain LM"/>
      <sheetName val="Sheet6"/>
      <sheetName val="Sheet4"/>
      <sheetName val="Planning Production v.1 (2)"/>
      <sheetName val="Isian Marketing Bulk &amp; Retail"/>
      <sheetName val="Isian RKAP 2024 FRM"/>
      <sheetName val="Isian RKAP 2024 QSKM"/>
      <sheetName val="RKAP 2024 Warehouse"/>
      <sheetName val="3.2 Detail Cash In"/>
      <sheetName val="Prod-RKAPP"/>
      <sheetName val="Isian RKAP-P Produksi"/>
      <sheetName val="Isian RKAP Mkt Ritel"/>
      <sheetName val="Isian RKAPP Mkt Eksport &amp; Bulky"/>
      <sheetName val="Harga Gun"/>
      <sheetName val="Material Prod. Pack"/>
      <sheetName val="Sheet5"/>
      <sheetName val="Isian RKAP Plant 2 + Surabaya"/>
      <sheetName val="Sheet3"/>
      <sheetName val="Sheet2"/>
      <sheetName val="Sheet1"/>
      <sheetName val="Stock-3"/>
      <sheetName val="Stock-2"/>
      <sheetName val="Stock-1"/>
      <sheetName val="Stock-4"/>
      <sheetName val="Stock-5"/>
      <sheetName val="Stock-6"/>
      <sheetName val="Stock-7"/>
      <sheetName val="Stock-8"/>
      <sheetName val="Stock-9"/>
      <sheetName val="Stock-10"/>
      <sheetName val="Stock-11"/>
      <sheetName val="Stock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12">
          <cell r="S112">
            <v>97274.999999999869</v>
          </cell>
        </row>
        <row r="114">
          <cell r="S114">
            <v>201.16140000000118</v>
          </cell>
        </row>
        <row r="128">
          <cell r="S128">
            <v>4340.16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10">
          <cell r="AL10">
            <v>17.224766862170089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10">
          <cell r="AL10">
            <v>4.5497712609970664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68">
          <cell r="AL68">
            <v>0</v>
          </cell>
        </row>
        <row r="69">
          <cell r="AL69">
            <v>0</v>
          </cell>
        </row>
        <row r="70">
          <cell r="AL70">
            <v>0</v>
          </cell>
        </row>
        <row r="71">
          <cell r="AL71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7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8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9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0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1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2" refreshError="1"/>
      <sheetData sheetId="13" refreshError="1"/>
      <sheetData sheetId="14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</sheetData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6">
          <cell r="AL156">
            <v>0</v>
          </cell>
        </row>
        <row r="160">
          <cell r="AL160">
            <v>0</v>
          </cell>
        </row>
        <row r="161">
          <cell r="AL161">
            <v>0</v>
          </cell>
        </row>
        <row r="162">
          <cell r="AL162">
            <v>0</v>
          </cell>
        </row>
        <row r="172">
          <cell r="AL172" t="e">
            <v>#DIV/0!</v>
          </cell>
        </row>
        <row r="173">
          <cell r="AL173" t="e">
            <v>#DIV/0!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- 24"/>
    </sheetNames>
    <sheetDataSet>
      <sheetData sheetId="0">
        <row r="9">
          <cell r="AK9"/>
        </row>
        <row r="11">
          <cell r="AK11"/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- 24"/>
    </sheetNames>
    <sheetDataSet>
      <sheetData sheetId="0">
        <row r="9">
          <cell r="AL9"/>
        </row>
        <row r="11">
          <cell r="AL11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</sheetNames>
    <sheetDataSet>
      <sheetData sheetId="0">
        <row r="9">
          <cell r="AL9">
            <v>18</v>
          </cell>
        </row>
        <row r="11">
          <cell r="AL11">
            <v>13.078035190615838</v>
          </cell>
        </row>
        <row r="19">
          <cell r="D19">
            <v>34250178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 ( Revisi )"/>
      <sheetName val="Juli - 2024( Asli )"/>
      <sheetName val="Convert Gas"/>
      <sheetName val="OIP Refinery"/>
      <sheetName val="OIP Fraksinasi"/>
      <sheetName val="Direct Refinery To Fract "/>
      <sheetName val="Flow Meter"/>
      <sheetName val="Juli - 2024"/>
    </sheetNames>
    <sheetDataSet>
      <sheetData sheetId="0" refreshError="1"/>
      <sheetData sheetId="1">
        <row r="6">
          <cell r="AL6">
            <v>22</v>
          </cell>
        </row>
        <row r="8">
          <cell r="AL8">
            <v>23.454543988269798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L6">
            <v>21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Agustus - 2024"/>
      <sheetName val="HPP REF "/>
      <sheetName val="HPP FRACT "/>
      <sheetName val="SUMARY HPP"/>
      <sheetName val="Convert Gas"/>
      <sheetName val="OIP Refinery"/>
      <sheetName val="OIP Fract"/>
      <sheetName val="2024"/>
      <sheetName val="Flow Meter"/>
      <sheetName val="Detail Agustus OIP Akhir Plant"/>
    </sheetNames>
    <sheetDataSet>
      <sheetData sheetId="0"/>
      <sheetData sheetId="1">
        <row r="9">
          <cell r="AN9">
            <v>0.33632591655436067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HPP REF "/>
      <sheetName val="HPP FRACT "/>
      <sheetName val="SUMARY HPP"/>
      <sheetName val="Convert Gas"/>
      <sheetName val="OIP Refinery"/>
      <sheetName val="OIP Fract"/>
      <sheetName val="Juli - 2024xx"/>
      <sheetName val="2024"/>
      <sheetName val="Flow Meter"/>
      <sheetName val="SUMMARY HPP "/>
      <sheetName val="HPP FRACT"/>
      <sheetName val="AMOR"/>
      <sheetName val="DEP"/>
      <sheetName val="MTC"/>
      <sheetName val="LOG"/>
      <sheetName val="OH"/>
      <sheetName val="Time Sheet Bulanan"/>
      <sheetName val="Detail Septembe OIP Akhir Plant"/>
      <sheetName val="Prod"/>
      <sheetName val="Utility"/>
      <sheetName val="Qty cons analysis"/>
      <sheetName val="Downtime Ref"/>
    </sheetNames>
    <sheetDataSet>
      <sheetData sheetId="0">
        <row r="8">
          <cell r="AM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Flow Met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Downtime Ref Oktober"/>
      <sheetName val="Downtime Fract Oktober"/>
    </sheetNames>
    <sheetDataSet>
      <sheetData sheetId="0">
        <row r="8">
          <cell r="AM8">
            <v>55.059060606060598</v>
          </cell>
        </row>
        <row r="9">
          <cell r="E9">
            <v>36359000</v>
          </cell>
        </row>
        <row r="13">
          <cell r="AM13">
            <v>3.813333333333333</v>
          </cell>
        </row>
        <row r="14">
          <cell r="AM14">
            <v>0.43333333333333329</v>
          </cell>
        </row>
        <row r="15">
          <cell r="AM15">
            <v>22.02</v>
          </cell>
        </row>
        <row r="25">
          <cell r="AM25">
            <v>3069861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6">
          <cell r="AM36">
            <v>0</v>
          </cell>
        </row>
        <row r="37">
          <cell r="AM37">
            <v>0</v>
          </cell>
        </row>
        <row r="38">
          <cell r="AM38">
            <v>0</v>
          </cell>
        </row>
        <row r="39">
          <cell r="AM39">
            <v>0</v>
          </cell>
        </row>
        <row r="50">
          <cell r="AM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VF306"/>
  <sheetViews>
    <sheetView tabSelected="1" zoomScale="80" zoomScaleNormal="80" zoomScaleSheetLayoutView="70" workbookViewId="0">
      <pane xSplit="6" ySplit="3" topLeftCell="M7" activePane="bottomRight" state="frozen"/>
      <selection pane="topRight" activeCell="G1" sqref="G1"/>
      <selection pane="bottomLeft" activeCell="A4" sqref="A4"/>
      <selection pane="bottomRight" activeCell="N22" sqref="N22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2.28515625" style="1" customWidth="1"/>
    <col min="18" max="18" width="13.5703125" style="1" customWidth="1"/>
    <col min="19" max="25" width="14.5703125" style="1" customWidth="1"/>
    <col min="26" max="29" width="13.5703125" style="1" customWidth="1"/>
    <col min="30" max="31" width="14.5703125" style="1" customWidth="1"/>
    <col min="32" max="37" width="13.5703125" style="1" customWidth="1"/>
    <col min="38" max="38" width="4.5703125" style="1" customWidth="1"/>
    <col min="39" max="39" width="23.7109375" style="1" bestFit="1" customWidth="1"/>
    <col min="40" max="40" width="8.28515625" style="1" hidden="1" customWidth="1"/>
    <col min="41" max="41" width="13" style="1" hidden="1" customWidth="1"/>
    <col min="42" max="42" width="8.28515625" style="1" customWidth="1"/>
    <col min="43" max="43" width="15.28515625" style="1" bestFit="1" customWidth="1"/>
    <col min="44" max="44" width="13.7109375" style="1" bestFit="1" customWidth="1"/>
    <col min="45" max="45" width="12.42578125" style="1" bestFit="1" customWidth="1"/>
    <col min="46" max="46" width="12.28515625" style="1" bestFit="1" customWidth="1"/>
    <col min="47" max="48" width="8.28515625" style="1" customWidth="1"/>
    <col min="49" max="49" width="9.85546875" style="1" bestFit="1" customWidth="1"/>
    <col min="50" max="52" width="8.28515625" style="1" customWidth="1"/>
    <col min="53" max="53" width="8.28515625" style="1" hidden="1" customWidth="1"/>
    <col min="54" max="55" width="7.5703125" style="1" hidden="1" customWidth="1"/>
    <col min="56" max="57" width="8.28515625" style="1" hidden="1" customWidth="1"/>
    <col min="58" max="60" width="8.28515625" style="1" customWidth="1"/>
    <col min="61" max="72" width="9" style="1"/>
    <col min="73" max="73" width="12.5703125" style="1" customWidth="1"/>
    <col min="74" max="74" width="12.28515625" style="1" customWidth="1"/>
    <col min="75" max="75" width="9.28515625" style="1" customWidth="1"/>
    <col min="76" max="76" width="9.7109375" style="1" customWidth="1"/>
    <col min="77" max="77" width="15.7109375" style="1" customWidth="1"/>
    <col min="78" max="78" width="12.7109375" style="1" customWidth="1"/>
    <col min="79" max="79" width="14.28515625" style="1" customWidth="1"/>
    <col min="80" max="91" width="9" style="1"/>
    <col min="92" max="92" width="9.5703125" style="141" customWidth="1"/>
    <col min="93" max="93" width="12.42578125" style="1" customWidth="1"/>
    <col min="94" max="15057" width="9" style="1"/>
    <col min="15058" max="16384" width="9" style="46"/>
  </cols>
  <sheetData>
    <row r="1" spans="3:92" ht="45" customHeight="1" thickBot="1" x14ac:dyDescent="0.3">
      <c r="C1" s="2023" t="s">
        <v>1107</v>
      </c>
      <c r="D1" s="2023"/>
      <c r="E1" s="2023"/>
      <c r="F1" s="2023"/>
      <c r="G1" s="2023"/>
      <c r="H1" s="2023"/>
      <c r="I1" s="2023"/>
      <c r="J1" s="2023"/>
      <c r="K1" s="2023"/>
      <c r="L1" s="2023"/>
      <c r="M1" s="2023"/>
      <c r="N1" s="2023"/>
      <c r="O1" s="2023"/>
      <c r="P1" s="2023"/>
      <c r="Q1" s="2023"/>
      <c r="R1" s="2023"/>
      <c r="S1" s="2023"/>
      <c r="T1" s="2023"/>
      <c r="U1" s="2023"/>
      <c r="V1" s="2023"/>
      <c r="W1" s="2007"/>
      <c r="X1" s="2007"/>
      <c r="Y1" s="2007"/>
      <c r="Z1" s="2007"/>
      <c r="AA1" s="2007"/>
      <c r="AB1" s="2007"/>
      <c r="AC1" s="2007"/>
      <c r="AD1" s="2007"/>
      <c r="AE1" s="2007"/>
      <c r="AF1" s="2007"/>
      <c r="AG1" s="2007"/>
      <c r="AH1" s="2007"/>
      <c r="AI1" s="2007"/>
      <c r="AJ1" s="2007"/>
      <c r="AK1" s="2007"/>
      <c r="AL1" s="2007"/>
      <c r="AM1" s="2007"/>
    </row>
    <row r="2" spans="3:92" ht="30" customHeight="1" x14ac:dyDescent="0.25">
      <c r="C2" s="2026" t="s">
        <v>99</v>
      </c>
      <c r="D2" s="2028" t="s">
        <v>100</v>
      </c>
      <c r="E2" s="2030" t="s">
        <v>101</v>
      </c>
      <c r="F2" s="2032" t="s">
        <v>102</v>
      </c>
      <c r="G2" s="2024" t="s">
        <v>313</v>
      </c>
      <c r="H2" s="2025"/>
      <c r="I2" s="2025"/>
      <c r="J2" s="2025"/>
      <c r="K2" s="2025"/>
      <c r="L2" s="2025"/>
      <c r="M2" s="2025"/>
      <c r="N2" s="2025"/>
      <c r="O2" s="2025"/>
      <c r="P2" s="2025"/>
      <c r="Q2" s="2025"/>
      <c r="R2" s="2025"/>
      <c r="S2" s="2025"/>
      <c r="T2" s="2025"/>
      <c r="U2" s="2025"/>
      <c r="V2" s="2025"/>
      <c r="W2" s="2006"/>
      <c r="X2" s="2006"/>
      <c r="Y2" s="2006"/>
      <c r="Z2" s="2006"/>
      <c r="AA2" s="2006"/>
      <c r="AB2" s="2006"/>
      <c r="AC2" s="2006"/>
      <c r="AD2" s="2006"/>
      <c r="AE2" s="2006"/>
      <c r="AF2" s="2006"/>
      <c r="AG2" s="2006"/>
      <c r="AH2" s="2006"/>
      <c r="AI2" s="2006"/>
      <c r="AJ2" s="2006"/>
      <c r="AK2" s="2009"/>
      <c r="AM2" s="2021" t="s">
        <v>296</v>
      </c>
    </row>
    <row r="3" spans="3:92" x14ac:dyDescent="0.25">
      <c r="C3" s="2027"/>
      <c r="D3" s="2029"/>
      <c r="E3" s="2031"/>
      <c r="F3" s="2033"/>
      <c r="G3" s="364">
        <v>1</v>
      </c>
      <c r="H3" s="364">
        <v>2</v>
      </c>
      <c r="I3" s="364">
        <v>3</v>
      </c>
      <c r="J3" s="364">
        <v>4</v>
      </c>
      <c r="K3" s="364">
        <v>5</v>
      </c>
      <c r="L3" s="364">
        <v>6</v>
      </c>
      <c r="M3" s="364">
        <v>7</v>
      </c>
      <c r="N3" s="364">
        <v>8</v>
      </c>
      <c r="O3" s="364">
        <v>9</v>
      </c>
      <c r="P3" s="364">
        <v>10</v>
      </c>
      <c r="Q3" s="364">
        <v>11</v>
      </c>
      <c r="R3" s="364">
        <v>12</v>
      </c>
      <c r="S3" s="364">
        <v>13</v>
      </c>
      <c r="T3" s="364">
        <v>14</v>
      </c>
      <c r="U3" s="364">
        <v>15</v>
      </c>
      <c r="V3" s="364">
        <v>16</v>
      </c>
      <c r="W3" s="364">
        <v>17</v>
      </c>
      <c r="X3" s="364">
        <v>18</v>
      </c>
      <c r="Y3" s="364">
        <v>19</v>
      </c>
      <c r="Z3" s="364">
        <v>20</v>
      </c>
      <c r="AA3" s="364">
        <v>21</v>
      </c>
      <c r="AB3" s="364">
        <v>22</v>
      </c>
      <c r="AC3" s="364">
        <v>23</v>
      </c>
      <c r="AD3" s="364">
        <v>24</v>
      </c>
      <c r="AE3" s="364">
        <v>25</v>
      </c>
      <c r="AF3" s="364">
        <v>26</v>
      </c>
      <c r="AG3" s="364">
        <v>27</v>
      </c>
      <c r="AH3" s="364">
        <v>28</v>
      </c>
      <c r="AI3" s="364">
        <v>29</v>
      </c>
      <c r="AJ3" s="364">
        <v>30</v>
      </c>
      <c r="AK3" s="364">
        <v>31</v>
      </c>
      <c r="AM3" s="2022"/>
    </row>
    <row r="4" spans="3:92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2010"/>
      <c r="AL4" s="3"/>
      <c r="AM4" s="52" t="s">
        <v>127</v>
      </c>
    </row>
    <row r="5" spans="3:92" x14ac:dyDescent="0.25">
      <c r="C5" s="8"/>
      <c r="D5" s="9" t="s">
        <v>16</v>
      </c>
      <c r="E5" s="250"/>
      <c r="F5" s="10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3"/>
      <c r="AM5" s="53" t="s">
        <v>16</v>
      </c>
    </row>
    <row r="6" spans="3:92" x14ac:dyDescent="0.25">
      <c r="C6" s="8"/>
      <c r="D6" s="11" t="s">
        <v>84</v>
      </c>
      <c r="E6" s="251"/>
      <c r="F6" s="12" t="s">
        <v>83</v>
      </c>
      <c r="G6" s="33"/>
      <c r="H6" s="33"/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/>
      <c r="AG6" s="33"/>
      <c r="AH6" s="33"/>
      <c r="AI6" s="33"/>
      <c r="AJ6" s="33"/>
      <c r="AK6" s="33"/>
      <c r="AL6" s="3"/>
      <c r="AM6" s="55">
        <f>SUM(G6:AJ6)</f>
        <v>23</v>
      </c>
    </row>
    <row r="7" spans="3:92" x14ac:dyDescent="0.25">
      <c r="C7" s="8"/>
      <c r="D7" s="72" t="s">
        <v>125</v>
      </c>
      <c r="E7" s="251"/>
      <c r="F7" s="73" t="s">
        <v>14</v>
      </c>
      <c r="G7" s="270">
        <f>'[1]01'!$P$15</f>
        <v>864484</v>
      </c>
      <c r="H7" s="270">
        <f>'[1]02'!$P$15</f>
        <v>920182</v>
      </c>
      <c r="I7" s="270">
        <f>'[1]03'!$P$15</f>
        <v>464321</v>
      </c>
      <c r="J7" s="270">
        <f>'[2]30 (Stock Opname)'!$P$15</f>
        <v>1416573</v>
      </c>
      <c r="K7" s="270">
        <f>'[3]02'!$P$15</f>
        <v>920182</v>
      </c>
      <c r="L7" s="270">
        <f>'[4]06'!$P$15</f>
        <v>1133688</v>
      </c>
      <c r="M7" s="270">
        <f>'[4]07'!$P$15</f>
        <v>1225114</v>
      </c>
      <c r="N7" s="270"/>
      <c r="O7" s="270">
        <f>'[5]09'!$P$15</f>
        <v>600192</v>
      </c>
      <c r="P7" s="270">
        <f>'[6]10'!$P$15</f>
        <v>397080</v>
      </c>
      <c r="Q7" s="270">
        <f>'[7]11'!$P$15</f>
        <v>902048</v>
      </c>
      <c r="R7" s="270">
        <f>'[8]12'!$P$15</f>
        <v>558257</v>
      </c>
      <c r="S7" s="270">
        <f>'[9]13'!$P$15</f>
        <v>248740</v>
      </c>
      <c r="T7" s="270">
        <f>'[10]14'!$P$15</f>
        <v>598141</v>
      </c>
      <c r="U7" s="270">
        <v>0</v>
      </c>
      <c r="V7" s="270">
        <f>'[11]16'!$P$15</f>
        <v>313454</v>
      </c>
      <c r="W7" s="270">
        <v>0</v>
      </c>
      <c r="X7" s="270">
        <f>'[8]18'!$P$15</f>
        <v>111765</v>
      </c>
      <c r="Y7" s="270">
        <f>'[10]19'!$P$15</f>
        <v>0</v>
      </c>
      <c r="Z7" s="270">
        <f>'[12]20'!$P$15</f>
        <v>28079</v>
      </c>
      <c r="AA7" s="270">
        <v>0</v>
      </c>
      <c r="AB7" s="270">
        <v>0</v>
      </c>
      <c r="AC7" s="270">
        <v>0</v>
      </c>
      <c r="AD7" s="270">
        <v>0</v>
      </c>
      <c r="AE7" s="270">
        <v>0</v>
      </c>
      <c r="AF7" s="270">
        <v>0</v>
      </c>
      <c r="AG7" s="270">
        <f>'[9]27'!$P$15</f>
        <v>326528</v>
      </c>
      <c r="AH7" s="270">
        <v>172434</v>
      </c>
      <c r="AI7" s="270"/>
      <c r="AJ7" s="270"/>
      <c r="AK7" s="270"/>
      <c r="AL7" s="3"/>
      <c r="AM7" s="58">
        <f>SUM(G7:AJ7)</f>
        <v>11201262</v>
      </c>
      <c r="AQ7" s="3"/>
    </row>
    <row r="8" spans="3:92" x14ac:dyDescent="0.25">
      <c r="C8" s="8"/>
      <c r="D8" s="11" t="s">
        <v>103</v>
      </c>
      <c r="E8" s="251"/>
      <c r="F8" s="13" t="s">
        <v>25</v>
      </c>
      <c r="G8" s="34">
        <f>G9/2500000*100</f>
        <v>0</v>
      </c>
      <c r="H8" s="34">
        <f t="shared" ref="H8:AK8" si="0">H9/2500000*100</f>
        <v>0</v>
      </c>
      <c r="I8" s="1812">
        <f>I9/2500000</f>
        <v>0</v>
      </c>
      <c r="J8" s="1812">
        <f t="shared" ref="J8:W8" si="1">J9/2500000</f>
        <v>0</v>
      </c>
      <c r="K8" s="1812">
        <f t="shared" si="1"/>
        <v>0</v>
      </c>
      <c r="L8" s="1812">
        <f t="shared" si="1"/>
        <v>0</v>
      </c>
      <c r="M8" s="1812">
        <f t="shared" si="1"/>
        <v>0.1978084</v>
      </c>
      <c r="N8" s="1812">
        <f t="shared" si="1"/>
        <v>0.74591280000000004</v>
      </c>
      <c r="O8" s="1812">
        <f t="shared" si="1"/>
        <v>0.63258000000000003</v>
      </c>
      <c r="P8" s="1812">
        <f t="shared" si="1"/>
        <v>0.24840999999999999</v>
      </c>
      <c r="Q8" s="1812">
        <f t="shared" si="1"/>
        <v>9.9193600000000007E-2</v>
      </c>
      <c r="R8" s="34">
        <f t="shared" ref="R8" si="2">R9/2500000*100</f>
        <v>42.527999999999999</v>
      </c>
      <c r="S8" s="1812">
        <f t="shared" ref="S8" si="3">S9/2500000</f>
        <v>0.87851520000000005</v>
      </c>
      <c r="T8" s="34">
        <f t="shared" ref="T8:U8" si="4">T9/2500000*100</f>
        <v>65.564520000000002</v>
      </c>
      <c r="U8" s="34">
        <f t="shared" si="4"/>
        <v>64.668479999999988</v>
      </c>
      <c r="V8" s="1812">
        <f t="shared" si="1"/>
        <v>0.36285440000000002</v>
      </c>
      <c r="W8" s="1812">
        <f t="shared" si="1"/>
        <v>0.78489679999999995</v>
      </c>
      <c r="X8" s="1812">
        <f>X9/2500000</f>
        <v>0.96656439999999999</v>
      </c>
      <c r="Y8" s="1812">
        <f t="shared" ref="Y8:AD8" si="5">Y9/2500000</f>
        <v>0.86218879999999998</v>
      </c>
      <c r="Z8" s="1812">
        <f t="shared" si="5"/>
        <v>0.59956880000000001</v>
      </c>
      <c r="AA8" s="1812">
        <f t="shared" si="5"/>
        <v>0.27942600000000001</v>
      </c>
      <c r="AB8" s="1812">
        <f t="shared" si="5"/>
        <v>0.67005000000000003</v>
      </c>
      <c r="AC8" s="1812">
        <f t="shared" si="5"/>
        <v>0.71614040000000001</v>
      </c>
      <c r="AD8" s="1812">
        <f t="shared" si="5"/>
        <v>0.29537639999999998</v>
      </c>
      <c r="AE8" s="1812">
        <f>AE9/2500000</f>
        <v>4.2006799999999997E-2</v>
      </c>
      <c r="AF8" s="34">
        <f t="shared" si="0"/>
        <v>0</v>
      </c>
      <c r="AG8" s="34">
        <f t="shared" si="0"/>
        <v>0</v>
      </c>
      <c r="AH8" s="34">
        <f t="shared" si="0"/>
        <v>0</v>
      </c>
      <c r="AI8" s="34">
        <f t="shared" si="0"/>
        <v>0</v>
      </c>
      <c r="AJ8" s="34">
        <f t="shared" si="0"/>
        <v>0</v>
      </c>
      <c r="AK8" s="34">
        <f t="shared" si="0"/>
        <v>0</v>
      </c>
      <c r="AL8" s="3"/>
      <c r="AM8" s="1848">
        <f>AM9/2500000/AM6</f>
        <v>0.43952620869565218</v>
      </c>
      <c r="AQ8" s="1805"/>
    </row>
    <row r="9" spans="3:92" s="1" customFormat="1" x14ac:dyDescent="0.25">
      <c r="C9" s="8"/>
      <c r="D9" s="56" t="s">
        <v>96</v>
      </c>
      <c r="E9" s="234">
        <v>36359000</v>
      </c>
      <c r="F9" s="57" t="s">
        <v>14</v>
      </c>
      <c r="G9" s="270"/>
      <c r="H9" s="270"/>
      <c r="I9" s="270">
        <f>'[2]30 (Stock Opname)'!$Q$15</f>
        <v>0</v>
      </c>
      <c r="J9" s="270">
        <f>'[2]30 (Stock Opname)'!$Q$15</f>
        <v>0</v>
      </c>
      <c r="K9" s="270"/>
      <c r="L9" s="270"/>
      <c r="M9" s="270">
        <v>494521</v>
      </c>
      <c r="N9" s="270">
        <f>'[4]08'!$Q$15</f>
        <v>1864782</v>
      </c>
      <c r="O9" s="270">
        <v>1581450</v>
      </c>
      <c r="P9" s="270">
        <f>'[6]10'!$Q$15</f>
        <v>621025</v>
      </c>
      <c r="Q9" s="270">
        <f>'[7]11'!$Q$15</f>
        <v>247984</v>
      </c>
      <c r="R9" s="270">
        <f>'[8]12'!$Q$15</f>
        <v>1063200</v>
      </c>
      <c r="S9" s="270">
        <f>'[9]13'!$Q$15</f>
        <v>2196288</v>
      </c>
      <c r="T9" s="270">
        <f>'[10]14'!$Q$15</f>
        <v>1639113</v>
      </c>
      <c r="U9" s="270">
        <f>'[10]15'!$Q$15</f>
        <v>1616712</v>
      </c>
      <c r="V9" s="270">
        <f>'[11]16'!$Q$15</f>
        <v>907136</v>
      </c>
      <c r="W9" s="270">
        <f>'[13]17'!$Q$15</f>
        <v>1962242</v>
      </c>
      <c r="X9" s="270">
        <f>'[8]18'!$Q$15</f>
        <v>2416411</v>
      </c>
      <c r="Y9" s="270">
        <f>'[10]19'!$Q$15</f>
        <v>2155472</v>
      </c>
      <c r="Z9" s="270">
        <f>'[12]20'!$Q$15</f>
        <v>1498922</v>
      </c>
      <c r="AA9" s="270">
        <f>'[12]21'!$Q$15</f>
        <v>698565</v>
      </c>
      <c r="AB9" s="270">
        <f>'[12]22'!$Q$15</f>
        <v>1675125</v>
      </c>
      <c r="AC9" s="270">
        <f>'[14]23'!$Q$15</f>
        <v>1790351</v>
      </c>
      <c r="AD9" s="270">
        <f>'[15]24'!$Q$15</f>
        <v>738441</v>
      </c>
      <c r="AE9" s="270">
        <f>'[15]25'!$Q$15</f>
        <v>105017</v>
      </c>
      <c r="AF9" s="270"/>
      <c r="AG9" s="270">
        <f>'[9]27'!$Q$15</f>
        <v>0</v>
      </c>
      <c r="AH9" s="270"/>
      <c r="AI9" s="270"/>
      <c r="AJ9" s="270"/>
      <c r="AK9" s="270"/>
      <c r="AM9" s="58">
        <f>SUM(G9:AJ9)</f>
        <v>25272757</v>
      </c>
      <c r="AQ9" s="1805"/>
      <c r="BG9" s="4"/>
      <c r="CN9" s="142"/>
    </row>
    <row r="10" spans="3:92" s="1" customFormat="1" x14ac:dyDescent="0.25">
      <c r="C10" s="8"/>
      <c r="D10" s="948" t="s">
        <v>379</v>
      </c>
      <c r="E10" s="949"/>
      <c r="F10" s="62"/>
      <c r="G10" s="950"/>
      <c r="H10" s="950"/>
      <c r="I10" s="950"/>
      <c r="J10" s="950"/>
      <c r="K10" s="950"/>
      <c r="L10" s="950"/>
      <c r="M10" s="950"/>
      <c r="N10" s="950"/>
      <c r="O10" s="950"/>
      <c r="P10" s="950"/>
      <c r="Q10" s="950"/>
      <c r="R10" s="950"/>
      <c r="S10" s="950"/>
      <c r="T10" s="950"/>
      <c r="U10" s="950"/>
      <c r="V10" s="950"/>
      <c r="W10" s="950"/>
      <c r="X10" s="950"/>
      <c r="Y10" s="950"/>
      <c r="Z10" s="950"/>
      <c r="AA10" s="950"/>
      <c r="AB10" s="950"/>
      <c r="AC10" s="950"/>
      <c r="AD10" s="950"/>
      <c r="AE10" s="950"/>
      <c r="AF10" s="950"/>
      <c r="AG10" s="950"/>
      <c r="AH10" s="950"/>
      <c r="AI10" s="950"/>
      <c r="AJ10" s="950"/>
      <c r="AK10" s="950"/>
      <c r="AL10" s="63"/>
      <c r="AM10" s="520">
        <f>AM9/AM6</f>
        <v>1098815.5217391304</v>
      </c>
      <c r="AN10" s="474">
        <f>AM9/E9</f>
        <v>0.69508944140377893</v>
      </c>
      <c r="AQ10" s="1531"/>
      <c r="BG10" s="4"/>
      <c r="CN10" s="142"/>
    </row>
    <row r="11" spans="3:92" s="1" customFormat="1" x14ac:dyDescent="0.25">
      <c r="C11" s="8"/>
      <c r="D11" s="21" t="s">
        <v>97</v>
      </c>
      <c r="E11" s="234">
        <v>29045000</v>
      </c>
      <c r="F11" s="13" t="s">
        <v>14</v>
      </c>
      <c r="G11" s="33">
        <f>G9-G12</f>
        <v>0</v>
      </c>
      <c r="H11" s="33">
        <f>H9-H12</f>
        <v>0</v>
      </c>
      <c r="I11" s="33">
        <f t="shared" ref="I11:AJ11" si="6">I9-I12</f>
        <v>0</v>
      </c>
      <c r="J11" s="33">
        <f t="shared" si="6"/>
        <v>0</v>
      </c>
      <c r="K11" s="33"/>
      <c r="L11" s="33">
        <f t="shared" si="6"/>
        <v>0</v>
      </c>
      <c r="M11" s="33">
        <f t="shared" si="6"/>
        <v>494521</v>
      </c>
      <c r="N11" s="33">
        <f t="shared" si="6"/>
        <v>1864782</v>
      </c>
      <c r="O11" s="33">
        <f>O9-O12</f>
        <v>1581450</v>
      </c>
      <c r="P11" s="33">
        <f t="shared" si="6"/>
        <v>621025</v>
      </c>
      <c r="Q11" s="33">
        <f t="shared" si="6"/>
        <v>247984</v>
      </c>
      <c r="R11" s="33">
        <f t="shared" si="6"/>
        <v>1063200</v>
      </c>
      <c r="S11" s="33">
        <f t="shared" si="6"/>
        <v>2196288</v>
      </c>
      <c r="T11" s="33">
        <f t="shared" si="6"/>
        <v>1639113</v>
      </c>
      <c r="U11" s="33">
        <f t="shared" si="6"/>
        <v>1616712</v>
      </c>
      <c r="V11" s="33">
        <f t="shared" si="6"/>
        <v>907136</v>
      </c>
      <c r="W11" s="33">
        <f t="shared" si="6"/>
        <v>1962242</v>
      </c>
      <c r="X11" s="33">
        <f t="shared" si="6"/>
        <v>2416411</v>
      </c>
      <c r="Y11" s="33">
        <f t="shared" si="6"/>
        <v>2155472</v>
      </c>
      <c r="Z11" s="33">
        <f t="shared" si="6"/>
        <v>1498922</v>
      </c>
      <c r="AA11" s="33">
        <f t="shared" si="6"/>
        <v>698565</v>
      </c>
      <c r="AB11" s="33">
        <f t="shared" si="6"/>
        <v>1675125</v>
      </c>
      <c r="AC11" s="33">
        <f t="shared" si="6"/>
        <v>1790351</v>
      </c>
      <c r="AD11" s="33">
        <f t="shared" si="6"/>
        <v>738441</v>
      </c>
      <c r="AE11" s="33">
        <f t="shared" si="6"/>
        <v>105017</v>
      </c>
      <c r="AF11" s="33">
        <f t="shared" si="6"/>
        <v>0</v>
      </c>
      <c r="AG11" s="33">
        <f t="shared" si="6"/>
        <v>0</v>
      </c>
      <c r="AH11" s="33">
        <f t="shared" si="6"/>
        <v>0</v>
      </c>
      <c r="AI11" s="33">
        <f t="shared" si="6"/>
        <v>0</v>
      </c>
      <c r="AJ11" s="33">
        <f t="shared" si="6"/>
        <v>0</v>
      </c>
      <c r="AK11" s="33">
        <f t="shared" ref="AK11" si="7">AK9-AK12</f>
        <v>0</v>
      </c>
      <c r="AM11" s="55">
        <f>SUM(G11:AJ11)</f>
        <v>25272757</v>
      </c>
      <c r="CN11" s="142"/>
    </row>
    <row r="12" spans="3:92" s="1" customFormat="1" x14ac:dyDescent="0.25">
      <c r="C12" s="8"/>
      <c r="D12" s="21" t="s">
        <v>98</v>
      </c>
      <c r="E12" s="234">
        <v>7314000</v>
      </c>
      <c r="F12" s="13" t="s">
        <v>14</v>
      </c>
      <c r="G12" s="33">
        <f>G39+G48+G53</f>
        <v>0</v>
      </c>
      <c r="H12" s="33">
        <f>H39+H48+H53</f>
        <v>0</v>
      </c>
      <c r="I12" s="33">
        <f t="shared" ref="I12:AJ12" si="8">I39+I48+I53</f>
        <v>0</v>
      </c>
      <c r="J12" s="33">
        <f t="shared" si="8"/>
        <v>0</v>
      </c>
      <c r="K12" s="33">
        <v>0</v>
      </c>
      <c r="L12" s="33">
        <f t="shared" si="8"/>
        <v>0</v>
      </c>
      <c r="M12" s="33">
        <f t="shared" si="8"/>
        <v>0</v>
      </c>
      <c r="N12" s="33">
        <f t="shared" si="8"/>
        <v>0</v>
      </c>
      <c r="O12" s="33">
        <f t="shared" si="8"/>
        <v>0</v>
      </c>
      <c r="P12" s="33">
        <f t="shared" si="8"/>
        <v>0</v>
      </c>
      <c r="Q12" s="33">
        <f t="shared" si="8"/>
        <v>0</v>
      </c>
      <c r="R12" s="33">
        <f t="shared" si="8"/>
        <v>0</v>
      </c>
      <c r="S12" s="33">
        <f t="shared" si="8"/>
        <v>0</v>
      </c>
      <c r="T12" s="33">
        <f t="shared" si="8"/>
        <v>0</v>
      </c>
      <c r="U12" s="33">
        <f t="shared" si="8"/>
        <v>0</v>
      </c>
      <c r="V12" s="33">
        <f t="shared" si="8"/>
        <v>0</v>
      </c>
      <c r="W12" s="33">
        <f t="shared" si="8"/>
        <v>0</v>
      </c>
      <c r="X12" s="33">
        <f t="shared" si="8"/>
        <v>0</v>
      </c>
      <c r="Y12" s="33">
        <f t="shared" si="8"/>
        <v>0</v>
      </c>
      <c r="Z12" s="33">
        <f t="shared" si="8"/>
        <v>0</v>
      </c>
      <c r="AA12" s="33">
        <f t="shared" si="8"/>
        <v>0</v>
      </c>
      <c r="AB12" s="33">
        <f t="shared" si="8"/>
        <v>0</v>
      </c>
      <c r="AC12" s="33">
        <f t="shared" si="8"/>
        <v>0</v>
      </c>
      <c r="AD12" s="33">
        <f t="shared" si="8"/>
        <v>0</v>
      </c>
      <c r="AE12" s="33">
        <f t="shared" si="8"/>
        <v>0</v>
      </c>
      <c r="AF12" s="33">
        <f t="shared" si="8"/>
        <v>0</v>
      </c>
      <c r="AG12" s="33">
        <f t="shared" si="8"/>
        <v>0</v>
      </c>
      <c r="AH12" s="33">
        <f t="shared" si="8"/>
        <v>0</v>
      </c>
      <c r="AI12" s="33">
        <f t="shared" si="8"/>
        <v>0</v>
      </c>
      <c r="AJ12" s="33">
        <f t="shared" si="8"/>
        <v>0</v>
      </c>
      <c r="AK12" s="33">
        <f t="shared" ref="AK12" si="9">AK39+AK48+AK53</f>
        <v>0</v>
      </c>
      <c r="AM12" s="55">
        <f>SUM(G12:AJ12)</f>
        <v>0</v>
      </c>
      <c r="AQ12" s="1531"/>
      <c r="CN12" s="142"/>
    </row>
    <row r="13" spans="3:92" s="1" customFormat="1" x14ac:dyDescent="0.25">
      <c r="C13" s="8"/>
      <c r="D13" s="14" t="s">
        <v>82</v>
      </c>
      <c r="E13" s="252">
        <v>5</v>
      </c>
      <c r="F13" s="13" t="s">
        <v>25</v>
      </c>
      <c r="G13" s="29"/>
      <c r="H13" s="29"/>
      <c r="I13" s="29">
        <v>3.92</v>
      </c>
      <c r="J13" s="29">
        <v>3.9</v>
      </c>
      <c r="K13" s="29"/>
      <c r="L13" s="29"/>
      <c r="M13" s="29">
        <v>3.94</v>
      </c>
      <c r="N13" s="29">
        <v>3.95</v>
      </c>
      <c r="O13" s="29">
        <v>3.98</v>
      </c>
      <c r="P13" s="29">
        <v>4.03</v>
      </c>
      <c r="Q13" s="29">
        <v>4.0599999999999996</v>
      </c>
      <c r="R13" s="29">
        <v>3.95</v>
      </c>
      <c r="S13" s="29">
        <v>4.01</v>
      </c>
      <c r="T13" s="29">
        <v>4.01</v>
      </c>
      <c r="U13" s="29">
        <v>3.99</v>
      </c>
      <c r="V13" s="1690" t="s">
        <v>989</v>
      </c>
      <c r="W13" s="29">
        <v>3.85</v>
      </c>
      <c r="X13" s="29">
        <v>4</v>
      </c>
      <c r="Y13" s="29">
        <f>(4.09+4.06)/2</f>
        <v>4.0749999999999993</v>
      </c>
      <c r="Z13" s="29">
        <v>4.0999999999999996</v>
      </c>
      <c r="AA13" s="29">
        <v>4.08</v>
      </c>
      <c r="AB13" s="29">
        <v>4.1100000000000003</v>
      </c>
      <c r="AC13" s="34">
        <v>4.12</v>
      </c>
      <c r="AD13" s="34">
        <v>4.5999999999999996</v>
      </c>
      <c r="AE13" s="33"/>
      <c r="AF13" s="33"/>
      <c r="AG13" s="33">
        <v>0</v>
      </c>
      <c r="AH13" s="33"/>
      <c r="AI13" s="33"/>
      <c r="AJ13" s="33"/>
      <c r="AK13" s="33"/>
      <c r="AM13" s="59">
        <f>SUM(G13:AJ13)/AM6</f>
        <v>3.3336956521739136</v>
      </c>
      <c r="CN13" s="141"/>
    </row>
    <row r="14" spans="3:92" s="1" customFormat="1" x14ac:dyDescent="0.25">
      <c r="C14" s="8"/>
      <c r="D14" s="14" t="s">
        <v>81</v>
      </c>
      <c r="E14" s="252">
        <v>0.5</v>
      </c>
      <c r="F14" s="13" t="s">
        <v>25</v>
      </c>
      <c r="G14" s="29"/>
      <c r="H14" s="29"/>
      <c r="I14" s="29">
        <v>0.4</v>
      </c>
      <c r="J14" s="29">
        <v>0.42</v>
      </c>
      <c r="K14" s="29"/>
      <c r="L14" s="29"/>
      <c r="M14" s="29">
        <v>0.39</v>
      </c>
      <c r="N14" s="29">
        <v>0.39</v>
      </c>
      <c r="O14" s="29">
        <v>0.39</v>
      </c>
      <c r="P14" s="29">
        <v>0.4</v>
      </c>
      <c r="Q14" s="29">
        <v>0.42</v>
      </c>
      <c r="R14" s="29">
        <v>0.44</v>
      </c>
      <c r="S14" s="29">
        <v>0.39</v>
      </c>
      <c r="T14" s="29">
        <v>0.4</v>
      </c>
      <c r="U14" s="29">
        <v>0.4</v>
      </c>
      <c r="V14" s="29">
        <v>0.41</v>
      </c>
      <c r="W14" s="29">
        <v>0.42</v>
      </c>
      <c r="X14" s="29">
        <v>0.43</v>
      </c>
      <c r="Y14" s="29">
        <f>(0.44+0.42)/2</f>
        <v>0.43</v>
      </c>
      <c r="Z14" s="29">
        <v>0.4</v>
      </c>
      <c r="AA14" s="29">
        <v>0.4</v>
      </c>
      <c r="AB14" s="29">
        <v>0.4</v>
      </c>
      <c r="AC14" s="34">
        <v>0.44</v>
      </c>
      <c r="AD14" s="34">
        <v>0.6</v>
      </c>
      <c r="AE14" s="33"/>
      <c r="AF14" s="33"/>
      <c r="AG14" s="33">
        <v>0</v>
      </c>
      <c r="AH14" s="33"/>
      <c r="AI14" s="33"/>
      <c r="AJ14" s="33"/>
      <c r="AK14" s="33"/>
      <c r="AM14" s="59">
        <f>SUM(G14:AJ14)/AM6</f>
        <v>0.36391304347826092</v>
      </c>
      <c r="BG14" s="4"/>
      <c r="CN14" s="142"/>
    </row>
    <row r="15" spans="3:92" s="1" customFormat="1" x14ac:dyDescent="0.25">
      <c r="C15" s="8"/>
      <c r="D15" s="14" t="s">
        <v>80</v>
      </c>
      <c r="E15" s="253" t="s">
        <v>79</v>
      </c>
      <c r="F15" s="13" t="s">
        <v>25</v>
      </c>
      <c r="G15" s="29"/>
      <c r="H15" s="29"/>
      <c r="I15" s="29">
        <v>2.2200000000000002</v>
      </c>
      <c r="J15" s="1690" t="s">
        <v>937</v>
      </c>
      <c r="K15" s="29"/>
      <c r="L15" s="29"/>
      <c r="M15" s="29">
        <v>2.21</v>
      </c>
      <c r="N15" s="29">
        <v>2.2000000000000002</v>
      </c>
      <c r="O15" s="29">
        <v>2.21</v>
      </c>
      <c r="P15" s="29">
        <v>2.2000000000000002</v>
      </c>
      <c r="Q15" s="29">
        <v>2.21</v>
      </c>
      <c r="R15" s="29">
        <v>2.4</v>
      </c>
      <c r="S15" s="29">
        <v>2.4</v>
      </c>
      <c r="T15" s="29">
        <v>2.2000000000000002</v>
      </c>
      <c r="U15" s="29">
        <v>2.2000000000000002</v>
      </c>
      <c r="V15" s="29">
        <v>2.38</v>
      </c>
      <c r="W15" s="29">
        <v>2.2000000000000002</v>
      </c>
      <c r="X15" s="29">
        <v>2.2000000000000002</v>
      </c>
      <c r="Y15" s="29">
        <v>2.2000000000000002</v>
      </c>
      <c r="Z15" s="29">
        <v>2.2000000000000002</v>
      </c>
      <c r="AA15" s="29">
        <v>2.2000000000000002</v>
      </c>
      <c r="AB15" s="29">
        <v>2.2000000000000002</v>
      </c>
      <c r="AC15" s="34">
        <v>2.21</v>
      </c>
      <c r="AD15" s="34">
        <v>2.2000000000000002</v>
      </c>
      <c r="AE15" s="33"/>
      <c r="AF15" s="33"/>
      <c r="AG15" s="33">
        <v>0</v>
      </c>
      <c r="AH15" s="33"/>
      <c r="AI15" s="33"/>
      <c r="AJ15" s="33"/>
      <c r="AK15" s="33"/>
      <c r="AM15" s="59">
        <f>SUM(G15:AJ15)/AM6</f>
        <v>1.8452173913043481</v>
      </c>
      <c r="CN15" s="142"/>
    </row>
    <row r="16" spans="3:92" s="1" customFormat="1" x14ac:dyDescent="0.25">
      <c r="C16" s="8"/>
      <c r="D16" s="65" t="s">
        <v>938</v>
      </c>
      <c r="E16" s="1691"/>
      <c r="F16" s="57"/>
      <c r="G16" s="1692"/>
      <c r="H16" s="1692"/>
      <c r="I16" s="1693">
        <v>104</v>
      </c>
      <c r="J16" s="1694">
        <v>104</v>
      </c>
      <c r="K16" s="1692"/>
      <c r="L16" s="1692"/>
      <c r="M16" s="1693">
        <v>103</v>
      </c>
      <c r="N16" s="1693">
        <v>104</v>
      </c>
      <c r="O16" s="1693">
        <v>104</v>
      </c>
      <c r="P16" s="1693">
        <v>104</v>
      </c>
      <c r="Q16" s="1693">
        <v>104</v>
      </c>
      <c r="R16" s="1693">
        <v>105</v>
      </c>
      <c r="S16" s="1693">
        <v>105</v>
      </c>
      <c r="T16" s="1693">
        <v>106</v>
      </c>
      <c r="U16" s="1693">
        <v>106</v>
      </c>
      <c r="V16" s="1693">
        <v>106</v>
      </c>
      <c r="W16" s="1693">
        <v>107</v>
      </c>
      <c r="X16" s="1693">
        <v>107</v>
      </c>
      <c r="Y16" s="1980">
        <v>107.10299999999999</v>
      </c>
      <c r="Z16" s="1693">
        <v>103</v>
      </c>
      <c r="AA16" s="1693">
        <v>103</v>
      </c>
      <c r="AB16" s="1693">
        <v>104</v>
      </c>
      <c r="AC16" s="270">
        <v>105</v>
      </c>
      <c r="AD16" s="2001" t="s">
        <v>1093</v>
      </c>
      <c r="AE16" s="270"/>
      <c r="AF16" s="270"/>
      <c r="AG16" s="270">
        <v>0</v>
      </c>
      <c r="AH16" s="270"/>
      <c r="AI16" s="270"/>
      <c r="AJ16" s="270"/>
      <c r="AK16" s="270"/>
      <c r="AM16" s="59"/>
      <c r="CN16" s="142"/>
    </row>
    <row r="17" spans="3:92 15061:15105" s="1" customFormat="1" x14ac:dyDescent="0.25">
      <c r="C17" s="8"/>
      <c r="D17" s="60" t="s">
        <v>78</v>
      </c>
      <c r="E17" s="254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3"/>
      <c r="AM17" s="64" t="s">
        <v>78</v>
      </c>
      <c r="CN17" s="142"/>
    </row>
    <row r="18" spans="3:92 15061:15105" s="1" customFormat="1" x14ac:dyDescent="0.25">
      <c r="C18" s="8"/>
      <c r="D18" s="831" t="s">
        <v>360</v>
      </c>
      <c r="E18" s="254"/>
      <c r="F18" s="62"/>
      <c r="G18" s="33"/>
      <c r="H18" s="33"/>
      <c r="I18" s="33"/>
      <c r="J18" s="33">
        <f>'OIP Refinery '!K9</f>
        <v>308515.38</v>
      </c>
      <c r="K18" s="33">
        <f>'OIP Refinery '!L10</f>
        <v>0</v>
      </c>
      <c r="L18" s="33">
        <f>'OIP Refinery '!L11</f>
        <v>24423</v>
      </c>
      <c r="M18" s="33">
        <f>'OIP Refinery '!L12</f>
        <v>-23693</v>
      </c>
      <c r="N18" s="33">
        <f>'OIP Refinery '!L13</f>
        <v>8781</v>
      </c>
      <c r="O18" s="33">
        <f>'OIP Refinery '!L14</f>
        <v>-6501</v>
      </c>
      <c r="P18" s="33">
        <f>'OIP Refinery '!L15</f>
        <v>-1620</v>
      </c>
      <c r="Q18" s="33">
        <f>'OIP Refinery '!L16</f>
        <v>727</v>
      </c>
      <c r="R18" s="33"/>
      <c r="S18" s="33">
        <f>'[16]OIP Refinery '!L18</f>
        <v>16100</v>
      </c>
      <c r="T18" s="33"/>
      <c r="U18" s="33"/>
      <c r="V18" s="33">
        <f>'OIP Refinery '!L21</f>
        <v>9196</v>
      </c>
      <c r="W18" s="33">
        <f>'OIP Refinery '!L22</f>
        <v>-35039</v>
      </c>
      <c r="X18" s="33">
        <f>'OIP Refinery '!L23</f>
        <v>-426</v>
      </c>
      <c r="Y18" s="33">
        <f>'OIP Refinery '!L24</f>
        <v>4784</v>
      </c>
      <c r="Z18" s="33">
        <f>'OIP Refinery '!L25</f>
        <v>22542</v>
      </c>
      <c r="AA18" s="33">
        <f>'OIP Refinery '!L26</f>
        <v>9106</v>
      </c>
      <c r="AB18" s="33">
        <f>'OIP Refinery '!L27</f>
        <v>-1526</v>
      </c>
      <c r="AC18" s="33">
        <f>'OIP Refinery '!L28</f>
        <v>-17952</v>
      </c>
      <c r="AD18" s="33">
        <f>'OIP Refinery '!L29</f>
        <v>108237</v>
      </c>
      <c r="AE18" s="33">
        <f>'OIP Refinery '!L30</f>
        <v>9535</v>
      </c>
      <c r="AF18" s="33"/>
      <c r="AG18" s="33">
        <f>'OIP Refinery '!L32</f>
        <v>0</v>
      </c>
      <c r="AH18" s="33"/>
      <c r="AI18" s="33"/>
      <c r="AJ18" s="33"/>
      <c r="AK18" s="33"/>
      <c r="AL18" s="63"/>
      <c r="AM18" s="64"/>
      <c r="CN18" s="142"/>
    </row>
    <row r="19" spans="3:92 15061:15105" s="1" customFormat="1" x14ac:dyDescent="0.25">
      <c r="C19" s="15"/>
      <c r="D19" s="65" t="s">
        <v>193</v>
      </c>
      <c r="E19" s="234">
        <v>34458000</v>
      </c>
      <c r="F19" s="66" t="s">
        <v>14</v>
      </c>
      <c r="G19" s="270"/>
      <c r="H19" s="270"/>
      <c r="I19" s="270"/>
      <c r="J19" s="270"/>
      <c r="K19" s="270"/>
      <c r="L19" s="270"/>
      <c r="M19" s="270">
        <f>457152+23693</f>
        <v>480845</v>
      </c>
      <c r="N19" s="270">
        <f>'[4]08'!$P$18+8781</f>
        <v>1684248</v>
      </c>
      <c r="O19" s="270">
        <f>1441290+45083</f>
        <v>1486373</v>
      </c>
      <c r="P19" s="270">
        <f>'[6]10'!$P$18+1620</f>
        <v>664578</v>
      </c>
      <c r="Q19" s="270">
        <f>'[7]11'!$P$18+727</f>
        <v>246488</v>
      </c>
      <c r="R19" s="270">
        <f>'[8]12'!$P$18+2355</f>
        <v>923422</v>
      </c>
      <c r="S19" s="270">
        <f>'[9]13'!$P$18+16100</f>
        <v>2130396</v>
      </c>
      <c r="T19" s="270">
        <f>'[10]14'!$P$18+17373</f>
        <v>1575805</v>
      </c>
      <c r="U19" s="270">
        <f>'[10]15'!$P$18+23544</f>
        <v>1589390</v>
      </c>
      <c r="V19" s="270">
        <f>'[11]16'!$P$23+9196</f>
        <v>863761</v>
      </c>
      <c r="W19" s="1926">
        <f>'[13]17'!$P$18+35039</f>
        <v>1815060</v>
      </c>
      <c r="X19" s="1926">
        <f>'[8]18'!$P$18+426</f>
        <v>2519497</v>
      </c>
      <c r="Y19" s="1926">
        <f>'[10]19'!$P$18+4784</f>
        <v>2031197</v>
      </c>
      <c r="Z19" s="270">
        <f>'[12]20'!$P$18+22542</f>
        <v>1454272</v>
      </c>
      <c r="AA19" s="270">
        <f>'[12]21'!$P$18+9106</f>
        <v>694376</v>
      </c>
      <c r="AB19" s="270">
        <f>'[12]22'!$P$18+1526</f>
        <v>1576860</v>
      </c>
      <c r="AC19" s="270">
        <f>'[14]23'!$P$18+17952</f>
        <v>1730769</v>
      </c>
      <c r="AD19" s="270">
        <f>'[15]24'!$P$18+108237</f>
        <v>682583</v>
      </c>
      <c r="AE19" s="270">
        <f>'[15]25'!$P$18+9535</f>
        <v>185490</v>
      </c>
      <c r="AF19" s="270">
        <v>54158</v>
      </c>
      <c r="AG19" s="270">
        <f>'[9]27'!$P$18</f>
        <v>0</v>
      </c>
      <c r="AH19" s="270"/>
      <c r="AI19" s="270"/>
      <c r="AJ19" s="270"/>
      <c r="AK19" s="270"/>
      <c r="AM19" s="58">
        <f>SUM(G19:AJ19)</f>
        <v>24389568</v>
      </c>
      <c r="CN19" s="141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</row>
    <row r="20" spans="3:92 15061:15105" s="1" customFormat="1" x14ac:dyDescent="0.25">
      <c r="C20" s="15"/>
      <c r="D20" s="65" t="s">
        <v>64</v>
      </c>
      <c r="E20" s="234">
        <v>1636000</v>
      </c>
      <c r="F20" s="66" t="s">
        <v>14</v>
      </c>
      <c r="G20" s="270"/>
      <c r="H20" s="270"/>
      <c r="I20" s="270"/>
      <c r="J20" s="270"/>
      <c r="K20" s="270"/>
      <c r="L20" s="270"/>
      <c r="M20" s="270">
        <v>21360</v>
      </c>
      <c r="N20" s="270">
        <f>'[4]08'!$P$27</f>
        <v>74300</v>
      </c>
      <c r="O20" s="270">
        <v>63960</v>
      </c>
      <c r="P20" s="270">
        <v>25820</v>
      </c>
      <c r="Q20" s="270">
        <f>'[7]11'!$P$27</f>
        <v>10475</v>
      </c>
      <c r="R20" s="270">
        <f>'[8]12'!$P$27</f>
        <v>42351</v>
      </c>
      <c r="S20" s="270">
        <f>'[9]13'!$P$27</f>
        <v>100021</v>
      </c>
      <c r="T20" s="270">
        <f>'[10]14'!$P$27</f>
        <v>71404</v>
      </c>
      <c r="U20" s="270">
        <f>'[10]15'!$P$27</f>
        <v>70951</v>
      </c>
      <c r="V20" s="270">
        <f>'[11]16'!$P$27</f>
        <v>40085</v>
      </c>
      <c r="W20" s="270">
        <f>'[13]17'!$P$27</f>
        <v>75721</v>
      </c>
      <c r="X20" s="270">
        <f>'[8]18'!$P$27</f>
        <v>105866</v>
      </c>
      <c r="Y20" s="270">
        <f>'[10]19'!$P$27</f>
        <v>87291</v>
      </c>
      <c r="Z20" s="270">
        <f>'[12]20'!$P$27</f>
        <v>64662</v>
      </c>
      <c r="AA20" s="270">
        <f>'[12]21'!$P$27</f>
        <v>28286</v>
      </c>
      <c r="AB20" s="270">
        <f>'[12]22'!$P$27</f>
        <v>69976</v>
      </c>
      <c r="AC20" s="270">
        <f>'[14]23'!$P$27</f>
        <v>73470</v>
      </c>
      <c r="AD20" s="270">
        <f>'[15]24'!$P$27</f>
        <v>36964</v>
      </c>
      <c r="AE20" s="270">
        <f>'[15]25'!$P$27</f>
        <v>18342</v>
      </c>
      <c r="AF20" s="270">
        <v>7825</v>
      </c>
      <c r="AG20" s="270">
        <f>'[9]27'!$P$27</f>
        <v>0</v>
      </c>
      <c r="AH20" s="270"/>
      <c r="AI20" s="270"/>
      <c r="AJ20" s="270"/>
      <c r="AK20" s="270"/>
      <c r="AM20" s="58">
        <f>SUM(G20:AJ20)</f>
        <v>1089130</v>
      </c>
      <c r="AP20" s="1" t="s">
        <v>216</v>
      </c>
      <c r="CN20" s="141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</row>
    <row r="21" spans="3:92 15061:15105" s="1" customFormat="1" x14ac:dyDescent="0.25">
      <c r="C21" s="15"/>
      <c r="D21" s="717" t="s">
        <v>353</v>
      </c>
      <c r="E21" s="742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M21" s="55"/>
      <c r="CN21" s="141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  <c r="VGU21" s="46"/>
      <c r="VGV21" s="46"/>
      <c r="VGW21" s="46"/>
      <c r="VGX21" s="46"/>
      <c r="VGY21" s="46"/>
      <c r="VGZ21" s="46"/>
      <c r="VHA21" s="46"/>
      <c r="VHB21" s="46"/>
      <c r="VHC21" s="46"/>
      <c r="VHD21" s="46"/>
      <c r="VHE21" s="46"/>
      <c r="VHF21" s="46"/>
      <c r="VHG21" s="46"/>
      <c r="VHH21" s="46"/>
      <c r="VHI21" s="46"/>
      <c r="VHJ21" s="46"/>
      <c r="VHK21" s="46"/>
      <c r="VHL21" s="46"/>
      <c r="VHM21" s="46"/>
      <c r="VHN21" s="46"/>
      <c r="VHO21" s="46"/>
      <c r="VHP21" s="46"/>
      <c r="VHQ21" s="46"/>
      <c r="VHR21" s="46"/>
      <c r="VHS21" s="46"/>
      <c r="VHT21" s="46"/>
      <c r="VHU21" s="46"/>
      <c r="VHV21" s="46"/>
      <c r="VHW21" s="46"/>
      <c r="VHX21" s="46"/>
      <c r="VHY21" s="46"/>
    </row>
    <row r="22" spans="3:92 15061:15105" x14ac:dyDescent="0.25">
      <c r="C22" s="8"/>
      <c r="D22" s="11" t="s">
        <v>84</v>
      </c>
      <c r="E22" s="251"/>
      <c r="F22" s="12" t="s">
        <v>83</v>
      </c>
      <c r="G22" s="33"/>
      <c r="H22" s="33"/>
      <c r="I22" s="33"/>
      <c r="J22" s="33"/>
      <c r="K22" s="33"/>
      <c r="L22" s="33"/>
      <c r="M22" s="33"/>
      <c r="N22" s="33">
        <v>1</v>
      </c>
      <c r="O22" s="33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  <c r="AC22" s="33">
        <v>1</v>
      </c>
      <c r="AD22" s="33">
        <v>1</v>
      </c>
      <c r="AE22" s="33">
        <v>1</v>
      </c>
      <c r="AF22" s="33">
        <v>1</v>
      </c>
      <c r="AG22" s="33">
        <v>1</v>
      </c>
      <c r="AH22" s="33">
        <v>1</v>
      </c>
      <c r="AI22" s="33"/>
      <c r="AJ22" s="33"/>
      <c r="AK22" s="33"/>
      <c r="AL22" s="3"/>
      <c r="AM22" s="55">
        <f>SUM(G22:AK22)</f>
        <v>21</v>
      </c>
    </row>
    <row r="23" spans="3:92 15061:15105" x14ac:dyDescent="0.25">
      <c r="C23" s="8"/>
      <c r="D23" s="948" t="s">
        <v>1008</v>
      </c>
      <c r="E23" s="251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"/>
      <c r="AM23" s="55">
        <f>AM28/AM22</f>
        <v>1147468.4285714286</v>
      </c>
    </row>
    <row r="24" spans="3:92 15061:15105" s="1" customFormat="1" x14ac:dyDescent="0.25">
      <c r="C24" s="15"/>
      <c r="D24" s="65" t="s">
        <v>979</v>
      </c>
      <c r="E24" s="234"/>
      <c r="F24" s="66" t="s">
        <v>14</v>
      </c>
      <c r="G24" s="270"/>
      <c r="H24" s="270"/>
      <c r="I24" s="270"/>
      <c r="J24" s="270"/>
      <c r="K24" s="270"/>
      <c r="L24" s="270"/>
      <c r="M24" s="270"/>
      <c r="N24" s="270">
        <f>'Oip Fract .'!L14</f>
        <v>281577</v>
      </c>
      <c r="O24" s="270">
        <v>392100</v>
      </c>
      <c r="P24" s="270">
        <f>'[6]10'!$Q$18</f>
        <v>366697</v>
      </c>
      <c r="Q24" s="270">
        <f>'[7]11'!$Q$18</f>
        <v>1206767</v>
      </c>
      <c r="R24" s="270">
        <f>'[8]12'!$Q$18</f>
        <v>1107426</v>
      </c>
      <c r="S24" s="270">
        <f>'[9]13'!$Q$18</f>
        <v>985016</v>
      </c>
      <c r="T24" s="270">
        <f>'[10]14'!$Q$18</f>
        <v>2026430</v>
      </c>
      <c r="U24" s="270">
        <f>'[10]15'!$Q$18</f>
        <v>2148697</v>
      </c>
      <c r="V24" s="270">
        <f>'[11]16'!$Q$18</f>
        <v>657964</v>
      </c>
      <c r="W24" s="270">
        <f>'[13]17'!$Q$18</f>
        <v>2347734</v>
      </c>
      <c r="X24" s="270">
        <f>'[8]18'!$Q$18</f>
        <v>3737260</v>
      </c>
      <c r="Y24" s="270">
        <f>'[10]19'!$Q$18</f>
        <v>1378873</v>
      </c>
      <c r="Z24" s="270">
        <f>'[12]20'!$Q$18</f>
        <v>30924</v>
      </c>
      <c r="AA24" s="270">
        <f>'[12]21'!$Q$18</f>
        <v>476133</v>
      </c>
      <c r="AB24" s="270">
        <f>'[12]22'!$Q$18</f>
        <v>1230701</v>
      </c>
      <c r="AC24" s="270">
        <f>'[14]23'!$Q$18</f>
        <v>1954027</v>
      </c>
      <c r="AD24" s="270">
        <f>'[15]24'!$Q$18</f>
        <v>1112757</v>
      </c>
      <c r="AE24" s="270">
        <f>'[15]25'!$Q$18</f>
        <v>1485846</v>
      </c>
      <c r="AF24" s="270">
        <v>1185518</v>
      </c>
      <c r="AG24" s="270">
        <f>'[9]27'!$Q$18</f>
        <v>0</v>
      </c>
      <c r="AH24" s="270"/>
      <c r="AI24" s="270"/>
      <c r="AJ24" s="270"/>
      <c r="AK24" s="270"/>
      <c r="AM24" s="58">
        <f>SUM(G24:AJ24)</f>
        <v>24112447</v>
      </c>
      <c r="CN24" s="141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  <c r="VGW24" s="46"/>
      <c r="VGX24" s="46"/>
      <c r="VGY24" s="46"/>
      <c r="VGZ24" s="46"/>
      <c r="VHA24" s="46"/>
      <c r="VHB24" s="46"/>
      <c r="VHC24" s="46"/>
      <c r="VHD24" s="46"/>
      <c r="VHE24" s="46"/>
      <c r="VHF24" s="46"/>
      <c r="VHG24" s="46"/>
      <c r="VHH24" s="46"/>
      <c r="VHI24" s="46"/>
      <c r="VHJ24" s="46"/>
      <c r="VHK24" s="46"/>
      <c r="VHL24" s="46"/>
      <c r="VHM24" s="46"/>
      <c r="VHN24" s="46"/>
      <c r="VHO24" s="46"/>
      <c r="VHP24" s="46"/>
      <c r="VHQ24" s="46"/>
      <c r="VHR24" s="46"/>
      <c r="VHS24" s="46"/>
      <c r="VHT24" s="46"/>
      <c r="VHU24" s="46"/>
      <c r="VHV24" s="46"/>
      <c r="VHW24" s="46"/>
      <c r="VHX24" s="46"/>
      <c r="VHY24" s="46"/>
    </row>
    <row r="25" spans="3:92 15061:15105" s="1" customFormat="1" x14ac:dyDescent="0.25">
      <c r="C25" s="15"/>
      <c r="D25" s="65" t="s">
        <v>980</v>
      </c>
      <c r="E25" s="1784">
        <v>559</v>
      </c>
      <c r="F25" s="66" t="s">
        <v>982</v>
      </c>
      <c r="G25" s="270"/>
      <c r="H25" s="270"/>
      <c r="I25" s="270"/>
      <c r="J25" s="270"/>
      <c r="K25" s="270"/>
      <c r="L25" s="270"/>
      <c r="M25" s="270"/>
      <c r="N25" s="270"/>
      <c r="O25" s="270"/>
      <c r="P25" s="270">
        <v>361081</v>
      </c>
      <c r="Q25" s="270">
        <v>312272</v>
      </c>
      <c r="R25" s="270">
        <f>'[17]Oip Fract .'!U18</f>
        <v>447800</v>
      </c>
      <c r="S25" s="270">
        <f>'[16]Oip Fract .'!U19</f>
        <v>160000</v>
      </c>
      <c r="T25" s="270">
        <f>'Oip Fract .'!U20</f>
        <v>156000</v>
      </c>
      <c r="U25" s="270">
        <f>'Oip Fract .'!U21</f>
        <v>265000</v>
      </c>
      <c r="V25" s="270">
        <f>'Oip Fract .'!U22</f>
        <v>88200</v>
      </c>
      <c r="W25" s="270">
        <f>'Oip Fract .'!U23</f>
        <v>35220</v>
      </c>
      <c r="X25" s="270">
        <f>'Oip Fract .'!U24</f>
        <v>95225</v>
      </c>
      <c r="Y25" s="270">
        <f>'Oip Fract .'!U25</f>
        <v>234123</v>
      </c>
      <c r="Z25" s="270">
        <f>'Oip Fract .'!U26</f>
        <v>223284</v>
      </c>
      <c r="AA25" s="270">
        <f>'Oip Fract .'!U27</f>
        <v>158003</v>
      </c>
      <c r="AB25" s="270">
        <f>'Oip Fract .'!U28</f>
        <v>167918</v>
      </c>
      <c r="AC25" s="270">
        <f>'Oip Fract .'!U29</f>
        <v>340216</v>
      </c>
      <c r="AD25" s="270">
        <f>'Oip Fract .'!U30</f>
        <v>156238</v>
      </c>
      <c r="AE25" s="270">
        <f>'Oip Fract .'!U31</f>
        <v>78021</v>
      </c>
      <c r="AF25" s="270">
        <f>'Oip Fract .'!U32</f>
        <v>37638</v>
      </c>
      <c r="AG25" s="270">
        <f>'Oip Fract .'!U33</f>
        <v>37954</v>
      </c>
      <c r="AH25" s="270">
        <f>'Oip Fract .'!U33</f>
        <v>37954</v>
      </c>
      <c r="AI25" s="270"/>
      <c r="AJ25" s="270"/>
      <c r="AK25" s="270"/>
      <c r="AM25" s="58"/>
      <c r="CN25" s="141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  <c r="VGW25" s="46"/>
      <c r="VGX25" s="46"/>
      <c r="VGY25" s="46"/>
      <c r="VGZ25" s="46"/>
      <c r="VHA25" s="46"/>
      <c r="VHB25" s="46"/>
      <c r="VHC25" s="46"/>
      <c r="VHD25" s="46"/>
      <c r="VHE25" s="46"/>
      <c r="VHF25" s="46"/>
      <c r="VHG25" s="46"/>
      <c r="VHH25" s="46"/>
      <c r="VHI25" s="46"/>
      <c r="VHJ25" s="46"/>
      <c r="VHK25" s="46"/>
      <c r="VHL25" s="46"/>
      <c r="VHM25" s="46"/>
      <c r="VHN25" s="46"/>
      <c r="VHO25" s="46"/>
      <c r="VHP25" s="46"/>
      <c r="VHQ25" s="46"/>
      <c r="VHR25" s="46"/>
      <c r="VHS25" s="46"/>
      <c r="VHT25" s="46"/>
      <c r="VHU25" s="46"/>
      <c r="VHV25" s="46"/>
      <c r="VHW25" s="46"/>
      <c r="VHX25" s="46"/>
      <c r="VHY25" s="46"/>
    </row>
    <row r="26" spans="3:92 15061:15105" s="1" customFormat="1" x14ac:dyDescent="0.25">
      <c r="C26" s="15"/>
      <c r="D26" s="65" t="s">
        <v>981</v>
      </c>
      <c r="E26" s="1785">
        <v>559</v>
      </c>
      <c r="F26" s="66" t="s">
        <v>982</v>
      </c>
      <c r="G26" s="270"/>
      <c r="H26" s="270"/>
      <c r="I26" s="270"/>
      <c r="J26" s="270"/>
      <c r="K26" s="270"/>
      <c r="L26" s="270"/>
      <c r="M26" s="270"/>
      <c r="N26" s="270"/>
      <c r="O26" s="270"/>
      <c r="P26" s="270">
        <f>'Oip Fract .'!W16</f>
        <v>38852</v>
      </c>
      <c r="Q26" s="270">
        <v>312272</v>
      </c>
      <c r="R26" s="270">
        <f>'[17]Oip Fract .'!W18</f>
        <v>347595</v>
      </c>
      <c r="S26" s="270">
        <f>'[16]Oip Fract .'!W19</f>
        <v>112000</v>
      </c>
      <c r="T26" s="270">
        <f>'Oip Fract .'!W20</f>
        <v>85000</v>
      </c>
      <c r="U26" s="270">
        <f>'Oip Fract .'!W21</f>
        <v>265000</v>
      </c>
      <c r="V26" s="270">
        <f>'Oip Fract .'!W22</f>
        <v>80200</v>
      </c>
      <c r="W26" s="270">
        <f>'Oip Fract .'!W23</f>
        <v>35220</v>
      </c>
      <c r="X26" s="270">
        <f>'Oip Fract .'!W24</f>
        <v>105225</v>
      </c>
      <c r="Y26" s="270">
        <f>'Oip Fract .'!W25</f>
        <v>234125</v>
      </c>
      <c r="Z26" s="270">
        <f>'Oip Fract .'!W26</f>
        <v>216280</v>
      </c>
      <c r="AA26" s="270">
        <f>'Oip Fract .'!W27</f>
        <v>155107</v>
      </c>
      <c r="AB26" s="270">
        <f>'Oip Fract .'!W28</f>
        <v>164248</v>
      </c>
      <c r="AC26" s="270">
        <f>'Oip Fract .'!W29</f>
        <v>330359</v>
      </c>
      <c r="AD26" s="270">
        <f>'Oip Fract .'!W30</f>
        <v>156022</v>
      </c>
      <c r="AE26" s="270">
        <f>'Oip Fract .'!W31</f>
        <v>156240</v>
      </c>
      <c r="AF26" s="270">
        <f>'Oip Fract .'!W32</f>
        <v>197872</v>
      </c>
      <c r="AG26" s="270">
        <f>'Oip Fract .'!W33</f>
        <v>108106</v>
      </c>
      <c r="AH26" s="270">
        <f>'Oip Fract .'!W33</f>
        <v>108106</v>
      </c>
      <c r="AI26" s="270"/>
      <c r="AJ26" s="270"/>
      <c r="AK26" s="270"/>
      <c r="AM26" s="58"/>
      <c r="CN26" s="141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  <c r="VHY26" s="46"/>
    </row>
    <row r="27" spans="3:92 15061:15105" s="1" customFormat="1" x14ac:dyDescent="0.25">
      <c r="C27" s="15"/>
      <c r="D27" s="11" t="s">
        <v>113</v>
      </c>
      <c r="E27" s="949"/>
      <c r="F27" s="70"/>
      <c r="G27" s="950"/>
      <c r="H27" s="950"/>
      <c r="I27" s="950"/>
      <c r="J27" s="950"/>
      <c r="K27" s="950"/>
      <c r="L27" s="950"/>
      <c r="M27" s="950"/>
      <c r="N27" s="950"/>
      <c r="O27" s="950"/>
      <c r="P27" s="1812">
        <f>P28/2500000</f>
        <v>7.1569599999999997E-2</v>
      </c>
      <c r="Q27" s="1812">
        <f>Q28/2500000</f>
        <v>0.27935919999999997</v>
      </c>
      <c r="R27" s="1812">
        <f>R28/2500000</f>
        <v>0.40935359999999998</v>
      </c>
      <c r="S27" s="1812">
        <f t="shared" ref="S27:U27" si="10">S28/2500000</f>
        <v>0.54647199999999996</v>
      </c>
      <c r="T27" s="1812">
        <f t="shared" si="10"/>
        <v>0.77727279999999999</v>
      </c>
      <c r="U27" s="1812">
        <f t="shared" si="10"/>
        <v>0.84766759999999997</v>
      </c>
      <c r="V27" s="1812">
        <f>V28/2500000</f>
        <v>0.44105480000000002</v>
      </c>
      <c r="W27" s="1812">
        <f>W28/2500000</f>
        <v>0.90743799999999997</v>
      </c>
      <c r="X27" s="1812">
        <f>X28/2500000</f>
        <v>1.1667795999999999</v>
      </c>
      <c r="Y27" s="1812">
        <f t="shared" ref="Y27:AH27" si="11">Y28/2500000</f>
        <v>0.559894</v>
      </c>
      <c r="Z27" s="1812">
        <f t="shared" si="11"/>
        <v>9.1271599999999994E-2</v>
      </c>
      <c r="AA27" s="1812">
        <f t="shared" si="11"/>
        <v>0.21847040000000001</v>
      </c>
      <c r="AB27" s="1812">
        <f t="shared" si="11"/>
        <v>0.49228040000000001</v>
      </c>
      <c r="AC27" s="1812">
        <f t="shared" si="11"/>
        <v>0.63823240000000003</v>
      </c>
      <c r="AD27" s="1812">
        <f t="shared" si="11"/>
        <v>0.59751840000000001</v>
      </c>
      <c r="AE27" s="1812">
        <f t="shared" si="11"/>
        <v>0.62967960000000001</v>
      </c>
      <c r="AF27" s="1812">
        <f t="shared" si="11"/>
        <v>0.81693559999999998</v>
      </c>
      <c r="AG27" s="1812">
        <f t="shared" si="11"/>
        <v>8.9341199999999996E-2</v>
      </c>
      <c r="AH27" s="1812">
        <f t="shared" si="11"/>
        <v>5.8144000000000001E-2</v>
      </c>
      <c r="AI27" s="950"/>
      <c r="AJ27" s="950"/>
      <c r="AK27" s="950"/>
      <c r="AL27" s="63"/>
      <c r="AM27" s="1848">
        <f>AM28/2500000/10</f>
        <v>0.96387347999999995</v>
      </c>
      <c r="CN27" s="141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  <c r="VGU27" s="46"/>
      <c r="VGV27" s="46"/>
      <c r="VGW27" s="46"/>
      <c r="VGX27" s="46"/>
      <c r="VGY27" s="46"/>
      <c r="VGZ27" s="46"/>
      <c r="VHA27" s="46"/>
      <c r="VHB27" s="46"/>
      <c r="VHC27" s="46"/>
      <c r="VHD27" s="46"/>
      <c r="VHE27" s="46"/>
      <c r="VHF27" s="46"/>
      <c r="VHG27" s="46"/>
      <c r="VHH27" s="46"/>
      <c r="VHI27" s="46"/>
      <c r="VHJ27" s="46"/>
      <c r="VHK27" s="46"/>
      <c r="VHL27" s="46"/>
      <c r="VHM27" s="46"/>
      <c r="VHN27" s="46"/>
      <c r="VHO27" s="46"/>
      <c r="VHP27" s="46"/>
      <c r="VHQ27" s="46"/>
      <c r="VHR27" s="46"/>
      <c r="VHS27" s="46"/>
      <c r="VHT27" s="46"/>
      <c r="VHU27" s="46"/>
      <c r="VHV27" s="46"/>
      <c r="VHW27" s="46"/>
      <c r="VHX27" s="46"/>
      <c r="VHY27" s="46"/>
    </row>
    <row r="28" spans="3:92 15061:15105" s="1" customFormat="1" x14ac:dyDescent="0.25">
      <c r="C28" s="15"/>
      <c r="D28" s="14" t="s">
        <v>355</v>
      </c>
      <c r="E28" s="741"/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J28" si="12">SUM(L31,L35,L40,L44,L54)</f>
        <v>0</v>
      </c>
      <c r="M28" s="33">
        <f t="shared" si="12"/>
        <v>0</v>
      </c>
      <c r="N28" s="33">
        <f t="shared" si="12"/>
        <v>0</v>
      </c>
      <c r="O28" s="33">
        <f t="shared" si="12"/>
        <v>0</v>
      </c>
      <c r="P28" s="33">
        <f t="shared" si="12"/>
        <v>178924</v>
      </c>
      <c r="Q28" s="33">
        <f t="shared" si="12"/>
        <v>698398</v>
      </c>
      <c r="R28" s="33">
        <f t="shared" si="12"/>
        <v>1023384</v>
      </c>
      <c r="S28" s="33">
        <f t="shared" si="12"/>
        <v>1366180</v>
      </c>
      <c r="T28" s="33">
        <f t="shared" si="12"/>
        <v>1943182</v>
      </c>
      <c r="U28" s="33">
        <f>SUM(U31,U35,U40,U44,U54)</f>
        <v>2119169</v>
      </c>
      <c r="V28" s="33">
        <f>SUM(V31,V35,V40,V44,V54)</f>
        <v>1102637</v>
      </c>
      <c r="W28" s="33">
        <f t="shared" si="12"/>
        <v>2268595</v>
      </c>
      <c r="X28" s="33">
        <f>SUM(X31,X35,X40,X44,X54)</f>
        <v>2916949</v>
      </c>
      <c r="Y28" s="33">
        <f t="shared" si="12"/>
        <v>1399735</v>
      </c>
      <c r="Z28" s="33">
        <f t="shared" si="12"/>
        <v>228179</v>
      </c>
      <c r="AA28" s="33">
        <f t="shared" si="12"/>
        <v>546176</v>
      </c>
      <c r="AB28" s="33">
        <f>'[12]22'!$Q$18</f>
        <v>1230701</v>
      </c>
      <c r="AC28" s="33">
        <f t="shared" si="12"/>
        <v>1595581</v>
      </c>
      <c r="AD28" s="33">
        <f t="shared" si="12"/>
        <v>1493796</v>
      </c>
      <c r="AE28" s="33">
        <f t="shared" si="12"/>
        <v>1574199</v>
      </c>
      <c r="AF28" s="33">
        <f>SUM(AF31,AF35,AF40,AF44,AF54)</f>
        <v>2042339</v>
      </c>
      <c r="AG28" s="33">
        <f t="shared" si="12"/>
        <v>223353</v>
      </c>
      <c r="AH28" s="33">
        <f t="shared" si="12"/>
        <v>145360</v>
      </c>
      <c r="AI28" s="33">
        <f t="shared" si="12"/>
        <v>0</v>
      </c>
      <c r="AJ28" s="33">
        <f t="shared" si="12"/>
        <v>0</v>
      </c>
      <c r="AK28" s="33">
        <f t="shared" ref="AK28" si="13">SUM(AK31,AK35,AK40,AK44,AK54)</f>
        <v>0</v>
      </c>
      <c r="AM28" s="55">
        <f>SUM(G28:AJ28)</f>
        <v>24096837</v>
      </c>
      <c r="AN28" s="744">
        <f>AM28/E19</f>
        <v>0.69931037785129724</v>
      </c>
      <c r="CN28" s="142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  <c r="VGU28" s="46"/>
      <c r="VGV28" s="46"/>
      <c r="VGW28" s="46"/>
      <c r="VGX28" s="46"/>
      <c r="VGY28" s="46"/>
      <c r="VGZ28" s="46"/>
      <c r="VHA28" s="46"/>
      <c r="VHB28" s="46"/>
      <c r="VHC28" s="46"/>
      <c r="VHD28" s="46"/>
      <c r="VHE28" s="46"/>
      <c r="VHF28" s="46"/>
      <c r="VHG28" s="46"/>
      <c r="VHH28" s="46"/>
      <c r="VHI28" s="46"/>
      <c r="VHJ28" s="46"/>
      <c r="VHK28" s="46"/>
      <c r="VHL28" s="46"/>
      <c r="VHM28" s="46"/>
      <c r="VHN28" s="46"/>
      <c r="VHO28" s="46"/>
      <c r="VHP28" s="46"/>
      <c r="VHQ28" s="46"/>
      <c r="VHR28" s="46"/>
      <c r="VHS28" s="46"/>
      <c r="VHT28" s="46"/>
      <c r="VHU28" s="46"/>
      <c r="VHV28" s="46"/>
      <c r="VHW28" s="46"/>
      <c r="VHX28" s="46"/>
      <c r="VHY28" s="46"/>
    </row>
    <row r="29" spans="3:92 15061:15105" s="1" customFormat="1" hidden="1" x14ac:dyDescent="0.25">
      <c r="C29" s="15"/>
      <c r="D29" s="14" t="s">
        <v>354</v>
      </c>
      <c r="E29" s="743"/>
      <c r="F29" s="13" t="s">
        <v>14</v>
      </c>
      <c r="G29" s="33">
        <f>G24-G28</f>
        <v>0</v>
      </c>
      <c r="H29" s="33"/>
      <c r="I29" s="33">
        <f t="shared" ref="I29:AJ29" si="14">I24-I28</f>
        <v>0</v>
      </c>
      <c r="J29" s="33" t="e">
        <f>SUM(J32,J36,J41,J45,#REF!)</f>
        <v>#REF!</v>
      </c>
      <c r="K29" s="33">
        <v>68473</v>
      </c>
      <c r="L29" s="33">
        <f t="shared" si="14"/>
        <v>0</v>
      </c>
      <c r="M29" s="33">
        <f t="shared" si="14"/>
        <v>0</v>
      </c>
      <c r="N29" s="33">
        <f t="shared" si="14"/>
        <v>281577</v>
      </c>
      <c r="O29" s="33">
        <f t="shared" si="14"/>
        <v>392100</v>
      </c>
      <c r="P29" s="33">
        <f t="shared" si="14"/>
        <v>187773</v>
      </c>
      <c r="Q29" s="33">
        <f t="shared" si="14"/>
        <v>508369</v>
      </c>
      <c r="R29" s="33">
        <f t="shared" si="14"/>
        <v>84042</v>
      </c>
      <c r="S29" s="33">
        <f t="shared" si="14"/>
        <v>-381164</v>
      </c>
      <c r="T29" s="33">
        <f t="shared" si="14"/>
        <v>83248</v>
      </c>
      <c r="U29" s="33">
        <f t="shared" si="14"/>
        <v>29528</v>
      </c>
      <c r="V29" s="33">
        <f t="shared" si="14"/>
        <v>-444673</v>
      </c>
      <c r="W29" s="33">
        <f t="shared" si="14"/>
        <v>79139</v>
      </c>
      <c r="X29" s="33">
        <f t="shared" si="14"/>
        <v>820311</v>
      </c>
      <c r="Y29" s="33">
        <f t="shared" si="14"/>
        <v>-20862</v>
      </c>
      <c r="Z29" s="33">
        <f t="shared" si="14"/>
        <v>-197255</v>
      </c>
      <c r="AA29" s="33">
        <f t="shared" si="14"/>
        <v>-70043</v>
      </c>
      <c r="AB29" s="33">
        <f t="shared" si="14"/>
        <v>0</v>
      </c>
      <c r="AC29" s="33">
        <f t="shared" si="14"/>
        <v>358446</v>
      </c>
      <c r="AD29" s="33">
        <f t="shared" si="14"/>
        <v>-381039</v>
      </c>
      <c r="AE29" s="33">
        <f t="shared" si="14"/>
        <v>-88353</v>
      </c>
      <c r="AF29" s="33">
        <f t="shared" si="14"/>
        <v>-856821</v>
      </c>
      <c r="AG29" s="33">
        <f t="shared" si="14"/>
        <v>-223353</v>
      </c>
      <c r="AH29" s="33">
        <f t="shared" si="14"/>
        <v>-145360</v>
      </c>
      <c r="AI29" s="33">
        <f t="shared" si="14"/>
        <v>0</v>
      </c>
      <c r="AJ29" s="33">
        <f t="shared" si="14"/>
        <v>0</v>
      </c>
      <c r="AK29" s="33">
        <f t="shared" ref="AK29" si="15">AK24-AK28</f>
        <v>0</v>
      </c>
      <c r="AM29" s="55" t="e">
        <f>SUM(G29:AJ29)</f>
        <v>#REF!</v>
      </c>
      <c r="CN29" s="142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  <c r="VGU29" s="46"/>
      <c r="VGV29" s="46"/>
      <c r="VGW29" s="46"/>
      <c r="VGX29" s="46"/>
      <c r="VGY29" s="46"/>
      <c r="VGZ29" s="46"/>
      <c r="VHA29" s="46"/>
      <c r="VHB29" s="46"/>
      <c r="VHC29" s="46"/>
      <c r="VHD29" s="46"/>
      <c r="VHE29" s="46"/>
      <c r="VHF29" s="46"/>
      <c r="VHG29" s="46"/>
      <c r="VHH29" s="46"/>
      <c r="VHI29" s="46"/>
      <c r="VHJ29" s="46"/>
      <c r="VHK29" s="46"/>
      <c r="VHL29" s="46"/>
      <c r="VHM29" s="46"/>
      <c r="VHN29" s="46"/>
      <c r="VHO29" s="46"/>
      <c r="VHP29" s="46"/>
      <c r="VHQ29" s="46"/>
      <c r="VHR29" s="46"/>
      <c r="VHS29" s="46"/>
      <c r="VHT29" s="46"/>
      <c r="VHU29" s="46"/>
      <c r="VHV29" s="46"/>
      <c r="VHW29" s="46"/>
      <c r="VHX29" s="46"/>
      <c r="VHY29" s="46"/>
    </row>
    <row r="30" spans="3:92 15061:15105" x14ac:dyDescent="0.25">
      <c r="C30" s="15"/>
      <c r="D30" s="230" t="s">
        <v>76</v>
      </c>
      <c r="E30" s="231"/>
      <c r="F30" s="232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M30" s="67" t="s">
        <v>63</v>
      </c>
    </row>
    <row r="31" spans="3:92 15061:15105" s="1" customFormat="1" x14ac:dyDescent="0.25">
      <c r="C31" s="15"/>
      <c r="D31" s="14" t="s">
        <v>75</v>
      </c>
      <c r="E31" s="255"/>
      <c r="F31" s="20" t="s">
        <v>14</v>
      </c>
      <c r="G31" s="33">
        <f>G32+G33</f>
        <v>0</v>
      </c>
      <c r="H31" s="33">
        <f>H32+H33</f>
        <v>0</v>
      </c>
      <c r="I31" s="33">
        <f t="shared" ref="I31:AJ31" si="16">I32+I33</f>
        <v>0</v>
      </c>
      <c r="J31" s="33">
        <f t="shared" si="16"/>
        <v>0</v>
      </c>
      <c r="K31" s="33">
        <v>0</v>
      </c>
      <c r="L31" s="33">
        <f t="shared" si="16"/>
        <v>0</v>
      </c>
      <c r="M31" s="33">
        <f t="shared" si="16"/>
        <v>0</v>
      </c>
      <c r="N31" s="33">
        <f t="shared" si="16"/>
        <v>0</v>
      </c>
      <c r="O31" s="33">
        <f t="shared" si="16"/>
        <v>0</v>
      </c>
      <c r="P31" s="33">
        <f t="shared" si="16"/>
        <v>178924</v>
      </c>
      <c r="Q31" s="33">
        <f t="shared" si="16"/>
        <v>111217</v>
      </c>
      <c r="R31" s="33">
        <f t="shared" si="16"/>
        <v>114465</v>
      </c>
      <c r="S31" s="33">
        <f t="shared" si="16"/>
        <v>0</v>
      </c>
      <c r="T31" s="33">
        <f t="shared" si="16"/>
        <v>0</v>
      </c>
      <c r="U31" s="33">
        <f t="shared" si="16"/>
        <v>0</v>
      </c>
      <c r="V31" s="33">
        <f t="shared" si="16"/>
        <v>334691</v>
      </c>
      <c r="W31" s="33">
        <f t="shared" si="16"/>
        <v>2002628</v>
      </c>
      <c r="X31" s="33">
        <f>X32+X33</f>
        <v>2916949</v>
      </c>
      <c r="Y31" s="33">
        <f>Y32+Y33</f>
        <v>151550</v>
      </c>
      <c r="Z31" s="33">
        <f>Z32+Z33</f>
        <v>0</v>
      </c>
      <c r="AA31" s="33">
        <f t="shared" si="16"/>
        <v>0</v>
      </c>
      <c r="AB31" s="33">
        <f t="shared" si="16"/>
        <v>0</v>
      </c>
      <c r="AC31" s="33">
        <f t="shared" si="16"/>
        <v>0</v>
      </c>
      <c r="AD31" s="33">
        <f t="shared" si="16"/>
        <v>0</v>
      </c>
      <c r="AE31" s="33">
        <f t="shared" si="16"/>
        <v>0</v>
      </c>
      <c r="AF31" s="33">
        <f t="shared" si="16"/>
        <v>969731</v>
      </c>
      <c r="AG31" s="33">
        <f t="shared" si="16"/>
        <v>223353</v>
      </c>
      <c r="AH31" s="33">
        <f t="shared" si="16"/>
        <v>0</v>
      </c>
      <c r="AI31" s="33">
        <f t="shared" si="16"/>
        <v>0</v>
      </c>
      <c r="AJ31" s="33">
        <f t="shared" si="16"/>
        <v>0</v>
      </c>
      <c r="AK31" s="33">
        <f t="shared" ref="AK31" si="17">AK32+AK33</f>
        <v>0</v>
      </c>
      <c r="AM31" s="55">
        <f>SUM(G31:AJ31)</f>
        <v>7003508</v>
      </c>
      <c r="CN31" s="142"/>
    </row>
    <row r="32" spans="3:92 15061:15105" x14ac:dyDescent="0.25">
      <c r="C32" s="15"/>
      <c r="D32" s="65" t="s">
        <v>74</v>
      </c>
      <c r="E32" s="255"/>
      <c r="F32" s="66" t="s">
        <v>14</v>
      </c>
      <c r="G32" s="270">
        <v>0</v>
      </c>
      <c r="H32" s="270">
        <v>0</v>
      </c>
      <c r="I32" s="270">
        <v>0</v>
      </c>
      <c r="J32" s="270">
        <v>0</v>
      </c>
      <c r="K32" s="270">
        <v>0</v>
      </c>
      <c r="L32" s="270">
        <v>0</v>
      </c>
      <c r="M32" s="270">
        <v>0</v>
      </c>
      <c r="N32" s="270">
        <v>0</v>
      </c>
      <c r="O32" s="270">
        <v>0</v>
      </c>
      <c r="P32" s="270">
        <f>'[6]10'!$P$23</f>
        <v>144963</v>
      </c>
      <c r="Q32" s="270">
        <f>'[7]11'!$P$21</f>
        <v>91214</v>
      </c>
      <c r="R32" s="270">
        <f>'[8]12'!$P$21</f>
        <v>92131</v>
      </c>
      <c r="S32" s="270"/>
      <c r="T32" s="270"/>
      <c r="U32" s="270"/>
      <c r="V32" s="270">
        <f>'[11]16'!$P$21</f>
        <v>275346</v>
      </c>
      <c r="W32" s="1926">
        <f>'[13]17'!$P$19</f>
        <v>1618321</v>
      </c>
      <c r="X32" s="1926">
        <f>'[8]18'!$P$23</f>
        <v>2369769</v>
      </c>
      <c r="Y32" s="270">
        <v>123327</v>
      </c>
      <c r="Z32" s="270"/>
      <c r="AA32" s="270">
        <v>0</v>
      </c>
      <c r="AB32" s="270">
        <v>0</v>
      </c>
      <c r="AC32" s="270">
        <v>0</v>
      </c>
      <c r="AD32" s="270"/>
      <c r="AE32" s="270">
        <v>0</v>
      </c>
      <c r="AF32" s="270">
        <v>734495</v>
      </c>
      <c r="AG32" s="270">
        <f>'[9]27'!$P$21</f>
        <v>134128</v>
      </c>
      <c r="AH32" s="270">
        <v>0</v>
      </c>
      <c r="AI32" s="270">
        <v>0</v>
      </c>
      <c r="AJ32" s="270">
        <v>0</v>
      </c>
      <c r="AK32" s="270">
        <v>0</v>
      </c>
      <c r="AM32" s="58">
        <f>SUM(G32:AJ32)</f>
        <v>5583694</v>
      </c>
    </row>
    <row r="33" spans="1:15057" x14ac:dyDescent="0.25">
      <c r="C33" s="15"/>
      <c r="D33" s="65" t="s">
        <v>73</v>
      </c>
      <c r="E33" s="255"/>
      <c r="F33" s="66" t="s">
        <v>14</v>
      </c>
      <c r="G33" s="271">
        <v>0</v>
      </c>
      <c r="H33" s="271">
        <v>0</v>
      </c>
      <c r="I33" s="271">
        <v>0</v>
      </c>
      <c r="J33" s="271">
        <v>0</v>
      </c>
      <c r="K33" s="271">
        <v>0</v>
      </c>
      <c r="L33" s="271">
        <v>0</v>
      </c>
      <c r="M33" s="271">
        <v>0</v>
      </c>
      <c r="N33" s="271">
        <v>0</v>
      </c>
      <c r="O33" s="271">
        <v>0</v>
      </c>
      <c r="P33" s="271">
        <f>'[6]10'!$P$31</f>
        <v>33961</v>
      </c>
      <c r="Q33" s="271">
        <v>20003</v>
      </c>
      <c r="R33" s="271">
        <v>22334</v>
      </c>
      <c r="S33" s="271"/>
      <c r="T33" s="271"/>
      <c r="U33" s="271"/>
      <c r="V33" s="271">
        <v>59345</v>
      </c>
      <c r="W33" s="271">
        <v>384307</v>
      </c>
      <c r="X33" s="271">
        <f>'[8]18'!$P$31</f>
        <v>547180</v>
      </c>
      <c r="Y33" s="271">
        <v>28223</v>
      </c>
      <c r="Z33" s="271"/>
      <c r="AA33" s="271">
        <v>0</v>
      </c>
      <c r="AB33" s="271">
        <v>0</v>
      </c>
      <c r="AC33" s="271">
        <v>0</v>
      </c>
      <c r="AD33" s="271"/>
      <c r="AE33" s="271">
        <v>0</v>
      </c>
      <c r="AF33" s="271">
        <v>235236</v>
      </c>
      <c r="AG33" s="271">
        <v>89225</v>
      </c>
      <c r="AH33" s="271"/>
      <c r="AI33" s="271"/>
      <c r="AJ33" s="271">
        <v>0</v>
      </c>
      <c r="AK33" s="271">
        <v>0</v>
      </c>
      <c r="AM33" s="58">
        <f>SUM(G33:AJ33)</f>
        <v>1419814</v>
      </c>
    </row>
    <row r="34" spans="1:15057" s="71" customFormat="1" x14ac:dyDescent="0.25">
      <c r="A34" s="63"/>
      <c r="B34" s="63"/>
      <c r="C34" s="69"/>
      <c r="D34" s="230" t="s">
        <v>104</v>
      </c>
      <c r="E34" s="305"/>
      <c r="F34" s="9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63"/>
      <c r="AM34" s="67" t="s">
        <v>106</v>
      </c>
      <c r="AN34" s="63"/>
      <c r="AO34" s="63"/>
      <c r="AP34" s="63"/>
      <c r="AQ34" s="1"/>
      <c r="AR34" s="1"/>
      <c r="AS34" s="1"/>
      <c r="AT34" s="1"/>
      <c r="AU34" s="1"/>
      <c r="AV34" s="1"/>
      <c r="AW34" s="1"/>
      <c r="AX34" s="1"/>
      <c r="AY34" s="1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14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  <c r="VEW34" s="63"/>
      <c r="VEX34" s="63"/>
      <c r="VEY34" s="63"/>
      <c r="VEZ34" s="63"/>
      <c r="VFA34" s="63"/>
      <c r="VFB34" s="63"/>
      <c r="VFC34" s="63"/>
      <c r="VFD34" s="63"/>
      <c r="VFE34" s="63"/>
      <c r="VFF34" s="63"/>
      <c r="VFG34" s="63"/>
      <c r="VFH34" s="63"/>
      <c r="VFI34" s="63"/>
      <c r="VFJ34" s="63"/>
      <c r="VFK34" s="63"/>
      <c r="VFL34" s="63"/>
      <c r="VFM34" s="63"/>
      <c r="VFN34" s="63"/>
      <c r="VFO34" s="63"/>
      <c r="VFP34" s="63"/>
      <c r="VFQ34" s="63"/>
      <c r="VFR34" s="63"/>
      <c r="VFS34" s="63"/>
      <c r="VFT34" s="63"/>
      <c r="VFU34" s="63"/>
      <c r="VFV34" s="63"/>
      <c r="VFW34" s="63"/>
      <c r="VFX34" s="63"/>
      <c r="VFY34" s="63"/>
      <c r="VFZ34" s="63"/>
      <c r="VGA34" s="63"/>
      <c r="VGB34" s="63"/>
      <c r="VGC34" s="63"/>
    </row>
    <row r="35" spans="1:15057" x14ac:dyDescent="0.25">
      <c r="C35" s="15"/>
      <c r="D35" s="14" t="s">
        <v>75</v>
      </c>
      <c r="E35" s="255"/>
      <c r="F35" s="20" t="s">
        <v>14</v>
      </c>
      <c r="G35" s="33">
        <f>G36+G37</f>
        <v>0</v>
      </c>
      <c r="H35" s="33">
        <f>H36+H37</f>
        <v>0</v>
      </c>
      <c r="I35" s="33">
        <f t="shared" ref="I35:AJ35" si="18">I36+I37</f>
        <v>0</v>
      </c>
      <c r="J35" s="33">
        <f t="shared" si="18"/>
        <v>0</v>
      </c>
      <c r="K35" s="33">
        <v>0</v>
      </c>
      <c r="L35" s="33">
        <f t="shared" si="18"/>
        <v>0</v>
      </c>
      <c r="M35" s="33">
        <f t="shared" si="18"/>
        <v>0</v>
      </c>
      <c r="N35" s="33">
        <f t="shared" si="18"/>
        <v>0</v>
      </c>
      <c r="O35" s="33">
        <f t="shared" si="18"/>
        <v>0</v>
      </c>
      <c r="P35" s="33">
        <f t="shared" si="18"/>
        <v>0</v>
      </c>
      <c r="Q35" s="33">
        <f t="shared" si="18"/>
        <v>0</v>
      </c>
      <c r="R35" s="33">
        <f t="shared" si="18"/>
        <v>0</v>
      </c>
      <c r="S35" s="33">
        <f t="shared" si="18"/>
        <v>0</v>
      </c>
      <c r="T35" s="33">
        <f t="shared" si="18"/>
        <v>0</v>
      </c>
      <c r="U35" s="33">
        <f t="shared" si="18"/>
        <v>0</v>
      </c>
      <c r="V35" s="33">
        <f t="shared" si="18"/>
        <v>0</v>
      </c>
      <c r="W35" s="33">
        <f t="shared" si="18"/>
        <v>0</v>
      </c>
      <c r="X35" s="33">
        <f t="shared" si="18"/>
        <v>0</v>
      </c>
      <c r="Y35" s="33"/>
      <c r="Z35" s="33"/>
      <c r="AA35" s="33">
        <f t="shared" si="18"/>
        <v>0</v>
      </c>
      <c r="AB35" s="33">
        <f t="shared" si="18"/>
        <v>0</v>
      </c>
      <c r="AC35" s="33">
        <f t="shared" si="18"/>
        <v>0</v>
      </c>
      <c r="AD35" s="33">
        <f t="shared" si="18"/>
        <v>0</v>
      </c>
      <c r="AE35" s="33">
        <f t="shared" si="18"/>
        <v>0</v>
      </c>
      <c r="AF35" s="33">
        <f t="shared" si="18"/>
        <v>0</v>
      </c>
      <c r="AG35" s="33">
        <f t="shared" si="18"/>
        <v>0</v>
      </c>
      <c r="AH35" s="33">
        <f t="shared" si="18"/>
        <v>0</v>
      </c>
      <c r="AI35" s="33">
        <f t="shared" si="18"/>
        <v>0</v>
      </c>
      <c r="AJ35" s="33">
        <f t="shared" si="18"/>
        <v>0</v>
      </c>
      <c r="AK35" s="33">
        <f t="shared" ref="AK35" si="19">AK36+AK37</f>
        <v>0</v>
      </c>
      <c r="AM35" s="55">
        <f>SUM(G35:AJ35)</f>
        <v>0</v>
      </c>
    </row>
    <row r="36" spans="1:15057" x14ac:dyDescent="0.25">
      <c r="C36" s="15"/>
      <c r="D36" s="65" t="s">
        <v>105</v>
      </c>
      <c r="E36" s="255"/>
      <c r="F36" s="66" t="s">
        <v>14</v>
      </c>
      <c r="G36" s="270">
        <v>0</v>
      </c>
      <c r="H36" s="270">
        <v>0</v>
      </c>
      <c r="I36" s="270">
        <v>0</v>
      </c>
      <c r="J36" s="270">
        <v>0</v>
      </c>
      <c r="K36" s="270">
        <v>0</v>
      </c>
      <c r="L36" s="270">
        <v>0</v>
      </c>
      <c r="M36" s="270">
        <v>0</v>
      </c>
      <c r="N36" s="270">
        <v>0</v>
      </c>
      <c r="O36" s="270">
        <v>0</v>
      </c>
      <c r="P36" s="270">
        <v>0</v>
      </c>
      <c r="Q36" s="270">
        <v>0</v>
      </c>
      <c r="R36" s="270">
        <v>0</v>
      </c>
      <c r="S36" s="270">
        <v>0</v>
      </c>
      <c r="T36" s="270">
        <v>0</v>
      </c>
      <c r="U36" s="270">
        <v>0</v>
      </c>
      <c r="V36" s="270">
        <v>0</v>
      </c>
      <c r="W36" s="270">
        <v>0</v>
      </c>
      <c r="X36" s="270">
        <v>0</v>
      </c>
      <c r="Y36" s="270"/>
      <c r="Z36" s="270"/>
      <c r="AA36" s="270">
        <v>0</v>
      </c>
      <c r="AB36" s="270">
        <v>0</v>
      </c>
      <c r="AC36" s="270">
        <v>0</v>
      </c>
      <c r="AD36" s="270">
        <v>0</v>
      </c>
      <c r="AE36" s="270">
        <v>0</v>
      </c>
      <c r="AF36" s="270">
        <v>0</v>
      </c>
      <c r="AG36" s="270">
        <v>0</v>
      </c>
      <c r="AH36" s="270"/>
      <c r="AI36" s="270"/>
      <c r="AJ36" s="270"/>
      <c r="AK36" s="270"/>
      <c r="AM36" s="58">
        <f>SUM(G36:AJ36)</f>
        <v>0</v>
      </c>
    </row>
    <row r="37" spans="1:15057" x14ac:dyDescent="0.25">
      <c r="C37" s="15"/>
      <c r="D37" s="65" t="s">
        <v>73</v>
      </c>
      <c r="E37" s="255"/>
      <c r="F37" s="66" t="s">
        <v>14</v>
      </c>
      <c r="G37" s="270">
        <v>0</v>
      </c>
      <c r="H37" s="270">
        <v>0</v>
      </c>
      <c r="I37" s="270">
        <v>0</v>
      </c>
      <c r="J37" s="270">
        <v>0</v>
      </c>
      <c r="K37" s="270">
        <v>0</v>
      </c>
      <c r="L37" s="270">
        <v>0</v>
      </c>
      <c r="M37" s="270">
        <v>0</v>
      </c>
      <c r="N37" s="270">
        <v>0</v>
      </c>
      <c r="O37" s="270">
        <v>0</v>
      </c>
      <c r="P37" s="270">
        <v>0</v>
      </c>
      <c r="Q37" s="270">
        <v>0</v>
      </c>
      <c r="R37" s="270">
        <v>0</v>
      </c>
      <c r="S37" s="270">
        <v>0</v>
      </c>
      <c r="T37" s="270">
        <v>0</v>
      </c>
      <c r="U37" s="270">
        <v>0</v>
      </c>
      <c r="V37" s="270">
        <v>0</v>
      </c>
      <c r="W37" s="270">
        <v>0</v>
      </c>
      <c r="X37" s="270">
        <v>0</v>
      </c>
      <c r="Y37" s="270"/>
      <c r="Z37" s="270"/>
      <c r="AA37" s="270">
        <v>0</v>
      </c>
      <c r="AB37" s="270">
        <v>0</v>
      </c>
      <c r="AC37" s="270">
        <v>0</v>
      </c>
      <c r="AD37" s="270">
        <v>0</v>
      </c>
      <c r="AE37" s="270">
        <v>0</v>
      </c>
      <c r="AF37" s="270">
        <v>0</v>
      </c>
      <c r="AG37" s="270">
        <v>0</v>
      </c>
      <c r="AH37" s="270"/>
      <c r="AI37" s="270"/>
      <c r="AJ37" s="270"/>
      <c r="AK37" s="270"/>
      <c r="AM37" s="58">
        <f>SUM(G37:AJ37)</f>
        <v>0</v>
      </c>
    </row>
    <row r="38" spans="1:15057" x14ac:dyDescent="0.25">
      <c r="C38" s="15"/>
      <c r="D38" s="230" t="s">
        <v>107</v>
      </c>
      <c r="E38" s="233"/>
      <c r="F38" s="232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M38" s="67" t="s">
        <v>108</v>
      </c>
    </row>
    <row r="39" spans="1:15057" s="74" customFormat="1" x14ac:dyDescent="0.2">
      <c r="A39" s="16"/>
      <c r="B39" s="16"/>
      <c r="C39" s="17"/>
      <c r="D39" s="11" t="s">
        <v>71</v>
      </c>
      <c r="E39" s="256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16"/>
      <c r="AM39" s="55">
        <f>SUM(G39:AJ39)</f>
        <v>0</v>
      </c>
      <c r="AN39" s="16"/>
      <c r="AO39" s="16"/>
      <c r="AP39" s="16"/>
      <c r="AQ39" s="1"/>
      <c r="AR39" s="1"/>
      <c r="AS39" s="1"/>
      <c r="AT39" s="1"/>
      <c r="AU39" s="1"/>
      <c r="AV39" s="1"/>
      <c r="AW39" s="1"/>
      <c r="AX39" s="1"/>
      <c r="AY39" s="1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44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  <c r="VEY39" s="16"/>
      <c r="VEZ39" s="16"/>
      <c r="VFA39" s="16"/>
      <c r="VFB39" s="16"/>
      <c r="VFC39" s="16"/>
      <c r="VFD39" s="16"/>
      <c r="VFE39" s="16"/>
      <c r="VFF39" s="16"/>
      <c r="VFG39" s="16"/>
      <c r="VFH39" s="16"/>
      <c r="VFI39" s="16"/>
      <c r="VFJ39" s="16"/>
      <c r="VFK39" s="16"/>
      <c r="VFL39" s="16"/>
      <c r="VFM39" s="16"/>
      <c r="VFN39" s="16"/>
      <c r="VFO39" s="16"/>
      <c r="VFP39" s="16"/>
      <c r="VFQ39" s="16"/>
      <c r="VFR39" s="16"/>
      <c r="VFS39" s="16"/>
      <c r="VFT39" s="16"/>
      <c r="VFU39" s="16"/>
      <c r="VFV39" s="16"/>
      <c r="VFW39" s="16"/>
      <c r="VFX39" s="16"/>
      <c r="VFY39" s="16"/>
      <c r="VFZ39" s="16"/>
      <c r="VGA39" s="16"/>
      <c r="VGB39" s="16"/>
      <c r="VGC39" s="16"/>
    </row>
    <row r="40" spans="1:15057" s="1" customFormat="1" x14ac:dyDescent="0.25">
      <c r="C40" s="15"/>
      <c r="D40" s="14" t="s">
        <v>70</v>
      </c>
      <c r="E40" s="255"/>
      <c r="F40" s="20" t="s">
        <v>14</v>
      </c>
      <c r="G40" s="33">
        <f>G41+G42</f>
        <v>0</v>
      </c>
      <c r="H40" s="33">
        <f>H41+H42</f>
        <v>0</v>
      </c>
      <c r="I40" s="33">
        <f t="shared" ref="I40:AJ40" si="20">I41+I42</f>
        <v>0</v>
      </c>
      <c r="J40" s="33">
        <f t="shared" si="20"/>
        <v>0</v>
      </c>
      <c r="K40" s="33">
        <v>0</v>
      </c>
      <c r="L40" s="33">
        <f t="shared" si="20"/>
        <v>0</v>
      </c>
      <c r="M40" s="33">
        <f t="shared" si="20"/>
        <v>0</v>
      </c>
      <c r="N40" s="33">
        <f t="shared" si="20"/>
        <v>0</v>
      </c>
      <c r="O40" s="33">
        <f t="shared" si="20"/>
        <v>0</v>
      </c>
      <c r="P40" s="33">
        <f t="shared" si="20"/>
        <v>0</v>
      </c>
      <c r="Q40" s="33">
        <f t="shared" si="20"/>
        <v>0</v>
      </c>
      <c r="R40" s="33">
        <f t="shared" si="20"/>
        <v>0</v>
      </c>
      <c r="S40" s="33">
        <f t="shared" si="20"/>
        <v>0</v>
      </c>
      <c r="T40" s="33">
        <f t="shared" si="20"/>
        <v>0</v>
      </c>
      <c r="U40" s="33">
        <f t="shared" si="20"/>
        <v>0</v>
      </c>
      <c r="V40" s="33">
        <f t="shared" si="20"/>
        <v>0</v>
      </c>
      <c r="W40" s="33">
        <f t="shared" si="20"/>
        <v>0</v>
      </c>
      <c r="X40" s="33">
        <f t="shared" si="20"/>
        <v>0</v>
      </c>
      <c r="Y40" s="33"/>
      <c r="Z40" s="33"/>
      <c r="AA40" s="33">
        <f t="shared" si="20"/>
        <v>0</v>
      </c>
      <c r="AB40" s="33">
        <f t="shared" si="20"/>
        <v>0</v>
      </c>
      <c r="AC40" s="33">
        <f t="shared" si="20"/>
        <v>0</v>
      </c>
      <c r="AD40" s="33">
        <f t="shared" si="20"/>
        <v>0</v>
      </c>
      <c r="AE40" s="33">
        <f t="shared" si="20"/>
        <v>0</v>
      </c>
      <c r="AF40" s="33">
        <f t="shared" si="20"/>
        <v>0</v>
      </c>
      <c r="AG40" s="33">
        <f t="shared" si="20"/>
        <v>0</v>
      </c>
      <c r="AH40" s="33">
        <f t="shared" si="20"/>
        <v>0</v>
      </c>
      <c r="AI40" s="33">
        <f t="shared" si="20"/>
        <v>0</v>
      </c>
      <c r="AJ40" s="33">
        <f t="shared" si="20"/>
        <v>0</v>
      </c>
      <c r="AK40" s="33">
        <f t="shared" ref="AK40" si="21">AK41+AK42</f>
        <v>0</v>
      </c>
      <c r="AM40" s="55">
        <f>SUM(G40:AJ40)</f>
        <v>0</v>
      </c>
      <c r="CN40" s="142"/>
    </row>
    <row r="41" spans="1:15057" s="1" customFormat="1" x14ac:dyDescent="0.25">
      <c r="C41" s="15"/>
      <c r="D41" s="65" t="s">
        <v>109</v>
      </c>
      <c r="E41" s="255"/>
      <c r="F41" s="66" t="s">
        <v>14</v>
      </c>
      <c r="G41" s="270">
        <v>0</v>
      </c>
      <c r="H41" s="270">
        <v>0</v>
      </c>
      <c r="I41" s="270">
        <v>0</v>
      </c>
      <c r="J41" s="270">
        <v>0</v>
      </c>
      <c r="K41" s="270">
        <v>0</v>
      </c>
      <c r="L41" s="270">
        <v>0</v>
      </c>
      <c r="M41" s="270">
        <v>0</v>
      </c>
      <c r="N41" s="270">
        <v>0</v>
      </c>
      <c r="O41" s="270">
        <v>0</v>
      </c>
      <c r="P41" s="270">
        <v>0</v>
      </c>
      <c r="Q41" s="270">
        <v>0</v>
      </c>
      <c r="R41" s="270">
        <v>0</v>
      </c>
      <c r="S41" s="270">
        <v>0</v>
      </c>
      <c r="T41" s="270">
        <v>0</v>
      </c>
      <c r="U41" s="270">
        <v>0</v>
      </c>
      <c r="V41" s="270">
        <v>0</v>
      </c>
      <c r="W41" s="270">
        <v>0</v>
      </c>
      <c r="X41" s="270">
        <v>0</v>
      </c>
      <c r="Y41" s="270"/>
      <c r="Z41" s="270"/>
      <c r="AA41" s="270">
        <v>0</v>
      </c>
      <c r="AB41" s="270">
        <v>0</v>
      </c>
      <c r="AC41" s="270">
        <v>0</v>
      </c>
      <c r="AD41" s="270">
        <v>0</v>
      </c>
      <c r="AE41" s="270">
        <v>0</v>
      </c>
      <c r="AF41" s="270">
        <v>0</v>
      </c>
      <c r="AG41" s="270">
        <v>0</v>
      </c>
      <c r="AH41" s="270"/>
      <c r="AI41" s="270"/>
      <c r="AJ41" s="270"/>
      <c r="AK41" s="270"/>
      <c r="AM41" s="58">
        <f>SUM(G41:AJ41)</f>
        <v>0</v>
      </c>
      <c r="CN41" s="142"/>
    </row>
    <row r="42" spans="1:15057" s="1" customFormat="1" x14ac:dyDescent="0.25">
      <c r="C42" s="15"/>
      <c r="D42" s="56" t="s">
        <v>73</v>
      </c>
      <c r="E42" s="255"/>
      <c r="F42" s="66" t="s">
        <v>14</v>
      </c>
      <c r="G42" s="271">
        <v>0</v>
      </c>
      <c r="H42" s="271">
        <v>0</v>
      </c>
      <c r="I42" s="271">
        <v>0</v>
      </c>
      <c r="J42" s="271">
        <v>0</v>
      </c>
      <c r="K42" s="271">
        <v>0</v>
      </c>
      <c r="L42" s="271">
        <v>0</v>
      </c>
      <c r="M42" s="271">
        <v>0</v>
      </c>
      <c r="N42" s="271">
        <v>0</v>
      </c>
      <c r="O42" s="271">
        <v>0</v>
      </c>
      <c r="P42" s="271">
        <v>0</v>
      </c>
      <c r="Q42" s="271">
        <v>0</v>
      </c>
      <c r="R42" s="271">
        <v>0</v>
      </c>
      <c r="S42" s="271">
        <v>0</v>
      </c>
      <c r="T42" s="271">
        <v>0</v>
      </c>
      <c r="U42" s="271">
        <v>0</v>
      </c>
      <c r="V42" s="271">
        <v>0</v>
      </c>
      <c r="W42" s="271">
        <v>0</v>
      </c>
      <c r="X42" s="271">
        <v>0</v>
      </c>
      <c r="Y42" s="271"/>
      <c r="Z42" s="271"/>
      <c r="AA42" s="271">
        <v>0</v>
      </c>
      <c r="AB42" s="271">
        <v>0</v>
      </c>
      <c r="AC42" s="271">
        <v>0</v>
      </c>
      <c r="AD42" s="271">
        <v>0</v>
      </c>
      <c r="AE42" s="271">
        <v>0</v>
      </c>
      <c r="AF42" s="271">
        <v>0</v>
      </c>
      <c r="AG42" s="271">
        <v>0</v>
      </c>
      <c r="AH42" s="271"/>
      <c r="AI42" s="271"/>
      <c r="AJ42" s="271"/>
      <c r="AK42" s="271"/>
      <c r="AM42" s="58">
        <f>SUM(G42:AJ42)</f>
        <v>0</v>
      </c>
      <c r="CN42" s="142"/>
    </row>
    <row r="43" spans="1:15057" s="71" customFormat="1" x14ac:dyDescent="0.25">
      <c r="A43" s="63"/>
      <c r="B43" s="63"/>
      <c r="C43" s="69"/>
      <c r="D43" s="230" t="s">
        <v>110</v>
      </c>
      <c r="E43" s="305"/>
      <c r="F43" s="92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63"/>
      <c r="AM43" s="67" t="s">
        <v>111</v>
      </c>
      <c r="AN43" s="63"/>
      <c r="AO43" s="63"/>
      <c r="AP43" s="63"/>
      <c r="AQ43" s="3"/>
      <c r="AR43" s="365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14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  <c r="VEW43" s="63"/>
      <c r="VEX43" s="63"/>
      <c r="VEY43" s="63"/>
      <c r="VEZ43" s="63"/>
      <c r="VFA43" s="63"/>
      <c r="VFB43" s="63"/>
      <c r="VFC43" s="63"/>
      <c r="VFD43" s="63"/>
      <c r="VFE43" s="63"/>
      <c r="VFF43" s="63"/>
      <c r="VFG43" s="63"/>
      <c r="VFH43" s="63"/>
      <c r="VFI43" s="63"/>
      <c r="VFJ43" s="63"/>
      <c r="VFK43" s="63"/>
      <c r="VFL43" s="63"/>
      <c r="VFM43" s="63"/>
      <c r="VFN43" s="63"/>
      <c r="VFO43" s="63"/>
      <c r="VFP43" s="63"/>
      <c r="VFQ43" s="63"/>
      <c r="VFR43" s="63"/>
      <c r="VFS43" s="63"/>
      <c r="VFT43" s="63"/>
      <c r="VFU43" s="63"/>
      <c r="VFV43" s="63"/>
      <c r="VFW43" s="63"/>
      <c r="VFX43" s="63"/>
      <c r="VFY43" s="63"/>
      <c r="VFZ43" s="63"/>
      <c r="VGA43" s="63"/>
      <c r="VGB43" s="63"/>
      <c r="VGC43" s="63"/>
    </row>
    <row r="44" spans="1:15057" x14ac:dyDescent="0.25">
      <c r="C44" s="15"/>
      <c r="D44" s="14" t="s">
        <v>75</v>
      </c>
      <c r="E44" s="229">
        <f>E45+E46</f>
        <v>21429000</v>
      </c>
      <c r="F44" s="20" t="s">
        <v>14</v>
      </c>
      <c r="G44" s="33">
        <f>G45+G46</f>
        <v>0</v>
      </c>
      <c r="H44" s="33">
        <f t="shared" ref="H44:AJ44" si="22">H45+H46</f>
        <v>0</v>
      </c>
      <c r="I44" s="33">
        <f t="shared" si="22"/>
        <v>0</v>
      </c>
      <c r="J44" s="33">
        <f t="shared" si="22"/>
        <v>0</v>
      </c>
      <c r="K44" s="33"/>
      <c r="L44" s="33">
        <f t="shared" si="22"/>
        <v>0</v>
      </c>
      <c r="M44" s="33">
        <f t="shared" si="22"/>
        <v>0</v>
      </c>
      <c r="N44" s="33">
        <f>N45+N46</f>
        <v>0</v>
      </c>
      <c r="O44" s="33">
        <f t="shared" si="22"/>
        <v>0</v>
      </c>
      <c r="P44" s="33"/>
      <c r="Q44" s="33">
        <f t="shared" si="22"/>
        <v>587181</v>
      </c>
      <c r="R44" s="33">
        <f t="shared" si="22"/>
        <v>908919</v>
      </c>
      <c r="S44" s="33">
        <f t="shared" si="22"/>
        <v>1366180</v>
      </c>
      <c r="T44" s="33">
        <f t="shared" si="22"/>
        <v>1943182</v>
      </c>
      <c r="U44" s="33">
        <f t="shared" si="22"/>
        <v>2119169</v>
      </c>
      <c r="V44" s="33">
        <f t="shared" si="22"/>
        <v>767946</v>
      </c>
      <c r="W44" s="33">
        <f t="shared" si="22"/>
        <v>265967</v>
      </c>
      <c r="X44" s="33">
        <f t="shared" si="22"/>
        <v>0</v>
      </c>
      <c r="Y44" s="33">
        <f t="shared" si="22"/>
        <v>1248185</v>
      </c>
      <c r="Z44" s="33">
        <f t="shared" si="22"/>
        <v>228179</v>
      </c>
      <c r="AA44" s="33">
        <f t="shared" si="22"/>
        <v>546176</v>
      </c>
      <c r="AB44" s="33">
        <f t="shared" si="22"/>
        <v>1255749</v>
      </c>
      <c r="AC44" s="33">
        <f t="shared" si="22"/>
        <v>1595581</v>
      </c>
      <c r="AD44" s="33">
        <f t="shared" si="22"/>
        <v>1493796</v>
      </c>
      <c r="AE44" s="33">
        <f t="shared" si="22"/>
        <v>1574199</v>
      </c>
      <c r="AF44" s="33">
        <f t="shared" si="22"/>
        <v>1072608</v>
      </c>
      <c r="AG44" s="33">
        <f t="shared" si="22"/>
        <v>0</v>
      </c>
      <c r="AH44" s="33">
        <f t="shared" si="22"/>
        <v>0</v>
      </c>
      <c r="AI44" s="33">
        <f t="shared" si="22"/>
        <v>0</v>
      </c>
      <c r="AJ44" s="33">
        <f t="shared" si="22"/>
        <v>0</v>
      </c>
      <c r="AK44" s="33">
        <f t="shared" ref="AK44" si="23">AK45+AK46</f>
        <v>0</v>
      </c>
      <c r="AM44" s="55">
        <f>SUM(G44:AJ44)</f>
        <v>16973017</v>
      </c>
    </row>
    <row r="45" spans="1:15057" x14ac:dyDescent="0.25">
      <c r="C45" s="15"/>
      <c r="D45" s="65" t="s">
        <v>112</v>
      </c>
      <c r="E45" s="68">
        <v>15000000</v>
      </c>
      <c r="F45" s="66" t="s">
        <v>14</v>
      </c>
      <c r="G45" s="270"/>
      <c r="H45" s="270"/>
      <c r="I45" s="270"/>
      <c r="J45" s="270"/>
      <c r="K45" s="270"/>
      <c r="L45" s="270"/>
      <c r="M45" s="270"/>
      <c r="N45" s="270">
        <f>O45-P45</f>
        <v>0</v>
      </c>
      <c r="O45" s="270"/>
      <c r="P45" s="270"/>
      <c r="Q45" s="270">
        <f>'[7]11'!$P$22</f>
        <v>422273</v>
      </c>
      <c r="R45" s="270">
        <f>'[8]12'!$P$22</f>
        <v>600664</v>
      </c>
      <c r="S45" s="270">
        <v>976066</v>
      </c>
      <c r="T45" s="270">
        <f>'[10]14'!$P$23</f>
        <v>1484274</v>
      </c>
      <c r="U45" s="270">
        <f>'[10]15'!$P$23</f>
        <v>1603408</v>
      </c>
      <c r="V45" s="270">
        <f>'[11]16'!$P$22</f>
        <v>579219</v>
      </c>
      <c r="W45" s="270">
        <f>'[13]17'!$P$22</f>
        <v>186695</v>
      </c>
      <c r="X45" s="270">
        <v>0</v>
      </c>
      <c r="Y45" s="1994">
        <f>'[12]19'!$P$23-123327</f>
        <v>902933</v>
      </c>
      <c r="Z45" s="1994">
        <f>'[12]20'!$P$23</f>
        <v>102005</v>
      </c>
      <c r="AA45" s="1994">
        <f>'[12]21'!$P$23</f>
        <v>355278</v>
      </c>
      <c r="AB45" s="1994">
        <f>'[12]22'!$P$23</f>
        <v>803105</v>
      </c>
      <c r="AC45" s="1994">
        <f>'[14]23'!$P$23</f>
        <v>1168886</v>
      </c>
      <c r="AD45" s="1994">
        <f>'[15]24'!$P$23</f>
        <v>977923</v>
      </c>
      <c r="AE45" s="1994">
        <f>'[15]25'!$P$23</f>
        <v>1029443</v>
      </c>
      <c r="AF45" s="1994">
        <v>795403</v>
      </c>
      <c r="AG45" s="270">
        <v>0</v>
      </c>
      <c r="AH45" s="270">
        <v>0</v>
      </c>
      <c r="AI45" s="270"/>
      <c r="AJ45" s="270">
        <v>0</v>
      </c>
      <c r="AK45" s="270">
        <v>0</v>
      </c>
      <c r="AM45" s="58">
        <f>SUM(G45:AJ45)</f>
        <v>11987575</v>
      </c>
    </row>
    <row r="46" spans="1:15057" x14ac:dyDescent="0.25">
      <c r="C46" s="15"/>
      <c r="D46" s="65" t="s">
        <v>73</v>
      </c>
      <c r="E46" s="68">
        <v>6429000</v>
      </c>
      <c r="F46" s="105" t="s">
        <v>14</v>
      </c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>
        <v>164908</v>
      </c>
      <c r="R46" s="271">
        <v>308255</v>
      </c>
      <c r="S46" s="271">
        <v>390114</v>
      </c>
      <c r="T46" s="271">
        <f>'[10]14'!$P$31</f>
        <v>458908</v>
      </c>
      <c r="U46" s="271">
        <f>'[10]15'!$P$31</f>
        <v>515761</v>
      </c>
      <c r="V46" s="271">
        <v>188727</v>
      </c>
      <c r="W46" s="271">
        <v>79272</v>
      </c>
      <c r="X46" s="271">
        <v>0</v>
      </c>
      <c r="Y46" s="271">
        <f>'[12]19'!$P$31-28223</f>
        <v>345252</v>
      </c>
      <c r="Z46" s="271">
        <f>'[12]20'!$P$31</f>
        <v>126174</v>
      </c>
      <c r="AA46" s="271">
        <f>'[12]21'!$P$31</f>
        <v>190898</v>
      </c>
      <c r="AB46" s="271">
        <f>'[12]22'!$P$31</f>
        <v>452644</v>
      </c>
      <c r="AC46" s="271">
        <f>'[14]23'!$P$31</f>
        <v>426695</v>
      </c>
      <c r="AD46" s="271">
        <f>'[15]24'!$P$31</f>
        <v>515873</v>
      </c>
      <c r="AE46" s="271">
        <f>'[15]25'!$P$31</f>
        <v>544756</v>
      </c>
      <c r="AF46" s="271">
        <v>277205</v>
      </c>
      <c r="AG46" s="271">
        <v>0</v>
      </c>
      <c r="AH46" s="271"/>
      <c r="AI46" s="271"/>
      <c r="AJ46" s="271">
        <v>0</v>
      </c>
      <c r="AK46" s="271">
        <v>0</v>
      </c>
      <c r="AM46" s="58">
        <f>SUM(G46:AJ46)</f>
        <v>4985442</v>
      </c>
    </row>
    <row r="47" spans="1:15057" s="71" customFormat="1" x14ac:dyDescent="0.25">
      <c r="A47" s="63"/>
      <c r="B47" s="63"/>
      <c r="C47" s="69"/>
      <c r="D47" s="230" t="s">
        <v>829</v>
      </c>
      <c r="E47" s="305"/>
      <c r="F47" s="9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63"/>
      <c r="AM47" s="67" t="s">
        <v>111</v>
      </c>
      <c r="AN47" s="63"/>
      <c r="AO47" s="63"/>
      <c r="AP47" s="63"/>
      <c r="AQ47" s="1"/>
      <c r="AR47" s="1"/>
      <c r="AS47" s="1"/>
      <c r="AT47" s="1"/>
      <c r="AU47" s="1"/>
      <c r="AV47" s="1"/>
      <c r="AW47" s="1"/>
      <c r="AX47" s="1"/>
      <c r="AY47" s="1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14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  <c r="VEW47" s="63"/>
      <c r="VEX47" s="63"/>
      <c r="VEY47" s="63"/>
      <c r="VEZ47" s="63"/>
      <c r="VFA47" s="63"/>
      <c r="VFB47" s="63"/>
      <c r="VFC47" s="63"/>
      <c r="VFD47" s="63"/>
      <c r="VFE47" s="63"/>
      <c r="VFF47" s="63"/>
      <c r="VFG47" s="63"/>
      <c r="VFH47" s="63"/>
      <c r="VFI47" s="63"/>
      <c r="VFJ47" s="63"/>
      <c r="VFK47" s="63"/>
      <c r="VFL47" s="63"/>
      <c r="VFM47" s="63"/>
      <c r="VFN47" s="63"/>
      <c r="VFO47" s="63"/>
      <c r="VFP47" s="63"/>
      <c r="VFQ47" s="63"/>
      <c r="VFR47" s="63"/>
      <c r="VFS47" s="63"/>
      <c r="VFT47" s="63"/>
      <c r="VFU47" s="63"/>
      <c r="VFV47" s="63"/>
      <c r="VFW47" s="63"/>
      <c r="VFX47" s="63"/>
      <c r="VFY47" s="63"/>
      <c r="VFZ47" s="63"/>
      <c r="VGA47" s="63"/>
      <c r="VGB47" s="63"/>
      <c r="VGC47" s="63"/>
    </row>
    <row r="48" spans="1:15057" s="74" customFormat="1" x14ac:dyDescent="0.2">
      <c r="A48" s="16"/>
      <c r="B48" s="16"/>
      <c r="C48" s="17"/>
      <c r="D48" s="11" t="s">
        <v>71</v>
      </c>
      <c r="E48" s="256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16"/>
      <c r="AM48" s="55">
        <f>SUM(G48:AJ48)</f>
        <v>0</v>
      </c>
      <c r="AN48" s="16"/>
      <c r="AO48" s="16"/>
      <c r="AP48" s="16"/>
      <c r="AQ48" s="1"/>
      <c r="AR48" s="1"/>
      <c r="AS48" s="1"/>
      <c r="AT48" s="1"/>
      <c r="AU48" s="1"/>
      <c r="AV48" s="1"/>
      <c r="AW48" s="1"/>
      <c r="AX48" s="1"/>
      <c r="AY48" s="1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44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  <c r="VEW48" s="16"/>
      <c r="VEX48" s="16"/>
      <c r="VEY48" s="16"/>
      <c r="VEZ48" s="16"/>
      <c r="VFA48" s="16"/>
      <c r="VFB48" s="16"/>
      <c r="VFC48" s="16"/>
      <c r="VFD48" s="16"/>
      <c r="VFE48" s="16"/>
      <c r="VFF48" s="16"/>
      <c r="VFG48" s="16"/>
      <c r="VFH48" s="16"/>
      <c r="VFI48" s="16"/>
      <c r="VFJ48" s="16"/>
      <c r="VFK48" s="16"/>
      <c r="VFL48" s="16"/>
      <c r="VFM48" s="16"/>
      <c r="VFN48" s="16"/>
      <c r="VFO48" s="16"/>
      <c r="VFP48" s="16"/>
      <c r="VFQ48" s="16"/>
      <c r="VFR48" s="16"/>
      <c r="VFS48" s="16"/>
      <c r="VFT48" s="16"/>
      <c r="VFU48" s="16"/>
      <c r="VFV48" s="16"/>
      <c r="VFW48" s="16"/>
      <c r="VFX48" s="16"/>
      <c r="VFY48" s="16"/>
      <c r="VFZ48" s="16"/>
      <c r="VGA48" s="16"/>
      <c r="VGB48" s="16"/>
      <c r="VGC48" s="16"/>
    </row>
    <row r="49" spans="1:15057" x14ac:dyDescent="0.25">
      <c r="C49" s="15"/>
      <c r="D49" s="14" t="s">
        <v>75</v>
      </c>
      <c r="E49" s="229">
        <f>E50+E51</f>
        <v>21429000</v>
      </c>
      <c r="F49" s="20" t="s">
        <v>14</v>
      </c>
      <c r="G49" s="33">
        <f>G50+G51</f>
        <v>0</v>
      </c>
      <c r="H49" s="33">
        <f t="shared" ref="H49:AJ49" si="24">H50+H51</f>
        <v>0</v>
      </c>
      <c r="I49" s="33">
        <f t="shared" si="24"/>
        <v>0</v>
      </c>
      <c r="J49" s="33">
        <f t="shared" si="24"/>
        <v>0</v>
      </c>
      <c r="K49" s="33">
        <v>0</v>
      </c>
      <c r="L49" s="33">
        <f t="shared" si="24"/>
        <v>0</v>
      </c>
      <c r="M49" s="33">
        <f t="shared" si="24"/>
        <v>0</v>
      </c>
      <c r="N49" s="33">
        <f t="shared" si="24"/>
        <v>0</v>
      </c>
      <c r="O49" s="33">
        <f t="shared" si="24"/>
        <v>0</v>
      </c>
      <c r="P49" s="33">
        <f t="shared" si="24"/>
        <v>0</v>
      </c>
      <c r="Q49" s="33">
        <f t="shared" si="24"/>
        <v>0</v>
      </c>
      <c r="R49" s="33">
        <f t="shared" si="24"/>
        <v>0</v>
      </c>
      <c r="S49" s="33">
        <f t="shared" si="24"/>
        <v>0</v>
      </c>
      <c r="T49" s="33">
        <f t="shared" si="24"/>
        <v>0</v>
      </c>
      <c r="U49" s="33">
        <f t="shared" si="24"/>
        <v>0</v>
      </c>
      <c r="V49" s="33">
        <f t="shared" si="24"/>
        <v>0</v>
      </c>
      <c r="W49" s="33">
        <f t="shared" si="24"/>
        <v>0</v>
      </c>
      <c r="X49" s="33">
        <f t="shared" si="24"/>
        <v>0</v>
      </c>
      <c r="Y49" s="33">
        <f t="shared" si="24"/>
        <v>0</v>
      </c>
      <c r="Z49" s="33">
        <f t="shared" si="24"/>
        <v>0</v>
      </c>
      <c r="AA49" s="33">
        <f t="shared" si="24"/>
        <v>0</v>
      </c>
      <c r="AB49" s="33">
        <f t="shared" si="24"/>
        <v>0</v>
      </c>
      <c r="AC49" s="33">
        <f t="shared" si="24"/>
        <v>0</v>
      </c>
      <c r="AD49" s="33">
        <f t="shared" si="24"/>
        <v>0</v>
      </c>
      <c r="AE49" s="33">
        <f t="shared" si="24"/>
        <v>0</v>
      </c>
      <c r="AF49" s="33">
        <f t="shared" si="24"/>
        <v>0</v>
      </c>
      <c r="AG49" s="33">
        <f t="shared" si="24"/>
        <v>0</v>
      </c>
      <c r="AH49" s="33">
        <f t="shared" si="24"/>
        <v>0</v>
      </c>
      <c r="AI49" s="33">
        <f t="shared" si="24"/>
        <v>0</v>
      </c>
      <c r="AJ49" s="33">
        <f t="shared" si="24"/>
        <v>0</v>
      </c>
      <c r="AK49" s="33">
        <f t="shared" ref="AK49" si="25">AK50+AK51</f>
        <v>0</v>
      </c>
      <c r="AM49" s="55">
        <f>SUM(G49:AJ49)</f>
        <v>0</v>
      </c>
    </row>
    <row r="50" spans="1:15057" x14ac:dyDescent="0.25">
      <c r="C50" s="15"/>
      <c r="D50" s="65" t="s">
        <v>112</v>
      </c>
      <c r="E50" s="68">
        <v>15000000</v>
      </c>
      <c r="F50" s="66" t="s">
        <v>14</v>
      </c>
      <c r="G50" s="270">
        <v>0</v>
      </c>
      <c r="H50" s="270">
        <v>0</v>
      </c>
      <c r="I50" s="270">
        <v>0</v>
      </c>
      <c r="J50" s="270">
        <v>0</v>
      </c>
      <c r="K50" s="270">
        <v>0</v>
      </c>
      <c r="L50" s="270">
        <v>0</v>
      </c>
      <c r="M50" s="270">
        <v>0</v>
      </c>
      <c r="N50" s="270">
        <v>0</v>
      </c>
      <c r="O50" s="270">
        <v>0</v>
      </c>
      <c r="P50" s="270">
        <v>0</v>
      </c>
      <c r="Q50" s="270">
        <v>0</v>
      </c>
      <c r="R50" s="270">
        <v>0</v>
      </c>
      <c r="S50" s="270">
        <v>0</v>
      </c>
      <c r="T50" s="270">
        <v>0</v>
      </c>
      <c r="U50" s="270">
        <v>0</v>
      </c>
      <c r="V50" s="270">
        <v>0</v>
      </c>
      <c r="W50" s="270">
        <v>0</v>
      </c>
      <c r="X50" s="270">
        <v>0</v>
      </c>
      <c r="Y50" s="270">
        <v>0</v>
      </c>
      <c r="Z50" s="270">
        <v>0</v>
      </c>
      <c r="AA50" s="270">
        <v>0</v>
      </c>
      <c r="AB50" s="270">
        <v>0</v>
      </c>
      <c r="AC50" s="270">
        <v>0</v>
      </c>
      <c r="AD50" s="270">
        <v>0</v>
      </c>
      <c r="AE50" s="270">
        <v>0</v>
      </c>
      <c r="AF50" s="270">
        <v>0</v>
      </c>
      <c r="AG50" s="270">
        <v>0</v>
      </c>
      <c r="AH50" s="270">
        <v>0</v>
      </c>
      <c r="AI50" s="270">
        <v>0</v>
      </c>
      <c r="AJ50" s="270"/>
      <c r="AK50" s="270"/>
      <c r="AM50" s="58">
        <f>SUM(G50:AJ50)</f>
        <v>0</v>
      </c>
    </row>
    <row r="51" spans="1:15057" x14ac:dyDescent="0.25">
      <c r="C51" s="15"/>
      <c r="D51" s="65" t="s">
        <v>73</v>
      </c>
      <c r="E51" s="68">
        <v>6429000</v>
      </c>
      <c r="F51" s="66" t="s">
        <v>14</v>
      </c>
      <c r="G51" s="270">
        <v>0</v>
      </c>
      <c r="H51" s="270">
        <v>0</v>
      </c>
      <c r="I51" s="270">
        <v>0</v>
      </c>
      <c r="J51" s="270">
        <v>0</v>
      </c>
      <c r="K51" s="270">
        <v>0</v>
      </c>
      <c r="L51" s="270">
        <v>0</v>
      </c>
      <c r="M51" s="270">
        <v>0</v>
      </c>
      <c r="N51" s="270">
        <v>0</v>
      </c>
      <c r="O51" s="270">
        <v>0</v>
      </c>
      <c r="P51" s="270">
        <v>0</v>
      </c>
      <c r="Q51" s="270">
        <v>0</v>
      </c>
      <c r="R51" s="270">
        <v>0</v>
      </c>
      <c r="S51" s="270">
        <v>0</v>
      </c>
      <c r="T51" s="270">
        <v>0</v>
      </c>
      <c r="U51" s="270">
        <v>0</v>
      </c>
      <c r="V51" s="270">
        <v>0</v>
      </c>
      <c r="W51" s="270">
        <v>0</v>
      </c>
      <c r="X51" s="270">
        <v>0</v>
      </c>
      <c r="Y51" s="270">
        <v>0</v>
      </c>
      <c r="Z51" s="270">
        <v>0</v>
      </c>
      <c r="AA51" s="270">
        <v>0</v>
      </c>
      <c r="AB51" s="270">
        <v>0</v>
      </c>
      <c r="AC51" s="270">
        <v>0</v>
      </c>
      <c r="AD51" s="270">
        <v>0</v>
      </c>
      <c r="AE51" s="270">
        <v>0</v>
      </c>
      <c r="AF51" s="270">
        <v>0</v>
      </c>
      <c r="AG51" s="270">
        <v>0</v>
      </c>
      <c r="AH51" s="270">
        <v>0</v>
      </c>
      <c r="AI51" s="270">
        <v>0</v>
      </c>
      <c r="AJ51" s="270"/>
      <c r="AK51" s="270"/>
      <c r="AM51" s="58">
        <f>SUM(G51:AJ51)</f>
        <v>0</v>
      </c>
    </row>
    <row r="52" spans="1:15057" x14ac:dyDescent="0.25">
      <c r="C52" s="15"/>
      <c r="D52" s="230" t="s">
        <v>72</v>
      </c>
      <c r="E52" s="233"/>
      <c r="F52" s="232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M52" s="67" t="s">
        <v>61</v>
      </c>
    </row>
    <row r="53" spans="1:15057" s="74" customFormat="1" x14ac:dyDescent="0.2">
      <c r="A53" s="16"/>
      <c r="B53" s="16"/>
      <c r="C53" s="17"/>
      <c r="D53" s="11" t="s">
        <v>71</v>
      </c>
      <c r="E53" s="256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16"/>
      <c r="AM53" s="55">
        <f t="shared" ref="AM53:AM57" si="26">SUM(G53:AJ53)</f>
        <v>0</v>
      </c>
      <c r="AN53" s="16"/>
      <c r="AO53" s="16"/>
      <c r="AP53" s="16"/>
      <c r="AQ53" s="1"/>
      <c r="AR53" s="1"/>
      <c r="AS53" s="1"/>
      <c r="AT53" s="1"/>
      <c r="AU53" s="1"/>
      <c r="AV53" s="1"/>
      <c r="AW53" s="1"/>
      <c r="AX53" s="1"/>
      <c r="AY53" s="1"/>
      <c r="AZ53" s="16"/>
      <c r="BA53" s="16"/>
      <c r="BB53" s="16"/>
      <c r="BC53" s="16"/>
      <c r="BD53" s="16"/>
      <c r="BE53" s="16"/>
      <c r="BF53" s="16"/>
      <c r="BG53" s="139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44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  <c r="VEW53" s="16"/>
      <c r="VEX53" s="16"/>
      <c r="VEY53" s="16"/>
      <c r="VEZ53" s="16"/>
      <c r="VFA53" s="16"/>
      <c r="VFB53" s="16"/>
      <c r="VFC53" s="16"/>
      <c r="VFD53" s="16"/>
      <c r="VFE53" s="16"/>
      <c r="VFF53" s="16"/>
      <c r="VFG53" s="16"/>
      <c r="VFH53" s="16"/>
      <c r="VFI53" s="16"/>
      <c r="VFJ53" s="16"/>
      <c r="VFK53" s="16"/>
      <c r="VFL53" s="16"/>
      <c r="VFM53" s="16"/>
      <c r="VFN53" s="16"/>
      <c r="VFO53" s="16"/>
      <c r="VFP53" s="16"/>
      <c r="VFQ53" s="16"/>
      <c r="VFR53" s="16"/>
      <c r="VFS53" s="16"/>
      <c r="VFT53" s="16"/>
      <c r="VFU53" s="16"/>
      <c r="VFV53" s="16"/>
      <c r="VFW53" s="16"/>
      <c r="VFX53" s="16"/>
      <c r="VFY53" s="16"/>
      <c r="VFZ53" s="16"/>
      <c r="VGA53" s="16"/>
      <c r="VGB53" s="16"/>
      <c r="VGC53" s="16"/>
    </row>
    <row r="54" spans="1:15057" s="1" customFormat="1" x14ac:dyDescent="0.25">
      <c r="C54" s="15"/>
      <c r="D54" s="14" t="s">
        <v>70</v>
      </c>
      <c r="E54" s="255"/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J54" si="27">J55+J56</f>
        <v>0</v>
      </c>
      <c r="K54" s="33">
        <v>0</v>
      </c>
      <c r="L54" s="33">
        <v>0</v>
      </c>
      <c r="M54" s="33">
        <f t="shared" si="27"/>
        <v>0</v>
      </c>
      <c r="N54" s="33">
        <f t="shared" si="27"/>
        <v>0</v>
      </c>
      <c r="O54" s="33">
        <f t="shared" si="27"/>
        <v>0</v>
      </c>
      <c r="P54" s="33">
        <f t="shared" si="27"/>
        <v>0</v>
      </c>
      <c r="Q54" s="33">
        <f t="shared" si="27"/>
        <v>0</v>
      </c>
      <c r="R54" s="33">
        <f t="shared" si="27"/>
        <v>0</v>
      </c>
      <c r="S54" s="33">
        <f t="shared" si="27"/>
        <v>0</v>
      </c>
      <c r="T54" s="33">
        <f t="shared" si="27"/>
        <v>0</v>
      </c>
      <c r="U54" s="33">
        <f t="shared" si="27"/>
        <v>0</v>
      </c>
      <c r="V54" s="33">
        <f t="shared" si="27"/>
        <v>0</v>
      </c>
      <c r="W54" s="33">
        <f t="shared" si="27"/>
        <v>0</v>
      </c>
      <c r="X54" s="33">
        <f t="shared" si="27"/>
        <v>0</v>
      </c>
      <c r="Y54" s="33">
        <f t="shared" si="27"/>
        <v>0</v>
      </c>
      <c r="Z54" s="33">
        <f t="shared" si="27"/>
        <v>0</v>
      </c>
      <c r="AA54" s="33">
        <f t="shared" si="27"/>
        <v>0</v>
      </c>
      <c r="AB54" s="33">
        <f t="shared" si="27"/>
        <v>0</v>
      </c>
      <c r="AC54" s="33">
        <f t="shared" si="27"/>
        <v>0</v>
      </c>
      <c r="AD54" s="33">
        <f t="shared" si="27"/>
        <v>0</v>
      </c>
      <c r="AE54" s="33">
        <f t="shared" si="27"/>
        <v>0</v>
      </c>
      <c r="AF54" s="33">
        <f t="shared" si="27"/>
        <v>0</v>
      </c>
      <c r="AG54" s="33">
        <f t="shared" si="27"/>
        <v>0</v>
      </c>
      <c r="AH54" s="33">
        <f t="shared" si="27"/>
        <v>145360</v>
      </c>
      <c r="AI54" s="33">
        <f t="shared" si="27"/>
        <v>0</v>
      </c>
      <c r="AJ54" s="33">
        <f t="shared" si="27"/>
        <v>0</v>
      </c>
      <c r="AK54" s="33">
        <f t="shared" ref="AK54" si="28">AK55+AK56</f>
        <v>0</v>
      </c>
      <c r="AM54" s="55">
        <f t="shared" si="26"/>
        <v>145360</v>
      </c>
      <c r="BG54" s="145"/>
      <c r="CN54" s="142"/>
    </row>
    <row r="55" spans="1:15057" s="1" customFormat="1" x14ac:dyDescent="0.25">
      <c r="C55" s="15"/>
      <c r="D55" s="65" t="s">
        <v>68</v>
      </c>
      <c r="E55" s="255"/>
      <c r="F55" s="66" t="s">
        <v>14</v>
      </c>
      <c r="G55" s="270">
        <v>0</v>
      </c>
      <c r="H55" s="270">
        <v>0</v>
      </c>
      <c r="I55" s="270">
        <v>0</v>
      </c>
      <c r="J55" s="270">
        <v>0</v>
      </c>
      <c r="K55" s="270">
        <v>0</v>
      </c>
      <c r="L55" s="270">
        <v>0</v>
      </c>
      <c r="M55" s="270">
        <v>0</v>
      </c>
      <c r="N55" s="270">
        <v>0</v>
      </c>
      <c r="O55" s="270">
        <v>0</v>
      </c>
      <c r="P55" s="270">
        <v>0</v>
      </c>
      <c r="Q55" s="270">
        <v>0</v>
      </c>
      <c r="R55" s="270">
        <v>0</v>
      </c>
      <c r="S55" s="270">
        <v>0</v>
      </c>
      <c r="T55" s="270">
        <v>0</v>
      </c>
      <c r="U55" s="270">
        <v>0</v>
      </c>
      <c r="V55" s="270">
        <v>0</v>
      </c>
      <c r="W55" s="270">
        <v>0</v>
      </c>
      <c r="X55" s="270">
        <v>0</v>
      </c>
      <c r="Y55" s="270">
        <v>0</v>
      </c>
      <c r="Z55" s="270">
        <v>0</v>
      </c>
      <c r="AA55" s="270">
        <v>0</v>
      </c>
      <c r="AB55" s="270">
        <v>0</v>
      </c>
      <c r="AC55" s="270">
        <v>0</v>
      </c>
      <c r="AD55" s="270">
        <v>0</v>
      </c>
      <c r="AE55" s="270">
        <v>0</v>
      </c>
      <c r="AF55" s="270">
        <v>0</v>
      </c>
      <c r="AG55" s="270"/>
      <c r="AH55" s="270">
        <v>87260</v>
      </c>
      <c r="AI55" s="270">
        <v>0</v>
      </c>
      <c r="AJ55" s="270"/>
      <c r="AK55" s="270"/>
      <c r="AM55" s="58">
        <f t="shared" si="26"/>
        <v>87260</v>
      </c>
      <c r="BG55" s="142"/>
      <c r="CN55" s="142"/>
    </row>
    <row r="56" spans="1:15057" s="1" customFormat="1" x14ac:dyDescent="0.25">
      <c r="C56" s="15"/>
      <c r="D56" s="65" t="s">
        <v>67</v>
      </c>
      <c r="E56" s="255"/>
      <c r="F56" s="66" t="s">
        <v>14</v>
      </c>
      <c r="G56" s="270">
        <v>0</v>
      </c>
      <c r="H56" s="270">
        <v>0</v>
      </c>
      <c r="I56" s="270">
        <v>0</v>
      </c>
      <c r="J56" s="270">
        <v>0</v>
      </c>
      <c r="K56" s="270">
        <v>0</v>
      </c>
      <c r="L56" s="270">
        <v>0</v>
      </c>
      <c r="M56" s="270">
        <v>0</v>
      </c>
      <c r="N56" s="270">
        <v>0</v>
      </c>
      <c r="O56" s="270">
        <v>0</v>
      </c>
      <c r="P56" s="270">
        <v>0</v>
      </c>
      <c r="Q56" s="270">
        <v>0</v>
      </c>
      <c r="R56" s="270">
        <v>0</v>
      </c>
      <c r="S56" s="270">
        <v>0</v>
      </c>
      <c r="T56" s="270">
        <v>0</v>
      </c>
      <c r="U56" s="270">
        <v>0</v>
      </c>
      <c r="V56" s="270">
        <v>0</v>
      </c>
      <c r="W56" s="270">
        <v>0</v>
      </c>
      <c r="X56" s="270">
        <v>0</v>
      </c>
      <c r="Y56" s="270">
        <v>0</v>
      </c>
      <c r="Z56" s="270">
        <v>0</v>
      </c>
      <c r="AA56" s="270">
        <v>0</v>
      </c>
      <c r="AB56" s="270">
        <v>0</v>
      </c>
      <c r="AC56" s="270">
        <v>0</v>
      </c>
      <c r="AD56" s="270">
        <v>0</v>
      </c>
      <c r="AE56" s="270">
        <v>0</v>
      </c>
      <c r="AF56" s="270"/>
      <c r="AG56" s="270"/>
      <c r="AH56" s="270">
        <v>58100</v>
      </c>
      <c r="AI56" s="270">
        <v>0</v>
      </c>
      <c r="AJ56" s="270"/>
      <c r="AK56" s="270"/>
      <c r="AM56" s="58">
        <f t="shared" si="26"/>
        <v>58100</v>
      </c>
      <c r="CN56" s="142"/>
    </row>
    <row r="57" spans="1:15057" s="1" customFormat="1" x14ac:dyDescent="0.25">
      <c r="C57" s="15"/>
      <c r="D57" s="75" t="s">
        <v>113</v>
      </c>
      <c r="E57" s="255"/>
      <c r="F57" s="13" t="s">
        <v>25</v>
      </c>
      <c r="G57" s="273">
        <v>0</v>
      </c>
      <c r="H57" s="273">
        <v>0</v>
      </c>
      <c r="I57" s="273">
        <v>0</v>
      </c>
      <c r="J57" s="273">
        <v>0</v>
      </c>
      <c r="K57" s="273">
        <v>0</v>
      </c>
      <c r="L57" s="273">
        <v>0</v>
      </c>
      <c r="M57" s="273">
        <v>0</v>
      </c>
      <c r="N57" s="273">
        <v>0</v>
      </c>
      <c r="O57" s="273">
        <v>0</v>
      </c>
      <c r="P57" s="273">
        <v>0</v>
      </c>
      <c r="Q57" s="273">
        <v>0</v>
      </c>
      <c r="R57" s="273">
        <v>0</v>
      </c>
      <c r="S57" s="273">
        <v>0</v>
      </c>
      <c r="T57" s="273">
        <v>0</v>
      </c>
      <c r="U57" s="273">
        <v>0</v>
      </c>
      <c r="V57" s="273">
        <v>0</v>
      </c>
      <c r="W57" s="273">
        <v>0</v>
      </c>
      <c r="X57" s="273">
        <v>0</v>
      </c>
      <c r="Y57" s="273">
        <v>0</v>
      </c>
      <c r="Z57" s="273">
        <v>0</v>
      </c>
      <c r="AA57" s="273">
        <v>0</v>
      </c>
      <c r="AB57" s="273">
        <v>0</v>
      </c>
      <c r="AC57" s="273">
        <v>0</v>
      </c>
      <c r="AD57" s="273">
        <v>0</v>
      </c>
      <c r="AE57" s="273">
        <v>0</v>
      </c>
      <c r="AF57" s="273">
        <v>0</v>
      </c>
      <c r="AG57" s="273">
        <v>0</v>
      </c>
      <c r="AH57" s="273">
        <v>0</v>
      </c>
      <c r="AI57" s="273">
        <v>0</v>
      </c>
      <c r="AJ57" s="273">
        <v>0</v>
      </c>
      <c r="AK57" s="273">
        <v>0</v>
      </c>
      <c r="AL57" s="63"/>
      <c r="AM57" s="58">
        <f t="shared" si="26"/>
        <v>0</v>
      </c>
      <c r="CN57" s="142"/>
    </row>
    <row r="58" spans="1:15057" x14ac:dyDescent="0.25">
      <c r="C58" s="8"/>
      <c r="D58" s="76" t="s">
        <v>66</v>
      </c>
      <c r="E58" s="77"/>
      <c r="F58" s="78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M58" s="79" t="s">
        <v>128</v>
      </c>
    </row>
    <row r="59" spans="1:15057" x14ac:dyDescent="0.25">
      <c r="C59" s="15"/>
      <c r="D59" s="75" t="s">
        <v>65</v>
      </c>
      <c r="E59" s="1615">
        <v>94.2</v>
      </c>
      <c r="F59" s="70" t="s">
        <v>25</v>
      </c>
      <c r="G59" s="274" t="e">
        <f t="shared" ref="G59:AJ59" si="29">(G19/(G9))*100</f>
        <v>#DIV/0!</v>
      </c>
      <c r="H59" s="274" t="e">
        <f t="shared" si="29"/>
        <v>#DIV/0!</v>
      </c>
      <c r="I59" s="274" t="e">
        <f t="shared" si="29"/>
        <v>#DIV/0!</v>
      </c>
      <c r="J59" s="274" t="e">
        <f t="shared" si="29"/>
        <v>#DIV/0!</v>
      </c>
      <c r="K59" s="274" t="e">
        <f t="shared" si="29"/>
        <v>#DIV/0!</v>
      </c>
      <c r="L59" s="274" t="e">
        <f t="shared" si="29"/>
        <v>#DIV/0!</v>
      </c>
      <c r="M59" s="274">
        <f t="shared" si="29"/>
        <v>97.234495602815656</v>
      </c>
      <c r="N59" s="274">
        <f t="shared" si="29"/>
        <v>90.318761120602844</v>
      </c>
      <c r="O59" s="274">
        <f t="shared" si="29"/>
        <v>93.9879857093174</v>
      </c>
      <c r="P59" s="274">
        <f t="shared" si="29"/>
        <v>107.01308320921056</v>
      </c>
      <c r="Q59" s="274">
        <f t="shared" si="29"/>
        <v>99.396735273243436</v>
      </c>
      <c r="R59" s="274">
        <f t="shared" si="29"/>
        <v>86.853085026335592</v>
      </c>
      <c r="S59" s="274">
        <f t="shared" si="29"/>
        <v>96.999847014599183</v>
      </c>
      <c r="T59" s="274">
        <f t="shared" si="29"/>
        <v>96.137667140703542</v>
      </c>
      <c r="U59" s="274">
        <f t="shared" si="29"/>
        <v>98.310026770383345</v>
      </c>
      <c r="V59" s="274">
        <f t="shared" si="29"/>
        <v>95.218467793142366</v>
      </c>
      <c r="W59" s="274">
        <f t="shared" si="29"/>
        <v>92.499294174724625</v>
      </c>
      <c r="X59" s="274">
        <f t="shared" si="29"/>
        <v>104.26607890793412</v>
      </c>
      <c r="Y59" s="274">
        <f t="shared" si="29"/>
        <v>94.234441458761694</v>
      </c>
      <c r="Z59" s="274">
        <f t="shared" si="29"/>
        <v>97.021192563722451</v>
      </c>
      <c r="AA59" s="274">
        <f t="shared" si="29"/>
        <v>99.400342129937798</v>
      </c>
      <c r="AB59" s="274">
        <f t="shared" si="29"/>
        <v>94.133870606671138</v>
      </c>
      <c r="AC59" s="274">
        <f t="shared" si="29"/>
        <v>96.672049223867276</v>
      </c>
      <c r="AD59" s="274">
        <f t="shared" si="29"/>
        <v>92.435685450834939</v>
      </c>
      <c r="AE59" s="274">
        <f t="shared" si="29"/>
        <v>176.62854585448071</v>
      </c>
      <c r="AF59" s="274" t="e">
        <f t="shared" si="29"/>
        <v>#DIV/0!</v>
      </c>
      <c r="AG59" s="274" t="e">
        <f t="shared" si="29"/>
        <v>#DIV/0!</v>
      </c>
      <c r="AH59" s="274" t="e">
        <f t="shared" si="29"/>
        <v>#DIV/0!</v>
      </c>
      <c r="AI59" s="274" t="e">
        <f t="shared" si="29"/>
        <v>#DIV/0!</v>
      </c>
      <c r="AJ59" s="274" t="e">
        <f t="shared" si="29"/>
        <v>#DIV/0!</v>
      </c>
      <c r="AK59" s="274" t="e">
        <f t="shared" ref="AK59" si="30">(AK19/(AK9))*100</f>
        <v>#DIV/0!</v>
      </c>
      <c r="AL59" s="63"/>
      <c r="AM59" s="301">
        <f>(AM19/(AM9))*100</f>
        <v>96.5053713767754</v>
      </c>
    </row>
    <row r="60" spans="1:15057" x14ac:dyDescent="0.25">
      <c r="C60" s="15"/>
      <c r="D60" s="75" t="s">
        <v>64</v>
      </c>
      <c r="E60" s="126">
        <v>5</v>
      </c>
      <c r="F60" s="70" t="s">
        <v>25</v>
      </c>
      <c r="G60" s="274" t="e">
        <f>(G20/(G9))*100</f>
        <v>#DIV/0!</v>
      </c>
      <c r="H60" s="274" t="e">
        <f>(H20/(H9))*100</f>
        <v>#DIV/0!</v>
      </c>
      <c r="I60" s="274" t="e">
        <f>(I20/(I9))*100</f>
        <v>#DIV/0!</v>
      </c>
      <c r="J60" s="274" t="e">
        <f>(J20/(J9))*100</f>
        <v>#DIV/0!</v>
      </c>
      <c r="K60" s="274"/>
      <c r="L60" s="274" t="e">
        <f t="shared" ref="L60:AJ60" si="31">(L20/(L9))*100</f>
        <v>#DIV/0!</v>
      </c>
      <c r="M60" s="274">
        <f t="shared" si="31"/>
        <v>4.3193312316362702</v>
      </c>
      <c r="N60" s="274">
        <f t="shared" si="31"/>
        <v>3.9843799436073497</v>
      </c>
      <c r="O60" s="274">
        <f t="shared" si="31"/>
        <v>4.0443896424167693</v>
      </c>
      <c r="P60" s="274">
        <f t="shared" si="31"/>
        <v>4.1576426069803958</v>
      </c>
      <c r="Q60" s="274">
        <f t="shared" si="31"/>
        <v>4.2240628427640496</v>
      </c>
      <c r="R60" s="274">
        <f t="shared" si="31"/>
        <v>3.9833521444695257</v>
      </c>
      <c r="S60" s="274">
        <f t="shared" si="31"/>
        <v>4.5540930879738903</v>
      </c>
      <c r="T60" s="274">
        <f t="shared" si="31"/>
        <v>4.3562585373918692</v>
      </c>
      <c r="U60" s="274">
        <f t="shared" si="31"/>
        <v>4.3885985877509412</v>
      </c>
      <c r="V60" s="274">
        <f t="shared" si="31"/>
        <v>4.4188522999858897</v>
      </c>
      <c r="W60" s="274">
        <f t="shared" si="31"/>
        <v>3.8589022149153878</v>
      </c>
      <c r="X60" s="274">
        <f t="shared" si="31"/>
        <v>4.3811255618353</v>
      </c>
      <c r="Y60" s="274">
        <f t="shared" si="31"/>
        <v>4.0497394538180034</v>
      </c>
      <c r="Z60" s="274">
        <f t="shared" si="31"/>
        <v>4.3139002563175408</v>
      </c>
      <c r="AA60" s="274">
        <f t="shared" si="31"/>
        <v>4.049157916586144</v>
      </c>
      <c r="AB60" s="274">
        <f t="shared" si="31"/>
        <v>4.1773598985150358</v>
      </c>
      <c r="AC60" s="274">
        <f t="shared" si="31"/>
        <v>4.1036645886756284</v>
      </c>
      <c r="AD60" s="274">
        <f t="shared" si="31"/>
        <v>5.0056808871663412</v>
      </c>
      <c r="AE60" s="274">
        <f t="shared" si="31"/>
        <v>17.465743641505661</v>
      </c>
      <c r="AF60" s="274" t="e">
        <f t="shared" si="31"/>
        <v>#DIV/0!</v>
      </c>
      <c r="AG60" s="274" t="e">
        <f t="shared" si="31"/>
        <v>#DIV/0!</v>
      </c>
      <c r="AH60" s="274" t="e">
        <f t="shared" si="31"/>
        <v>#DIV/0!</v>
      </c>
      <c r="AI60" s="274" t="e">
        <f t="shared" si="31"/>
        <v>#DIV/0!</v>
      </c>
      <c r="AJ60" s="274" t="e">
        <f t="shared" si="31"/>
        <v>#DIV/0!</v>
      </c>
      <c r="AK60" s="274" t="e">
        <f t="shared" ref="AK60" si="32">(AK20/(AK9))*100</f>
        <v>#DIV/0!</v>
      </c>
      <c r="AL60" s="63"/>
      <c r="AM60" s="301">
        <f>(AM20/(AM9))*100</f>
        <v>4.3095021251539753</v>
      </c>
      <c r="BC60" s="3"/>
    </row>
    <row r="61" spans="1:15057" x14ac:dyDescent="0.25">
      <c r="C61" s="15"/>
      <c r="D61" s="75" t="s">
        <v>63</v>
      </c>
      <c r="E61" s="126">
        <v>82</v>
      </c>
      <c r="F61" s="70" t="s">
        <v>25</v>
      </c>
      <c r="G61" s="274" t="e">
        <f>G32/(G32+G33)*100</f>
        <v>#DIV/0!</v>
      </c>
      <c r="H61" s="274" t="e">
        <f>H32/(H32+H33)*100</f>
        <v>#DIV/0!</v>
      </c>
      <c r="I61" s="274" t="e">
        <f>I32/(I32+I33)*100</f>
        <v>#DIV/0!</v>
      </c>
      <c r="J61" s="274" t="e">
        <f>J32/(J32+J33)*100</f>
        <v>#DIV/0!</v>
      </c>
      <c r="K61" s="274" t="e">
        <v>#DIV/0!</v>
      </c>
      <c r="L61" s="274" t="e">
        <f t="shared" ref="L61:AJ61" si="33">L32/(L32+L33)*100</f>
        <v>#DIV/0!</v>
      </c>
      <c r="M61" s="274" t="e">
        <f t="shared" si="33"/>
        <v>#DIV/0!</v>
      </c>
      <c r="N61" s="274" t="e">
        <f t="shared" si="33"/>
        <v>#DIV/0!</v>
      </c>
      <c r="O61" s="274" t="e">
        <f t="shared" si="33"/>
        <v>#DIV/0!</v>
      </c>
      <c r="P61" s="274">
        <f t="shared" si="33"/>
        <v>81.019315463548764</v>
      </c>
      <c r="Q61" s="274">
        <f t="shared" si="33"/>
        <v>82.014440238452764</v>
      </c>
      <c r="R61" s="274">
        <f t="shared" si="33"/>
        <v>80.488358886996025</v>
      </c>
      <c r="S61" s="274" t="e">
        <f t="shared" si="33"/>
        <v>#DIV/0!</v>
      </c>
      <c r="T61" s="274" t="e">
        <f t="shared" si="33"/>
        <v>#DIV/0!</v>
      </c>
      <c r="U61" s="274" t="e">
        <f t="shared" si="33"/>
        <v>#DIV/0!</v>
      </c>
      <c r="V61" s="274">
        <f t="shared" si="33"/>
        <v>82.268719505454285</v>
      </c>
      <c r="W61" s="274">
        <f t="shared" si="33"/>
        <v>80.809865836291124</v>
      </c>
      <c r="X61" s="274">
        <f t="shared" si="33"/>
        <v>81.241358693621308</v>
      </c>
      <c r="Y61" s="274">
        <f t="shared" si="33"/>
        <v>81.377103266248767</v>
      </c>
      <c r="Z61" s="274" t="e">
        <f t="shared" si="33"/>
        <v>#DIV/0!</v>
      </c>
      <c r="AA61" s="274" t="e">
        <f t="shared" si="33"/>
        <v>#DIV/0!</v>
      </c>
      <c r="AB61" s="274" t="e">
        <f t="shared" si="33"/>
        <v>#DIV/0!</v>
      </c>
      <c r="AC61" s="274" t="e">
        <f t="shared" si="33"/>
        <v>#DIV/0!</v>
      </c>
      <c r="AD61" s="274" t="e">
        <f t="shared" si="33"/>
        <v>#DIV/0!</v>
      </c>
      <c r="AE61" s="274" t="e">
        <f t="shared" si="33"/>
        <v>#DIV/0!</v>
      </c>
      <c r="AF61" s="274">
        <f t="shared" si="33"/>
        <v>75.742138799316521</v>
      </c>
      <c r="AG61" s="274">
        <f t="shared" si="33"/>
        <v>60.052025269416575</v>
      </c>
      <c r="AH61" s="274" t="e">
        <f t="shared" si="33"/>
        <v>#DIV/0!</v>
      </c>
      <c r="AI61" s="274" t="e">
        <f t="shared" si="33"/>
        <v>#DIV/0!</v>
      </c>
      <c r="AJ61" s="274" t="e">
        <f t="shared" si="33"/>
        <v>#DIV/0!</v>
      </c>
      <c r="AK61" s="274" t="e">
        <f t="shared" ref="AK61" si="34">AK32/(AK32+AK33)*100</f>
        <v>#DIV/0!</v>
      </c>
      <c r="AL61" s="63"/>
      <c r="AM61" s="301">
        <f>AM32/(AM32+AM33)*100</f>
        <v>79.727102474931129</v>
      </c>
    </row>
    <row r="62" spans="1:15057" x14ac:dyDescent="0.25">
      <c r="C62" s="15"/>
      <c r="D62" s="75" t="s">
        <v>62</v>
      </c>
      <c r="E62" s="126">
        <v>18</v>
      </c>
      <c r="F62" s="70" t="s">
        <v>25</v>
      </c>
      <c r="G62" s="274" t="e">
        <f>(G33/G31)*100</f>
        <v>#DIV/0!</v>
      </c>
      <c r="H62" s="274" t="e">
        <f>(H33/H31)*100</f>
        <v>#DIV/0!</v>
      </c>
      <c r="I62" s="274" t="e">
        <f>(I33/I31)*100</f>
        <v>#DIV/0!</v>
      </c>
      <c r="J62" s="274" t="e">
        <f>(J33/J31)*100</f>
        <v>#DIV/0!</v>
      </c>
      <c r="K62" s="274" t="e">
        <v>#DIV/0!</v>
      </c>
      <c r="L62" s="274" t="e">
        <f t="shared" ref="L62:U62" si="35">(L33/L31)*100</f>
        <v>#DIV/0!</v>
      </c>
      <c r="M62" s="274" t="e">
        <f t="shared" si="35"/>
        <v>#DIV/0!</v>
      </c>
      <c r="N62" s="274" t="e">
        <f t="shared" si="35"/>
        <v>#DIV/0!</v>
      </c>
      <c r="O62" s="274" t="e">
        <f t="shared" si="35"/>
        <v>#DIV/0!</v>
      </c>
      <c r="P62" s="274">
        <f t="shared" si="35"/>
        <v>18.980684536451232</v>
      </c>
      <c r="Q62" s="274">
        <f t="shared" si="35"/>
        <v>17.985559761547247</v>
      </c>
      <c r="R62" s="274">
        <f t="shared" si="35"/>
        <v>19.511641113003975</v>
      </c>
      <c r="S62" s="274" t="e">
        <f t="shared" si="35"/>
        <v>#DIV/0!</v>
      </c>
      <c r="T62" s="274" t="e">
        <f t="shared" si="35"/>
        <v>#DIV/0!</v>
      </c>
      <c r="U62" s="274" t="e">
        <f t="shared" si="35"/>
        <v>#DIV/0!</v>
      </c>
      <c r="V62" s="274">
        <f>V33/(V33+V32)*100</f>
        <v>17.731280494545715</v>
      </c>
      <c r="W62" s="274">
        <f>W33/(W33+W32)*100</f>
        <v>19.190134163708887</v>
      </c>
      <c r="X62" s="274">
        <f t="shared" ref="X62:AJ62" si="36">(X33/X31)*100</f>
        <v>18.758641306378685</v>
      </c>
      <c r="Y62" s="274">
        <f t="shared" si="36"/>
        <v>18.622896733751237</v>
      </c>
      <c r="Z62" s="274" t="e">
        <f t="shared" si="36"/>
        <v>#DIV/0!</v>
      </c>
      <c r="AA62" s="274" t="e">
        <f t="shared" si="36"/>
        <v>#DIV/0!</v>
      </c>
      <c r="AB62" s="274" t="e">
        <f t="shared" si="36"/>
        <v>#DIV/0!</v>
      </c>
      <c r="AC62" s="274" t="e">
        <f t="shared" si="36"/>
        <v>#DIV/0!</v>
      </c>
      <c r="AD62" s="274" t="e">
        <f t="shared" si="36"/>
        <v>#DIV/0!</v>
      </c>
      <c r="AE62" s="274" t="e">
        <f t="shared" si="36"/>
        <v>#DIV/0!</v>
      </c>
      <c r="AF62" s="274">
        <f t="shared" si="36"/>
        <v>24.257861200683489</v>
      </c>
      <c r="AG62" s="274">
        <f t="shared" si="36"/>
        <v>39.947974730583425</v>
      </c>
      <c r="AH62" s="274" t="e">
        <f t="shared" si="36"/>
        <v>#DIV/0!</v>
      </c>
      <c r="AI62" s="274" t="e">
        <f t="shared" si="36"/>
        <v>#DIV/0!</v>
      </c>
      <c r="AJ62" s="274" t="e">
        <f t="shared" si="36"/>
        <v>#DIV/0!</v>
      </c>
      <c r="AK62" s="274" t="e">
        <f t="shared" ref="AK62" si="37">(AK33/AK31)*100</f>
        <v>#DIV/0!</v>
      </c>
      <c r="AL62" s="63"/>
      <c r="AM62" s="1528">
        <f>AM33/(AM32+AM33)*100</f>
        <v>20.272897525068863</v>
      </c>
    </row>
    <row r="63" spans="1:15057" hidden="1" x14ac:dyDescent="0.25">
      <c r="C63" s="15"/>
      <c r="D63" s="75" t="s">
        <v>106</v>
      </c>
      <c r="E63" s="126">
        <v>75</v>
      </c>
      <c r="F63" s="80"/>
      <c r="G63" s="274" t="e">
        <f>(G36/G35)*100</f>
        <v>#DIV/0!</v>
      </c>
      <c r="H63" s="274" t="e">
        <f>(H36/H35)*100</f>
        <v>#DIV/0!</v>
      </c>
      <c r="I63" s="274" t="e">
        <f>(I36/I35)*100</f>
        <v>#DIV/0!</v>
      </c>
      <c r="J63" s="274" t="e">
        <f>(J36/J35)*100</f>
        <v>#DIV/0!</v>
      </c>
      <c r="K63" s="274" t="e">
        <v>#DIV/0!</v>
      </c>
      <c r="L63" s="274" t="e">
        <f t="shared" ref="L63:AJ63" si="38">(L36/L35)*100</f>
        <v>#DIV/0!</v>
      </c>
      <c r="M63" s="274" t="e">
        <f t="shared" si="38"/>
        <v>#DIV/0!</v>
      </c>
      <c r="N63" s="274" t="e">
        <f t="shared" si="38"/>
        <v>#DIV/0!</v>
      </c>
      <c r="O63" s="274" t="e">
        <f t="shared" si="38"/>
        <v>#DIV/0!</v>
      </c>
      <c r="P63" s="274" t="e">
        <f t="shared" si="38"/>
        <v>#DIV/0!</v>
      </c>
      <c r="Q63" s="274" t="e">
        <f t="shared" si="38"/>
        <v>#DIV/0!</v>
      </c>
      <c r="R63" s="274" t="e">
        <f t="shared" si="38"/>
        <v>#DIV/0!</v>
      </c>
      <c r="S63" s="274" t="e">
        <f t="shared" si="38"/>
        <v>#DIV/0!</v>
      </c>
      <c r="T63" s="274" t="e">
        <f t="shared" si="38"/>
        <v>#DIV/0!</v>
      </c>
      <c r="U63" s="274" t="e">
        <f t="shared" si="38"/>
        <v>#DIV/0!</v>
      </c>
      <c r="V63" s="274" t="e">
        <f t="shared" si="38"/>
        <v>#DIV/0!</v>
      </c>
      <c r="W63" s="274" t="e">
        <f t="shared" si="38"/>
        <v>#DIV/0!</v>
      </c>
      <c r="X63" s="274" t="e">
        <f t="shared" si="38"/>
        <v>#DIV/0!</v>
      </c>
      <c r="Y63" s="274" t="e">
        <f t="shared" si="38"/>
        <v>#DIV/0!</v>
      </c>
      <c r="Z63" s="274" t="e">
        <f t="shared" si="38"/>
        <v>#DIV/0!</v>
      </c>
      <c r="AA63" s="274" t="e">
        <f t="shared" si="38"/>
        <v>#DIV/0!</v>
      </c>
      <c r="AB63" s="274" t="e">
        <f t="shared" si="38"/>
        <v>#DIV/0!</v>
      </c>
      <c r="AC63" s="274" t="e">
        <f t="shared" si="38"/>
        <v>#DIV/0!</v>
      </c>
      <c r="AD63" s="274" t="e">
        <f t="shared" si="38"/>
        <v>#DIV/0!</v>
      </c>
      <c r="AE63" s="274" t="e">
        <f t="shared" si="38"/>
        <v>#DIV/0!</v>
      </c>
      <c r="AF63" s="274" t="e">
        <f t="shared" si="38"/>
        <v>#DIV/0!</v>
      </c>
      <c r="AG63" s="274" t="e">
        <f t="shared" si="38"/>
        <v>#DIV/0!</v>
      </c>
      <c r="AH63" s="274" t="e">
        <f t="shared" si="38"/>
        <v>#DIV/0!</v>
      </c>
      <c r="AI63" s="274" t="e">
        <f t="shared" si="38"/>
        <v>#DIV/0!</v>
      </c>
      <c r="AJ63" s="274" t="e">
        <f t="shared" si="38"/>
        <v>#DIV/0!</v>
      </c>
      <c r="AK63" s="274" t="e">
        <f t="shared" ref="AK63" si="39">(AK36/AK35)*100</f>
        <v>#DIV/0!</v>
      </c>
      <c r="AL63" s="63"/>
      <c r="AM63" s="301" t="e">
        <f>(AM41/AM40)*100</f>
        <v>#DIV/0!</v>
      </c>
      <c r="AR63" s="1616"/>
    </row>
    <row r="64" spans="1:15057" hidden="1" x14ac:dyDescent="0.25">
      <c r="C64" s="15"/>
      <c r="D64" s="75" t="s">
        <v>62</v>
      </c>
      <c r="E64" s="126">
        <v>25</v>
      </c>
      <c r="F64" s="80"/>
      <c r="G64" s="274" t="e">
        <f>(G37/G35)*100</f>
        <v>#DIV/0!</v>
      </c>
      <c r="H64" s="274" t="e">
        <f>(H37/H35)*100</f>
        <v>#DIV/0!</v>
      </c>
      <c r="I64" s="274" t="e">
        <f>(I37/I35)*100</f>
        <v>#DIV/0!</v>
      </c>
      <c r="J64" s="274" t="e">
        <f>(J37/J35)*100</f>
        <v>#DIV/0!</v>
      </c>
      <c r="K64" s="274" t="e">
        <v>#DIV/0!</v>
      </c>
      <c r="L64" s="274" t="e">
        <f t="shared" ref="L64:AJ64" si="40">(L37/L35)*100</f>
        <v>#DIV/0!</v>
      </c>
      <c r="M64" s="274" t="e">
        <f t="shared" si="40"/>
        <v>#DIV/0!</v>
      </c>
      <c r="N64" s="274" t="e">
        <f t="shared" si="40"/>
        <v>#DIV/0!</v>
      </c>
      <c r="O64" s="274" t="e">
        <f t="shared" si="40"/>
        <v>#DIV/0!</v>
      </c>
      <c r="P64" s="274" t="e">
        <f t="shared" si="40"/>
        <v>#DIV/0!</v>
      </c>
      <c r="Q64" s="274" t="e">
        <f t="shared" si="40"/>
        <v>#DIV/0!</v>
      </c>
      <c r="R64" s="274" t="e">
        <f t="shared" si="40"/>
        <v>#DIV/0!</v>
      </c>
      <c r="S64" s="274" t="e">
        <f t="shared" si="40"/>
        <v>#DIV/0!</v>
      </c>
      <c r="T64" s="274" t="e">
        <f t="shared" si="40"/>
        <v>#DIV/0!</v>
      </c>
      <c r="U64" s="274" t="e">
        <f t="shared" si="40"/>
        <v>#DIV/0!</v>
      </c>
      <c r="V64" s="274" t="e">
        <f t="shared" si="40"/>
        <v>#DIV/0!</v>
      </c>
      <c r="W64" s="274" t="e">
        <f t="shared" si="40"/>
        <v>#DIV/0!</v>
      </c>
      <c r="X64" s="274" t="e">
        <f t="shared" si="40"/>
        <v>#DIV/0!</v>
      </c>
      <c r="Y64" s="274" t="e">
        <f t="shared" si="40"/>
        <v>#DIV/0!</v>
      </c>
      <c r="Z64" s="274" t="e">
        <f t="shared" si="40"/>
        <v>#DIV/0!</v>
      </c>
      <c r="AA64" s="274" t="e">
        <f t="shared" si="40"/>
        <v>#DIV/0!</v>
      </c>
      <c r="AB64" s="274" t="e">
        <f t="shared" si="40"/>
        <v>#DIV/0!</v>
      </c>
      <c r="AC64" s="274" t="e">
        <f t="shared" si="40"/>
        <v>#DIV/0!</v>
      </c>
      <c r="AD64" s="274" t="e">
        <f t="shared" si="40"/>
        <v>#DIV/0!</v>
      </c>
      <c r="AE64" s="274" t="e">
        <f t="shared" si="40"/>
        <v>#DIV/0!</v>
      </c>
      <c r="AF64" s="274" t="e">
        <f t="shared" si="40"/>
        <v>#DIV/0!</v>
      </c>
      <c r="AG64" s="274" t="e">
        <f t="shared" si="40"/>
        <v>#DIV/0!</v>
      </c>
      <c r="AH64" s="274" t="e">
        <f t="shared" si="40"/>
        <v>#DIV/0!</v>
      </c>
      <c r="AI64" s="274" t="e">
        <f t="shared" si="40"/>
        <v>#DIV/0!</v>
      </c>
      <c r="AJ64" s="274" t="e">
        <f t="shared" si="40"/>
        <v>#DIV/0!</v>
      </c>
      <c r="AK64" s="274" t="e">
        <f t="shared" ref="AK64" si="41">(AK37/AK35)*100</f>
        <v>#DIV/0!</v>
      </c>
      <c r="AL64" s="63"/>
      <c r="AM64" s="301" t="e">
        <f>(AM42/AM40)*100</f>
        <v>#DIV/0!</v>
      </c>
      <c r="AR64" s="1616"/>
    </row>
    <row r="65" spans="3:92 15058:15071" hidden="1" x14ac:dyDescent="0.25">
      <c r="C65" s="15"/>
      <c r="D65" s="75" t="s">
        <v>108</v>
      </c>
      <c r="E65" s="126">
        <v>75</v>
      </c>
      <c r="F65" s="70" t="s">
        <v>25</v>
      </c>
      <c r="G65" s="274" t="e">
        <f>G41/G40*100</f>
        <v>#DIV/0!</v>
      </c>
      <c r="H65" s="274" t="e">
        <f>H41/H40*100</f>
        <v>#DIV/0!</v>
      </c>
      <c r="I65" s="274" t="e">
        <f>I41/I40*100</f>
        <v>#DIV/0!</v>
      </c>
      <c r="J65" s="274" t="e">
        <f>J41/J40*100</f>
        <v>#DIV/0!</v>
      </c>
      <c r="K65" s="274" t="e">
        <v>#DIV/0!</v>
      </c>
      <c r="L65" s="274" t="e">
        <f t="shared" ref="L65:AJ65" si="42">L41/L40*100</f>
        <v>#DIV/0!</v>
      </c>
      <c r="M65" s="274" t="e">
        <f t="shared" si="42"/>
        <v>#DIV/0!</v>
      </c>
      <c r="N65" s="274" t="e">
        <f t="shared" si="42"/>
        <v>#DIV/0!</v>
      </c>
      <c r="O65" s="274" t="e">
        <f t="shared" si="42"/>
        <v>#DIV/0!</v>
      </c>
      <c r="P65" s="274" t="e">
        <f t="shared" si="42"/>
        <v>#DIV/0!</v>
      </c>
      <c r="Q65" s="274" t="e">
        <f t="shared" si="42"/>
        <v>#DIV/0!</v>
      </c>
      <c r="R65" s="274" t="e">
        <f t="shared" si="42"/>
        <v>#DIV/0!</v>
      </c>
      <c r="S65" s="274" t="e">
        <f t="shared" si="42"/>
        <v>#DIV/0!</v>
      </c>
      <c r="T65" s="274" t="e">
        <f t="shared" si="42"/>
        <v>#DIV/0!</v>
      </c>
      <c r="U65" s="274" t="e">
        <f t="shared" si="42"/>
        <v>#DIV/0!</v>
      </c>
      <c r="V65" s="274" t="e">
        <f t="shared" si="42"/>
        <v>#DIV/0!</v>
      </c>
      <c r="W65" s="274" t="e">
        <f t="shared" si="42"/>
        <v>#DIV/0!</v>
      </c>
      <c r="X65" s="274" t="e">
        <f t="shared" si="42"/>
        <v>#DIV/0!</v>
      </c>
      <c r="Y65" s="274" t="e">
        <f t="shared" si="42"/>
        <v>#DIV/0!</v>
      </c>
      <c r="Z65" s="274" t="e">
        <f t="shared" si="42"/>
        <v>#DIV/0!</v>
      </c>
      <c r="AA65" s="274" t="e">
        <f t="shared" si="42"/>
        <v>#DIV/0!</v>
      </c>
      <c r="AB65" s="274" t="e">
        <f t="shared" si="42"/>
        <v>#DIV/0!</v>
      </c>
      <c r="AC65" s="274" t="e">
        <f t="shared" si="42"/>
        <v>#DIV/0!</v>
      </c>
      <c r="AD65" s="274" t="e">
        <f t="shared" si="42"/>
        <v>#DIV/0!</v>
      </c>
      <c r="AE65" s="274" t="e">
        <f t="shared" si="42"/>
        <v>#DIV/0!</v>
      </c>
      <c r="AF65" s="274" t="e">
        <f t="shared" si="42"/>
        <v>#DIV/0!</v>
      </c>
      <c r="AG65" s="274" t="e">
        <f t="shared" si="42"/>
        <v>#DIV/0!</v>
      </c>
      <c r="AH65" s="274" t="e">
        <f t="shared" si="42"/>
        <v>#DIV/0!</v>
      </c>
      <c r="AI65" s="274" t="e">
        <f t="shared" si="42"/>
        <v>#DIV/0!</v>
      </c>
      <c r="AJ65" s="274" t="e">
        <f t="shared" si="42"/>
        <v>#DIV/0!</v>
      </c>
      <c r="AK65" s="274" t="e">
        <f t="shared" ref="AK65" si="43">AK41/AK40*100</f>
        <v>#DIV/0!</v>
      </c>
      <c r="AL65" s="63"/>
      <c r="AM65" s="301" t="e">
        <f>AM41/AM40*100</f>
        <v>#DIV/0!</v>
      </c>
      <c r="AR65" s="1616"/>
      <c r="BC65" s="3"/>
    </row>
    <row r="66" spans="3:92 15058:15071" hidden="1" x14ac:dyDescent="0.25">
      <c r="C66" s="15"/>
      <c r="D66" s="75" t="s">
        <v>62</v>
      </c>
      <c r="E66" s="126">
        <v>25</v>
      </c>
      <c r="F66" s="70" t="s">
        <v>25</v>
      </c>
      <c r="G66" s="274" t="e">
        <f>G42/G40*100</f>
        <v>#DIV/0!</v>
      </c>
      <c r="H66" s="274" t="e">
        <f>H42/H40*100</f>
        <v>#DIV/0!</v>
      </c>
      <c r="I66" s="274" t="e">
        <f>I42/I40*100</f>
        <v>#DIV/0!</v>
      </c>
      <c r="J66" s="274" t="e">
        <f>J42/J40*100</f>
        <v>#DIV/0!</v>
      </c>
      <c r="K66" s="274" t="e">
        <v>#DIV/0!</v>
      </c>
      <c r="L66" s="274" t="e">
        <f t="shared" ref="L66:AJ66" si="44">L42/L40*100</f>
        <v>#DIV/0!</v>
      </c>
      <c r="M66" s="274" t="e">
        <f t="shared" si="44"/>
        <v>#DIV/0!</v>
      </c>
      <c r="N66" s="274" t="e">
        <f t="shared" si="44"/>
        <v>#DIV/0!</v>
      </c>
      <c r="O66" s="274" t="e">
        <f t="shared" si="44"/>
        <v>#DIV/0!</v>
      </c>
      <c r="P66" s="274" t="e">
        <f t="shared" si="44"/>
        <v>#DIV/0!</v>
      </c>
      <c r="Q66" s="274" t="e">
        <f t="shared" si="44"/>
        <v>#DIV/0!</v>
      </c>
      <c r="R66" s="274" t="e">
        <f t="shared" si="44"/>
        <v>#DIV/0!</v>
      </c>
      <c r="S66" s="274" t="e">
        <f t="shared" si="44"/>
        <v>#DIV/0!</v>
      </c>
      <c r="T66" s="274" t="e">
        <f t="shared" si="44"/>
        <v>#DIV/0!</v>
      </c>
      <c r="U66" s="274" t="e">
        <f t="shared" si="44"/>
        <v>#DIV/0!</v>
      </c>
      <c r="V66" s="274" t="e">
        <f t="shared" si="44"/>
        <v>#DIV/0!</v>
      </c>
      <c r="W66" s="274" t="e">
        <f t="shared" si="44"/>
        <v>#DIV/0!</v>
      </c>
      <c r="X66" s="274" t="e">
        <f t="shared" si="44"/>
        <v>#DIV/0!</v>
      </c>
      <c r="Y66" s="274" t="e">
        <f t="shared" si="44"/>
        <v>#DIV/0!</v>
      </c>
      <c r="Z66" s="274" t="e">
        <f t="shared" si="44"/>
        <v>#DIV/0!</v>
      </c>
      <c r="AA66" s="274" t="e">
        <f t="shared" si="44"/>
        <v>#DIV/0!</v>
      </c>
      <c r="AB66" s="274" t="e">
        <f t="shared" si="44"/>
        <v>#DIV/0!</v>
      </c>
      <c r="AC66" s="274" t="e">
        <f t="shared" si="44"/>
        <v>#DIV/0!</v>
      </c>
      <c r="AD66" s="274" t="e">
        <f t="shared" si="44"/>
        <v>#DIV/0!</v>
      </c>
      <c r="AE66" s="274" t="e">
        <f t="shared" si="44"/>
        <v>#DIV/0!</v>
      </c>
      <c r="AF66" s="274" t="e">
        <f t="shared" si="44"/>
        <v>#DIV/0!</v>
      </c>
      <c r="AG66" s="274" t="e">
        <f t="shared" si="44"/>
        <v>#DIV/0!</v>
      </c>
      <c r="AH66" s="274" t="e">
        <f t="shared" si="44"/>
        <v>#DIV/0!</v>
      </c>
      <c r="AI66" s="274" t="e">
        <f t="shared" si="44"/>
        <v>#DIV/0!</v>
      </c>
      <c r="AJ66" s="274" t="e">
        <f t="shared" si="44"/>
        <v>#DIV/0!</v>
      </c>
      <c r="AK66" s="274" t="e">
        <f t="shared" ref="AK66" si="45">AK42/AK40*100</f>
        <v>#DIV/0!</v>
      </c>
      <c r="AL66" s="18"/>
      <c r="AM66" s="301" t="e">
        <f>AM42/AM40*100</f>
        <v>#DIV/0!</v>
      </c>
      <c r="AR66" s="1616"/>
    </row>
    <row r="67" spans="3:92 15058:15071" x14ac:dyDescent="0.25">
      <c r="C67" s="15"/>
      <c r="D67" s="75" t="s">
        <v>111</v>
      </c>
      <c r="E67" s="126">
        <v>70</v>
      </c>
      <c r="F67" s="70" t="s">
        <v>25</v>
      </c>
      <c r="G67" s="274" t="e">
        <f>G45/(G45+G46)*100</f>
        <v>#DIV/0!</v>
      </c>
      <c r="H67" s="274" t="e">
        <f>H45/(H45+H46)*100</f>
        <v>#DIV/0!</v>
      </c>
      <c r="I67" s="274" t="e">
        <f>I45/(I45+I46)*100</f>
        <v>#DIV/0!</v>
      </c>
      <c r="J67" s="274" t="e">
        <f>J45/(J45+J46)*100</f>
        <v>#DIV/0!</v>
      </c>
      <c r="K67" s="274"/>
      <c r="L67" s="274" t="e">
        <f t="shared" ref="L67:AJ67" si="46">L45/(L45+L46)*100</f>
        <v>#DIV/0!</v>
      </c>
      <c r="M67" s="274" t="e">
        <f t="shared" si="46"/>
        <v>#DIV/0!</v>
      </c>
      <c r="N67" s="274" t="e">
        <f t="shared" si="46"/>
        <v>#DIV/0!</v>
      </c>
      <c r="O67" s="274" t="e">
        <f t="shared" si="46"/>
        <v>#DIV/0!</v>
      </c>
      <c r="P67" s="274" t="e">
        <f t="shared" si="46"/>
        <v>#DIV/0!</v>
      </c>
      <c r="Q67" s="274">
        <f t="shared" si="46"/>
        <v>71.915303798998949</v>
      </c>
      <c r="R67" s="274">
        <f t="shared" si="46"/>
        <v>66.085536775004144</v>
      </c>
      <c r="S67" s="274">
        <f t="shared" si="46"/>
        <v>71.444904770967227</v>
      </c>
      <c r="T67" s="274">
        <f t="shared" si="46"/>
        <v>76.383684081058803</v>
      </c>
      <c r="U67" s="274">
        <f t="shared" si="46"/>
        <v>75.662110950094117</v>
      </c>
      <c r="V67" s="274">
        <f t="shared" si="46"/>
        <v>75.424443906212161</v>
      </c>
      <c r="W67" s="274">
        <f t="shared" si="46"/>
        <v>70.194798602834183</v>
      </c>
      <c r="X67" s="274" t="e">
        <f t="shared" si="46"/>
        <v>#DIV/0!</v>
      </c>
      <c r="Y67" s="274">
        <f t="shared" si="46"/>
        <v>72.339677211310828</v>
      </c>
      <c r="Z67" s="274">
        <f t="shared" si="46"/>
        <v>44.703938574540167</v>
      </c>
      <c r="AA67" s="274">
        <f t="shared" si="46"/>
        <v>65.048262831028822</v>
      </c>
      <c r="AB67" s="274">
        <f t="shared" si="46"/>
        <v>63.954261560232183</v>
      </c>
      <c r="AC67" s="274">
        <f t="shared" si="46"/>
        <v>73.257703620185993</v>
      </c>
      <c r="AD67" s="274">
        <f t="shared" si="46"/>
        <v>65.465632522780894</v>
      </c>
      <c r="AE67" s="274">
        <f t="shared" si="46"/>
        <v>65.394718202717698</v>
      </c>
      <c r="AF67" s="274">
        <f t="shared" si="46"/>
        <v>74.155982427876737</v>
      </c>
      <c r="AG67" s="274" t="e">
        <f t="shared" si="46"/>
        <v>#DIV/0!</v>
      </c>
      <c r="AH67" s="274" t="e">
        <f t="shared" si="46"/>
        <v>#DIV/0!</v>
      </c>
      <c r="AI67" s="274" t="e">
        <f t="shared" si="46"/>
        <v>#DIV/0!</v>
      </c>
      <c r="AJ67" s="274" t="e">
        <f t="shared" si="46"/>
        <v>#DIV/0!</v>
      </c>
      <c r="AK67" s="274" t="e">
        <f t="shared" ref="AK67" si="47">AK45/(AK45+AK46)*100</f>
        <v>#DIV/0!</v>
      </c>
      <c r="AL67" s="18"/>
      <c r="AM67" s="1528">
        <f>AM45/(AM45+AM46)*100</f>
        <v>70.627249121355391</v>
      </c>
      <c r="AR67" s="1616"/>
    </row>
    <row r="68" spans="3:92 15058:15071" x14ac:dyDescent="0.25">
      <c r="C68" s="15"/>
      <c r="D68" s="75" t="s">
        <v>62</v>
      </c>
      <c r="E68" s="126">
        <v>30</v>
      </c>
      <c r="F68" s="70" t="s">
        <v>25</v>
      </c>
      <c r="G68" s="274" t="e">
        <f>G46/(G46+G45)*100</f>
        <v>#DIV/0!</v>
      </c>
      <c r="H68" s="274" t="e">
        <f>H46/(H46+H45)*100</f>
        <v>#DIV/0!</v>
      </c>
      <c r="I68" s="274" t="e">
        <f>I46/(I46+I45)*100</f>
        <v>#DIV/0!</v>
      </c>
      <c r="J68" s="274" t="e">
        <f>J46/(J46+J45)*100</f>
        <v>#DIV/0!</v>
      </c>
      <c r="K68" s="274"/>
      <c r="L68" s="274" t="e">
        <f t="shared" ref="L68:AJ68" si="48">L46/(L46+L45)*100</f>
        <v>#DIV/0!</v>
      </c>
      <c r="M68" s="274" t="e">
        <f t="shared" si="48"/>
        <v>#DIV/0!</v>
      </c>
      <c r="N68" s="274" t="e">
        <f t="shared" si="48"/>
        <v>#DIV/0!</v>
      </c>
      <c r="O68" s="274" t="e">
        <f t="shared" si="48"/>
        <v>#DIV/0!</v>
      </c>
      <c r="P68" s="274" t="e">
        <f t="shared" si="48"/>
        <v>#DIV/0!</v>
      </c>
      <c r="Q68" s="274">
        <f t="shared" si="48"/>
        <v>28.084696201001051</v>
      </c>
      <c r="R68" s="274">
        <f t="shared" si="48"/>
        <v>33.914463224995842</v>
      </c>
      <c r="S68" s="274">
        <f t="shared" si="48"/>
        <v>28.55509522903278</v>
      </c>
      <c r="T68" s="274">
        <f t="shared" si="48"/>
        <v>23.616315918941201</v>
      </c>
      <c r="U68" s="274">
        <f t="shared" si="48"/>
        <v>24.337889049905883</v>
      </c>
      <c r="V68" s="274">
        <f t="shared" si="48"/>
        <v>24.575556093787846</v>
      </c>
      <c r="W68" s="274">
        <f t="shared" si="48"/>
        <v>29.805201397165813</v>
      </c>
      <c r="X68" s="274" t="e">
        <f t="shared" si="48"/>
        <v>#DIV/0!</v>
      </c>
      <c r="Y68" s="274">
        <f t="shared" si="48"/>
        <v>27.660322788689179</v>
      </c>
      <c r="Z68" s="274">
        <f t="shared" si="48"/>
        <v>55.29606142545984</v>
      </c>
      <c r="AA68" s="274">
        <f t="shared" si="48"/>
        <v>34.951737168971178</v>
      </c>
      <c r="AB68" s="274">
        <f t="shared" si="48"/>
        <v>36.045738439767824</v>
      </c>
      <c r="AC68" s="274">
        <f t="shared" si="48"/>
        <v>26.742296379814</v>
      </c>
      <c r="AD68" s="274">
        <f t="shared" si="48"/>
        <v>34.534367477219114</v>
      </c>
      <c r="AE68" s="274">
        <f t="shared" si="48"/>
        <v>34.605281797282302</v>
      </c>
      <c r="AF68" s="274">
        <f t="shared" si="48"/>
        <v>25.844017572123274</v>
      </c>
      <c r="AG68" s="274" t="e">
        <f t="shared" si="48"/>
        <v>#DIV/0!</v>
      </c>
      <c r="AH68" s="274" t="e">
        <f t="shared" si="48"/>
        <v>#DIV/0!</v>
      </c>
      <c r="AI68" s="274" t="e">
        <f t="shared" si="48"/>
        <v>#DIV/0!</v>
      </c>
      <c r="AJ68" s="274" t="e">
        <f t="shared" si="48"/>
        <v>#DIV/0!</v>
      </c>
      <c r="AK68" s="274" t="e">
        <f t="shared" ref="AK68" si="49">AK46/(AK46+AK45)*100</f>
        <v>#DIV/0!</v>
      </c>
      <c r="AL68" s="18"/>
      <c r="AM68" s="301">
        <f>AM46/AM44*100</f>
        <v>29.372750878644617</v>
      </c>
      <c r="AR68" s="1616"/>
    </row>
    <row r="69" spans="3:92 15058:15071" x14ac:dyDescent="0.25">
      <c r="C69" s="15"/>
      <c r="D69" s="75" t="s">
        <v>830</v>
      </c>
      <c r="E69" s="126">
        <v>70</v>
      </c>
      <c r="F69" s="70" t="s">
        <v>25</v>
      </c>
      <c r="G69" s="274" t="e">
        <f>G50/(G50+G51)*100</f>
        <v>#DIV/0!</v>
      </c>
      <c r="H69" s="274" t="e">
        <f>H50/(H50+H51)*100</f>
        <v>#DIV/0!</v>
      </c>
      <c r="I69" s="274" t="e">
        <f>I50/(I50+I51)*100</f>
        <v>#DIV/0!</v>
      </c>
      <c r="J69" s="274" t="e">
        <f>J50/(J50+J51)*100</f>
        <v>#DIV/0!</v>
      </c>
      <c r="K69" s="274" t="e">
        <v>#DIV/0!</v>
      </c>
      <c r="L69" s="274" t="e">
        <f t="shared" ref="L69:AJ69" si="50">L50/(L50+L51)*100</f>
        <v>#DIV/0!</v>
      </c>
      <c r="M69" s="274" t="e">
        <f t="shared" si="50"/>
        <v>#DIV/0!</v>
      </c>
      <c r="N69" s="274" t="e">
        <f t="shared" si="50"/>
        <v>#DIV/0!</v>
      </c>
      <c r="O69" s="274" t="e">
        <f t="shared" si="50"/>
        <v>#DIV/0!</v>
      </c>
      <c r="P69" s="274" t="e">
        <f t="shared" si="50"/>
        <v>#DIV/0!</v>
      </c>
      <c r="Q69" s="274" t="e">
        <f t="shared" si="50"/>
        <v>#DIV/0!</v>
      </c>
      <c r="R69" s="274" t="e">
        <f t="shared" si="50"/>
        <v>#DIV/0!</v>
      </c>
      <c r="S69" s="274" t="e">
        <f t="shared" si="50"/>
        <v>#DIV/0!</v>
      </c>
      <c r="T69" s="274" t="e">
        <f t="shared" si="50"/>
        <v>#DIV/0!</v>
      </c>
      <c r="U69" s="274" t="e">
        <f t="shared" si="50"/>
        <v>#DIV/0!</v>
      </c>
      <c r="V69" s="274" t="e">
        <f t="shared" si="50"/>
        <v>#DIV/0!</v>
      </c>
      <c r="W69" s="274" t="e">
        <f t="shared" si="50"/>
        <v>#DIV/0!</v>
      </c>
      <c r="X69" s="274" t="e">
        <f t="shared" si="50"/>
        <v>#DIV/0!</v>
      </c>
      <c r="Y69" s="274" t="e">
        <f t="shared" si="50"/>
        <v>#DIV/0!</v>
      </c>
      <c r="Z69" s="274" t="e">
        <f t="shared" si="50"/>
        <v>#DIV/0!</v>
      </c>
      <c r="AA69" s="274" t="e">
        <f t="shared" si="50"/>
        <v>#DIV/0!</v>
      </c>
      <c r="AB69" s="274" t="e">
        <f t="shared" si="50"/>
        <v>#DIV/0!</v>
      </c>
      <c r="AC69" s="274" t="e">
        <f t="shared" si="50"/>
        <v>#DIV/0!</v>
      </c>
      <c r="AD69" s="274" t="e">
        <f t="shared" si="50"/>
        <v>#DIV/0!</v>
      </c>
      <c r="AE69" s="274" t="e">
        <f t="shared" si="50"/>
        <v>#DIV/0!</v>
      </c>
      <c r="AF69" s="274" t="e">
        <f t="shared" si="50"/>
        <v>#DIV/0!</v>
      </c>
      <c r="AG69" s="274" t="e">
        <f t="shared" si="50"/>
        <v>#DIV/0!</v>
      </c>
      <c r="AH69" s="274" t="e">
        <f t="shared" si="50"/>
        <v>#DIV/0!</v>
      </c>
      <c r="AI69" s="274" t="e">
        <f t="shared" si="50"/>
        <v>#DIV/0!</v>
      </c>
      <c r="AJ69" s="274" t="e">
        <f t="shared" si="50"/>
        <v>#DIV/0!</v>
      </c>
      <c r="AK69" s="274" t="e">
        <f t="shared" ref="AK69" si="51">AK50/(AK50+AK51)*100</f>
        <v>#DIV/0!</v>
      </c>
      <c r="AL69" s="18"/>
      <c r="AM69" s="1528" t="e">
        <f>AM50/(AM50+AM51)*100</f>
        <v>#DIV/0!</v>
      </c>
      <c r="AR69" s="1616"/>
    </row>
    <row r="70" spans="3:92 15058:15071" x14ac:dyDescent="0.25">
      <c r="C70" s="15"/>
      <c r="D70" s="75" t="s">
        <v>62</v>
      </c>
      <c r="E70" s="126">
        <v>30</v>
      </c>
      <c r="F70" s="70" t="s">
        <v>25</v>
      </c>
      <c r="G70" s="274" t="e">
        <f>G51/(G50+G51)*100</f>
        <v>#DIV/0!</v>
      </c>
      <c r="H70" s="274" t="e">
        <f>H51/(H50+H51)*100</f>
        <v>#DIV/0!</v>
      </c>
      <c r="I70" s="274" t="e">
        <f>I51/(I50+I51)*100</f>
        <v>#DIV/0!</v>
      </c>
      <c r="J70" s="274" t="e">
        <f>J51/(J50+J51)*100</f>
        <v>#DIV/0!</v>
      </c>
      <c r="K70" s="274" t="e">
        <v>#DIV/0!</v>
      </c>
      <c r="L70" s="274" t="e">
        <f t="shared" ref="L70:AJ70" si="52">L51/(L50+L51)*100</f>
        <v>#DIV/0!</v>
      </c>
      <c r="M70" s="274" t="e">
        <f t="shared" si="52"/>
        <v>#DIV/0!</v>
      </c>
      <c r="N70" s="274" t="e">
        <f t="shared" si="52"/>
        <v>#DIV/0!</v>
      </c>
      <c r="O70" s="274" t="e">
        <f t="shared" si="52"/>
        <v>#DIV/0!</v>
      </c>
      <c r="P70" s="274" t="e">
        <f t="shared" si="52"/>
        <v>#DIV/0!</v>
      </c>
      <c r="Q70" s="274" t="e">
        <f t="shared" si="52"/>
        <v>#DIV/0!</v>
      </c>
      <c r="R70" s="274" t="e">
        <f t="shared" si="52"/>
        <v>#DIV/0!</v>
      </c>
      <c r="S70" s="274" t="e">
        <f t="shared" si="52"/>
        <v>#DIV/0!</v>
      </c>
      <c r="T70" s="274" t="e">
        <f t="shared" si="52"/>
        <v>#DIV/0!</v>
      </c>
      <c r="U70" s="274" t="e">
        <f t="shared" si="52"/>
        <v>#DIV/0!</v>
      </c>
      <c r="V70" s="274" t="e">
        <f t="shared" si="52"/>
        <v>#DIV/0!</v>
      </c>
      <c r="W70" s="274" t="e">
        <f t="shared" si="52"/>
        <v>#DIV/0!</v>
      </c>
      <c r="X70" s="274" t="e">
        <f t="shared" si="52"/>
        <v>#DIV/0!</v>
      </c>
      <c r="Y70" s="274" t="e">
        <f t="shared" si="52"/>
        <v>#DIV/0!</v>
      </c>
      <c r="Z70" s="274" t="e">
        <f t="shared" si="52"/>
        <v>#DIV/0!</v>
      </c>
      <c r="AA70" s="274" t="e">
        <f t="shared" si="52"/>
        <v>#DIV/0!</v>
      </c>
      <c r="AB70" s="274" t="e">
        <f t="shared" si="52"/>
        <v>#DIV/0!</v>
      </c>
      <c r="AC70" s="274" t="e">
        <f t="shared" si="52"/>
        <v>#DIV/0!</v>
      </c>
      <c r="AD70" s="274" t="e">
        <f t="shared" si="52"/>
        <v>#DIV/0!</v>
      </c>
      <c r="AE70" s="274" t="e">
        <f t="shared" si="52"/>
        <v>#DIV/0!</v>
      </c>
      <c r="AF70" s="274" t="e">
        <f t="shared" si="52"/>
        <v>#DIV/0!</v>
      </c>
      <c r="AG70" s="274" t="e">
        <f t="shared" si="52"/>
        <v>#DIV/0!</v>
      </c>
      <c r="AH70" s="274" t="e">
        <f>AH51/(AH50+AH51)*100</f>
        <v>#DIV/0!</v>
      </c>
      <c r="AI70" s="274" t="e">
        <f t="shared" si="52"/>
        <v>#DIV/0!</v>
      </c>
      <c r="AJ70" s="274" t="e">
        <f t="shared" si="52"/>
        <v>#DIV/0!</v>
      </c>
      <c r="AK70" s="274" t="e">
        <f t="shared" ref="AK70" si="53">AK51/(AK50+AK51)*100</f>
        <v>#DIV/0!</v>
      </c>
      <c r="AL70" s="18"/>
      <c r="AM70" s="1528" t="e">
        <f>AM51/(AM50+AM51)*100</f>
        <v>#DIV/0!</v>
      </c>
      <c r="AR70" s="1616"/>
    </row>
    <row r="71" spans="3:92 15058:15071" x14ac:dyDescent="0.25">
      <c r="C71" s="15"/>
      <c r="D71" s="75" t="s">
        <v>61</v>
      </c>
      <c r="E71" s="126">
        <v>60</v>
      </c>
      <c r="F71" s="70" t="s">
        <v>25</v>
      </c>
      <c r="G71" s="274" t="e">
        <f t="shared" ref="G71:AF71" si="54">G55/(G55+G56)*100</f>
        <v>#DIV/0!</v>
      </c>
      <c r="H71" s="274" t="e">
        <f t="shared" si="54"/>
        <v>#DIV/0!</v>
      </c>
      <c r="I71" s="274" t="e">
        <f t="shared" si="54"/>
        <v>#DIV/0!</v>
      </c>
      <c r="J71" s="274" t="e">
        <f t="shared" si="54"/>
        <v>#DIV/0!</v>
      </c>
      <c r="K71" s="274" t="e">
        <f t="shared" si="54"/>
        <v>#DIV/0!</v>
      </c>
      <c r="L71" s="274" t="e">
        <f t="shared" si="54"/>
        <v>#DIV/0!</v>
      </c>
      <c r="M71" s="274" t="e">
        <f t="shared" si="54"/>
        <v>#DIV/0!</v>
      </c>
      <c r="N71" s="274" t="e">
        <f t="shared" si="54"/>
        <v>#DIV/0!</v>
      </c>
      <c r="O71" s="274" t="e">
        <f t="shared" si="54"/>
        <v>#DIV/0!</v>
      </c>
      <c r="P71" s="274" t="e">
        <f t="shared" si="54"/>
        <v>#DIV/0!</v>
      </c>
      <c r="Q71" s="274" t="e">
        <f t="shared" si="54"/>
        <v>#DIV/0!</v>
      </c>
      <c r="R71" s="274" t="e">
        <f t="shared" si="54"/>
        <v>#DIV/0!</v>
      </c>
      <c r="S71" s="274" t="e">
        <f t="shared" si="54"/>
        <v>#DIV/0!</v>
      </c>
      <c r="T71" s="274" t="e">
        <f t="shared" si="54"/>
        <v>#DIV/0!</v>
      </c>
      <c r="U71" s="274" t="e">
        <f t="shared" si="54"/>
        <v>#DIV/0!</v>
      </c>
      <c r="V71" s="274" t="e">
        <f t="shared" si="54"/>
        <v>#DIV/0!</v>
      </c>
      <c r="W71" s="274" t="e">
        <f t="shared" si="54"/>
        <v>#DIV/0!</v>
      </c>
      <c r="X71" s="274" t="e">
        <f t="shared" si="54"/>
        <v>#DIV/0!</v>
      </c>
      <c r="Y71" s="274" t="e">
        <f t="shared" si="54"/>
        <v>#DIV/0!</v>
      </c>
      <c r="Z71" s="274" t="e">
        <f t="shared" si="54"/>
        <v>#DIV/0!</v>
      </c>
      <c r="AA71" s="274" t="e">
        <f t="shared" si="54"/>
        <v>#DIV/0!</v>
      </c>
      <c r="AB71" s="274" t="e">
        <f t="shared" si="54"/>
        <v>#DIV/0!</v>
      </c>
      <c r="AC71" s="274" t="e">
        <f t="shared" si="54"/>
        <v>#DIV/0!</v>
      </c>
      <c r="AD71" s="274" t="e">
        <f t="shared" si="54"/>
        <v>#DIV/0!</v>
      </c>
      <c r="AE71" s="274" t="e">
        <f t="shared" si="54"/>
        <v>#DIV/0!</v>
      </c>
      <c r="AF71" s="274" t="e">
        <f t="shared" si="54"/>
        <v>#DIV/0!</v>
      </c>
      <c r="AG71" s="274" t="e">
        <f>AG55/(AG55+AG56)*100</f>
        <v>#DIV/0!</v>
      </c>
      <c r="AH71" s="274">
        <f>AH55/(AH55+AH56)*100</f>
        <v>60.030269675288942</v>
      </c>
      <c r="AI71" s="274" t="e">
        <f>#REF!/AI54*100</f>
        <v>#REF!</v>
      </c>
      <c r="AJ71" s="274" t="e">
        <f>#REF!/AJ54*100</f>
        <v>#REF!</v>
      </c>
      <c r="AK71" s="274" t="e">
        <f>#REF!/AK54*100</f>
        <v>#REF!</v>
      </c>
      <c r="AL71" s="63"/>
      <c r="AM71" s="1528">
        <f>AM55/(AM54+AM50)*100</f>
        <v>60.030269675288942</v>
      </c>
      <c r="AR71" s="1616"/>
    </row>
    <row r="72" spans="3:92 15058:15071" x14ac:dyDescent="0.25">
      <c r="C72" s="1995"/>
      <c r="D72" s="86" t="s">
        <v>60</v>
      </c>
      <c r="E72" s="2019">
        <v>40</v>
      </c>
      <c r="F72" s="87" t="s">
        <v>25</v>
      </c>
      <c r="G72" s="1284" t="e">
        <f>G56/G54*100</f>
        <v>#DIV/0!</v>
      </c>
      <c r="H72" s="1284" t="e">
        <f>H56/H54*100</f>
        <v>#DIV/0!</v>
      </c>
      <c r="I72" s="1284" t="e">
        <f>I56/I54*100</f>
        <v>#DIV/0!</v>
      </c>
      <c r="J72" s="1284" t="e">
        <f>J56/J54*100</f>
        <v>#DIV/0!</v>
      </c>
      <c r="K72" s="1284" t="e">
        <v>#DIV/0!</v>
      </c>
      <c r="L72" s="1284" t="e">
        <f t="shared" ref="L72:AG72" si="55">L56/L54*100</f>
        <v>#DIV/0!</v>
      </c>
      <c r="M72" s="1284" t="e">
        <f t="shared" si="55"/>
        <v>#DIV/0!</v>
      </c>
      <c r="N72" s="1284" t="e">
        <f t="shared" si="55"/>
        <v>#DIV/0!</v>
      </c>
      <c r="O72" s="1284" t="e">
        <f t="shared" si="55"/>
        <v>#DIV/0!</v>
      </c>
      <c r="P72" s="1284" t="e">
        <f t="shared" si="55"/>
        <v>#DIV/0!</v>
      </c>
      <c r="Q72" s="1284" t="e">
        <f t="shared" si="55"/>
        <v>#DIV/0!</v>
      </c>
      <c r="R72" s="1284" t="e">
        <f t="shared" si="55"/>
        <v>#DIV/0!</v>
      </c>
      <c r="S72" s="1284" t="e">
        <f t="shared" si="55"/>
        <v>#DIV/0!</v>
      </c>
      <c r="T72" s="1284" t="e">
        <f t="shared" si="55"/>
        <v>#DIV/0!</v>
      </c>
      <c r="U72" s="1284" t="e">
        <f t="shared" si="55"/>
        <v>#DIV/0!</v>
      </c>
      <c r="V72" s="1284" t="e">
        <f t="shared" si="55"/>
        <v>#DIV/0!</v>
      </c>
      <c r="W72" s="274" t="e">
        <f t="shared" si="55"/>
        <v>#DIV/0!</v>
      </c>
      <c r="X72" s="274" t="e">
        <f t="shared" si="55"/>
        <v>#DIV/0!</v>
      </c>
      <c r="Y72" s="274" t="e">
        <f t="shared" si="55"/>
        <v>#DIV/0!</v>
      </c>
      <c r="Z72" s="274" t="e">
        <f t="shared" si="55"/>
        <v>#DIV/0!</v>
      </c>
      <c r="AA72" s="274" t="e">
        <f t="shared" si="55"/>
        <v>#DIV/0!</v>
      </c>
      <c r="AB72" s="274" t="e">
        <f t="shared" si="55"/>
        <v>#DIV/0!</v>
      </c>
      <c r="AC72" s="274" t="e">
        <f t="shared" si="55"/>
        <v>#DIV/0!</v>
      </c>
      <c r="AD72" s="274" t="e">
        <f t="shared" si="55"/>
        <v>#DIV/0!</v>
      </c>
      <c r="AE72" s="274" t="e">
        <f t="shared" si="55"/>
        <v>#DIV/0!</v>
      </c>
      <c r="AF72" s="274" t="e">
        <f t="shared" si="55"/>
        <v>#DIV/0!</v>
      </c>
      <c r="AG72" s="274" t="e">
        <f t="shared" si="55"/>
        <v>#DIV/0!</v>
      </c>
      <c r="AH72" s="274">
        <f>AH56/(AH56+AH55)*100</f>
        <v>39.969730324711058</v>
      </c>
      <c r="AI72" s="274" t="e">
        <f>AI56/AI54*100</f>
        <v>#DIV/0!</v>
      </c>
      <c r="AJ72" s="274" t="e">
        <f>AJ56/AJ54*100</f>
        <v>#DIV/0!</v>
      </c>
      <c r="AK72" s="274" t="e">
        <f>AK56/AK54*100</f>
        <v>#DIV/0!</v>
      </c>
      <c r="AL72" s="18"/>
      <c r="AM72" s="301">
        <f>AM56/AM54*100</f>
        <v>39.969730324711058</v>
      </c>
      <c r="AR72" s="1616"/>
    </row>
    <row r="73" spans="3:92 15058:15071" x14ac:dyDescent="0.25">
      <c r="C73" s="8">
        <v>2</v>
      </c>
      <c r="D73" s="2018" t="s">
        <v>59</v>
      </c>
      <c r="E73" s="1707"/>
      <c r="F73" s="119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M73" s="81" t="s">
        <v>129</v>
      </c>
      <c r="AR73" s="1616"/>
    </row>
    <row r="74" spans="3:92 15058:15071" x14ac:dyDescent="0.25">
      <c r="C74" s="8"/>
      <c r="D74" s="235" t="s">
        <v>58</v>
      </c>
      <c r="E74" s="252">
        <v>9</v>
      </c>
      <c r="F74" s="236" t="s">
        <v>56</v>
      </c>
      <c r="G74" s="275"/>
      <c r="H74" s="275"/>
      <c r="I74" s="275">
        <v>2045</v>
      </c>
      <c r="J74" s="275">
        <v>2842</v>
      </c>
      <c r="K74" s="275"/>
      <c r="L74" s="275"/>
      <c r="M74" s="275">
        <v>3559</v>
      </c>
      <c r="N74" s="275">
        <v>15831</v>
      </c>
      <c r="O74" s="275">
        <v>13122</v>
      </c>
      <c r="P74" s="275">
        <v>3528</v>
      </c>
      <c r="Q74" s="275">
        <v>3636</v>
      </c>
      <c r="R74" s="275">
        <v>9198</v>
      </c>
      <c r="S74" s="275">
        <v>20502</v>
      </c>
      <c r="T74" s="275">
        <v>16649</v>
      </c>
      <c r="U74" s="275">
        <v>14958</v>
      </c>
      <c r="V74" s="275">
        <v>8226</v>
      </c>
      <c r="W74" s="275">
        <f>17316</f>
        <v>17316</v>
      </c>
      <c r="X74" s="275">
        <f>21096</f>
        <v>21096</v>
      </c>
      <c r="Y74" s="275">
        <v>18233</v>
      </c>
      <c r="Z74" s="275">
        <v>10116</v>
      </c>
      <c r="AA74" s="275">
        <v>5670</v>
      </c>
      <c r="AB74" s="275">
        <v>14058</v>
      </c>
      <c r="AC74" s="275">
        <v>13400.91</v>
      </c>
      <c r="AD74" s="275">
        <v>14884</v>
      </c>
      <c r="AE74" s="275">
        <v>434</v>
      </c>
      <c r="AF74" s="275"/>
      <c r="AG74" s="275">
        <v>0</v>
      </c>
      <c r="AH74" s="275"/>
      <c r="AI74" s="275"/>
      <c r="AJ74" s="275"/>
      <c r="AK74" s="275"/>
      <c r="AM74" s="82">
        <f>SUM(G74:AJ74)</f>
        <v>229303.91</v>
      </c>
      <c r="AR74" s="1616"/>
    </row>
    <row r="75" spans="3:92 15058:15071" x14ac:dyDescent="0.25">
      <c r="C75" s="15"/>
      <c r="D75" s="21"/>
      <c r="E75" s="254"/>
      <c r="F75" s="20" t="s">
        <v>25</v>
      </c>
      <c r="G75" s="276" t="e">
        <f>G74/(G11)*100</f>
        <v>#DIV/0!</v>
      </c>
      <c r="H75" s="276" t="e">
        <f>H74/(H11)*100</f>
        <v>#DIV/0!</v>
      </c>
      <c r="I75" s="276" t="e">
        <f>I74/(I11)*100</f>
        <v>#DIV/0!</v>
      </c>
      <c r="J75" s="276" t="e">
        <f>J74/(J11)*100</f>
        <v>#DIV/0!</v>
      </c>
      <c r="K75" s="276"/>
      <c r="L75" s="276" t="e">
        <f t="shared" ref="L75:AJ75" si="56">L74/(L11)*100</f>
        <v>#DIV/0!</v>
      </c>
      <c r="M75" s="276">
        <f t="shared" si="56"/>
        <v>0.71968632272441413</v>
      </c>
      <c r="N75" s="276">
        <f t="shared" si="56"/>
        <v>0.84894641840172202</v>
      </c>
      <c r="O75" s="276">
        <f t="shared" si="56"/>
        <v>0.82974485440576695</v>
      </c>
      <c r="P75" s="276">
        <f t="shared" si="56"/>
        <v>0.56809307193752268</v>
      </c>
      <c r="Q75" s="276">
        <f t="shared" si="56"/>
        <v>1.4662236273307956</v>
      </c>
      <c r="R75" s="276">
        <f t="shared" si="56"/>
        <v>0.8651241534988714</v>
      </c>
      <c r="S75" s="276">
        <f t="shared" si="56"/>
        <v>0.93348413322842905</v>
      </c>
      <c r="T75" s="276">
        <f t="shared" si="56"/>
        <v>1.0157322893540592</v>
      </c>
      <c r="U75" s="276">
        <f t="shared" si="56"/>
        <v>0.92521116933628256</v>
      </c>
      <c r="V75" s="276">
        <f t="shared" si="56"/>
        <v>0.90681000423310287</v>
      </c>
      <c r="W75" s="276">
        <f t="shared" si="56"/>
        <v>0.88245996161533602</v>
      </c>
      <c r="X75" s="276">
        <f t="shared" si="56"/>
        <v>0.87303029161843737</v>
      </c>
      <c r="Y75" s="276">
        <f t="shared" si="56"/>
        <v>0.84589361402050234</v>
      </c>
      <c r="Z75" s="276">
        <f t="shared" si="56"/>
        <v>0.67488501736581352</v>
      </c>
      <c r="AA75" s="276">
        <f t="shared" si="56"/>
        <v>0.81166391101758595</v>
      </c>
      <c r="AB75" s="276">
        <f t="shared" si="56"/>
        <v>0.83922095366017468</v>
      </c>
      <c r="AC75" s="276">
        <f t="shared" si="56"/>
        <v>0.74850741558498868</v>
      </c>
      <c r="AD75" s="276">
        <f t="shared" si="56"/>
        <v>2.0155977254784063</v>
      </c>
      <c r="AE75" s="276">
        <f t="shared" si="56"/>
        <v>0.41326642353142823</v>
      </c>
      <c r="AF75" s="276" t="e">
        <f t="shared" si="56"/>
        <v>#DIV/0!</v>
      </c>
      <c r="AG75" s="276" t="e">
        <f t="shared" si="56"/>
        <v>#DIV/0!</v>
      </c>
      <c r="AH75" s="276" t="e">
        <f t="shared" si="56"/>
        <v>#DIV/0!</v>
      </c>
      <c r="AI75" s="276" t="e">
        <f t="shared" si="56"/>
        <v>#DIV/0!</v>
      </c>
      <c r="AJ75" s="276" t="e">
        <f t="shared" si="56"/>
        <v>#DIV/0!</v>
      </c>
      <c r="AK75" s="276" t="e">
        <f t="shared" ref="AK75" si="57">AK74/(AK11)*100</f>
        <v>#DIV/0!</v>
      </c>
      <c r="AM75" s="302">
        <f>AM74/(AM11)*100</f>
        <v>0.90731656225713719</v>
      </c>
      <c r="AQ75" s="140"/>
      <c r="AR75" s="1616"/>
      <c r="BB75" s="140" t="e">
        <v>#DIV/0!</v>
      </c>
      <c r="BC75" s="140" t="e">
        <v>#DIV/0!</v>
      </c>
    </row>
    <row r="76" spans="3:92 15058:15071" x14ac:dyDescent="0.25">
      <c r="C76" s="15"/>
      <c r="D76" s="235" t="s">
        <v>1091</v>
      </c>
      <c r="E76" s="254">
        <v>40000</v>
      </c>
      <c r="F76" s="236" t="s">
        <v>56</v>
      </c>
      <c r="G76" s="1982"/>
      <c r="H76" s="1982"/>
      <c r="I76" s="1982"/>
      <c r="J76" s="1982"/>
      <c r="K76" s="1982"/>
      <c r="L76" s="1982"/>
      <c r="M76" s="1982"/>
      <c r="N76" s="1982"/>
      <c r="O76" s="1982"/>
      <c r="P76" s="1982"/>
      <c r="Q76" s="1982"/>
      <c r="R76" s="1982"/>
      <c r="S76" s="1982"/>
      <c r="T76" s="1982"/>
      <c r="U76" s="1982"/>
      <c r="V76" s="1982"/>
      <c r="W76" s="1983">
        <v>110</v>
      </c>
      <c r="X76" s="1983">
        <v>362</v>
      </c>
      <c r="Y76" s="1983">
        <v>40</v>
      </c>
      <c r="Z76" s="1983">
        <v>2960</v>
      </c>
      <c r="AA76" s="1983">
        <v>2790</v>
      </c>
      <c r="AB76" s="1983">
        <v>330</v>
      </c>
      <c r="AC76" s="1983"/>
      <c r="AD76" s="1983"/>
      <c r="AE76" s="1983"/>
      <c r="AF76" s="1983"/>
      <c r="AG76" s="1983">
        <v>0</v>
      </c>
      <c r="AH76" s="1983"/>
      <c r="AI76" s="1983"/>
      <c r="AJ76" s="1983"/>
      <c r="AK76" s="1983"/>
      <c r="AM76" s="82">
        <f>SUM(G76:AJ76)</f>
        <v>6592</v>
      </c>
      <c r="AQ76" s="140"/>
      <c r="AR76" s="1616"/>
      <c r="BB76" s="140"/>
      <c r="BC76" s="140"/>
    </row>
    <row r="77" spans="3:92 15058:15071" x14ac:dyDescent="0.25">
      <c r="C77" s="15"/>
      <c r="D77" s="21"/>
      <c r="E77" s="254"/>
      <c r="F77" s="20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276"/>
      <c r="AI77" s="276"/>
      <c r="AJ77" s="276"/>
      <c r="AK77" s="276"/>
      <c r="AM77" s="1981"/>
      <c r="AQ77" s="140"/>
      <c r="AR77" s="1616"/>
      <c r="BB77" s="140"/>
      <c r="BC77" s="140"/>
    </row>
    <row r="78" spans="3:92 15058:15071" x14ac:dyDescent="0.25">
      <c r="C78" s="15"/>
      <c r="D78" s="235" t="s">
        <v>1092</v>
      </c>
      <c r="E78" s="254">
        <v>40000</v>
      </c>
      <c r="F78" s="236" t="s">
        <v>56</v>
      </c>
      <c r="G78" s="1982"/>
      <c r="H78" s="1982"/>
      <c r="I78" s="1982"/>
      <c r="J78" s="1982"/>
      <c r="K78" s="1982"/>
      <c r="L78" s="1982"/>
      <c r="M78" s="1982"/>
      <c r="N78" s="1982"/>
      <c r="O78" s="1982"/>
      <c r="P78" s="1982"/>
      <c r="Q78" s="1982"/>
      <c r="R78" s="1982"/>
      <c r="S78" s="1982"/>
      <c r="T78" s="1982"/>
      <c r="U78" s="1982"/>
      <c r="V78" s="1982"/>
      <c r="W78" s="1983">
        <v>560</v>
      </c>
      <c r="X78" s="1983">
        <v>180</v>
      </c>
      <c r="Y78" s="1983">
        <v>1266</v>
      </c>
      <c r="Z78" s="1983">
        <v>9220</v>
      </c>
      <c r="AA78" s="1983">
        <v>2350</v>
      </c>
      <c r="AB78" s="1983">
        <v>9160</v>
      </c>
      <c r="AC78" s="1983">
        <v>6840</v>
      </c>
      <c r="AD78" s="1983">
        <v>1230</v>
      </c>
      <c r="AE78" s="1983"/>
      <c r="AF78" s="1983"/>
      <c r="AG78" s="1983">
        <v>0</v>
      </c>
      <c r="AH78" s="1983"/>
      <c r="AI78" s="1983"/>
      <c r="AJ78" s="1983"/>
      <c r="AK78" s="1983"/>
      <c r="AM78" s="82">
        <f>SUM(G78:AJ78)</f>
        <v>30806</v>
      </c>
      <c r="AQ78" s="140"/>
      <c r="AR78" s="1616"/>
      <c r="BB78" s="140"/>
      <c r="BC78" s="140"/>
    </row>
    <row r="79" spans="3:92 15058:15071" x14ac:dyDescent="0.25">
      <c r="C79" s="15"/>
      <c r="D79" s="21"/>
      <c r="E79" s="254"/>
      <c r="F79" s="20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M79" s="1981"/>
      <c r="AQ79" s="140"/>
      <c r="AR79" s="1616"/>
      <c r="BB79" s="140"/>
      <c r="BC79" s="140"/>
    </row>
    <row r="80" spans="3:92 15058:15071" s="1" customFormat="1" x14ac:dyDescent="0.25">
      <c r="C80" s="8"/>
      <c r="D80" s="237" t="s">
        <v>57</v>
      </c>
      <c r="E80" s="257">
        <v>18</v>
      </c>
      <c r="F80" s="238" t="s">
        <v>56</v>
      </c>
      <c r="G80" s="277">
        <v>0</v>
      </c>
      <c r="H80" s="277">
        <v>0</v>
      </c>
      <c r="I80" s="277">
        <v>0</v>
      </c>
      <c r="J80" s="277">
        <v>0</v>
      </c>
      <c r="K80" s="277">
        <v>0</v>
      </c>
      <c r="L80" s="277">
        <v>0</v>
      </c>
      <c r="M80" s="277">
        <v>0</v>
      </c>
      <c r="N80" s="277">
        <v>0</v>
      </c>
      <c r="O80" s="277">
        <v>0</v>
      </c>
      <c r="P80" s="277">
        <v>0</v>
      </c>
      <c r="Q80" s="277">
        <v>0</v>
      </c>
      <c r="R80" s="277">
        <v>0</v>
      </c>
      <c r="S80" s="277">
        <v>0</v>
      </c>
      <c r="T80" s="277">
        <v>0</v>
      </c>
      <c r="U80" s="277">
        <v>0</v>
      </c>
      <c r="V80" s="277">
        <v>0</v>
      </c>
      <c r="W80" s="277">
        <v>0</v>
      </c>
      <c r="X80" s="277">
        <v>0</v>
      </c>
      <c r="Y80" s="277">
        <v>0</v>
      </c>
      <c r="Z80" s="277">
        <v>0</v>
      </c>
      <c r="AA80" s="277">
        <v>0</v>
      </c>
      <c r="AB80" s="277">
        <v>0</v>
      </c>
      <c r="AC80" s="277">
        <v>0</v>
      </c>
      <c r="AD80" s="277">
        <v>0</v>
      </c>
      <c r="AE80" s="277">
        <v>0</v>
      </c>
      <c r="AF80" s="277">
        <v>0</v>
      </c>
      <c r="AG80" s="277">
        <v>0</v>
      </c>
      <c r="AH80" s="277">
        <v>0</v>
      </c>
      <c r="AI80" s="277">
        <v>0</v>
      </c>
      <c r="AJ80" s="277">
        <v>0</v>
      </c>
      <c r="AK80" s="277">
        <v>0</v>
      </c>
      <c r="AM80" s="82">
        <f>SUM(G80:AJ80)</f>
        <v>0</v>
      </c>
      <c r="AR80" s="1616"/>
      <c r="CN80" s="141"/>
      <c r="VGD80" s="46"/>
      <c r="VGE80" s="46"/>
      <c r="VGF80" s="46"/>
      <c r="VGG80" s="46"/>
      <c r="VGH80" s="46"/>
      <c r="VGI80" s="46"/>
      <c r="VGJ80" s="46"/>
      <c r="VGK80" s="46"/>
      <c r="VGL80" s="46"/>
      <c r="VGM80" s="46"/>
      <c r="VGN80" s="46"/>
      <c r="VGO80" s="46"/>
      <c r="VGP80" s="46"/>
      <c r="VGQ80" s="46"/>
    </row>
    <row r="81" spans="3:92 15058:15071" s="1" customFormat="1" x14ac:dyDescent="0.25">
      <c r="C81" s="15"/>
      <c r="D81" s="22"/>
      <c r="E81" s="258"/>
      <c r="F81" s="23" t="s">
        <v>25</v>
      </c>
      <c r="G81" s="278" t="e">
        <f>G80/(G12)*100</f>
        <v>#DIV/0!</v>
      </c>
      <c r="H81" s="278" t="e">
        <f>H80/(H12)*100</f>
        <v>#DIV/0!</v>
      </c>
      <c r="I81" s="278" t="e">
        <f>I80/(I12)*100</f>
        <v>#DIV/0!</v>
      </c>
      <c r="J81" s="278" t="e">
        <f>J80/(J12)*100</f>
        <v>#DIV/0!</v>
      </c>
      <c r="K81" s="278" t="e">
        <v>#DIV/0!</v>
      </c>
      <c r="L81" s="278" t="e">
        <f t="shared" ref="L81:AJ81" si="58">L80/(L12)*100</f>
        <v>#DIV/0!</v>
      </c>
      <c r="M81" s="278" t="e">
        <f t="shared" si="58"/>
        <v>#DIV/0!</v>
      </c>
      <c r="N81" s="278" t="e">
        <f t="shared" si="58"/>
        <v>#DIV/0!</v>
      </c>
      <c r="O81" s="278" t="e">
        <f t="shared" si="58"/>
        <v>#DIV/0!</v>
      </c>
      <c r="P81" s="278" t="e">
        <f t="shared" si="58"/>
        <v>#DIV/0!</v>
      </c>
      <c r="Q81" s="278" t="e">
        <f t="shared" si="58"/>
        <v>#DIV/0!</v>
      </c>
      <c r="R81" s="278" t="e">
        <f t="shared" si="58"/>
        <v>#DIV/0!</v>
      </c>
      <c r="S81" s="278" t="e">
        <f t="shared" si="58"/>
        <v>#DIV/0!</v>
      </c>
      <c r="T81" s="278" t="e">
        <f t="shared" si="58"/>
        <v>#DIV/0!</v>
      </c>
      <c r="U81" s="278" t="e">
        <f t="shared" si="58"/>
        <v>#DIV/0!</v>
      </c>
      <c r="V81" s="278" t="e">
        <f t="shared" si="58"/>
        <v>#DIV/0!</v>
      </c>
      <c r="W81" s="278" t="e">
        <f t="shared" si="58"/>
        <v>#DIV/0!</v>
      </c>
      <c r="X81" s="278" t="e">
        <f t="shared" si="58"/>
        <v>#DIV/0!</v>
      </c>
      <c r="Y81" s="278" t="e">
        <f t="shared" si="58"/>
        <v>#DIV/0!</v>
      </c>
      <c r="Z81" s="278" t="e">
        <f t="shared" si="58"/>
        <v>#DIV/0!</v>
      </c>
      <c r="AA81" s="278" t="e">
        <f t="shared" si="58"/>
        <v>#DIV/0!</v>
      </c>
      <c r="AB81" s="278" t="e">
        <f t="shared" si="58"/>
        <v>#DIV/0!</v>
      </c>
      <c r="AC81" s="278" t="e">
        <f t="shared" si="58"/>
        <v>#DIV/0!</v>
      </c>
      <c r="AD81" s="278" t="e">
        <f t="shared" si="58"/>
        <v>#DIV/0!</v>
      </c>
      <c r="AE81" s="278" t="e">
        <f t="shared" si="58"/>
        <v>#DIV/0!</v>
      </c>
      <c r="AF81" s="278" t="e">
        <f t="shared" si="58"/>
        <v>#DIV/0!</v>
      </c>
      <c r="AG81" s="278" t="e">
        <f t="shared" si="58"/>
        <v>#DIV/0!</v>
      </c>
      <c r="AH81" s="278" t="e">
        <f t="shared" si="58"/>
        <v>#DIV/0!</v>
      </c>
      <c r="AI81" s="278" t="e">
        <f t="shared" si="58"/>
        <v>#DIV/0!</v>
      </c>
      <c r="AJ81" s="278" t="e">
        <f t="shared" si="58"/>
        <v>#DIV/0!</v>
      </c>
      <c r="AK81" s="278" t="e">
        <f t="shared" ref="AK81" si="59">AK80/(AK12)*100</f>
        <v>#DIV/0!</v>
      </c>
      <c r="AM81" s="302" t="e">
        <f>AM80/(AM12)*100</f>
        <v>#DIV/0!</v>
      </c>
      <c r="AQ81" s="140"/>
      <c r="AR81" s="1616"/>
      <c r="CN81" s="141"/>
      <c r="VGD81" s="46"/>
      <c r="VGE81" s="46"/>
      <c r="VGF81" s="46"/>
      <c r="VGG81" s="46"/>
      <c r="VGH81" s="46"/>
      <c r="VGI81" s="46"/>
      <c r="VGJ81" s="46"/>
      <c r="VGK81" s="46"/>
      <c r="VGL81" s="46"/>
      <c r="VGM81" s="46"/>
      <c r="VGN81" s="46"/>
      <c r="VGO81" s="46"/>
      <c r="VGP81" s="46"/>
      <c r="VGQ81" s="46"/>
    </row>
    <row r="82" spans="3:92 15058:15071" x14ac:dyDescent="0.25">
      <c r="C82" s="15"/>
      <c r="D82" s="235" t="s">
        <v>55</v>
      </c>
      <c r="E82" s="252">
        <v>0.6</v>
      </c>
      <c r="F82" s="236" t="s">
        <v>14</v>
      </c>
      <c r="G82" s="1530"/>
      <c r="H82" s="1530"/>
      <c r="I82" s="275">
        <f>44*1.6</f>
        <v>70.400000000000006</v>
      </c>
      <c r="J82" s="1530">
        <f>73.97*1.6</f>
        <v>118.352</v>
      </c>
      <c r="K82" s="1530"/>
      <c r="L82" s="1530"/>
      <c r="M82" s="1530">
        <f>132.76*1.6</f>
        <v>212.416</v>
      </c>
      <c r="N82" s="1530">
        <f>559.41*1.6</f>
        <v>895.05600000000004</v>
      </c>
      <c r="O82" s="1530">
        <f>483.6*1.6</f>
        <v>773.7600000000001</v>
      </c>
      <c r="P82" s="1530">
        <f>132.8*1.6</f>
        <v>212.48000000000002</v>
      </c>
      <c r="Q82" s="1530">
        <v>176.8</v>
      </c>
      <c r="R82" s="1530">
        <f>487.76</f>
        <v>487.76</v>
      </c>
      <c r="S82" s="1530">
        <v>990.08</v>
      </c>
      <c r="T82" s="1530">
        <v>806</v>
      </c>
      <c r="U82" s="1530">
        <v>752.96</v>
      </c>
      <c r="V82" s="245">
        <v>407.68</v>
      </c>
      <c r="W82" s="1530">
        <v>856.96</v>
      </c>
      <c r="X82" s="1530">
        <v>1157.52</v>
      </c>
      <c r="Y82" s="1530">
        <v>940.16</v>
      </c>
      <c r="Z82" s="1530">
        <v>674.96</v>
      </c>
      <c r="AA82" s="1530">
        <v>327.60000000000002</v>
      </c>
      <c r="AB82" s="1530">
        <v>781.04</v>
      </c>
      <c r="AC82" s="277">
        <v>819.52</v>
      </c>
      <c r="AD82" s="277">
        <v>479.44</v>
      </c>
      <c r="AE82" s="277">
        <v>832</v>
      </c>
      <c r="AF82" s="277"/>
      <c r="AG82" s="277">
        <v>0</v>
      </c>
      <c r="AH82" s="277"/>
      <c r="AI82" s="1530"/>
      <c r="AJ82" s="1530"/>
      <c r="AK82" s="1530"/>
      <c r="AL82" s="306"/>
      <c r="AM82" s="307">
        <f>SUM(G82:AJ82)</f>
        <v>12772.944000000001</v>
      </c>
      <c r="AN82" s="306"/>
      <c r="AO82" s="306"/>
      <c r="AP82" s="306"/>
      <c r="AQ82" s="306"/>
      <c r="AR82" s="1616"/>
      <c r="AS82" s="306"/>
      <c r="AT82" s="306"/>
      <c r="AU82" s="306"/>
      <c r="AV82" s="306"/>
      <c r="AW82" s="306"/>
      <c r="AX82" s="306"/>
    </row>
    <row r="83" spans="3:92 15058:15071" ht="15.75" thickBot="1" x14ac:dyDescent="0.3">
      <c r="C83" s="19"/>
      <c r="D83" s="24"/>
      <c r="E83" s="254"/>
      <c r="F83" s="25" t="s">
        <v>25</v>
      </c>
      <c r="G83" s="279" t="e">
        <f>G82/(G9)*100</f>
        <v>#DIV/0!</v>
      </c>
      <c r="H83" s="279" t="e">
        <f>H82/(H9)*100</f>
        <v>#DIV/0!</v>
      </c>
      <c r="I83" s="1685" t="e">
        <f>I82/(I9)*1000</f>
        <v>#DIV/0!</v>
      </c>
      <c r="J83" s="1685" t="e">
        <f>J82/(J9)*1000</f>
        <v>#DIV/0!</v>
      </c>
      <c r="K83" s="279"/>
      <c r="L83" s="279" t="e">
        <f t="shared" ref="L83:AJ83" si="60">L82/(L9)*100</f>
        <v>#DIV/0!</v>
      </c>
      <c r="M83" s="279">
        <f t="shared" si="60"/>
        <v>4.2953888712511705E-2</v>
      </c>
      <c r="N83" s="279">
        <f t="shared" si="60"/>
        <v>4.7997889297515743E-2</v>
      </c>
      <c r="O83" s="279">
        <f t="shared" si="60"/>
        <v>4.8927250308261408E-2</v>
      </c>
      <c r="P83" s="279">
        <f t="shared" si="60"/>
        <v>3.4214403606940141E-2</v>
      </c>
      <c r="Q83" s="279">
        <f t="shared" si="60"/>
        <v>7.1294922253048579E-2</v>
      </c>
      <c r="R83" s="279">
        <f t="shared" si="60"/>
        <v>4.5876598946576377E-2</v>
      </c>
      <c r="S83" s="279">
        <f t="shared" si="60"/>
        <v>4.5079698108809046E-2</v>
      </c>
      <c r="T83" s="279">
        <f t="shared" si="60"/>
        <v>4.9172936826198069E-2</v>
      </c>
      <c r="U83" s="279">
        <f t="shared" si="60"/>
        <v>4.657353938116375E-2</v>
      </c>
      <c r="V83" s="279">
        <f t="shared" si="60"/>
        <v>4.4941442077042475E-2</v>
      </c>
      <c r="W83" s="279">
        <f t="shared" si="60"/>
        <v>4.3672492995257467E-2</v>
      </c>
      <c r="X83" s="279">
        <f t="shared" si="60"/>
        <v>4.7902447058881956E-2</v>
      </c>
      <c r="Y83" s="279">
        <f t="shared" si="60"/>
        <v>4.3617360837904642E-2</v>
      </c>
      <c r="Z83" s="279">
        <f t="shared" si="60"/>
        <v>4.5029694673905649E-2</v>
      </c>
      <c r="AA83" s="279">
        <f t="shared" si="60"/>
        <v>4.6896137081016087E-2</v>
      </c>
      <c r="AB83" s="279">
        <f t="shared" si="60"/>
        <v>4.6625774195955524E-2</v>
      </c>
      <c r="AC83" s="279">
        <f t="shared" si="60"/>
        <v>4.5774264376091611E-2</v>
      </c>
      <c r="AD83" s="279">
        <f t="shared" si="60"/>
        <v>6.4925972420274605E-2</v>
      </c>
      <c r="AE83" s="279">
        <f t="shared" si="60"/>
        <v>0.79225268289895912</v>
      </c>
      <c r="AF83" s="279" t="e">
        <f t="shared" si="60"/>
        <v>#DIV/0!</v>
      </c>
      <c r="AG83" s="279" t="e">
        <f t="shared" si="60"/>
        <v>#DIV/0!</v>
      </c>
      <c r="AH83" s="279" t="e">
        <f t="shared" si="60"/>
        <v>#DIV/0!</v>
      </c>
      <c r="AI83" s="279" t="e">
        <f t="shared" si="60"/>
        <v>#DIV/0!</v>
      </c>
      <c r="AJ83" s="279" t="e">
        <f t="shared" si="60"/>
        <v>#DIV/0!</v>
      </c>
      <c r="AK83" s="279" t="e">
        <f t="shared" ref="AK83" si="61">AK82/(AK9)*100</f>
        <v>#DIV/0!</v>
      </c>
      <c r="AM83" s="303">
        <f>AM82/(AM9)*100</f>
        <v>5.0540366450720041E-2</v>
      </c>
      <c r="AQ83" s="1532"/>
      <c r="AR83" s="1616"/>
    </row>
    <row r="84" spans="3:92 15058:15071" s="137" customFormat="1" x14ac:dyDescent="0.25">
      <c r="C84" s="138">
        <v>3</v>
      </c>
      <c r="D84" s="239" t="s">
        <v>168</v>
      </c>
      <c r="E84" s="240">
        <v>0.8</v>
      </c>
      <c r="F84" s="241" t="s">
        <v>25</v>
      </c>
      <c r="G84" s="280" t="e">
        <f t="shared" ref="G84:AJ84" si="62">((SUM(G19:G20))-(SUM(G9)))/(SUM(G9))*100</f>
        <v>#DIV/0!</v>
      </c>
      <c r="H84" s="280" t="e">
        <f t="shared" si="62"/>
        <v>#DIV/0!</v>
      </c>
      <c r="I84" s="280" t="e">
        <f t="shared" si="62"/>
        <v>#DIV/0!</v>
      </c>
      <c r="J84" s="280" t="e">
        <f t="shared" si="62"/>
        <v>#DIV/0!</v>
      </c>
      <c r="K84" s="280" t="e">
        <f t="shared" si="62"/>
        <v>#DIV/0!</v>
      </c>
      <c r="L84" s="280" t="e">
        <f t="shared" si="62"/>
        <v>#DIV/0!</v>
      </c>
      <c r="M84" s="280">
        <f t="shared" si="62"/>
        <v>1.5538268344519242</v>
      </c>
      <c r="N84" s="280">
        <f t="shared" si="62"/>
        <v>-5.6968589357898134</v>
      </c>
      <c r="O84" s="280">
        <f t="shared" si="62"/>
        <v>-1.9676246482658322</v>
      </c>
      <c r="P84" s="280">
        <f t="shared" si="62"/>
        <v>11.170725816190973</v>
      </c>
      <c r="Q84" s="280">
        <f t="shared" si="62"/>
        <v>3.6207981160074842</v>
      </c>
      <c r="R84" s="280">
        <f t="shared" si="62"/>
        <v>-9.1635628291948841</v>
      </c>
      <c r="S84" s="280">
        <f t="shared" si="62"/>
        <v>1.5539401025730688</v>
      </c>
      <c r="T84" s="280">
        <f t="shared" si="62"/>
        <v>0.49392567809540888</v>
      </c>
      <c r="U84" s="280">
        <f t="shared" si="62"/>
        <v>2.6986253581342874</v>
      </c>
      <c r="V84" s="280">
        <f t="shared" si="62"/>
        <v>-0.36267990687173701</v>
      </c>
      <c r="W84" s="280">
        <f t="shared" si="62"/>
        <v>-3.641803610359986</v>
      </c>
      <c r="X84" s="280">
        <f t="shared" si="62"/>
        <v>8.6472044697694219</v>
      </c>
      <c r="Y84" s="280">
        <f t="shared" si="62"/>
        <v>-1.7158190874202961</v>
      </c>
      <c r="Z84" s="280">
        <f t="shared" si="62"/>
        <v>1.3350928200400021</v>
      </c>
      <c r="AA84" s="280">
        <f t="shared" si="62"/>
        <v>3.4495000465239456</v>
      </c>
      <c r="AB84" s="280">
        <f t="shared" si="62"/>
        <v>-1.6887694948138199</v>
      </c>
      <c r="AC84" s="280">
        <f t="shared" si="62"/>
        <v>0.77571381254290361</v>
      </c>
      <c r="AD84" s="280">
        <f t="shared" si="62"/>
        <v>-2.5586336619987242</v>
      </c>
      <c r="AE84" s="280">
        <f t="shared" si="62"/>
        <v>94.094289495986359</v>
      </c>
      <c r="AF84" s="280" t="e">
        <f t="shared" si="62"/>
        <v>#DIV/0!</v>
      </c>
      <c r="AG84" s="280" t="e">
        <f t="shared" si="62"/>
        <v>#DIV/0!</v>
      </c>
      <c r="AH84" s="280" t="e">
        <f t="shared" si="62"/>
        <v>#DIV/0!</v>
      </c>
      <c r="AI84" s="280" t="e">
        <f t="shared" si="62"/>
        <v>#DIV/0!</v>
      </c>
      <c r="AJ84" s="280" t="e">
        <f t="shared" si="62"/>
        <v>#DIV/0!</v>
      </c>
      <c r="AK84" s="280" t="e">
        <f t="shared" ref="AK84" si="63">((SUM(AK19:AK20))-(SUM(AK9)))/(SUM(AK9))*100</f>
        <v>#DIV/0!</v>
      </c>
      <c r="AM84" s="304">
        <f>((SUM(AM19:AM20))-(SUM(AM9)))/(SUM(AM9))*100</f>
        <v>0.81487350192937014</v>
      </c>
      <c r="AR84" s="1617"/>
      <c r="CN84" s="147"/>
    </row>
    <row r="85" spans="3:92 15058:15071" s="137" customFormat="1" x14ac:dyDescent="0.25">
      <c r="C85" s="138"/>
      <c r="D85" s="309"/>
      <c r="E85" s="310"/>
      <c r="F85" s="311" t="s">
        <v>14</v>
      </c>
      <c r="G85" s="312" t="e">
        <f t="shared" ref="G85:AJ85" si="64">G84%*G9</f>
        <v>#DIV/0!</v>
      </c>
      <c r="H85" s="312" t="e">
        <f t="shared" si="64"/>
        <v>#DIV/0!</v>
      </c>
      <c r="I85" s="312" t="e">
        <f t="shared" si="64"/>
        <v>#DIV/0!</v>
      </c>
      <c r="J85" s="312" t="e">
        <f t="shared" si="64"/>
        <v>#DIV/0!</v>
      </c>
      <c r="K85" s="312" t="e">
        <f t="shared" si="64"/>
        <v>#DIV/0!</v>
      </c>
      <c r="L85" s="312" t="e">
        <f t="shared" si="64"/>
        <v>#DIV/0!</v>
      </c>
      <c r="M85" s="312">
        <f t="shared" si="64"/>
        <v>7684</v>
      </c>
      <c r="N85" s="312">
        <f t="shared" si="64"/>
        <v>-106234</v>
      </c>
      <c r="O85" s="312">
        <f t="shared" si="64"/>
        <v>-31117</v>
      </c>
      <c r="P85" s="312">
        <f t="shared" si="64"/>
        <v>69373</v>
      </c>
      <c r="Q85" s="312">
        <f t="shared" si="64"/>
        <v>8979</v>
      </c>
      <c r="R85" s="312">
        <f t="shared" si="64"/>
        <v>-97427</v>
      </c>
      <c r="S85" s="312">
        <f t="shared" si="64"/>
        <v>34129</v>
      </c>
      <c r="T85" s="312">
        <f t="shared" si="64"/>
        <v>8096</v>
      </c>
      <c r="U85" s="312">
        <f t="shared" si="64"/>
        <v>43629</v>
      </c>
      <c r="V85" s="312">
        <f t="shared" si="64"/>
        <v>-3290.0000000000005</v>
      </c>
      <c r="W85" s="312">
        <f t="shared" si="64"/>
        <v>-71461</v>
      </c>
      <c r="X85" s="312">
        <f t="shared" si="64"/>
        <v>208952</v>
      </c>
      <c r="Y85" s="312">
        <f t="shared" si="64"/>
        <v>-36984</v>
      </c>
      <c r="Z85" s="312">
        <f t="shared" si="64"/>
        <v>20012</v>
      </c>
      <c r="AA85" s="312">
        <f t="shared" si="64"/>
        <v>24097</v>
      </c>
      <c r="AB85" s="312">
        <f t="shared" si="64"/>
        <v>-28289</v>
      </c>
      <c r="AC85" s="312">
        <f t="shared" si="64"/>
        <v>13888</v>
      </c>
      <c r="AD85" s="312">
        <f t="shared" si="64"/>
        <v>-18894</v>
      </c>
      <c r="AE85" s="312">
        <f t="shared" si="64"/>
        <v>98815</v>
      </c>
      <c r="AF85" s="312" t="e">
        <f t="shared" si="64"/>
        <v>#DIV/0!</v>
      </c>
      <c r="AG85" s="312" t="e">
        <f t="shared" si="64"/>
        <v>#DIV/0!</v>
      </c>
      <c r="AH85" s="312" t="e">
        <f t="shared" si="64"/>
        <v>#DIV/0!</v>
      </c>
      <c r="AI85" s="312" t="e">
        <f t="shared" si="64"/>
        <v>#DIV/0!</v>
      </c>
      <c r="AJ85" s="312" t="e">
        <f t="shared" si="64"/>
        <v>#DIV/0!</v>
      </c>
      <c r="AK85" s="312" t="e">
        <f t="shared" ref="AK85" si="65">AK84%*AK9</f>
        <v>#DIV/0!</v>
      </c>
      <c r="AM85" s="313">
        <f>AM84%*AM9</f>
        <v>205941.00000000003</v>
      </c>
      <c r="AR85" s="1617"/>
      <c r="CN85" s="147"/>
    </row>
    <row r="86" spans="3:92 15058:15071" s="63" customFormat="1" x14ac:dyDescent="0.25">
      <c r="C86" s="69"/>
      <c r="D86" s="235" t="s">
        <v>54</v>
      </c>
      <c r="E86" s="259">
        <v>22</v>
      </c>
      <c r="F86" s="236" t="s">
        <v>25</v>
      </c>
      <c r="G86" s="281"/>
      <c r="H86" s="281"/>
      <c r="I86" s="281"/>
      <c r="J86" s="281"/>
      <c r="K86" s="281"/>
      <c r="L86" s="281"/>
      <c r="M86" s="281">
        <v>31.65</v>
      </c>
      <c r="N86" s="281">
        <v>25.59</v>
      </c>
      <c r="O86" s="281">
        <v>22.06</v>
      </c>
      <c r="P86" s="281">
        <v>21.78</v>
      </c>
      <c r="Q86" s="281">
        <v>21.71</v>
      </c>
      <c r="R86" s="281">
        <v>21.88</v>
      </c>
      <c r="S86" s="281">
        <v>21.66</v>
      </c>
      <c r="T86" s="281">
        <v>20.51</v>
      </c>
      <c r="U86" s="281">
        <v>20.7</v>
      </c>
      <c r="V86" s="281">
        <v>20.28</v>
      </c>
      <c r="W86" s="281">
        <v>20.03</v>
      </c>
      <c r="X86" s="281">
        <v>19.87</v>
      </c>
      <c r="Y86" s="281">
        <v>19.78</v>
      </c>
      <c r="Z86" s="281">
        <v>20.2</v>
      </c>
      <c r="AA86" s="281">
        <v>20.09</v>
      </c>
      <c r="AB86" s="281">
        <v>20.03</v>
      </c>
      <c r="AC86" s="245">
        <v>20.04</v>
      </c>
      <c r="AD86" s="245">
        <v>20.07</v>
      </c>
      <c r="AE86" s="275"/>
      <c r="AF86" s="275"/>
      <c r="AG86" s="275"/>
      <c r="AH86" s="275"/>
      <c r="AI86" s="281"/>
      <c r="AJ86" s="281"/>
      <c r="AK86" s="281"/>
      <c r="AM86" s="307">
        <f>AVERAGE(G86:AJ86)</f>
        <v>21.551666666666662</v>
      </c>
      <c r="AR86" s="805"/>
      <c r="CN86" s="143"/>
    </row>
    <row r="87" spans="3:92 15058:15071" s="63" customFormat="1" ht="15.75" thickBot="1" x14ac:dyDescent="0.3">
      <c r="C87" s="85"/>
      <c r="D87" s="86" t="s">
        <v>53</v>
      </c>
      <c r="E87" s="254"/>
      <c r="F87" s="87" t="s">
        <v>14</v>
      </c>
      <c r="G87" s="276">
        <f>SUM(G74,G80)+(G86%*SUM(G74,G80))</f>
        <v>0</v>
      </c>
      <c r="H87" s="276">
        <f>SUM(H74,H80)+(H86%*SUM(H74,H80))</f>
        <v>0</v>
      </c>
      <c r="I87" s="276">
        <f>SUM(I74,I80)+(I86%*SUM(I74,I80))</f>
        <v>2045</v>
      </c>
      <c r="J87" s="276">
        <f>SUM(J74,J80)+(J86%*SUM(J74,J80))</f>
        <v>2842</v>
      </c>
      <c r="K87" s="276"/>
      <c r="L87" s="276">
        <f t="shared" ref="L87:AJ87" si="66">SUM(L74,L80)+(L86%*SUM(L74,L80))</f>
        <v>0</v>
      </c>
      <c r="M87" s="276">
        <f t="shared" si="66"/>
        <v>4685.4234999999999</v>
      </c>
      <c r="N87" s="276">
        <f t="shared" si="66"/>
        <v>19882.152900000001</v>
      </c>
      <c r="O87" s="276">
        <f>SUM(O74,O80)+(O86%*SUM(O74,O80))</f>
        <v>16016.7132</v>
      </c>
      <c r="P87" s="276">
        <f t="shared" si="66"/>
        <v>4296.3984</v>
      </c>
      <c r="Q87" s="276">
        <f t="shared" si="66"/>
        <v>4425.3756000000003</v>
      </c>
      <c r="R87" s="276">
        <f t="shared" si="66"/>
        <v>11210.5224</v>
      </c>
      <c r="S87" s="276">
        <f t="shared" si="66"/>
        <v>24942.733200000002</v>
      </c>
      <c r="T87" s="276">
        <f t="shared" si="66"/>
        <v>20063.709900000002</v>
      </c>
      <c r="U87" s="276">
        <f t="shared" si="66"/>
        <v>18054.306</v>
      </c>
      <c r="V87" s="276">
        <f t="shared" si="66"/>
        <v>9894.2327999999998</v>
      </c>
      <c r="W87" s="276">
        <f t="shared" si="66"/>
        <v>20784.394800000002</v>
      </c>
      <c r="X87" s="276">
        <f t="shared" si="66"/>
        <v>25287.7752</v>
      </c>
      <c r="Y87" s="276">
        <f t="shared" si="66"/>
        <v>21839.487399999998</v>
      </c>
      <c r="Z87" s="276">
        <f t="shared" si="66"/>
        <v>12159.432000000001</v>
      </c>
      <c r="AA87" s="276">
        <f t="shared" si="66"/>
        <v>6809.1030000000001</v>
      </c>
      <c r="AB87" s="276">
        <f t="shared" si="66"/>
        <v>16873.8174</v>
      </c>
      <c r="AC87" s="276">
        <f t="shared" si="66"/>
        <v>16086.452364000001</v>
      </c>
      <c r="AD87" s="276">
        <f t="shared" si="66"/>
        <v>17871.218799999999</v>
      </c>
      <c r="AE87" s="276">
        <f t="shared" si="66"/>
        <v>434</v>
      </c>
      <c r="AF87" s="276">
        <f t="shared" si="66"/>
        <v>0</v>
      </c>
      <c r="AG87" s="276">
        <f t="shared" si="66"/>
        <v>0</v>
      </c>
      <c r="AH87" s="276">
        <f t="shared" si="66"/>
        <v>0</v>
      </c>
      <c r="AI87" s="276">
        <f t="shared" si="66"/>
        <v>0</v>
      </c>
      <c r="AJ87" s="276">
        <f t="shared" si="66"/>
        <v>0</v>
      </c>
      <c r="AK87" s="276">
        <f t="shared" ref="AK87" si="67">SUM(AK74,AK80)+(AK86%*SUM(AK74,AK80))</f>
        <v>0</v>
      </c>
      <c r="AM87" s="965">
        <f>SUM(AM74,AM80)+(AM86%*SUM(AM74,AM80))/AM6</f>
        <v>231452.55410160145</v>
      </c>
      <c r="AR87" s="805"/>
      <c r="CN87" s="143"/>
    </row>
    <row r="88" spans="3:92 15058:15071" hidden="1" x14ac:dyDescent="0.25">
      <c r="C88" s="8">
        <v>4</v>
      </c>
      <c r="D88" s="47" t="s">
        <v>52</v>
      </c>
      <c r="E88" s="48"/>
      <c r="F88" s="49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3"/>
      <c r="AM88" s="79" t="s">
        <v>130</v>
      </c>
    </row>
    <row r="89" spans="3:92 15058:15071" s="2" customFormat="1" hidden="1" x14ac:dyDescent="0.25">
      <c r="C89" s="8"/>
      <c r="D89" s="26" t="s">
        <v>51</v>
      </c>
      <c r="E89" s="88"/>
      <c r="F89" s="12" t="s">
        <v>14</v>
      </c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7"/>
      <c r="AM89" s="89">
        <v>0</v>
      </c>
      <c r="AT89" s="27"/>
      <c r="CN89" s="146"/>
    </row>
    <row r="90" spans="3:92 15058:15071" s="1" customFormat="1" hidden="1" x14ac:dyDescent="0.25">
      <c r="C90" s="15"/>
      <c r="D90" s="28" t="s">
        <v>46</v>
      </c>
      <c r="E90" s="90"/>
      <c r="F90" s="20" t="s">
        <v>14</v>
      </c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"/>
      <c r="AM90" s="89">
        <v>0</v>
      </c>
      <c r="CN90" s="142"/>
    </row>
    <row r="91" spans="3:92 15058:15071" s="1" customFormat="1" hidden="1" x14ac:dyDescent="0.25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M91" s="59">
        <v>0</v>
      </c>
      <c r="CN91" s="142"/>
    </row>
    <row r="92" spans="3:92 15058:15071" s="1" customFormat="1" hidden="1" x14ac:dyDescent="0.25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M92" s="59">
        <v>0</v>
      </c>
      <c r="CN92" s="142"/>
    </row>
    <row r="93" spans="3:92 15058:15071" s="1" customFormat="1" hidden="1" x14ac:dyDescent="0.25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M93" s="59">
        <v>0</v>
      </c>
      <c r="CN93" s="142"/>
    </row>
    <row r="94" spans="3:92 15058:15071" s="1" customFormat="1" hidden="1" x14ac:dyDescent="0.25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M94" s="64" t="s">
        <v>29</v>
      </c>
      <c r="CN94" s="142"/>
    </row>
    <row r="95" spans="3:92 15058:15071" s="16" customFormat="1" hidden="1" x14ac:dyDescent="0.2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55">
        <v>0</v>
      </c>
      <c r="CN95" s="148"/>
    </row>
    <row r="96" spans="3:92 15058:15071" s="16" customFormat="1" hidden="1" x14ac:dyDescent="0.2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5">
        <v>0</v>
      </c>
      <c r="CN96" s="148"/>
    </row>
    <row r="97" spans="3:92 15058:15450" s="1" customFormat="1" hidden="1" x14ac:dyDescent="0.25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28</v>
      </c>
      <c r="CN97" s="142"/>
    </row>
    <row r="98" spans="3:92 15058:15450" s="1" customFormat="1" hidden="1" x14ac:dyDescent="0.25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>
        <v>0</v>
      </c>
      <c r="AJ98" s="33">
        <v>0</v>
      </c>
      <c r="AK98" s="33">
        <v>0</v>
      </c>
      <c r="AM98" s="55">
        <v>0</v>
      </c>
      <c r="CN98" s="142"/>
    </row>
    <row r="99" spans="3:92 15058:15450" s="1" customFormat="1" hidden="1" x14ac:dyDescent="0.25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M99" s="55">
        <v>0</v>
      </c>
      <c r="CN99" s="142"/>
    </row>
    <row r="100" spans="3:92 15058:15450" s="1" customFormat="1" hidden="1" x14ac:dyDescent="0.25">
      <c r="C100" s="15"/>
      <c r="D100" s="30" t="s">
        <v>36</v>
      </c>
      <c r="E100" s="61"/>
      <c r="F100" s="20" t="s">
        <v>35</v>
      </c>
      <c r="G100" s="284">
        <v>0</v>
      </c>
      <c r="H100" s="284">
        <v>0</v>
      </c>
      <c r="I100" s="284">
        <v>0</v>
      </c>
      <c r="J100" s="284">
        <v>0</v>
      </c>
      <c r="K100" s="284">
        <v>0</v>
      </c>
      <c r="L100" s="284">
        <v>0</v>
      </c>
      <c r="M100" s="284">
        <v>0</v>
      </c>
      <c r="N100" s="284">
        <v>0</v>
      </c>
      <c r="O100" s="284">
        <v>0</v>
      </c>
      <c r="P100" s="284">
        <v>0</v>
      </c>
      <c r="Q100" s="284">
        <v>0</v>
      </c>
      <c r="R100" s="284">
        <v>0</v>
      </c>
      <c r="S100" s="284">
        <v>0</v>
      </c>
      <c r="T100" s="284">
        <v>0</v>
      </c>
      <c r="U100" s="284">
        <v>0</v>
      </c>
      <c r="V100" s="284">
        <v>0</v>
      </c>
      <c r="W100" s="284">
        <v>0</v>
      </c>
      <c r="X100" s="284">
        <v>0</v>
      </c>
      <c r="Y100" s="284">
        <v>0</v>
      </c>
      <c r="Z100" s="284">
        <v>0</v>
      </c>
      <c r="AA100" s="284">
        <v>0</v>
      </c>
      <c r="AB100" s="284">
        <v>0</v>
      </c>
      <c r="AC100" s="284">
        <v>0</v>
      </c>
      <c r="AD100" s="284">
        <v>0</v>
      </c>
      <c r="AE100" s="284">
        <v>0</v>
      </c>
      <c r="AF100" s="284">
        <v>0</v>
      </c>
      <c r="AG100" s="284">
        <v>0</v>
      </c>
      <c r="AH100" s="284">
        <v>0</v>
      </c>
      <c r="AI100" s="284">
        <v>0</v>
      </c>
      <c r="AJ100" s="284">
        <v>0</v>
      </c>
      <c r="AK100" s="284">
        <v>0</v>
      </c>
      <c r="AM100" s="55">
        <v>0</v>
      </c>
      <c r="CN100" s="142"/>
    </row>
    <row r="101" spans="3:92 15058:15450" s="1" customFormat="1" hidden="1" x14ac:dyDescent="0.25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K101" s="33">
        <v>0</v>
      </c>
      <c r="AM101" s="55">
        <v>0</v>
      </c>
      <c r="CN101" s="142"/>
    </row>
    <row r="102" spans="3:92 15058:15450" s="1" customFormat="1" hidden="1" x14ac:dyDescent="0.25">
      <c r="C102" s="8"/>
      <c r="D102" s="47" t="s">
        <v>32</v>
      </c>
      <c r="E102" s="48"/>
      <c r="F102" s="49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3"/>
      <c r="AM102" s="79" t="s">
        <v>131</v>
      </c>
      <c r="CN102" s="141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  <c r="VTZ102" s="46"/>
      <c r="VUA102" s="46"/>
      <c r="VUB102" s="46"/>
      <c r="VUC102" s="46"/>
      <c r="VUD102" s="46"/>
      <c r="VUE102" s="46"/>
      <c r="VUF102" s="46"/>
      <c r="VUG102" s="46"/>
      <c r="VUH102" s="46"/>
      <c r="VUI102" s="46"/>
      <c r="VUJ102" s="46"/>
      <c r="VUK102" s="46"/>
      <c r="VUL102" s="46"/>
      <c r="VUM102" s="46"/>
      <c r="VUN102" s="46"/>
      <c r="VUO102" s="46"/>
      <c r="VUP102" s="46"/>
      <c r="VUQ102" s="46"/>
      <c r="VUR102" s="46"/>
      <c r="VUS102" s="46"/>
      <c r="VUT102" s="46"/>
      <c r="VUU102" s="46"/>
      <c r="VUV102" s="46"/>
      <c r="VUW102" s="46"/>
      <c r="VUX102" s="46"/>
      <c r="VUY102" s="46"/>
      <c r="VUZ102" s="46"/>
      <c r="VVA102" s="46"/>
      <c r="VVB102" s="46"/>
      <c r="VVC102" s="46"/>
      <c r="VVD102" s="46"/>
      <c r="VVE102" s="46"/>
      <c r="VVF102" s="46"/>
    </row>
    <row r="103" spans="3:92 15058:15450" s="1" customFormat="1" hidden="1" x14ac:dyDescent="0.25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64" t="s">
        <v>29</v>
      </c>
      <c r="CN103" s="142"/>
    </row>
    <row r="104" spans="3:92 15058:15450" s="1" customFormat="1" hidden="1" x14ac:dyDescent="0.25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55">
        <v>0</v>
      </c>
      <c r="CN104" s="142"/>
    </row>
    <row r="105" spans="3:92 15058:15450" s="1" customFormat="1" hidden="1" x14ac:dyDescent="0.25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5">
        <v>0</v>
      </c>
      <c r="CN105" s="142"/>
    </row>
    <row r="106" spans="3:92 15058:15450" s="1" customFormat="1" hidden="1" x14ac:dyDescent="0.25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64" t="s">
        <v>28</v>
      </c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N106" s="142"/>
    </row>
    <row r="107" spans="3:92 15058:15450" s="1" customFormat="1" hidden="1" x14ac:dyDescent="0.25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>
        <v>0</v>
      </c>
      <c r="AJ107" s="33">
        <v>0</v>
      </c>
      <c r="AK107" s="33">
        <v>0</v>
      </c>
      <c r="AM107" s="55">
        <v>0</v>
      </c>
      <c r="BV107" s="146"/>
      <c r="BW107" s="142"/>
      <c r="BX107" s="142"/>
      <c r="BY107" s="142"/>
      <c r="BZ107" s="149"/>
      <c r="CA107" s="142"/>
      <c r="CB107" s="142"/>
      <c r="CC107" s="142"/>
      <c r="CD107" s="142"/>
      <c r="CE107" s="142"/>
      <c r="CN107" s="142"/>
    </row>
    <row r="108" spans="3:92 15058:15450" s="1" customFormat="1" hidden="1" x14ac:dyDescent="0.25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M108" s="55">
        <v>0</v>
      </c>
      <c r="BV108" s="141"/>
      <c r="BW108" s="142"/>
      <c r="BX108" s="142"/>
      <c r="BY108" s="142"/>
      <c r="BZ108" s="142"/>
      <c r="CA108" s="142"/>
      <c r="CB108" s="142"/>
      <c r="CC108" s="142"/>
      <c r="CD108" s="142"/>
      <c r="CE108" s="142"/>
      <c r="CN108" s="142"/>
    </row>
    <row r="109" spans="3:92 15058:15450" hidden="1" x14ac:dyDescent="0.25">
      <c r="C109" s="8"/>
      <c r="D109" s="47" t="s">
        <v>30</v>
      </c>
      <c r="E109" s="48"/>
      <c r="F109" s="49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3"/>
      <c r="AM109" s="79" t="s">
        <v>131</v>
      </c>
      <c r="BV109" s="141"/>
      <c r="BW109" s="141"/>
      <c r="BX109" s="141"/>
      <c r="BY109" s="141"/>
      <c r="BZ109" s="141"/>
      <c r="CA109" s="141"/>
      <c r="CB109" s="141"/>
      <c r="CC109" s="141"/>
      <c r="CD109" s="141"/>
      <c r="CE109" s="141"/>
    </row>
    <row r="110" spans="3:92 15058:15450" s="1" customFormat="1" hidden="1" x14ac:dyDescent="0.25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4" t="s">
        <v>29</v>
      </c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N110" s="142"/>
    </row>
    <row r="111" spans="3:92 15058:15450" s="1" customFormat="1" hidden="1" x14ac:dyDescent="0.25">
      <c r="C111" s="15"/>
      <c r="D111" s="14" t="s">
        <v>49</v>
      </c>
      <c r="E111" s="126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34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 t="e">
        <v>#DIV/0!</v>
      </c>
      <c r="AJ111" s="34" t="e">
        <v>#DIV/0!</v>
      </c>
      <c r="AK111" s="34" t="e">
        <v>#DIV/0!</v>
      </c>
      <c r="AM111" s="59" t="e">
        <v>#DIV/0!</v>
      </c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N111" s="142"/>
    </row>
    <row r="112" spans="3:92 15058:15450" s="1" customFormat="1" hidden="1" x14ac:dyDescent="0.25">
      <c r="C112" s="15"/>
      <c r="D112" s="14" t="s">
        <v>48</v>
      </c>
      <c r="E112" s="126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34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 t="e">
        <v>#DIV/0!</v>
      </c>
      <c r="AJ112" s="34" t="e">
        <v>#DIV/0!</v>
      </c>
      <c r="AK112" s="34" t="e">
        <v>#DIV/0!</v>
      </c>
      <c r="AM112" s="59" t="e">
        <v>#DIV/0!</v>
      </c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N112" s="142"/>
    </row>
    <row r="113" spans="3:92 15058:15450" s="1" customFormat="1" hidden="1" x14ac:dyDescent="0.25">
      <c r="C113" s="15"/>
      <c r="D113" s="30" t="s">
        <v>28</v>
      </c>
      <c r="E113" s="126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M113" s="64" t="s">
        <v>28</v>
      </c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N113" s="142"/>
    </row>
    <row r="114" spans="3:92 15058:15450" s="1" customFormat="1" hidden="1" x14ac:dyDescent="0.25">
      <c r="C114" s="15"/>
      <c r="D114" s="14" t="s">
        <v>49</v>
      </c>
      <c r="E114" s="126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34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 t="e">
        <v>#DIV/0!</v>
      </c>
      <c r="AJ114" s="34" t="e">
        <v>#DIV/0!</v>
      </c>
      <c r="AK114" s="34" t="e">
        <v>#DIV/0!</v>
      </c>
      <c r="AM114" s="59" t="e">
        <v>#DIV/0!</v>
      </c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N114" s="142"/>
    </row>
    <row r="115" spans="3:92 15058:15450" s="1" customFormat="1" ht="15.75" hidden="1" thickBot="1" x14ac:dyDescent="0.3">
      <c r="C115" s="19"/>
      <c r="D115" s="14" t="s">
        <v>48</v>
      </c>
      <c r="E115" s="126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34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 t="e">
        <v>#DIV/0!</v>
      </c>
      <c r="AJ115" s="34" t="e">
        <v>#DIV/0!</v>
      </c>
      <c r="AK115" s="34" t="e">
        <v>#DIV/0!</v>
      </c>
      <c r="AM115" s="59" t="e">
        <v>#DIV/0!</v>
      </c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N115" s="142"/>
    </row>
    <row r="116" spans="3:92 15058:15450" s="1" customFormat="1" hidden="1" x14ac:dyDescent="0.25">
      <c r="C116" s="8">
        <v>5</v>
      </c>
      <c r="D116" s="47" t="s">
        <v>47</v>
      </c>
      <c r="E116" s="48"/>
      <c r="F116" s="49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3"/>
      <c r="AM116" s="79" t="s">
        <v>130</v>
      </c>
      <c r="BV116" s="141"/>
      <c r="BW116" s="141"/>
      <c r="BX116" s="142"/>
      <c r="BY116" s="142"/>
      <c r="BZ116" s="141"/>
      <c r="CA116" s="142"/>
      <c r="CB116" s="141"/>
      <c r="CC116" s="141"/>
      <c r="CD116" s="141"/>
      <c r="CE116" s="141"/>
      <c r="CN116" s="141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  <c r="VTZ116" s="46"/>
      <c r="VUA116" s="46"/>
      <c r="VUB116" s="46"/>
      <c r="VUC116" s="46"/>
      <c r="VUD116" s="46"/>
      <c r="VUE116" s="46"/>
      <c r="VUF116" s="46"/>
      <c r="VUG116" s="46"/>
      <c r="VUH116" s="46"/>
      <c r="VUI116" s="46"/>
      <c r="VUJ116" s="46"/>
      <c r="VUK116" s="46"/>
      <c r="VUL116" s="46"/>
      <c r="VUM116" s="46"/>
      <c r="VUN116" s="46"/>
      <c r="VUO116" s="46"/>
      <c r="VUP116" s="46"/>
      <c r="VUQ116" s="46"/>
      <c r="VUR116" s="46"/>
      <c r="VUS116" s="46"/>
      <c r="VUT116" s="46"/>
      <c r="VUU116" s="46"/>
      <c r="VUV116" s="46"/>
      <c r="VUW116" s="46"/>
      <c r="VUX116" s="46"/>
      <c r="VUY116" s="46"/>
      <c r="VUZ116" s="46"/>
      <c r="VVA116" s="46"/>
      <c r="VVB116" s="46"/>
      <c r="VVC116" s="46"/>
      <c r="VVD116" s="46"/>
      <c r="VVE116" s="46"/>
      <c r="VVF116" s="46"/>
    </row>
    <row r="117" spans="3:92 15058:15450" s="1" customFormat="1" hidden="1" x14ac:dyDescent="0.25">
      <c r="C117" s="15"/>
      <c r="D117" s="28" t="s">
        <v>46</v>
      </c>
      <c r="E117" s="90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"/>
      <c r="AM117" s="89">
        <v>0</v>
      </c>
      <c r="BV117" s="141"/>
      <c r="BW117" s="142"/>
      <c r="BX117" s="142"/>
      <c r="BY117" s="142"/>
      <c r="BZ117" s="141"/>
      <c r="CA117" s="142"/>
      <c r="CB117" s="142"/>
      <c r="CC117" s="142"/>
      <c r="CD117" s="142"/>
      <c r="CE117" s="142"/>
      <c r="CN117" s="142"/>
    </row>
    <row r="118" spans="3:92 15058:15450" s="1" customFormat="1" hidden="1" x14ac:dyDescent="0.25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M118" s="59">
        <v>0</v>
      </c>
      <c r="BV118" s="150"/>
      <c r="BW118" s="146"/>
      <c r="BX118" s="146"/>
      <c r="BY118" s="146"/>
      <c r="BZ118" s="146"/>
      <c r="CA118" s="146"/>
      <c r="CB118" s="142"/>
      <c r="CC118" s="142"/>
      <c r="CD118" s="142"/>
      <c r="CE118" s="142"/>
      <c r="CN118" s="142"/>
    </row>
    <row r="119" spans="3:92 15058:15450" s="1" customFormat="1" hidden="1" x14ac:dyDescent="0.25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M119" s="59">
        <v>0</v>
      </c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N119" s="142"/>
    </row>
    <row r="120" spans="3:92 15058:15450" s="1" customFormat="1" hidden="1" x14ac:dyDescent="0.25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M120" s="59">
        <v>0</v>
      </c>
      <c r="CN120" s="142"/>
    </row>
    <row r="121" spans="3:92 15058:15450" s="1" customFormat="1" hidden="1" x14ac:dyDescent="0.25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M121" s="64" t="s">
        <v>29</v>
      </c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N121" s="142"/>
    </row>
    <row r="122" spans="3:92 15058:15450" s="16" customFormat="1" hidden="1" x14ac:dyDescent="0.25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91">
        <v>0</v>
      </c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N122" s="148"/>
    </row>
    <row r="123" spans="3:92 15058:15450" s="16" customFormat="1" hidden="1" x14ac:dyDescent="0.25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1">
        <v>0</v>
      </c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N123" s="148"/>
    </row>
    <row r="124" spans="3:92 15058:15450" s="1" customFormat="1" hidden="1" x14ac:dyDescent="0.25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28</v>
      </c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N124" s="142"/>
    </row>
    <row r="125" spans="3:92 15058:15450" s="1" customFormat="1" hidden="1" x14ac:dyDescent="0.25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>
        <v>0</v>
      </c>
      <c r="AJ125" s="33">
        <v>0</v>
      </c>
      <c r="AK125" s="33">
        <v>0</v>
      </c>
      <c r="AM125" s="55">
        <v>0</v>
      </c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N125" s="142"/>
    </row>
    <row r="126" spans="3:92 15058:15450" s="1" customFormat="1" hidden="1" x14ac:dyDescent="0.25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>
        <v>0</v>
      </c>
      <c r="AJ126" s="33">
        <v>0</v>
      </c>
      <c r="AK126" s="33">
        <v>0</v>
      </c>
      <c r="AM126" s="55">
        <v>0</v>
      </c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N126" s="142"/>
    </row>
    <row r="127" spans="3:92 15058:15450" s="1" customFormat="1" hidden="1" x14ac:dyDescent="0.25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>
        <v>0</v>
      </c>
      <c r="AJ127" s="33">
        <v>0</v>
      </c>
      <c r="AK127" s="33">
        <v>0</v>
      </c>
      <c r="AM127" s="55">
        <v>0</v>
      </c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N127" s="142"/>
    </row>
    <row r="128" spans="3:92 15058:15450" s="1" customFormat="1" hidden="1" x14ac:dyDescent="0.25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M128" s="55">
        <v>0</v>
      </c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N128" s="142"/>
    </row>
    <row r="129" spans="3:92 15058:15450" s="1" customFormat="1" hidden="1" x14ac:dyDescent="0.25">
      <c r="C129" s="8"/>
      <c r="D129" s="47" t="s">
        <v>32</v>
      </c>
      <c r="E129" s="48"/>
      <c r="F129" s="49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3"/>
      <c r="AM129" s="79" t="s">
        <v>131</v>
      </c>
      <c r="BV129" s="141"/>
      <c r="BW129" s="141"/>
      <c r="BX129" s="141"/>
      <c r="BY129" s="141"/>
      <c r="BZ129" s="141"/>
      <c r="CA129" s="141"/>
      <c r="CB129" s="141"/>
      <c r="CC129" s="141"/>
      <c r="CD129" s="141"/>
      <c r="CE129" s="141"/>
      <c r="CN129" s="141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  <c r="VTZ129" s="46"/>
      <c r="VUA129" s="46"/>
      <c r="VUB129" s="46"/>
      <c r="VUC129" s="46"/>
      <c r="VUD129" s="46"/>
      <c r="VUE129" s="46"/>
      <c r="VUF129" s="46"/>
      <c r="VUG129" s="46"/>
      <c r="VUH129" s="46"/>
      <c r="VUI129" s="46"/>
      <c r="VUJ129" s="46"/>
      <c r="VUK129" s="46"/>
      <c r="VUL129" s="46"/>
      <c r="VUM129" s="46"/>
      <c r="VUN129" s="46"/>
      <c r="VUO129" s="46"/>
      <c r="VUP129" s="46"/>
      <c r="VUQ129" s="46"/>
      <c r="VUR129" s="46"/>
      <c r="VUS129" s="46"/>
      <c r="VUT129" s="46"/>
      <c r="VUU129" s="46"/>
      <c r="VUV129" s="46"/>
      <c r="VUW129" s="46"/>
      <c r="VUX129" s="46"/>
      <c r="VUY129" s="46"/>
      <c r="VUZ129" s="46"/>
      <c r="VVA129" s="46"/>
      <c r="VVB129" s="46"/>
      <c r="VVC129" s="46"/>
      <c r="VVD129" s="46"/>
      <c r="VVE129" s="46"/>
      <c r="VVF129" s="46"/>
    </row>
    <row r="130" spans="3:92 15058:15450" s="1" customFormat="1" hidden="1" x14ac:dyDescent="0.25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64" t="s">
        <v>29</v>
      </c>
      <c r="CN130" s="142"/>
    </row>
    <row r="131" spans="3:92 15058:15450" s="1" customFormat="1" hidden="1" x14ac:dyDescent="0.25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5">
        <v>0</v>
      </c>
      <c r="CN131" s="142"/>
    </row>
    <row r="132" spans="3:92 15058:15450" s="1" customFormat="1" hidden="1" x14ac:dyDescent="0.25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5">
        <v>0</v>
      </c>
      <c r="CN132" s="142"/>
    </row>
    <row r="133" spans="3:92 15058:15450" s="1" customFormat="1" hidden="1" x14ac:dyDescent="0.25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64" t="s">
        <v>28</v>
      </c>
      <c r="CN133" s="142"/>
    </row>
    <row r="134" spans="3:92 15058:15450" s="1" customFormat="1" hidden="1" x14ac:dyDescent="0.25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M134" s="55">
        <v>0</v>
      </c>
      <c r="CN134" s="142"/>
    </row>
    <row r="135" spans="3:92 15058:15450" s="1" customFormat="1" hidden="1" x14ac:dyDescent="0.25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>
        <v>0</v>
      </c>
      <c r="AJ135" s="33">
        <v>0</v>
      </c>
      <c r="AK135" s="33">
        <v>0</v>
      </c>
      <c r="AM135" s="55">
        <v>0</v>
      </c>
      <c r="CN135" s="142"/>
    </row>
    <row r="136" spans="3:92 15058:15450" s="1" customFormat="1" hidden="1" x14ac:dyDescent="0.25">
      <c r="C136" s="8"/>
      <c r="D136" s="47" t="s">
        <v>30</v>
      </c>
      <c r="E136" s="48"/>
      <c r="F136" s="49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3"/>
      <c r="AM136" s="79" t="s">
        <v>131</v>
      </c>
      <c r="CN136" s="141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  <c r="VTZ136" s="46"/>
      <c r="VUA136" s="46"/>
      <c r="VUB136" s="46"/>
      <c r="VUC136" s="46"/>
      <c r="VUD136" s="46"/>
      <c r="VUE136" s="46"/>
      <c r="VUF136" s="46"/>
      <c r="VUG136" s="46"/>
      <c r="VUH136" s="46"/>
      <c r="VUI136" s="46"/>
      <c r="VUJ136" s="46"/>
      <c r="VUK136" s="46"/>
      <c r="VUL136" s="46"/>
      <c r="VUM136" s="46"/>
      <c r="VUN136" s="46"/>
      <c r="VUO136" s="46"/>
      <c r="VUP136" s="46"/>
      <c r="VUQ136" s="46"/>
      <c r="VUR136" s="46"/>
      <c r="VUS136" s="46"/>
      <c r="VUT136" s="46"/>
      <c r="VUU136" s="46"/>
      <c r="VUV136" s="46"/>
      <c r="VUW136" s="46"/>
      <c r="VUX136" s="46"/>
      <c r="VUY136" s="46"/>
      <c r="VUZ136" s="46"/>
      <c r="VVA136" s="46"/>
      <c r="VVB136" s="46"/>
      <c r="VVC136" s="46"/>
      <c r="VVD136" s="46"/>
      <c r="VVE136" s="46"/>
      <c r="VVF136" s="46"/>
    </row>
    <row r="137" spans="3:92 15058:15450" s="1" customFormat="1" hidden="1" x14ac:dyDescent="0.25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4" t="s">
        <v>29</v>
      </c>
      <c r="CN137" s="142"/>
    </row>
    <row r="138" spans="3:92 15058:15450" s="1" customFormat="1" hidden="1" x14ac:dyDescent="0.25">
      <c r="C138" s="15"/>
      <c r="D138" s="11" t="s">
        <v>45</v>
      </c>
      <c r="E138" s="126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34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 t="e">
        <v>#DIV/0!</v>
      </c>
      <c r="AJ138" s="34" t="e">
        <v>#DIV/0!</v>
      </c>
      <c r="AK138" s="34" t="e">
        <v>#DIV/0!</v>
      </c>
      <c r="AM138" s="59" t="e">
        <v>#DIV/0!</v>
      </c>
      <c r="CN138" s="142"/>
    </row>
    <row r="139" spans="3:92 15058:15450" s="1" customFormat="1" hidden="1" x14ac:dyDescent="0.25">
      <c r="C139" s="15"/>
      <c r="D139" s="11" t="s">
        <v>44</v>
      </c>
      <c r="E139" s="126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34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 t="e">
        <v>#DIV/0!</v>
      </c>
      <c r="AJ139" s="34" t="e">
        <v>#DIV/0!</v>
      </c>
      <c r="AK139" s="34" t="e">
        <v>#DIV/0!</v>
      </c>
      <c r="AM139" s="59" t="e">
        <v>#DIV/0!</v>
      </c>
      <c r="CN139" s="142"/>
    </row>
    <row r="140" spans="3:92 15058:15450" s="1" customFormat="1" hidden="1" x14ac:dyDescent="0.25">
      <c r="C140" s="15"/>
      <c r="D140" s="30" t="s">
        <v>28</v>
      </c>
      <c r="E140" s="126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M140" s="64" t="s">
        <v>28</v>
      </c>
      <c r="CN140" s="142"/>
    </row>
    <row r="141" spans="3:92 15058:15450" s="1" customFormat="1" hidden="1" x14ac:dyDescent="0.25">
      <c r="C141" s="15"/>
      <c r="D141" s="11" t="s">
        <v>45</v>
      </c>
      <c r="E141" s="126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34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 t="e">
        <v>#DIV/0!</v>
      </c>
      <c r="AJ141" s="34" t="e">
        <v>#DIV/0!</v>
      </c>
      <c r="AK141" s="34" t="e">
        <v>#DIV/0!</v>
      </c>
      <c r="AM141" s="59" t="e">
        <v>#DIV/0!</v>
      </c>
      <c r="CN141" s="142"/>
    </row>
    <row r="142" spans="3:92 15058:15450" s="1" customFormat="1" hidden="1" x14ac:dyDescent="0.25">
      <c r="C142" s="15"/>
      <c r="D142" s="11" t="s">
        <v>44</v>
      </c>
      <c r="E142" s="126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34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 t="e">
        <v>#DIV/0!</v>
      </c>
      <c r="AJ142" s="34" t="e">
        <v>#DIV/0!</v>
      </c>
      <c r="AK142" s="34" t="e">
        <v>#DIV/0!</v>
      </c>
      <c r="AM142" s="59" t="e">
        <v>#DIV/0!</v>
      </c>
      <c r="CN142" s="142"/>
    </row>
    <row r="143" spans="3:92 15058:15450" s="1" customFormat="1" hidden="1" x14ac:dyDescent="0.25">
      <c r="C143" s="15"/>
      <c r="D143" s="47" t="s">
        <v>43</v>
      </c>
      <c r="E143" s="127"/>
      <c r="F143" s="92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  <c r="AL143" s="18"/>
      <c r="AM143" s="79" t="s">
        <v>130</v>
      </c>
    </row>
    <row r="144" spans="3:92 15058:15450" s="1" customFormat="1" hidden="1" x14ac:dyDescent="0.25">
      <c r="C144" s="15"/>
      <c r="D144" s="28" t="s">
        <v>114</v>
      </c>
      <c r="E144" s="126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35"/>
      <c r="AM144" s="89">
        <v>0</v>
      </c>
    </row>
    <row r="145" spans="3:39" s="1" customFormat="1" hidden="1" x14ac:dyDescent="0.25">
      <c r="C145" s="15"/>
      <c r="D145" s="28" t="s">
        <v>115</v>
      </c>
      <c r="E145" s="126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93">
        <v>0</v>
      </c>
    </row>
    <row r="146" spans="3:39" s="1" customFormat="1" hidden="1" x14ac:dyDescent="0.25">
      <c r="C146" s="15"/>
      <c r="D146" s="30" t="s">
        <v>39</v>
      </c>
      <c r="E146" s="126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4">
        <v>0</v>
      </c>
      <c r="AK146" s="34">
        <v>0</v>
      </c>
      <c r="AL146" s="18"/>
      <c r="AM146" s="59">
        <v>0</v>
      </c>
    </row>
    <row r="147" spans="3:39" s="1" customFormat="1" hidden="1" x14ac:dyDescent="0.25">
      <c r="C147" s="15"/>
      <c r="D147" s="30" t="s">
        <v>38</v>
      </c>
      <c r="E147" s="126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18"/>
      <c r="AM147" s="59">
        <v>0</v>
      </c>
    </row>
    <row r="148" spans="3:39" s="1" customFormat="1" hidden="1" x14ac:dyDescent="0.25">
      <c r="C148" s="15"/>
      <c r="D148" s="30" t="s">
        <v>29</v>
      </c>
      <c r="E148" s="126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6"/>
      <c r="AM148" s="64" t="s">
        <v>29</v>
      </c>
    </row>
    <row r="149" spans="3:39" s="1" customFormat="1" hidden="1" x14ac:dyDescent="0.2">
      <c r="C149" s="15"/>
      <c r="D149" s="11" t="s">
        <v>42</v>
      </c>
      <c r="E149" s="126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7"/>
      <c r="AM149" s="91">
        <v>0</v>
      </c>
    </row>
    <row r="150" spans="3:39" s="1" customFormat="1" hidden="1" x14ac:dyDescent="0.2">
      <c r="C150" s="15"/>
      <c r="D150" s="11" t="s">
        <v>41</v>
      </c>
      <c r="E150" s="126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1">
        <v>0</v>
      </c>
    </row>
    <row r="151" spans="3:39" s="1" customFormat="1" hidden="1" x14ac:dyDescent="0.25">
      <c r="C151" s="15"/>
      <c r="D151" s="30" t="s">
        <v>28</v>
      </c>
      <c r="E151" s="126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6"/>
      <c r="AM151" s="64" t="s">
        <v>28</v>
      </c>
    </row>
    <row r="152" spans="3:39" s="1" customFormat="1" hidden="1" x14ac:dyDescent="0.25">
      <c r="C152" s="15"/>
      <c r="D152" s="11" t="s">
        <v>42</v>
      </c>
      <c r="E152" s="126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>
        <v>0</v>
      </c>
      <c r="AJ152" s="33">
        <v>0</v>
      </c>
      <c r="AK152" s="33">
        <v>0</v>
      </c>
      <c r="AL152" s="6"/>
      <c r="AM152" s="55">
        <v>0</v>
      </c>
    </row>
    <row r="153" spans="3:39" s="1" customFormat="1" hidden="1" x14ac:dyDescent="0.25">
      <c r="C153" s="15"/>
      <c r="D153" s="11" t="s">
        <v>41</v>
      </c>
      <c r="E153" s="126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>
        <v>0</v>
      </c>
      <c r="AJ153" s="33">
        <v>0</v>
      </c>
      <c r="AK153" s="33">
        <v>0</v>
      </c>
      <c r="AL153" s="6"/>
      <c r="AM153" s="55">
        <v>0</v>
      </c>
    </row>
    <row r="154" spans="3:39" s="1" customFormat="1" hidden="1" x14ac:dyDescent="0.25">
      <c r="C154" s="15"/>
      <c r="D154" s="30" t="s">
        <v>36</v>
      </c>
      <c r="E154" s="126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>
        <v>0</v>
      </c>
      <c r="AJ154" s="33">
        <v>0</v>
      </c>
      <c r="AK154" s="33">
        <v>0</v>
      </c>
      <c r="AL154" s="6"/>
      <c r="AM154" s="55">
        <v>0</v>
      </c>
    </row>
    <row r="155" spans="3:39" s="1" customFormat="1" hidden="1" x14ac:dyDescent="0.25">
      <c r="C155" s="15"/>
      <c r="D155" s="30" t="s">
        <v>34</v>
      </c>
      <c r="E155" s="126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>
        <v>0</v>
      </c>
      <c r="AJ155" s="33">
        <v>0</v>
      </c>
      <c r="AK155" s="33">
        <v>0</v>
      </c>
      <c r="AL155" s="6"/>
      <c r="AM155" s="55">
        <v>0</v>
      </c>
    </row>
    <row r="156" spans="3:39" s="1" customFormat="1" hidden="1" x14ac:dyDescent="0.25">
      <c r="C156" s="15"/>
      <c r="D156" s="47" t="s">
        <v>32</v>
      </c>
      <c r="E156" s="127"/>
      <c r="F156" s="49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18"/>
      <c r="AM156" s="79" t="s">
        <v>131</v>
      </c>
    </row>
    <row r="157" spans="3:39" s="1" customFormat="1" hidden="1" x14ac:dyDescent="0.25">
      <c r="C157" s="15"/>
      <c r="D157" s="30" t="s">
        <v>29</v>
      </c>
      <c r="E157" s="126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18"/>
      <c r="AM157" s="64" t="s">
        <v>29</v>
      </c>
    </row>
    <row r="158" spans="3:39" s="1" customFormat="1" hidden="1" x14ac:dyDescent="0.25">
      <c r="C158" s="15"/>
      <c r="D158" s="11" t="s">
        <v>42</v>
      </c>
      <c r="E158" s="126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>
        <v>0</v>
      </c>
    </row>
    <row r="159" spans="3:39" s="1" customFormat="1" hidden="1" x14ac:dyDescent="0.25">
      <c r="C159" s="15"/>
      <c r="D159" s="11" t="s">
        <v>41</v>
      </c>
      <c r="E159" s="126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5">
        <v>0</v>
      </c>
    </row>
    <row r="160" spans="3:39" s="1" customFormat="1" hidden="1" x14ac:dyDescent="0.25">
      <c r="C160" s="15"/>
      <c r="D160" s="30" t="s">
        <v>28</v>
      </c>
      <c r="E160" s="126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64" t="s">
        <v>28</v>
      </c>
    </row>
    <row r="161" spans="3:92 15058:15450" s="1" customFormat="1" hidden="1" x14ac:dyDescent="0.25">
      <c r="C161" s="15"/>
      <c r="D161" s="11" t="s">
        <v>42</v>
      </c>
      <c r="E161" s="126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33">
        <v>0</v>
      </c>
      <c r="AK161" s="33">
        <v>0</v>
      </c>
      <c r="AL161" s="18"/>
      <c r="AM161" s="55">
        <v>0</v>
      </c>
    </row>
    <row r="162" spans="3:92 15058:15450" s="1" customFormat="1" hidden="1" x14ac:dyDescent="0.25">
      <c r="C162" s="15"/>
      <c r="D162" s="11" t="s">
        <v>41</v>
      </c>
      <c r="E162" s="126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>
        <v>0</v>
      </c>
      <c r="AJ162" s="33">
        <v>0</v>
      </c>
      <c r="AK162" s="33">
        <v>0</v>
      </c>
      <c r="AL162" s="18"/>
      <c r="AM162" s="55">
        <v>0</v>
      </c>
    </row>
    <row r="163" spans="3:92 15058:15450" s="1" customFormat="1" hidden="1" x14ac:dyDescent="0.25">
      <c r="C163" s="15"/>
      <c r="D163" s="47" t="s">
        <v>30</v>
      </c>
      <c r="E163" s="127"/>
      <c r="F163" s="92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18"/>
      <c r="AM163" s="95"/>
    </row>
    <row r="164" spans="3:92 15058:15450" s="1" customFormat="1" hidden="1" x14ac:dyDescent="0.25">
      <c r="C164" s="15"/>
      <c r="D164" s="30" t="s">
        <v>29</v>
      </c>
      <c r="E164" s="126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55"/>
    </row>
    <row r="165" spans="3:92 15058:15450" s="1" customFormat="1" hidden="1" x14ac:dyDescent="0.25">
      <c r="C165" s="15"/>
      <c r="D165" s="11" t="s">
        <v>42</v>
      </c>
      <c r="E165" s="126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33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 t="e">
        <v>#DIV/0!</v>
      </c>
      <c r="AJ165" s="33" t="e">
        <v>#DIV/0!</v>
      </c>
      <c r="AK165" s="33" t="e">
        <v>#DIV/0!</v>
      </c>
      <c r="AL165" s="37"/>
      <c r="AM165" s="55" t="e">
        <v>#DIV/0!</v>
      </c>
    </row>
    <row r="166" spans="3:92 15058:15450" s="1" customFormat="1" hidden="1" x14ac:dyDescent="0.25">
      <c r="C166" s="15"/>
      <c r="D166" s="11" t="s">
        <v>91</v>
      </c>
      <c r="E166" s="126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33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 t="e">
        <v>#DIV/0!</v>
      </c>
      <c r="AJ166" s="33" t="e">
        <v>#DIV/0!</v>
      </c>
      <c r="AK166" s="33" t="e">
        <v>#DIV/0!</v>
      </c>
      <c r="AL166" s="37"/>
      <c r="AM166" s="55" t="e">
        <v>#DIV/0!</v>
      </c>
    </row>
    <row r="167" spans="3:92 15058:15450" s="1" customFormat="1" hidden="1" x14ac:dyDescent="0.25">
      <c r="C167" s="15"/>
      <c r="D167" s="30" t="s">
        <v>28</v>
      </c>
      <c r="E167" s="126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7"/>
      <c r="AM167" s="55"/>
    </row>
    <row r="168" spans="3:92 15058:15450" s="1" customFormat="1" hidden="1" x14ac:dyDescent="0.25">
      <c r="C168" s="15"/>
      <c r="D168" s="11" t="s">
        <v>42</v>
      </c>
      <c r="E168" s="126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33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 t="e">
        <v>#DIV/0!</v>
      </c>
      <c r="AJ168" s="33" t="e">
        <v>#DIV/0!</v>
      </c>
      <c r="AK168" s="33" t="e">
        <v>#DIV/0!</v>
      </c>
      <c r="AL168" s="37"/>
      <c r="AM168" s="55" t="e">
        <v>#DIV/0!</v>
      </c>
    </row>
    <row r="169" spans="3:92 15058:15450" s="1" customFormat="1" ht="15.75" hidden="1" thickBot="1" x14ac:dyDescent="0.3">
      <c r="C169" s="19"/>
      <c r="D169" s="11" t="s">
        <v>91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33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 t="e">
        <v>#DIV/0!</v>
      </c>
      <c r="AJ169" s="33" t="e">
        <v>#DIV/0!</v>
      </c>
      <c r="AK169" s="33" t="e">
        <v>#DIV/0!</v>
      </c>
      <c r="AL169" s="37"/>
      <c r="AM169" s="55" t="e">
        <v>#DIV/0!</v>
      </c>
    </row>
    <row r="170" spans="3:92 15058:15450" s="1" customFormat="1" hidden="1" x14ac:dyDescent="0.25">
      <c r="C170" s="8">
        <v>6</v>
      </c>
      <c r="D170" s="47" t="s">
        <v>40</v>
      </c>
      <c r="E170" s="48"/>
      <c r="F170" s="49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3"/>
      <c r="AM170" s="79" t="s">
        <v>130</v>
      </c>
      <c r="CN170" s="141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  <c r="VTZ170" s="46"/>
      <c r="VUA170" s="46"/>
      <c r="VUB170" s="46"/>
      <c r="VUC170" s="46"/>
      <c r="VUD170" s="46"/>
      <c r="VUE170" s="46"/>
      <c r="VUF170" s="46"/>
      <c r="VUG170" s="46"/>
      <c r="VUH170" s="46"/>
      <c r="VUI170" s="46"/>
      <c r="VUJ170" s="46"/>
      <c r="VUK170" s="46"/>
      <c r="VUL170" s="46"/>
      <c r="VUM170" s="46"/>
      <c r="VUN170" s="46"/>
      <c r="VUO170" s="46"/>
      <c r="VUP170" s="46"/>
      <c r="VUQ170" s="46"/>
      <c r="VUR170" s="46"/>
      <c r="VUS170" s="46"/>
      <c r="VUT170" s="46"/>
      <c r="VUU170" s="46"/>
      <c r="VUV170" s="46"/>
      <c r="VUW170" s="46"/>
      <c r="VUX170" s="46"/>
      <c r="VUY170" s="46"/>
      <c r="VUZ170" s="46"/>
      <c r="VVA170" s="46"/>
      <c r="VVB170" s="46"/>
      <c r="VVC170" s="46"/>
      <c r="VVD170" s="46"/>
      <c r="VVE170" s="46"/>
      <c r="VVF170" s="46"/>
    </row>
    <row r="171" spans="3:92 15058:15450" s="1" customFormat="1" hidden="1" x14ac:dyDescent="0.25">
      <c r="C171" s="15"/>
      <c r="D171" s="28" t="s">
        <v>115</v>
      </c>
      <c r="E171" s="90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2"/>
      <c r="AM171" s="89">
        <v>0</v>
      </c>
      <c r="CN171" s="142"/>
    </row>
    <row r="172" spans="3:92 15058:15450" s="1" customFormat="1" hidden="1" x14ac:dyDescent="0.25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J172" s="34">
        <v>0</v>
      </c>
      <c r="AK172" s="34">
        <v>0</v>
      </c>
      <c r="AM172" s="59">
        <v>0</v>
      </c>
      <c r="CN172" s="142"/>
    </row>
    <row r="173" spans="3:92 15058:15450" s="1" customFormat="1" hidden="1" x14ac:dyDescent="0.25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4">
        <v>0</v>
      </c>
      <c r="AK173" s="34">
        <v>0</v>
      </c>
      <c r="AM173" s="59">
        <v>0</v>
      </c>
      <c r="CN173" s="142"/>
    </row>
    <row r="174" spans="3:92 15058:15450" s="1" customFormat="1" hidden="1" x14ac:dyDescent="0.25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4" t="s">
        <v>29</v>
      </c>
      <c r="CN174" s="142"/>
    </row>
    <row r="175" spans="3:92 15058:15450" s="1" customFormat="1" hidden="1" x14ac:dyDescent="0.2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91">
        <v>0</v>
      </c>
      <c r="CN175" s="142"/>
    </row>
    <row r="176" spans="3:92 15058:15450" s="16" customFormat="1" hidden="1" x14ac:dyDescent="0.25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1">
        <v>0</v>
      </c>
      <c r="CN176" s="148"/>
    </row>
    <row r="177" spans="3:92 15058:15450" s="16" customFormat="1" hidden="1" x14ac:dyDescent="0.25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1">
        <v>0</v>
      </c>
      <c r="CN177" s="148"/>
    </row>
    <row r="178" spans="3:92 15058:15450" s="16" customFormat="1" hidden="1" x14ac:dyDescent="0.25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1">
        <v>0</v>
      </c>
      <c r="CN178" s="148"/>
    </row>
    <row r="179" spans="3:92 15058:15450" s="1" customFormat="1" hidden="1" x14ac:dyDescent="0.25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64" t="s">
        <v>28</v>
      </c>
      <c r="CN179" s="142"/>
    </row>
    <row r="180" spans="3:92 15058:15450" s="1" customFormat="1" hidden="1" x14ac:dyDescent="0.25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>
        <v>0</v>
      </c>
      <c r="AJ180" s="33">
        <v>0</v>
      </c>
      <c r="AK180" s="33">
        <v>0</v>
      </c>
      <c r="AM180" s="64"/>
      <c r="CN180" s="142"/>
    </row>
    <row r="181" spans="3:92 15058:15450" s="1" customFormat="1" hidden="1" x14ac:dyDescent="0.25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>
        <v>0</v>
      </c>
      <c r="AJ181" s="33">
        <v>0</v>
      </c>
      <c r="AK181" s="33">
        <v>0</v>
      </c>
      <c r="AM181" s="55">
        <v>0</v>
      </c>
      <c r="CN181" s="142"/>
    </row>
    <row r="182" spans="3:92 15058:15450" s="1" customFormat="1" hidden="1" x14ac:dyDescent="0.25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>
        <v>0</v>
      </c>
      <c r="AJ182" s="33">
        <v>0</v>
      </c>
      <c r="AK182" s="33">
        <v>0</v>
      </c>
      <c r="AM182" s="55">
        <v>0</v>
      </c>
      <c r="CN182" s="142"/>
    </row>
    <row r="183" spans="3:92 15058:15450" s="1" customFormat="1" hidden="1" x14ac:dyDescent="0.25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>
        <v>0</v>
      </c>
      <c r="AJ183" s="33">
        <v>0</v>
      </c>
      <c r="AK183" s="33">
        <v>0</v>
      </c>
      <c r="AM183" s="55">
        <v>0</v>
      </c>
      <c r="CN183" s="142"/>
    </row>
    <row r="184" spans="3:92 15058:15450" s="1" customFormat="1" hidden="1" x14ac:dyDescent="0.25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>
        <v>0</v>
      </c>
      <c r="AJ184" s="33">
        <v>0</v>
      </c>
      <c r="AK184" s="33">
        <v>0</v>
      </c>
      <c r="AM184" s="55">
        <v>0</v>
      </c>
      <c r="CN184" s="142"/>
    </row>
    <row r="185" spans="3:92 15058:15450" s="1" customFormat="1" hidden="1" x14ac:dyDescent="0.25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>
        <v>0</v>
      </c>
      <c r="AJ185" s="33">
        <v>0</v>
      </c>
      <c r="AK185" s="33">
        <v>0</v>
      </c>
      <c r="AM185" s="55">
        <v>0</v>
      </c>
      <c r="CN185" s="142"/>
    </row>
    <row r="186" spans="3:92 15058:15450" s="1" customFormat="1" hidden="1" x14ac:dyDescent="0.25">
      <c r="C186" s="8"/>
      <c r="D186" s="47" t="s">
        <v>32</v>
      </c>
      <c r="E186" s="48"/>
      <c r="F186" s="49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3"/>
      <c r="AM186" s="79" t="s">
        <v>131</v>
      </c>
      <c r="CN186" s="141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  <c r="VTZ186" s="46"/>
      <c r="VUA186" s="46"/>
      <c r="VUB186" s="46"/>
      <c r="VUC186" s="46"/>
      <c r="VUD186" s="46"/>
      <c r="VUE186" s="46"/>
      <c r="VUF186" s="46"/>
      <c r="VUG186" s="46"/>
      <c r="VUH186" s="46"/>
      <c r="VUI186" s="46"/>
      <c r="VUJ186" s="46"/>
      <c r="VUK186" s="46"/>
      <c r="VUL186" s="46"/>
      <c r="VUM186" s="46"/>
      <c r="VUN186" s="46"/>
      <c r="VUO186" s="46"/>
      <c r="VUP186" s="46"/>
      <c r="VUQ186" s="46"/>
      <c r="VUR186" s="46"/>
      <c r="VUS186" s="46"/>
      <c r="VUT186" s="46"/>
      <c r="VUU186" s="46"/>
      <c r="VUV186" s="46"/>
      <c r="VUW186" s="46"/>
      <c r="VUX186" s="46"/>
      <c r="VUY186" s="46"/>
      <c r="VUZ186" s="46"/>
      <c r="VVA186" s="46"/>
      <c r="VVB186" s="46"/>
      <c r="VVC186" s="46"/>
      <c r="VVD186" s="46"/>
      <c r="VVE186" s="46"/>
      <c r="VVF186" s="46"/>
    </row>
    <row r="187" spans="3:92 15058:15450" s="1" customFormat="1" hidden="1" x14ac:dyDescent="0.25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64" t="s">
        <v>29</v>
      </c>
      <c r="CN187" s="142"/>
    </row>
    <row r="188" spans="3:92 15058:15450" s="1" customFormat="1" hidden="1" x14ac:dyDescent="0.25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>
        <v>0</v>
      </c>
      <c r="AJ188" s="33">
        <v>0</v>
      </c>
      <c r="AK188" s="33">
        <v>0</v>
      </c>
      <c r="AM188" s="64"/>
      <c r="CN188" s="142"/>
    </row>
    <row r="189" spans="3:92 15058:15450" s="1" customFormat="1" hidden="1" x14ac:dyDescent="0.25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>
        <v>0</v>
      </c>
      <c r="AJ189" s="33">
        <v>0</v>
      </c>
      <c r="AK189" s="33">
        <v>0</v>
      </c>
      <c r="AM189" s="55">
        <v>0</v>
      </c>
      <c r="CN189" s="142"/>
    </row>
    <row r="190" spans="3:92 15058:15450" s="1" customFormat="1" hidden="1" x14ac:dyDescent="0.25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>
        <v>0</v>
      </c>
      <c r="AJ190" s="33">
        <v>0</v>
      </c>
      <c r="AK190" s="33">
        <v>0</v>
      </c>
      <c r="AM190" s="55">
        <v>0</v>
      </c>
      <c r="CN190" s="142"/>
    </row>
    <row r="191" spans="3:92 15058:15450" s="1" customFormat="1" hidden="1" x14ac:dyDescent="0.25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4" t="s">
        <v>28</v>
      </c>
      <c r="CN191" s="142"/>
    </row>
    <row r="192" spans="3:92 15058:15450" s="1" customFormat="1" hidden="1" x14ac:dyDescent="0.25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>
        <v>0</v>
      </c>
      <c r="AJ192" s="33">
        <v>0</v>
      </c>
      <c r="AK192" s="33">
        <v>0</v>
      </c>
      <c r="AM192" s="64"/>
      <c r="CN192" s="142"/>
    </row>
    <row r="193" spans="3:92 15058:15450" s="1" customFormat="1" hidden="1" x14ac:dyDescent="0.25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>
        <v>0</v>
      </c>
      <c r="AJ193" s="33">
        <v>0</v>
      </c>
      <c r="AK193" s="33">
        <v>0</v>
      </c>
      <c r="AM193" s="55">
        <v>0</v>
      </c>
      <c r="CN193" s="142"/>
    </row>
    <row r="194" spans="3:92 15058:15450" s="1" customFormat="1" hidden="1" x14ac:dyDescent="0.25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>
        <v>0</v>
      </c>
      <c r="AJ194" s="33">
        <v>0</v>
      </c>
      <c r="AK194" s="33">
        <v>0</v>
      </c>
      <c r="AM194" s="55">
        <v>0</v>
      </c>
      <c r="CN194" s="142"/>
    </row>
    <row r="195" spans="3:92 15058:15450" s="1" customFormat="1" hidden="1" x14ac:dyDescent="0.25">
      <c r="C195" s="8"/>
      <c r="D195" s="47" t="s">
        <v>30</v>
      </c>
      <c r="E195" s="48"/>
      <c r="F195" s="49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3"/>
      <c r="AM195" s="79" t="s">
        <v>131</v>
      </c>
      <c r="CN195" s="141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  <c r="VTZ195" s="46"/>
      <c r="VUA195" s="46"/>
      <c r="VUB195" s="46"/>
      <c r="VUC195" s="46"/>
      <c r="VUD195" s="46"/>
      <c r="VUE195" s="46"/>
      <c r="VUF195" s="46"/>
      <c r="VUG195" s="46"/>
      <c r="VUH195" s="46"/>
      <c r="VUI195" s="46"/>
      <c r="VUJ195" s="46"/>
      <c r="VUK195" s="46"/>
      <c r="VUL195" s="46"/>
      <c r="VUM195" s="46"/>
      <c r="VUN195" s="46"/>
      <c r="VUO195" s="46"/>
      <c r="VUP195" s="46"/>
      <c r="VUQ195" s="46"/>
      <c r="VUR195" s="46"/>
      <c r="VUS195" s="46"/>
      <c r="VUT195" s="46"/>
      <c r="VUU195" s="46"/>
      <c r="VUV195" s="46"/>
      <c r="VUW195" s="46"/>
      <c r="VUX195" s="46"/>
      <c r="VUY195" s="46"/>
      <c r="VUZ195" s="46"/>
      <c r="VVA195" s="46"/>
      <c r="VVB195" s="46"/>
      <c r="VVC195" s="46"/>
      <c r="VVD195" s="46"/>
      <c r="VVE195" s="46"/>
      <c r="VVF195" s="46"/>
    </row>
    <row r="196" spans="3:92 15058:15450" s="1" customFormat="1" hidden="1" x14ac:dyDescent="0.25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4" t="s">
        <v>29</v>
      </c>
      <c r="CN196" s="142"/>
    </row>
    <row r="197" spans="3:92 15058:15450" s="1" customFormat="1" hidden="1" x14ac:dyDescent="0.25">
      <c r="C197" s="15"/>
      <c r="D197" s="11" t="s">
        <v>116</v>
      </c>
      <c r="E197" s="126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34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 t="e">
        <v>#DIV/0!</v>
      </c>
      <c r="AJ197" s="34" t="e">
        <v>#DIV/0!</v>
      </c>
      <c r="AK197" s="34" t="e">
        <v>#DIV/0!</v>
      </c>
      <c r="AM197" s="64"/>
      <c r="CN197" s="142"/>
    </row>
    <row r="198" spans="3:92 15058:15450" s="1" customFormat="1" hidden="1" x14ac:dyDescent="0.25">
      <c r="C198" s="15"/>
      <c r="D198" s="11" t="s">
        <v>27</v>
      </c>
      <c r="E198" s="126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34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 t="e">
        <v>#DIV/0!</v>
      </c>
      <c r="AJ198" s="34" t="e">
        <v>#DIV/0!</v>
      </c>
      <c r="AK198" s="34" t="e">
        <v>#DIV/0!</v>
      </c>
      <c r="AM198" s="59" t="e">
        <v>#DIV/0!</v>
      </c>
      <c r="CN198" s="142"/>
    </row>
    <row r="199" spans="3:92 15058:15450" s="1" customFormat="1" hidden="1" x14ac:dyDescent="0.25">
      <c r="C199" s="15"/>
      <c r="D199" s="11" t="s">
        <v>26</v>
      </c>
      <c r="E199" s="126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34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 t="e">
        <v>#DIV/0!</v>
      </c>
      <c r="AJ199" s="34" t="e">
        <v>#DIV/0!</v>
      </c>
      <c r="AK199" s="34" t="e">
        <v>#DIV/0!</v>
      </c>
      <c r="AM199" s="59" t="e">
        <v>#DIV/0!</v>
      </c>
      <c r="CN199" s="142"/>
    </row>
    <row r="200" spans="3:92 15058:15450" s="1" customFormat="1" hidden="1" x14ac:dyDescent="0.25">
      <c r="C200" s="15"/>
      <c r="D200" s="30" t="s">
        <v>28</v>
      </c>
      <c r="E200" s="126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M200" s="64" t="s">
        <v>28</v>
      </c>
      <c r="CN200" s="142"/>
    </row>
    <row r="201" spans="3:92 15058:15450" s="1" customFormat="1" hidden="1" x14ac:dyDescent="0.25">
      <c r="C201" s="15"/>
      <c r="D201" s="11" t="s">
        <v>116</v>
      </c>
      <c r="E201" s="126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34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 t="e">
        <v>#DIV/0!</v>
      </c>
      <c r="AJ201" s="34" t="e">
        <v>#DIV/0!</v>
      </c>
      <c r="AK201" s="34" t="e">
        <v>#DIV/0!</v>
      </c>
      <c r="AM201" s="64"/>
      <c r="CN201" s="142"/>
    </row>
    <row r="202" spans="3:92 15058:15450" s="1" customFormat="1" hidden="1" x14ac:dyDescent="0.25">
      <c r="C202" s="15"/>
      <c r="D202" s="11" t="s">
        <v>27</v>
      </c>
      <c r="E202" s="126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34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 t="e">
        <v>#DIV/0!</v>
      </c>
      <c r="AJ202" s="34" t="e">
        <v>#DIV/0!</v>
      </c>
      <c r="AK202" s="34" t="e">
        <v>#DIV/0!</v>
      </c>
      <c r="AM202" s="59" t="e">
        <v>#DIV/0!</v>
      </c>
      <c r="CN202" s="142"/>
    </row>
    <row r="203" spans="3:92 15058:15450" s="1" customFormat="1" ht="15.75" hidden="1" thickBot="1" x14ac:dyDescent="0.3">
      <c r="C203" s="19"/>
      <c r="D203" s="11" t="s">
        <v>26</v>
      </c>
      <c r="E203" s="126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34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 t="e">
        <v>#DIV/0!</v>
      </c>
      <c r="AJ203" s="34" t="e">
        <v>#DIV/0!</v>
      </c>
      <c r="AK203" s="34" t="e">
        <v>#DIV/0!</v>
      </c>
      <c r="AM203" s="59" t="e">
        <v>#DIV/0!</v>
      </c>
      <c r="CN203" s="142"/>
    </row>
    <row r="204" spans="3:92 15058:15450" s="1" customFormat="1" hidden="1" x14ac:dyDescent="0.25">
      <c r="C204" s="8">
        <v>7</v>
      </c>
      <c r="D204" s="47" t="s">
        <v>87</v>
      </c>
      <c r="E204" s="127"/>
      <c r="F204" s="128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  <c r="AK204" s="286"/>
      <c r="AL204" s="129"/>
      <c r="AM204" s="79" t="s">
        <v>130</v>
      </c>
    </row>
    <row r="205" spans="3:92 15058:15450" s="1" customFormat="1" hidden="1" x14ac:dyDescent="0.25">
      <c r="C205" s="15"/>
      <c r="D205" s="26" t="s">
        <v>92</v>
      </c>
      <c r="E205" s="126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18"/>
      <c r="AM205" s="89">
        <v>0</v>
      </c>
    </row>
    <row r="206" spans="3:92 15058:15450" s="1" customFormat="1" hidden="1" x14ac:dyDescent="0.25">
      <c r="C206" s="15"/>
      <c r="D206" s="11" t="s">
        <v>93</v>
      </c>
      <c r="E206" s="126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89">
        <v>0</v>
      </c>
    </row>
    <row r="207" spans="3:92 15058:15450" s="1" customFormat="1" hidden="1" x14ac:dyDescent="0.25">
      <c r="C207" s="15"/>
      <c r="D207" s="11" t="s">
        <v>39</v>
      </c>
      <c r="E207" s="126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0</v>
      </c>
      <c r="AL207" s="18"/>
      <c r="AM207" s="89">
        <v>0</v>
      </c>
    </row>
    <row r="208" spans="3:92 15058:15450" s="1" customFormat="1" hidden="1" x14ac:dyDescent="0.25">
      <c r="C208" s="15"/>
      <c r="D208" s="11" t="s">
        <v>38</v>
      </c>
      <c r="E208" s="126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0</v>
      </c>
      <c r="AL208" s="18"/>
      <c r="AM208" s="89">
        <v>0</v>
      </c>
    </row>
    <row r="209" spans="3:39" s="1" customFormat="1" hidden="1" x14ac:dyDescent="0.25">
      <c r="C209" s="15"/>
      <c r="D209" s="30" t="s">
        <v>50</v>
      </c>
      <c r="E209" s="126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34">
        <v>0</v>
      </c>
      <c r="AK209" s="34">
        <v>0</v>
      </c>
      <c r="AL209" s="18"/>
      <c r="AM209" s="59">
        <v>0</v>
      </c>
    </row>
    <row r="210" spans="3:39" s="1" customFormat="1" hidden="1" x14ac:dyDescent="0.25">
      <c r="C210" s="15"/>
      <c r="D210" s="11" t="s">
        <v>29</v>
      </c>
      <c r="E210" s="126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59" t="s">
        <v>29</v>
      </c>
    </row>
    <row r="211" spans="3:39" s="1" customFormat="1" hidden="1" x14ac:dyDescent="0.25">
      <c r="C211" s="15"/>
      <c r="D211" s="11" t="s">
        <v>88</v>
      </c>
      <c r="E211" s="126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18"/>
      <c r="AM211" s="91">
        <v>0</v>
      </c>
    </row>
    <row r="212" spans="3:39" s="1" customFormat="1" hidden="1" x14ac:dyDescent="0.25">
      <c r="C212" s="15"/>
      <c r="D212" s="11" t="s">
        <v>117</v>
      </c>
      <c r="E212" s="126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1">
        <v>0</v>
      </c>
    </row>
    <row r="213" spans="3:39" s="1" customFormat="1" hidden="1" x14ac:dyDescent="0.25">
      <c r="C213" s="15"/>
      <c r="D213" s="38" t="s">
        <v>28</v>
      </c>
      <c r="E213" s="126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 t="s">
        <v>28</v>
      </c>
    </row>
    <row r="214" spans="3:39" s="1" customFormat="1" hidden="1" x14ac:dyDescent="0.25">
      <c r="C214" s="15"/>
      <c r="D214" s="11" t="s">
        <v>88</v>
      </c>
      <c r="E214" s="126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>
        <v>0</v>
      </c>
      <c r="AJ214" s="33">
        <v>0</v>
      </c>
      <c r="AK214" s="33">
        <v>0</v>
      </c>
      <c r="AL214" s="6"/>
      <c r="AM214" s="55">
        <v>0</v>
      </c>
    </row>
    <row r="215" spans="3:39" s="1" customFormat="1" hidden="1" x14ac:dyDescent="0.25">
      <c r="C215" s="15"/>
      <c r="D215" s="11" t="s">
        <v>117</v>
      </c>
      <c r="E215" s="126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>
        <v>0</v>
      </c>
      <c r="AJ215" s="33">
        <v>0</v>
      </c>
      <c r="AK215" s="33">
        <v>0</v>
      </c>
      <c r="AL215" s="6"/>
      <c r="AM215" s="55"/>
    </row>
    <row r="216" spans="3:39" s="1" customFormat="1" hidden="1" x14ac:dyDescent="0.25">
      <c r="C216" s="15"/>
      <c r="D216" s="11" t="s">
        <v>36</v>
      </c>
      <c r="E216" s="126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>
        <v>0</v>
      </c>
      <c r="AJ216" s="33">
        <v>0</v>
      </c>
      <c r="AK216" s="33">
        <v>0</v>
      </c>
      <c r="AL216" s="6"/>
      <c r="AM216" s="55">
        <v>0</v>
      </c>
    </row>
    <row r="217" spans="3:39" s="1" customFormat="1" hidden="1" x14ac:dyDescent="0.25">
      <c r="C217" s="15"/>
      <c r="D217" s="11" t="s">
        <v>34</v>
      </c>
      <c r="E217" s="126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33">
        <v>0</v>
      </c>
      <c r="AK217" s="33">
        <v>0</v>
      </c>
      <c r="AL217" s="6"/>
      <c r="AM217" s="96">
        <v>0</v>
      </c>
    </row>
    <row r="218" spans="3:39" s="1" customFormat="1" hidden="1" x14ac:dyDescent="0.25">
      <c r="C218" s="15"/>
      <c r="D218" s="47" t="s">
        <v>32</v>
      </c>
      <c r="E218" s="127"/>
      <c r="F218" s="92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97"/>
      <c r="AM218" s="98" t="s">
        <v>131</v>
      </c>
    </row>
    <row r="219" spans="3:39" s="1" customFormat="1" hidden="1" x14ac:dyDescent="0.25">
      <c r="C219" s="15"/>
      <c r="D219" s="11" t="s">
        <v>29</v>
      </c>
      <c r="E219" s="126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18"/>
      <c r="AM219" s="59"/>
    </row>
    <row r="220" spans="3:39" s="1" customFormat="1" hidden="1" x14ac:dyDescent="0.25">
      <c r="C220" s="15"/>
      <c r="D220" s="11" t="s">
        <v>88</v>
      </c>
      <c r="E220" s="126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1">
        <v>0</v>
      </c>
    </row>
    <row r="221" spans="3:39" s="1" customFormat="1" hidden="1" x14ac:dyDescent="0.25">
      <c r="C221" s="15"/>
      <c r="D221" s="11" t="s">
        <v>117</v>
      </c>
      <c r="E221" s="126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1">
        <v>0</v>
      </c>
    </row>
    <row r="222" spans="3:39" s="1" customFormat="1" hidden="1" x14ac:dyDescent="0.25">
      <c r="C222" s="15"/>
      <c r="D222" s="11" t="s">
        <v>28</v>
      </c>
      <c r="E222" s="126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18"/>
      <c r="AM222" s="59"/>
    </row>
    <row r="223" spans="3:39" s="1" customFormat="1" hidden="1" x14ac:dyDescent="0.25">
      <c r="C223" s="15"/>
      <c r="D223" s="11" t="s">
        <v>88</v>
      </c>
      <c r="E223" s="126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>
        <v>0</v>
      </c>
      <c r="AJ223" s="33">
        <v>0</v>
      </c>
      <c r="AK223" s="33">
        <v>0</v>
      </c>
      <c r="AL223" s="18"/>
      <c r="AM223" s="91">
        <v>0</v>
      </c>
    </row>
    <row r="224" spans="3:39" s="1" customFormat="1" hidden="1" x14ac:dyDescent="0.25">
      <c r="C224" s="15"/>
      <c r="D224" s="11" t="s">
        <v>117</v>
      </c>
      <c r="E224" s="126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>
        <v>0</v>
      </c>
      <c r="AJ224" s="33">
        <v>0</v>
      </c>
      <c r="AK224" s="33">
        <v>0</v>
      </c>
      <c r="AL224" s="18"/>
      <c r="AM224" s="91">
        <v>0</v>
      </c>
    </row>
    <row r="225" spans="3:92 15058:15450" s="1" customFormat="1" hidden="1" x14ac:dyDescent="0.25">
      <c r="C225" s="15"/>
      <c r="D225" s="47" t="s">
        <v>30</v>
      </c>
      <c r="E225" s="130"/>
      <c r="F225" s="99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  <c r="AJ225" s="272"/>
      <c r="AK225" s="272"/>
      <c r="AL225" s="18"/>
      <c r="AM225" s="79" t="s">
        <v>131</v>
      </c>
    </row>
    <row r="226" spans="3:92 15058:15450" s="1" customFormat="1" hidden="1" x14ac:dyDescent="0.25">
      <c r="C226" s="15"/>
      <c r="D226" s="30" t="s">
        <v>29</v>
      </c>
      <c r="E226" s="126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18"/>
      <c r="AM226" s="91"/>
    </row>
    <row r="227" spans="3:92 15058:15450" s="1" customFormat="1" hidden="1" x14ac:dyDescent="0.25">
      <c r="C227" s="15"/>
      <c r="D227" s="11" t="s">
        <v>88</v>
      </c>
      <c r="E227" s="126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33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 t="e">
        <v>#DIV/0!</v>
      </c>
      <c r="AJ227" s="33" t="e">
        <v>#DIV/0!</v>
      </c>
      <c r="AK227" s="33" t="e">
        <v>#DIV/0!</v>
      </c>
      <c r="AL227" s="18"/>
      <c r="AM227" s="100" t="e">
        <v>#DIV/0!</v>
      </c>
    </row>
    <row r="228" spans="3:92 15058:15450" s="1" customFormat="1" hidden="1" x14ac:dyDescent="0.25">
      <c r="C228" s="15"/>
      <c r="D228" s="11" t="s">
        <v>117</v>
      </c>
      <c r="E228" s="126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33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 t="e">
        <v>#DIV/0!</v>
      </c>
      <c r="AJ228" s="33" t="e">
        <v>#DIV/0!</v>
      </c>
      <c r="AK228" s="33" t="e">
        <v>#DIV/0!</v>
      </c>
      <c r="AL228" s="18"/>
      <c r="AM228" s="100" t="e">
        <v>#DIV/0!</v>
      </c>
    </row>
    <row r="229" spans="3:92 15058:15450" s="1" customFormat="1" hidden="1" x14ac:dyDescent="0.25">
      <c r="C229" s="15"/>
      <c r="D229" s="30" t="s">
        <v>28</v>
      </c>
      <c r="E229" s="126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18"/>
      <c r="AM229" s="91"/>
    </row>
    <row r="230" spans="3:92 15058:15450" s="1" customFormat="1" hidden="1" x14ac:dyDescent="0.25">
      <c r="C230" s="15"/>
      <c r="D230" s="11" t="s">
        <v>88</v>
      </c>
      <c r="E230" s="126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33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 t="e">
        <v>#DIV/0!</v>
      </c>
      <c r="AJ230" s="33" t="e">
        <v>#DIV/0!</v>
      </c>
      <c r="AK230" s="33" t="e">
        <v>#DIV/0!</v>
      </c>
      <c r="AL230" s="18"/>
      <c r="AM230" s="59" t="e">
        <v>#DIV/0!</v>
      </c>
    </row>
    <row r="231" spans="3:92 15058:15450" s="1" customFormat="1" hidden="1" x14ac:dyDescent="0.25">
      <c r="C231" s="15"/>
      <c r="D231" s="11" t="s">
        <v>117</v>
      </c>
      <c r="E231" s="126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33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 t="e">
        <v>#DIV/0!</v>
      </c>
      <c r="AJ231" s="33" t="e">
        <v>#DIV/0!</v>
      </c>
      <c r="AK231" s="33" t="e">
        <v>#DIV/0!</v>
      </c>
      <c r="AL231" s="18"/>
      <c r="AM231" s="59" t="e">
        <v>#DIV/0!</v>
      </c>
    </row>
    <row r="232" spans="3:92 15058:15450" s="1" customFormat="1" hidden="1" x14ac:dyDescent="0.25">
      <c r="C232" s="15"/>
      <c r="D232" s="101" t="s">
        <v>94</v>
      </c>
      <c r="E232" s="131"/>
      <c r="F232" s="102" t="s">
        <v>14</v>
      </c>
      <c r="G232" s="288">
        <v>0</v>
      </c>
      <c r="H232" s="288">
        <v>0</v>
      </c>
      <c r="I232" s="288">
        <v>0</v>
      </c>
      <c r="J232" s="288">
        <v>0</v>
      </c>
      <c r="K232" s="288">
        <v>0</v>
      </c>
      <c r="L232" s="288">
        <v>0</v>
      </c>
      <c r="M232" s="288">
        <v>0</v>
      </c>
      <c r="N232" s="288">
        <v>0</v>
      </c>
      <c r="O232" s="288">
        <v>0</v>
      </c>
      <c r="P232" s="288">
        <v>0</v>
      </c>
      <c r="Q232" s="288">
        <v>0</v>
      </c>
      <c r="R232" s="288">
        <v>0</v>
      </c>
      <c r="S232" s="288">
        <v>0</v>
      </c>
      <c r="T232" s="288">
        <v>0</v>
      </c>
      <c r="U232" s="288">
        <v>0</v>
      </c>
      <c r="V232" s="288">
        <v>0</v>
      </c>
      <c r="W232" s="288">
        <v>0</v>
      </c>
      <c r="X232" s="288">
        <v>0</v>
      </c>
      <c r="Y232" s="288">
        <v>0</v>
      </c>
      <c r="Z232" s="288">
        <v>0</v>
      </c>
      <c r="AA232" s="288">
        <v>0</v>
      </c>
      <c r="AB232" s="288">
        <v>0</v>
      </c>
      <c r="AC232" s="288">
        <v>0</v>
      </c>
      <c r="AD232" s="288">
        <v>0</v>
      </c>
      <c r="AE232" s="288">
        <v>0</v>
      </c>
      <c r="AF232" s="288">
        <v>0</v>
      </c>
      <c r="AG232" s="288">
        <v>0</v>
      </c>
      <c r="AH232" s="288">
        <v>0</v>
      </c>
      <c r="AI232" s="288">
        <v>0</v>
      </c>
      <c r="AJ232" s="288">
        <v>0</v>
      </c>
      <c r="AK232" s="288">
        <v>0</v>
      </c>
      <c r="AL232" s="132"/>
      <c r="AM232" s="103">
        <v>0</v>
      </c>
    </row>
    <row r="233" spans="3:92 15058:15450" s="1" customFormat="1" hidden="1" x14ac:dyDescent="0.25">
      <c r="C233" s="15"/>
      <c r="D233" s="72" t="s">
        <v>118</v>
      </c>
      <c r="E233" s="133"/>
      <c r="F233" s="66" t="s">
        <v>14</v>
      </c>
      <c r="G233" s="289">
        <v>0</v>
      </c>
      <c r="H233" s="289">
        <v>0</v>
      </c>
      <c r="I233" s="289">
        <v>0</v>
      </c>
      <c r="J233" s="289">
        <v>0</v>
      </c>
      <c r="K233" s="289">
        <v>0</v>
      </c>
      <c r="L233" s="289">
        <v>0</v>
      </c>
      <c r="M233" s="289">
        <v>0</v>
      </c>
      <c r="N233" s="289">
        <v>0</v>
      </c>
      <c r="O233" s="289">
        <v>0</v>
      </c>
      <c r="P233" s="289">
        <v>0</v>
      </c>
      <c r="Q233" s="289">
        <v>0</v>
      </c>
      <c r="R233" s="289">
        <v>0</v>
      </c>
      <c r="S233" s="289">
        <v>0</v>
      </c>
      <c r="T233" s="289">
        <v>0</v>
      </c>
      <c r="U233" s="289">
        <v>0</v>
      </c>
      <c r="V233" s="289">
        <v>0</v>
      </c>
      <c r="W233" s="289">
        <v>0</v>
      </c>
      <c r="X233" s="289">
        <v>0</v>
      </c>
      <c r="Y233" s="289">
        <v>0</v>
      </c>
      <c r="Z233" s="289">
        <v>0</v>
      </c>
      <c r="AA233" s="289">
        <v>0</v>
      </c>
      <c r="AB233" s="289">
        <v>0</v>
      </c>
      <c r="AC233" s="289">
        <v>0</v>
      </c>
      <c r="AD233" s="289">
        <v>0</v>
      </c>
      <c r="AE233" s="289">
        <v>0</v>
      </c>
      <c r="AF233" s="289">
        <v>0</v>
      </c>
      <c r="AG233" s="289">
        <v>0</v>
      </c>
      <c r="AH233" s="289">
        <v>0</v>
      </c>
      <c r="AI233" s="289">
        <v>0</v>
      </c>
      <c r="AJ233" s="289">
        <v>0</v>
      </c>
      <c r="AK233" s="289">
        <v>0</v>
      </c>
      <c r="AL233" s="132"/>
      <c r="AM233" s="58">
        <v>0</v>
      </c>
    </row>
    <row r="234" spans="3:92 15058:15450" s="1" customFormat="1" hidden="1" x14ac:dyDescent="0.25">
      <c r="C234" s="15"/>
      <c r="D234" s="104" t="s">
        <v>89</v>
      </c>
      <c r="E234" s="134"/>
      <c r="F234" s="105" t="s">
        <v>14</v>
      </c>
      <c r="G234" s="290">
        <v>0</v>
      </c>
      <c r="H234" s="290">
        <v>0</v>
      </c>
      <c r="I234" s="290">
        <v>0</v>
      </c>
      <c r="J234" s="290">
        <v>0</v>
      </c>
      <c r="K234" s="290">
        <v>0</v>
      </c>
      <c r="L234" s="290">
        <v>0</v>
      </c>
      <c r="M234" s="290">
        <v>0</v>
      </c>
      <c r="N234" s="290">
        <v>0</v>
      </c>
      <c r="O234" s="290">
        <v>0</v>
      </c>
      <c r="P234" s="290">
        <v>0</v>
      </c>
      <c r="Q234" s="290">
        <v>0</v>
      </c>
      <c r="R234" s="290">
        <v>0</v>
      </c>
      <c r="S234" s="290">
        <v>0</v>
      </c>
      <c r="T234" s="290">
        <v>0</v>
      </c>
      <c r="U234" s="290">
        <v>0</v>
      </c>
      <c r="V234" s="290">
        <v>0</v>
      </c>
      <c r="W234" s="290">
        <v>0</v>
      </c>
      <c r="X234" s="290">
        <v>0</v>
      </c>
      <c r="Y234" s="290">
        <v>0</v>
      </c>
      <c r="Z234" s="290">
        <v>0</v>
      </c>
      <c r="AA234" s="290">
        <v>0</v>
      </c>
      <c r="AB234" s="290">
        <v>0</v>
      </c>
      <c r="AC234" s="290">
        <v>0</v>
      </c>
      <c r="AD234" s="290">
        <v>0</v>
      </c>
      <c r="AE234" s="290">
        <v>0</v>
      </c>
      <c r="AF234" s="290">
        <v>0</v>
      </c>
      <c r="AG234" s="290">
        <v>0</v>
      </c>
      <c r="AH234" s="290">
        <v>0</v>
      </c>
      <c r="AI234" s="290">
        <v>0</v>
      </c>
      <c r="AJ234" s="290">
        <v>0</v>
      </c>
      <c r="AK234" s="290">
        <v>0</v>
      </c>
      <c r="AL234" s="132"/>
      <c r="AM234" s="106">
        <v>0</v>
      </c>
    </row>
    <row r="235" spans="3:92 15058:15450" s="1" customFormat="1" hidden="1" x14ac:dyDescent="0.25">
      <c r="C235" s="15"/>
      <c r="D235" s="107" t="s">
        <v>90</v>
      </c>
      <c r="E235" s="135"/>
      <c r="F235" s="108" t="s">
        <v>86</v>
      </c>
      <c r="G235" s="291">
        <v>0</v>
      </c>
      <c r="H235" s="291">
        <v>0</v>
      </c>
      <c r="I235" s="291">
        <v>0</v>
      </c>
      <c r="J235" s="291">
        <v>0</v>
      </c>
      <c r="K235" s="291">
        <v>0</v>
      </c>
      <c r="L235" s="291">
        <v>0</v>
      </c>
      <c r="M235" s="291">
        <v>0</v>
      </c>
      <c r="N235" s="291">
        <v>0</v>
      </c>
      <c r="O235" s="291">
        <v>0</v>
      </c>
      <c r="P235" s="291">
        <v>0</v>
      </c>
      <c r="Q235" s="291">
        <v>0</v>
      </c>
      <c r="R235" s="291">
        <v>0</v>
      </c>
      <c r="S235" s="291">
        <v>0</v>
      </c>
      <c r="T235" s="291">
        <v>0</v>
      </c>
      <c r="U235" s="291">
        <v>0</v>
      </c>
      <c r="V235" s="291">
        <v>0</v>
      </c>
      <c r="W235" s="291">
        <v>0</v>
      </c>
      <c r="X235" s="291">
        <v>0</v>
      </c>
      <c r="Y235" s="291">
        <v>0</v>
      </c>
      <c r="Z235" s="291">
        <v>0</v>
      </c>
      <c r="AA235" s="291">
        <v>0</v>
      </c>
      <c r="AB235" s="291">
        <v>0</v>
      </c>
      <c r="AC235" s="291">
        <v>0</v>
      </c>
      <c r="AD235" s="291">
        <v>0</v>
      </c>
      <c r="AE235" s="291">
        <v>0</v>
      </c>
      <c r="AF235" s="291">
        <v>0</v>
      </c>
      <c r="AG235" s="291">
        <v>0</v>
      </c>
      <c r="AH235" s="291">
        <v>0</v>
      </c>
      <c r="AI235" s="291">
        <v>0</v>
      </c>
      <c r="AJ235" s="291">
        <v>0</v>
      </c>
      <c r="AK235" s="291">
        <v>0</v>
      </c>
      <c r="AL235" s="132"/>
      <c r="AM235" s="109">
        <v>0</v>
      </c>
    </row>
    <row r="236" spans="3:92 15058:15450" s="1" customFormat="1" hidden="1" x14ac:dyDescent="0.25">
      <c r="C236" s="15"/>
      <c r="D236" s="110" t="s">
        <v>95</v>
      </c>
      <c r="E236" s="135"/>
      <c r="F236" s="111" t="s">
        <v>14</v>
      </c>
      <c r="G236" s="292">
        <v>0</v>
      </c>
      <c r="H236" s="292">
        <v>0</v>
      </c>
      <c r="I236" s="292">
        <v>0</v>
      </c>
      <c r="J236" s="292">
        <v>0</v>
      </c>
      <c r="K236" s="292">
        <v>0</v>
      </c>
      <c r="L236" s="292">
        <v>0</v>
      </c>
      <c r="M236" s="292">
        <v>0</v>
      </c>
      <c r="N236" s="292">
        <v>0</v>
      </c>
      <c r="O236" s="292">
        <v>0</v>
      </c>
      <c r="P236" s="292">
        <v>0</v>
      </c>
      <c r="Q236" s="292">
        <v>0</v>
      </c>
      <c r="R236" s="292">
        <v>0</v>
      </c>
      <c r="S236" s="292">
        <v>0</v>
      </c>
      <c r="T236" s="292">
        <v>0</v>
      </c>
      <c r="U236" s="292">
        <v>0</v>
      </c>
      <c r="V236" s="292">
        <v>0</v>
      </c>
      <c r="W236" s="292">
        <v>0</v>
      </c>
      <c r="X236" s="292">
        <v>0</v>
      </c>
      <c r="Y236" s="292">
        <v>0</v>
      </c>
      <c r="Z236" s="292">
        <v>0</v>
      </c>
      <c r="AA236" s="292">
        <v>0</v>
      </c>
      <c r="AB236" s="292">
        <v>0</v>
      </c>
      <c r="AC236" s="292">
        <v>0</v>
      </c>
      <c r="AD236" s="292">
        <v>0</v>
      </c>
      <c r="AE236" s="292">
        <v>0</v>
      </c>
      <c r="AF236" s="292">
        <v>0</v>
      </c>
      <c r="AG236" s="292">
        <v>0</v>
      </c>
      <c r="AH236" s="292">
        <v>0</v>
      </c>
      <c r="AI236" s="292">
        <v>0</v>
      </c>
      <c r="AJ236" s="292">
        <v>0</v>
      </c>
      <c r="AK236" s="292">
        <v>0</v>
      </c>
      <c r="AL236" s="113"/>
      <c r="AM236" s="114">
        <v>0</v>
      </c>
    </row>
    <row r="237" spans="3:92 15058:15450" s="1" customFormat="1" x14ac:dyDescent="0.25">
      <c r="C237" s="8">
        <v>4</v>
      </c>
      <c r="D237" s="76" t="s">
        <v>24</v>
      </c>
      <c r="E237" s="48"/>
      <c r="F237" s="78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M237" s="81" t="s">
        <v>132</v>
      </c>
      <c r="CN237" s="141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  <c r="VUB237" s="46"/>
      <c r="VUC237" s="46"/>
      <c r="VUD237" s="46"/>
      <c r="VUE237" s="46"/>
      <c r="VUF237" s="46"/>
      <c r="VUG237" s="46"/>
      <c r="VUH237" s="46"/>
      <c r="VUI237" s="46"/>
      <c r="VUJ237" s="46"/>
      <c r="VUK237" s="46"/>
      <c r="VUL237" s="46"/>
      <c r="VUM237" s="46"/>
      <c r="VUN237" s="46"/>
      <c r="VUO237" s="46"/>
      <c r="VUP237" s="46"/>
      <c r="VUQ237" s="46"/>
      <c r="VUR237" s="46"/>
      <c r="VUS237" s="46"/>
      <c r="VUT237" s="46"/>
      <c r="VUU237" s="46"/>
      <c r="VUV237" s="46"/>
      <c r="VUW237" s="46"/>
      <c r="VUX237" s="46"/>
      <c r="VUY237" s="46"/>
      <c r="VUZ237" s="46"/>
      <c r="VVA237" s="46"/>
      <c r="VVB237" s="46"/>
      <c r="VVC237" s="46"/>
      <c r="VVD237" s="46"/>
      <c r="VVE237" s="46"/>
      <c r="VVF237" s="46"/>
    </row>
    <row r="238" spans="3:92 15058:15450" s="63" customFormat="1" x14ac:dyDescent="0.25">
      <c r="C238" s="69"/>
      <c r="D238" s="235" t="s">
        <v>22</v>
      </c>
      <c r="E238" s="260">
        <v>1460.001</v>
      </c>
      <c r="F238" s="236" t="s">
        <v>19</v>
      </c>
      <c r="G238" s="293"/>
      <c r="H238" s="293">
        <v>0.79700000000000004</v>
      </c>
      <c r="I238" s="293">
        <v>685.83439999999996</v>
      </c>
      <c r="J238" s="293">
        <v>842.23929999999996</v>
      </c>
      <c r="K238" s="293">
        <v>768.16110000000003</v>
      </c>
      <c r="L238" s="293">
        <v>641.06420000000003</v>
      </c>
      <c r="M238" s="293">
        <v>859.52560000000005</v>
      </c>
      <c r="N238" s="293">
        <v>1029.2324000000001</v>
      </c>
      <c r="O238" s="293">
        <v>1115.7265</v>
      </c>
      <c r="P238" s="293">
        <v>959.67250000000001</v>
      </c>
      <c r="Q238" s="293">
        <v>873.35140000000001</v>
      </c>
      <c r="R238" s="293">
        <v>910.31669999999997</v>
      </c>
      <c r="S238" s="293">
        <v>1236.1327000000001</v>
      </c>
      <c r="T238" s="293">
        <v>1156.2385999999999</v>
      </c>
      <c r="U238" s="293">
        <v>1247.3796</v>
      </c>
      <c r="V238" s="293">
        <v>1043.8414</v>
      </c>
      <c r="W238" s="293">
        <v>1148.9042999999999</v>
      </c>
      <c r="X238" s="293">
        <v>1250.4770000000001</v>
      </c>
      <c r="Y238" s="293">
        <v>1126.163</v>
      </c>
      <c r="Z238" s="293">
        <v>1070.1310000000001</v>
      </c>
      <c r="AA238" s="293">
        <v>908.98239999999998</v>
      </c>
      <c r="AB238" s="293">
        <v>1174.4838</v>
      </c>
      <c r="AC238" s="293">
        <v>1205.1803</v>
      </c>
      <c r="AD238" s="293">
        <v>1199.7581</v>
      </c>
      <c r="AE238" s="293">
        <v>1034.2299</v>
      </c>
      <c r="AF238" s="293">
        <v>789.66</v>
      </c>
      <c r="AG238" s="293">
        <v>541.88869999999997</v>
      </c>
      <c r="AH238" s="293">
        <v>539.39700000000005</v>
      </c>
      <c r="AI238" s="293">
        <v>431.3</v>
      </c>
      <c r="AJ238" s="293"/>
      <c r="AK238" s="293"/>
      <c r="AM238" s="115">
        <f>SUM(G238:AK238)</f>
        <v>25790.068899999998</v>
      </c>
      <c r="AQ238" s="1"/>
      <c r="CN238" s="143"/>
    </row>
    <row r="239" spans="3:92 15058:15450" s="63" customFormat="1" x14ac:dyDescent="0.25">
      <c r="C239" s="69"/>
      <c r="D239" s="235"/>
      <c r="E239" s="260"/>
      <c r="F239" s="236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93"/>
      <c r="AB239" s="293"/>
      <c r="AC239" s="293"/>
      <c r="AD239" s="293"/>
      <c r="AE239" s="293"/>
      <c r="AF239" s="293"/>
      <c r="AG239" s="293"/>
      <c r="AH239" s="293"/>
      <c r="AI239" s="293"/>
      <c r="AJ239" s="293"/>
      <c r="AK239" s="293"/>
      <c r="AM239" s="55">
        <f>AM238/AM6</f>
        <v>1121.3073434782607</v>
      </c>
      <c r="CN239" s="143"/>
    </row>
    <row r="240" spans="3:92 15058:15450" s="1" customFormat="1" x14ac:dyDescent="0.25">
      <c r="C240" s="8"/>
      <c r="D240" s="235" t="s">
        <v>23</v>
      </c>
      <c r="E240" s="254"/>
      <c r="F240" s="236" t="s">
        <v>19</v>
      </c>
      <c r="G240" s="293"/>
      <c r="H240" s="293"/>
      <c r="I240" s="293"/>
      <c r="J240" s="293">
        <v>750.7826</v>
      </c>
      <c r="K240" s="293">
        <v>871.30870000000004</v>
      </c>
      <c r="L240" s="293">
        <v>779.06020000000001</v>
      </c>
      <c r="M240" s="293">
        <v>669.55470000000003</v>
      </c>
      <c r="N240" s="293">
        <v>885.45870000000002</v>
      </c>
      <c r="O240" s="293">
        <v>1057.2057</v>
      </c>
      <c r="P240" s="293">
        <v>1145.8305</v>
      </c>
      <c r="Q240" s="293">
        <v>963.98770000000002</v>
      </c>
      <c r="R240" s="293">
        <v>892.15189999999996</v>
      </c>
      <c r="S240" s="293">
        <v>949.19</v>
      </c>
      <c r="T240" s="293">
        <v>1271.8818000000001</v>
      </c>
      <c r="U240" s="293">
        <v>1191.1219000000001</v>
      </c>
      <c r="V240" s="293">
        <v>1284.1152999999999</v>
      </c>
      <c r="W240" s="293">
        <v>1083.4767999999999</v>
      </c>
      <c r="X240" s="293">
        <v>1193.9069</v>
      </c>
      <c r="Y240" s="293">
        <v>1285.5639000000001</v>
      </c>
      <c r="Z240" s="293">
        <v>1149.3269</v>
      </c>
      <c r="AA240" s="293">
        <v>892.56740000000002</v>
      </c>
      <c r="AB240" s="293">
        <v>936.80309999999997</v>
      </c>
      <c r="AC240" s="293">
        <v>1218.0144</v>
      </c>
      <c r="AD240" s="293">
        <v>1239.5127</v>
      </c>
      <c r="AE240" s="293">
        <v>1226.0852</v>
      </c>
      <c r="AF240" s="293">
        <v>1069.5177000000001</v>
      </c>
      <c r="AG240" s="293">
        <v>795.99540000000002</v>
      </c>
      <c r="AH240" s="293">
        <v>557.75829999999996</v>
      </c>
      <c r="AI240" s="293">
        <v>553.63</v>
      </c>
      <c r="AJ240" s="293"/>
      <c r="AK240" s="293"/>
      <c r="AM240" s="115">
        <f>SUM(G240:AK240)</f>
        <v>25913.808400000002</v>
      </c>
      <c r="CN240" s="142"/>
    </row>
    <row r="241" spans="3:92 15058:15450" s="1" customFormat="1" x14ac:dyDescent="0.25">
      <c r="C241" s="15"/>
      <c r="D241" s="28" t="s">
        <v>11</v>
      </c>
      <c r="E241" s="254"/>
      <c r="F241" s="13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M241" s="116" t="s">
        <v>11</v>
      </c>
      <c r="CN241" s="141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  <c r="VUB241" s="46"/>
      <c r="VUC241" s="46"/>
      <c r="VUD241" s="46"/>
      <c r="VUE241" s="46"/>
      <c r="VUF241" s="46"/>
      <c r="VUG241" s="46"/>
      <c r="VUH241" s="46"/>
      <c r="VUI241" s="46"/>
      <c r="VUJ241" s="46"/>
      <c r="VUK241" s="46"/>
      <c r="VUL241" s="46"/>
      <c r="VUM241" s="46"/>
      <c r="VUN241" s="46"/>
      <c r="VUO241" s="46"/>
      <c r="VUP241" s="46"/>
      <c r="VUQ241" s="46"/>
      <c r="VUR241" s="46"/>
      <c r="VUS241" s="46"/>
      <c r="VUT241" s="46"/>
      <c r="VUU241" s="46"/>
      <c r="VUV241" s="46"/>
      <c r="VUW241" s="46"/>
      <c r="VUX241" s="46"/>
      <c r="VUY241" s="46"/>
      <c r="VUZ241" s="46"/>
      <c r="VVA241" s="46"/>
      <c r="VVB241" s="46"/>
      <c r="VVC241" s="46"/>
      <c r="VVD241" s="46"/>
      <c r="VVE241" s="46"/>
      <c r="VVF241" s="46"/>
    </row>
    <row r="242" spans="3:92 15058:15450" s="1" customFormat="1" x14ac:dyDescent="0.25">
      <c r="C242" s="15"/>
      <c r="D242" s="235" t="s">
        <v>21</v>
      </c>
      <c r="E242" s="252">
        <f>298</f>
        <v>298</v>
      </c>
      <c r="F242" s="236" t="s">
        <v>19</v>
      </c>
      <c r="G242" s="294"/>
      <c r="H242" s="294"/>
      <c r="I242" s="2012">
        <v>159.69</v>
      </c>
      <c r="J242" s="2012">
        <v>788.24</v>
      </c>
      <c r="K242" s="294">
        <f>'Convert Gas'!J12</f>
        <v>0.61777072945348233</v>
      </c>
      <c r="L242" s="2012">
        <v>1356.95</v>
      </c>
      <c r="M242" s="2012">
        <v>4051.52</v>
      </c>
      <c r="N242" s="294">
        <f>'Convert Gas'!J15</f>
        <v>1084.2986268758057</v>
      </c>
      <c r="O242" s="275">
        <v>5220.53</v>
      </c>
      <c r="P242" s="275">
        <v>2188</v>
      </c>
      <c r="Q242" s="275">
        <v>1796.49</v>
      </c>
      <c r="R242" s="294">
        <v>903.63573984634331</v>
      </c>
      <c r="S242" s="2013">
        <v>6932.28</v>
      </c>
      <c r="T242" s="294">
        <v>1180.3051148263735</v>
      </c>
      <c r="U242" s="294">
        <v>830.44670980850174</v>
      </c>
      <c r="V242" s="275">
        <v>3652.71</v>
      </c>
      <c r="W242" s="275">
        <v>6388.24</v>
      </c>
      <c r="X242" s="275">
        <v>7607.66</v>
      </c>
      <c r="Y242" s="275">
        <v>6514.97</v>
      </c>
      <c r="Z242" s="275">
        <v>4942.41</v>
      </c>
      <c r="AA242" s="275">
        <v>3073.52</v>
      </c>
      <c r="AB242" s="275">
        <f>5191.67</f>
        <v>5191.67</v>
      </c>
      <c r="AC242" s="275">
        <f>5608.38</f>
        <v>5608.38</v>
      </c>
      <c r="AD242" s="275">
        <v>4001.77</v>
      </c>
      <c r="AE242" s="275">
        <v>3011.69</v>
      </c>
      <c r="AF242" s="294"/>
      <c r="AG242" s="294"/>
      <c r="AH242" s="294"/>
      <c r="AI242" s="294"/>
      <c r="AJ242" s="294"/>
      <c r="AK242" s="294"/>
      <c r="AM242" s="115">
        <f>SUM(G242:AJ242)</f>
        <v>76486.023962086474</v>
      </c>
      <c r="CM242" s="39"/>
      <c r="CN242" s="141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  <c r="VUB242" s="46"/>
      <c r="VUC242" s="46"/>
      <c r="VUD242" s="46"/>
      <c r="VUE242" s="46"/>
      <c r="VUF242" s="46"/>
      <c r="VUG242" s="46"/>
      <c r="VUH242" s="46"/>
      <c r="VUI242" s="46"/>
      <c r="VUJ242" s="46"/>
      <c r="VUK242" s="46"/>
      <c r="VUL242" s="46"/>
      <c r="VUM242" s="46"/>
      <c r="VUN242" s="46"/>
      <c r="VUO242" s="46"/>
      <c r="VUP242" s="46"/>
      <c r="VUQ242" s="46"/>
      <c r="VUR242" s="46"/>
      <c r="VUS242" s="46"/>
      <c r="VUT242" s="46"/>
      <c r="VUU242" s="46"/>
      <c r="VUV242" s="46"/>
      <c r="VUW242" s="46"/>
      <c r="VUX242" s="46"/>
      <c r="VUY242" s="46"/>
      <c r="VUZ242" s="46"/>
      <c r="VVA242" s="46"/>
      <c r="VVB242" s="46"/>
      <c r="VVC242" s="46"/>
      <c r="VVD242" s="46"/>
      <c r="VVE242" s="46"/>
      <c r="VVF242" s="46"/>
    </row>
    <row r="243" spans="3:92 15058:15450" s="1" customFormat="1" x14ac:dyDescent="0.25">
      <c r="C243" s="15"/>
      <c r="D243" s="75" t="s">
        <v>380</v>
      </c>
      <c r="E243" s="952"/>
      <c r="F243" s="70"/>
      <c r="G243" s="953"/>
      <c r="H243" s="953"/>
      <c r="I243" s="273" t="e">
        <f>I242/I9*1000</f>
        <v>#DIV/0!</v>
      </c>
      <c r="J243" s="273" t="e">
        <f>J242/J9*1000</f>
        <v>#DIV/0!</v>
      </c>
      <c r="K243" s="953" t="e">
        <f>K242/K9*10000</f>
        <v>#DIV/0!</v>
      </c>
      <c r="L243" s="953" t="e">
        <f>L242/L9*10000</f>
        <v>#DIV/0!</v>
      </c>
      <c r="M243" s="273">
        <f>M242/M9*1000</f>
        <v>8.1928168874527074</v>
      </c>
      <c r="N243" s="273">
        <f>N242/N9*10000</f>
        <v>5.8146133267899707</v>
      </c>
      <c r="O243" s="273">
        <f>O242/O9*1000</f>
        <v>3.3011034177495335</v>
      </c>
      <c r="P243" s="273">
        <f>P242/P9*1000</f>
        <v>3.5232076003381505</v>
      </c>
      <c r="Q243" s="273">
        <f>Q242/Q9*1000</f>
        <v>7.2443786695915859</v>
      </c>
      <c r="R243" s="273">
        <f>R242/R9*10000</f>
        <v>8.4992074853869752</v>
      </c>
      <c r="S243" s="273">
        <f>S242/S9*1000</f>
        <v>3.1563620071684588</v>
      </c>
      <c r="T243" s="273">
        <f>T242/T9*10000</f>
        <v>7.2008770281632417</v>
      </c>
      <c r="U243" s="273">
        <f>U242/U9*10000</f>
        <v>5.1366397342785959</v>
      </c>
      <c r="V243" s="273">
        <f t="shared" ref="V243:AE243" si="68">V242/V9*1000</f>
        <v>4.0266398864117399</v>
      </c>
      <c r="W243" s="273">
        <f t="shared" si="68"/>
        <v>3.2555821351291021</v>
      </c>
      <c r="X243" s="273">
        <f t="shared" si="68"/>
        <v>3.1483303130138047</v>
      </c>
      <c r="Y243" s="273">
        <f t="shared" si="68"/>
        <v>3.0225259247162568</v>
      </c>
      <c r="Z243" s="273">
        <f t="shared" si="68"/>
        <v>3.297309666547025</v>
      </c>
      <c r="AA243" s="273">
        <f t="shared" si="68"/>
        <v>4.3997623700013602</v>
      </c>
      <c r="AB243" s="273">
        <f t="shared" si="68"/>
        <v>3.0992731885680174</v>
      </c>
      <c r="AC243" s="273">
        <f t="shared" si="68"/>
        <v>3.1325589228034056</v>
      </c>
      <c r="AD243" s="273">
        <f t="shared" si="68"/>
        <v>5.4192142635633722</v>
      </c>
      <c r="AE243" s="273">
        <f t="shared" si="68"/>
        <v>28.678118780768827</v>
      </c>
      <c r="AF243" s="953"/>
      <c r="AG243" s="953"/>
      <c r="AH243" s="953"/>
      <c r="AI243" s="953"/>
      <c r="AJ243" s="953"/>
      <c r="AK243" s="953"/>
      <c r="AL243" s="63"/>
      <c r="AM243" s="84">
        <f>(AM242/AM9)*100</f>
        <v>0.30264218487158517</v>
      </c>
      <c r="CM243" s="39"/>
      <c r="CN243" s="141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  <c r="VUB243" s="46"/>
      <c r="VUC243" s="46"/>
      <c r="VUD243" s="46"/>
      <c r="VUE243" s="46"/>
      <c r="VUF243" s="46"/>
      <c r="VUG243" s="46"/>
      <c r="VUH243" s="46"/>
      <c r="VUI243" s="46"/>
      <c r="VUJ243" s="46"/>
      <c r="VUK243" s="46"/>
      <c r="VUL243" s="46"/>
      <c r="VUM243" s="46"/>
      <c r="VUN243" s="46"/>
      <c r="VUO243" s="46"/>
      <c r="VUP243" s="46"/>
      <c r="VUQ243" s="46"/>
      <c r="VUR243" s="46"/>
      <c r="VUS243" s="46"/>
      <c r="VUT243" s="46"/>
      <c r="VUU243" s="46"/>
      <c r="VUV243" s="46"/>
      <c r="VUW243" s="46"/>
      <c r="VUX243" s="46"/>
      <c r="VUY243" s="46"/>
      <c r="VUZ243" s="46"/>
      <c r="VVA243" s="46"/>
      <c r="VVB243" s="46"/>
      <c r="VVC243" s="46"/>
      <c r="VVD243" s="46"/>
      <c r="VVE243" s="46"/>
      <c r="VVF243" s="46"/>
    </row>
    <row r="244" spans="3:92 15058:15450" s="1" customFormat="1" x14ac:dyDescent="0.25">
      <c r="C244" s="15"/>
      <c r="D244" s="14" t="s">
        <v>20</v>
      </c>
      <c r="E244" s="252">
        <v>1168.001</v>
      </c>
      <c r="F244" s="20" t="s">
        <v>19</v>
      </c>
      <c r="G244" s="295">
        <f>G238-G242</f>
        <v>0</v>
      </c>
      <c r="H244" s="295">
        <f>H238-H242</f>
        <v>0.79700000000000004</v>
      </c>
      <c r="I244" s="295">
        <f>I238-(I242)</f>
        <v>526.14439999999991</v>
      </c>
      <c r="J244" s="295">
        <f>J238-(J242)</f>
        <v>53.999299999999948</v>
      </c>
      <c r="K244" s="295">
        <f>K238-(K242)</f>
        <v>767.54332927054656</v>
      </c>
      <c r="L244" s="295">
        <f t="shared" ref="L244:AB244" si="69">L238-(L242)</f>
        <v>-715.88580000000002</v>
      </c>
      <c r="M244" s="295">
        <f t="shared" si="69"/>
        <v>-3191.9944</v>
      </c>
      <c r="N244" s="295">
        <f t="shared" si="69"/>
        <v>-55.066226875805569</v>
      </c>
      <c r="O244" s="295">
        <f t="shared" si="69"/>
        <v>-4104.8035</v>
      </c>
      <c r="P244" s="295">
        <f t="shared" si="69"/>
        <v>-1228.3274999999999</v>
      </c>
      <c r="Q244" s="295">
        <f t="shared" si="69"/>
        <v>-923.1386</v>
      </c>
      <c r="R244" s="295">
        <f t="shared" si="69"/>
        <v>6.6809601536566561</v>
      </c>
      <c r="S244" s="295">
        <f t="shared" si="69"/>
        <v>-5696.1472999999996</v>
      </c>
      <c r="T244" s="295">
        <f t="shared" si="69"/>
        <v>-24.066514826373577</v>
      </c>
      <c r="U244" s="295">
        <f t="shared" si="69"/>
        <v>416.93289019149825</v>
      </c>
      <c r="V244" s="295">
        <f t="shared" si="69"/>
        <v>-2608.8685999999998</v>
      </c>
      <c r="W244" s="295">
        <f t="shared" si="69"/>
        <v>-5239.3356999999996</v>
      </c>
      <c r="X244" s="295">
        <f t="shared" si="69"/>
        <v>-6357.183</v>
      </c>
      <c r="Y244" s="295">
        <f>Y238-(Y242)</f>
        <v>-5388.8070000000007</v>
      </c>
      <c r="Z244" s="295">
        <f>Z238-(Z242)</f>
        <v>-3872.2789999999995</v>
      </c>
      <c r="AA244" s="295">
        <f t="shared" si="69"/>
        <v>-2164.5376000000001</v>
      </c>
      <c r="AB244" s="295">
        <f t="shared" si="69"/>
        <v>-4017.1862000000001</v>
      </c>
      <c r="AC244" s="295">
        <f>AC238-(AC242)</f>
        <v>-4403.1997000000001</v>
      </c>
      <c r="AD244" s="295">
        <f t="shared" ref="AD244:AJ244" si="70">AD238-AD242</f>
        <v>-2802.0119</v>
      </c>
      <c r="AE244" s="295">
        <f t="shared" si="70"/>
        <v>-1977.4601</v>
      </c>
      <c r="AF244" s="295">
        <f t="shared" si="70"/>
        <v>789.66</v>
      </c>
      <c r="AG244" s="295">
        <f t="shared" si="70"/>
        <v>541.88869999999997</v>
      </c>
      <c r="AH244" s="295">
        <f t="shared" si="70"/>
        <v>539.39700000000005</v>
      </c>
      <c r="AI244" s="295">
        <f t="shared" si="70"/>
        <v>431.3</v>
      </c>
      <c r="AJ244" s="295">
        <f t="shared" si="70"/>
        <v>0</v>
      </c>
      <c r="AK244" s="295">
        <f t="shared" ref="AK244" si="71">AK238-AK242</f>
        <v>0</v>
      </c>
      <c r="AM244" s="115">
        <f>SUM(G244:AJ244)</f>
        <v>-50695.955062086468</v>
      </c>
      <c r="AQ244" s="39"/>
      <c r="CN244" s="141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  <c r="VUB244" s="46"/>
      <c r="VUC244" s="46"/>
      <c r="VUD244" s="46"/>
      <c r="VUE244" s="46"/>
      <c r="VUF244" s="46"/>
      <c r="VUG244" s="46"/>
      <c r="VUH244" s="46"/>
      <c r="VUI244" s="46"/>
      <c r="VUJ244" s="46"/>
      <c r="VUK244" s="46"/>
      <c r="VUL244" s="46"/>
      <c r="VUM244" s="46"/>
      <c r="VUN244" s="46"/>
      <c r="VUO244" s="46"/>
      <c r="VUP244" s="46"/>
      <c r="VUQ244" s="46"/>
      <c r="VUR244" s="46"/>
      <c r="VUS244" s="46"/>
      <c r="VUT244" s="46"/>
      <c r="VUU244" s="46"/>
      <c r="VUV244" s="46"/>
      <c r="VUW244" s="46"/>
      <c r="VUX244" s="46"/>
      <c r="VUY244" s="46"/>
      <c r="VUZ244" s="46"/>
      <c r="VVA244" s="46"/>
      <c r="VVB244" s="46"/>
      <c r="VVC244" s="46"/>
      <c r="VVD244" s="46"/>
      <c r="VVE244" s="46"/>
      <c r="VVF244" s="46"/>
    </row>
    <row r="245" spans="3:92 15058:15450" s="2" customFormat="1" ht="15.75" thickBot="1" x14ac:dyDescent="0.3">
      <c r="C245" s="40"/>
      <c r="D245" s="41" t="s">
        <v>1</v>
      </c>
      <c r="E245" s="261">
        <v>1460.001</v>
      </c>
      <c r="F245" s="25" t="s">
        <v>19</v>
      </c>
      <c r="G245" s="296">
        <f>G242+G244</f>
        <v>0</v>
      </c>
      <c r="H245" s="296">
        <f>H242+H244</f>
        <v>0.79700000000000004</v>
      </c>
      <c r="I245" s="296">
        <f t="shared" ref="I245:AJ245" si="72">I242+I244</f>
        <v>685.83439999999996</v>
      </c>
      <c r="J245" s="296">
        <f t="shared" si="72"/>
        <v>842.23929999999996</v>
      </c>
      <c r="K245" s="296">
        <f t="shared" si="72"/>
        <v>768.16110000000003</v>
      </c>
      <c r="L245" s="296">
        <f t="shared" si="72"/>
        <v>641.06420000000003</v>
      </c>
      <c r="M245" s="296">
        <f t="shared" si="72"/>
        <v>859.52559999999994</v>
      </c>
      <c r="N245" s="296">
        <f t="shared" si="72"/>
        <v>1029.2324000000001</v>
      </c>
      <c r="O245" s="296">
        <f t="shared" si="72"/>
        <v>1115.7264999999998</v>
      </c>
      <c r="P245" s="296">
        <f>P242+P244</f>
        <v>959.67250000000013</v>
      </c>
      <c r="Q245" s="296">
        <f t="shared" si="72"/>
        <v>873.35140000000001</v>
      </c>
      <c r="R245" s="296">
        <f t="shared" si="72"/>
        <v>910.31669999999997</v>
      </c>
      <c r="S245" s="296">
        <f t="shared" si="72"/>
        <v>1236.1327000000001</v>
      </c>
      <c r="T245" s="296">
        <f t="shared" si="72"/>
        <v>1156.2385999999999</v>
      </c>
      <c r="U245" s="296">
        <f t="shared" si="72"/>
        <v>1247.3796</v>
      </c>
      <c r="V245" s="296">
        <f t="shared" si="72"/>
        <v>1043.8414000000002</v>
      </c>
      <c r="W245" s="296">
        <f t="shared" si="72"/>
        <v>1148.9043000000001</v>
      </c>
      <c r="X245" s="296">
        <f t="shared" si="72"/>
        <v>1250.4769999999999</v>
      </c>
      <c r="Y245" s="296">
        <f t="shared" si="72"/>
        <v>1126.1629999999996</v>
      </c>
      <c r="Z245" s="296">
        <f t="shared" si="72"/>
        <v>1070.1310000000003</v>
      </c>
      <c r="AA245" s="296">
        <f t="shared" si="72"/>
        <v>908.98239999999987</v>
      </c>
      <c r="AB245" s="296">
        <f>AB242+AB244</f>
        <v>1174.4838</v>
      </c>
      <c r="AC245" s="296">
        <f t="shared" si="72"/>
        <v>1205.1803</v>
      </c>
      <c r="AD245" s="296">
        <f t="shared" si="72"/>
        <v>1199.7581</v>
      </c>
      <c r="AE245" s="296">
        <f t="shared" si="72"/>
        <v>1034.2299</v>
      </c>
      <c r="AF245" s="296">
        <f t="shared" si="72"/>
        <v>789.66</v>
      </c>
      <c r="AG245" s="296">
        <f t="shared" si="72"/>
        <v>541.88869999999997</v>
      </c>
      <c r="AH245" s="296">
        <f t="shared" si="72"/>
        <v>539.39700000000005</v>
      </c>
      <c r="AI245" s="296">
        <f t="shared" si="72"/>
        <v>431.3</v>
      </c>
      <c r="AJ245" s="296">
        <f t="shared" si="72"/>
        <v>0</v>
      </c>
      <c r="AK245" s="296">
        <f t="shared" ref="AK245" si="73">AK242+AK244</f>
        <v>0</v>
      </c>
      <c r="AM245" s="117">
        <f>SUM(G245:AJ245)</f>
        <v>25790.068899999998</v>
      </c>
      <c r="CN245" s="151"/>
    </row>
    <row r="246" spans="3:92 15058:15450" s="2" customFormat="1" x14ac:dyDescent="0.25">
      <c r="C246" s="8">
        <v>5</v>
      </c>
      <c r="D246" s="118" t="s">
        <v>18</v>
      </c>
      <c r="E246" s="119"/>
      <c r="F246" s="119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  <c r="AH246" s="297"/>
      <c r="AI246" s="297"/>
      <c r="AJ246" s="297"/>
      <c r="AK246" s="297"/>
      <c r="AM246" s="136" t="s">
        <v>133</v>
      </c>
      <c r="CN246" s="151"/>
    </row>
    <row r="247" spans="3:92 15058:15450" s="2" customFormat="1" x14ac:dyDescent="0.25">
      <c r="C247" s="8"/>
      <c r="D247" s="235" t="s">
        <v>4</v>
      </c>
      <c r="E247" s="1760">
        <v>408000</v>
      </c>
      <c r="F247" s="236" t="s">
        <v>14</v>
      </c>
      <c r="G247" s="298"/>
      <c r="H247" s="298"/>
      <c r="I247" s="1684">
        <v>87.954999999999998</v>
      </c>
      <c r="J247" s="1684">
        <v>134.69499999999999</v>
      </c>
      <c r="K247" s="1684">
        <v>94.635999999999996</v>
      </c>
      <c r="L247" s="1684">
        <v>4.24</v>
      </c>
      <c r="M247" s="1703">
        <v>39.770000000000003</v>
      </c>
      <c r="N247" s="1703">
        <v>93.944999999999993</v>
      </c>
      <c r="O247" s="1684">
        <v>175.79499999999999</v>
      </c>
      <c r="P247" s="1684">
        <v>131.876</v>
      </c>
      <c r="Q247" s="1787">
        <v>41.073</v>
      </c>
      <c r="R247" s="1787">
        <v>81.338999999999999</v>
      </c>
      <c r="S247" s="298">
        <v>186740</v>
      </c>
      <c r="T247" s="298">
        <v>171367</v>
      </c>
      <c r="U247" s="298">
        <v>242498</v>
      </c>
      <c r="V247" s="298">
        <v>183462</v>
      </c>
      <c r="W247" s="298">
        <v>183211</v>
      </c>
      <c r="X247" s="298">
        <v>204270</v>
      </c>
      <c r="Y247" s="298">
        <v>144982</v>
      </c>
      <c r="Z247" s="298">
        <v>156028</v>
      </c>
      <c r="AA247" s="298">
        <v>109604</v>
      </c>
      <c r="AB247" s="298">
        <v>202340</v>
      </c>
      <c r="AC247" s="298">
        <v>219574</v>
      </c>
      <c r="AD247" s="298">
        <v>227313</v>
      </c>
      <c r="AE247" s="298">
        <v>173901</v>
      </c>
      <c r="AF247" s="298">
        <v>121180</v>
      </c>
      <c r="AG247" s="298">
        <v>23861</v>
      </c>
      <c r="AH247" s="298">
        <v>16386</v>
      </c>
      <c r="AI247" s="298">
        <v>425</v>
      </c>
      <c r="AJ247" s="298"/>
      <c r="AK247" s="298"/>
      <c r="AM247" s="825">
        <f>SUM(G247:AJ247)</f>
        <v>2568027.324</v>
      </c>
      <c r="CN247" s="151"/>
    </row>
    <row r="248" spans="3:92 15058:15450" s="2" customFormat="1" x14ac:dyDescent="0.25">
      <c r="C248" s="8"/>
      <c r="D248" s="30" t="s">
        <v>17</v>
      </c>
      <c r="E248" s="262"/>
      <c r="F248" s="13"/>
      <c r="G248" s="282"/>
      <c r="H248" s="282"/>
      <c r="I248" s="282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  <c r="AC248" s="282"/>
      <c r="AD248" s="282"/>
      <c r="AE248" s="282"/>
      <c r="AF248" s="282"/>
      <c r="AG248" s="282"/>
      <c r="AH248" s="282"/>
      <c r="AI248" s="282"/>
      <c r="AJ248" s="282"/>
      <c r="AK248" s="282"/>
      <c r="AM248" s="64">
        <f>(AM250+AM252+AM254)</f>
        <v>112.01280479202001</v>
      </c>
      <c r="AO248" s="27"/>
      <c r="CN248" s="151"/>
    </row>
    <row r="249" spans="3:92 15058:15450" s="1" customFormat="1" x14ac:dyDescent="0.25">
      <c r="C249" s="15"/>
      <c r="D249" s="235" t="s">
        <v>16</v>
      </c>
      <c r="E249" s="1979">
        <v>70000</v>
      </c>
      <c r="F249" s="236" t="s">
        <v>1030</v>
      </c>
      <c r="G249" s="275"/>
      <c r="H249" s="275"/>
      <c r="I249" s="275"/>
      <c r="J249" s="245">
        <v>42.33</v>
      </c>
      <c r="K249" s="245">
        <v>19.87</v>
      </c>
      <c r="L249" s="245">
        <v>31.68</v>
      </c>
      <c r="M249" s="245">
        <v>55.84</v>
      </c>
      <c r="N249" s="1530">
        <v>68.84</v>
      </c>
      <c r="O249" s="1530">
        <v>68.489999999999995</v>
      </c>
      <c r="P249" s="1530">
        <v>45.31</v>
      </c>
      <c r="Q249" s="1530">
        <v>44.22</v>
      </c>
      <c r="R249" s="1530">
        <v>63.49</v>
      </c>
      <c r="S249" s="275">
        <v>78260</v>
      </c>
      <c r="T249" s="275">
        <v>74480</v>
      </c>
      <c r="U249" s="275">
        <v>91490</v>
      </c>
      <c r="V249" s="275">
        <v>56840</v>
      </c>
      <c r="W249" s="275">
        <v>71940</v>
      </c>
      <c r="X249" s="275">
        <v>82590</v>
      </c>
      <c r="Y249" s="275">
        <v>67420</v>
      </c>
      <c r="Z249" s="275">
        <v>60210</v>
      </c>
      <c r="AA249" s="275">
        <v>57320</v>
      </c>
      <c r="AB249" s="275">
        <v>69910</v>
      </c>
      <c r="AC249" s="275">
        <v>60600</v>
      </c>
      <c r="AD249" s="275">
        <v>62620</v>
      </c>
      <c r="AE249" s="275">
        <v>42300</v>
      </c>
      <c r="AF249" s="275"/>
      <c r="AG249" s="275"/>
      <c r="AH249" s="275"/>
      <c r="AI249" s="275"/>
      <c r="AJ249" s="275"/>
      <c r="AK249" s="275"/>
      <c r="AM249" s="825">
        <f>SUM(G249:AJ249)</f>
        <v>876420.07000000007</v>
      </c>
      <c r="CN249" s="141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  <c r="VUB249" s="46"/>
      <c r="VUC249" s="46"/>
      <c r="VUD249" s="46"/>
      <c r="VUE249" s="46"/>
      <c r="VUF249" s="46"/>
      <c r="VUG249" s="46"/>
      <c r="VUH249" s="46"/>
      <c r="VUI249" s="46"/>
      <c r="VUJ249" s="46"/>
      <c r="VUK249" s="46"/>
      <c r="VUL249" s="46"/>
      <c r="VUM249" s="46"/>
      <c r="VUN249" s="46"/>
      <c r="VUO249" s="46"/>
      <c r="VUP249" s="46"/>
      <c r="VUQ249" s="46"/>
      <c r="VUR249" s="46"/>
      <c r="VUS249" s="46"/>
      <c r="VUT249" s="46"/>
      <c r="VUU249" s="46"/>
      <c r="VUV249" s="46"/>
      <c r="VUW249" s="46"/>
      <c r="VUX249" s="46"/>
      <c r="VUY249" s="46"/>
      <c r="VUZ249" s="46"/>
      <c r="VVA249" s="46"/>
      <c r="VVB249" s="46"/>
      <c r="VVC249" s="46"/>
      <c r="VVD249" s="46"/>
      <c r="VVE249" s="46"/>
      <c r="VVF249" s="46"/>
    </row>
    <row r="250" spans="3:92 15058:15450" s="1" customFormat="1" x14ac:dyDescent="0.25">
      <c r="C250" s="15"/>
      <c r="D250" s="14"/>
      <c r="E250" s="234">
        <f>E249/2500</f>
        <v>28</v>
      </c>
      <c r="F250" s="20" t="s">
        <v>358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>
        <f>M249/M9*100000</f>
        <v>11.2917348302701</v>
      </c>
      <c r="N250" s="33">
        <f>N249/N9*1000000</f>
        <v>36.915843246020181</v>
      </c>
      <c r="O250" s="33">
        <f>O249/O9*1000000</f>
        <v>43.308356255335291</v>
      </c>
      <c r="P250" s="33">
        <f>P249/P9*1000000</f>
        <v>72.960025763858141</v>
      </c>
      <c r="Q250" s="33">
        <f>Q249/Q9*1000000</f>
        <v>178.31795599716111</v>
      </c>
      <c r="R250" s="33">
        <f t="shared" ref="R250:AJ250" si="74">R249/R9*1000</f>
        <v>5.9715951843491349E-2</v>
      </c>
      <c r="S250" s="33">
        <f t="shared" si="74"/>
        <v>35.632849608065975</v>
      </c>
      <c r="T250" s="33">
        <f t="shared" si="74"/>
        <v>45.43921010937013</v>
      </c>
      <c r="U250" s="33">
        <f t="shared" si="74"/>
        <v>56.590165719064373</v>
      </c>
      <c r="V250" s="33">
        <f t="shared" si="74"/>
        <v>62.658741357414989</v>
      </c>
      <c r="W250" s="33">
        <f t="shared" si="74"/>
        <v>36.662144628440331</v>
      </c>
      <c r="X250" s="33">
        <f t="shared" si="74"/>
        <v>34.17878829387881</v>
      </c>
      <c r="Y250" s="33">
        <f t="shared" si="74"/>
        <v>31.278532033819044</v>
      </c>
      <c r="Z250" s="33">
        <f t="shared" si="74"/>
        <v>40.168868026488369</v>
      </c>
      <c r="AA250" s="33">
        <f t="shared" si="74"/>
        <v>82.053924831619113</v>
      </c>
      <c r="AB250" s="33">
        <f t="shared" si="74"/>
        <v>41.734198940377581</v>
      </c>
      <c r="AC250" s="33">
        <f t="shared" si="74"/>
        <v>33.848111347998241</v>
      </c>
      <c r="AD250" s="33">
        <f t="shared" si="74"/>
        <v>84.80027517431995</v>
      </c>
      <c r="AE250" s="33">
        <f t="shared" si="74"/>
        <v>402.79192892579294</v>
      </c>
      <c r="AF250" s="33" t="e">
        <f t="shared" si="74"/>
        <v>#DIV/0!</v>
      </c>
      <c r="AG250" s="33" t="e">
        <f t="shared" si="74"/>
        <v>#DIV/0!</v>
      </c>
      <c r="AH250" s="33" t="e">
        <f t="shared" si="74"/>
        <v>#DIV/0!</v>
      </c>
      <c r="AI250" s="33" t="e">
        <f t="shared" si="74"/>
        <v>#DIV/0!</v>
      </c>
      <c r="AJ250" s="33" t="e">
        <f t="shared" si="74"/>
        <v>#DIV/0!</v>
      </c>
      <c r="AK250" s="33" t="e">
        <f t="shared" ref="AK250" si="75">AK249/AK9*1000</f>
        <v>#DIV/0!</v>
      </c>
      <c r="AM250" s="1529">
        <f>AM249/AM9*1000</f>
        <v>34.678451187577203</v>
      </c>
      <c r="CN250" s="141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  <c r="VUB250" s="46"/>
      <c r="VUC250" s="46"/>
      <c r="VUD250" s="46"/>
      <c r="VUE250" s="46"/>
      <c r="VUF250" s="46"/>
      <c r="VUG250" s="46"/>
      <c r="VUH250" s="46"/>
      <c r="VUI250" s="46"/>
      <c r="VUJ250" s="46"/>
      <c r="VUK250" s="46"/>
      <c r="VUL250" s="46"/>
      <c r="VUM250" s="46"/>
      <c r="VUN250" s="46"/>
      <c r="VUO250" s="46"/>
      <c r="VUP250" s="46"/>
      <c r="VUQ250" s="46"/>
      <c r="VUR250" s="46"/>
      <c r="VUS250" s="46"/>
      <c r="VUT250" s="46"/>
      <c r="VUU250" s="46"/>
      <c r="VUV250" s="46"/>
      <c r="VUW250" s="46"/>
      <c r="VUX250" s="46"/>
      <c r="VUY250" s="46"/>
      <c r="VUZ250" s="46"/>
      <c r="VVA250" s="46"/>
      <c r="VVB250" s="46"/>
      <c r="VVC250" s="46"/>
      <c r="VVD250" s="46"/>
      <c r="VVE250" s="46"/>
      <c r="VVF250" s="46"/>
    </row>
    <row r="251" spans="3:92 15058:15450" s="1" customFormat="1" x14ac:dyDescent="0.25">
      <c r="C251" s="15"/>
      <c r="D251" s="235" t="s">
        <v>15</v>
      </c>
      <c r="E251" s="1849">
        <v>112.8</v>
      </c>
      <c r="F251" s="236" t="s">
        <v>1030</v>
      </c>
      <c r="G251" s="275"/>
      <c r="H251" s="275"/>
      <c r="I251" s="275"/>
      <c r="J251" s="275"/>
      <c r="K251" s="275"/>
      <c r="L251" s="275"/>
      <c r="M251" s="275"/>
      <c r="N251" s="275"/>
      <c r="O251" s="275">
        <v>190.2</v>
      </c>
      <c r="P251" s="275">
        <v>190.2</v>
      </c>
      <c r="Q251" s="275"/>
      <c r="R251" s="275">
        <v>99701.2</v>
      </c>
      <c r="S251" s="275">
        <v>52048</v>
      </c>
      <c r="T251" s="275">
        <v>59223.7</v>
      </c>
      <c r="U251" s="275">
        <v>66918.899999999994</v>
      </c>
      <c r="V251" s="275">
        <v>32161.1</v>
      </c>
      <c r="W251" s="275">
        <v>58880</v>
      </c>
      <c r="X251" s="275">
        <v>72217.7</v>
      </c>
      <c r="Y251" s="275">
        <v>50749.2</v>
      </c>
      <c r="Z251" s="275">
        <v>483716</v>
      </c>
      <c r="AA251" s="275">
        <v>48153.5</v>
      </c>
      <c r="AB251" s="275">
        <v>88629.2</v>
      </c>
      <c r="AC251" s="275">
        <v>59954</v>
      </c>
      <c r="AD251" s="275">
        <v>68485.3</v>
      </c>
      <c r="AE251" s="275">
        <v>78833.600000000006</v>
      </c>
      <c r="AF251" s="275">
        <v>69727.3</v>
      </c>
      <c r="AG251" s="275">
        <v>35667.599999999999</v>
      </c>
      <c r="AH251" s="275"/>
      <c r="AI251" s="275"/>
      <c r="AJ251" s="275"/>
      <c r="AK251" s="275"/>
      <c r="AM251" s="825">
        <f>SUM(G251:AJ251)</f>
        <v>1425446.7000000002</v>
      </c>
      <c r="AQ251" s="27"/>
      <c r="AR251" s="3"/>
      <c r="CN251" s="141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  <c r="VUB251" s="46"/>
      <c r="VUC251" s="46"/>
      <c r="VUD251" s="46"/>
      <c r="VUE251" s="46"/>
      <c r="VUF251" s="46"/>
      <c r="VUG251" s="46"/>
      <c r="VUH251" s="46"/>
      <c r="VUI251" s="46"/>
      <c r="VUJ251" s="46"/>
      <c r="VUK251" s="46"/>
      <c r="VUL251" s="46"/>
      <c r="VUM251" s="46"/>
      <c r="VUN251" s="46"/>
      <c r="VUO251" s="46"/>
      <c r="VUP251" s="46"/>
      <c r="VUQ251" s="46"/>
      <c r="VUR251" s="46"/>
      <c r="VUS251" s="46"/>
      <c r="VUT251" s="46"/>
      <c r="VUU251" s="46"/>
      <c r="VUV251" s="46"/>
      <c r="VUW251" s="46"/>
      <c r="VUX251" s="46"/>
      <c r="VUY251" s="46"/>
      <c r="VUZ251" s="46"/>
      <c r="VVA251" s="46"/>
      <c r="VVB251" s="46"/>
      <c r="VVC251" s="46"/>
      <c r="VVD251" s="46"/>
      <c r="VVE251" s="46"/>
      <c r="VVF251" s="46"/>
    </row>
    <row r="252" spans="3:92 15058:15450" s="1" customFormat="1" x14ac:dyDescent="0.25">
      <c r="C252" s="15"/>
      <c r="D252" s="14"/>
      <c r="E252" s="234">
        <f>E251/2.5</f>
        <v>45.12</v>
      </c>
      <c r="F252" s="20" t="s">
        <v>358</v>
      </c>
      <c r="G252" s="33" t="e">
        <f>G251/G24*1000</f>
        <v>#DIV/0!</v>
      </c>
      <c r="H252" s="33" t="e">
        <f>H251/H24*1000</f>
        <v>#DIV/0!</v>
      </c>
      <c r="I252" s="33" t="e">
        <f>I251/I24*1000</f>
        <v>#DIV/0!</v>
      </c>
      <c r="J252" s="33" t="e">
        <f>J251/J24*1000</f>
        <v>#DIV/0!</v>
      </c>
      <c r="K252" s="33"/>
      <c r="L252" s="33" t="e">
        <f>L251/L24*1000</f>
        <v>#DIV/0!</v>
      </c>
      <c r="M252" s="33" t="e">
        <f>M251/M24*1000</f>
        <v>#DIV/0!</v>
      </c>
      <c r="N252" s="33">
        <f>N251/N24*100000</f>
        <v>0</v>
      </c>
      <c r="O252" s="33">
        <f>O251/O24*100000</f>
        <v>48.508033664881403</v>
      </c>
      <c r="P252" s="1766">
        <f t="shared" ref="P252:AJ252" si="76">P251/P24*1000</f>
        <v>0.51868436338448354</v>
      </c>
      <c r="Q252" s="33">
        <f t="shared" si="76"/>
        <v>0</v>
      </c>
      <c r="R252" s="33">
        <f t="shared" si="76"/>
        <v>90.029672411520039</v>
      </c>
      <c r="S252" s="33">
        <f t="shared" si="76"/>
        <v>52.839750826382513</v>
      </c>
      <c r="T252" s="33">
        <f t="shared" si="76"/>
        <v>29.225633256515149</v>
      </c>
      <c r="U252" s="33">
        <f t="shared" si="76"/>
        <v>31.14394444633189</v>
      </c>
      <c r="V252" s="33">
        <f t="shared" si="76"/>
        <v>48.879725942452772</v>
      </c>
      <c r="W252" s="33">
        <f t="shared" si="76"/>
        <v>25.079502192326729</v>
      </c>
      <c r="X252" s="33">
        <f t="shared" si="76"/>
        <v>19.323702391591702</v>
      </c>
      <c r="Y252" s="33">
        <f t="shared" si="76"/>
        <v>36.804839894609579</v>
      </c>
      <c r="Z252" s="33">
        <f t="shared" si="76"/>
        <v>15642.090285862114</v>
      </c>
      <c r="AA252" s="33">
        <f t="shared" si="76"/>
        <v>101.13455694102279</v>
      </c>
      <c r="AB252" s="33">
        <f t="shared" si="76"/>
        <v>72.015217343611482</v>
      </c>
      <c r="AC252" s="33">
        <f t="shared" si="76"/>
        <v>30.68227818755831</v>
      </c>
      <c r="AD252" s="33">
        <f t="shared" si="76"/>
        <v>61.545602499018209</v>
      </c>
      <c r="AE252" s="33">
        <f t="shared" si="76"/>
        <v>53.056373271523434</v>
      </c>
      <c r="AF252" s="33">
        <f t="shared" si="76"/>
        <v>58.815893137008466</v>
      </c>
      <c r="AG252" s="33" t="e">
        <f t="shared" si="76"/>
        <v>#DIV/0!</v>
      </c>
      <c r="AH252" s="33" t="e">
        <f t="shared" si="76"/>
        <v>#DIV/0!</v>
      </c>
      <c r="AI252" s="33" t="e">
        <f t="shared" si="76"/>
        <v>#DIV/0!</v>
      </c>
      <c r="AJ252" s="33" t="e">
        <f t="shared" si="76"/>
        <v>#DIV/0!</v>
      </c>
      <c r="AK252" s="33" t="e">
        <f t="shared" ref="AK252" si="77">AK251/AK24*1000</f>
        <v>#DIV/0!</v>
      </c>
      <c r="AM252" s="1529">
        <f>AM251/AM24*1000</f>
        <v>59.116633828163529</v>
      </c>
      <c r="CN252" s="141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  <c r="VUB252" s="46"/>
      <c r="VUC252" s="46"/>
      <c r="VUD252" s="46"/>
      <c r="VUE252" s="46"/>
      <c r="VUF252" s="46"/>
      <c r="VUG252" s="46"/>
      <c r="VUH252" s="46"/>
      <c r="VUI252" s="46"/>
      <c r="VUJ252" s="46"/>
      <c r="VUK252" s="46"/>
      <c r="VUL252" s="46"/>
      <c r="VUM252" s="46"/>
      <c r="VUN252" s="46"/>
      <c r="VUO252" s="46"/>
      <c r="VUP252" s="46"/>
      <c r="VUQ252" s="46"/>
      <c r="VUR252" s="46"/>
      <c r="VUS252" s="46"/>
      <c r="VUT252" s="46"/>
      <c r="VUU252" s="46"/>
      <c r="VUV252" s="46"/>
      <c r="VUW252" s="46"/>
      <c r="VUX252" s="46"/>
      <c r="VUY252" s="46"/>
      <c r="VUZ252" s="46"/>
      <c r="VVA252" s="46"/>
      <c r="VVB252" s="46"/>
      <c r="VVC252" s="46"/>
      <c r="VVD252" s="46"/>
      <c r="VVE252" s="46"/>
      <c r="VVF252" s="46"/>
    </row>
    <row r="253" spans="3:92 15058:15450" s="1" customFormat="1" x14ac:dyDescent="0.25">
      <c r="C253" s="15"/>
      <c r="D253" s="14" t="s">
        <v>7</v>
      </c>
      <c r="E253" s="234">
        <v>106000</v>
      </c>
      <c r="F253" s="20" t="s">
        <v>14</v>
      </c>
      <c r="G253" s="272">
        <f>G247-G249-G251</f>
        <v>0</v>
      </c>
      <c r="H253" s="272">
        <f>H247-H249-H251</f>
        <v>0</v>
      </c>
      <c r="I253" s="272">
        <v>0</v>
      </c>
      <c r="J253" s="1755">
        <v>0</v>
      </c>
      <c r="K253" s="272">
        <v>94590</v>
      </c>
      <c r="L253" s="272"/>
      <c r="M253" s="272">
        <v>0</v>
      </c>
      <c r="N253" s="272">
        <f>N247-N249-N251</f>
        <v>25.10499999999999</v>
      </c>
      <c r="O253" s="272">
        <v>0</v>
      </c>
      <c r="P253" s="272">
        <v>0</v>
      </c>
      <c r="Q253" s="272">
        <v>0</v>
      </c>
      <c r="R253" s="272">
        <v>0</v>
      </c>
      <c r="S253" s="272">
        <f t="shared" ref="S253" si="78">S247-S249-S251</f>
        <v>56432</v>
      </c>
      <c r="T253" s="272">
        <f t="shared" ref="T253:AJ253" si="79">T247-T249-T251</f>
        <v>37663.300000000003</v>
      </c>
      <c r="U253" s="272">
        <f t="shared" si="79"/>
        <v>84089.1</v>
      </c>
      <c r="V253" s="272">
        <f t="shared" si="79"/>
        <v>94460.9</v>
      </c>
      <c r="W253" s="272">
        <f>W247-W249-W251</f>
        <v>52391</v>
      </c>
      <c r="X253" s="272">
        <f t="shared" si="79"/>
        <v>49462.3</v>
      </c>
      <c r="Y253" s="272">
        <f t="shared" si="79"/>
        <v>26812.800000000003</v>
      </c>
      <c r="Z253" s="272">
        <f t="shared" si="79"/>
        <v>-387898</v>
      </c>
      <c r="AA253" s="272">
        <f t="shared" si="79"/>
        <v>4130.5</v>
      </c>
      <c r="AB253" s="272">
        <f t="shared" si="79"/>
        <v>43800.800000000003</v>
      </c>
      <c r="AC253" s="272">
        <f t="shared" si="79"/>
        <v>99020</v>
      </c>
      <c r="AD253" s="272">
        <f t="shared" si="79"/>
        <v>96207.7</v>
      </c>
      <c r="AE253" s="272">
        <f t="shared" si="79"/>
        <v>52767.399999999994</v>
      </c>
      <c r="AF253" s="272">
        <f t="shared" si="79"/>
        <v>51452.7</v>
      </c>
      <c r="AG253" s="272">
        <f t="shared" si="79"/>
        <v>-11806.599999999999</v>
      </c>
      <c r="AH253" s="272">
        <f t="shared" si="79"/>
        <v>16386</v>
      </c>
      <c r="AI253" s="272">
        <f t="shared" si="79"/>
        <v>425</v>
      </c>
      <c r="AJ253" s="272">
        <f t="shared" si="79"/>
        <v>0</v>
      </c>
      <c r="AK253" s="272">
        <f t="shared" ref="AK253" si="80">AK247-AK249-AK251</f>
        <v>0</v>
      </c>
      <c r="AM253" s="1190">
        <f>SUM(G253:AJ253)</f>
        <v>460412.00500000006</v>
      </c>
      <c r="AO253" s="3"/>
      <c r="CN253" s="141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  <c r="VUB253" s="46"/>
      <c r="VUC253" s="46"/>
      <c r="VUD253" s="46"/>
      <c r="VUE253" s="46"/>
      <c r="VUF253" s="46"/>
      <c r="VUG253" s="46"/>
      <c r="VUH253" s="46"/>
      <c r="VUI253" s="46"/>
      <c r="VUJ253" s="46"/>
      <c r="VUK253" s="46"/>
      <c r="VUL253" s="46"/>
      <c r="VUM253" s="46"/>
      <c r="VUN253" s="46"/>
      <c r="VUO253" s="46"/>
      <c r="VUP253" s="46"/>
      <c r="VUQ253" s="46"/>
      <c r="VUR253" s="46"/>
      <c r="VUS253" s="46"/>
      <c r="VUT253" s="46"/>
      <c r="VUU253" s="46"/>
      <c r="VUV253" s="46"/>
      <c r="VUW253" s="46"/>
      <c r="VUX253" s="46"/>
      <c r="VUY253" s="46"/>
      <c r="VUZ253" s="46"/>
      <c r="VVA253" s="46"/>
      <c r="VVB253" s="46"/>
      <c r="VVC253" s="46"/>
      <c r="VVD253" s="46"/>
      <c r="VVE253" s="46"/>
      <c r="VVF253" s="46"/>
    </row>
    <row r="254" spans="3:92 15058:15450" s="1" customFormat="1" x14ac:dyDescent="0.25">
      <c r="C254" s="15"/>
      <c r="D254" s="14"/>
      <c r="E254" s="234"/>
      <c r="F254" s="20"/>
      <c r="G254" s="33"/>
      <c r="H254" s="33"/>
      <c r="I254" s="33"/>
      <c r="J254" s="33"/>
      <c r="K254" s="33"/>
      <c r="L254" s="33">
        <v>0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M254" s="55">
        <f>AM253/AM9*1000</f>
        <v>18.21771977627926</v>
      </c>
      <c r="AO254" s="3"/>
      <c r="CN254" s="141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  <c r="VUB254" s="46"/>
      <c r="VUC254" s="46"/>
      <c r="VUD254" s="46"/>
      <c r="VUE254" s="46"/>
      <c r="VUF254" s="46"/>
      <c r="VUG254" s="46"/>
      <c r="VUH254" s="46"/>
      <c r="VUI254" s="46"/>
      <c r="VUJ254" s="46"/>
      <c r="VUK254" s="46"/>
      <c r="VUL254" s="46"/>
      <c r="VUM254" s="46"/>
      <c r="VUN254" s="46"/>
      <c r="VUO254" s="46"/>
      <c r="VUP254" s="46"/>
      <c r="VUQ254" s="46"/>
      <c r="VUR254" s="46"/>
      <c r="VUS254" s="46"/>
      <c r="VUT254" s="46"/>
      <c r="VUU254" s="46"/>
      <c r="VUV254" s="46"/>
      <c r="VUW254" s="46"/>
      <c r="VUX254" s="46"/>
      <c r="VUY254" s="46"/>
      <c r="VUZ254" s="46"/>
      <c r="VVA254" s="46"/>
      <c r="VVB254" s="46"/>
      <c r="VVC254" s="46"/>
      <c r="VVD254" s="46"/>
      <c r="VVE254" s="46"/>
      <c r="VVF254" s="46"/>
    </row>
    <row r="255" spans="3:92 15058:15450" s="2" customFormat="1" ht="15.75" thickBot="1" x14ac:dyDescent="0.3">
      <c r="C255" s="40"/>
      <c r="D255" s="28" t="s">
        <v>1</v>
      </c>
      <c r="E255" s="263">
        <v>408000</v>
      </c>
      <c r="F255" s="20" t="s">
        <v>14</v>
      </c>
      <c r="G255" s="282">
        <f t="shared" ref="G255:M255" si="81">SUM(G249,G251,G253)</f>
        <v>0</v>
      </c>
      <c r="H255" s="282">
        <f t="shared" si="81"/>
        <v>0</v>
      </c>
      <c r="I255" s="282">
        <f t="shared" si="81"/>
        <v>0</v>
      </c>
      <c r="J255" s="1704">
        <f t="shared" si="81"/>
        <v>42.33</v>
      </c>
      <c r="K255" s="282">
        <f t="shared" si="81"/>
        <v>94609.87</v>
      </c>
      <c r="L255" s="282">
        <f t="shared" si="81"/>
        <v>31.68</v>
      </c>
      <c r="M255" s="42">
        <f t="shared" si="81"/>
        <v>55.84</v>
      </c>
      <c r="N255" s="42">
        <f t="shared" ref="N255:AJ255" si="82">SUM(N249,N251,N253)</f>
        <v>93.944999999999993</v>
      </c>
      <c r="O255" s="1704">
        <f>SUM(O249,O251,O253)</f>
        <v>258.69</v>
      </c>
      <c r="P255" s="1704">
        <f>SUM(P249,P251,P253)</f>
        <v>235.51</v>
      </c>
      <c r="Q255" s="1850">
        <f t="shared" si="82"/>
        <v>44.22</v>
      </c>
      <c r="R255" s="282">
        <f>SUM(R249,R251,R253)</f>
        <v>99764.69</v>
      </c>
      <c r="S255" s="282">
        <f>SUM(S249,S251,S253)</f>
        <v>186740</v>
      </c>
      <c r="T255" s="282">
        <f t="shared" ref="T255:U255" si="83">SUM(T249,T251,T253)</f>
        <v>171367</v>
      </c>
      <c r="U255" s="282">
        <f t="shared" si="83"/>
        <v>242498</v>
      </c>
      <c r="V255" s="282">
        <f t="shared" si="82"/>
        <v>183462</v>
      </c>
      <c r="W255" s="282">
        <f>SUM(W249,W251,W253)</f>
        <v>183211</v>
      </c>
      <c r="X255" s="282">
        <f t="shared" si="82"/>
        <v>204270</v>
      </c>
      <c r="Y255" s="282">
        <f t="shared" si="82"/>
        <v>144982</v>
      </c>
      <c r="Z255" s="282">
        <f t="shared" si="82"/>
        <v>156028</v>
      </c>
      <c r="AA255" s="282">
        <f t="shared" si="82"/>
        <v>109604</v>
      </c>
      <c r="AB255" s="282">
        <f t="shared" si="82"/>
        <v>202340</v>
      </c>
      <c r="AC255" s="282">
        <f t="shared" si="82"/>
        <v>219574</v>
      </c>
      <c r="AD255" s="282">
        <f t="shared" si="82"/>
        <v>227313</v>
      </c>
      <c r="AE255" s="282">
        <f t="shared" si="82"/>
        <v>173901</v>
      </c>
      <c r="AF255" s="282">
        <f t="shared" si="82"/>
        <v>121180</v>
      </c>
      <c r="AG255" s="282">
        <f t="shared" si="82"/>
        <v>23861</v>
      </c>
      <c r="AH255" s="282">
        <f t="shared" si="82"/>
        <v>16386</v>
      </c>
      <c r="AI255" s="282">
        <f t="shared" si="82"/>
        <v>425</v>
      </c>
      <c r="AJ255" s="282">
        <f t="shared" si="82"/>
        <v>0</v>
      </c>
      <c r="AK255" s="282">
        <f t="shared" ref="AK255" si="84">SUM(AK249,AK251,AK253)</f>
        <v>0</v>
      </c>
      <c r="AM255" s="55">
        <f>SUM(G255:AJ255)</f>
        <v>2762278.7749999999</v>
      </c>
      <c r="CN255" s="151"/>
    </row>
    <row r="256" spans="3:92 15058:15450" s="1" customFormat="1" x14ac:dyDescent="0.25">
      <c r="C256" s="8">
        <v>6</v>
      </c>
      <c r="D256" s="76" t="s">
        <v>13</v>
      </c>
      <c r="E256" s="77"/>
      <c r="F256" s="78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M256" s="136" t="s">
        <v>134</v>
      </c>
      <c r="CN256" s="141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  <c r="VUB256" s="46"/>
      <c r="VUC256" s="46"/>
      <c r="VUD256" s="46"/>
      <c r="VUE256" s="46"/>
      <c r="VUF256" s="46"/>
      <c r="VUG256" s="46"/>
      <c r="VUH256" s="46"/>
      <c r="VUI256" s="46"/>
      <c r="VUJ256" s="46"/>
      <c r="VUK256" s="46"/>
      <c r="VUL256" s="46"/>
      <c r="VUM256" s="46"/>
      <c r="VUN256" s="46"/>
      <c r="VUO256" s="46"/>
      <c r="VUP256" s="46"/>
      <c r="VUQ256" s="46"/>
      <c r="VUR256" s="46"/>
      <c r="VUS256" s="46"/>
      <c r="VUT256" s="46"/>
      <c r="VUU256" s="46"/>
      <c r="VUV256" s="46"/>
      <c r="VUW256" s="46"/>
      <c r="VUX256" s="46"/>
      <c r="VUY256" s="46"/>
      <c r="VUZ256" s="46"/>
      <c r="VVA256" s="46"/>
      <c r="VVB256" s="46"/>
      <c r="VVC256" s="46"/>
      <c r="VVD256" s="46"/>
      <c r="VVE256" s="46"/>
      <c r="VVF256" s="46"/>
    </row>
    <row r="257" spans="3:92 15058:15450" s="16" customFormat="1" x14ac:dyDescent="0.2">
      <c r="C257" s="17"/>
      <c r="D257" s="242" t="s">
        <v>12</v>
      </c>
      <c r="E257" s="264">
        <v>1100</v>
      </c>
      <c r="F257" s="243" t="s">
        <v>124</v>
      </c>
      <c r="G257" s="244"/>
      <c r="H257" s="244"/>
      <c r="I257" s="244">
        <v>307</v>
      </c>
      <c r="J257" s="244">
        <v>650</v>
      </c>
      <c r="K257" s="244">
        <v>339</v>
      </c>
      <c r="L257" s="244">
        <v>605</v>
      </c>
      <c r="M257" s="244">
        <v>754</v>
      </c>
      <c r="N257" s="244">
        <v>565</v>
      </c>
      <c r="O257" s="244">
        <v>808</v>
      </c>
      <c r="P257" s="244">
        <v>543</v>
      </c>
      <c r="Q257" s="244">
        <v>723</v>
      </c>
      <c r="R257" s="244">
        <v>654</v>
      </c>
      <c r="S257" s="244">
        <v>572</v>
      </c>
      <c r="T257" s="244">
        <v>781</v>
      </c>
      <c r="U257" s="244">
        <v>794</v>
      </c>
      <c r="V257" s="244">
        <v>684</v>
      </c>
      <c r="W257" s="244">
        <v>818</v>
      </c>
      <c r="X257" s="244">
        <v>1005</v>
      </c>
      <c r="Y257" s="244">
        <v>737</v>
      </c>
      <c r="Z257" s="244">
        <v>621</v>
      </c>
      <c r="AA257" s="244">
        <v>705</v>
      </c>
      <c r="AB257" s="244">
        <v>755</v>
      </c>
      <c r="AC257" s="244">
        <v>710</v>
      </c>
      <c r="AD257" s="244">
        <v>797</v>
      </c>
      <c r="AE257" s="244">
        <v>926</v>
      </c>
      <c r="AF257" s="244">
        <v>530</v>
      </c>
      <c r="AG257" s="244">
        <v>853</v>
      </c>
      <c r="AH257" s="244">
        <v>340</v>
      </c>
      <c r="AI257" s="244">
        <v>425</v>
      </c>
      <c r="AJ257" s="244"/>
      <c r="AK257" s="244"/>
      <c r="AL257" s="757"/>
      <c r="AM257" s="825">
        <f>SUM(G257:AJ257)</f>
        <v>18001</v>
      </c>
      <c r="CN257" s="144"/>
    </row>
    <row r="258" spans="3:92 15058:15450" s="16" customFormat="1" x14ac:dyDescent="0.25">
      <c r="C258" s="17"/>
      <c r="D258" s="43" t="s">
        <v>11</v>
      </c>
      <c r="E258" s="251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M258" s="120">
        <f>(AM257/10)</f>
        <v>1800.1</v>
      </c>
      <c r="AO258" s="139">
        <f>AM258-AM260-AM262</f>
        <v>1713.902022528267</v>
      </c>
      <c r="CN258" s="144"/>
    </row>
    <row r="259" spans="3:92 15058:15450" s="16" customFormat="1" x14ac:dyDescent="0.2">
      <c r="C259" s="17"/>
      <c r="D259" s="242" t="s">
        <v>10</v>
      </c>
      <c r="E259" s="265">
        <v>93.6</v>
      </c>
      <c r="F259" s="243" t="s">
        <v>1026</v>
      </c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>
        <v>60</v>
      </c>
      <c r="W259" s="245">
        <v>138</v>
      </c>
      <c r="X259" s="245">
        <v>109</v>
      </c>
      <c r="Y259" s="245">
        <v>136</v>
      </c>
      <c r="Z259" s="245">
        <v>97</v>
      </c>
      <c r="AA259" s="245">
        <v>72</v>
      </c>
      <c r="AB259" s="245">
        <v>106</v>
      </c>
      <c r="AC259" s="245">
        <v>105</v>
      </c>
      <c r="AD259" s="245">
        <v>82</v>
      </c>
      <c r="AE259" s="245">
        <v>103</v>
      </c>
      <c r="AF259" s="245">
        <v>0</v>
      </c>
      <c r="AG259" s="245">
        <v>0</v>
      </c>
      <c r="AH259" s="245"/>
      <c r="AI259" s="245"/>
      <c r="AJ259" s="245"/>
      <c r="AK259" s="245"/>
      <c r="AM259" s="825">
        <f>SUM(G259:AJ259)</f>
        <v>1008</v>
      </c>
      <c r="CN259" s="144"/>
    </row>
    <row r="260" spans="3:92 15058:15450" s="16" customFormat="1" x14ac:dyDescent="0.25">
      <c r="C260" s="17"/>
      <c r="D260" s="31"/>
      <c r="E260" s="265">
        <f>E259/2500</f>
        <v>3.7440000000000001E-2</v>
      </c>
      <c r="F260" s="32" t="s">
        <v>359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/>
      <c r="L260" s="34"/>
      <c r="M260" s="34">
        <f t="shared" ref="M260:AJ260" si="85">M259/(M9/1000)</f>
        <v>0</v>
      </c>
      <c r="N260" s="34">
        <f t="shared" si="85"/>
        <v>0</v>
      </c>
      <c r="O260" s="34">
        <f t="shared" si="85"/>
        <v>0</v>
      </c>
      <c r="P260" s="34">
        <f t="shared" si="85"/>
        <v>0</v>
      </c>
      <c r="Q260" s="34">
        <f t="shared" si="85"/>
        <v>0</v>
      </c>
      <c r="R260" s="34">
        <f t="shared" si="85"/>
        <v>0</v>
      </c>
      <c r="S260" s="34">
        <f t="shared" si="85"/>
        <v>0</v>
      </c>
      <c r="T260" s="34">
        <f t="shared" si="85"/>
        <v>0</v>
      </c>
      <c r="U260" s="34">
        <f t="shared" si="85"/>
        <v>0</v>
      </c>
      <c r="V260" s="34">
        <f t="shared" si="85"/>
        <v>6.6142232256243827E-2</v>
      </c>
      <c r="W260" s="34">
        <f t="shared" si="85"/>
        <v>7.0327716968651172E-2</v>
      </c>
      <c r="X260" s="34">
        <f t="shared" si="85"/>
        <v>4.5108220414490745E-2</v>
      </c>
      <c r="Y260" s="34">
        <f t="shared" si="85"/>
        <v>6.3095229258371244E-2</v>
      </c>
      <c r="Z260" s="34">
        <f t="shared" si="85"/>
        <v>6.4713173867619531E-2</v>
      </c>
      <c r="AA260" s="34">
        <f t="shared" si="85"/>
        <v>0.10306843314509029</v>
      </c>
      <c r="AB260" s="34">
        <f t="shared" si="85"/>
        <v>6.3278859786583097E-2</v>
      </c>
      <c r="AC260" s="34">
        <f t="shared" si="85"/>
        <v>5.8647717682175166E-2</v>
      </c>
      <c r="AD260" s="34">
        <f t="shared" si="85"/>
        <v>0.11104475509891786</v>
      </c>
      <c r="AE260" s="34">
        <f t="shared" si="85"/>
        <v>0.98079358580039422</v>
      </c>
      <c r="AF260" s="34" t="e">
        <f t="shared" si="85"/>
        <v>#DIV/0!</v>
      </c>
      <c r="AG260" s="34" t="e">
        <f t="shared" si="85"/>
        <v>#DIV/0!</v>
      </c>
      <c r="AH260" s="34" t="e">
        <f t="shared" si="85"/>
        <v>#DIV/0!</v>
      </c>
      <c r="AI260" s="34" t="e">
        <f t="shared" si="85"/>
        <v>#DIV/0!</v>
      </c>
      <c r="AJ260" s="34" t="e">
        <f t="shared" si="85"/>
        <v>#DIV/0!</v>
      </c>
      <c r="AK260" s="34" t="e">
        <f t="shared" ref="AK260" si="86">AK259/(AK9/1000)</f>
        <v>#DIV/0!</v>
      </c>
      <c r="AM260" s="1529">
        <f>AM259/AM9*1000000</f>
        <v>39.88484517142313</v>
      </c>
      <c r="CN260" s="144"/>
    </row>
    <row r="261" spans="3:92 15058:15450" s="16" customFormat="1" x14ac:dyDescent="0.2">
      <c r="C261" s="17"/>
      <c r="D261" s="242" t="s">
        <v>9</v>
      </c>
      <c r="E261" s="1851">
        <v>326</v>
      </c>
      <c r="F261" s="243" t="s">
        <v>1026</v>
      </c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>
        <v>58</v>
      </c>
      <c r="W261" s="245">
        <v>48</v>
      </c>
      <c r="X261" s="245">
        <v>122</v>
      </c>
      <c r="Y261" s="245">
        <v>151</v>
      </c>
      <c r="Z261" s="245">
        <v>54</v>
      </c>
      <c r="AA261" s="245"/>
      <c r="AB261" s="245">
        <v>75</v>
      </c>
      <c r="AC261" s="245">
        <v>113</v>
      </c>
      <c r="AD261" s="245">
        <v>118</v>
      </c>
      <c r="AE261" s="245">
        <v>153</v>
      </c>
      <c r="AF261" s="245">
        <v>131</v>
      </c>
      <c r="AG261" s="245">
        <v>93</v>
      </c>
      <c r="AH261" s="245"/>
      <c r="AI261" s="245"/>
      <c r="AJ261" s="245"/>
      <c r="AK261" s="245"/>
      <c r="AM261" s="825">
        <f>SUM(G261:AJ261)</f>
        <v>1116</v>
      </c>
      <c r="CN261" s="144"/>
    </row>
    <row r="262" spans="3:92 15058:15450" s="16" customFormat="1" x14ac:dyDescent="0.25">
      <c r="C262" s="17"/>
      <c r="D262" s="31"/>
      <c r="E262" s="265">
        <f>E261/2500</f>
        <v>0.13039999999999999</v>
      </c>
      <c r="F262" s="32" t="s">
        <v>359</v>
      </c>
      <c r="G262" s="34" t="e">
        <f>G261/(G24/1000)</f>
        <v>#DIV/0!</v>
      </c>
      <c r="H262" s="34" t="e">
        <f>H261/(H24/1000)</f>
        <v>#DIV/0!</v>
      </c>
      <c r="I262" s="34"/>
      <c r="J262" s="34"/>
      <c r="K262" s="34"/>
      <c r="L262" s="34"/>
      <c r="M262" s="34"/>
      <c r="N262" s="34"/>
      <c r="O262" s="34"/>
      <c r="P262" s="34"/>
      <c r="Q262" s="34">
        <f>Q261/(Q24/1000)</f>
        <v>0</v>
      </c>
      <c r="R262" s="34">
        <f>R261/(R24/1000)</f>
        <v>0</v>
      </c>
      <c r="S262" s="34">
        <f>S261/(S24/1000)</f>
        <v>0</v>
      </c>
      <c r="T262" s="34">
        <f>T261/(T24/1000)</f>
        <v>0</v>
      </c>
      <c r="U262" s="34">
        <f>U261/(U24/1000)</f>
        <v>0</v>
      </c>
      <c r="V262" s="34">
        <f>V261/(V28/1000)</f>
        <v>5.2601173368932844E-2</v>
      </c>
      <c r="W262" s="34">
        <f t="shared" ref="W262:AJ262" si="87">W261/(W24/1000)</f>
        <v>2.0445246352440268E-2</v>
      </c>
      <c r="X262" s="34">
        <f t="shared" si="87"/>
        <v>3.2644236686770522E-2</v>
      </c>
      <c r="Y262" s="34">
        <f t="shared" si="87"/>
        <v>0.10950972279535533</v>
      </c>
      <c r="Z262" s="34">
        <f t="shared" si="87"/>
        <v>1.7462165308498254</v>
      </c>
      <c r="AA262" s="34">
        <f t="shared" si="87"/>
        <v>0</v>
      </c>
      <c r="AB262" s="34">
        <f t="shared" si="87"/>
        <v>6.0940878409946851E-2</v>
      </c>
      <c r="AC262" s="34">
        <f t="shared" si="87"/>
        <v>5.7829293044568984E-2</v>
      </c>
      <c r="AD262" s="34">
        <f t="shared" si="87"/>
        <v>0.10604291862464131</v>
      </c>
      <c r="AE262" s="34">
        <f t="shared" si="87"/>
        <v>0.1029716403988031</v>
      </c>
      <c r="AF262" s="34">
        <f t="shared" si="87"/>
        <v>0.11050022015692718</v>
      </c>
      <c r="AG262" s="34" t="e">
        <f t="shared" si="87"/>
        <v>#DIV/0!</v>
      </c>
      <c r="AH262" s="34" t="e">
        <f t="shared" si="87"/>
        <v>#DIV/0!</v>
      </c>
      <c r="AI262" s="34" t="e">
        <f t="shared" si="87"/>
        <v>#DIV/0!</v>
      </c>
      <c r="AJ262" s="34" t="e">
        <f t="shared" si="87"/>
        <v>#DIV/0!</v>
      </c>
      <c r="AK262" s="34" t="e">
        <f t="shared" ref="AK262" si="88">AK261/(AK24/1000)</f>
        <v>#DIV/0!</v>
      </c>
      <c r="AL262" s="1527"/>
      <c r="AM262" s="1529">
        <f>(AM261/AM28)*1000000</f>
        <v>46.313132300309789</v>
      </c>
      <c r="CN262" s="144"/>
    </row>
    <row r="263" spans="3:92 15058:15450" s="16" customFormat="1" x14ac:dyDescent="0.2">
      <c r="C263" s="17"/>
      <c r="D263" s="242" t="s">
        <v>8</v>
      </c>
      <c r="E263" s="264">
        <v>491.59</v>
      </c>
      <c r="F263" s="243" t="s">
        <v>124</v>
      </c>
      <c r="G263" s="245"/>
      <c r="H263" s="245"/>
      <c r="I263" s="245">
        <v>304</v>
      </c>
      <c r="J263" s="245">
        <v>320</v>
      </c>
      <c r="K263" s="245">
        <v>236</v>
      </c>
      <c r="L263" s="245">
        <v>192</v>
      </c>
      <c r="M263" s="245">
        <v>272</v>
      </c>
      <c r="N263" s="245">
        <v>272</v>
      </c>
      <c r="O263" s="245">
        <v>258</v>
      </c>
      <c r="P263" s="245">
        <v>272</v>
      </c>
      <c r="Q263" s="245">
        <v>272</v>
      </c>
      <c r="R263" s="245">
        <v>224</v>
      </c>
      <c r="S263" s="245">
        <v>368</v>
      </c>
      <c r="T263" s="245">
        <v>304</v>
      </c>
      <c r="U263" s="245">
        <v>352</v>
      </c>
      <c r="V263" s="245">
        <v>320</v>
      </c>
      <c r="W263" s="245">
        <v>304</v>
      </c>
      <c r="X263" s="245">
        <v>384</v>
      </c>
      <c r="Y263" s="245">
        <v>288</v>
      </c>
      <c r="Z263" s="245">
        <v>304</v>
      </c>
      <c r="AA263" s="245"/>
      <c r="AB263" s="245">
        <v>368</v>
      </c>
      <c r="AC263" s="245">
        <v>336</v>
      </c>
      <c r="AD263" s="245">
        <v>384</v>
      </c>
      <c r="AE263" s="245">
        <v>304</v>
      </c>
      <c r="AF263" s="245">
        <v>304</v>
      </c>
      <c r="AG263" s="245">
        <v>288</v>
      </c>
      <c r="AH263" s="245">
        <v>288</v>
      </c>
      <c r="AI263" s="245">
        <v>192</v>
      </c>
      <c r="AJ263" s="245"/>
      <c r="AK263" s="245"/>
      <c r="AM263" s="825">
        <f>SUM(G263:AJ263)</f>
        <v>7710</v>
      </c>
      <c r="CN263" s="144"/>
    </row>
    <row r="264" spans="3:92 15058:15450" s="16" customFormat="1" x14ac:dyDescent="0.2">
      <c r="C264" s="17"/>
      <c r="D264" s="31" t="s">
        <v>7</v>
      </c>
      <c r="E264" s="264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J264" si="89">I257-I259-I261-I263</f>
        <v>3</v>
      </c>
      <c r="J264" s="34">
        <f t="shared" si="89"/>
        <v>330</v>
      </c>
      <c r="K264" s="34">
        <v>297</v>
      </c>
      <c r="L264" s="34">
        <f t="shared" si="89"/>
        <v>413</v>
      </c>
      <c r="M264" s="34">
        <f t="shared" si="89"/>
        <v>482</v>
      </c>
      <c r="N264" s="34">
        <f t="shared" si="89"/>
        <v>293</v>
      </c>
      <c r="O264" s="34">
        <f t="shared" si="89"/>
        <v>550</v>
      </c>
      <c r="P264" s="34">
        <f t="shared" si="89"/>
        <v>271</v>
      </c>
      <c r="Q264" s="34">
        <f t="shared" si="89"/>
        <v>451</v>
      </c>
      <c r="R264" s="34">
        <f t="shared" si="89"/>
        <v>430</v>
      </c>
      <c r="S264" s="34">
        <f t="shared" si="89"/>
        <v>204</v>
      </c>
      <c r="T264" s="34">
        <f t="shared" si="89"/>
        <v>477</v>
      </c>
      <c r="U264" s="34">
        <f t="shared" si="89"/>
        <v>442</v>
      </c>
      <c r="V264" s="34">
        <f t="shared" si="89"/>
        <v>246</v>
      </c>
      <c r="W264" s="34">
        <f t="shared" si="89"/>
        <v>328</v>
      </c>
      <c r="X264" s="34">
        <f t="shared" si="89"/>
        <v>390</v>
      </c>
      <c r="Y264" s="34">
        <f t="shared" si="89"/>
        <v>162</v>
      </c>
      <c r="Z264" s="34">
        <f t="shared" si="89"/>
        <v>166</v>
      </c>
      <c r="AA264" s="34">
        <f t="shared" si="89"/>
        <v>633</v>
      </c>
      <c r="AB264" s="34">
        <f t="shared" si="89"/>
        <v>206</v>
      </c>
      <c r="AC264" s="34">
        <f t="shared" si="89"/>
        <v>156</v>
      </c>
      <c r="AD264" s="34">
        <f t="shared" si="89"/>
        <v>213</v>
      </c>
      <c r="AE264" s="34">
        <f t="shared" si="89"/>
        <v>366</v>
      </c>
      <c r="AF264" s="34">
        <f t="shared" si="89"/>
        <v>95</v>
      </c>
      <c r="AG264" s="34">
        <f t="shared" si="89"/>
        <v>472</v>
      </c>
      <c r="AH264" s="34">
        <f t="shared" si="89"/>
        <v>52</v>
      </c>
      <c r="AI264" s="34">
        <f t="shared" si="89"/>
        <v>233</v>
      </c>
      <c r="AJ264" s="34">
        <f t="shared" si="89"/>
        <v>0</v>
      </c>
      <c r="AK264" s="34">
        <f t="shared" ref="AK264" si="90">AK257-AK259-AK261-AK263</f>
        <v>0</v>
      </c>
      <c r="AM264" s="55">
        <f>SUM(G264:AJ264)</f>
        <v>8361</v>
      </c>
      <c r="CN264" s="144"/>
    </row>
    <row r="265" spans="3:92 15058:15450" s="16" customFormat="1" x14ac:dyDescent="0.2">
      <c r="C265" s="17"/>
      <c r="D265" s="242" t="s">
        <v>6</v>
      </c>
      <c r="E265" s="264">
        <v>330</v>
      </c>
      <c r="F265" s="243" t="s">
        <v>124</v>
      </c>
      <c r="G265" s="245">
        <v>48</v>
      </c>
      <c r="H265" s="245"/>
      <c r="I265" s="245">
        <v>94</v>
      </c>
      <c r="J265" s="245">
        <v>16</v>
      </c>
      <c r="K265" s="245">
        <v>121</v>
      </c>
      <c r="L265" s="245">
        <v>17</v>
      </c>
      <c r="M265" s="245">
        <v>199</v>
      </c>
      <c r="N265" s="245">
        <v>82</v>
      </c>
      <c r="O265" s="245">
        <v>130</v>
      </c>
      <c r="P265" s="245">
        <v>234</v>
      </c>
      <c r="Q265" s="245">
        <v>68</v>
      </c>
      <c r="R265" s="245">
        <v>78</v>
      </c>
      <c r="S265" s="245">
        <v>298</v>
      </c>
      <c r="T265" s="245">
        <v>113</v>
      </c>
      <c r="U265" s="245">
        <v>103</v>
      </c>
      <c r="V265" s="245">
        <v>277</v>
      </c>
      <c r="W265" s="245">
        <v>164</v>
      </c>
      <c r="X265" s="245">
        <v>70</v>
      </c>
      <c r="Y265" s="245">
        <v>219</v>
      </c>
      <c r="Z265" s="245">
        <v>105</v>
      </c>
      <c r="AA265" s="245">
        <v>32</v>
      </c>
      <c r="AB265" s="245">
        <v>152</v>
      </c>
      <c r="AC265" s="245">
        <v>121</v>
      </c>
      <c r="AD265" s="245">
        <v>199</v>
      </c>
      <c r="AE265" s="245">
        <v>204</v>
      </c>
      <c r="AF265" s="245">
        <v>143</v>
      </c>
      <c r="AG265" s="245">
        <v>288</v>
      </c>
      <c r="AH265" s="245">
        <v>194</v>
      </c>
      <c r="AI265" s="245">
        <v>47</v>
      </c>
      <c r="AJ265" s="245"/>
      <c r="AK265" s="245"/>
      <c r="AM265" s="963">
        <f>SUM(G265:AJ265)</f>
        <v>3816</v>
      </c>
      <c r="CN265" s="144"/>
    </row>
    <row r="266" spans="3:92 15058:15450" s="16" customFormat="1" x14ac:dyDescent="0.2">
      <c r="C266" s="958"/>
      <c r="D266" s="959"/>
      <c r="E266" s="960"/>
      <c r="F266" s="961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810"/>
      <c r="AM266" s="962">
        <f>AM265/AM6</f>
        <v>165.91304347826087</v>
      </c>
      <c r="CN266" s="144"/>
    </row>
    <row r="267" spans="3:92 15058:15450" s="1" customFormat="1" x14ac:dyDescent="0.25">
      <c r="C267" s="83">
        <v>7</v>
      </c>
      <c r="D267" s="76" t="s">
        <v>5</v>
      </c>
      <c r="E267" s="77"/>
      <c r="F267" s="78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M267" s="121" t="s">
        <v>135</v>
      </c>
      <c r="CN267" s="141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  <c r="VTZ267" s="46"/>
      <c r="VUA267" s="46"/>
      <c r="VUB267" s="46"/>
      <c r="VUC267" s="46"/>
      <c r="VUD267" s="46"/>
      <c r="VUE267" s="46"/>
      <c r="VUF267" s="46"/>
      <c r="VUG267" s="46"/>
      <c r="VUH267" s="46"/>
      <c r="VUI267" s="46"/>
      <c r="VUJ267" s="46"/>
      <c r="VUK267" s="46"/>
      <c r="VUL267" s="46"/>
      <c r="VUM267" s="46"/>
      <c r="VUN267" s="46"/>
      <c r="VUO267" s="46"/>
      <c r="VUP267" s="46"/>
      <c r="VUQ267" s="46"/>
      <c r="VUR267" s="46"/>
      <c r="VUS267" s="46"/>
      <c r="VUT267" s="46"/>
      <c r="VUU267" s="46"/>
      <c r="VUV267" s="46"/>
      <c r="VUW267" s="46"/>
      <c r="VUX267" s="46"/>
      <c r="VUY267" s="46"/>
      <c r="VUZ267" s="46"/>
      <c r="VVA267" s="46"/>
      <c r="VVB267" s="46"/>
      <c r="VVC267" s="46"/>
      <c r="VVD267" s="46"/>
      <c r="VVE267" s="46"/>
      <c r="VVF267" s="46"/>
    </row>
    <row r="268" spans="3:92 15058:15450" s="1" customFormat="1" x14ac:dyDescent="0.25">
      <c r="C268" s="83"/>
      <c r="D268" s="122" t="s">
        <v>4</v>
      </c>
      <c r="E268" s="1069"/>
      <c r="F268" s="12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M268" s="53" t="s">
        <v>4</v>
      </c>
      <c r="CN268" s="141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  <c r="VTZ268" s="46"/>
      <c r="VUA268" s="46"/>
      <c r="VUB268" s="46"/>
      <c r="VUC268" s="46"/>
      <c r="VUD268" s="46"/>
      <c r="VUE268" s="46"/>
      <c r="VUF268" s="46"/>
      <c r="VUG268" s="46"/>
      <c r="VUH268" s="46"/>
      <c r="VUI268" s="46"/>
      <c r="VUJ268" s="46"/>
      <c r="VUK268" s="46"/>
      <c r="VUL268" s="46"/>
      <c r="VUM268" s="46"/>
      <c r="VUN268" s="46"/>
      <c r="VUO268" s="46"/>
      <c r="VUP268" s="46"/>
      <c r="VUQ268" s="46"/>
      <c r="VUR268" s="46"/>
      <c r="VUS268" s="46"/>
      <c r="VUT268" s="46"/>
      <c r="VUU268" s="46"/>
      <c r="VUV268" s="46"/>
      <c r="VUW268" s="46"/>
      <c r="VUX268" s="46"/>
      <c r="VUY268" s="46"/>
      <c r="VUZ268" s="46"/>
      <c r="VVA268" s="46"/>
      <c r="VVB268" s="46"/>
      <c r="VVC268" s="46"/>
      <c r="VVD268" s="46"/>
      <c r="VVE268" s="46"/>
      <c r="VVF268" s="46"/>
    </row>
    <row r="269" spans="3:92 15058:15450" s="1" customFormat="1" x14ac:dyDescent="0.25">
      <c r="C269" s="83"/>
      <c r="D269" s="235" t="s">
        <v>3</v>
      </c>
      <c r="E269" s="234">
        <v>28770</v>
      </c>
      <c r="F269" s="246" t="s">
        <v>943</v>
      </c>
      <c r="G269" s="275">
        <v>5</v>
      </c>
      <c r="H269" s="1683">
        <v>6.7</v>
      </c>
      <c r="I269" s="245">
        <v>7.4</v>
      </c>
      <c r="J269" s="245">
        <v>6.7</v>
      </c>
      <c r="K269" s="245">
        <v>5.0999999999999996</v>
      </c>
      <c r="L269" s="245">
        <v>4.5999999999999996</v>
      </c>
      <c r="M269" s="245">
        <v>4.4000000000000004</v>
      </c>
      <c r="N269" s="245">
        <v>4.0999999999999996</v>
      </c>
      <c r="O269" s="245">
        <v>5.3</v>
      </c>
      <c r="P269" s="245">
        <v>5</v>
      </c>
      <c r="Q269" s="245">
        <v>5.3</v>
      </c>
      <c r="R269" s="1530">
        <v>5.8</v>
      </c>
      <c r="S269" s="245">
        <v>5.9</v>
      </c>
      <c r="T269" s="245">
        <v>5.3</v>
      </c>
      <c r="U269" s="1530">
        <v>5.0999999999999996</v>
      </c>
      <c r="V269" s="245">
        <v>5.7</v>
      </c>
      <c r="W269" s="245">
        <v>5.7</v>
      </c>
      <c r="X269" s="245">
        <v>50.01</v>
      </c>
      <c r="Y269" s="245">
        <v>50.43</v>
      </c>
      <c r="Z269" s="245">
        <v>38.61</v>
      </c>
      <c r="AA269" s="245">
        <v>41.92</v>
      </c>
      <c r="AB269" s="245">
        <v>47.9</v>
      </c>
      <c r="AC269" s="245">
        <v>48</v>
      </c>
      <c r="AD269" s="245">
        <v>48.75</v>
      </c>
      <c r="AE269" s="245">
        <v>45.32</v>
      </c>
      <c r="AF269" s="245">
        <v>28.8</v>
      </c>
      <c r="AG269" s="245">
        <v>4.5</v>
      </c>
      <c r="AH269" s="245">
        <v>4.5</v>
      </c>
      <c r="AI269" s="245">
        <v>2.4</v>
      </c>
      <c r="AJ269" s="275"/>
      <c r="AK269" s="275"/>
      <c r="AM269" s="1807">
        <f>SUM(G269:AJ269)</f>
        <v>504.23999999999995</v>
      </c>
      <c r="CN269" s="141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  <c r="VUB269" s="46"/>
      <c r="VUC269" s="46"/>
      <c r="VUD269" s="46"/>
      <c r="VUE269" s="46"/>
      <c r="VUF269" s="46"/>
      <c r="VUG269" s="46"/>
      <c r="VUH269" s="46"/>
      <c r="VUI269" s="46"/>
      <c r="VUJ269" s="46"/>
      <c r="VUK269" s="46"/>
      <c r="VUL269" s="46"/>
      <c r="VUM269" s="46"/>
      <c r="VUN269" s="46"/>
      <c r="VUO269" s="46"/>
      <c r="VUP269" s="46"/>
      <c r="VUQ269" s="46"/>
      <c r="VUR269" s="46"/>
      <c r="VUS269" s="46"/>
      <c r="VUT269" s="46"/>
      <c r="VUU269" s="46"/>
      <c r="VUV269" s="46"/>
      <c r="VUW269" s="46"/>
      <c r="VUX269" s="46"/>
      <c r="VUY269" s="46"/>
      <c r="VUZ269" s="46"/>
      <c r="VVA269" s="46"/>
      <c r="VVB269" s="46"/>
      <c r="VVC269" s="46"/>
      <c r="VVD269" s="46"/>
      <c r="VVE269" s="46"/>
      <c r="VVF269" s="46"/>
    </row>
    <row r="270" spans="3:92 15058:15450" s="1" customFormat="1" x14ac:dyDescent="0.25">
      <c r="C270" s="83"/>
      <c r="D270" s="122" t="s">
        <v>1</v>
      </c>
      <c r="E270" s="13"/>
      <c r="F270" s="70" t="s">
        <v>0</v>
      </c>
      <c r="G270" s="282">
        <f>G269</f>
        <v>5</v>
      </c>
      <c r="H270" s="282">
        <f>H269</f>
        <v>6.7</v>
      </c>
      <c r="I270" s="282">
        <f t="shared" ref="I270:AA270" si="91">I269*1000</f>
        <v>7400</v>
      </c>
      <c r="J270" s="282">
        <f t="shared" si="91"/>
        <v>6700</v>
      </c>
      <c r="K270" s="282">
        <f t="shared" si="91"/>
        <v>5100</v>
      </c>
      <c r="L270" s="282">
        <f t="shared" si="91"/>
        <v>4600</v>
      </c>
      <c r="M270" s="282">
        <f t="shared" si="91"/>
        <v>4400</v>
      </c>
      <c r="N270" s="282">
        <f t="shared" si="91"/>
        <v>4100</v>
      </c>
      <c r="O270" s="282">
        <f t="shared" si="91"/>
        <v>5300</v>
      </c>
      <c r="P270" s="282">
        <f t="shared" si="91"/>
        <v>5000</v>
      </c>
      <c r="Q270" s="282">
        <f t="shared" si="91"/>
        <v>5300</v>
      </c>
      <c r="R270" s="282">
        <f t="shared" si="91"/>
        <v>5800</v>
      </c>
      <c r="S270" s="282">
        <f t="shared" si="91"/>
        <v>5900</v>
      </c>
      <c r="T270" s="282">
        <f t="shared" si="91"/>
        <v>5300</v>
      </c>
      <c r="U270" s="282">
        <f t="shared" si="91"/>
        <v>5100</v>
      </c>
      <c r="V270" s="282">
        <f t="shared" si="91"/>
        <v>5700</v>
      </c>
      <c r="W270" s="282">
        <f t="shared" si="91"/>
        <v>5700</v>
      </c>
      <c r="X270" s="282">
        <f t="shared" si="91"/>
        <v>50010</v>
      </c>
      <c r="Y270" s="282">
        <f t="shared" si="91"/>
        <v>50430</v>
      </c>
      <c r="Z270" s="282">
        <f t="shared" si="91"/>
        <v>38610</v>
      </c>
      <c r="AA270" s="282">
        <f t="shared" si="91"/>
        <v>41920</v>
      </c>
      <c r="AB270" s="282">
        <f>AB269*1000</f>
        <v>47900</v>
      </c>
      <c r="AC270" s="282">
        <f>AC269*1000</f>
        <v>48000</v>
      </c>
      <c r="AD270" s="282">
        <f>AD269*1000</f>
        <v>48750</v>
      </c>
      <c r="AE270" s="282">
        <f>AE269*1000</f>
        <v>45320</v>
      </c>
      <c r="AF270" s="282">
        <f>AF269*1000</f>
        <v>28800</v>
      </c>
      <c r="AG270" s="282">
        <f t="shared" ref="AG270:AJ270" si="92">AG269*1000</f>
        <v>4500</v>
      </c>
      <c r="AH270" s="282">
        <f t="shared" si="92"/>
        <v>4500</v>
      </c>
      <c r="AI270" s="282">
        <f t="shared" si="92"/>
        <v>2400</v>
      </c>
      <c r="AJ270" s="282">
        <f t="shared" si="92"/>
        <v>0</v>
      </c>
      <c r="AK270" s="282">
        <f t="shared" ref="AK270" si="93">AK269*1000</f>
        <v>0</v>
      </c>
      <c r="AL270" s="63"/>
      <c r="AM270" s="82">
        <f>SUM(G270:AJ270)</f>
        <v>492551.7</v>
      </c>
      <c r="CN270" s="141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  <c r="VUB270" s="46"/>
      <c r="VUC270" s="46"/>
      <c r="VUD270" s="46"/>
      <c r="VUE270" s="46"/>
      <c r="VUF270" s="46"/>
      <c r="VUG270" s="46"/>
      <c r="VUH270" s="46"/>
      <c r="VUI270" s="46"/>
      <c r="VUJ270" s="46"/>
      <c r="VUK270" s="46"/>
      <c r="VUL270" s="46"/>
      <c r="VUM270" s="46"/>
      <c r="VUN270" s="46"/>
      <c r="VUO270" s="46"/>
      <c r="VUP270" s="46"/>
      <c r="VUQ270" s="46"/>
      <c r="VUR270" s="46"/>
      <c r="VUS270" s="46"/>
      <c r="VUT270" s="46"/>
      <c r="VUU270" s="46"/>
      <c r="VUV270" s="46"/>
      <c r="VUW270" s="46"/>
      <c r="VUX270" s="46"/>
      <c r="VUY270" s="46"/>
      <c r="VUZ270" s="46"/>
      <c r="VVA270" s="46"/>
      <c r="VVB270" s="46"/>
      <c r="VVC270" s="46"/>
      <c r="VVD270" s="46"/>
      <c r="VVE270" s="46"/>
      <c r="VVF270" s="46"/>
    </row>
    <row r="271" spans="3:92 15058:15450" s="1" customFormat="1" x14ac:dyDescent="0.25">
      <c r="C271" s="83"/>
      <c r="D271" s="122" t="s">
        <v>16</v>
      </c>
      <c r="E271" s="13"/>
      <c r="F271" s="70"/>
      <c r="G271" s="282"/>
      <c r="H271" s="282"/>
      <c r="I271" s="282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  <c r="AA271" s="282"/>
      <c r="AB271" s="282"/>
      <c r="AC271" s="282"/>
      <c r="AD271" s="282"/>
      <c r="AE271" s="282"/>
      <c r="AF271" s="282"/>
      <c r="AG271" s="282"/>
      <c r="AH271" s="282"/>
      <c r="AI271" s="282"/>
      <c r="AJ271" s="282"/>
      <c r="AK271" s="282"/>
      <c r="AL271" s="63"/>
      <c r="AM271" s="124" t="s">
        <v>16</v>
      </c>
      <c r="CN271" s="141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  <c r="VUB271" s="46"/>
      <c r="VUC271" s="46"/>
      <c r="VUD271" s="46"/>
      <c r="VUE271" s="46"/>
      <c r="VUF271" s="46"/>
      <c r="VUG271" s="46"/>
      <c r="VUH271" s="46"/>
      <c r="VUI271" s="46"/>
      <c r="VUJ271" s="46"/>
      <c r="VUK271" s="46"/>
      <c r="VUL271" s="46"/>
      <c r="VUM271" s="46"/>
      <c r="VUN271" s="46"/>
      <c r="VUO271" s="46"/>
      <c r="VUP271" s="46"/>
      <c r="VUQ271" s="46"/>
      <c r="VUR271" s="46"/>
      <c r="VUS271" s="46"/>
      <c r="VUT271" s="46"/>
      <c r="VUU271" s="46"/>
      <c r="VUV271" s="46"/>
      <c r="VUW271" s="46"/>
      <c r="VUX271" s="46"/>
      <c r="VUY271" s="46"/>
      <c r="VUZ271" s="46"/>
      <c r="VVA271" s="46"/>
      <c r="VVB271" s="46"/>
      <c r="VVC271" s="46"/>
      <c r="VVD271" s="46"/>
      <c r="VVE271" s="46"/>
      <c r="VVF271" s="46"/>
    </row>
    <row r="272" spans="3:92 15058:15450" x14ac:dyDescent="0.25">
      <c r="C272" s="15"/>
      <c r="D272" s="247" t="s">
        <v>936</v>
      </c>
      <c r="E272" s="266">
        <v>18374.400000000001</v>
      </c>
      <c r="F272" s="246" t="s">
        <v>1027</v>
      </c>
      <c r="G272" s="275"/>
      <c r="H272" s="275"/>
      <c r="I272" s="275"/>
      <c r="J272" s="275">
        <v>2625.47</v>
      </c>
      <c r="K272" s="275">
        <v>5666.03</v>
      </c>
      <c r="L272" s="275">
        <v>8041.1</v>
      </c>
      <c r="M272" s="275">
        <v>13283.5</v>
      </c>
      <c r="N272" s="275">
        <v>13927.73</v>
      </c>
      <c r="O272" s="275">
        <v>14127.05</v>
      </c>
      <c r="P272" s="275">
        <v>6512.75</v>
      </c>
      <c r="Q272" s="275">
        <v>6494.39</v>
      </c>
      <c r="R272" s="275">
        <v>11659.11</v>
      </c>
      <c r="S272" s="275">
        <v>14925.78</v>
      </c>
      <c r="T272" s="275">
        <v>14878.68</v>
      </c>
      <c r="U272" s="275">
        <v>14890.79</v>
      </c>
      <c r="V272" s="275">
        <v>13402.21</v>
      </c>
      <c r="W272" s="275">
        <v>14842.3</v>
      </c>
      <c r="X272" s="275">
        <v>14938</v>
      </c>
      <c r="Y272" s="275">
        <v>14761</v>
      </c>
      <c r="Z272" s="275">
        <v>14605</v>
      </c>
      <c r="AA272" s="275">
        <v>97605</v>
      </c>
      <c r="AB272" s="275">
        <v>148094</v>
      </c>
      <c r="AC272" s="275">
        <v>144696</v>
      </c>
      <c r="AD272" s="275">
        <v>147118</v>
      </c>
      <c r="AE272" s="275">
        <v>15010</v>
      </c>
      <c r="AF272" s="275"/>
      <c r="AG272" s="275"/>
      <c r="AH272" s="275"/>
      <c r="AI272" s="275"/>
      <c r="AJ272" s="275"/>
      <c r="AK272" s="275"/>
      <c r="AM272" s="82">
        <f>SUM(G272:AJ272)</f>
        <v>752103.89</v>
      </c>
      <c r="AQ272" s="3"/>
    </row>
    <row r="273" spans="3:43" x14ac:dyDescent="0.25">
      <c r="C273" s="15"/>
      <c r="D273" s="955"/>
      <c r="E273" s="1757">
        <f>E272/2500</f>
        <v>7.3497600000000007</v>
      </c>
      <c r="F273" s="62" t="s">
        <v>1018</v>
      </c>
      <c r="G273" s="950" t="e">
        <f>G272/G9*1000000</f>
        <v>#DIV/0!</v>
      </c>
      <c r="H273" s="950" t="e">
        <f>H272/H9*1000000</f>
        <v>#DIV/0!</v>
      </c>
      <c r="I273" s="950" t="e">
        <f>I272/I9*1000000</f>
        <v>#DIV/0!</v>
      </c>
      <c r="J273" s="1847">
        <f>J272/J7*1000</f>
        <v>1.8533954833248973</v>
      </c>
      <c r="K273" s="950" t="e">
        <f>K272/K9*100000</f>
        <v>#DIV/0!</v>
      </c>
      <c r="L273" s="950" t="e">
        <f>L272/L9*1000000</f>
        <v>#DIV/0!</v>
      </c>
      <c r="M273" s="1847">
        <f>M272/M7*1000</f>
        <v>10.842664437758446</v>
      </c>
      <c r="N273" s="1847">
        <f>(N272/N9)*1000</f>
        <v>7.4688247741559071</v>
      </c>
      <c r="O273" s="1847">
        <f>(O272/O9)*1000</f>
        <v>8.9329729046128534</v>
      </c>
      <c r="P273" s="1847">
        <f>(P272/P9)*1000</f>
        <v>10.487097942916952</v>
      </c>
      <c r="Q273" s="1847">
        <f>(Q272/Q9)*1000</f>
        <v>26.188746048132138</v>
      </c>
      <c r="R273" s="950">
        <f>R272/R9*1000000</f>
        <v>10966.055304740406</v>
      </c>
      <c r="S273" s="1847">
        <f>(S272/S9)*1000</f>
        <v>6.7959120115394702</v>
      </c>
      <c r="T273" s="950">
        <f>T272/T9*1000000</f>
        <v>9077.2753312309778</v>
      </c>
      <c r="U273" s="950">
        <f>U272/U9*1000000</f>
        <v>9210.5396632176908</v>
      </c>
      <c r="V273" s="1847">
        <f>(V272/V9)*1000</f>
        <v>14.774201442782557</v>
      </c>
      <c r="W273" s="950">
        <f>(W272/W9)*100000</f>
        <v>756.39498084334139</v>
      </c>
      <c r="X273" s="1847">
        <f>(X272/X9)*1000</f>
        <v>6.1818953812079158</v>
      </c>
      <c r="Y273" s="1847">
        <f>(Y272/Y9)*1000</f>
        <v>6.848152052079544</v>
      </c>
      <c r="Z273" s="1847">
        <f>(Z272/Z9)*1000</f>
        <v>9.7436691168719918</v>
      </c>
      <c r="AA273" s="950">
        <f>(AA272/AA9)*10000</f>
        <v>1397.2214468231302</v>
      </c>
      <c r="AB273" s="950">
        <f>(AB272/AB9)*100000</f>
        <v>8840.773076636071</v>
      </c>
      <c r="AC273" s="950">
        <f t="shared" ref="AC273:AJ273" si="94">AC272/AC9*1000000</f>
        <v>80819.906264190649</v>
      </c>
      <c r="AD273" s="950">
        <f t="shared" si="94"/>
        <v>199227.83269076337</v>
      </c>
      <c r="AE273" s="950">
        <f t="shared" si="94"/>
        <v>142929.24002780503</v>
      </c>
      <c r="AF273" s="950" t="e">
        <f t="shared" si="94"/>
        <v>#DIV/0!</v>
      </c>
      <c r="AG273" s="950" t="e">
        <f t="shared" si="94"/>
        <v>#DIV/0!</v>
      </c>
      <c r="AH273" s="950" t="e">
        <f t="shared" si="94"/>
        <v>#DIV/0!</v>
      </c>
      <c r="AI273" s="950" t="e">
        <f t="shared" si="94"/>
        <v>#DIV/0!</v>
      </c>
      <c r="AJ273" s="950" t="e">
        <f t="shared" si="94"/>
        <v>#DIV/0!</v>
      </c>
      <c r="AK273" s="950" t="e">
        <f t="shared" ref="AK273" si="95">AK272/AK9*1000000</f>
        <v>#DIV/0!</v>
      </c>
      <c r="AL273" s="63"/>
      <c r="AM273" s="957">
        <f>AM272/AM9*1000</f>
        <v>29.759471434003029</v>
      </c>
      <c r="AQ273" s="3"/>
    </row>
    <row r="274" spans="3:43" x14ac:dyDescent="0.25">
      <c r="C274" s="15"/>
      <c r="D274" s="247" t="s">
        <v>119</v>
      </c>
      <c r="E274" s="266">
        <v>10946.28</v>
      </c>
      <c r="F274" s="246" t="s">
        <v>1027</v>
      </c>
      <c r="G274" s="275"/>
      <c r="H274" s="275"/>
      <c r="I274" s="275"/>
      <c r="J274" s="1530">
        <v>541.80999999999995</v>
      </c>
      <c r="K274" s="275">
        <v>3493.71</v>
      </c>
      <c r="L274" s="275">
        <v>7610.37</v>
      </c>
      <c r="M274" s="275">
        <v>8735.89</v>
      </c>
      <c r="N274" s="275">
        <v>10353.58</v>
      </c>
      <c r="O274" s="275">
        <v>9622.99</v>
      </c>
      <c r="P274" s="275">
        <v>6587.32</v>
      </c>
      <c r="Q274" s="275">
        <v>5465.6</v>
      </c>
      <c r="R274" s="275">
        <v>8743.06</v>
      </c>
      <c r="S274" s="275">
        <v>10652.32</v>
      </c>
      <c r="T274" s="275">
        <v>10054.23</v>
      </c>
      <c r="U274" s="275">
        <v>8824.34</v>
      </c>
      <c r="V274" s="275">
        <v>7841.26</v>
      </c>
      <c r="W274" s="275">
        <v>10094.299999999999</v>
      </c>
      <c r="X274" s="275">
        <v>11200.9</v>
      </c>
      <c r="Y274" s="275">
        <v>10166.299999999999</v>
      </c>
      <c r="Z274" s="275">
        <v>8573.4</v>
      </c>
      <c r="AA274" s="275">
        <v>7505.3</v>
      </c>
      <c r="AB274" s="275">
        <v>8966.2000000000007</v>
      </c>
      <c r="AC274" s="275">
        <v>9116.5</v>
      </c>
      <c r="AD274" s="275">
        <v>8336</v>
      </c>
      <c r="AE274" s="275">
        <v>7243</v>
      </c>
      <c r="AF274" s="275"/>
      <c r="AG274" s="275"/>
      <c r="AH274" s="275"/>
      <c r="AI274" s="275"/>
      <c r="AJ274" s="275"/>
      <c r="AK274" s="275"/>
      <c r="AM274" s="82">
        <f>SUM(G274:AJ274)</f>
        <v>179728.37999999998</v>
      </c>
      <c r="AQ274" s="3"/>
    </row>
    <row r="275" spans="3:43" x14ac:dyDescent="0.25">
      <c r="C275" s="15"/>
      <c r="D275" s="955"/>
      <c r="E275" s="1757">
        <f>E274/2500</f>
        <v>4.3785120000000006</v>
      </c>
      <c r="F275" s="62" t="s">
        <v>1018</v>
      </c>
      <c r="G275" s="950" t="e">
        <f>G274/G9*1000000</f>
        <v>#DIV/0!</v>
      </c>
      <c r="H275" s="950" t="e">
        <f>H274/H9*1000000</f>
        <v>#DIV/0!</v>
      </c>
      <c r="I275" s="950" t="e">
        <f>I274/I9*1000000</f>
        <v>#DIV/0!</v>
      </c>
      <c r="J275" s="1847" t="e">
        <f>J274/J9*1000</f>
        <v>#DIV/0!</v>
      </c>
      <c r="K275" s="950" t="e">
        <f>K274/K9*1000000</f>
        <v>#DIV/0!</v>
      </c>
      <c r="L275" s="950" t="e">
        <f>L274/L9*1000000</f>
        <v>#DIV/0!</v>
      </c>
      <c r="M275" s="1847">
        <f>M274/M9*1000</f>
        <v>17.665356981806635</v>
      </c>
      <c r="N275" s="1847">
        <f>N274/N9*1000</f>
        <v>5.5521664194527833</v>
      </c>
      <c r="O275" s="1847">
        <f>O274/O9*1000</f>
        <v>6.0849157418824493</v>
      </c>
      <c r="P275" s="1847">
        <f>P274/P9*1000</f>
        <v>10.607173624250231</v>
      </c>
      <c r="Q275" s="1847">
        <f>Q274/Q9*1000</f>
        <v>22.040131621394931</v>
      </c>
      <c r="R275" s="950">
        <f>R274/R9*1000000</f>
        <v>8223.3446200150483</v>
      </c>
      <c r="S275" s="1847">
        <f>S274/S9*1000</f>
        <v>4.8501471573855524</v>
      </c>
      <c r="T275" s="950">
        <f>T274/T9*1000000</f>
        <v>6133.9456157080076</v>
      </c>
      <c r="U275" s="950">
        <f>U274/U9*1000000</f>
        <v>5458.2015844504158</v>
      </c>
      <c r="V275" s="1847">
        <f t="shared" ref="V275:AB275" si="96">V274/V9*1000</f>
        <v>8.6439740016932411</v>
      </c>
      <c r="W275" s="1847">
        <f t="shared" si="96"/>
        <v>5.1442686478018507</v>
      </c>
      <c r="X275" s="1847">
        <f t="shared" si="96"/>
        <v>4.6353455600061411</v>
      </c>
      <c r="Y275" s="1847">
        <f t="shared" si="96"/>
        <v>4.7165075677160271</v>
      </c>
      <c r="Z275" s="1847">
        <f t="shared" si="96"/>
        <v>5.719710565326281</v>
      </c>
      <c r="AA275" s="1847">
        <f t="shared" si="96"/>
        <v>10.74388210116453</v>
      </c>
      <c r="AB275" s="1847">
        <f t="shared" si="96"/>
        <v>5.3525557794194469</v>
      </c>
      <c r="AC275" s="950">
        <f t="shared" ref="AC275:AJ275" si="97">AC274/AC9*1000000</f>
        <v>5092.018269043333</v>
      </c>
      <c r="AD275" s="950">
        <f t="shared" si="97"/>
        <v>11288.647298836333</v>
      </c>
      <c r="AE275" s="950">
        <f t="shared" si="97"/>
        <v>68969.785844196653</v>
      </c>
      <c r="AF275" s="950" t="e">
        <f t="shared" si="97"/>
        <v>#DIV/0!</v>
      </c>
      <c r="AG275" s="950" t="e">
        <f t="shared" si="97"/>
        <v>#DIV/0!</v>
      </c>
      <c r="AH275" s="950" t="e">
        <f t="shared" si="97"/>
        <v>#DIV/0!</v>
      </c>
      <c r="AI275" s="950" t="e">
        <f t="shared" si="97"/>
        <v>#DIV/0!</v>
      </c>
      <c r="AJ275" s="950" t="e">
        <f t="shared" si="97"/>
        <v>#DIV/0!</v>
      </c>
      <c r="AK275" s="950" t="e">
        <f t="shared" ref="AK275" si="98">AK274/AK9*1000000</f>
        <v>#DIV/0!</v>
      </c>
      <c r="AL275" s="63"/>
      <c r="AM275" s="957">
        <f>AM274/AM9*1000</f>
        <v>7.1115462392963291</v>
      </c>
    </row>
    <row r="276" spans="3:43" x14ac:dyDescent="0.25">
      <c r="C276" s="15"/>
      <c r="D276" s="44" t="s">
        <v>15</v>
      </c>
      <c r="E276" s="533"/>
      <c r="F276" s="45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  <c r="AA276" s="299"/>
      <c r="AB276" s="299"/>
      <c r="AC276" s="299"/>
      <c r="AD276" s="299"/>
      <c r="AE276" s="299"/>
      <c r="AF276" s="299"/>
      <c r="AG276" s="299"/>
      <c r="AH276" s="299"/>
      <c r="AI276" s="299"/>
      <c r="AJ276" s="299"/>
      <c r="AK276" s="299"/>
      <c r="AM276" s="125" t="s">
        <v>15</v>
      </c>
    </row>
    <row r="277" spans="3:43" x14ac:dyDescent="0.25">
      <c r="C277" s="15"/>
      <c r="D277" s="247" t="s">
        <v>951</v>
      </c>
      <c r="E277" s="266">
        <v>10272</v>
      </c>
      <c r="F277" s="246" t="s">
        <v>1027</v>
      </c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>
        <f t="shared" ref="W277:AF277" si="99">313*24*2</f>
        <v>15024</v>
      </c>
      <c r="X277" s="275">
        <f t="shared" si="99"/>
        <v>15024</v>
      </c>
      <c r="Y277" s="275">
        <f t="shared" si="99"/>
        <v>15024</v>
      </c>
      <c r="Z277" s="275">
        <f t="shared" si="99"/>
        <v>15024</v>
      </c>
      <c r="AA277" s="275">
        <f t="shared" si="99"/>
        <v>15024</v>
      </c>
      <c r="AB277" s="275">
        <f t="shared" si="99"/>
        <v>15024</v>
      </c>
      <c r="AC277" s="275">
        <f t="shared" si="99"/>
        <v>15024</v>
      </c>
      <c r="AD277" s="275">
        <f t="shared" si="99"/>
        <v>15024</v>
      </c>
      <c r="AE277" s="275">
        <f t="shared" si="99"/>
        <v>15024</v>
      </c>
      <c r="AF277" s="275">
        <f t="shared" si="99"/>
        <v>15024</v>
      </c>
      <c r="AG277" s="275">
        <v>7224</v>
      </c>
      <c r="AH277" s="275">
        <v>7224</v>
      </c>
      <c r="AI277" s="275"/>
      <c r="AJ277" s="275"/>
      <c r="AK277" s="275"/>
      <c r="AM277" s="82">
        <f>SUM(G277:AJ277)</f>
        <v>164688</v>
      </c>
    </row>
    <row r="278" spans="3:43" x14ac:dyDescent="0.25">
      <c r="C278" s="15"/>
      <c r="D278" s="955"/>
      <c r="E278" s="1757">
        <f>E277/2500</f>
        <v>4.1087999999999996</v>
      </c>
      <c r="F278" s="62" t="s">
        <v>1018</v>
      </c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4">
        <f t="shared" ref="W278:AH278" si="100">(W277/W28)*1000</f>
        <v>6.6226012135264343</v>
      </c>
      <c r="X278" s="34">
        <f t="shared" si="100"/>
        <v>5.1505871374508096</v>
      </c>
      <c r="Y278" s="34">
        <f t="shared" si="100"/>
        <v>10.733460262121044</v>
      </c>
      <c r="Z278" s="34">
        <f t="shared" si="100"/>
        <v>65.843044276642459</v>
      </c>
      <c r="AA278" s="34">
        <f t="shared" si="100"/>
        <v>27.507616592453711</v>
      </c>
      <c r="AB278" s="34">
        <f t="shared" si="100"/>
        <v>12.207676763080553</v>
      </c>
      <c r="AC278" s="34">
        <f t="shared" si="100"/>
        <v>9.4160058311047816</v>
      </c>
      <c r="AD278" s="34">
        <f t="shared" si="100"/>
        <v>10.057598226263828</v>
      </c>
      <c r="AE278" s="34">
        <f t="shared" si="100"/>
        <v>9.5439013746038466</v>
      </c>
      <c r="AF278" s="34">
        <f t="shared" si="100"/>
        <v>7.3562714123365422</v>
      </c>
      <c r="AG278" s="34">
        <f t="shared" si="100"/>
        <v>32.343420504761525</v>
      </c>
      <c r="AH278" s="34">
        <f t="shared" si="100"/>
        <v>49.697303247110625</v>
      </c>
      <c r="AI278" s="34" t="e">
        <f t="shared" ref="AI278:AJ278" si="101">(AI277/AI28)*1000</f>
        <v>#DIV/0!</v>
      </c>
      <c r="AJ278" s="34" t="e">
        <f t="shared" si="101"/>
        <v>#DIV/0!</v>
      </c>
      <c r="AK278" s="34" t="e">
        <f t="shared" ref="AK278" si="102">(AK277/AK28)*1000</f>
        <v>#DIV/0!</v>
      </c>
      <c r="AM278" s="966">
        <f>AM277/AM24*1000</f>
        <v>6.8299994604446406</v>
      </c>
    </row>
    <row r="279" spans="3:43" x14ac:dyDescent="0.25">
      <c r="C279" s="15"/>
      <c r="D279" s="247" t="s">
        <v>121</v>
      </c>
      <c r="E279" s="266">
        <v>11201.3</v>
      </c>
      <c r="F279" s="246" t="s">
        <v>1027</v>
      </c>
      <c r="G279" s="275"/>
      <c r="H279" s="275"/>
      <c r="I279" s="275"/>
      <c r="J279" s="275"/>
      <c r="K279" s="275"/>
      <c r="L279" s="275"/>
      <c r="M279" s="275"/>
      <c r="N279" s="275">
        <v>4415.3999999999996</v>
      </c>
      <c r="O279" s="275">
        <v>792.3</v>
      </c>
      <c r="P279" s="275">
        <v>20089.900000000001</v>
      </c>
      <c r="Q279" s="275">
        <v>6122.6</v>
      </c>
      <c r="R279" s="275">
        <v>7398.7</v>
      </c>
      <c r="S279" s="275">
        <v>8010.8</v>
      </c>
      <c r="T279" s="275">
        <v>9311.7000000000007</v>
      </c>
      <c r="U279" s="275">
        <v>9699.2999999999993</v>
      </c>
      <c r="V279" s="275">
        <v>5551.1</v>
      </c>
      <c r="W279" s="275">
        <v>9280.7999999999993</v>
      </c>
      <c r="X279" s="275">
        <v>7607.66</v>
      </c>
      <c r="Y279" s="275">
        <v>9865.2999999999993</v>
      </c>
      <c r="Z279" s="275">
        <v>6287.7</v>
      </c>
      <c r="AA279" s="275">
        <v>8230.7999999999993</v>
      </c>
      <c r="AB279" s="275">
        <v>10452.1</v>
      </c>
      <c r="AC279" s="275">
        <v>8924.2999999999993</v>
      </c>
      <c r="AD279" s="275">
        <v>9810.6</v>
      </c>
      <c r="AE279" s="275">
        <v>9692.4</v>
      </c>
      <c r="AF279" s="275">
        <v>8234.1</v>
      </c>
      <c r="AG279" s="275">
        <v>4169.8</v>
      </c>
      <c r="AH279" s="275">
        <v>759.4</v>
      </c>
      <c r="AI279" s="275"/>
      <c r="AJ279" s="275"/>
      <c r="AK279" s="275"/>
      <c r="AM279" s="82">
        <f>SUM(G279:AJ279)</f>
        <v>164706.76</v>
      </c>
    </row>
    <row r="280" spans="3:43" x14ac:dyDescent="0.25">
      <c r="C280" s="1995"/>
      <c r="D280" s="2014"/>
      <c r="E280" s="2015">
        <f>E279/2500</f>
        <v>4.4805199999999994</v>
      </c>
      <c r="F280" s="1997" t="s">
        <v>1018</v>
      </c>
      <c r="G280" s="2016"/>
      <c r="H280" s="2016"/>
      <c r="I280" s="2016"/>
      <c r="J280" s="2016"/>
      <c r="K280" s="2016"/>
      <c r="L280" s="2016"/>
      <c r="M280" s="2016"/>
      <c r="N280" s="2016" t="e">
        <f>N279/N28*1000000</f>
        <v>#DIV/0!</v>
      </c>
      <c r="O280" s="2016" t="e">
        <f>O279/O28*1000000</f>
        <v>#DIV/0!</v>
      </c>
      <c r="P280" s="2017">
        <f>(P279/P28)*1000</f>
        <v>112.28175091100132</v>
      </c>
      <c r="Q280" s="2017">
        <f>(Q279/Q28)*1000</f>
        <v>8.766634497807841</v>
      </c>
      <c r="R280" s="2016">
        <f>R279/R28*1000000</f>
        <v>7229.6420502958808</v>
      </c>
      <c r="S280" s="2017">
        <f>(S279/S28)*1000</f>
        <v>5.8636490067194664</v>
      </c>
      <c r="T280" s="2016">
        <f>T279/T28*1000000</f>
        <v>4791.9855165393674</v>
      </c>
      <c r="U280" s="2016">
        <f>U279/U28*1000000</f>
        <v>4576.9355818247623</v>
      </c>
      <c r="V280" s="2017">
        <f t="shared" ref="V280:AF280" si="103">(V279/V28)*1000</f>
        <v>5.0343857497979849</v>
      </c>
      <c r="W280" s="2017">
        <f t="shared" si="103"/>
        <v>4.0909902384515524</v>
      </c>
      <c r="X280" s="2017">
        <f t="shared" si="103"/>
        <v>2.6080881084996688</v>
      </c>
      <c r="Y280" s="2017">
        <f t="shared" si="103"/>
        <v>7.047976938491928</v>
      </c>
      <c r="Z280" s="2017">
        <f t="shared" si="103"/>
        <v>27.555997703557296</v>
      </c>
      <c r="AA280" s="2017">
        <f t="shared" si="103"/>
        <v>15.069867588469648</v>
      </c>
      <c r="AB280" s="2017">
        <f t="shared" si="103"/>
        <v>8.4928020697147399</v>
      </c>
      <c r="AC280" s="2017">
        <f t="shared" si="103"/>
        <v>5.5931350398381525</v>
      </c>
      <c r="AD280" s="2017">
        <f t="shared" si="103"/>
        <v>6.5675634423977574</v>
      </c>
      <c r="AE280" s="2017">
        <f t="shared" si="103"/>
        <v>6.1570360545267784</v>
      </c>
      <c r="AF280" s="2017">
        <f t="shared" si="103"/>
        <v>4.0317009076358046</v>
      </c>
      <c r="AG280" s="2017">
        <f t="shared" ref="AG280:AH280" si="104">(AG279/AG28)*1000</f>
        <v>18.669102273083418</v>
      </c>
      <c r="AH280" s="2017">
        <f t="shared" si="104"/>
        <v>5.2242707760044027</v>
      </c>
      <c r="AI280" s="2016" t="e">
        <f>AI279/AI28*100000</f>
        <v>#DIV/0!</v>
      </c>
      <c r="AJ280" s="2016" t="e">
        <f>AJ279/AJ28*100000</f>
        <v>#DIV/0!</v>
      </c>
      <c r="AK280" s="2016" t="e">
        <f>AK279/AK28*100000</f>
        <v>#DIV/0!</v>
      </c>
      <c r="AL280" s="63"/>
      <c r="AM280" s="966">
        <f>AM279/AM24*1000</f>
        <v>6.8307774818540814</v>
      </c>
    </row>
    <row r="281" spans="3:43" hidden="1" x14ac:dyDescent="0.25">
      <c r="C281" s="1995"/>
      <c r="D281" s="1996" t="s">
        <v>7</v>
      </c>
      <c r="E281" s="548"/>
      <c r="F281" s="1997"/>
      <c r="G281" s="1998"/>
      <c r="H281" s="1998"/>
      <c r="I281" s="1998"/>
      <c r="J281" s="1998"/>
      <c r="K281" s="1998"/>
      <c r="L281" s="1998"/>
      <c r="M281" s="1998"/>
      <c r="N281" s="1998"/>
      <c r="O281" s="1998"/>
      <c r="P281" s="1998"/>
      <c r="Q281" s="1998"/>
      <c r="R281" s="1998"/>
      <c r="S281" s="1998"/>
      <c r="T281" s="1998"/>
      <c r="U281" s="1998"/>
      <c r="V281" s="1998"/>
      <c r="W281" s="1998"/>
      <c r="X281" s="1998"/>
      <c r="Y281" s="1998"/>
      <c r="Z281" s="1998"/>
      <c r="AA281" s="1998"/>
      <c r="AB281" s="1998"/>
      <c r="AC281" s="1998"/>
      <c r="AD281" s="1998"/>
      <c r="AE281" s="1998"/>
      <c r="AF281" s="1998"/>
      <c r="AG281" s="1998"/>
      <c r="AH281" s="1998"/>
      <c r="AI281" s="1998"/>
      <c r="AJ281" s="1998"/>
      <c r="AK281" s="1998"/>
      <c r="AL281" s="1999"/>
      <c r="AM281" s="2000" t="s">
        <v>7</v>
      </c>
    </row>
    <row r="282" spans="3:43" hidden="1" x14ac:dyDescent="0.25">
      <c r="C282" s="15"/>
      <c r="D282" s="247" t="s">
        <v>122</v>
      </c>
      <c r="E282" s="266">
        <v>11.81</v>
      </c>
      <c r="F282" s="246" t="s">
        <v>2</v>
      </c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008"/>
      <c r="AM282" s="82">
        <f>SUM(G282:AJ282)</f>
        <v>0</v>
      </c>
    </row>
    <row r="283" spans="3:43" ht="15.75" hidden="1" thickBot="1" x14ac:dyDescent="0.3">
      <c r="C283" s="19"/>
      <c r="D283" s="248" t="s">
        <v>123</v>
      </c>
      <c r="E283" s="267">
        <v>241.12</v>
      </c>
      <c r="F283" s="249" t="s">
        <v>2</v>
      </c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2008"/>
      <c r="AM283" s="268">
        <f>SUM(G283:AJ283)</f>
        <v>0</v>
      </c>
    </row>
    <row r="285" spans="3:43" x14ac:dyDescent="0.25">
      <c r="E285" s="1975"/>
    </row>
    <row r="306" spans="3:92 15058:15450" s="1" customFormat="1" x14ac:dyDescent="0.25">
      <c r="C306" s="5"/>
      <c r="F306" s="2"/>
      <c r="CN306" s="141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  <c r="VTZ306" s="46"/>
      <c r="VUA306" s="46"/>
      <c r="VUB306" s="46"/>
      <c r="VUC306" s="46"/>
      <c r="VUD306" s="46"/>
      <c r="VUE306" s="46"/>
      <c r="VUF306" s="46"/>
      <c r="VUG306" s="46"/>
      <c r="VUH306" s="46"/>
      <c r="VUI306" s="46"/>
      <c r="VUJ306" s="46"/>
      <c r="VUK306" s="46"/>
      <c r="VUL306" s="46"/>
      <c r="VUM306" s="46"/>
      <c r="VUN306" s="46"/>
      <c r="VUO306" s="46"/>
      <c r="VUP306" s="46"/>
      <c r="VUQ306" s="46"/>
      <c r="VUR306" s="46"/>
      <c r="VUS306" s="46"/>
      <c r="VUT306" s="46"/>
      <c r="VUU306" s="46"/>
      <c r="VUV306" s="46"/>
      <c r="VUW306" s="46"/>
      <c r="VUX306" s="46"/>
      <c r="VUY306" s="46"/>
      <c r="VUZ306" s="46"/>
      <c r="VVA306" s="46"/>
      <c r="VVB306" s="46"/>
      <c r="VVC306" s="46"/>
      <c r="VVD306" s="46"/>
      <c r="VVE306" s="46"/>
      <c r="VVF306" s="46"/>
    </row>
  </sheetData>
  <mergeCells count="7">
    <mergeCell ref="AM2:AM3"/>
    <mergeCell ref="C1:V1"/>
    <mergeCell ref="G2:V2"/>
    <mergeCell ref="C2:C3"/>
    <mergeCell ref="D2:D3"/>
    <mergeCell ref="E2:E3"/>
    <mergeCell ref="F2:F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9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7109375" style="1" customWidth="1"/>
    <col min="3" max="3" width="11.42578125" style="1" customWidth="1"/>
    <col min="4" max="4" width="8.7109375" style="1" customWidth="1"/>
    <col min="5" max="5" width="14" style="1" customWidth="1"/>
    <col min="6" max="6" width="13.7109375" customWidth="1"/>
    <col min="7" max="7" width="12.7109375" customWidth="1"/>
    <col min="8" max="8" width="16.7109375" customWidth="1"/>
    <col min="9" max="9" width="19.5703125" customWidth="1"/>
  </cols>
  <sheetData>
    <row r="1" spans="1:9" ht="15" customHeight="1" thickTop="1" x14ac:dyDescent="0.25">
      <c r="A1" s="2034"/>
      <c r="B1" s="1914"/>
      <c r="C1" s="2037" t="s">
        <v>1052</v>
      </c>
      <c r="D1" s="2038"/>
      <c r="E1" s="2038"/>
      <c r="F1" s="2038"/>
      <c r="G1" s="2038"/>
      <c r="H1" s="2038"/>
      <c r="I1" s="2039"/>
    </row>
    <row r="2" spans="1:9" ht="14.65" customHeight="1" x14ac:dyDescent="0.25">
      <c r="A2" s="2035"/>
      <c r="B2" s="1915"/>
      <c r="C2" s="2040" t="s">
        <v>1053</v>
      </c>
      <c r="D2" s="2041"/>
      <c r="E2" s="2041"/>
      <c r="F2" s="2041"/>
      <c r="G2" s="2041"/>
      <c r="H2" s="2041"/>
      <c r="I2" s="2042"/>
    </row>
    <row r="3" spans="1:9" ht="14.65" customHeight="1" x14ac:dyDescent="0.25">
      <c r="A3" s="2035"/>
      <c r="B3" s="1916"/>
      <c r="C3" s="2043" t="s">
        <v>1054</v>
      </c>
      <c r="D3" s="2044"/>
      <c r="E3" s="2044"/>
      <c r="F3" s="2044"/>
      <c r="G3" s="2044"/>
      <c r="H3" s="2044"/>
      <c r="I3" s="2045"/>
    </row>
    <row r="4" spans="1:9" ht="14.65" customHeight="1" x14ac:dyDescent="0.25">
      <c r="A4" s="2035"/>
      <c r="B4" s="1916"/>
      <c r="C4" s="2046" t="s">
        <v>1055</v>
      </c>
      <c r="D4" s="2047"/>
      <c r="E4" s="2047"/>
      <c r="F4" s="2047"/>
      <c r="G4" s="2047"/>
      <c r="H4" s="1904" t="s">
        <v>1059</v>
      </c>
      <c r="I4" s="1918">
        <v>1</v>
      </c>
    </row>
    <row r="5" spans="1:9" ht="14.65" customHeight="1" x14ac:dyDescent="0.25">
      <c r="A5" s="2035"/>
      <c r="B5" s="1916"/>
      <c r="C5" s="2048"/>
      <c r="D5" s="2049"/>
      <c r="E5" s="2049"/>
      <c r="F5" s="2049"/>
      <c r="G5" s="2049"/>
      <c r="H5" s="1919" t="s">
        <v>1056</v>
      </c>
      <c r="I5" s="1920" t="s">
        <v>1058</v>
      </c>
    </row>
    <row r="6" spans="1:9" ht="15" customHeight="1" thickBot="1" x14ac:dyDescent="0.3">
      <c r="A6" s="2036"/>
      <c r="B6" s="1917"/>
      <c r="C6" s="2050"/>
      <c r="D6" s="2051"/>
      <c r="E6" s="2051"/>
      <c r="F6" s="2051"/>
      <c r="G6" s="2051"/>
      <c r="H6" s="1905" t="s">
        <v>1057</v>
      </c>
      <c r="I6" s="1921" t="s">
        <v>1058</v>
      </c>
    </row>
    <row r="7" spans="1:9" ht="21" customHeight="1" thickTop="1" thickBot="1" x14ac:dyDescent="0.4">
      <c r="A7" s="1895"/>
      <c r="B7" s="1895"/>
      <c r="C7" s="1895"/>
      <c r="D7" s="1895"/>
      <c r="E7" s="1896"/>
      <c r="F7" s="1896"/>
      <c r="G7" s="1896"/>
      <c r="H7" s="1896"/>
    </row>
    <row r="8" spans="1:9" ht="14.65" customHeight="1" x14ac:dyDescent="0.25">
      <c r="A8" s="2028" t="s">
        <v>99</v>
      </c>
      <c r="B8" s="2032" t="s">
        <v>100</v>
      </c>
      <c r="C8" s="2030" t="s">
        <v>1049</v>
      </c>
      <c r="D8" s="2055" t="s">
        <v>1036</v>
      </c>
      <c r="E8" s="2057" t="s">
        <v>1051</v>
      </c>
      <c r="F8" s="2058"/>
      <c r="G8" s="2058"/>
      <c r="H8" s="2058"/>
      <c r="I8" s="2059"/>
    </row>
    <row r="9" spans="1:9" ht="15.75" thickBot="1" x14ac:dyDescent="0.3">
      <c r="A9" s="2053"/>
      <c r="B9" s="2054"/>
      <c r="C9" s="2052"/>
      <c r="D9" s="2056"/>
      <c r="E9" s="2060"/>
      <c r="F9" s="2061"/>
      <c r="G9" s="2061"/>
      <c r="H9" s="2061"/>
      <c r="I9" s="2062"/>
    </row>
    <row r="10" spans="1:9" ht="15.75" thickBot="1" x14ac:dyDescent="0.3">
      <c r="A10" s="1862">
        <v>1</v>
      </c>
      <c r="B10" s="1720" t="s">
        <v>85</v>
      </c>
      <c r="C10" s="1820" t="s">
        <v>994</v>
      </c>
      <c r="D10" s="1820" t="s">
        <v>1047</v>
      </c>
      <c r="E10" s="1906" t="s">
        <v>945</v>
      </c>
      <c r="F10" s="1906" t="s">
        <v>946</v>
      </c>
      <c r="G10" s="1821" t="s">
        <v>188</v>
      </c>
      <c r="H10" s="1822" t="s">
        <v>1000</v>
      </c>
      <c r="I10" s="1912" t="s">
        <v>1050</v>
      </c>
    </row>
    <row r="11" spans="1:9" ht="15.75" x14ac:dyDescent="0.25">
      <c r="A11" s="8"/>
      <c r="B11" s="1832" t="s">
        <v>558</v>
      </c>
      <c r="C11" s="251"/>
      <c r="D11" s="251"/>
      <c r="E11" s="33"/>
      <c r="F11" s="1863"/>
      <c r="G11" s="1863"/>
      <c r="H11" s="1897"/>
      <c r="I11" s="1907"/>
    </row>
    <row r="12" spans="1:9" hidden="1" x14ac:dyDescent="0.25">
      <c r="A12" s="8"/>
      <c r="B12" s="11" t="s">
        <v>84</v>
      </c>
      <c r="C12" s="251"/>
      <c r="D12" s="251"/>
      <c r="E12" s="33"/>
      <c r="I12" s="1908"/>
    </row>
    <row r="13" spans="1:9" hidden="1" x14ac:dyDescent="0.25">
      <c r="A13" s="8"/>
      <c r="B13" s="72" t="s">
        <v>125</v>
      </c>
      <c r="C13" s="251"/>
      <c r="D13" s="251"/>
      <c r="E13" s="270"/>
      <c r="I13" s="1908"/>
    </row>
    <row r="14" spans="1:9" hidden="1" x14ac:dyDescent="0.25">
      <c r="A14" s="8"/>
      <c r="B14" s="11" t="s">
        <v>103</v>
      </c>
      <c r="C14" s="251"/>
      <c r="D14" s="251"/>
      <c r="E14" s="34"/>
      <c r="I14" s="1908"/>
    </row>
    <row r="15" spans="1:9" x14ac:dyDescent="0.25">
      <c r="A15" s="8"/>
      <c r="B15" s="1717" t="s">
        <v>993</v>
      </c>
      <c r="C15" s="1837">
        <v>2500</v>
      </c>
      <c r="D15" s="1838" t="s">
        <v>381</v>
      </c>
      <c r="E15" s="1530">
        <v>8982.7999999999993</v>
      </c>
      <c r="F15" s="1530">
        <v>11717.8</v>
      </c>
      <c r="G15" s="245">
        <f>F15-E15</f>
        <v>2735</v>
      </c>
      <c r="H15" s="1898">
        <f>G15/25000*10</f>
        <v>1.0939999999999999</v>
      </c>
      <c r="I15" s="1911" t="s">
        <v>831</v>
      </c>
    </row>
    <row r="16" spans="1:9" hidden="1" x14ac:dyDescent="0.25">
      <c r="A16" s="8"/>
      <c r="B16" s="948" t="s">
        <v>379</v>
      </c>
      <c r="C16" s="949"/>
      <c r="D16" s="1869"/>
      <c r="E16" s="950"/>
      <c r="I16" s="1908"/>
    </row>
    <row r="17" spans="1:9" hidden="1" x14ac:dyDescent="0.25">
      <c r="A17" s="8"/>
      <c r="B17" s="21" t="s">
        <v>97</v>
      </c>
      <c r="C17" s="234">
        <v>29045000</v>
      </c>
      <c r="D17" s="1866"/>
      <c r="E17" s="33"/>
      <c r="I17" s="1908"/>
    </row>
    <row r="18" spans="1:9" hidden="1" x14ac:dyDescent="0.25">
      <c r="A18" s="8"/>
      <c r="B18" s="21" t="s">
        <v>98</v>
      </c>
      <c r="C18" s="234">
        <v>7314000</v>
      </c>
      <c r="D18" s="1866"/>
      <c r="E18" s="33">
        <f>E49+E58+E63</f>
        <v>0</v>
      </c>
      <c r="I18" s="1908"/>
    </row>
    <row r="19" spans="1:9" x14ac:dyDescent="0.25">
      <c r="A19" s="8"/>
      <c r="B19" s="1823" t="s">
        <v>998</v>
      </c>
      <c r="C19" s="1829"/>
      <c r="D19" s="1870"/>
      <c r="E19" s="33"/>
      <c r="F19" s="752"/>
      <c r="G19" s="752"/>
      <c r="I19" s="1908"/>
    </row>
    <row r="20" spans="1:9" x14ac:dyDescent="0.25">
      <c r="A20" s="8"/>
      <c r="B20" s="14" t="s">
        <v>82</v>
      </c>
      <c r="C20" s="1892">
        <v>0.1</v>
      </c>
      <c r="D20" s="264" t="s">
        <v>1037</v>
      </c>
      <c r="E20" s="1725"/>
      <c r="F20" s="1710"/>
      <c r="G20" s="1709"/>
      <c r="H20" s="1709">
        <v>6.3E-2</v>
      </c>
      <c r="I20" s="1908"/>
    </row>
    <row r="21" spans="1:9" x14ac:dyDescent="0.25">
      <c r="A21" s="8"/>
      <c r="B21" s="14" t="s">
        <v>81</v>
      </c>
      <c r="C21" s="1892">
        <v>0.1</v>
      </c>
      <c r="D21" s="264" t="s">
        <v>1037</v>
      </c>
      <c r="E21" s="1725"/>
      <c r="F21" s="1710"/>
      <c r="G21" s="1709"/>
      <c r="H21" s="1709">
        <v>0.05</v>
      </c>
      <c r="I21" s="1908"/>
    </row>
    <row r="22" spans="1:9" x14ac:dyDescent="0.25">
      <c r="A22" s="8"/>
      <c r="B22" s="14" t="s">
        <v>995</v>
      </c>
      <c r="C22" s="253" t="s">
        <v>996</v>
      </c>
      <c r="D22" s="1868"/>
      <c r="E22" s="1725"/>
      <c r="F22" s="1710"/>
      <c r="G22" s="1709"/>
      <c r="H22" s="1709">
        <v>51.8</v>
      </c>
      <c r="I22" s="1908"/>
    </row>
    <row r="23" spans="1:9" x14ac:dyDescent="0.25">
      <c r="A23" s="8"/>
      <c r="B23" s="14" t="s">
        <v>950</v>
      </c>
      <c r="C23" s="1824"/>
      <c r="D23" s="1868"/>
      <c r="E23" s="1725"/>
      <c r="F23" s="1710"/>
      <c r="G23" s="1709"/>
      <c r="H23" s="1709" t="s">
        <v>1007</v>
      </c>
      <c r="I23" s="1908"/>
    </row>
    <row r="24" spans="1:9" x14ac:dyDescent="0.25">
      <c r="A24" s="8"/>
      <c r="B24" s="14" t="s">
        <v>997</v>
      </c>
      <c r="C24" s="1760">
        <v>68</v>
      </c>
      <c r="D24" s="264" t="s">
        <v>1039</v>
      </c>
      <c r="E24" s="1725"/>
      <c r="F24" s="1710"/>
      <c r="G24" s="1709"/>
      <c r="H24" s="1709">
        <v>65</v>
      </c>
      <c r="I24" s="1908"/>
    </row>
    <row r="25" spans="1:9" x14ac:dyDescent="0.25">
      <c r="A25" s="8"/>
      <c r="B25" s="235" t="s">
        <v>938</v>
      </c>
      <c r="C25" s="1714"/>
      <c r="D25" s="1871"/>
      <c r="E25" s="1726"/>
      <c r="F25" s="1715"/>
      <c r="G25" s="1716"/>
      <c r="H25" s="1716" t="s">
        <v>1006</v>
      </c>
      <c r="I25" s="1908"/>
    </row>
    <row r="26" spans="1:9" ht="15.75" x14ac:dyDescent="0.25">
      <c r="A26" s="8"/>
      <c r="B26" s="1831" t="s">
        <v>78</v>
      </c>
      <c r="C26" s="1707"/>
      <c r="D26" s="1857"/>
      <c r="E26" s="272"/>
      <c r="F26" s="1727"/>
      <c r="G26" s="1708"/>
      <c r="H26" s="1899"/>
      <c r="I26" s="1908"/>
    </row>
    <row r="27" spans="1:9" x14ac:dyDescent="0.25">
      <c r="A27" s="8"/>
      <c r="B27" s="1830" t="s">
        <v>74</v>
      </c>
      <c r="C27" s="1718">
        <f>C15*84%</f>
        <v>2100</v>
      </c>
      <c r="D27" s="1872" t="s">
        <v>381</v>
      </c>
      <c r="E27" s="1530">
        <v>6537.1</v>
      </c>
      <c r="F27" s="1530">
        <v>8213</v>
      </c>
      <c r="G27" s="1530">
        <f>F27-E27</f>
        <v>1675.8999999999996</v>
      </c>
      <c r="H27" s="1900">
        <f>G27/(G27+G32)</f>
        <v>0.82838218575453493</v>
      </c>
      <c r="I27" s="1911" t="s">
        <v>831</v>
      </c>
    </row>
    <row r="28" spans="1:9" x14ac:dyDescent="0.25">
      <c r="A28" s="8"/>
      <c r="B28" s="1823" t="s">
        <v>998</v>
      </c>
      <c r="C28" s="1828"/>
      <c r="D28" s="1873"/>
      <c r="E28" s="1725"/>
      <c r="F28" s="1710"/>
      <c r="G28" s="1825"/>
      <c r="H28" s="751"/>
      <c r="I28" s="1908"/>
    </row>
    <row r="29" spans="1:9" x14ac:dyDescent="0.25">
      <c r="A29" s="8"/>
      <c r="B29" s="14" t="s">
        <v>995</v>
      </c>
      <c r="C29" s="1760">
        <v>56</v>
      </c>
      <c r="D29" s="264" t="s">
        <v>1010</v>
      </c>
      <c r="E29" s="1725"/>
      <c r="F29" s="1710"/>
      <c r="G29" s="1827"/>
      <c r="H29" s="751"/>
      <c r="I29" s="1908"/>
    </row>
    <row r="30" spans="1:9" x14ac:dyDescent="0.25">
      <c r="A30" s="8"/>
      <c r="B30" s="14" t="s">
        <v>950</v>
      </c>
      <c r="C30" s="252"/>
      <c r="D30" s="264"/>
      <c r="E30" s="1725"/>
      <c r="F30" s="1710"/>
      <c r="G30" s="1826"/>
      <c r="H30" s="751"/>
      <c r="I30" s="1908"/>
    </row>
    <row r="31" spans="1:9" x14ac:dyDescent="0.25">
      <c r="A31" s="8"/>
      <c r="B31" s="14" t="s">
        <v>999</v>
      </c>
      <c r="C31" s="253">
        <v>10</v>
      </c>
      <c r="D31" s="264" t="s">
        <v>1040</v>
      </c>
      <c r="E31" s="1725"/>
      <c r="F31" s="1710"/>
      <c r="G31" s="1752"/>
      <c r="I31" s="1908"/>
    </row>
    <row r="32" spans="1:9" x14ac:dyDescent="0.25">
      <c r="A32" s="15"/>
      <c r="B32" s="1833" t="s">
        <v>73</v>
      </c>
      <c r="C32" s="1838">
        <f>C15*16%</f>
        <v>400</v>
      </c>
      <c r="D32" s="1838"/>
      <c r="E32" s="1530">
        <v>2268.1</v>
      </c>
      <c r="F32" s="1530">
        <v>2615.3000000000002</v>
      </c>
      <c r="G32" s="1530">
        <f>F32-E32</f>
        <v>347.20000000000027</v>
      </c>
      <c r="H32" s="1901">
        <f>G32/(G32+G27)</f>
        <v>0.17161781424546502</v>
      </c>
      <c r="I32" s="1911" t="s">
        <v>831</v>
      </c>
    </row>
    <row r="33" spans="1:9" hidden="1" x14ac:dyDescent="0.25">
      <c r="A33" s="15"/>
      <c r="B33" s="717" t="s">
        <v>353</v>
      </c>
      <c r="C33" s="742"/>
      <c r="D33" s="1866"/>
      <c r="E33" s="33"/>
      <c r="I33" s="1908"/>
    </row>
    <row r="34" spans="1:9" hidden="1" x14ac:dyDescent="0.25">
      <c r="A34" s="8"/>
      <c r="B34" s="11" t="s">
        <v>84</v>
      </c>
      <c r="C34" s="251"/>
      <c r="D34" s="251"/>
      <c r="E34" s="33"/>
      <c r="I34" s="1908"/>
    </row>
    <row r="35" spans="1:9" hidden="1" x14ac:dyDescent="0.25">
      <c r="A35" s="8"/>
      <c r="B35" s="11" t="s">
        <v>357</v>
      </c>
      <c r="C35" s="251"/>
      <c r="D35" s="251"/>
      <c r="E35" s="33">
        <v>0</v>
      </c>
      <c r="I35" s="1908"/>
    </row>
    <row r="36" spans="1:9" hidden="1" x14ac:dyDescent="0.25">
      <c r="A36" s="15"/>
      <c r="B36" s="65" t="s">
        <v>356</v>
      </c>
      <c r="C36" s="234"/>
      <c r="D36" s="1866"/>
      <c r="E36" s="270">
        <v>392100</v>
      </c>
      <c r="I36" s="1908"/>
    </row>
    <row r="37" spans="1:9" hidden="1" x14ac:dyDescent="0.25">
      <c r="A37" s="15"/>
      <c r="B37" s="948" t="s">
        <v>378</v>
      </c>
      <c r="C37" s="949"/>
      <c r="D37" s="1869"/>
      <c r="E37" s="950"/>
      <c r="I37" s="1908"/>
    </row>
    <row r="38" spans="1:9" hidden="1" x14ac:dyDescent="0.25">
      <c r="A38" s="15"/>
      <c r="B38" s="14" t="s">
        <v>355</v>
      </c>
      <c r="C38" s="741"/>
      <c r="D38" s="1874"/>
      <c r="E38" s="33">
        <f>SUM(E41,E45,E50,E54,E64)</f>
        <v>0</v>
      </c>
      <c r="I38" s="1908"/>
    </row>
    <row r="39" spans="1:9" hidden="1" x14ac:dyDescent="0.25">
      <c r="A39" s="15"/>
      <c r="B39" s="14" t="s">
        <v>354</v>
      </c>
      <c r="C39" s="743"/>
      <c r="D39" s="1874"/>
      <c r="E39" s="33">
        <f>E36-E38</f>
        <v>392100</v>
      </c>
      <c r="I39" s="1908"/>
    </row>
    <row r="40" spans="1:9" hidden="1" x14ac:dyDescent="0.25">
      <c r="A40" s="15"/>
      <c r="B40" s="230" t="s">
        <v>76</v>
      </c>
      <c r="C40" s="231"/>
      <c r="D40" s="1875"/>
      <c r="E40" s="94"/>
      <c r="I40" s="1908"/>
    </row>
    <row r="41" spans="1:9" hidden="1" x14ac:dyDescent="0.25">
      <c r="A41" s="15"/>
      <c r="B41" s="14" t="s">
        <v>75</v>
      </c>
      <c r="C41" s="255"/>
      <c r="D41" s="1876"/>
      <c r="E41" s="33">
        <f>E42+E43</f>
        <v>0</v>
      </c>
      <c r="I41" s="1908"/>
    </row>
    <row r="42" spans="1:9" hidden="1" x14ac:dyDescent="0.25">
      <c r="A42" s="15"/>
      <c r="B42" s="65" t="s">
        <v>74</v>
      </c>
      <c r="C42" s="255"/>
      <c r="D42" s="1876"/>
      <c r="E42" s="270">
        <v>0</v>
      </c>
      <c r="I42" s="1908"/>
    </row>
    <row r="43" spans="1:9" hidden="1" x14ac:dyDescent="0.25">
      <c r="A43" s="15"/>
      <c r="B43" s="65" t="s">
        <v>73</v>
      </c>
      <c r="C43" s="255"/>
      <c r="D43" s="1876"/>
      <c r="E43" s="271">
        <v>0</v>
      </c>
      <c r="I43" s="1908"/>
    </row>
    <row r="44" spans="1:9" hidden="1" x14ac:dyDescent="0.25">
      <c r="A44" s="69"/>
      <c r="B44" s="230" t="s">
        <v>104</v>
      </c>
      <c r="C44" s="305"/>
      <c r="D44" s="1877"/>
      <c r="E44" s="272"/>
      <c r="I44" s="1908"/>
    </row>
    <row r="45" spans="1:9" hidden="1" x14ac:dyDescent="0.25">
      <c r="A45" s="15"/>
      <c r="B45" s="14" t="s">
        <v>75</v>
      </c>
      <c r="C45" s="255"/>
      <c r="D45" s="1876"/>
      <c r="E45" s="33">
        <f>E46+E47</f>
        <v>0</v>
      </c>
      <c r="I45" s="1908"/>
    </row>
    <row r="46" spans="1:9" hidden="1" x14ac:dyDescent="0.25">
      <c r="A46" s="15"/>
      <c r="B46" s="65" t="s">
        <v>105</v>
      </c>
      <c r="C46" s="255"/>
      <c r="D46" s="1876"/>
      <c r="E46" s="270">
        <v>0</v>
      </c>
      <c r="I46" s="1908"/>
    </row>
    <row r="47" spans="1:9" hidden="1" x14ac:dyDescent="0.25">
      <c r="A47" s="15"/>
      <c r="B47" s="65" t="s">
        <v>73</v>
      </c>
      <c r="C47" s="255"/>
      <c r="D47" s="1876"/>
      <c r="E47" s="270">
        <v>0</v>
      </c>
      <c r="I47" s="1908"/>
    </row>
    <row r="48" spans="1:9" hidden="1" x14ac:dyDescent="0.25">
      <c r="A48" s="15"/>
      <c r="B48" s="230" t="s">
        <v>107</v>
      </c>
      <c r="C48" s="233"/>
      <c r="D48" s="1878"/>
      <c r="E48" s="94"/>
      <c r="I48" s="1908"/>
    </row>
    <row r="49" spans="1:9" hidden="1" x14ac:dyDescent="0.25">
      <c r="A49" s="17"/>
      <c r="B49" s="11" t="s">
        <v>71</v>
      </c>
      <c r="C49" s="256"/>
      <c r="D49" s="256"/>
      <c r="E49" s="33"/>
      <c r="I49" s="1908"/>
    </row>
    <row r="50" spans="1:9" hidden="1" x14ac:dyDescent="0.25">
      <c r="A50" s="15"/>
      <c r="B50" s="14" t="s">
        <v>70</v>
      </c>
      <c r="C50" s="255"/>
      <c r="D50" s="1876"/>
      <c r="E50" s="33">
        <f>E51+E52</f>
        <v>0</v>
      </c>
      <c r="I50" s="1908"/>
    </row>
    <row r="51" spans="1:9" hidden="1" x14ac:dyDescent="0.25">
      <c r="A51" s="15"/>
      <c r="B51" s="65" t="s">
        <v>109</v>
      </c>
      <c r="C51" s="255"/>
      <c r="D51" s="1876"/>
      <c r="E51" s="270">
        <v>0</v>
      </c>
      <c r="I51" s="1908"/>
    </row>
    <row r="52" spans="1:9" hidden="1" x14ac:dyDescent="0.25">
      <c r="A52" s="15"/>
      <c r="B52" s="56" t="s">
        <v>73</v>
      </c>
      <c r="C52" s="255"/>
      <c r="D52" s="1876"/>
      <c r="E52" s="271">
        <v>0</v>
      </c>
      <c r="I52" s="1908"/>
    </row>
    <row r="53" spans="1:9" hidden="1" x14ac:dyDescent="0.25">
      <c r="A53" s="69"/>
      <c r="B53" s="230" t="s">
        <v>110</v>
      </c>
      <c r="C53" s="305"/>
      <c r="D53" s="1879"/>
      <c r="E53" s="94"/>
      <c r="I53" s="1908"/>
    </row>
    <row r="54" spans="1:9" hidden="1" x14ac:dyDescent="0.25">
      <c r="A54" s="15"/>
      <c r="B54" s="14" t="s">
        <v>75</v>
      </c>
      <c r="C54" s="229">
        <f>C55+C56</f>
        <v>21429000</v>
      </c>
      <c r="D54" s="1880"/>
      <c r="E54" s="33">
        <f>E55+E56</f>
        <v>0</v>
      </c>
      <c r="I54" s="1908"/>
    </row>
    <row r="55" spans="1:9" hidden="1" x14ac:dyDescent="0.25">
      <c r="A55" s="15"/>
      <c r="B55" s="65" t="s">
        <v>112</v>
      </c>
      <c r="C55" s="68">
        <v>15000000</v>
      </c>
      <c r="D55" s="1881"/>
      <c r="E55" s="270"/>
      <c r="I55" s="1908"/>
    </row>
    <row r="56" spans="1:9" hidden="1" x14ac:dyDescent="0.25">
      <c r="A56" s="15"/>
      <c r="B56" s="65" t="s">
        <v>73</v>
      </c>
      <c r="C56" s="68">
        <v>6429000</v>
      </c>
      <c r="D56" s="1881"/>
      <c r="E56" s="271"/>
      <c r="I56" s="1908"/>
    </row>
    <row r="57" spans="1:9" hidden="1" x14ac:dyDescent="0.25">
      <c r="A57" s="69"/>
      <c r="B57" s="230" t="s">
        <v>829</v>
      </c>
      <c r="C57" s="305"/>
      <c r="D57" s="1877"/>
      <c r="E57" s="272"/>
      <c r="I57" s="1908"/>
    </row>
    <row r="58" spans="1:9" hidden="1" x14ac:dyDescent="0.25">
      <c r="A58" s="17"/>
      <c r="B58" s="11" t="s">
        <v>71</v>
      </c>
      <c r="C58" s="256"/>
      <c r="D58" s="256"/>
      <c r="E58" s="33"/>
      <c r="I58" s="1908"/>
    </row>
    <row r="59" spans="1:9" hidden="1" x14ac:dyDescent="0.25">
      <c r="A59" s="15"/>
      <c r="B59" s="14" t="s">
        <v>75</v>
      </c>
      <c r="C59" s="229">
        <f>C60+C61</f>
        <v>21429000</v>
      </c>
      <c r="D59" s="1880"/>
      <c r="E59" s="33">
        <f>E60+E61</f>
        <v>0</v>
      </c>
      <c r="I59" s="1908"/>
    </row>
    <row r="60" spans="1:9" hidden="1" x14ac:dyDescent="0.25">
      <c r="A60" s="15"/>
      <c r="B60" s="65" t="s">
        <v>112</v>
      </c>
      <c r="C60" s="68">
        <v>15000000</v>
      </c>
      <c r="D60" s="1881"/>
      <c r="E60" s="270">
        <v>0</v>
      </c>
      <c r="I60" s="1908"/>
    </row>
    <row r="61" spans="1:9" hidden="1" x14ac:dyDescent="0.25">
      <c r="A61" s="15"/>
      <c r="B61" s="65" t="s">
        <v>73</v>
      </c>
      <c r="C61" s="68">
        <v>6429000</v>
      </c>
      <c r="D61" s="1881"/>
      <c r="E61" s="270">
        <v>0</v>
      </c>
      <c r="I61" s="1908"/>
    </row>
    <row r="62" spans="1:9" hidden="1" x14ac:dyDescent="0.25">
      <c r="A62" s="15"/>
      <c r="B62" s="230" t="s">
        <v>72</v>
      </c>
      <c r="C62" s="233"/>
      <c r="D62" s="1878"/>
      <c r="E62" s="94"/>
      <c r="I62" s="1908"/>
    </row>
    <row r="63" spans="1:9" hidden="1" x14ac:dyDescent="0.25">
      <c r="A63" s="17"/>
      <c r="B63" s="11" t="s">
        <v>71</v>
      </c>
      <c r="C63" s="256"/>
      <c r="D63" s="256"/>
      <c r="E63" s="33"/>
      <c r="I63" s="1908"/>
    </row>
    <row r="64" spans="1:9" hidden="1" x14ac:dyDescent="0.25">
      <c r="A64" s="15"/>
      <c r="B64" s="14" t="s">
        <v>70</v>
      </c>
      <c r="C64" s="255"/>
      <c r="D64" s="1876"/>
      <c r="E64" s="33">
        <f>E66+E67</f>
        <v>0</v>
      </c>
      <c r="I64" s="1908"/>
    </row>
    <row r="65" spans="1:9" hidden="1" x14ac:dyDescent="0.25">
      <c r="A65" s="15"/>
      <c r="B65" s="65" t="s">
        <v>69</v>
      </c>
      <c r="C65" s="255"/>
      <c r="D65" s="1876"/>
      <c r="E65" s="270">
        <v>0</v>
      </c>
      <c r="I65" s="1908"/>
    </row>
    <row r="66" spans="1:9" hidden="1" x14ac:dyDescent="0.25">
      <c r="A66" s="15"/>
      <c r="B66" s="65" t="s">
        <v>68</v>
      </c>
      <c r="C66" s="255"/>
      <c r="D66" s="1876"/>
      <c r="E66" s="270">
        <v>0</v>
      </c>
      <c r="I66" s="1908"/>
    </row>
    <row r="67" spans="1:9" hidden="1" x14ac:dyDescent="0.25">
      <c r="A67" s="15"/>
      <c r="B67" s="65" t="s">
        <v>67</v>
      </c>
      <c r="C67" s="255"/>
      <c r="D67" s="1876"/>
      <c r="E67" s="270">
        <v>0</v>
      </c>
      <c r="I67" s="1908"/>
    </row>
    <row r="68" spans="1:9" hidden="1" x14ac:dyDescent="0.25">
      <c r="A68" s="15"/>
      <c r="B68" s="75" t="s">
        <v>113</v>
      </c>
      <c r="C68" s="255"/>
      <c r="D68" s="1876"/>
      <c r="E68" s="273">
        <v>0</v>
      </c>
      <c r="I68" s="1908"/>
    </row>
    <row r="69" spans="1:9" hidden="1" x14ac:dyDescent="0.25">
      <c r="A69" s="8"/>
      <c r="B69" s="76" t="s">
        <v>66</v>
      </c>
      <c r="C69" s="77"/>
      <c r="D69" s="48"/>
      <c r="E69" s="94"/>
      <c r="I69" s="1908"/>
    </row>
    <row r="70" spans="1:9" hidden="1" x14ac:dyDescent="0.25">
      <c r="A70" s="15"/>
      <c r="B70" s="75" t="s">
        <v>65</v>
      </c>
      <c r="C70" s="1615">
        <v>94.2</v>
      </c>
      <c r="D70" s="1882"/>
      <c r="E70" s="274" t="e">
        <f>(#REF!/(E15))*100</f>
        <v>#REF!</v>
      </c>
      <c r="I70" s="1908"/>
    </row>
    <row r="71" spans="1:9" hidden="1" x14ac:dyDescent="0.25">
      <c r="A71" s="15"/>
      <c r="B71" s="75" t="s">
        <v>64</v>
      </c>
      <c r="C71" s="126">
        <v>5</v>
      </c>
      <c r="D71" s="1883"/>
      <c r="E71" s="274">
        <f>(E32/(E15))*100</f>
        <v>25.249365453978719</v>
      </c>
      <c r="I71" s="1908"/>
    </row>
    <row r="72" spans="1:9" hidden="1" x14ac:dyDescent="0.25">
      <c r="A72" s="15"/>
      <c r="B72" s="75" t="s">
        <v>63</v>
      </c>
      <c r="C72" s="126">
        <v>82</v>
      </c>
      <c r="D72" s="1883"/>
      <c r="E72" s="274" t="e">
        <f>E42/(E42+E43)*100</f>
        <v>#DIV/0!</v>
      </c>
      <c r="I72" s="1908"/>
    </row>
    <row r="73" spans="1:9" hidden="1" x14ac:dyDescent="0.25">
      <c r="A73" s="15"/>
      <c r="B73" s="75" t="s">
        <v>62</v>
      </c>
      <c r="C73" s="126">
        <v>18</v>
      </c>
      <c r="D73" s="1883"/>
      <c r="E73" s="274" t="e">
        <f>(E43/E41)*100</f>
        <v>#DIV/0!</v>
      </c>
      <c r="I73" s="1908"/>
    </row>
    <row r="74" spans="1:9" hidden="1" x14ac:dyDescent="0.25">
      <c r="A74" s="15"/>
      <c r="B74" s="75" t="s">
        <v>106</v>
      </c>
      <c r="C74" s="126">
        <v>75</v>
      </c>
      <c r="D74" s="1883"/>
      <c r="E74" s="274" t="e">
        <f>(E46/E45)*100</f>
        <v>#DIV/0!</v>
      </c>
      <c r="I74" s="1908"/>
    </row>
    <row r="75" spans="1:9" hidden="1" x14ac:dyDescent="0.25">
      <c r="A75" s="15"/>
      <c r="B75" s="75" t="s">
        <v>62</v>
      </c>
      <c r="C75" s="126">
        <v>25</v>
      </c>
      <c r="D75" s="1883"/>
      <c r="E75" s="274" t="e">
        <f>(E47/E45)*100</f>
        <v>#DIV/0!</v>
      </c>
      <c r="I75" s="1908"/>
    </row>
    <row r="76" spans="1:9" hidden="1" x14ac:dyDescent="0.25">
      <c r="A76" s="15"/>
      <c r="B76" s="75" t="s">
        <v>108</v>
      </c>
      <c r="C76" s="126">
        <v>75</v>
      </c>
      <c r="D76" s="1883"/>
      <c r="E76" s="274" t="e">
        <f>E51/E50*100</f>
        <v>#DIV/0!</v>
      </c>
      <c r="I76" s="1908"/>
    </row>
    <row r="77" spans="1:9" hidden="1" x14ac:dyDescent="0.25">
      <c r="A77" s="15"/>
      <c r="B77" s="75" t="s">
        <v>62</v>
      </c>
      <c r="C77" s="126">
        <v>25</v>
      </c>
      <c r="D77" s="1883"/>
      <c r="E77" s="274" t="e">
        <f>E52/E50*100</f>
        <v>#DIV/0!</v>
      </c>
      <c r="I77" s="1908"/>
    </row>
    <row r="78" spans="1:9" hidden="1" x14ac:dyDescent="0.25">
      <c r="A78" s="15"/>
      <c r="B78" s="75" t="s">
        <v>111</v>
      </c>
      <c r="C78" s="126">
        <v>70</v>
      </c>
      <c r="D78" s="1883"/>
      <c r="E78" s="274" t="e">
        <f>E55/(E55+E56)*100</f>
        <v>#DIV/0!</v>
      </c>
      <c r="I78" s="1908"/>
    </row>
    <row r="79" spans="1:9" hidden="1" x14ac:dyDescent="0.25">
      <c r="A79" s="15"/>
      <c r="B79" s="75" t="s">
        <v>62</v>
      </c>
      <c r="C79" s="126">
        <v>30</v>
      </c>
      <c r="D79" s="1883"/>
      <c r="E79" s="274" t="e">
        <f>E56/(E56+E55)*100</f>
        <v>#DIV/0!</v>
      </c>
      <c r="I79" s="1908"/>
    </row>
    <row r="80" spans="1:9" hidden="1" x14ac:dyDescent="0.25">
      <c r="A80" s="15"/>
      <c r="B80" s="75" t="s">
        <v>830</v>
      </c>
      <c r="C80" s="126">
        <v>70</v>
      </c>
      <c r="D80" s="1883"/>
      <c r="E80" s="274" t="e">
        <f>E60/(E60+E61)*100</f>
        <v>#DIV/0!</v>
      </c>
      <c r="I80" s="1908"/>
    </row>
    <row r="81" spans="1:9" hidden="1" x14ac:dyDescent="0.25">
      <c r="A81" s="15"/>
      <c r="B81" s="75" t="s">
        <v>62</v>
      </c>
      <c r="C81" s="126">
        <v>30</v>
      </c>
      <c r="D81" s="1883"/>
      <c r="E81" s="274" t="e">
        <f>E61/(E60+E61)*100</f>
        <v>#DIV/0!</v>
      </c>
      <c r="I81" s="1908"/>
    </row>
    <row r="82" spans="1:9" hidden="1" x14ac:dyDescent="0.25">
      <c r="A82" s="15"/>
      <c r="B82" s="75" t="s">
        <v>61</v>
      </c>
      <c r="C82" s="126">
        <v>60</v>
      </c>
      <c r="D82" s="1883"/>
      <c r="E82" s="274" t="e">
        <f>E65/E64*100</f>
        <v>#DIV/0!</v>
      </c>
      <c r="I82" s="1908"/>
    </row>
    <row r="83" spans="1:9" ht="15.75" hidden="1" thickBot="1" x14ac:dyDescent="0.3">
      <c r="A83" s="19"/>
      <c r="B83" s="75" t="s">
        <v>60</v>
      </c>
      <c r="C83" s="126">
        <v>40</v>
      </c>
      <c r="D83" s="1883"/>
      <c r="E83" s="274" t="e">
        <f>E67/E64*100</f>
        <v>#DIV/0!</v>
      </c>
      <c r="I83" s="1908"/>
    </row>
    <row r="84" spans="1:9" x14ac:dyDescent="0.25">
      <c r="A84" s="15"/>
      <c r="B84" s="1823" t="s">
        <v>998</v>
      </c>
      <c r="C84" s="1828"/>
      <c r="D84" s="1873"/>
      <c r="E84" s="274"/>
      <c r="F84" s="752"/>
      <c r="G84" s="752"/>
      <c r="I84" s="1908"/>
    </row>
    <row r="85" spans="1:9" x14ac:dyDescent="0.25">
      <c r="A85" s="8"/>
      <c r="B85" s="14" t="s">
        <v>1001</v>
      </c>
      <c r="C85" s="1760">
        <v>32</v>
      </c>
      <c r="D85" s="264" t="s">
        <v>1038</v>
      </c>
      <c r="E85" s="1725"/>
      <c r="F85" s="1710"/>
      <c r="G85" s="1709"/>
      <c r="H85" s="751"/>
      <c r="I85" s="1908"/>
    </row>
    <row r="86" spans="1:9" ht="15.75" thickBot="1" x14ac:dyDescent="0.3">
      <c r="A86" s="8"/>
      <c r="B86" s="14" t="s">
        <v>1002</v>
      </c>
      <c r="C86" s="1760" t="s">
        <v>1048</v>
      </c>
      <c r="D86" s="264" t="s">
        <v>1039</v>
      </c>
      <c r="E86" s="1725"/>
      <c r="F86" s="1710"/>
      <c r="G86" s="1709"/>
      <c r="H86" s="751"/>
      <c r="I86" s="1908"/>
    </row>
    <row r="87" spans="1:9" ht="15.75" thickBot="1" x14ac:dyDescent="0.3">
      <c r="A87" s="1862">
        <v>2</v>
      </c>
      <c r="B87" s="1835" t="s">
        <v>18</v>
      </c>
      <c r="C87" s="1821"/>
      <c r="D87" s="1884"/>
      <c r="E87" s="1836" t="s">
        <v>945</v>
      </c>
      <c r="F87" s="1834" t="s">
        <v>946</v>
      </c>
      <c r="G87" s="1821" t="s">
        <v>188</v>
      </c>
      <c r="H87" s="1867" t="s">
        <v>1042</v>
      </c>
      <c r="I87" s="1908"/>
    </row>
    <row r="88" spans="1:9" x14ac:dyDescent="0.25">
      <c r="A88" s="8"/>
      <c r="B88" s="235" t="s">
        <v>4</v>
      </c>
      <c r="C88" s="1718">
        <v>408000</v>
      </c>
      <c r="D88" s="1872" t="s">
        <v>1030</v>
      </c>
      <c r="E88" s="1684"/>
      <c r="F88" s="1712"/>
      <c r="G88" s="298">
        <v>183211</v>
      </c>
      <c r="H88" s="1712"/>
      <c r="I88" s="1908"/>
    </row>
    <row r="89" spans="1:9" x14ac:dyDescent="0.25">
      <c r="A89" s="8"/>
      <c r="B89" s="30" t="s">
        <v>17</v>
      </c>
      <c r="C89" s="62"/>
      <c r="D89" s="1894"/>
      <c r="E89" s="282"/>
      <c r="G89" s="752"/>
      <c r="I89" s="1908"/>
    </row>
    <row r="90" spans="1:9" x14ac:dyDescent="0.25">
      <c r="A90" s="15"/>
      <c r="B90" s="235" t="s">
        <v>1003</v>
      </c>
      <c r="C90" s="1893">
        <v>87.5</v>
      </c>
      <c r="D90" s="1872" t="s">
        <v>1030</v>
      </c>
      <c r="E90" s="1530">
        <v>308052</v>
      </c>
      <c r="F90" s="1738">
        <v>366933</v>
      </c>
      <c r="G90" s="1840">
        <f>F90-E90</f>
        <v>58881</v>
      </c>
      <c r="H90" s="1902">
        <f>G90/G15</f>
        <v>21.528702010968921</v>
      </c>
      <c r="I90" s="1911" t="s">
        <v>831</v>
      </c>
    </row>
    <row r="91" spans="1:9" hidden="1" x14ac:dyDescent="0.25">
      <c r="A91" s="15"/>
      <c r="B91" s="14"/>
      <c r="C91" s="234">
        <f>C90/2000</f>
        <v>4.3749999999999997E-2</v>
      </c>
      <c r="D91" s="1866"/>
      <c r="E91" s="33"/>
      <c r="G91" s="752"/>
      <c r="I91" s="1908"/>
    </row>
    <row r="92" spans="1:9" x14ac:dyDescent="0.25">
      <c r="A92" s="15"/>
      <c r="B92" s="14"/>
      <c r="C92" s="1855">
        <f>C90/2.5</f>
        <v>35</v>
      </c>
      <c r="D92" s="1885" t="s">
        <v>1041</v>
      </c>
      <c r="E92" s="33"/>
      <c r="G92" s="752"/>
      <c r="I92" s="1908"/>
    </row>
    <row r="93" spans="1:9" hidden="1" x14ac:dyDescent="0.25">
      <c r="A93" s="15"/>
      <c r="B93" s="235" t="s">
        <v>15</v>
      </c>
      <c r="C93" s="234">
        <v>122000</v>
      </c>
      <c r="D93" s="1866"/>
      <c r="E93" s="275"/>
      <c r="F93" s="1712"/>
      <c r="G93" s="1729"/>
      <c r="H93" s="1712"/>
      <c r="I93" s="1908"/>
    </row>
    <row r="94" spans="1:9" x14ac:dyDescent="0.25">
      <c r="A94" s="15"/>
      <c r="B94" s="14" t="s">
        <v>948</v>
      </c>
      <c r="C94" s="234">
        <v>106000</v>
      </c>
      <c r="D94" s="1866" t="s">
        <v>1030</v>
      </c>
      <c r="E94" s="950"/>
      <c r="F94" s="512"/>
      <c r="G94" s="1741"/>
      <c r="H94" s="512"/>
      <c r="I94" s="1908"/>
    </row>
    <row r="95" spans="1:9" ht="15.75" thickBot="1" x14ac:dyDescent="0.3">
      <c r="A95" s="8"/>
      <c r="B95" s="28" t="s">
        <v>1</v>
      </c>
      <c r="C95" s="263">
        <v>408000</v>
      </c>
      <c r="D95" s="1886" t="s">
        <v>1030</v>
      </c>
      <c r="E95" s="282"/>
      <c r="G95" s="42">
        <f>SUM(G90,G93,G94)</f>
        <v>58881</v>
      </c>
      <c r="I95" s="1908"/>
    </row>
    <row r="96" spans="1:9" ht="15.75" thickBot="1" x14ac:dyDescent="0.3">
      <c r="A96" s="1862">
        <v>3</v>
      </c>
      <c r="B96" s="1865" t="s">
        <v>13</v>
      </c>
      <c r="C96" s="1723"/>
      <c r="D96" s="1721"/>
      <c r="E96" s="1836" t="s">
        <v>945</v>
      </c>
      <c r="F96" s="1834" t="s">
        <v>946</v>
      </c>
      <c r="G96" s="1821" t="s">
        <v>188</v>
      </c>
      <c r="H96" s="1867" t="s">
        <v>1043</v>
      </c>
      <c r="I96" s="1908"/>
    </row>
    <row r="97" spans="1:11" hidden="1" x14ac:dyDescent="0.25">
      <c r="A97" s="17"/>
      <c r="B97" s="242" t="s">
        <v>12</v>
      </c>
      <c r="C97" s="264">
        <v>1100</v>
      </c>
      <c r="D97" s="264" t="s">
        <v>1033</v>
      </c>
      <c r="E97" s="244"/>
      <c r="F97" s="1712"/>
      <c r="G97" s="244">
        <v>818</v>
      </c>
      <c r="H97" s="1712"/>
      <c r="I97" s="1908"/>
    </row>
    <row r="98" spans="1:11" x14ac:dyDescent="0.25">
      <c r="A98" s="17"/>
      <c r="B98" s="43" t="s">
        <v>11</v>
      </c>
      <c r="C98" s="251"/>
      <c r="D98" s="251"/>
      <c r="E98" s="34"/>
      <c r="G98" s="752"/>
      <c r="I98" s="1908"/>
      <c r="K98" s="1978"/>
    </row>
    <row r="99" spans="1:11" ht="15.75" thickBot="1" x14ac:dyDescent="0.3">
      <c r="A99" s="17"/>
      <c r="B99" s="242" t="s">
        <v>1004</v>
      </c>
      <c r="C99" s="1868">
        <v>0.13</v>
      </c>
      <c r="D99" s="264" t="s">
        <v>1033</v>
      </c>
      <c r="E99" s="245">
        <v>58</v>
      </c>
      <c r="F99" s="1841">
        <v>106</v>
      </c>
      <c r="G99" s="1842">
        <f>F99-E99</f>
        <v>48</v>
      </c>
      <c r="H99" s="1902">
        <f>G99/G15</f>
        <v>1.7550274223034734E-2</v>
      </c>
      <c r="I99" s="1908"/>
    </row>
    <row r="100" spans="1:11" hidden="1" x14ac:dyDescent="0.25">
      <c r="A100" s="17"/>
      <c r="B100" s="242" t="s">
        <v>9</v>
      </c>
      <c r="C100" s="265">
        <v>179.63</v>
      </c>
      <c r="D100" s="265"/>
      <c r="E100" s="245"/>
      <c r="F100" s="1712"/>
      <c r="G100" s="1729"/>
      <c r="H100" s="1712"/>
      <c r="I100" s="1908"/>
    </row>
    <row r="101" spans="1:11" hidden="1" x14ac:dyDescent="0.25">
      <c r="A101" s="17"/>
      <c r="B101" s="242"/>
      <c r="C101" s="265">
        <f>C99/2500</f>
        <v>5.2000000000000004E-5</v>
      </c>
      <c r="D101" s="264" t="s">
        <v>1044</v>
      </c>
      <c r="E101" s="245"/>
      <c r="F101" s="1712"/>
      <c r="G101" s="1729"/>
      <c r="H101" s="1712"/>
      <c r="I101" s="1908"/>
    </row>
    <row r="102" spans="1:11" hidden="1" x14ac:dyDescent="0.25">
      <c r="A102" s="17"/>
      <c r="B102" s="242" t="s">
        <v>8</v>
      </c>
      <c r="C102" s="264">
        <v>491.59</v>
      </c>
      <c r="D102" s="264" t="s">
        <v>1033</v>
      </c>
      <c r="E102" s="245"/>
      <c r="F102" s="1712"/>
      <c r="G102" s="245">
        <v>304</v>
      </c>
      <c r="H102" s="1712"/>
      <c r="I102" s="1908"/>
    </row>
    <row r="103" spans="1:11" hidden="1" x14ac:dyDescent="0.25">
      <c r="A103" s="17"/>
      <c r="B103" s="31" t="s">
        <v>7</v>
      </c>
      <c r="C103" s="960">
        <v>337.28</v>
      </c>
      <c r="D103" s="960" t="s">
        <v>1033</v>
      </c>
      <c r="E103" s="34"/>
      <c r="G103" s="34">
        <f>G97-G99-G100-G102</f>
        <v>466</v>
      </c>
      <c r="I103" s="1908"/>
    </row>
    <row r="104" spans="1:11" ht="15.75" hidden="1" thickBot="1" x14ac:dyDescent="0.3">
      <c r="A104" s="17"/>
      <c r="B104" s="242" t="s">
        <v>6</v>
      </c>
      <c r="C104" s="264">
        <v>330</v>
      </c>
      <c r="D104" s="264" t="s">
        <v>1033</v>
      </c>
      <c r="E104" s="245"/>
      <c r="F104" s="1712"/>
      <c r="G104" s="245">
        <v>164</v>
      </c>
      <c r="H104" s="1712"/>
      <c r="I104" s="1908"/>
    </row>
    <row r="105" spans="1:11" ht="15.75" thickBot="1" x14ac:dyDescent="0.3">
      <c r="A105" s="1864">
        <v>4</v>
      </c>
      <c r="B105" s="1865" t="s">
        <v>5</v>
      </c>
      <c r="C105" s="1723"/>
      <c r="D105" s="1721"/>
      <c r="E105" s="1836" t="s">
        <v>945</v>
      </c>
      <c r="F105" s="1834" t="s">
        <v>946</v>
      </c>
      <c r="G105" s="1821" t="s">
        <v>188</v>
      </c>
      <c r="H105" s="1867" t="s">
        <v>1045</v>
      </c>
      <c r="I105" s="1908"/>
    </row>
    <row r="106" spans="1:11" x14ac:dyDescent="0.25">
      <c r="A106" s="83"/>
      <c r="B106" s="122" t="s">
        <v>4</v>
      </c>
      <c r="C106" s="1069"/>
      <c r="D106" s="1887"/>
      <c r="E106" s="33"/>
      <c r="G106" s="752"/>
      <c r="I106" s="1908"/>
    </row>
    <row r="107" spans="1:11" hidden="1" x14ac:dyDescent="0.25">
      <c r="A107" s="83"/>
      <c r="B107" s="235" t="s">
        <v>3</v>
      </c>
      <c r="C107" s="234">
        <v>28770</v>
      </c>
      <c r="D107" s="1866" t="s">
        <v>2</v>
      </c>
      <c r="E107" s="245"/>
      <c r="F107" s="1712"/>
      <c r="G107" s="245">
        <v>5.3</v>
      </c>
      <c r="H107" s="1712"/>
      <c r="I107" s="1909"/>
    </row>
    <row r="108" spans="1:11" x14ac:dyDescent="0.25">
      <c r="A108" s="83"/>
      <c r="B108" s="122" t="s">
        <v>1</v>
      </c>
      <c r="C108" s="13"/>
      <c r="D108" s="12"/>
      <c r="E108" s="1704"/>
      <c r="G108" s="1704">
        <f>G107</f>
        <v>5.3</v>
      </c>
      <c r="I108" s="1908"/>
    </row>
    <row r="109" spans="1:11" x14ac:dyDescent="0.25">
      <c r="A109" s="83"/>
      <c r="B109" s="122" t="s">
        <v>15</v>
      </c>
      <c r="C109" s="13"/>
      <c r="D109" s="12"/>
      <c r="E109" s="282"/>
      <c r="G109" s="752"/>
      <c r="I109" s="1908"/>
    </row>
    <row r="110" spans="1:11" x14ac:dyDescent="0.25">
      <c r="A110" s="15"/>
      <c r="B110" s="247" t="s">
        <v>936</v>
      </c>
      <c r="C110" s="1839">
        <v>10632</v>
      </c>
      <c r="D110" s="1888" t="s">
        <v>1046</v>
      </c>
      <c r="E110" s="275"/>
      <c r="F110" s="1739"/>
      <c r="G110" s="1530">
        <f>F110-E110</f>
        <v>0</v>
      </c>
      <c r="H110" s="1902">
        <f>G110/G15</f>
        <v>0</v>
      </c>
      <c r="I110" s="1908"/>
    </row>
    <row r="111" spans="1:11" x14ac:dyDescent="0.25">
      <c r="A111" s="15"/>
      <c r="B111" s="247"/>
      <c r="C111" s="1839">
        <v>4.3</v>
      </c>
      <c r="D111" s="251" t="s">
        <v>1035</v>
      </c>
      <c r="E111" s="275"/>
      <c r="F111" s="1739"/>
      <c r="G111" s="1530"/>
      <c r="H111" s="1903"/>
      <c r="I111" s="1908"/>
    </row>
    <row r="112" spans="1:11" x14ac:dyDescent="0.25">
      <c r="A112" s="15"/>
      <c r="B112" s="247" t="s">
        <v>1005</v>
      </c>
      <c r="C112" s="266">
        <v>10503.3</v>
      </c>
      <c r="D112" s="1888" t="s">
        <v>1046</v>
      </c>
      <c r="E112" s="275">
        <v>65910.899999999994</v>
      </c>
      <c r="F112" s="1739">
        <v>75191.7</v>
      </c>
      <c r="G112" s="275">
        <f>F112-E112</f>
        <v>9280.8000000000029</v>
      </c>
      <c r="H112" s="1902">
        <f>G112/G15</f>
        <v>3.3933455210237669</v>
      </c>
      <c r="I112" s="1911" t="s">
        <v>831</v>
      </c>
    </row>
    <row r="113" spans="1:9" hidden="1" x14ac:dyDescent="0.25">
      <c r="A113" s="15"/>
      <c r="B113" s="955"/>
      <c r="C113" s="956"/>
      <c r="D113" s="1889"/>
      <c r="E113" s="950"/>
      <c r="G113" s="752"/>
      <c r="I113" s="1908"/>
    </row>
    <row r="114" spans="1:9" hidden="1" x14ac:dyDescent="0.25">
      <c r="A114" s="15"/>
      <c r="B114" s="44" t="s">
        <v>15</v>
      </c>
      <c r="C114" s="533"/>
      <c r="D114" s="436"/>
      <c r="E114" s="299"/>
      <c r="G114" s="752"/>
      <c r="I114" s="1908"/>
    </row>
    <row r="115" spans="1:9" hidden="1" x14ac:dyDescent="0.25">
      <c r="A115" s="15"/>
      <c r="B115" s="247" t="s">
        <v>120</v>
      </c>
      <c r="C115" s="266">
        <v>1308.96</v>
      </c>
      <c r="D115" s="1890"/>
      <c r="E115" s="275"/>
      <c r="G115" s="752"/>
      <c r="I115" s="1908"/>
    </row>
    <row r="116" spans="1:9" hidden="1" x14ac:dyDescent="0.25">
      <c r="A116" s="15"/>
      <c r="B116" s="955"/>
      <c r="C116" s="956"/>
      <c r="D116" s="1889"/>
      <c r="E116" s="33"/>
      <c r="G116" s="752"/>
      <c r="I116" s="1908"/>
    </row>
    <row r="117" spans="1:9" hidden="1" x14ac:dyDescent="0.25">
      <c r="A117" s="15"/>
      <c r="B117" s="247" t="s">
        <v>121</v>
      </c>
      <c r="C117" s="266">
        <v>5759.67</v>
      </c>
      <c r="D117" s="1890"/>
      <c r="E117" s="275">
        <v>792.3</v>
      </c>
      <c r="G117" s="752"/>
      <c r="I117" s="1908"/>
    </row>
    <row r="118" spans="1:9" hidden="1" x14ac:dyDescent="0.25">
      <c r="A118" s="15"/>
      <c r="B118" s="955"/>
      <c r="C118" s="956"/>
      <c r="D118" s="1889"/>
      <c r="E118" s="950"/>
      <c r="G118" s="752"/>
      <c r="I118" s="1908"/>
    </row>
    <row r="119" spans="1:9" hidden="1" x14ac:dyDescent="0.25">
      <c r="A119" s="15"/>
      <c r="B119" s="44" t="s">
        <v>7</v>
      </c>
      <c r="C119" s="533"/>
      <c r="D119" s="436"/>
      <c r="E119" s="299"/>
      <c r="G119" s="752"/>
      <c r="I119" s="1908"/>
    </row>
    <row r="120" spans="1:9" ht="15.75" thickBot="1" x14ac:dyDescent="0.3">
      <c r="A120" s="15"/>
      <c r="B120" s="1814"/>
      <c r="C120" s="1913">
        <v>4.2</v>
      </c>
      <c r="D120" s="1891" t="s">
        <v>1035</v>
      </c>
      <c r="E120" s="1816"/>
      <c r="F120" s="1817"/>
      <c r="G120" s="1818"/>
      <c r="H120" s="1817"/>
      <c r="I120" s="1910"/>
    </row>
    <row r="121" spans="1:9" ht="15.75" hidden="1" thickBot="1" x14ac:dyDescent="0.3">
      <c r="A121" s="19"/>
      <c r="B121" s="248" t="s">
        <v>123</v>
      </c>
      <c r="C121" s="267">
        <v>241.12</v>
      </c>
      <c r="D121" s="267"/>
      <c r="E121" s="1747"/>
      <c r="F121" s="1748"/>
      <c r="G121" s="1749"/>
      <c r="H121" s="1750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88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7109375" style="1" customWidth="1"/>
    <col min="3" max="3" width="15" style="1" customWidth="1"/>
    <col min="4" max="4" width="10" style="1" customWidth="1"/>
    <col min="5" max="5" width="14" style="1" customWidth="1"/>
    <col min="6" max="6" width="16.28515625" customWidth="1"/>
    <col min="7" max="7" width="15.28515625" customWidth="1"/>
    <col min="8" max="8" width="18" customWidth="1"/>
    <col min="9" max="9" width="21.28515625" customWidth="1"/>
    <col min="11" max="11" width="11.28515625" bestFit="1" customWidth="1"/>
  </cols>
  <sheetData>
    <row r="1" spans="1:9" ht="15" customHeight="1" thickTop="1" x14ac:dyDescent="0.25">
      <c r="A1" s="2034"/>
      <c r="B1" s="1914"/>
      <c r="C1" s="2037" t="s">
        <v>1052</v>
      </c>
      <c r="D1" s="2038"/>
      <c r="E1" s="2038"/>
      <c r="F1" s="2038"/>
      <c r="G1" s="2038"/>
      <c r="H1" s="2038"/>
      <c r="I1" s="2039"/>
    </row>
    <row r="2" spans="1:9" ht="14.65" customHeight="1" x14ac:dyDescent="0.25">
      <c r="A2" s="2035"/>
      <c r="B2" s="1915"/>
      <c r="C2" s="2040" t="s">
        <v>1053</v>
      </c>
      <c r="D2" s="2041"/>
      <c r="E2" s="2041"/>
      <c r="F2" s="2041"/>
      <c r="G2" s="2041"/>
      <c r="H2" s="2041"/>
      <c r="I2" s="2042"/>
    </row>
    <row r="3" spans="1:9" ht="14.65" customHeight="1" x14ac:dyDescent="0.25">
      <c r="A3" s="2035"/>
      <c r="B3" s="1916"/>
      <c r="C3" s="2066" t="s">
        <v>1054</v>
      </c>
      <c r="D3" s="2067"/>
      <c r="E3" s="2067"/>
      <c r="F3" s="2067"/>
      <c r="G3" s="2067"/>
      <c r="H3" s="2067"/>
      <c r="I3" s="2068"/>
    </row>
    <row r="4" spans="1:9" ht="14.65" customHeight="1" x14ac:dyDescent="0.25">
      <c r="A4" s="2035"/>
      <c r="B4" s="1916"/>
      <c r="C4" s="2046" t="s">
        <v>1060</v>
      </c>
      <c r="D4" s="2047"/>
      <c r="E4" s="2047"/>
      <c r="F4" s="2047"/>
      <c r="G4" s="2047"/>
      <c r="H4" s="1927" t="s">
        <v>1061</v>
      </c>
      <c r="I4" s="1928">
        <v>1</v>
      </c>
    </row>
    <row r="5" spans="1:9" ht="14.65" customHeight="1" x14ac:dyDescent="0.25">
      <c r="A5" s="2035"/>
      <c r="B5" s="1916"/>
      <c r="C5" s="2048"/>
      <c r="D5" s="2049"/>
      <c r="E5" s="2049"/>
      <c r="F5" s="2049"/>
      <c r="G5" s="2049"/>
      <c r="H5" s="1929" t="s">
        <v>1056</v>
      </c>
      <c r="I5" s="1930" t="s">
        <v>1062</v>
      </c>
    </row>
    <row r="6" spans="1:9" ht="15" customHeight="1" thickBot="1" x14ac:dyDescent="0.3">
      <c r="A6" s="2036"/>
      <c r="B6" s="1917"/>
      <c r="C6" s="2050"/>
      <c r="D6" s="2051"/>
      <c r="E6" s="2051"/>
      <c r="F6" s="2051"/>
      <c r="G6" s="2051"/>
      <c r="H6" s="1931" t="s">
        <v>1057</v>
      </c>
      <c r="I6" s="1932" t="s">
        <v>1063</v>
      </c>
    </row>
    <row r="7" spans="1:9" ht="14.65" customHeight="1" thickTop="1" x14ac:dyDescent="0.25">
      <c r="A7" s="2028" t="s">
        <v>99</v>
      </c>
      <c r="B7" s="2032" t="s">
        <v>100</v>
      </c>
      <c r="C7" s="2030" t="s">
        <v>1049</v>
      </c>
      <c r="D7" s="2030" t="s">
        <v>1009</v>
      </c>
      <c r="E7" s="2057" t="s">
        <v>1051</v>
      </c>
      <c r="F7" s="2058"/>
      <c r="G7" s="2058"/>
      <c r="H7" s="2058"/>
      <c r="I7" s="2059"/>
    </row>
    <row r="8" spans="1:9" ht="15.75" thickBot="1" x14ac:dyDescent="0.3">
      <c r="A8" s="2053"/>
      <c r="B8" s="2054"/>
      <c r="C8" s="2052"/>
      <c r="D8" s="2052"/>
      <c r="E8" s="2060"/>
      <c r="F8" s="2061"/>
      <c r="G8" s="2061"/>
      <c r="H8" s="2061"/>
      <c r="I8" s="2062"/>
    </row>
    <row r="9" spans="1:9" ht="15.75" thickBot="1" x14ac:dyDescent="0.3">
      <c r="A9" s="1862">
        <v>1</v>
      </c>
      <c r="B9" s="1720" t="s">
        <v>85</v>
      </c>
      <c r="C9" s="1721"/>
      <c r="D9" s="1721"/>
      <c r="E9" s="1722" t="s">
        <v>945</v>
      </c>
      <c r="F9" s="1722" t="s">
        <v>946</v>
      </c>
      <c r="G9" s="1723" t="s">
        <v>188</v>
      </c>
      <c r="H9" s="1724" t="s">
        <v>1017</v>
      </c>
      <c r="I9" s="1912" t="s">
        <v>1050</v>
      </c>
    </row>
    <row r="10" spans="1:9" x14ac:dyDescent="0.25">
      <c r="A10" s="8"/>
      <c r="B10" s="1719" t="s">
        <v>16</v>
      </c>
      <c r="C10" s="251"/>
      <c r="D10" s="251"/>
      <c r="E10" s="33"/>
      <c r="F10" s="1751"/>
      <c r="G10" s="1751"/>
      <c r="H10" s="1751"/>
      <c r="I10" s="1907"/>
    </row>
    <row r="11" spans="1:9" ht="14.65" hidden="1" customHeight="1" x14ac:dyDescent="0.25">
      <c r="A11" s="8"/>
      <c r="B11" s="11" t="s">
        <v>84</v>
      </c>
      <c r="C11" s="251"/>
      <c r="D11" s="251"/>
      <c r="E11" s="33"/>
      <c r="I11" s="1908"/>
    </row>
    <row r="12" spans="1:9" ht="14.65" hidden="1" customHeight="1" x14ac:dyDescent="0.25">
      <c r="A12" s="8"/>
      <c r="B12" s="72" t="s">
        <v>125</v>
      </c>
      <c r="C12" s="251"/>
      <c r="D12" s="251"/>
      <c r="E12" s="270"/>
      <c r="I12" s="1908"/>
    </row>
    <row r="13" spans="1:9" ht="14.65" hidden="1" customHeight="1" x14ac:dyDescent="0.25">
      <c r="A13" s="8"/>
      <c r="B13" s="11" t="s">
        <v>103</v>
      </c>
      <c r="C13" s="251"/>
      <c r="D13" s="251"/>
      <c r="E13" s="34"/>
      <c r="I13" s="1908"/>
    </row>
    <row r="14" spans="1:9" x14ac:dyDescent="0.25">
      <c r="A14" s="8"/>
      <c r="B14" s="1717" t="s">
        <v>96</v>
      </c>
      <c r="C14" s="1718">
        <v>2500</v>
      </c>
      <c r="D14" s="1718" t="s">
        <v>381</v>
      </c>
      <c r="E14" s="1530">
        <v>13533.82</v>
      </c>
      <c r="F14" s="1530">
        <v>16053.42</v>
      </c>
      <c r="G14" s="245">
        <f>F14-E14</f>
        <v>2519.6000000000004</v>
      </c>
      <c r="H14" s="245"/>
      <c r="I14" s="1911" t="s">
        <v>831</v>
      </c>
    </row>
    <row r="15" spans="1:9" ht="14.65" hidden="1" customHeight="1" x14ac:dyDescent="0.25">
      <c r="A15" s="8"/>
      <c r="B15" s="948" t="s">
        <v>379</v>
      </c>
      <c r="C15" s="949"/>
      <c r="D15" s="949"/>
      <c r="E15" s="950"/>
      <c r="H15" s="1728"/>
      <c r="I15" s="1908"/>
    </row>
    <row r="16" spans="1:9" ht="14.65" hidden="1" customHeight="1" x14ac:dyDescent="0.25">
      <c r="A16" s="8"/>
      <c r="B16" s="21" t="s">
        <v>97</v>
      </c>
      <c r="C16" s="234">
        <v>29045000</v>
      </c>
      <c r="D16" s="234"/>
      <c r="E16" s="33"/>
      <c r="H16" s="1728"/>
      <c r="I16" s="1908"/>
    </row>
    <row r="17" spans="1:9" ht="14.65" hidden="1" customHeight="1" x14ac:dyDescent="0.25">
      <c r="A17" s="8"/>
      <c r="B17" s="21" t="s">
        <v>98</v>
      </c>
      <c r="C17" s="234">
        <v>7314000</v>
      </c>
      <c r="D17" s="234"/>
      <c r="E17" s="33">
        <f>E53+E62+E67</f>
        <v>0</v>
      </c>
      <c r="H17" s="1728"/>
      <c r="I17" s="1908"/>
    </row>
    <row r="18" spans="1:9" x14ac:dyDescent="0.25">
      <c r="A18" s="8"/>
      <c r="B18" s="14" t="s">
        <v>82</v>
      </c>
      <c r="C18" s="252">
        <v>5</v>
      </c>
      <c r="D18" s="252" t="s">
        <v>25</v>
      </c>
      <c r="E18" s="1725"/>
      <c r="F18" s="1710"/>
      <c r="G18" s="1933">
        <v>4</v>
      </c>
      <c r="H18" s="752"/>
      <c r="I18" s="1908"/>
    </row>
    <row r="19" spans="1:9" x14ac:dyDescent="0.25">
      <c r="A19" s="8"/>
      <c r="B19" s="14" t="s">
        <v>81</v>
      </c>
      <c r="C19" s="252">
        <v>0.5</v>
      </c>
      <c r="D19" s="252" t="s">
        <v>25</v>
      </c>
      <c r="E19" s="1725"/>
      <c r="F19" s="1710"/>
      <c r="G19" s="1709">
        <v>0.41</v>
      </c>
      <c r="H19" s="752"/>
      <c r="I19" s="1908"/>
    </row>
    <row r="20" spans="1:9" x14ac:dyDescent="0.25">
      <c r="A20" s="8"/>
      <c r="B20" s="14" t="s">
        <v>80</v>
      </c>
      <c r="C20" s="253">
        <v>2.2000000000000002</v>
      </c>
      <c r="D20" s="252" t="s">
        <v>1010</v>
      </c>
      <c r="E20" s="1725"/>
      <c r="F20" s="1710"/>
      <c r="G20" s="1709">
        <v>2.42</v>
      </c>
      <c r="H20" s="752"/>
      <c r="I20" s="1908"/>
    </row>
    <row r="21" spans="1:9" x14ac:dyDescent="0.25">
      <c r="A21" s="8"/>
      <c r="B21" s="14" t="s">
        <v>1064</v>
      </c>
      <c r="C21" s="1760">
        <v>12</v>
      </c>
      <c r="D21" s="252" t="s">
        <v>1038</v>
      </c>
      <c r="E21" s="1725"/>
      <c r="F21" s="1710"/>
      <c r="G21" s="1813" t="s">
        <v>1065</v>
      </c>
      <c r="H21" s="752"/>
      <c r="I21" s="1908"/>
    </row>
    <row r="22" spans="1:9" x14ac:dyDescent="0.25">
      <c r="A22" s="8"/>
      <c r="B22" s="14" t="s">
        <v>1066</v>
      </c>
      <c r="C22" s="1760" t="s">
        <v>1067</v>
      </c>
      <c r="D22" s="252" t="s">
        <v>1068</v>
      </c>
      <c r="E22" s="1725"/>
      <c r="F22" s="1710"/>
      <c r="G22" s="1813" t="s">
        <v>1065</v>
      </c>
      <c r="H22" s="752"/>
      <c r="I22" s="1908"/>
    </row>
    <row r="23" spans="1:9" x14ac:dyDescent="0.25">
      <c r="A23" s="8"/>
      <c r="B23" s="14" t="s">
        <v>1069</v>
      </c>
      <c r="C23" s="1760" t="s">
        <v>1070</v>
      </c>
      <c r="D23" s="252" t="s">
        <v>1071</v>
      </c>
      <c r="E23" s="1725"/>
      <c r="F23" s="1710"/>
      <c r="G23" s="1813" t="s">
        <v>1065</v>
      </c>
      <c r="H23" s="752"/>
      <c r="I23" s="1908"/>
    </row>
    <row r="24" spans="1:9" x14ac:dyDescent="0.25">
      <c r="A24" s="8"/>
      <c r="B24" s="14" t="s">
        <v>1072</v>
      </c>
      <c r="C24" s="1760">
        <v>25</v>
      </c>
      <c r="D24" s="252" t="s">
        <v>1068</v>
      </c>
      <c r="E24" s="1725"/>
      <c r="F24" s="1710"/>
      <c r="G24" s="1813" t="s">
        <v>1065</v>
      </c>
      <c r="H24" s="752"/>
      <c r="I24" s="1908"/>
    </row>
    <row r="25" spans="1:9" x14ac:dyDescent="0.25">
      <c r="A25" s="8"/>
      <c r="B25" s="235" t="s">
        <v>1073</v>
      </c>
      <c r="C25" s="1718">
        <v>50</v>
      </c>
      <c r="D25" s="1718" t="s">
        <v>1074</v>
      </c>
      <c r="E25" s="1726"/>
      <c r="F25" s="1715"/>
      <c r="G25" s="1716">
        <v>50</v>
      </c>
      <c r="H25" s="1729"/>
      <c r="I25" s="1908"/>
    </row>
    <row r="26" spans="1:9" x14ac:dyDescent="0.25">
      <c r="A26" s="8"/>
      <c r="B26" s="1706" t="s">
        <v>78</v>
      </c>
      <c r="C26" s="1707"/>
      <c r="D26" s="1707"/>
      <c r="E26" s="272"/>
      <c r="F26" s="1727"/>
      <c r="G26" s="1708"/>
      <c r="H26" s="1727"/>
      <c r="I26" s="1908"/>
    </row>
    <row r="27" spans="1:9" x14ac:dyDescent="0.25">
      <c r="A27" s="15"/>
      <c r="B27" s="235" t="s">
        <v>193</v>
      </c>
      <c r="C27" s="1718">
        <f>C14*94.2%</f>
        <v>2355</v>
      </c>
      <c r="D27" s="1718" t="s">
        <v>381</v>
      </c>
      <c r="E27" s="1530">
        <v>12357.54</v>
      </c>
      <c r="F27" s="1530">
        <v>14705.95</v>
      </c>
      <c r="G27" s="1934">
        <f>F27-E27</f>
        <v>2348.41</v>
      </c>
      <c r="H27" s="1935">
        <f>G27/G14</f>
        <v>0.93205667566280348</v>
      </c>
      <c r="I27" s="1908"/>
    </row>
    <row r="28" spans="1:9" x14ac:dyDescent="0.25">
      <c r="A28" s="8"/>
      <c r="B28" s="14" t="s">
        <v>82</v>
      </c>
      <c r="C28" s="252">
        <v>0.05</v>
      </c>
      <c r="D28" s="252" t="s">
        <v>25</v>
      </c>
      <c r="E28" s="1725"/>
      <c r="F28" s="1936"/>
      <c r="G28" s="1937">
        <v>0.06</v>
      </c>
      <c r="H28" s="1938"/>
      <c r="I28" s="1908"/>
    </row>
    <row r="29" spans="1:9" x14ac:dyDescent="0.25">
      <c r="A29" s="8"/>
      <c r="B29" s="14" t="s">
        <v>81</v>
      </c>
      <c r="C29" s="252">
        <v>0.03</v>
      </c>
      <c r="D29" s="252" t="s">
        <v>25</v>
      </c>
      <c r="E29" s="1725"/>
      <c r="F29" s="1939"/>
      <c r="G29" s="1940">
        <v>0.05</v>
      </c>
      <c r="H29" s="1941"/>
      <c r="I29" s="1911"/>
    </row>
    <row r="30" spans="1:9" x14ac:dyDescent="0.25">
      <c r="A30" s="8"/>
      <c r="B30" s="14" t="s">
        <v>1075</v>
      </c>
      <c r="C30" s="252"/>
      <c r="D30" s="252" t="s">
        <v>1076</v>
      </c>
      <c r="E30" s="1725"/>
      <c r="F30" s="1939"/>
      <c r="G30" s="1940" t="s">
        <v>1077</v>
      </c>
      <c r="H30" s="1941"/>
      <c r="I30" s="1911"/>
    </row>
    <row r="31" spans="1:9" x14ac:dyDescent="0.25">
      <c r="A31" s="8"/>
      <c r="B31" s="14" t="s">
        <v>1078</v>
      </c>
      <c r="C31" s="234">
        <v>2</v>
      </c>
      <c r="D31" s="252" t="s">
        <v>1068</v>
      </c>
      <c r="E31" s="1725"/>
      <c r="F31" s="1939"/>
      <c r="G31" s="1940" t="s">
        <v>1065</v>
      </c>
      <c r="H31" s="1941"/>
      <c r="I31" s="1911"/>
    </row>
    <row r="32" spans="1:9" x14ac:dyDescent="0.25">
      <c r="A32" s="8"/>
      <c r="B32" s="14" t="s">
        <v>950</v>
      </c>
      <c r="C32" s="253">
        <v>2.5</v>
      </c>
      <c r="D32" s="252" t="s">
        <v>25</v>
      </c>
      <c r="E32" s="1725"/>
      <c r="F32" s="1939"/>
      <c r="G32" s="1940">
        <v>2.5</v>
      </c>
      <c r="H32" s="1941"/>
      <c r="I32" s="1908"/>
    </row>
    <row r="33" spans="1:9" x14ac:dyDescent="0.25">
      <c r="A33" s="8"/>
      <c r="B33" s="14" t="s">
        <v>956</v>
      </c>
      <c r="C33" s="1760">
        <v>60</v>
      </c>
      <c r="D33" s="234" t="s">
        <v>1011</v>
      </c>
      <c r="E33" s="1725"/>
      <c r="F33" s="1939"/>
      <c r="G33" s="1827" t="s">
        <v>1065</v>
      </c>
      <c r="H33" s="1942"/>
      <c r="I33" s="1908"/>
    </row>
    <row r="34" spans="1:9" x14ac:dyDescent="0.25">
      <c r="A34" s="8"/>
      <c r="B34" s="14" t="s">
        <v>957</v>
      </c>
      <c r="C34" s="253" t="s">
        <v>958</v>
      </c>
      <c r="D34" s="253"/>
      <c r="E34" s="1725"/>
      <c r="F34" s="1939"/>
      <c r="G34" s="1827" t="s">
        <v>1065</v>
      </c>
      <c r="H34" s="1942"/>
      <c r="I34" s="1908"/>
    </row>
    <row r="35" spans="1:9" x14ac:dyDescent="0.25">
      <c r="A35" s="8"/>
      <c r="B35" s="14" t="s">
        <v>959</v>
      </c>
      <c r="C35" s="1760">
        <v>50</v>
      </c>
      <c r="D35" s="1760" t="s">
        <v>1031</v>
      </c>
      <c r="E35" s="1725"/>
      <c r="F35" s="1943"/>
      <c r="G35" s="1944">
        <v>50</v>
      </c>
      <c r="H35" s="1945"/>
      <c r="I35" s="1908"/>
    </row>
    <row r="36" spans="1:9" x14ac:dyDescent="0.25">
      <c r="A36" s="15"/>
      <c r="B36" s="65" t="s">
        <v>64</v>
      </c>
      <c r="C36" s="1718">
        <f>C14*5%</f>
        <v>125</v>
      </c>
      <c r="D36" s="1718" t="s">
        <v>381</v>
      </c>
      <c r="E36" s="1705">
        <v>572.71</v>
      </c>
      <c r="F36" s="1705">
        <v>675.39</v>
      </c>
      <c r="G36" s="1946">
        <f>F36-E36</f>
        <v>102.67999999999995</v>
      </c>
      <c r="H36" s="1947">
        <f>G36/G14</f>
        <v>4.0752500396888366E-2</v>
      </c>
      <c r="I36" s="1911"/>
    </row>
    <row r="37" spans="1:9" ht="14.65" hidden="1" customHeight="1" x14ac:dyDescent="0.25">
      <c r="A37" s="15"/>
      <c r="B37" s="717" t="s">
        <v>353</v>
      </c>
      <c r="C37" s="742"/>
      <c r="D37" s="234"/>
      <c r="E37" s="33"/>
      <c r="H37" s="1728"/>
      <c r="I37" s="1908"/>
    </row>
    <row r="38" spans="1:9" ht="14.65" hidden="1" customHeight="1" x14ac:dyDescent="0.25">
      <c r="A38" s="8"/>
      <c r="B38" s="11" t="s">
        <v>84</v>
      </c>
      <c r="C38" s="251"/>
      <c r="D38" s="251"/>
      <c r="E38" s="33"/>
      <c r="H38" s="1728"/>
      <c r="I38" s="1908"/>
    </row>
    <row r="39" spans="1:9" ht="14.65" hidden="1" customHeight="1" x14ac:dyDescent="0.25">
      <c r="A39" s="8"/>
      <c r="B39" s="11" t="s">
        <v>357</v>
      </c>
      <c r="C39" s="251"/>
      <c r="D39" s="251"/>
      <c r="E39" s="33">
        <v>0</v>
      </c>
      <c r="H39" s="1728"/>
      <c r="I39" s="1908"/>
    </row>
    <row r="40" spans="1:9" ht="14.65" hidden="1" customHeight="1" x14ac:dyDescent="0.25">
      <c r="A40" s="15"/>
      <c r="B40" s="65" t="s">
        <v>356</v>
      </c>
      <c r="C40" s="234"/>
      <c r="D40" s="234"/>
      <c r="E40" s="270">
        <v>392100</v>
      </c>
      <c r="H40" s="1728"/>
      <c r="I40" s="1908"/>
    </row>
    <row r="41" spans="1:9" ht="14.65" hidden="1" customHeight="1" x14ac:dyDescent="0.25">
      <c r="A41" s="15"/>
      <c r="B41" s="948" t="s">
        <v>378</v>
      </c>
      <c r="C41" s="949"/>
      <c r="D41" s="949"/>
      <c r="E41" s="950"/>
      <c r="H41" s="1728"/>
      <c r="I41" s="1908"/>
    </row>
    <row r="42" spans="1:9" ht="14.65" hidden="1" customHeight="1" x14ac:dyDescent="0.25">
      <c r="A42" s="15"/>
      <c r="B42" s="14" t="s">
        <v>355</v>
      </c>
      <c r="C42" s="741"/>
      <c r="D42" s="741"/>
      <c r="E42" s="33">
        <f>SUM(E45,E49,E54,E58,E68)</f>
        <v>0</v>
      </c>
      <c r="H42" s="1728"/>
      <c r="I42" s="1908"/>
    </row>
    <row r="43" spans="1:9" ht="14.65" hidden="1" customHeight="1" x14ac:dyDescent="0.25">
      <c r="A43" s="15"/>
      <c r="B43" s="14" t="s">
        <v>354</v>
      </c>
      <c r="C43" s="743"/>
      <c r="D43" s="741"/>
      <c r="E43" s="33">
        <f>E40-E42</f>
        <v>392100</v>
      </c>
      <c r="H43" s="1728"/>
      <c r="I43" s="1908"/>
    </row>
    <row r="44" spans="1:9" ht="14.65" hidden="1" customHeight="1" x14ac:dyDescent="0.25">
      <c r="A44" s="15"/>
      <c r="B44" s="230" t="s">
        <v>76</v>
      </c>
      <c r="C44" s="231"/>
      <c r="D44" s="231"/>
      <c r="E44" s="94"/>
      <c r="H44" s="1728"/>
      <c r="I44" s="1908"/>
    </row>
    <row r="45" spans="1:9" ht="14.65" hidden="1" customHeight="1" x14ac:dyDescent="0.25">
      <c r="A45" s="15"/>
      <c r="B45" s="14" t="s">
        <v>75</v>
      </c>
      <c r="C45" s="255"/>
      <c r="D45" s="255"/>
      <c r="E45" s="33">
        <f>E46+E47</f>
        <v>0</v>
      </c>
      <c r="H45" s="1728"/>
      <c r="I45" s="1908"/>
    </row>
    <row r="46" spans="1:9" ht="14.65" hidden="1" customHeight="1" x14ac:dyDescent="0.25">
      <c r="A46" s="15"/>
      <c r="B46" s="65" t="s">
        <v>74</v>
      </c>
      <c r="C46" s="255"/>
      <c r="D46" s="255"/>
      <c r="E46" s="270">
        <v>0</v>
      </c>
      <c r="H46" s="1728"/>
      <c r="I46" s="1908"/>
    </row>
    <row r="47" spans="1:9" ht="14.65" hidden="1" customHeight="1" x14ac:dyDescent="0.25">
      <c r="A47" s="15"/>
      <c r="B47" s="65" t="s">
        <v>73</v>
      </c>
      <c r="C47" s="255"/>
      <c r="D47" s="255"/>
      <c r="E47" s="271">
        <v>0</v>
      </c>
      <c r="H47" s="1728"/>
      <c r="I47" s="1908"/>
    </row>
    <row r="48" spans="1:9" ht="14.65" hidden="1" customHeight="1" x14ac:dyDescent="0.25">
      <c r="A48" s="69"/>
      <c r="B48" s="230" t="s">
        <v>104</v>
      </c>
      <c r="C48" s="305"/>
      <c r="D48" s="1856"/>
      <c r="E48" s="272"/>
      <c r="H48" s="1728"/>
      <c r="I48" s="1908"/>
    </row>
    <row r="49" spans="1:9" ht="14.65" hidden="1" customHeight="1" x14ac:dyDescent="0.25">
      <c r="A49" s="15"/>
      <c r="B49" s="14" t="s">
        <v>75</v>
      </c>
      <c r="C49" s="255"/>
      <c r="D49" s="255"/>
      <c r="E49" s="33">
        <f>E50+E51</f>
        <v>0</v>
      </c>
      <c r="H49" s="1728"/>
      <c r="I49" s="1908"/>
    </row>
    <row r="50" spans="1:9" ht="14.65" hidden="1" customHeight="1" x14ac:dyDescent="0.25">
      <c r="A50" s="15"/>
      <c r="B50" s="65" t="s">
        <v>105</v>
      </c>
      <c r="C50" s="255"/>
      <c r="D50" s="255"/>
      <c r="E50" s="270">
        <v>0</v>
      </c>
      <c r="H50" s="1728"/>
      <c r="I50" s="1908"/>
    </row>
    <row r="51" spans="1:9" ht="14.65" hidden="1" customHeight="1" x14ac:dyDescent="0.25">
      <c r="A51" s="15"/>
      <c r="B51" s="65" t="s">
        <v>73</v>
      </c>
      <c r="C51" s="255"/>
      <c r="D51" s="255"/>
      <c r="E51" s="270">
        <v>0</v>
      </c>
      <c r="H51" s="1728"/>
      <c r="I51" s="1908"/>
    </row>
    <row r="52" spans="1:9" ht="14.65" hidden="1" customHeight="1" x14ac:dyDescent="0.25">
      <c r="A52" s="15"/>
      <c r="B52" s="230" t="s">
        <v>107</v>
      </c>
      <c r="C52" s="233"/>
      <c r="D52" s="233"/>
      <c r="E52" s="94"/>
      <c r="H52" s="1728"/>
      <c r="I52" s="1908"/>
    </row>
    <row r="53" spans="1:9" ht="14.65" hidden="1" customHeight="1" x14ac:dyDescent="0.25">
      <c r="A53" s="17"/>
      <c r="B53" s="11" t="s">
        <v>71</v>
      </c>
      <c r="C53" s="256"/>
      <c r="D53" s="256"/>
      <c r="E53" s="33"/>
      <c r="H53" s="1728"/>
      <c r="I53" s="1908"/>
    </row>
    <row r="54" spans="1:9" ht="14.65" hidden="1" customHeight="1" x14ac:dyDescent="0.25">
      <c r="A54" s="15"/>
      <c r="B54" s="14" t="s">
        <v>70</v>
      </c>
      <c r="C54" s="255"/>
      <c r="D54" s="255"/>
      <c r="E54" s="33">
        <f>E55+E56</f>
        <v>0</v>
      </c>
      <c r="H54" s="1728"/>
      <c r="I54" s="1908"/>
    </row>
    <row r="55" spans="1:9" ht="14.65" hidden="1" customHeight="1" x14ac:dyDescent="0.25">
      <c r="A55" s="15"/>
      <c r="B55" s="65" t="s">
        <v>109</v>
      </c>
      <c r="C55" s="255"/>
      <c r="D55" s="255"/>
      <c r="E55" s="270">
        <v>0</v>
      </c>
      <c r="H55" s="1728"/>
      <c r="I55" s="1908"/>
    </row>
    <row r="56" spans="1:9" ht="14.65" hidden="1" customHeight="1" x14ac:dyDescent="0.25">
      <c r="A56" s="15"/>
      <c r="B56" s="56" t="s">
        <v>73</v>
      </c>
      <c r="C56" s="255"/>
      <c r="D56" s="255"/>
      <c r="E56" s="271">
        <v>0</v>
      </c>
      <c r="H56" s="1728"/>
      <c r="I56" s="1908"/>
    </row>
    <row r="57" spans="1:9" ht="14.65" hidden="1" customHeight="1" x14ac:dyDescent="0.25">
      <c r="A57" s="69"/>
      <c r="B57" s="230" t="s">
        <v>110</v>
      </c>
      <c r="C57" s="305"/>
      <c r="D57" s="305"/>
      <c r="E57" s="94"/>
      <c r="H57" s="1728"/>
      <c r="I57" s="1908"/>
    </row>
    <row r="58" spans="1:9" ht="14.65" hidden="1" customHeight="1" x14ac:dyDescent="0.25">
      <c r="A58" s="15"/>
      <c r="B58" s="14" t="s">
        <v>75</v>
      </c>
      <c r="C58" s="229">
        <f>C59+C60</f>
        <v>21429000</v>
      </c>
      <c r="D58" s="229"/>
      <c r="E58" s="33">
        <f>E59+E60</f>
        <v>0</v>
      </c>
      <c r="H58" s="1728"/>
      <c r="I58" s="1908"/>
    </row>
    <row r="59" spans="1:9" ht="14.65" hidden="1" customHeight="1" x14ac:dyDescent="0.25">
      <c r="A59" s="15"/>
      <c r="B59" s="65" t="s">
        <v>112</v>
      </c>
      <c r="C59" s="68">
        <v>15000000</v>
      </c>
      <c r="D59" s="68"/>
      <c r="E59" s="270"/>
      <c r="H59" s="1728"/>
      <c r="I59" s="1908"/>
    </row>
    <row r="60" spans="1:9" ht="14.65" hidden="1" customHeight="1" x14ac:dyDescent="0.25">
      <c r="A60" s="15"/>
      <c r="B60" s="65" t="s">
        <v>73</v>
      </c>
      <c r="C60" s="68">
        <v>6429000</v>
      </c>
      <c r="D60" s="68"/>
      <c r="E60" s="271"/>
      <c r="H60" s="1728"/>
      <c r="I60" s="1908"/>
    </row>
    <row r="61" spans="1:9" ht="14.65" hidden="1" customHeight="1" x14ac:dyDescent="0.25">
      <c r="A61" s="69"/>
      <c r="B61" s="230" t="s">
        <v>829</v>
      </c>
      <c r="C61" s="305"/>
      <c r="D61" s="1856"/>
      <c r="E61" s="272"/>
      <c r="H61" s="1728"/>
      <c r="I61" s="1908"/>
    </row>
    <row r="62" spans="1:9" ht="14.65" hidden="1" customHeight="1" x14ac:dyDescent="0.25">
      <c r="A62" s="17"/>
      <c r="B62" s="11" t="s">
        <v>71</v>
      </c>
      <c r="C62" s="256"/>
      <c r="D62" s="256"/>
      <c r="E62" s="33"/>
      <c r="H62" s="1728"/>
      <c r="I62" s="1908"/>
    </row>
    <row r="63" spans="1:9" ht="14.65" hidden="1" customHeight="1" x14ac:dyDescent="0.25">
      <c r="A63" s="15"/>
      <c r="B63" s="14" t="s">
        <v>75</v>
      </c>
      <c r="C63" s="229">
        <f>C64+C65</f>
        <v>21429000</v>
      </c>
      <c r="D63" s="229"/>
      <c r="E63" s="33">
        <f>E64+E65</f>
        <v>0</v>
      </c>
      <c r="H63" s="1728"/>
      <c r="I63" s="1908"/>
    </row>
    <row r="64" spans="1:9" ht="14.65" hidden="1" customHeight="1" x14ac:dyDescent="0.25">
      <c r="A64" s="15"/>
      <c r="B64" s="65" t="s">
        <v>112</v>
      </c>
      <c r="C64" s="68">
        <v>15000000</v>
      </c>
      <c r="D64" s="68"/>
      <c r="E64" s="270">
        <v>0</v>
      </c>
      <c r="H64" s="1728"/>
      <c r="I64" s="1908"/>
    </row>
    <row r="65" spans="1:9" ht="14.65" hidden="1" customHeight="1" x14ac:dyDescent="0.25">
      <c r="A65" s="15"/>
      <c r="B65" s="65" t="s">
        <v>73</v>
      </c>
      <c r="C65" s="68">
        <v>6429000</v>
      </c>
      <c r="D65" s="68"/>
      <c r="E65" s="270">
        <v>0</v>
      </c>
      <c r="H65" s="1728"/>
      <c r="I65" s="1908"/>
    </row>
    <row r="66" spans="1:9" ht="14.65" hidden="1" customHeight="1" x14ac:dyDescent="0.25">
      <c r="A66" s="15"/>
      <c r="B66" s="230" t="s">
        <v>72</v>
      </c>
      <c r="C66" s="233"/>
      <c r="D66" s="233"/>
      <c r="E66" s="94"/>
      <c r="H66" s="1728"/>
      <c r="I66" s="1908"/>
    </row>
    <row r="67" spans="1:9" ht="14.65" hidden="1" customHeight="1" x14ac:dyDescent="0.25">
      <c r="A67" s="17"/>
      <c r="B67" s="11" t="s">
        <v>71</v>
      </c>
      <c r="C67" s="256"/>
      <c r="D67" s="256"/>
      <c r="E67" s="33"/>
      <c r="H67" s="1728"/>
      <c r="I67" s="1908"/>
    </row>
    <row r="68" spans="1:9" ht="14.65" hidden="1" customHeight="1" x14ac:dyDescent="0.25">
      <c r="A68" s="15"/>
      <c r="B68" s="14" t="s">
        <v>70</v>
      </c>
      <c r="C68" s="255"/>
      <c r="D68" s="255"/>
      <c r="E68" s="33">
        <f>E70+E71</f>
        <v>0</v>
      </c>
      <c r="H68" s="1728"/>
      <c r="I68" s="1908"/>
    </row>
    <row r="69" spans="1:9" ht="14.65" hidden="1" customHeight="1" x14ac:dyDescent="0.25">
      <c r="A69" s="15"/>
      <c r="B69" s="65" t="s">
        <v>69</v>
      </c>
      <c r="C69" s="255"/>
      <c r="D69" s="255"/>
      <c r="E69" s="270">
        <v>0</v>
      </c>
      <c r="H69" s="1728"/>
      <c r="I69" s="1908"/>
    </row>
    <row r="70" spans="1:9" ht="14.65" hidden="1" customHeight="1" x14ac:dyDescent="0.25">
      <c r="A70" s="15"/>
      <c r="B70" s="65" t="s">
        <v>68</v>
      </c>
      <c r="C70" s="255"/>
      <c r="D70" s="255"/>
      <c r="E70" s="270">
        <v>0</v>
      </c>
      <c r="H70" s="1728"/>
      <c r="I70" s="1908"/>
    </row>
    <row r="71" spans="1:9" ht="14.65" hidden="1" customHeight="1" x14ac:dyDescent="0.25">
      <c r="A71" s="15"/>
      <c r="B71" s="65" t="s">
        <v>67</v>
      </c>
      <c r="C71" s="255"/>
      <c r="D71" s="255"/>
      <c r="E71" s="270">
        <v>0</v>
      </c>
      <c r="H71" s="1728"/>
      <c r="I71" s="1908"/>
    </row>
    <row r="72" spans="1:9" ht="14.65" hidden="1" customHeight="1" x14ac:dyDescent="0.25">
      <c r="A72" s="15"/>
      <c r="B72" s="75" t="s">
        <v>113</v>
      </c>
      <c r="C72" s="255"/>
      <c r="D72" s="255"/>
      <c r="E72" s="273">
        <v>0</v>
      </c>
      <c r="H72" s="1728"/>
      <c r="I72" s="1908"/>
    </row>
    <row r="73" spans="1:9" ht="14.65" hidden="1" customHeight="1" x14ac:dyDescent="0.25">
      <c r="A73" s="8"/>
      <c r="B73" s="76" t="s">
        <v>66</v>
      </c>
      <c r="C73" s="77"/>
      <c r="D73" s="77"/>
      <c r="E73" s="94"/>
      <c r="H73" s="1728"/>
      <c r="I73" s="1908"/>
    </row>
    <row r="74" spans="1:9" ht="14.65" hidden="1" customHeight="1" x14ac:dyDescent="0.25">
      <c r="A74" s="15"/>
      <c r="B74" s="75" t="s">
        <v>65</v>
      </c>
      <c r="C74" s="1615">
        <v>94.2</v>
      </c>
      <c r="D74" s="1615"/>
      <c r="E74" s="274">
        <f>(E27/(E14))*100</f>
        <v>91.30858841036752</v>
      </c>
      <c r="H74" s="1728"/>
      <c r="I74" s="1908"/>
    </row>
    <row r="75" spans="1:9" ht="14.65" hidden="1" customHeight="1" x14ac:dyDescent="0.25">
      <c r="A75" s="15"/>
      <c r="B75" s="75" t="s">
        <v>64</v>
      </c>
      <c r="C75" s="126">
        <v>5</v>
      </c>
      <c r="D75" s="126"/>
      <c r="E75" s="274">
        <f>(E36/(E14))*100</f>
        <v>4.2316951163825145</v>
      </c>
      <c r="H75" s="1728"/>
      <c r="I75" s="1908"/>
    </row>
    <row r="76" spans="1:9" ht="14.65" hidden="1" customHeight="1" x14ac:dyDescent="0.25">
      <c r="A76" s="15"/>
      <c r="B76" s="75" t="s">
        <v>63</v>
      </c>
      <c r="C76" s="126">
        <v>82</v>
      </c>
      <c r="D76" s="126"/>
      <c r="E76" s="274" t="e">
        <f>E46/(E46+E47)*100</f>
        <v>#DIV/0!</v>
      </c>
      <c r="H76" s="1728"/>
      <c r="I76" s="1908"/>
    </row>
    <row r="77" spans="1:9" ht="14.65" hidden="1" customHeight="1" x14ac:dyDescent="0.25">
      <c r="A77" s="15"/>
      <c r="B77" s="75" t="s">
        <v>62</v>
      </c>
      <c r="C77" s="126">
        <v>18</v>
      </c>
      <c r="D77" s="126"/>
      <c r="E77" s="274" t="e">
        <f>(E47/E45)*100</f>
        <v>#DIV/0!</v>
      </c>
      <c r="H77" s="1728"/>
      <c r="I77" s="1908"/>
    </row>
    <row r="78" spans="1:9" ht="14.65" hidden="1" customHeight="1" x14ac:dyDescent="0.25">
      <c r="A78" s="15"/>
      <c r="B78" s="75" t="s">
        <v>106</v>
      </c>
      <c r="C78" s="126">
        <v>75</v>
      </c>
      <c r="D78" s="126"/>
      <c r="E78" s="274" t="e">
        <f>(E50/E49)*100</f>
        <v>#DIV/0!</v>
      </c>
      <c r="H78" s="1728"/>
      <c r="I78" s="1908"/>
    </row>
    <row r="79" spans="1:9" ht="14.65" hidden="1" customHeight="1" x14ac:dyDescent="0.25">
      <c r="A79" s="15"/>
      <c r="B79" s="75" t="s">
        <v>62</v>
      </c>
      <c r="C79" s="126">
        <v>25</v>
      </c>
      <c r="D79" s="126"/>
      <c r="E79" s="274" t="e">
        <f>(E51/E49)*100</f>
        <v>#DIV/0!</v>
      </c>
      <c r="H79" s="1728"/>
      <c r="I79" s="1908"/>
    </row>
    <row r="80" spans="1:9" ht="14.65" hidden="1" customHeight="1" x14ac:dyDescent="0.25">
      <c r="A80" s="15"/>
      <c r="B80" s="75" t="s">
        <v>108</v>
      </c>
      <c r="C80" s="126">
        <v>75</v>
      </c>
      <c r="D80" s="126"/>
      <c r="E80" s="274" t="e">
        <f>E55/E54*100</f>
        <v>#DIV/0!</v>
      </c>
      <c r="H80" s="1728"/>
      <c r="I80" s="1908"/>
    </row>
    <row r="81" spans="1:9" ht="14.65" hidden="1" customHeight="1" x14ac:dyDescent="0.25">
      <c r="A81" s="15"/>
      <c r="B81" s="75" t="s">
        <v>62</v>
      </c>
      <c r="C81" s="126">
        <v>25</v>
      </c>
      <c r="D81" s="126"/>
      <c r="E81" s="274" t="e">
        <f>E56/E54*100</f>
        <v>#DIV/0!</v>
      </c>
      <c r="H81" s="1728"/>
      <c r="I81" s="1908"/>
    </row>
    <row r="82" spans="1:9" ht="14.65" hidden="1" customHeight="1" x14ac:dyDescent="0.25">
      <c r="A82" s="15"/>
      <c r="B82" s="75" t="s">
        <v>111</v>
      </c>
      <c r="C82" s="126">
        <v>70</v>
      </c>
      <c r="D82" s="126"/>
      <c r="E82" s="274" t="e">
        <f>E59/(E59+E60)*100</f>
        <v>#DIV/0!</v>
      </c>
      <c r="H82" s="1728"/>
      <c r="I82" s="1908"/>
    </row>
    <row r="83" spans="1:9" ht="14.65" hidden="1" customHeight="1" x14ac:dyDescent="0.25">
      <c r="A83" s="15"/>
      <c r="B83" s="75" t="s">
        <v>62</v>
      </c>
      <c r="C83" s="126">
        <v>30</v>
      </c>
      <c r="D83" s="126"/>
      <c r="E83" s="274" t="e">
        <f>E60/(E60+E59)*100</f>
        <v>#DIV/0!</v>
      </c>
      <c r="H83" s="1728"/>
      <c r="I83" s="1908"/>
    </row>
    <row r="84" spans="1:9" ht="14.65" hidden="1" customHeight="1" x14ac:dyDescent="0.25">
      <c r="A84" s="15"/>
      <c r="B84" s="75" t="s">
        <v>830</v>
      </c>
      <c r="C84" s="126">
        <v>70</v>
      </c>
      <c r="D84" s="126"/>
      <c r="E84" s="274" t="e">
        <f>E64/(E64+E65)*100</f>
        <v>#DIV/0!</v>
      </c>
      <c r="H84" s="1728"/>
      <c r="I84" s="1908"/>
    </row>
    <row r="85" spans="1:9" ht="14.65" hidden="1" customHeight="1" x14ac:dyDescent="0.25">
      <c r="A85" s="15"/>
      <c r="B85" s="75" t="s">
        <v>62</v>
      </c>
      <c r="C85" s="126">
        <v>30</v>
      </c>
      <c r="D85" s="126"/>
      <c r="E85" s="274" t="e">
        <f>E65/(E64+E65)*100</f>
        <v>#DIV/0!</v>
      </c>
      <c r="H85" s="1728"/>
      <c r="I85" s="1908"/>
    </row>
    <row r="86" spans="1:9" ht="14.65" hidden="1" customHeight="1" x14ac:dyDescent="0.25">
      <c r="A86" s="15"/>
      <c r="B86" s="75" t="s">
        <v>61</v>
      </c>
      <c r="C86" s="126">
        <v>60</v>
      </c>
      <c r="D86" s="126"/>
      <c r="E86" s="274" t="e">
        <f>E69/E68*100</f>
        <v>#DIV/0!</v>
      </c>
      <c r="H86" s="1728"/>
      <c r="I86" s="1908"/>
    </row>
    <row r="87" spans="1:9" ht="15" hidden="1" customHeight="1" x14ac:dyDescent="0.25">
      <c r="A87" s="19"/>
      <c r="B87" s="75" t="s">
        <v>60</v>
      </c>
      <c r="C87" s="126">
        <v>40</v>
      </c>
      <c r="D87" s="126"/>
      <c r="E87" s="274" t="e">
        <f>E71/E68*100</f>
        <v>#DIV/0!</v>
      </c>
      <c r="H87" s="1728"/>
      <c r="I87" s="1908"/>
    </row>
    <row r="88" spans="1:9" x14ac:dyDescent="0.25">
      <c r="A88" s="8"/>
      <c r="B88" s="14" t="s">
        <v>82</v>
      </c>
      <c r="C88" s="253" t="s">
        <v>1012</v>
      </c>
      <c r="D88" s="252" t="s">
        <v>25</v>
      </c>
      <c r="E88" s="1725"/>
      <c r="F88" s="1710"/>
      <c r="G88" s="1709">
        <v>90.21</v>
      </c>
      <c r="H88" s="752"/>
      <c r="I88" s="1908"/>
    </row>
    <row r="89" spans="1:9" ht="15.75" thickBot="1" x14ac:dyDescent="0.3">
      <c r="A89" s="8"/>
      <c r="B89" s="14" t="s">
        <v>81</v>
      </c>
      <c r="C89" s="253">
        <v>0.5</v>
      </c>
      <c r="D89" s="252" t="s">
        <v>25</v>
      </c>
      <c r="E89" s="1725"/>
      <c r="F89" s="1710"/>
      <c r="G89" s="1709">
        <v>0.33</v>
      </c>
      <c r="H89" s="752"/>
      <c r="I89" s="1908"/>
    </row>
    <row r="90" spans="1:9" ht="15.75" thickBot="1" x14ac:dyDescent="0.3">
      <c r="A90" s="1862">
        <v>2</v>
      </c>
      <c r="B90" s="1860" t="s">
        <v>59</v>
      </c>
      <c r="C90" s="1723"/>
      <c r="D90" s="1723"/>
      <c r="E90" s="1948" t="s">
        <v>945</v>
      </c>
      <c r="F90" s="1948" t="s">
        <v>946</v>
      </c>
      <c r="G90" s="1723" t="s">
        <v>188</v>
      </c>
      <c r="H90" s="1724" t="s">
        <v>1019</v>
      </c>
      <c r="I90" s="1908"/>
    </row>
    <row r="91" spans="1:9" x14ac:dyDescent="0.25">
      <c r="A91" s="8"/>
      <c r="B91" s="235" t="s">
        <v>58</v>
      </c>
      <c r="C91" s="252">
        <v>9</v>
      </c>
      <c r="D91" s="252" t="s">
        <v>86</v>
      </c>
      <c r="E91" s="270">
        <v>122737</v>
      </c>
      <c r="F91" s="270">
        <v>143761</v>
      </c>
      <c r="G91" s="270">
        <f>F91-E91</f>
        <v>21024</v>
      </c>
      <c r="H91" s="1949">
        <f>G91/G14/10</f>
        <v>0.83441816161295423</v>
      </c>
      <c r="I91" s="1911" t="s">
        <v>831</v>
      </c>
    </row>
    <row r="92" spans="1:9" ht="14.65" hidden="1" customHeight="1" x14ac:dyDescent="0.25">
      <c r="A92" s="15"/>
      <c r="B92" s="21"/>
      <c r="C92" s="254"/>
      <c r="D92" s="254"/>
      <c r="E92" s="276" t="e">
        <f>E91/(E16)*100</f>
        <v>#DIV/0!</v>
      </c>
      <c r="H92" s="1950"/>
      <c r="I92" s="1908"/>
    </row>
    <row r="93" spans="1:9" ht="14.65" hidden="1" customHeight="1" x14ac:dyDescent="0.25">
      <c r="A93" s="8"/>
      <c r="B93" s="237" t="s">
        <v>57</v>
      </c>
      <c r="C93" s="257">
        <v>18</v>
      </c>
      <c r="D93" s="257"/>
      <c r="E93" s="277">
        <v>0</v>
      </c>
      <c r="H93" s="1950"/>
      <c r="I93" s="1908"/>
    </row>
    <row r="94" spans="1:9" ht="14.65" hidden="1" customHeight="1" x14ac:dyDescent="0.25">
      <c r="A94" s="15"/>
      <c r="B94" s="22"/>
      <c r="C94" s="258"/>
      <c r="D94" s="258"/>
      <c r="E94" s="278" t="e">
        <f>E93/(E17)*100</f>
        <v>#DIV/0!</v>
      </c>
      <c r="H94" s="1950"/>
      <c r="I94" s="1911" t="s">
        <v>831</v>
      </c>
    </row>
    <row r="95" spans="1:9" x14ac:dyDescent="0.25">
      <c r="A95" s="15"/>
      <c r="B95" s="235" t="s">
        <v>55</v>
      </c>
      <c r="C95" s="253" t="s">
        <v>1013</v>
      </c>
      <c r="D95" s="252" t="s">
        <v>86</v>
      </c>
      <c r="E95" s="271">
        <v>1970.8</v>
      </c>
      <c r="F95" s="290">
        <v>867.36</v>
      </c>
      <c r="G95" s="1734">
        <f>E95-F95</f>
        <v>1103.44</v>
      </c>
      <c r="H95" s="1951">
        <f>G95/G14/10</f>
        <v>4.3794253056040636E-2</v>
      </c>
      <c r="I95" s="1911" t="s">
        <v>831</v>
      </c>
    </row>
    <row r="96" spans="1:9" ht="15" hidden="1" customHeight="1" x14ac:dyDescent="0.25">
      <c r="A96" s="19"/>
      <c r="B96" s="24"/>
      <c r="C96" s="254"/>
      <c r="D96" s="254"/>
      <c r="E96" s="279"/>
      <c r="H96" s="1728"/>
      <c r="I96" s="1908"/>
    </row>
    <row r="97" spans="1:9" x14ac:dyDescent="0.25">
      <c r="A97" s="138">
        <v>3</v>
      </c>
      <c r="B97" s="239" t="s">
        <v>168</v>
      </c>
      <c r="C97" s="1858" t="s">
        <v>1015</v>
      </c>
      <c r="D97" s="240" t="s">
        <v>25</v>
      </c>
      <c r="E97" s="280"/>
      <c r="F97" s="1708"/>
      <c r="G97" s="280"/>
      <c r="H97" s="1952">
        <f>((SUM(G27+G36))-(SUM(G14)))/(SUM(G14))*100</f>
        <v>-2.7190823940308246</v>
      </c>
      <c r="I97" s="1908"/>
    </row>
    <row r="98" spans="1:9" x14ac:dyDescent="0.25">
      <c r="A98" s="138"/>
      <c r="B98" s="309"/>
      <c r="C98" s="310"/>
      <c r="D98" s="310"/>
      <c r="E98" s="312"/>
      <c r="G98" s="312"/>
      <c r="H98" s="1953">
        <f>H97%*G14</f>
        <v>-68.510000000000673</v>
      </c>
      <c r="I98" s="1908"/>
    </row>
    <row r="99" spans="1:9" x14ac:dyDescent="0.25">
      <c r="A99" s="69"/>
      <c r="B99" s="235" t="s">
        <v>54</v>
      </c>
      <c r="C99" s="1859" t="s">
        <v>1014</v>
      </c>
      <c r="D99" s="1711" t="s">
        <v>25</v>
      </c>
      <c r="E99" s="281"/>
      <c r="F99" s="1712"/>
      <c r="G99" s="281"/>
      <c r="H99" s="1731"/>
      <c r="I99" s="1908"/>
    </row>
    <row r="100" spans="1:9" ht="15.75" thickBot="1" x14ac:dyDescent="0.3">
      <c r="A100" s="85"/>
      <c r="B100" s="86" t="s">
        <v>53</v>
      </c>
      <c r="C100" s="254"/>
      <c r="D100" s="254"/>
      <c r="E100" s="1735"/>
      <c r="F100" s="1736"/>
      <c r="G100" s="1735"/>
      <c r="H100" s="1735">
        <f>SUM(G91,G93)+(H99%*SUM(G91,G93))</f>
        <v>21024</v>
      </c>
      <c r="I100" s="1908"/>
    </row>
    <row r="101" spans="1:9" ht="15" hidden="1" customHeight="1" x14ac:dyDescent="0.25">
      <c r="A101" s="8">
        <v>4</v>
      </c>
      <c r="B101" s="47" t="s">
        <v>52</v>
      </c>
      <c r="C101" s="48"/>
      <c r="D101" s="1857"/>
      <c r="E101" s="272"/>
      <c r="H101" s="1728"/>
      <c r="I101" s="1908"/>
    </row>
    <row r="102" spans="1:9" ht="15" hidden="1" customHeight="1" x14ac:dyDescent="0.25">
      <c r="A102" s="8"/>
      <c r="B102" s="26" t="s">
        <v>51</v>
      </c>
      <c r="C102" s="88"/>
      <c r="D102" s="88"/>
      <c r="E102" s="282"/>
      <c r="H102" s="1728"/>
      <c r="I102" s="1908"/>
    </row>
    <row r="103" spans="1:9" ht="15" hidden="1" customHeight="1" x14ac:dyDescent="0.25">
      <c r="A103" s="15"/>
      <c r="B103" s="28" t="s">
        <v>46</v>
      </c>
      <c r="C103" s="90"/>
      <c r="D103" s="90"/>
      <c r="E103" s="283"/>
      <c r="H103" s="1728"/>
      <c r="I103" s="1908"/>
    </row>
    <row r="104" spans="1:9" ht="15" hidden="1" customHeight="1" x14ac:dyDescent="0.25">
      <c r="A104" s="15"/>
      <c r="B104" s="30" t="s">
        <v>39</v>
      </c>
      <c r="C104" s="61"/>
      <c r="D104" s="61"/>
      <c r="E104" s="34">
        <v>0</v>
      </c>
      <c r="H104" s="1728"/>
      <c r="I104" s="1908"/>
    </row>
    <row r="105" spans="1:9" ht="15" hidden="1" customHeight="1" x14ac:dyDescent="0.25">
      <c r="A105" s="15"/>
      <c r="B105" s="30" t="s">
        <v>38</v>
      </c>
      <c r="C105" s="61"/>
      <c r="D105" s="61"/>
      <c r="E105" s="34">
        <v>0</v>
      </c>
      <c r="H105" s="1728"/>
      <c r="I105" s="1908"/>
    </row>
    <row r="106" spans="1:9" ht="15" hidden="1" customHeight="1" x14ac:dyDescent="0.25">
      <c r="A106" s="15"/>
      <c r="B106" s="30" t="s">
        <v>50</v>
      </c>
      <c r="C106" s="61"/>
      <c r="D106" s="61"/>
      <c r="E106" s="34">
        <v>0</v>
      </c>
      <c r="H106" s="1728"/>
      <c r="I106" s="1908"/>
    </row>
    <row r="107" spans="1:9" ht="15" hidden="1" customHeight="1" x14ac:dyDescent="0.25">
      <c r="A107" s="15"/>
      <c r="B107" s="30" t="s">
        <v>29</v>
      </c>
      <c r="C107" s="61"/>
      <c r="D107" s="61"/>
      <c r="E107" s="33"/>
      <c r="H107" s="1728"/>
      <c r="I107" s="1908"/>
    </row>
    <row r="108" spans="1:9" ht="15" hidden="1" customHeight="1" x14ac:dyDescent="0.25">
      <c r="A108" s="17"/>
      <c r="B108" s="31" t="s">
        <v>49</v>
      </c>
      <c r="C108" s="54"/>
      <c r="D108" s="54"/>
      <c r="E108" s="33"/>
      <c r="H108" s="1728"/>
      <c r="I108" s="1908"/>
    </row>
    <row r="109" spans="1:9" ht="15" hidden="1" customHeight="1" x14ac:dyDescent="0.25">
      <c r="A109" s="17"/>
      <c r="B109" s="31" t="s">
        <v>48</v>
      </c>
      <c r="C109" s="54"/>
      <c r="D109" s="54"/>
      <c r="E109" s="33"/>
      <c r="H109" s="1728"/>
      <c r="I109" s="1908"/>
    </row>
    <row r="110" spans="1:9" ht="15" hidden="1" customHeight="1" x14ac:dyDescent="0.25">
      <c r="A110" s="15"/>
      <c r="B110" s="30" t="s">
        <v>28</v>
      </c>
      <c r="C110" s="61"/>
      <c r="D110" s="61"/>
      <c r="E110" s="33"/>
      <c r="H110" s="1728"/>
      <c r="I110" s="1908"/>
    </row>
    <row r="111" spans="1:9" ht="15" hidden="1" customHeight="1" x14ac:dyDescent="0.25">
      <c r="A111" s="15"/>
      <c r="B111" s="14" t="s">
        <v>49</v>
      </c>
      <c r="C111" s="61"/>
      <c r="D111" s="61"/>
      <c r="E111" s="33">
        <v>0</v>
      </c>
      <c r="H111" s="1728"/>
      <c r="I111" s="1908"/>
    </row>
    <row r="112" spans="1:9" ht="15" hidden="1" customHeight="1" x14ac:dyDescent="0.25">
      <c r="A112" s="15"/>
      <c r="B112" s="14" t="s">
        <v>48</v>
      </c>
      <c r="C112" s="61"/>
      <c r="D112" s="61"/>
      <c r="E112" s="33">
        <v>0</v>
      </c>
      <c r="H112" s="1728"/>
      <c r="I112" s="1908"/>
    </row>
    <row r="113" spans="1:9" ht="15" hidden="1" customHeight="1" x14ac:dyDescent="0.25">
      <c r="A113" s="15"/>
      <c r="B113" s="30" t="s">
        <v>36</v>
      </c>
      <c r="C113" s="61"/>
      <c r="D113" s="61"/>
      <c r="E113" s="284">
        <v>0</v>
      </c>
      <c r="H113" s="1728"/>
      <c r="I113" s="1908"/>
    </row>
    <row r="114" spans="1:9" ht="15" hidden="1" customHeight="1" x14ac:dyDescent="0.25">
      <c r="A114" s="15"/>
      <c r="B114" s="30" t="s">
        <v>34</v>
      </c>
      <c r="C114" s="61"/>
      <c r="D114" s="61"/>
      <c r="E114" s="33">
        <v>0</v>
      </c>
      <c r="H114" s="1728"/>
      <c r="I114" s="1908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728"/>
      <c r="I115" s="1908"/>
    </row>
    <row r="116" spans="1:9" ht="15" hidden="1" customHeight="1" x14ac:dyDescent="0.25">
      <c r="A116" s="15"/>
      <c r="B116" s="30" t="s">
        <v>29</v>
      </c>
      <c r="C116" s="61"/>
      <c r="D116" s="61"/>
      <c r="E116" s="33"/>
      <c r="H116" s="1728"/>
      <c r="I116" s="1908"/>
    </row>
    <row r="117" spans="1:9" ht="15" hidden="1" customHeight="1" x14ac:dyDescent="0.25">
      <c r="A117" s="15"/>
      <c r="B117" s="14" t="s">
        <v>49</v>
      </c>
      <c r="C117" s="61"/>
      <c r="D117" s="61"/>
      <c r="E117" s="33"/>
      <c r="H117" s="1728"/>
      <c r="I117" s="1908"/>
    </row>
    <row r="118" spans="1:9" ht="15" hidden="1" customHeight="1" x14ac:dyDescent="0.25">
      <c r="A118" s="15"/>
      <c r="B118" s="14" t="s">
        <v>48</v>
      </c>
      <c r="C118" s="61"/>
      <c r="D118" s="61"/>
      <c r="E118" s="33"/>
      <c r="H118" s="1728"/>
      <c r="I118" s="1908"/>
    </row>
    <row r="119" spans="1:9" ht="15" hidden="1" customHeight="1" x14ac:dyDescent="0.25">
      <c r="A119" s="15"/>
      <c r="B119" s="30" t="s">
        <v>28</v>
      </c>
      <c r="C119" s="61"/>
      <c r="D119" s="61"/>
      <c r="E119" s="33"/>
      <c r="H119" s="1728"/>
      <c r="I119" s="1908"/>
    </row>
    <row r="120" spans="1:9" ht="15" hidden="1" customHeight="1" x14ac:dyDescent="0.25">
      <c r="A120" s="15"/>
      <c r="B120" s="14" t="s">
        <v>49</v>
      </c>
      <c r="C120" s="61"/>
      <c r="D120" s="61"/>
      <c r="E120" s="33">
        <v>0</v>
      </c>
      <c r="H120" s="1728"/>
      <c r="I120" s="1908"/>
    </row>
    <row r="121" spans="1:9" ht="15" hidden="1" customHeight="1" x14ac:dyDescent="0.25">
      <c r="A121" s="15"/>
      <c r="B121" s="14" t="s">
        <v>48</v>
      </c>
      <c r="C121" s="61"/>
      <c r="D121" s="61"/>
      <c r="E121" s="33">
        <v>0</v>
      </c>
      <c r="H121" s="1728"/>
      <c r="I121" s="1908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728"/>
      <c r="I122" s="1908"/>
    </row>
    <row r="123" spans="1:9" ht="15" hidden="1" customHeight="1" x14ac:dyDescent="0.25">
      <c r="A123" s="15"/>
      <c r="B123" s="30" t="s">
        <v>29</v>
      </c>
      <c r="C123" s="61"/>
      <c r="D123" s="61"/>
      <c r="E123" s="33"/>
      <c r="H123" s="1728"/>
      <c r="I123" s="1908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728"/>
      <c r="I124" s="1908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728"/>
      <c r="I125" s="1908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728"/>
      <c r="I126" s="1908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728"/>
      <c r="I127" s="1908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728"/>
      <c r="I128" s="1908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728"/>
      <c r="I129" s="1908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728"/>
      <c r="I130" s="1908"/>
    </row>
    <row r="131" spans="1:9" ht="15" hidden="1" customHeight="1" x14ac:dyDescent="0.25">
      <c r="A131" s="15"/>
      <c r="B131" s="30" t="s">
        <v>39</v>
      </c>
      <c r="C131" s="61"/>
      <c r="D131" s="61"/>
      <c r="E131" s="34">
        <v>0</v>
      </c>
      <c r="H131" s="1728"/>
      <c r="I131" s="1908"/>
    </row>
    <row r="132" spans="1:9" ht="15" hidden="1" customHeight="1" x14ac:dyDescent="0.25">
      <c r="A132" s="15"/>
      <c r="B132" s="30" t="s">
        <v>38</v>
      </c>
      <c r="C132" s="61"/>
      <c r="D132" s="61"/>
      <c r="E132" s="34">
        <v>0</v>
      </c>
      <c r="H132" s="1728"/>
      <c r="I132" s="1908"/>
    </row>
    <row r="133" spans="1:9" ht="15" hidden="1" customHeight="1" x14ac:dyDescent="0.25">
      <c r="A133" s="15"/>
      <c r="B133" s="30" t="s">
        <v>50</v>
      </c>
      <c r="C133" s="61"/>
      <c r="D133" s="61"/>
      <c r="E133" s="34">
        <v>0</v>
      </c>
      <c r="H133" s="1728"/>
      <c r="I133" s="1908"/>
    </row>
    <row r="134" spans="1:9" ht="15" hidden="1" customHeight="1" x14ac:dyDescent="0.25">
      <c r="A134" s="15"/>
      <c r="B134" s="30" t="s">
        <v>29</v>
      </c>
      <c r="C134" s="61"/>
      <c r="D134" s="61"/>
      <c r="E134" s="33"/>
      <c r="H134" s="1728"/>
      <c r="I134" s="1908"/>
    </row>
    <row r="135" spans="1:9" ht="15" hidden="1" customHeight="1" x14ac:dyDescent="0.25">
      <c r="A135" s="17"/>
      <c r="B135" s="11" t="s">
        <v>45</v>
      </c>
      <c r="C135" s="54"/>
      <c r="D135" s="54"/>
      <c r="E135" s="33"/>
      <c r="H135" s="1728"/>
      <c r="I135" s="1908"/>
    </row>
    <row r="136" spans="1:9" ht="15" hidden="1" customHeight="1" x14ac:dyDescent="0.25">
      <c r="A136" s="17"/>
      <c r="B136" s="11" t="s">
        <v>44</v>
      </c>
      <c r="C136" s="54"/>
      <c r="D136" s="54"/>
      <c r="E136" s="33"/>
      <c r="H136" s="1728"/>
      <c r="I136" s="1908"/>
    </row>
    <row r="137" spans="1:9" ht="15" hidden="1" customHeight="1" x14ac:dyDescent="0.25">
      <c r="A137" s="15"/>
      <c r="B137" s="30" t="s">
        <v>28</v>
      </c>
      <c r="C137" s="61"/>
      <c r="D137" s="61"/>
      <c r="E137" s="33"/>
      <c r="H137" s="1728"/>
      <c r="I137" s="1908"/>
    </row>
    <row r="138" spans="1:9" ht="15" hidden="1" customHeight="1" x14ac:dyDescent="0.25">
      <c r="A138" s="15"/>
      <c r="B138" s="11" t="s">
        <v>45</v>
      </c>
      <c r="C138" s="61"/>
      <c r="D138" s="61"/>
      <c r="E138" s="33">
        <v>0</v>
      </c>
      <c r="H138" s="1728"/>
      <c r="I138" s="1908"/>
    </row>
    <row r="139" spans="1:9" ht="15" hidden="1" customHeight="1" x14ac:dyDescent="0.25">
      <c r="A139" s="15"/>
      <c r="B139" s="11" t="s">
        <v>44</v>
      </c>
      <c r="C139" s="61"/>
      <c r="D139" s="61"/>
      <c r="E139" s="33">
        <v>0</v>
      </c>
      <c r="H139" s="1728"/>
      <c r="I139" s="1908"/>
    </row>
    <row r="140" spans="1:9" ht="15" hidden="1" customHeight="1" x14ac:dyDescent="0.25">
      <c r="A140" s="15"/>
      <c r="B140" s="30" t="s">
        <v>36</v>
      </c>
      <c r="C140" s="61"/>
      <c r="D140" s="61"/>
      <c r="E140" s="33">
        <v>0</v>
      </c>
      <c r="H140" s="1728"/>
      <c r="I140" s="1908"/>
    </row>
    <row r="141" spans="1:9" ht="15" hidden="1" customHeight="1" x14ac:dyDescent="0.25">
      <c r="A141" s="15"/>
      <c r="B141" s="30" t="s">
        <v>34</v>
      </c>
      <c r="C141" s="61"/>
      <c r="D141" s="61"/>
      <c r="E141" s="33">
        <v>0</v>
      </c>
      <c r="H141" s="1728"/>
      <c r="I141" s="1908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728"/>
      <c r="I142" s="1908"/>
    </row>
    <row r="143" spans="1:9" ht="15" hidden="1" customHeight="1" x14ac:dyDescent="0.25">
      <c r="A143" s="15"/>
      <c r="B143" s="30" t="s">
        <v>29</v>
      </c>
      <c r="C143" s="61"/>
      <c r="D143" s="61"/>
      <c r="E143" s="33"/>
      <c r="H143" s="1728"/>
      <c r="I143" s="1908"/>
    </row>
    <row r="144" spans="1:9" ht="15" hidden="1" customHeight="1" x14ac:dyDescent="0.25">
      <c r="A144" s="15"/>
      <c r="B144" s="11" t="s">
        <v>45</v>
      </c>
      <c r="C144" s="61"/>
      <c r="D144" s="61"/>
      <c r="E144" s="33"/>
      <c r="H144" s="1728"/>
      <c r="I144" s="1908"/>
    </row>
    <row r="145" spans="1:9" ht="15" hidden="1" customHeight="1" x14ac:dyDescent="0.25">
      <c r="A145" s="15"/>
      <c r="B145" s="11" t="s">
        <v>44</v>
      </c>
      <c r="C145" s="61"/>
      <c r="D145" s="61"/>
      <c r="E145" s="33"/>
      <c r="H145" s="1728"/>
      <c r="I145" s="1908"/>
    </row>
    <row r="146" spans="1:9" ht="15" hidden="1" customHeight="1" x14ac:dyDescent="0.25">
      <c r="A146" s="15"/>
      <c r="B146" s="30" t="s">
        <v>28</v>
      </c>
      <c r="C146" s="61"/>
      <c r="D146" s="61"/>
      <c r="E146" s="33"/>
      <c r="H146" s="1728"/>
      <c r="I146" s="1908"/>
    </row>
    <row r="147" spans="1:9" ht="15" hidden="1" customHeight="1" x14ac:dyDescent="0.25">
      <c r="A147" s="15"/>
      <c r="B147" s="11" t="s">
        <v>45</v>
      </c>
      <c r="C147" s="61"/>
      <c r="D147" s="61"/>
      <c r="E147" s="33">
        <v>0</v>
      </c>
      <c r="H147" s="1728"/>
      <c r="I147" s="1908"/>
    </row>
    <row r="148" spans="1:9" ht="15" hidden="1" customHeight="1" x14ac:dyDescent="0.25">
      <c r="A148" s="15"/>
      <c r="B148" s="11" t="s">
        <v>44</v>
      </c>
      <c r="C148" s="61"/>
      <c r="D148" s="61"/>
      <c r="E148" s="33">
        <v>0</v>
      </c>
      <c r="H148" s="1728"/>
      <c r="I148" s="1908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728"/>
      <c r="I149" s="1908"/>
    </row>
    <row r="150" spans="1:9" ht="15" hidden="1" customHeight="1" x14ac:dyDescent="0.25">
      <c r="A150" s="15"/>
      <c r="B150" s="30" t="s">
        <v>29</v>
      </c>
      <c r="C150" s="61"/>
      <c r="D150" s="61"/>
      <c r="E150" s="33"/>
      <c r="H150" s="1728"/>
      <c r="I150" s="1908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728"/>
      <c r="I151" s="1908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728"/>
      <c r="I152" s="1908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728"/>
      <c r="I153" s="1908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728"/>
      <c r="I154" s="1908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728"/>
      <c r="I155" s="1908"/>
    </row>
    <row r="156" spans="1:9" ht="15" hidden="1" customHeight="1" x14ac:dyDescent="0.25">
      <c r="A156" s="15"/>
      <c r="B156" s="47" t="s">
        <v>43</v>
      </c>
      <c r="C156" s="127"/>
      <c r="D156" s="127"/>
      <c r="E156" s="285"/>
      <c r="H156" s="1728"/>
      <c r="I156" s="1908"/>
    </row>
    <row r="157" spans="1:9" ht="15" hidden="1" customHeight="1" x14ac:dyDescent="0.25">
      <c r="A157" s="15"/>
      <c r="B157" s="28" t="s">
        <v>114</v>
      </c>
      <c r="C157" s="126"/>
      <c r="D157" s="126"/>
      <c r="E157" s="42"/>
      <c r="H157" s="1728"/>
      <c r="I157" s="1908"/>
    </row>
    <row r="158" spans="1:9" ht="15" hidden="1" customHeight="1" x14ac:dyDescent="0.25">
      <c r="A158" s="15"/>
      <c r="B158" s="28" t="s">
        <v>115</v>
      </c>
      <c r="C158" s="126"/>
      <c r="D158" s="126"/>
      <c r="E158" s="34"/>
      <c r="H158" s="1728"/>
      <c r="I158" s="1908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728"/>
      <c r="I159" s="1908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728"/>
      <c r="I160" s="1908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728"/>
      <c r="I161" s="1908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728"/>
      <c r="I162" s="1908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728"/>
      <c r="I163" s="1908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728"/>
      <c r="I164" s="1908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728"/>
      <c r="I165" s="1908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728"/>
      <c r="I166" s="1908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728"/>
      <c r="I167" s="1908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728"/>
      <c r="I168" s="1908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728"/>
      <c r="I169" s="1908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728"/>
      <c r="I170" s="1908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728"/>
      <c r="I171" s="1908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728"/>
      <c r="I172" s="1908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728"/>
      <c r="I173" s="1908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728"/>
      <c r="I174" s="1908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728"/>
      <c r="I175" s="1908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728"/>
      <c r="I176" s="1908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728"/>
      <c r="I177" s="1908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728"/>
      <c r="I178" s="1908"/>
    </row>
    <row r="179" spans="1:9" ht="15" hidden="1" customHeight="1" x14ac:dyDescent="0.25">
      <c r="A179" s="15"/>
      <c r="B179" s="11" t="s">
        <v>91</v>
      </c>
      <c r="C179" s="126"/>
      <c r="D179" s="126"/>
      <c r="E179" s="33" t="e">
        <v>#DIV/0!</v>
      </c>
      <c r="H179" s="1728"/>
      <c r="I179" s="1908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728"/>
      <c r="I180" s="1908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728"/>
      <c r="I181" s="1908"/>
    </row>
    <row r="182" spans="1:9" ht="15" hidden="1" customHeight="1" x14ac:dyDescent="0.25">
      <c r="A182" s="19"/>
      <c r="B182" s="11" t="s">
        <v>91</v>
      </c>
      <c r="C182" s="126"/>
      <c r="D182" s="126"/>
      <c r="E182" s="33" t="e">
        <v>#DIV/0!</v>
      </c>
      <c r="H182" s="1728"/>
      <c r="I182" s="1908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728"/>
      <c r="I183" s="1908"/>
    </row>
    <row r="184" spans="1:9" ht="15" hidden="1" customHeight="1" x14ac:dyDescent="0.25">
      <c r="A184" s="15"/>
      <c r="B184" s="28" t="s">
        <v>115</v>
      </c>
      <c r="C184" s="90"/>
      <c r="D184" s="90"/>
      <c r="E184" s="42"/>
      <c r="H184" s="1728"/>
      <c r="I184" s="1908"/>
    </row>
    <row r="185" spans="1:9" ht="15" hidden="1" customHeight="1" x14ac:dyDescent="0.25">
      <c r="A185" s="15"/>
      <c r="B185" s="30" t="s">
        <v>39</v>
      </c>
      <c r="C185" s="61"/>
      <c r="D185" s="61"/>
      <c r="E185" s="34">
        <v>0</v>
      </c>
      <c r="H185" s="1728"/>
      <c r="I185" s="1908"/>
    </row>
    <row r="186" spans="1:9" ht="15" hidden="1" customHeight="1" x14ac:dyDescent="0.25">
      <c r="A186" s="15"/>
      <c r="B186" s="30" t="s">
        <v>38</v>
      </c>
      <c r="C186" s="61"/>
      <c r="D186" s="61"/>
      <c r="E186" s="34">
        <v>0</v>
      </c>
      <c r="H186" s="1728"/>
      <c r="I186" s="1908"/>
    </row>
    <row r="187" spans="1:9" ht="15" hidden="1" customHeight="1" x14ac:dyDescent="0.25">
      <c r="A187" s="15"/>
      <c r="B187" s="30" t="s">
        <v>29</v>
      </c>
      <c r="C187" s="61"/>
      <c r="D187" s="61"/>
      <c r="E187" s="33"/>
      <c r="H187" s="1728"/>
      <c r="I187" s="1908"/>
    </row>
    <row r="188" spans="1:9" ht="15" hidden="1" customHeight="1" x14ac:dyDescent="0.25">
      <c r="A188" s="15"/>
      <c r="B188" s="11" t="s">
        <v>116</v>
      </c>
      <c r="C188" s="61"/>
      <c r="D188" s="61"/>
      <c r="E188" s="33"/>
      <c r="H188" s="1728"/>
      <c r="I188" s="1908"/>
    </row>
    <row r="189" spans="1:9" ht="15" hidden="1" customHeight="1" x14ac:dyDescent="0.25">
      <c r="A189" s="17"/>
      <c r="B189" s="11" t="s">
        <v>27</v>
      </c>
      <c r="C189" s="54"/>
      <c r="D189" s="54"/>
      <c r="E189" s="33"/>
      <c r="H189" s="1728"/>
      <c r="I189" s="1908"/>
    </row>
    <row r="190" spans="1:9" ht="15" hidden="1" customHeight="1" x14ac:dyDescent="0.25">
      <c r="A190" s="17"/>
      <c r="B190" s="11" t="s">
        <v>26</v>
      </c>
      <c r="C190" s="54"/>
      <c r="D190" s="54"/>
      <c r="E190" s="33"/>
      <c r="H190" s="1728"/>
      <c r="I190" s="1908"/>
    </row>
    <row r="191" spans="1:9" ht="15" hidden="1" customHeight="1" x14ac:dyDescent="0.25">
      <c r="A191" s="17"/>
      <c r="B191" s="11" t="s">
        <v>37</v>
      </c>
      <c r="C191" s="54"/>
      <c r="D191" s="54"/>
      <c r="E191" s="33"/>
      <c r="H191" s="1728"/>
      <c r="I191" s="1908"/>
    </row>
    <row r="192" spans="1:9" ht="15" hidden="1" customHeight="1" x14ac:dyDescent="0.25">
      <c r="A192" s="15"/>
      <c r="B192" s="30" t="s">
        <v>28</v>
      </c>
      <c r="C192" s="61"/>
      <c r="D192" s="61"/>
      <c r="E192" s="33"/>
      <c r="H192" s="1728"/>
      <c r="I192" s="1908"/>
    </row>
    <row r="193" spans="1:9" ht="15" hidden="1" customHeight="1" x14ac:dyDescent="0.25">
      <c r="A193" s="15"/>
      <c r="B193" s="11" t="s">
        <v>116</v>
      </c>
      <c r="C193" s="61"/>
      <c r="D193" s="61"/>
      <c r="E193" s="33">
        <v>0</v>
      </c>
      <c r="H193" s="1728"/>
      <c r="I193" s="1908"/>
    </row>
    <row r="194" spans="1:9" ht="15" hidden="1" customHeight="1" x14ac:dyDescent="0.25">
      <c r="A194" s="15"/>
      <c r="B194" s="11" t="s">
        <v>27</v>
      </c>
      <c r="C194" s="61"/>
      <c r="D194" s="61"/>
      <c r="E194" s="33">
        <v>0</v>
      </c>
      <c r="H194" s="1728"/>
      <c r="I194" s="1908"/>
    </row>
    <row r="195" spans="1:9" ht="15" hidden="1" customHeight="1" x14ac:dyDescent="0.25">
      <c r="A195" s="15"/>
      <c r="B195" s="11" t="s">
        <v>26</v>
      </c>
      <c r="C195" s="61"/>
      <c r="D195" s="61"/>
      <c r="E195" s="33">
        <v>0</v>
      </c>
      <c r="H195" s="1728"/>
      <c r="I195" s="1908"/>
    </row>
    <row r="196" spans="1:9" ht="15" hidden="1" customHeight="1" x14ac:dyDescent="0.25">
      <c r="A196" s="15"/>
      <c r="B196" s="11" t="s">
        <v>37</v>
      </c>
      <c r="C196" s="61"/>
      <c r="D196" s="61"/>
      <c r="E196" s="33">
        <v>0</v>
      </c>
      <c r="H196" s="1728"/>
      <c r="I196" s="1908"/>
    </row>
    <row r="197" spans="1:9" ht="15" hidden="1" customHeight="1" x14ac:dyDescent="0.25">
      <c r="A197" s="15"/>
      <c r="B197" s="30" t="s">
        <v>36</v>
      </c>
      <c r="C197" s="61"/>
      <c r="D197" s="61"/>
      <c r="E197" s="33">
        <v>0</v>
      </c>
      <c r="H197" s="1728"/>
      <c r="I197" s="1908"/>
    </row>
    <row r="198" spans="1:9" ht="15" hidden="1" customHeight="1" x14ac:dyDescent="0.25">
      <c r="A198" s="15"/>
      <c r="B198" s="30" t="s">
        <v>34</v>
      </c>
      <c r="C198" s="61"/>
      <c r="D198" s="61"/>
      <c r="E198" s="33">
        <v>0</v>
      </c>
      <c r="H198" s="1728"/>
      <c r="I198" s="1908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728"/>
      <c r="I199" s="1908"/>
    </row>
    <row r="200" spans="1:9" ht="15" hidden="1" customHeight="1" x14ac:dyDescent="0.25">
      <c r="A200" s="15"/>
      <c r="B200" s="30" t="s">
        <v>29</v>
      </c>
      <c r="C200" s="61"/>
      <c r="D200" s="61"/>
      <c r="E200" s="33"/>
      <c r="H200" s="1728"/>
      <c r="I200" s="1908"/>
    </row>
    <row r="201" spans="1:9" ht="15" hidden="1" customHeight="1" x14ac:dyDescent="0.25">
      <c r="A201" s="15"/>
      <c r="B201" s="11" t="s">
        <v>116</v>
      </c>
      <c r="C201" s="61"/>
      <c r="D201" s="61"/>
      <c r="E201" s="33">
        <v>0</v>
      </c>
      <c r="H201" s="1728"/>
      <c r="I201" s="1908"/>
    </row>
    <row r="202" spans="1:9" ht="15" hidden="1" customHeight="1" x14ac:dyDescent="0.25">
      <c r="A202" s="15"/>
      <c r="B202" s="11" t="s">
        <v>27</v>
      </c>
      <c r="C202" s="61"/>
      <c r="D202" s="61"/>
      <c r="E202" s="33">
        <v>0</v>
      </c>
      <c r="H202" s="1728"/>
      <c r="I202" s="1908"/>
    </row>
    <row r="203" spans="1:9" ht="15" hidden="1" customHeight="1" x14ac:dyDescent="0.25">
      <c r="A203" s="15"/>
      <c r="B203" s="11" t="s">
        <v>26</v>
      </c>
      <c r="C203" s="61"/>
      <c r="D203" s="61"/>
      <c r="E203" s="33">
        <v>0</v>
      </c>
      <c r="H203" s="1728"/>
      <c r="I203" s="1908"/>
    </row>
    <row r="204" spans="1:9" ht="15" hidden="1" customHeight="1" x14ac:dyDescent="0.25">
      <c r="A204" s="15"/>
      <c r="B204" s="30" t="s">
        <v>28</v>
      </c>
      <c r="C204" s="61"/>
      <c r="D204" s="61"/>
      <c r="E204" s="33"/>
      <c r="H204" s="1728"/>
      <c r="I204" s="1908"/>
    </row>
    <row r="205" spans="1:9" ht="15" hidden="1" customHeight="1" x14ac:dyDescent="0.25">
      <c r="A205" s="15"/>
      <c r="B205" s="11" t="s">
        <v>116</v>
      </c>
      <c r="C205" s="61"/>
      <c r="D205" s="61"/>
      <c r="E205" s="33">
        <v>0</v>
      </c>
      <c r="H205" s="1728"/>
      <c r="I205" s="1908"/>
    </row>
    <row r="206" spans="1:9" ht="15" hidden="1" customHeight="1" x14ac:dyDescent="0.25">
      <c r="A206" s="15"/>
      <c r="B206" s="11" t="s">
        <v>27</v>
      </c>
      <c r="C206" s="61"/>
      <c r="D206" s="61"/>
      <c r="E206" s="33">
        <v>0</v>
      </c>
      <c r="H206" s="1728"/>
      <c r="I206" s="1908"/>
    </row>
    <row r="207" spans="1:9" ht="15" hidden="1" customHeight="1" x14ac:dyDescent="0.25">
      <c r="A207" s="15"/>
      <c r="B207" s="11" t="s">
        <v>26</v>
      </c>
      <c r="C207" s="61"/>
      <c r="D207" s="61"/>
      <c r="E207" s="33">
        <v>0</v>
      </c>
      <c r="H207" s="1728"/>
      <c r="I207" s="1908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728"/>
      <c r="I208" s="1908"/>
    </row>
    <row r="209" spans="1:9" ht="15" hidden="1" customHeight="1" x14ac:dyDescent="0.25">
      <c r="A209" s="15"/>
      <c r="B209" s="30" t="s">
        <v>29</v>
      </c>
      <c r="C209" s="61"/>
      <c r="D209" s="61"/>
      <c r="E209" s="33"/>
      <c r="H209" s="1728"/>
      <c r="I209" s="1908"/>
    </row>
    <row r="210" spans="1:9" ht="15" hidden="1" customHeight="1" x14ac:dyDescent="0.25">
      <c r="A210" s="15"/>
      <c r="B210" s="11" t="s">
        <v>116</v>
      </c>
      <c r="C210" s="126">
        <v>0.3</v>
      </c>
      <c r="D210" s="126"/>
      <c r="E210" s="34" t="e">
        <v>#DIV/0!</v>
      </c>
      <c r="H210" s="1728"/>
      <c r="I210" s="1908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728"/>
      <c r="I211" s="1908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728"/>
      <c r="I212" s="1908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728"/>
      <c r="I213" s="1908"/>
    </row>
    <row r="214" spans="1:9" ht="15" hidden="1" customHeight="1" x14ac:dyDescent="0.25">
      <c r="A214" s="15"/>
      <c r="B214" s="11" t="s">
        <v>116</v>
      </c>
      <c r="C214" s="126">
        <v>0.5</v>
      </c>
      <c r="D214" s="126"/>
      <c r="E214" s="34" t="e">
        <v>#DIV/0!</v>
      </c>
      <c r="H214" s="1728"/>
      <c r="I214" s="1908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728"/>
      <c r="I215" s="1908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728"/>
      <c r="I216" s="1908"/>
    </row>
    <row r="217" spans="1:9" ht="15" hidden="1" customHeight="1" x14ac:dyDescent="0.25">
      <c r="A217" s="8">
        <v>7</v>
      </c>
      <c r="B217" s="47" t="s">
        <v>87</v>
      </c>
      <c r="C217" s="127"/>
      <c r="D217" s="127"/>
      <c r="E217" s="286"/>
      <c r="H217" s="1728"/>
      <c r="I217" s="1908"/>
    </row>
    <row r="218" spans="1:9" ht="15" hidden="1" customHeight="1" x14ac:dyDescent="0.25">
      <c r="A218" s="15"/>
      <c r="B218" s="26" t="s">
        <v>92</v>
      </c>
      <c r="C218" s="126"/>
      <c r="D218" s="126"/>
      <c r="E218" s="42"/>
      <c r="H218" s="1728"/>
      <c r="I218" s="1908"/>
    </row>
    <row r="219" spans="1:9" ht="15" hidden="1" customHeight="1" x14ac:dyDescent="0.25">
      <c r="A219" s="15"/>
      <c r="B219" s="11" t="s">
        <v>93</v>
      </c>
      <c r="C219" s="126"/>
      <c r="D219" s="126"/>
      <c r="E219" s="34"/>
      <c r="H219" s="1728"/>
      <c r="I219" s="1908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728"/>
      <c r="I220" s="1908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728"/>
      <c r="I221" s="1908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728"/>
      <c r="I222" s="1908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728"/>
      <c r="I223" s="1908"/>
    </row>
    <row r="224" spans="1:9" ht="15" hidden="1" customHeight="1" x14ac:dyDescent="0.25">
      <c r="A224" s="15"/>
      <c r="B224" s="11" t="s">
        <v>88</v>
      </c>
      <c r="C224" s="126"/>
      <c r="D224" s="126"/>
      <c r="E224" s="33"/>
      <c r="H224" s="1728"/>
      <c r="I224" s="1908"/>
    </row>
    <row r="225" spans="1:9" ht="15" hidden="1" customHeight="1" x14ac:dyDescent="0.25">
      <c r="A225" s="15"/>
      <c r="B225" s="11" t="s">
        <v>117</v>
      </c>
      <c r="C225" s="126"/>
      <c r="D225" s="126"/>
      <c r="E225" s="33"/>
      <c r="H225" s="1728"/>
      <c r="I225" s="1908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728"/>
      <c r="I226" s="1908"/>
    </row>
    <row r="227" spans="1:9" ht="15" hidden="1" customHeight="1" x14ac:dyDescent="0.25">
      <c r="A227" s="15"/>
      <c r="B227" s="11" t="s">
        <v>88</v>
      </c>
      <c r="C227" s="126"/>
      <c r="D227" s="126"/>
      <c r="E227" s="33">
        <v>0</v>
      </c>
      <c r="H227" s="1728"/>
      <c r="I227" s="1908"/>
    </row>
    <row r="228" spans="1:9" ht="15" hidden="1" customHeight="1" x14ac:dyDescent="0.25">
      <c r="A228" s="15"/>
      <c r="B228" s="11" t="s">
        <v>117</v>
      </c>
      <c r="C228" s="126"/>
      <c r="D228" s="126"/>
      <c r="E228" s="33">
        <v>0</v>
      </c>
      <c r="H228" s="1728"/>
      <c r="I228" s="1908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728"/>
      <c r="I229" s="1908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728"/>
      <c r="I230" s="1908"/>
    </row>
    <row r="231" spans="1:9" ht="15" hidden="1" customHeight="1" x14ac:dyDescent="0.25">
      <c r="A231" s="15"/>
      <c r="B231" s="47" t="s">
        <v>32</v>
      </c>
      <c r="C231" s="127"/>
      <c r="D231" s="127"/>
      <c r="E231" s="287"/>
      <c r="H231" s="1728"/>
      <c r="I231" s="1908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728"/>
      <c r="I232" s="1908"/>
    </row>
    <row r="233" spans="1:9" ht="15" hidden="1" customHeight="1" x14ac:dyDescent="0.25">
      <c r="A233" s="15"/>
      <c r="B233" s="11" t="s">
        <v>88</v>
      </c>
      <c r="C233" s="126"/>
      <c r="D233" s="126"/>
      <c r="E233" s="33"/>
      <c r="H233" s="1728"/>
      <c r="I233" s="1908"/>
    </row>
    <row r="234" spans="1:9" ht="15" hidden="1" customHeight="1" x14ac:dyDescent="0.25">
      <c r="A234" s="15"/>
      <c r="B234" s="11" t="s">
        <v>117</v>
      </c>
      <c r="C234" s="126"/>
      <c r="D234" s="126"/>
      <c r="E234" s="33"/>
      <c r="H234" s="1728"/>
      <c r="I234" s="1908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728"/>
      <c r="I235" s="1908"/>
    </row>
    <row r="236" spans="1:9" ht="15" hidden="1" customHeight="1" x14ac:dyDescent="0.25">
      <c r="A236" s="15"/>
      <c r="B236" s="11" t="s">
        <v>88</v>
      </c>
      <c r="C236" s="126"/>
      <c r="D236" s="126"/>
      <c r="E236" s="33">
        <v>0</v>
      </c>
      <c r="H236" s="1728"/>
      <c r="I236" s="1908"/>
    </row>
    <row r="237" spans="1:9" ht="15" hidden="1" customHeight="1" x14ac:dyDescent="0.25">
      <c r="A237" s="15"/>
      <c r="B237" s="11" t="s">
        <v>117</v>
      </c>
      <c r="C237" s="126"/>
      <c r="D237" s="126"/>
      <c r="E237" s="33">
        <v>0</v>
      </c>
      <c r="H237" s="1728"/>
      <c r="I237" s="1908"/>
    </row>
    <row r="238" spans="1:9" ht="15" hidden="1" customHeight="1" x14ac:dyDescent="0.25">
      <c r="A238" s="15"/>
      <c r="B238" s="47" t="s">
        <v>30</v>
      </c>
      <c r="C238" s="130"/>
      <c r="D238" s="130"/>
      <c r="E238" s="272"/>
      <c r="H238" s="1728"/>
      <c r="I238" s="1908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728"/>
      <c r="I239" s="1908"/>
    </row>
    <row r="240" spans="1:9" ht="15" hidden="1" customHeight="1" x14ac:dyDescent="0.25">
      <c r="A240" s="15"/>
      <c r="B240" s="11" t="s">
        <v>88</v>
      </c>
      <c r="C240" s="126">
        <v>0.3</v>
      </c>
      <c r="D240" s="126"/>
      <c r="E240" s="33" t="e">
        <v>#DIV/0!</v>
      </c>
      <c r="H240" s="1728"/>
      <c r="I240" s="1908"/>
    </row>
    <row r="241" spans="1:9" ht="15" hidden="1" customHeight="1" x14ac:dyDescent="0.25">
      <c r="A241" s="15"/>
      <c r="B241" s="11" t="s">
        <v>117</v>
      </c>
      <c r="C241" s="126">
        <v>0.3</v>
      </c>
      <c r="D241" s="126"/>
      <c r="E241" s="33" t="e">
        <v>#DIV/0!</v>
      </c>
      <c r="H241" s="1728"/>
      <c r="I241" s="1908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728"/>
      <c r="I242" s="1908"/>
    </row>
    <row r="243" spans="1:9" ht="15" hidden="1" customHeight="1" x14ac:dyDescent="0.25">
      <c r="A243" s="15"/>
      <c r="B243" s="11" t="s">
        <v>88</v>
      </c>
      <c r="C243" s="126">
        <v>0.5</v>
      </c>
      <c r="D243" s="126"/>
      <c r="E243" s="33" t="e">
        <v>#DIV/0!</v>
      </c>
      <c r="H243" s="1728"/>
      <c r="I243" s="1908"/>
    </row>
    <row r="244" spans="1:9" ht="15" hidden="1" customHeight="1" x14ac:dyDescent="0.25">
      <c r="A244" s="15"/>
      <c r="B244" s="11" t="s">
        <v>117</v>
      </c>
      <c r="C244" s="126">
        <v>0.5</v>
      </c>
      <c r="D244" s="126"/>
      <c r="E244" s="33" t="e">
        <v>#DIV/0!</v>
      </c>
      <c r="H244" s="1728"/>
      <c r="I244" s="1908"/>
    </row>
    <row r="245" spans="1:9" ht="15" hidden="1" customHeight="1" x14ac:dyDescent="0.25">
      <c r="A245" s="15"/>
      <c r="B245" s="101" t="s">
        <v>94</v>
      </c>
      <c r="C245" s="131"/>
      <c r="D245" s="131"/>
      <c r="E245" s="288">
        <v>0</v>
      </c>
      <c r="H245" s="1728"/>
      <c r="I245" s="1908"/>
    </row>
    <row r="246" spans="1:9" ht="15" hidden="1" customHeight="1" x14ac:dyDescent="0.25">
      <c r="A246" s="15"/>
      <c r="B246" s="72" t="s">
        <v>118</v>
      </c>
      <c r="C246" s="133"/>
      <c r="D246" s="133"/>
      <c r="E246" s="289">
        <v>0</v>
      </c>
      <c r="H246" s="1728"/>
      <c r="I246" s="1908"/>
    </row>
    <row r="247" spans="1:9" ht="15" hidden="1" customHeight="1" x14ac:dyDescent="0.25">
      <c r="A247" s="15"/>
      <c r="B247" s="104" t="s">
        <v>89</v>
      </c>
      <c r="C247" s="134"/>
      <c r="D247" s="134"/>
      <c r="E247" s="290">
        <v>0</v>
      </c>
      <c r="H247" s="1728"/>
      <c r="I247" s="1908"/>
    </row>
    <row r="248" spans="1:9" ht="15" hidden="1" customHeight="1" x14ac:dyDescent="0.25">
      <c r="A248" s="15"/>
      <c r="B248" s="107" t="s">
        <v>90</v>
      </c>
      <c r="C248" s="135"/>
      <c r="D248" s="135"/>
      <c r="E248" s="291">
        <v>0</v>
      </c>
      <c r="H248" s="1728"/>
      <c r="I248" s="1908"/>
    </row>
    <row r="249" spans="1:9" ht="15" hidden="1" customHeight="1" x14ac:dyDescent="0.25">
      <c r="A249" s="15"/>
      <c r="B249" s="110" t="s">
        <v>95</v>
      </c>
      <c r="C249" s="131"/>
      <c r="D249" s="131"/>
      <c r="E249" s="292">
        <v>0</v>
      </c>
      <c r="H249" s="1728"/>
      <c r="I249" s="1908"/>
    </row>
    <row r="250" spans="1:9" ht="15.75" thickBot="1" x14ac:dyDescent="0.3">
      <c r="A250" s="1862">
        <v>4</v>
      </c>
      <c r="B250" s="1835" t="s">
        <v>24</v>
      </c>
      <c r="C250" s="1721"/>
      <c r="D250" s="1721"/>
      <c r="E250" s="1948" t="s">
        <v>945</v>
      </c>
      <c r="F250" s="1948" t="s">
        <v>946</v>
      </c>
      <c r="G250" s="1723" t="s">
        <v>188</v>
      </c>
      <c r="H250" s="1724" t="s">
        <v>1021</v>
      </c>
      <c r="I250" s="1908"/>
    </row>
    <row r="251" spans="1:9" hidden="1" x14ac:dyDescent="0.25">
      <c r="A251" s="69"/>
      <c r="B251" s="235" t="s">
        <v>22</v>
      </c>
      <c r="C251" s="260">
        <v>1460.001</v>
      </c>
      <c r="D251" s="260" t="s">
        <v>1016</v>
      </c>
      <c r="E251" s="293"/>
      <c r="F251" s="1712"/>
      <c r="G251" s="293">
        <v>1236.1327000000001</v>
      </c>
      <c r="H251" s="1731"/>
      <c r="I251" s="1908"/>
    </row>
    <row r="252" spans="1:9" hidden="1" x14ac:dyDescent="0.25">
      <c r="A252" s="8"/>
      <c r="B252" s="235" t="s">
        <v>23</v>
      </c>
      <c r="C252" s="254"/>
      <c r="D252" s="254"/>
      <c r="E252" s="293"/>
      <c r="F252" s="1712"/>
      <c r="G252" s="293">
        <v>949.19</v>
      </c>
      <c r="H252" s="1731"/>
      <c r="I252" s="1908"/>
    </row>
    <row r="253" spans="1:9" x14ac:dyDescent="0.25">
      <c r="A253" s="15"/>
      <c r="B253" s="28" t="s">
        <v>11</v>
      </c>
      <c r="C253" s="477"/>
      <c r="D253" s="477"/>
      <c r="E253" s="295"/>
      <c r="G253" s="752"/>
      <c r="H253" s="1728"/>
      <c r="I253" s="1908"/>
    </row>
    <row r="254" spans="1:9" ht="15.75" thickBot="1" x14ac:dyDescent="0.3">
      <c r="A254" s="15"/>
      <c r="B254" s="235" t="s">
        <v>21</v>
      </c>
      <c r="C254" s="252">
        <v>4.3</v>
      </c>
      <c r="D254" s="252" t="s">
        <v>1079</v>
      </c>
      <c r="E254" s="245">
        <v>50922.43</v>
      </c>
      <c r="F254" s="245">
        <v>58347.35</v>
      </c>
      <c r="G254" s="1530">
        <f>F254-E254</f>
        <v>7424.9199999999983</v>
      </c>
      <c r="H254" s="1854">
        <f>G254/G14</f>
        <v>2.9468645816796304</v>
      </c>
      <c r="I254" s="1911" t="s">
        <v>831</v>
      </c>
    </row>
    <row r="255" spans="1:9" ht="15.75" hidden="1" thickBot="1" x14ac:dyDescent="0.3">
      <c r="A255" s="15"/>
      <c r="B255" s="75" t="s">
        <v>380</v>
      </c>
      <c r="C255" s="952">
        <v>4.3</v>
      </c>
      <c r="D255" s="952" t="s">
        <v>1020</v>
      </c>
      <c r="E255" s="953"/>
      <c r="G255" s="752"/>
      <c r="H255" s="1728"/>
      <c r="I255" s="1908"/>
    </row>
    <row r="256" spans="1:9" ht="15.75" hidden="1" thickBot="1" x14ac:dyDescent="0.3">
      <c r="A256" s="15"/>
      <c r="B256" s="14" t="s">
        <v>20</v>
      </c>
      <c r="C256" s="252">
        <v>1168.001</v>
      </c>
      <c r="D256" s="252" t="s">
        <v>1016</v>
      </c>
      <c r="E256" s="294"/>
      <c r="F256" s="1712"/>
      <c r="G256" s="294">
        <f>G251-G254</f>
        <v>-6188.7872999999981</v>
      </c>
      <c r="H256" s="1731"/>
      <c r="I256" s="1908"/>
    </row>
    <row r="257" spans="1:18" ht="15.75" hidden="1" thickBot="1" x14ac:dyDescent="0.3">
      <c r="A257" s="40"/>
      <c r="B257" s="41" t="s">
        <v>1</v>
      </c>
      <c r="C257" s="1861">
        <v>1460.001</v>
      </c>
      <c r="D257" s="1861" t="s">
        <v>1016</v>
      </c>
      <c r="E257" s="1713"/>
      <c r="F257" s="1742"/>
      <c r="G257" s="1713">
        <f>G254+G256</f>
        <v>1236.1327000000001</v>
      </c>
      <c r="H257" s="1743"/>
      <c r="I257" s="1908"/>
    </row>
    <row r="258" spans="1:18" ht="15.75" thickBot="1" x14ac:dyDescent="0.3">
      <c r="A258" s="1862">
        <v>5</v>
      </c>
      <c r="B258" s="1835" t="s">
        <v>18</v>
      </c>
      <c r="C258" s="1821"/>
      <c r="D258" s="1821"/>
      <c r="E258" s="1948" t="s">
        <v>945</v>
      </c>
      <c r="F258" s="1948" t="s">
        <v>946</v>
      </c>
      <c r="G258" s="1723" t="s">
        <v>188</v>
      </c>
      <c r="H258" s="1724" t="s">
        <v>1022</v>
      </c>
      <c r="I258" s="1908"/>
    </row>
    <row r="259" spans="1:18" hidden="1" x14ac:dyDescent="0.25">
      <c r="A259" s="8"/>
      <c r="B259" s="235" t="s">
        <v>4</v>
      </c>
      <c r="C259" s="234">
        <v>408000</v>
      </c>
      <c r="D259" s="234" t="s">
        <v>1029</v>
      </c>
      <c r="E259" s="1684"/>
      <c r="F259" s="1712"/>
      <c r="G259" s="298">
        <v>186740</v>
      </c>
      <c r="H259" s="1731"/>
      <c r="I259" s="1908"/>
    </row>
    <row r="260" spans="1:18" hidden="1" x14ac:dyDescent="0.25">
      <c r="A260" s="8"/>
      <c r="B260" s="30" t="s">
        <v>17</v>
      </c>
      <c r="C260" s="262"/>
      <c r="D260" s="262"/>
      <c r="E260" s="282"/>
      <c r="G260" s="752"/>
      <c r="H260" s="1728"/>
      <c r="I260" s="1908"/>
      <c r="R260">
        <v>1.8</v>
      </c>
    </row>
    <row r="261" spans="1:18" x14ac:dyDescent="0.25">
      <c r="A261" s="8"/>
      <c r="B261" s="30"/>
      <c r="C261" s="62"/>
      <c r="D261" s="62"/>
      <c r="E261" s="282"/>
      <c r="G261" s="752"/>
      <c r="H261" s="1728"/>
      <c r="I261" s="1908"/>
    </row>
    <row r="262" spans="1:18" ht="15.75" thickBot="1" x14ac:dyDescent="0.3">
      <c r="A262" s="15"/>
      <c r="B262" s="235" t="s">
        <v>16</v>
      </c>
      <c r="C262" s="252">
        <v>28</v>
      </c>
      <c r="D262" s="1753" t="s">
        <v>86</v>
      </c>
      <c r="E262" s="1934">
        <v>797.79</v>
      </c>
      <c r="F262" s="1954">
        <v>878.49</v>
      </c>
      <c r="G262" s="1740">
        <f>F262-E262</f>
        <v>80.700000000000045</v>
      </c>
      <c r="H262" s="1854">
        <f>G262/G14*1000</f>
        <v>32.028893475154803</v>
      </c>
      <c r="I262" s="1908"/>
      <c r="R262">
        <v>1.9</v>
      </c>
    </row>
    <row r="263" spans="1:18" ht="14.65" hidden="1" customHeight="1" x14ac:dyDescent="0.25">
      <c r="A263" s="15"/>
      <c r="B263" s="14"/>
      <c r="C263" s="234">
        <f>C262/2000</f>
        <v>1.4E-2</v>
      </c>
      <c r="D263" s="234"/>
      <c r="E263" s="33"/>
      <c r="G263" s="752"/>
      <c r="H263" s="1728"/>
      <c r="I263" s="1908"/>
    </row>
    <row r="264" spans="1:18" ht="14.65" hidden="1" customHeight="1" x14ac:dyDescent="0.25">
      <c r="A264" s="15"/>
      <c r="B264" s="235" t="s">
        <v>15</v>
      </c>
      <c r="C264" s="234">
        <v>122000</v>
      </c>
      <c r="D264" s="234"/>
      <c r="E264" s="275"/>
      <c r="F264" s="1712"/>
      <c r="G264" s="1729"/>
      <c r="H264" s="1731"/>
      <c r="I264" s="1908"/>
    </row>
    <row r="265" spans="1:18" ht="15.75" hidden="1" thickBot="1" x14ac:dyDescent="0.3">
      <c r="A265" s="15"/>
      <c r="B265" s="14" t="s">
        <v>948</v>
      </c>
      <c r="C265" s="234">
        <v>106000</v>
      </c>
      <c r="D265" s="234"/>
      <c r="E265" s="950"/>
      <c r="F265" s="512"/>
      <c r="G265" s="1741"/>
      <c r="H265" s="1733"/>
      <c r="I265" s="1908"/>
      <c r="R265">
        <v>2.2999999999999998</v>
      </c>
    </row>
    <row r="266" spans="1:18" ht="15.75" hidden="1" thickBot="1" x14ac:dyDescent="0.3">
      <c r="A266" s="40"/>
      <c r="B266" s="28" t="s">
        <v>1</v>
      </c>
      <c r="C266" s="263">
        <v>408000</v>
      </c>
      <c r="D266" s="263"/>
      <c r="E266" s="1744"/>
      <c r="F266" s="1736"/>
      <c r="G266" s="1745">
        <f>SUM(G262,G264,G265)</f>
        <v>80.700000000000045</v>
      </c>
      <c r="H266" s="1737"/>
      <c r="I266" s="1908"/>
      <c r="R266" s="1852">
        <f>SUM(R260:R265)</f>
        <v>6</v>
      </c>
    </row>
    <row r="267" spans="1:18" ht="15.75" thickBot="1" x14ac:dyDescent="0.3">
      <c r="A267" s="1862">
        <v>6</v>
      </c>
      <c r="B267" s="1835" t="s">
        <v>13</v>
      </c>
      <c r="C267" s="1723"/>
      <c r="D267" s="1723"/>
      <c r="E267" s="1948" t="s">
        <v>945</v>
      </c>
      <c r="F267" s="1948" t="s">
        <v>946</v>
      </c>
      <c r="G267" s="1723" t="s">
        <v>188</v>
      </c>
      <c r="H267" s="1724" t="s">
        <v>1023</v>
      </c>
      <c r="I267" s="1908"/>
      <c r="K267" s="1978">
        <f>C262*2500</f>
        <v>70000</v>
      </c>
      <c r="R267">
        <f>R266/2500*1000</f>
        <v>2.4</v>
      </c>
    </row>
    <row r="268" spans="1:18" hidden="1" x14ac:dyDescent="0.25">
      <c r="A268" s="17"/>
      <c r="B268" s="242" t="s">
        <v>12</v>
      </c>
      <c r="C268" s="264">
        <v>1100</v>
      </c>
      <c r="D268" s="264" t="s">
        <v>1033</v>
      </c>
      <c r="E268" s="244"/>
      <c r="F268" s="1712"/>
      <c r="G268" s="244">
        <v>572</v>
      </c>
      <c r="H268" s="1731"/>
      <c r="I268" s="1908"/>
    </row>
    <row r="269" spans="1:18" x14ac:dyDescent="0.25">
      <c r="A269" s="17"/>
      <c r="B269" s="43" t="s">
        <v>11</v>
      </c>
      <c r="C269" s="1955"/>
      <c r="D269" s="1955"/>
      <c r="E269" s="34"/>
      <c r="G269" s="752"/>
      <c r="H269" s="1728"/>
      <c r="I269" s="1908"/>
    </row>
    <row r="270" spans="1:18" ht="15.75" thickBot="1" x14ac:dyDescent="0.3">
      <c r="A270" s="17"/>
      <c r="B270" s="242" t="s">
        <v>10</v>
      </c>
      <c r="C270" s="1851">
        <v>3.9</v>
      </c>
      <c r="D270" s="1866" t="s">
        <v>1080</v>
      </c>
      <c r="E270" s="245">
        <v>107</v>
      </c>
      <c r="F270" s="245">
        <v>272</v>
      </c>
      <c r="G270" s="245">
        <f>F270-E270</f>
        <v>165</v>
      </c>
      <c r="H270" s="1956">
        <f>G270/G14*10</f>
        <v>0.65486585172249545</v>
      </c>
      <c r="I270" s="1911" t="s">
        <v>831</v>
      </c>
      <c r="K270" s="1976">
        <f>C270*24</f>
        <v>93.6</v>
      </c>
      <c r="L270" s="1977">
        <f>K270/2500</f>
        <v>3.7440000000000001E-2</v>
      </c>
    </row>
    <row r="271" spans="1:18" ht="15.75" hidden="1" thickBot="1" x14ac:dyDescent="0.3">
      <c r="A271" s="17"/>
      <c r="B271" s="242"/>
      <c r="C271" s="1755">
        <f>C270/C14</f>
        <v>1.56E-3</v>
      </c>
      <c r="D271" s="1866" t="s">
        <v>1034</v>
      </c>
      <c r="E271" s="245"/>
      <c r="F271" s="1712"/>
      <c r="G271" s="1729"/>
      <c r="H271" s="1731"/>
      <c r="I271" s="1908"/>
    </row>
    <row r="272" spans="1:18" ht="14.65" hidden="1" customHeight="1" x14ac:dyDescent="0.25">
      <c r="A272" s="17"/>
      <c r="B272" s="242" t="s">
        <v>9</v>
      </c>
      <c r="C272" s="265">
        <v>179.63</v>
      </c>
      <c r="D272" s="265"/>
      <c r="E272" s="245"/>
      <c r="F272" s="1712"/>
      <c r="G272" s="1729"/>
      <c r="H272" s="1731"/>
      <c r="I272" s="1908"/>
    </row>
    <row r="273" spans="1:9" ht="15.75" hidden="1" thickBot="1" x14ac:dyDescent="0.3">
      <c r="A273" s="17"/>
      <c r="B273" s="242" t="s">
        <v>8</v>
      </c>
      <c r="C273" s="264">
        <v>491.59</v>
      </c>
      <c r="D273" s="264" t="s">
        <v>1033</v>
      </c>
      <c r="E273" s="245"/>
      <c r="F273" s="1712"/>
      <c r="G273" s="245">
        <v>368</v>
      </c>
      <c r="H273" s="1731"/>
      <c r="I273" s="1908"/>
    </row>
    <row r="274" spans="1:9" ht="15.75" hidden="1" thickBot="1" x14ac:dyDescent="0.3">
      <c r="A274" s="17"/>
      <c r="B274" s="31" t="s">
        <v>7</v>
      </c>
      <c r="C274" s="264">
        <v>337.28</v>
      </c>
      <c r="D274" s="264" t="s">
        <v>1033</v>
      </c>
      <c r="E274" s="34"/>
      <c r="G274" s="34">
        <f>G268-G270-G272-G273</f>
        <v>39</v>
      </c>
      <c r="H274" s="1728"/>
      <c r="I274" s="1908"/>
    </row>
    <row r="275" spans="1:9" ht="15.75" hidden="1" thickBot="1" x14ac:dyDescent="0.3">
      <c r="A275" s="17"/>
      <c r="B275" s="242" t="s">
        <v>6</v>
      </c>
      <c r="C275" s="264">
        <v>330</v>
      </c>
      <c r="D275" s="264" t="s">
        <v>1033</v>
      </c>
      <c r="E275" s="1746"/>
      <c r="F275" s="1742"/>
      <c r="G275" s="245">
        <v>298</v>
      </c>
      <c r="H275" s="1743"/>
      <c r="I275" s="1908"/>
    </row>
    <row r="276" spans="1:9" ht="15.75" thickBot="1" x14ac:dyDescent="0.3">
      <c r="A276" s="1864">
        <v>7</v>
      </c>
      <c r="B276" s="1865" t="s">
        <v>5</v>
      </c>
      <c r="C276" s="1723"/>
      <c r="D276" s="1723"/>
      <c r="E276" s="1948" t="s">
        <v>945</v>
      </c>
      <c r="F276" s="1948" t="s">
        <v>946</v>
      </c>
      <c r="G276" s="1723" t="s">
        <v>188</v>
      </c>
      <c r="H276" s="1724" t="s">
        <v>1024</v>
      </c>
      <c r="I276" s="1908"/>
    </row>
    <row r="277" spans="1:9" hidden="1" x14ac:dyDescent="0.25">
      <c r="A277" s="83"/>
      <c r="B277" s="122" t="s">
        <v>4</v>
      </c>
      <c r="C277" s="1069"/>
      <c r="D277" s="1069"/>
      <c r="E277" s="33"/>
      <c r="G277" s="752"/>
      <c r="H277" s="1728"/>
      <c r="I277" s="1908"/>
    </row>
    <row r="278" spans="1:9" hidden="1" x14ac:dyDescent="0.25">
      <c r="A278" s="83"/>
      <c r="B278" s="235" t="s">
        <v>3</v>
      </c>
      <c r="C278" s="234">
        <v>28770</v>
      </c>
      <c r="D278" s="234" t="s">
        <v>949</v>
      </c>
      <c r="E278" s="245"/>
      <c r="F278" s="1712"/>
      <c r="G278" s="245">
        <v>5.9</v>
      </c>
      <c r="H278" s="1731"/>
      <c r="I278" s="1908"/>
    </row>
    <row r="279" spans="1:9" x14ac:dyDescent="0.25">
      <c r="A279" s="83"/>
      <c r="B279" s="122" t="s">
        <v>1</v>
      </c>
      <c r="C279" s="13"/>
      <c r="D279" s="13"/>
      <c r="E279" s="1704"/>
      <c r="G279" s="1704"/>
      <c r="H279" s="1728"/>
      <c r="I279" s="1908"/>
    </row>
    <row r="280" spans="1:9" x14ac:dyDescent="0.25">
      <c r="A280" s="83"/>
      <c r="B280" s="122" t="s">
        <v>16</v>
      </c>
      <c r="C280" s="13"/>
      <c r="D280" s="13"/>
      <c r="E280" s="282"/>
      <c r="G280" s="752"/>
      <c r="H280" s="1728"/>
      <c r="I280" s="1908"/>
    </row>
    <row r="281" spans="1:9" x14ac:dyDescent="0.25">
      <c r="A281" s="15"/>
      <c r="B281" s="247" t="s">
        <v>936</v>
      </c>
      <c r="C281" s="266">
        <v>18374.400000000001</v>
      </c>
      <c r="D281" s="254" t="s">
        <v>1027</v>
      </c>
      <c r="E281" s="275">
        <v>147816.79999999999</v>
      </c>
      <c r="F281" s="1739">
        <v>162684.79999999999</v>
      </c>
      <c r="G281" s="1705">
        <f>F281-E281</f>
        <v>14868</v>
      </c>
      <c r="H281" s="1949">
        <f>G281/G14</f>
        <v>5.9009366566121599</v>
      </c>
      <c r="I281" s="1908"/>
    </row>
    <row r="282" spans="1:9" x14ac:dyDescent="0.25">
      <c r="A282" s="15"/>
      <c r="B282" s="247" t="s">
        <v>119</v>
      </c>
      <c r="C282" s="266">
        <v>10946.28</v>
      </c>
      <c r="D282" s="254" t="s">
        <v>1028</v>
      </c>
      <c r="E282" s="275">
        <v>126048.5</v>
      </c>
      <c r="F282" s="1739">
        <v>137097</v>
      </c>
      <c r="G282" s="1705">
        <f>F282-E282</f>
        <v>11048.5</v>
      </c>
      <c r="H282" s="1949">
        <f>G282/G14</f>
        <v>4.3850214319733283</v>
      </c>
      <c r="I282" s="1908"/>
    </row>
    <row r="283" spans="1:9" ht="14.65" hidden="1" customHeight="1" x14ac:dyDescent="0.25">
      <c r="A283" s="15"/>
      <c r="B283" s="955"/>
      <c r="C283" s="956"/>
      <c r="D283" s="956"/>
      <c r="E283" s="950"/>
      <c r="G283" s="752"/>
      <c r="H283" s="1728"/>
      <c r="I283" s="1908"/>
    </row>
    <row r="284" spans="1:9" ht="14.65" hidden="1" customHeight="1" x14ac:dyDescent="0.25">
      <c r="A284" s="15"/>
      <c r="B284" s="44" t="s">
        <v>15</v>
      </c>
      <c r="C284" s="533"/>
      <c r="D284" s="533"/>
      <c r="E284" s="299"/>
      <c r="G284" s="752"/>
      <c r="H284" s="1728"/>
      <c r="I284" s="1908"/>
    </row>
    <row r="285" spans="1:9" ht="14.65" hidden="1" customHeight="1" x14ac:dyDescent="0.25">
      <c r="A285" s="15"/>
      <c r="B285" s="247" t="s">
        <v>120</v>
      </c>
      <c r="C285" s="266">
        <v>1308.96</v>
      </c>
      <c r="D285" s="266"/>
      <c r="E285" s="275"/>
      <c r="G285" s="752"/>
      <c r="H285" s="1728"/>
      <c r="I285" s="1908"/>
    </row>
    <row r="286" spans="1:9" ht="14.65" hidden="1" customHeight="1" x14ac:dyDescent="0.25">
      <c r="A286" s="15"/>
      <c r="B286" s="955"/>
      <c r="C286" s="956"/>
      <c r="D286" s="956"/>
      <c r="E286" s="33"/>
      <c r="G286" s="752"/>
      <c r="H286" s="1728"/>
      <c r="I286" s="1908"/>
    </row>
    <row r="287" spans="1:9" ht="14.65" hidden="1" customHeight="1" x14ac:dyDescent="0.25">
      <c r="A287" s="15"/>
      <c r="B287" s="247" t="s">
        <v>121</v>
      </c>
      <c r="C287" s="266">
        <v>5759.67</v>
      </c>
      <c r="D287" s="266"/>
      <c r="E287" s="275">
        <v>792.3</v>
      </c>
      <c r="G287" s="752"/>
      <c r="H287" s="1728"/>
      <c r="I287" s="1908"/>
    </row>
    <row r="288" spans="1:9" ht="14.65" hidden="1" customHeight="1" x14ac:dyDescent="0.25">
      <c r="A288" s="15"/>
      <c r="B288" s="955"/>
      <c r="C288" s="956"/>
      <c r="D288" s="956"/>
      <c r="E288" s="950"/>
      <c r="G288" s="752"/>
      <c r="H288" s="1728"/>
      <c r="I288" s="1908"/>
    </row>
    <row r="289" spans="1:9" ht="14.65" hidden="1" customHeight="1" x14ac:dyDescent="0.25">
      <c r="A289" s="15"/>
      <c r="B289" s="44" t="s">
        <v>7</v>
      </c>
      <c r="C289" s="533"/>
      <c r="D289" s="533"/>
      <c r="E289" s="299"/>
      <c r="G289" s="752"/>
      <c r="H289" s="1728"/>
      <c r="I289" s="1908"/>
    </row>
    <row r="290" spans="1:9" ht="15.75" thickBot="1" x14ac:dyDescent="0.3">
      <c r="A290" s="15"/>
      <c r="B290" s="1814"/>
      <c r="C290" s="1815">
        <v>11.7</v>
      </c>
      <c r="D290" s="1815" t="s">
        <v>1035</v>
      </c>
      <c r="E290" s="1816"/>
      <c r="F290" s="1817"/>
      <c r="G290" s="1957" t="s">
        <v>158</v>
      </c>
      <c r="H290" s="1958">
        <f>H281+H282</f>
        <v>10.285958088585488</v>
      </c>
      <c r="I290" s="1911" t="s">
        <v>831</v>
      </c>
    </row>
    <row r="291" spans="1:9" ht="15" hidden="1" customHeight="1" x14ac:dyDescent="0.25">
      <c r="A291" s="19"/>
      <c r="B291" s="248" t="s">
        <v>123</v>
      </c>
      <c r="C291" s="267">
        <v>241.12</v>
      </c>
      <c r="D291" s="267"/>
      <c r="E291" s="1747"/>
      <c r="F291" s="1748"/>
      <c r="G291" s="1749"/>
      <c r="H291" s="1750"/>
      <c r="I291" s="1959"/>
    </row>
    <row r="292" spans="1:9" ht="15.75" thickBot="1" x14ac:dyDescent="0.3">
      <c r="A292" s="1960"/>
    </row>
    <row r="293" spans="1:9" ht="15.75" thickBot="1" x14ac:dyDescent="0.3">
      <c r="A293" s="1961"/>
      <c r="B293" s="1962" t="s">
        <v>1081</v>
      </c>
      <c r="C293" s="2063" t="s">
        <v>1082</v>
      </c>
      <c r="D293" s="2064"/>
      <c r="E293" s="2063" t="s">
        <v>1083</v>
      </c>
      <c r="F293" s="2065"/>
      <c r="G293" s="2065"/>
      <c r="H293" s="2065"/>
      <c r="I293" s="2064"/>
    </row>
    <row r="294" spans="1:9" x14ac:dyDescent="0.25">
      <c r="A294" s="1961"/>
      <c r="B294" s="1964"/>
      <c r="C294" s="1965"/>
      <c r="D294" s="1966"/>
      <c r="E294" s="1967"/>
      <c r="F294" s="1968"/>
      <c r="G294" s="1967"/>
      <c r="H294" s="1964"/>
      <c r="I294" s="1964"/>
    </row>
    <row r="295" spans="1:9" x14ac:dyDescent="0.25">
      <c r="A295" s="1961"/>
      <c r="B295" s="1968"/>
      <c r="C295" s="1969"/>
      <c r="D295" s="1967"/>
      <c r="E295" s="1967"/>
      <c r="F295" s="1968"/>
      <c r="G295" s="1967"/>
      <c r="H295" s="1968"/>
      <c r="I295" s="1968"/>
    </row>
    <row r="296" spans="1:9" x14ac:dyDescent="0.25">
      <c r="A296" s="1961"/>
      <c r="B296" s="1968"/>
      <c r="C296" s="1969"/>
      <c r="D296" s="1967"/>
      <c r="E296" s="1967"/>
      <c r="F296" s="1968"/>
      <c r="G296" s="1967"/>
      <c r="H296" s="1968"/>
      <c r="I296" s="1968"/>
    </row>
    <row r="297" spans="1:9" x14ac:dyDescent="0.25">
      <c r="A297" s="1961"/>
      <c r="B297" s="1968"/>
      <c r="C297" s="1969"/>
      <c r="D297" s="1967"/>
      <c r="E297" s="1967"/>
      <c r="F297" s="1968"/>
      <c r="G297" s="1967"/>
      <c r="H297" s="1968"/>
      <c r="I297" s="1968"/>
    </row>
    <row r="298" spans="1:9" ht="15.75" thickBot="1" x14ac:dyDescent="0.3">
      <c r="A298" s="1961"/>
      <c r="B298" s="1970"/>
      <c r="C298" s="1971"/>
      <c r="D298" s="1972"/>
      <c r="E298" s="1972"/>
      <c r="F298" s="1970"/>
      <c r="G298" s="1972"/>
      <c r="H298" s="1968"/>
      <c r="I298" s="1968"/>
    </row>
    <row r="299" spans="1:9" ht="15.75" thickBot="1" x14ac:dyDescent="0.3">
      <c r="A299" s="1961"/>
      <c r="B299" s="1962" t="s">
        <v>1084</v>
      </c>
      <c r="C299" s="2063" t="s">
        <v>1085</v>
      </c>
      <c r="D299" s="2064"/>
      <c r="E299" s="1973" t="s">
        <v>1086</v>
      </c>
      <c r="F299" s="1974" t="s">
        <v>1087</v>
      </c>
      <c r="G299" s="1963" t="s">
        <v>1088</v>
      </c>
      <c r="H299" s="1962" t="s">
        <v>1089</v>
      </c>
      <c r="I299" s="1962" t="s">
        <v>1090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7109375" style="1" customWidth="1"/>
    <col min="4" max="4" width="10" style="1" customWidth="1"/>
    <col min="5" max="5" width="14" style="1" customWidth="1"/>
    <col min="6" max="6" width="12.7109375" customWidth="1"/>
    <col min="7" max="7" width="15.28515625" customWidth="1"/>
    <col min="8" max="8" width="14.28515625" customWidth="1"/>
    <col min="9" max="9" width="13" customWidth="1"/>
  </cols>
  <sheetData>
    <row r="1" spans="1:8" ht="21" customHeight="1" thickBot="1" x14ac:dyDescent="0.4">
      <c r="A1" s="2076" t="s">
        <v>947</v>
      </c>
      <c r="B1" s="2076"/>
      <c r="C1" s="2076"/>
      <c r="D1" s="2076"/>
      <c r="E1" s="2076"/>
      <c r="F1" s="2076"/>
      <c r="G1" s="2076"/>
      <c r="H1" s="2076"/>
    </row>
    <row r="2" spans="1:8" ht="14.65" customHeight="1" x14ac:dyDescent="0.25">
      <c r="A2" s="2028" t="s">
        <v>99</v>
      </c>
      <c r="B2" s="2032" t="s">
        <v>100</v>
      </c>
      <c r="C2" s="2030" t="s">
        <v>1025</v>
      </c>
      <c r="D2" s="2030" t="s">
        <v>1009</v>
      </c>
      <c r="E2" s="2077" t="s">
        <v>988</v>
      </c>
      <c r="F2" s="2077"/>
      <c r="G2" s="2077"/>
      <c r="H2" s="2078"/>
    </row>
    <row r="3" spans="1:8" ht="15.75" thickBot="1" x14ac:dyDescent="0.3">
      <c r="A3" s="2053"/>
      <c r="B3" s="2054"/>
      <c r="C3" s="2052"/>
      <c r="D3" s="2052"/>
      <c r="E3" s="2079"/>
      <c r="F3" s="2079"/>
      <c r="G3" s="2079"/>
      <c r="H3" s="2080"/>
    </row>
    <row r="4" spans="1:8" ht="15.75" thickBot="1" x14ac:dyDescent="0.3">
      <c r="A4" s="1862">
        <v>1</v>
      </c>
      <c r="B4" s="1720" t="s">
        <v>85</v>
      </c>
      <c r="C4" s="1721"/>
      <c r="D4" s="1721"/>
      <c r="E4" s="1722" t="s">
        <v>945</v>
      </c>
      <c r="F4" s="1722" t="s">
        <v>946</v>
      </c>
      <c r="G4" s="1723" t="s">
        <v>188</v>
      </c>
      <c r="H4" s="1724" t="s">
        <v>1017</v>
      </c>
    </row>
    <row r="5" spans="1:8" x14ac:dyDescent="0.25">
      <c r="A5" s="8"/>
      <c r="B5" s="1719" t="s">
        <v>16</v>
      </c>
      <c r="C5" s="251"/>
      <c r="D5" s="251"/>
      <c r="E5" s="33"/>
      <c r="F5" s="1751"/>
      <c r="G5" s="1751"/>
      <c r="H5" s="1751"/>
    </row>
    <row r="6" spans="1:8" ht="14.65" hidden="1" customHeight="1" x14ac:dyDescent="0.25">
      <c r="A6" s="8"/>
      <c r="B6" s="11" t="s">
        <v>84</v>
      </c>
      <c r="C6" s="251"/>
      <c r="D6" s="251"/>
      <c r="E6" s="33"/>
    </row>
    <row r="7" spans="1:8" ht="14.65" hidden="1" customHeight="1" x14ac:dyDescent="0.25">
      <c r="A7" s="8"/>
      <c r="B7" s="72" t="s">
        <v>125</v>
      </c>
      <c r="C7" s="251"/>
      <c r="D7" s="251"/>
      <c r="E7" s="270"/>
    </row>
    <row r="8" spans="1:8" ht="14.65" hidden="1" customHeight="1" x14ac:dyDescent="0.25">
      <c r="A8" s="8"/>
      <c r="B8" s="11" t="s">
        <v>103</v>
      </c>
      <c r="C8" s="251"/>
      <c r="D8" s="251"/>
      <c r="E8" s="34"/>
    </row>
    <row r="9" spans="1:8" x14ac:dyDescent="0.25">
      <c r="A9" s="8"/>
      <c r="B9" s="1717" t="s">
        <v>96</v>
      </c>
      <c r="C9" s="1718">
        <v>2500</v>
      </c>
      <c r="D9" s="1718" t="s">
        <v>381</v>
      </c>
      <c r="E9" s="1530">
        <v>5880.74</v>
      </c>
      <c r="F9" s="1530">
        <v>8383.74</v>
      </c>
      <c r="G9" s="245">
        <f>F9-E9</f>
        <v>2503</v>
      </c>
      <c r="H9" s="1922">
        <f>G9/2500000*100000</f>
        <v>100.12</v>
      </c>
    </row>
    <row r="10" spans="1:8" ht="14.65" hidden="1" customHeight="1" x14ac:dyDescent="0.25">
      <c r="A10" s="8"/>
      <c r="B10" s="948" t="s">
        <v>379</v>
      </c>
      <c r="C10" s="949"/>
      <c r="D10" s="949"/>
      <c r="E10" s="950"/>
      <c r="H10" s="1728"/>
    </row>
    <row r="11" spans="1:8" ht="14.65" hidden="1" customHeight="1" x14ac:dyDescent="0.25">
      <c r="A11" s="8"/>
      <c r="B11" s="21" t="s">
        <v>97</v>
      </c>
      <c r="C11" s="234">
        <v>29045000</v>
      </c>
      <c r="D11" s="234"/>
      <c r="E11" s="33"/>
      <c r="H11" s="1728"/>
    </row>
    <row r="12" spans="1:8" ht="14.65" hidden="1" customHeight="1" x14ac:dyDescent="0.25">
      <c r="A12" s="8"/>
      <c r="B12" s="21" t="s">
        <v>98</v>
      </c>
      <c r="C12" s="234">
        <v>7314000</v>
      </c>
      <c r="D12" s="234"/>
      <c r="E12" s="33">
        <f>E43+E52+E57</f>
        <v>0</v>
      </c>
      <c r="H12" s="1728"/>
    </row>
    <row r="13" spans="1:8" x14ac:dyDescent="0.25">
      <c r="A13" s="8"/>
      <c r="B13" s="14" t="s">
        <v>82</v>
      </c>
      <c r="C13" s="252">
        <v>5</v>
      </c>
      <c r="D13" s="252" t="s">
        <v>25</v>
      </c>
      <c r="E13" s="1725"/>
      <c r="F13" s="1710"/>
      <c r="G13" s="1709">
        <v>3.97</v>
      </c>
      <c r="H13" s="752"/>
    </row>
    <row r="14" spans="1:8" x14ac:dyDescent="0.25">
      <c r="A14" s="8"/>
      <c r="B14" s="14" t="s">
        <v>81</v>
      </c>
      <c r="C14" s="252">
        <v>0.5</v>
      </c>
      <c r="D14" s="252" t="s">
        <v>25</v>
      </c>
      <c r="E14" s="1725"/>
      <c r="F14" s="1710"/>
      <c r="G14" s="1709">
        <v>0.4</v>
      </c>
      <c r="H14" s="752"/>
    </row>
    <row r="15" spans="1:8" x14ac:dyDescent="0.25">
      <c r="A15" s="8"/>
      <c r="B15" s="14" t="s">
        <v>80</v>
      </c>
      <c r="C15" s="253">
        <v>2.2000000000000002</v>
      </c>
      <c r="D15" s="252" t="s">
        <v>1010</v>
      </c>
      <c r="E15" s="1725"/>
      <c r="F15" s="1710"/>
      <c r="G15" s="1709">
        <v>2.42</v>
      </c>
      <c r="H15" s="752"/>
    </row>
    <row r="16" spans="1:8" x14ac:dyDescent="0.25">
      <c r="A16" s="8"/>
      <c r="B16" s="235" t="s">
        <v>938</v>
      </c>
      <c r="C16" s="1714"/>
      <c r="D16" s="1714"/>
      <c r="E16" s="1726"/>
      <c r="F16" s="1715"/>
      <c r="G16" s="1716">
        <v>105</v>
      </c>
      <c r="H16" s="1729"/>
    </row>
    <row r="17" spans="1:8" x14ac:dyDescent="0.25">
      <c r="A17" s="8"/>
      <c r="B17" s="1706" t="s">
        <v>78</v>
      </c>
      <c r="C17" s="1707"/>
      <c r="D17" s="1707"/>
      <c r="E17" s="272"/>
      <c r="F17" s="1727"/>
      <c r="G17" s="1708"/>
      <c r="H17" s="1727"/>
    </row>
    <row r="18" spans="1:8" x14ac:dyDescent="0.25">
      <c r="A18" s="8"/>
      <c r="B18" s="831" t="s">
        <v>360</v>
      </c>
      <c r="C18" s="254"/>
      <c r="D18" s="254"/>
      <c r="E18" s="33"/>
      <c r="F18" s="752"/>
      <c r="H18" s="752"/>
    </row>
    <row r="19" spans="1:8" x14ac:dyDescent="0.25">
      <c r="A19" s="15"/>
      <c r="B19" s="65" t="s">
        <v>193</v>
      </c>
      <c r="C19" s="1718">
        <f>C9*94.2%</f>
        <v>2355</v>
      </c>
      <c r="D19" s="1718" t="s">
        <v>381</v>
      </c>
      <c r="E19" s="1705">
        <v>5143.38</v>
      </c>
      <c r="F19" s="1705">
        <v>7493.18</v>
      </c>
      <c r="G19" s="1705">
        <f>F19-E19</f>
        <v>2349.8000000000002</v>
      </c>
      <c r="H19" s="1758">
        <f>G19/G9*100</f>
        <v>93.879344786256496</v>
      </c>
    </row>
    <row r="20" spans="1:8" x14ac:dyDescent="0.25">
      <c r="A20" s="8"/>
      <c r="B20" s="14" t="s">
        <v>82</v>
      </c>
      <c r="C20" s="252">
        <v>0.05</v>
      </c>
      <c r="D20" s="252" t="s">
        <v>25</v>
      </c>
      <c r="E20" s="1725"/>
      <c r="F20" s="1710"/>
      <c r="G20" s="1813">
        <v>4.2999999999999997E-2</v>
      </c>
      <c r="H20" s="752"/>
    </row>
    <row r="21" spans="1:8" x14ac:dyDescent="0.25">
      <c r="A21" s="8"/>
      <c r="B21" s="14" t="s">
        <v>81</v>
      </c>
      <c r="C21" s="252">
        <v>0.03</v>
      </c>
      <c r="D21" s="252" t="s">
        <v>25</v>
      </c>
      <c r="E21" s="1725"/>
      <c r="F21" s="1710"/>
      <c r="G21" s="1759">
        <v>0.04</v>
      </c>
      <c r="H21" s="752"/>
    </row>
    <row r="22" spans="1:8" x14ac:dyDescent="0.25">
      <c r="A22" s="8"/>
      <c r="B22" s="14" t="s">
        <v>950</v>
      </c>
      <c r="C22" s="253">
        <v>2.5</v>
      </c>
      <c r="D22" s="252" t="s">
        <v>25</v>
      </c>
      <c r="E22" s="1725"/>
      <c r="F22" s="1710"/>
      <c r="G22" s="1759">
        <v>2.5</v>
      </c>
      <c r="H22" s="752"/>
    </row>
    <row r="23" spans="1:8" x14ac:dyDescent="0.25">
      <c r="A23" s="8"/>
      <c r="B23" s="14" t="s">
        <v>956</v>
      </c>
      <c r="C23" s="1760">
        <v>60</v>
      </c>
      <c r="D23" s="234" t="s">
        <v>1011</v>
      </c>
      <c r="E23" s="1725"/>
      <c r="F23" s="1710"/>
      <c r="G23" s="1752"/>
      <c r="H23" s="1728"/>
    </row>
    <row r="24" spans="1:8" x14ac:dyDescent="0.25">
      <c r="A24" s="8"/>
      <c r="B24" s="14" t="s">
        <v>957</v>
      </c>
      <c r="C24" s="253" t="s">
        <v>958</v>
      </c>
      <c r="D24" s="253"/>
      <c r="E24" s="1725"/>
      <c r="F24" s="1710"/>
      <c r="G24" s="1752"/>
      <c r="H24" s="1728"/>
    </row>
    <row r="25" spans="1:8" x14ac:dyDescent="0.25">
      <c r="A25" s="8"/>
      <c r="B25" s="14" t="s">
        <v>959</v>
      </c>
      <c r="C25" s="1760">
        <v>50</v>
      </c>
      <c r="D25" s="1760" t="s">
        <v>1031</v>
      </c>
      <c r="E25" s="1725"/>
      <c r="F25" s="1710"/>
      <c r="G25" s="1752"/>
      <c r="H25" s="1728"/>
    </row>
    <row r="26" spans="1:8" x14ac:dyDescent="0.25">
      <c r="A26" s="15"/>
      <c r="B26" s="65" t="s">
        <v>64</v>
      </c>
      <c r="C26" s="1718">
        <f>C9*5%</f>
        <v>125</v>
      </c>
      <c r="D26" s="1718" t="s">
        <v>381</v>
      </c>
      <c r="E26" s="1705">
        <v>243.04</v>
      </c>
      <c r="F26" s="1705">
        <v>347.1</v>
      </c>
      <c r="G26" s="1705">
        <f>F26-E26</f>
        <v>104.06000000000003</v>
      </c>
      <c r="H26" s="1758">
        <f>G26/G9*100</f>
        <v>4.1574111066719945</v>
      </c>
    </row>
    <row r="27" spans="1:8" ht="14.65" hidden="1" customHeight="1" x14ac:dyDescent="0.25">
      <c r="A27" s="15"/>
      <c r="B27" s="717" t="s">
        <v>353</v>
      </c>
      <c r="C27" s="742"/>
      <c r="D27" s="234"/>
      <c r="E27" s="33"/>
      <c r="H27" s="1728"/>
    </row>
    <row r="28" spans="1:8" ht="14.65" hidden="1" customHeight="1" x14ac:dyDescent="0.25">
      <c r="A28" s="8"/>
      <c r="B28" s="11" t="s">
        <v>84</v>
      </c>
      <c r="C28" s="251"/>
      <c r="D28" s="251"/>
      <c r="E28" s="33"/>
      <c r="H28" s="1728"/>
    </row>
    <row r="29" spans="1:8" ht="14.65" hidden="1" customHeight="1" x14ac:dyDescent="0.25">
      <c r="A29" s="8"/>
      <c r="B29" s="11" t="s">
        <v>357</v>
      </c>
      <c r="C29" s="251"/>
      <c r="D29" s="251"/>
      <c r="E29" s="33">
        <v>0</v>
      </c>
      <c r="H29" s="1728"/>
    </row>
    <row r="30" spans="1:8" ht="14.65" hidden="1" customHeight="1" x14ac:dyDescent="0.25">
      <c r="A30" s="15"/>
      <c r="B30" s="65" t="s">
        <v>356</v>
      </c>
      <c r="C30" s="234"/>
      <c r="D30" s="234"/>
      <c r="E30" s="270">
        <v>392100</v>
      </c>
      <c r="H30" s="1728"/>
    </row>
    <row r="31" spans="1:8" ht="14.65" hidden="1" customHeight="1" x14ac:dyDescent="0.25">
      <c r="A31" s="15"/>
      <c r="B31" s="948" t="s">
        <v>378</v>
      </c>
      <c r="C31" s="949"/>
      <c r="D31" s="949"/>
      <c r="E31" s="950"/>
      <c r="H31" s="1728"/>
    </row>
    <row r="32" spans="1:8" ht="14.65" hidden="1" customHeight="1" x14ac:dyDescent="0.25">
      <c r="A32" s="15"/>
      <c r="B32" s="14" t="s">
        <v>355</v>
      </c>
      <c r="C32" s="741"/>
      <c r="D32" s="741"/>
      <c r="E32" s="33">
        <f>SUM(E35,E39,E44,E48,E58)</f>
        <v>0</v>
      </c>
      <c r="H32" s="1728"/>
    </row>
    <row r="33" spans="1:8" ht="14.65" hidden="1" customHeight="1" x14ac:dyDescent="0.25">
      <c r="A33" s="15"/>
      <c r="B33" s="14" t="s">
        <v>354</v>
      </c>
      <c r="C33" s="743"/>
      <c r="D33" s="741"/>
      <c r="E33" s="33">
        <f>E30-E32</f>
        <v>392100</v>
      </c>
      <c r="H33" s="1728"/>
    </row>
    <row r="34" spans="1:8" ht="14.65" hidden="1" customHeight="1" x14ac:dyDescent="0.25">
      <c r="A34" s="15"/>
      <c r="B34" s="230" t="s">
        <v>76</v>
      </c>
      <c r="C34" s="231"/>
      <c r="D34" s="231"/>
      <c r="E34" s="94"/>
      <c r="H34" s="1728"/>
    </row>
    <row r="35" spans="1:8" ht="14.65" hidden="1" customHeight="1" x14ac:dyDescent="0.25">
      <c r="A35" s="15"/>
      <c r="B35" s="14" t="s">
        <v>75</v>
      </c>
      <c r="C35" s="255"/>
      <c r="D35" s="255"/>
      <c r="E35" s="33">
        <f>E36+E37</f>
        <v>0</v>
      </c>
      <c r="H35" s="1728"/>
    </row>
    <row r="36" spans="1:8" ht="14.65" hidden="1" customHeight="1" x14ac:dyDescent="0.25">
      <c r="A36" s="15"/>
      <c r="B36" s="65" t="s">
        <v>74</v>
      </c>
      <c r="C36" s="255"/>
      <c r="D36" s="255"/>
      <c r="E36" s="270">
        <v>0</v>
      </c>
      <c r="H36" s="1728"/>
    </row>
    <row r="37" spans="1:8" ht="14.65" hidden="1" customHeight="1" x14ac:dyDescent="0.25">
      <c r="A37" s="15"/>
      <c r="B37" s="65" t="s">
        <v>73</v>
      </c>
      <c r="C37" s="255"/>
      <c r="D37" s="255"/>
      <c r="E37" s="271">
        <v>0</v>
      </c>
      <c r="H37" s="1728"/>
    </row>
    <row r="38" spans="1:8" ht="14.65" hidden="1" customHeight="1" x14ac:dyDescent="0.25">
      <c r="A38" s="69"/>
      <c r="B38" s="230" t="s">
        <v>104</v>
      </c>
      <c r="C38" s="305"/>
      <c r="D38" s="1856"/>
      <c r="E38" s="272"/>
      <c r="H38" s="1728"/>
    </row>
    <row r="39" spans="1:8" ht="14.65" hidden="1" customHeight="1" x14ac:dyDescent="0.25">
      <c r="A39" s="15"/>
      <c r="B39" s="14" t="s">
        <v>75</v>
      </c>
      <c r="C39" s="255"/>
      <c r="D39" s="255"/>
      <c r="E39" s="33">
        <f>E40+E41</f>
        <v>0</v>
      </c>
      <c r="H39" s="1728"/>
    </row>
    <row r="40" spans="1:8" ht="14.65" hidden="1" customHeight="1" x14ac:dyDescent="0.25">
      <c r="A40" s="15"/>
      <c r="B40" s="65" t="s">
        <v>105</v>
      </c>
      <c r="C40" s="255"/>
      <c r="D40" s="255"/>
      <c r="E40" s="270">
        <v>0</v>
      </c>
      <c r="H40" s="1728"/>
    </row>
    <row r="41" spans="1:8" ht="14.65" hidden="1" customHeight="1" x14ac:dyDescent="0.25">
      <c r="A41" s="15"/>
      <c r="B41" s="65" t="s">
        <v>73</v>
      </c>
      <c r="C41" s="255"/>
      <c r="D41" s="255"/>
      <c r="E41" s="270">
        <v>0</v>
      </c>
      <c r="H41" s="1728"/>
    </row>
    <row r="42" spans="1:8" ht="14.65" hidden="1" customHeight="1" x14ac:dyDescent="0.25">
      <c r="A42" s="15"/>
      <c r="B42" s="230" t="s">
        <v>107</v>
      </c>
      <c r="C42" s="233"/>
      <c r="D42" s="233"/>
      <c r="E42" s="94"/>
      <c r="H42" s="1728"/>
    </row>
    <row r="43" spans="1:8" ht="14.65" hidden="1" customHeight="1" x14ac:dyDescent="0.25">
      <c r="A43" s="17"/>
      <c r="B43" s="11" t="s">
        <v>71</v>
      </c>
      <c r="C43" s="256"/>
      <c r="D43" s="256"/>
      <c r="E43" s="33"/>
      <c r="H43" s="1728"/>
    </row>
    <row r="44" spans="1:8" ht="14.65" hidden="1" customHeight="1" x14ac:dyDescent="0.25">
      <c r="A44" s="15"/>
      <c r="B44" s="14" t="s">
        <v>70</v>
      </c>
      <c r="C44" s="255"/>
      <c r="D44" s="255"/>
      <c r="E44" s="33">
        <f>E45+E46</f>
        <v>0</v>
      </c>
      <c r="H44" s="1728"/>
    </row>
    <row r="45" spans="1:8" ht="14.65" hidden="1" customHeight="1" x14ac:dyDescent="0.25">
      <c r="A45" s="15"/>
      <c r="B45" s="65" t="s">
        <v>109</v>
      </c>
      <c r="C45" s="255"/>
      <c r="D45" s="255"/>
      <c r="E45" s="270">
        <v>0</v>
      </c>
      <c r="H45" s="1728"/>
    </row>
    <row r="46" spans="1:8" ht="14.65" hidden="1" customHeight="1" x14ac:dyDescent="0.25">
      <c r="A46" s="15"/>
      <c r="B46" s="56" t="s">
        <v>73</v>
      </c>
      <c r="C46" s="255"/>
      <c r="D46" s="255"/>
      <c r="E46" s="271">
        <v>0</v>
      </c>
      <c r="H46" s="1728"/>
    </row>
    <row r="47" spans="1:8" ht="14.65" hidden="1" customHeight="1" x14ac:dyDescent="0.25">
      <c r="A47" s="69"/>
      <c r="B47" s="230" t="s">
        <v>110</v>
      </c>
      <c r="C47" s="305"/>
      <c r="D47" s="305"/>
      <c r="E47" s="94"/>
      <c r="H47" s="1728"/>
    </row>
    <row r="48" spans="1:8" ht="14.65" hidden="1" customHeight="1" x14ac:dyDescent="0.25">
      <c r="A48" s="15"/>
      <c r="B48" s="14" t="s">
        <v>75</v>
      </c>
      <c r="C48" s="229">
        <f>C49+C50</f>
        <v>21429000</v>
      </c>
      <c r="D48" s="229"/>
      <c r="E48" s="33">
        <f>E49+E50</f>
        <v>0</v>
      </c>
      <c r="H48" s="1728"/>
    </row>
    <row r="49" spans="1:8" ht="14.65" hidden="1" customHeight="1" x14ac:dyDescent="0.25">
      <c r="A49" s="15"/>
      <c r="B49" s="65" t="s">
        <v>112</v>
      </c>
      <c r="C49" s="68">
        <v>15000000</v>
      </c>
      <c r="D49" s="68"/>
      <c r="E49" s="270"/>
      <c r="H49" s="1728"/>
    </row>
    <row r="50" spans="1:8" ht="14.65" hidden="1" customHeight="1" x14ac:dyDescent="0.25">
      <c r="A50" s="15"/>
      <c r="B50" s="65" t="s">
        <v>73</v>
      </c>
      <c r="C50" s="68">
        <v>6429000</v>
      </c>
      <c r="D50" s="68"/>
      <c r="E50" s="271"/>
      <c r="H50" s="1728"/>
    </row>
    <row r="51" spans="1:8" ht="14.65" hidden="1" customHeight="1" x14ac:dyDescent="0.25">
      <c r="A51" s="69"/>
      <c r="B51" s="230" t="s">
        <v>829</v>
      </c>
      <c r="C51" s="305"/>
      <c r="D51" s="1856"/>
      <c r="E51" s="272"/>
      <c r="H51" s="1728"/>
    </row>
    <row r="52" spans="1:8" ht="14.65" hidden="1" customHeight="1" x14ac:dyDescent="0.25">
      <c r="A52" s="17"/>
      <c r="B52" s="11" t="s">
        <v>71</v>
      </c>
      <c r="C52" s="256"/>
      <c r="D52" s="256"/>
      <c r="E52" s="33"/>
      <c r="H52" s="1728"/>
    </row>
    <row r="53" spans="1:8" ht="14.65" hidden="1" customHeight="1" x14ac:dyDescent="0.25">
      <c r="A53" s="15"/>
      <c r="B53" s="14" t="s">
        <v>75</v>
      </c>
      <c r="C53" s="229">
        <f>C54+C55</f>
        <v>21429000</v>
      </c>
      <c r="D53" s="229"/>
      <c r="E53" s="33">
        <f>E54+E55</f>
        <v>0</v>
      </c>
      <c r="H53" s="1728"/>
    </row>
    <row r="54" spans="1:8" ht="14.65" hidden="1" customHeight="1" x14ac:dyDescent="0.25">
      <c r="A54" s="15"/>
      <c r="B54" s="65" t="s">
        <v>112</v>
      </c>
      <c r="C54" s="68">
        <v>15000000</v>
      </c>
      <c r="D54" s="68"/>
      <c r="E54" s="270">
        <v>0</v>
      </c>
      <c r="H54" s="1728"/>
    </row>
    <row r="55" spans="1:8" ht="14.65" hidden="1" customHeight="1" x14ac:dyDescent="0.25">
      <c r="A55" s="15"/>
      <c r="B55" s="65" t="s">
        <v>73</v>
      </c>
      <c r="C55" s="68">
        <v>6429000</v>
      </c>
      <c r="D55" s="68"/>
      <c r="E55" s="270">
        <v>0</v>
      </c>
      <c r="H55" s="1728"/>
    </row>
    <row r="56" spans="1:8" ht="14.65" hidden="1" customHeight="1" x14ac:dyDescent="0.25">
      <c r="A56" s="15"/>
      <c r="B56" s="230" t="s">
        <v>72</v>
      </c>
      <c r="C56" s="233"/>
      <c r="D56" s="233"/>
      <c r="E56" s="94"/>
      <c r="H56" s="1728"/>
    </row>
    <row r="57" spans="1:8" ht="14.65" hidden="1" customHeight="1" x14ac:dyDescent="0.25">
      <c r="A57" s="17"/>
      <c r="B57" s="11" t="s">
        <v>71</v>
      </c>
      <c r="C57" s="256"/>
      <c r="D57" s="256"/>
      <c r="E57" s="33"/>
      <c r="H57" s="1728"/>
    </row>
    <row r="58" spans="1:8" ht="14.65" hidden="1" customHeight="1" x14ac:dyDescent="0.25">
      <c r="A58" s="15"/>
      <c r="B58" s="14" t="s">
        <v>70</v>
      </c>
      <c r="C58" s="255"/>
      <c r="D58" s="255"/>
      <c r="E58" s="33">
        <f>E60+E61</f>
        <v>0</v>
      </c>
      <c r="H58" s="1728"/>
    </row>
    <row r="59" spans="1:8" ht="14.65" hidden="1" customHeight="1" x14ac:dyDescent="0.25">
      <c r="A59" s="15"/>
      <c r="B59" s="65" t="s">
        <v>69</v>
      </c>
      <c r="C59" s="255"/>
      <c r="D59" s="255"/>
      <c r="E59" s="270">
        <v>0</v>
      </c>
      <c r="H59" s="1728"/>
    </row>
    <row r="60" spans="1:8" ht="14.65" hidden="1" customHeight="1" x14ac:dyDescent="0.25">
      <c r="A60" s="15"/>
      <c r="B60" s="65" t="s">
        <v>68</v>
      </c>
      <c r="C60" s="255"/>
      <c r="D60" s="255"/>
      <c r="E60" s="270">
        <v>0</v>
      </c>
      <c r="H60" s="1728"/>
    </row>
    <row r="61" spans="1:8" ht="14.65" hidden="1" customHeight="1" x14ac:dyDescent="0.25">
      <c r="A61" s="15"/>
      <c r="B61" s="65" t="s">
        <v>67</v>
      </c>
      <c r="C61" s="255"/>
      <c r="D61" s="255"/>
      <c r="E61" s="270">
        <v>0</v>
      </c>
      <c r="H61" s="1728"/>
    </row>
    <row r="62" spans="1:8" ht="14.65" hidden="1" customHeight="1" x14ac:dyDescent="0.25">
      <c r="A62" s="15"/>
      <c r="B62" s="75" t="s">
        <v>113</v>
      </c>
      <c r="C62" s="255"/>
      <c r="D62" s="255"/>
      <c r="E62" s="273">
        <v>0</v>
      </c>
      <c r="H62" s="1728"/>
    </row>
    <row r="63" spans="1:8" ht="14.65" hidden="1" customHeight="1" x14ac:dyDescent="0.25">
      <c r="A63" s="8"/>
      <c r="B63" s="76" t="s">
        <v>66</v>
      </c>
      <c r="C63" s="77"/>
      <c r="D63" s="77"/>
      <c r="E63" s="94"/>
      <c r="H63" s="1728"/>
    </row>
    <row r="64" spans="1:8" ht="14.65" hidden="1" customHeight="1" x14ac:dyDescent="0.25">
      <c r="A64" s="15"/>
      <c r="B64" s="75" t="s">
        <v>65</v>
      </c>
      <c r="C64" s="1615">
        <v>94.2</v>
      </c>
      <c r="D64" s="1615"/>
      <c r="E64" s="274">
        <f>(E19/(E9))*100</f>
        <v>87.461441927376498</v>
      </c>
      <c r="H64" s="1728"/>
    </row>
    <row r="65" spans="1:8" ht="14.65" hidden="1" customHeight="1" x14ac:dyDescent="0.25">
      <c r="A65" s="15"/>
      <c r="B65" s="75" t="s">
        <v>64</v>
      </c>
      <c r="C65" s="126">
        <v>5</v>
      </c>
      <c r="D65" s="126"/>
      <c r="E65" s="274">
        <f>(E26/(E9))*100</f>
        <v>4.1328132173842071</v>
      </c>
      <c r="H65" s="1728"/>
    </row>
    <row r="66" spans="1:8" ht="14.65" hidden="1" customHeight="1" x14ac:dyDescent="0.25">
      <c r="A66" s="15"/>
      <c r="B66" s="75" t="s">
        <v>63</v>
      </c>
      <c r="C66" s="126">
        <v>82</v>
      </c>
      <c r="D66" s="126"/>
      <c r="E66" s="274" t="e">
        <f>E36/(E36+E37)*100</f>
        <v>#DIV/0!</v>
      </c>
      <c r="H66" s="1728"/>
    </row>
    <row r="67" spans="1:8" ht="14.65" hidden="1" customHeight="1" x14ac:dyDescent="0.25">
      <c r="A67" s="15"/>
      <c r="B67" s="75" t="s">
        <v>62</v>
      </c>
      <c r="C67" s="126">
        <v>18</v>
      </c>
      <c r="D67" s="126"/>
      <c r="E67" s="274" t="e">
        <f>(E37/E35)*100</f>
        <v>#DIV/0!</v>
      </c>
      <c r="H67" s="1728"/>
    </row>
    <row r="68" spans="1:8" ht="14.65" hidden="1" customHeight="1" x14ac:dyDescent="0.25">
      <c r="A68" s="15"/>
      <c r="B68" s="75" t="s">
        <v>106</v>
      </c>
      <c r="C68" s="126">
        <v>75</v>
      </c>
      <c r="D68" s="126"/>
      <c r="E68" s="274" t="e">
        <f>(E40/E39)*100</f>
        <v>#DIV/0!</v>
      </c>
      <c r="H68" s="1728"/>
    </row>
    <row r="69" spans="1:8" ht="14.65" hidden="1" customHeight="1" x14ac:dyDescent="0.25">
      <c r="A69" s="15"/>
      <c r="B69" s="75" t="s">
        <v>62</v>
      </c>
      <c r="C69" s="126">
        <v>25</v>
      </c>
      <c r="D69" s="126"/>
      <c r="E69" s="274" t="e">
        <f>(E41/E39)*100</f>
        <v>#DIV/0!</v>
      </c>
      <c r="H69" s="1728"/>
    </row>
    <row r="70" spans="1:8" ht="14.65" hidden="1" customHeight="1" x14ac:dyDescent="0.25">
      <c r="A70" s="15"/>
      <c r="B70" s="75" t="s">
        <v>108</v>
      </c>
      <c r="C70" s="126">
        <v>75</v>
      </c>
      <c r="D70" s="126"/>
      <c r="E70" s="274" t="e">
        <f>E45/E44*100</f>
        <v>#DIV/0!</v>
      </c>
      <c r="H70" s="1728"/>
    </row>
    <row r="71" spans="1:8" ht="14.65" hidden="1" customHeight="1" x14ac:dyDescent="0.25">
      <c r="A71" s="15"/>
      <c r="B71" s="75" t="s">
        <v>62</v>
      </c>
      <c r="C71" s="126">
        <v>25</v>
      </c>
      <c r="D71" s="126"/>
      <c r="E71" s="274" t="e">
        <f>E46/E44*100</f>
        <v>#DIV/0!</v>
      </c>
      <c r="H71" s="1728"/>
    </row>
    <row r="72" spans="1:8" ht="14.65" hidden="1" customHeight="1" x14ac:dyDescent="0.25">
      <c r="A72" s="15"/>
      <c r="B72" s="75" t="s">
        <v>111</v>
      </c>
      <c r="C72" s="126">
        <v>70</v>
      </c>
      <c r="D72" s="126"/>
      <c r="E72" s="274" t="e">
        <f>E49/(E49+E50)*100</f>
        <v>#DIV/0!</v>
      </c>
      <c r="H72" s="1728"/>
    </row>
    <row r="73" spans="1:8" ht="14.65" hidden="1" customHeight="1" x14ac:dyDescent="0.25">
      <c r="A73" s="15"/>
      <c r="B73" s="75" t="s">
        <v>62</v>
      </c>
      <c r="C73" s="126">
        <v>30</v>
      </c>
      <c r="D73" s="126"/>
      <c r="E73" s="274" t="e">
        <f>E50/(E50+E49)*100</f>
        <v>#DIV/0!</v>
      </c>
      <c r="H73" s="1728"/>
    </row>
    <row r="74" spans="1:8" ht="14.65" hidden="1" customHeight="1" x14ac:dyDescent="0.25">
      <c r="A74" s="15"/>
      <c r="B74" s="75" t="s">
        <v>830</v>
      </c>
      <c r="C74" s="126">
        <v>70</v>
      </c>
      <c r="D74" s="126"/>
      <c r="E74" s="274" t="e">
        <f>E54/(E54+E55)*100</f>
        <v>#DIV/0!</v>
      </c>
      <c r="H74" s="1728"/>
    </row>
    <row r="75" spans="1:8" ht="14.65" hidden="1" customHeight="1" x14ac:dyDescent="0.25">
      <c r="A75" s="15"/>
      <c r="B75" s="75" t="s">
        <v>62</v>
      </c>
      <c r="C75" s="126">
        <v>30</v>
      </c>
      <c r="D75" s="126"/>
      <c r="E75" s="274" t="e">
        <f>E55/(E54+E55)*100</f>
        <v>#DIV/0!</v>
      </c>
      <c r="H75" s="1728"/>
    </row>
    <row r="76" spans="1:8" ht="14.65" hidden="1" customHeight="1" x14ac:dyDescent="0.25">
      <c r="A76" s="15"/>
      <c r="B76" s="75" t="s">
        <v>61</v>
      </c>
      <c r="C76" s="126">
        <v>60</v>
      </c>
      <c r="D76" s="126"/>
      <c r="E76" s="274" t="e">
        <f>E59/E58*100</f>
        <v>#DIV/0!</v>
      </c>
      <c r="H76" s="1728"/>
    </row>
    <row r="77" spans="1:8" ht="15" hidden="1" customHeight="1" thickBot="1" x14ac:dyDescent="0.3">
      <c r="A77" s="19"/>
      <c r="B77" s="75" t="s">
        <v>60</v>
      </c>
      <c r="C77" s="126">
        <v>40</v>
      </c>
      <c r="D77" s="126"/>
      <c r="E77" s="274" t="e">
        <f>E61/E58*100</f>
        <v>#DIV/0!</v>
      </c>
      <c r="H77" s="1728"/>
    </row>
    <row r="78" spans="1:8" x14ac:dyDescent="0.25">
      <c r="A78" s="8"/>
      <c r="B78" s="14" t="s">
        <v>82</v>
      </c>
      <c r="C78" s="253" t="s">
        <v>1012</v>
      </c>
      <c r="D78" s="252" t="s">
        <v>25</v>
      </c>
      <c r="E78" s="1725"/>
      <c r="F78" s="1710"/>
      <c r="G78" s="1709">
        <v>90.62</v>
      </c>
      <c r="H78" s="752"/>
    </row>
    <row r="79" spans="1:8" ht="15.75" thickBot="1" x14ac:dyDescent="0.3">
      <c r="A79" s="8"/>
      <c r="B79" s="14" t="s">
        <v>81</v>
      </c>
      <c r="C79" s="253">
        <v>0.5</v>
      </c>
      <c r="D79" s="252" t="s">
        <v>25</v>
      </c>
      <c r="E79" s="1725"/>
      <c r="F79" s="1710"/>
      <c r="G79" s="1709">
        <v>0.33</v>
      </c>
      <c r="H79" s="752"/>
    </row>
    <row r="80" spans="1:8" ht="15.75" thickBot="1" x14ac:dyDescent="0.3">
      <c r="A80" s="1862">
        <v>2</v>
      </c>
      <c r="B80" s="1860" t="s">
        <v>59</v>
      </c>
      <c r="C80" s="1723"/>
      <c r="D80" s="1723"/>
      <c r="E80" s="1722" t="s">
        <v>945</v>
      </c>
      <c r="F80" s="1722" t="s">
        <v>946</v>
      </c>
      <c r="G80" s="1723" t="s">
        <v>188</v>
      </c>
      <c r="H80" s="1724" t="s">
        <v>1019</v>
      </c>
    </row>
    <row r="81" spans="1:8" x14ac:dyDescent="0.25">
      <c r="A81" s="8"/>
      <c r="B81" s="235" t="s">
        <v>58</v>
      </c>
      <c r="C81" s="252">
        <v>9</v>
      </c>
      <c r="D81" s="252" t="s">
        <v>86</v>
      </c>
      <c r="E81" s="270">
        <v>51223</v>
      </c>
      <c r="F81" s="270">
        <v>74245</v>
      </c>
      <c r="G81" s="270">
        <f>F81-E81</f>
        <v>23022</v>
      </c>
      <c r="H81" s="1758">
        <f>G81/G9/10</f>
        <v>0.91977626847782656</v>
      </c>
    </row>
    <row r="82" spans="1:8" ht="14.65" hidden="1" customHeight="1" x14ac:dyDescent="0.25">
      <c r="A82" s="15"/>
      <c r="B82" s="21"/>
      <c r="C82" s="254"/>
      <c r="D82" s="254"/>
      <c r="E82" s="276" t="e">
        <f>E81/(E11)*100</f>
        <v>#DIV/0!</v>
      </c>
      <c r="H82" s="1728"/>
    </row>
    <row r="83" spans="1:8" ht="14.65" hidden="1" customHeight="1" x14ac:dyDescent="0.25">
      <c r="A83" s="8"/>
      <c r="B83" s="237" t="s">
        <v>57</v>
      </c>
      <c r="C83" s="257">
        <v>18</v>
      </c>
      <c r="D83" s="257"/>
      <c r="E83" s="277">
        <v>0</v>
      </c>
      <c r="H83" s="1728"/>
    </row>
    <row r="84" spans="1:8" ht="14.65" hidden="1" customHeight="1" x14ac:dyDescent="0.25">
      <c r="A84" s="15"/>
      <c r="B84" s="22"/>
      <c r="C84" s="258"/>
      <c r="D84" s="258"/>
      <c r="E84" s="278" t="e">
        <f>E83/(E12)*100</f>
        <v>#DIV/0!</v>
      </c>
      <c r="H84" s="1728"/>
    </row>
    <row r="85" spans="1:8" x14ac:dyDescent="0.25">
      <c r="A85" s="15"/>
      <c r="B85" s="235" t="s">
        <v>55</v>
      </c>
      <c r="C85" s="253" t="s">
        <v>1013</v>
      </c>
      <c r="D85" s="252" t="s">
        <v>86</v>
      </c>
      <c r="E85" s="271">
        <v>539.5</v>
      </c>
      <c r="F85" s="290">
        <v>1342.1</v>
      </c>
      <c r="G85" s="1734">
        <f>F85-E85</f>
        <v>802.59999999999991</v>
      </c>
      <c r="H85" s="1853">
        <f>G85/G9/10</f>
        <v>3.2065521374350772E-2</v>
      </c>
    </row>
    <row r="86" spans="1:8" ht="15" hidden="1" customHeight="1" thickBot="1" x14ac:dyDescent="0.3">
      <c r="A86" s="19"/>
      <c r="B86" s="24"/>
      <c r="C86" s="254"/>
      <c r="D86" s="254"/>
      <c r="E86" s="279"/>
      <c r="H86" s="1728"/>
    </row>
    <row r="87" spans="1:8" x14ac:dyDescent="0.25">
      <c r="A87" s="138">
        <v>3</v>
      </c>
      <c r="B87" s="239" t="s">
        <v>168</v>
      </c>
      <c r="C87" s="1858" t="s">
        <v>1015</v>
      </c>
      <c r="D87" s="240" t="s">
        <v>25</v>
      </c>
      <c r="E87" s="280"/>
      <c r="F87" s="1708"/>
      <c r="G87" s="280">
        <f>((SUM(G19+G26))-(SUM(G9)))/(SUM(G9))*100</f>
        <v>-1.963244107071509</v>
      </c>
      <c r="H87" s="1730"/>
    </row>
    <row r="88" spans="1:8" x14ac:dyDescent="0.25">
      <c r="A88" s="138"/>
      <c r="B88" s="309"/>
      <c r="C88" s="310"/>
      <c r="D88" s="310"/>
      <c r="E88" s="312"/>
      <c r="G88" s="312">
        <f>G87%*G9</f>
        <v>-49.139999999999873</v>
      </c>
      <c r="H88" s="1728"/>
    </row>
    <row r="89" spans="1:8" x14ac:dyDescent="0.25">
      <c r="A89" s="69"/>
      <c r="B89" s="235" t="s">
        <v>54</v>
      </c>
      <c r="C89" s="1859" t="s">
        <v>1014</v>
      </c>
      <c r="D89" s="1711" t="s">
        <v>25</v>
      </c>
      <c r="E89" s="281"/>
      <c r="F89" s="1712"/>
      <c r="G89" s="281">
        <v>21.66</v>
      </c>
      <c r="H89" s="1731"/>
    </row>
    <row r="90" spans="1:8" ht="15.75" thickBot="1" x14ac:dyDescent="0.3">
      <c r="A90" s="85"/>
      <c r="B90" s="86" t="s">
        <v>53</v>
      </c>
      <c r="C90" s="254"/>
      <c r="D90" s="254"/>
      <c r="E90" s="1735"/>
      <c r="F90" s="1736"/>
      <c r="G90" s="1735">
        <f>SUM(G81,G83)+(G89%*SUM(G81,G83))</f>
        <v>28008.565200000001</v>
      </c>
      <c r="H90" s="1737"/>
    </row>
    <row r="91" spans="1:8" ht="15" hidden="1" customHeight="1" thickBot="1" x14ac:dyDescent="0.3">
      <c r="A91" s="8">
        <v>4</v>
      </c>
      <c r="B91" s="47" t="s">
        <v>52</v>
      </c>
      <c r="C91" s="48"/>
      <c r="D91" s="1857"/>
      <c r="E91" s="272"/>
      <c r="H91" s="1728"/>
    </row>
    <row r="92" spans="1:8" ht="15" hidden="1" customHeight="1" thickBot="1" x14ac:dyDescent="0.3">
      <c r="A92" s="8"/>
      <c r="B92" s="26" t="s">
        <v>51</v>
      </c>
      <c r="C92" s="88"/>
      <c r="D92" s="88"/>
      <c r="E92" s="282"/>
      <c r="H92" s="1728"/>
    </row>
    <row r="93" spans="1:8" ht="15" hidden="1" customHeight="1" thickBot="1" x14ac:dyDescent="0.3">
      <c r="A93" s="15"/>
      <c r="B93" s="28" t="s">
        <v>46</v>
      </c>
      <c r="C93" s="90"/>
      <c r="D93" s="90"/>
      <c r="E93" s="283"/>
      <c r="H93" s="1728"/>
    </row>
    <row r="94" spans="1:8" ht="15" hidden="1" customHeight="1" thickBot="1" x14ac:dyDescent="0.3">
      <c r="A94" s="15"/>
      <c r="B94" s="30" t="s">
        <v>39</v>
      </c>
      <c r="C94" s="61"/>
      <c r="D94" s="61"/>
      <c r="E94" s="34">
        <v>0</v>
      </c>
      <c r="H94" s="1728"/>
    </row>
    <row r="95" spans="1:8" ht="15" hidden="1" customHeight="1" thickBot="1" x14ac:dyDescent="0.3">
      <c r="A95" s="15"/>
      <c r="B95" s="30" t="s">
        <v>38</v>
      </c>
      <c r="C95" s="61"/>
      <c r="D95" s="61"/>
      <c r="E95" s="34">
        <v>0</v>
      </c>
      <c r="H95" s="1728"/>
    </row>
    <row r="96" spans="1:8" ht="15" hidden="1" customHeight="1" thickBot="1" x14ac:dyDescent="0.3">
      <c r="A96" s="15"/>
      <c r="B96" s="30" t="s">
        <v>50</v>
      </c>
      <c r="C96" s="61"/>
      <c r="D96" s="61"/>
      <c r="E96" s="34">
        <v>0</v>
      </c>
      <c r="H96" s="1728"/>
    </row>
    <row r="97" spans="1:8" ht="15" hidden="1" customHeight="1" thickBot="1" x14ac:dyDescent="0.3">
      <c r="A97" s="15"/>
      <c r="B97" s="30" t="s">
        <v>29</v>
      </c>
      <c r="C97" s="61"/>
      <c r="D97" s="61"/>
      <c r="E97" s="33"/>
      <c r="H97" s="1728"/>
    </row>
    <row r="98" spans="1:8" ht="15" hidden="1" customHeight="1" thickBot="1" x14ac:dyDescent="0.3">
      <c r="A98" s="17"/>
      <c r="B98" s="31" t="s">
        <v>49</v>
      </c>
      <c r="C98" s="54"/>
      <c r="D98" s="54"/>
      <c r="E98" s="33"/>
      <c r="H98" s="1728"/>
    </row>
    <row r="99" spans="1:8" ht="15" hidden="1" customHeight="1" thickBot="1" x14ac:dyDescent="0.3">
      <c r="A99" s="17"/>
      <c r="B99" s="31" t="s">
        <v>48</v>
      </c>
      <c r="C99" s="54"/>
      <c r="D99" s="54"/>
      <c r="E99" s="33"/>
      <c r="H99" s="1728"/>
    </row>
    <row r="100" spans="1:8" ht="15" hidden="1" customHeight="1" thickBot="1" x14ac:dyDescent="0.3">
      <c r="A100" s="15"/>
      <c r="B100" s="30" t="s">
        <v>28</v>
      </c>
      <c r="C100" s="61"/>
      <c r="D100" s="61"/>
      <c r="E100" s="33"/>
      <c r="H100" s="1728"/>
    </row>
    <row r="101" spans="1:8" ht="15" hidden="1" customHeight="1" thickBot="1" x14ac:dyDescent="0.3">
      <c r="A101" s="15"/>
      <c r="B101" s="14" t="s">
        <v>49</v>
      </c>
      <c r="C101" s="61"/>
      <c r="D101" s="61"/>
      <c r="E101" s="33">
        <v>0</v>
      </c>
      <c r="H101" s="1728"/>
    </row>
    <row r="102" spans="1:8" ht="15" hidden="1" customHeight="1" thickBot="1" x14ac:dyDescent="0.3">
      <c r="A102" s="15"/>
      <c r="B102" s="14" t="s">
        <v>48</v>
      </c>
      <c r="C102" s="61"/>
      <c r="D102" s="61"/>
      <c r="E102" s="33">
        <v>0</v>
      </c>
      <c r="H102" s="1728"/>
    </row>
    <row r="103" spans="1:8" ht="15" hidden="1" customHeight="1" thickBot="1" x14ac:dyDescent="0.3">
      <c r="A103" s="15"/>
      <c r="B103" s="30" t="s">
        <v>36</v>
      </c>
      <c r="C103" s="61"/>
      <c r="D103" s="61"/>
      <c r="E103" s="284">
        <v>0</v>
      </c>
      <c r="H103" s="1728"/>
    </row>
    <row r="104" spans="1:8" ht="15" hidden="1" customHeight="1" thickBot="1" x14ac:dyDescent="0.3">
      <c r="A104" s="15"/>
      <c r="B104" s="30" t="s">
        <v>34</v>
      </c>
      <c r="C104" s="61"/>
      <c r="D104" s="61"/>
      <c r="E104" s="33">
        <v>0</v>
      </c>
      <c r="H104" s="1728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728"/>
    </row>
    <row r="106" spans="1:8" ht="15" hidden="1" customHeight="1" thickBot="1" x14ac:dyDescent="0.3">
      <c r="A106" s="15"/>
      <c r="B106" s="30" t="s">
        <v>29</v>
      </c>
      <c r="C106" s="61"/>
      <c r="D106" s="61"/>
      <c r="E106" s="33"/>
      <c r="H106" s="1728"/>
    </row>
    <row r="107" spans="1:8" ht="15" hidden="1" customHeight="1" thickBot="1" x14ac:dyDescent="0.3">
      <c r="A107" s="15"/>
      <c r="B107" s="14" t="s">
        <v>49</v>
      </c>
      <c r="C107" s="61"/>
      <c r="D107" s="61"/>
      <c r="E107" s="33"/>
      <c r="H107" s="1728"/>
    </row>
    <row r="108" spans="1:8" ht="15" hidden="1" customHeight="1" thickBot="1" x14ac:dyDescent="0.3">
      <c r="A108" s="15"/>
      <c r="B108" s="14" t="s">
        <v>48</v>
      </c>
      <c r="C108" s="61"/>
      <c r="D108" s="61"/>
      <c r="E108" s="33"/>
      <c r="H108" s="1728"/>
    </row>
    <row r="109" spans="1:8" ht="15" hidden="1" customHeight="1" thickBot="1" x14ac:dyDescent="0.3">
      <c r="A109" s="15"/>
      <c r="B109" s="30" t="s">
        <v>28</v>
      </c>
      <c r="C109" s="61"/>
      <c r="D109" s="61"/>
      <c r="E109" s="33"/>
      <c r="H109" s="1728"/>
    </row>
    <row r="110" spans="1:8" ht="15" hidden="1" customHeight="1" thickBot="1" x14ac:dyDescent="0.3">
      <c r="A110" s="15"/>
      <c r="B110" s="14" t="s">
        <v>49</v>
      </c>
      <c r="C110" s="61"/>
      <c r="D110" s="61"/>
      <c r="E110" s="33">
        <v>0</v>
      </c>
      <c r="H110" s="1728"/>
    </row>
    <row r="111" spans="1:8" ht="15" hidden="1" customHeight="1" thickBot="1" x14ac:dyDescent="0.3">
      <c r="A111" s="15"/>
      <c r="B111" s="14" t="s">
        <v>48</v>
      </c>
      <c r="C111" s="61"/>
      <c r="D111" s="61"/>
      <c r="E111" s="33">
        <v>0</v>
      </c>
      <c r="H111" s="1728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728"/>
    </row>
    <row r="113" spans="1:8" ht="15" hidden="1" customHeight="1" thickBot="1" x14ac:dyDescent="0.3">
      <c r="A113" s="15"/>
      <c r="B113" s="30" t="s">
        <v>29</v>
      </c>
      <c r="C113" s="61"/>
      <c r="D113" s="61"/>
      <c r="E113" s="33"/>
      <c r="H113" s="1728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728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728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728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728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728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728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728"/>
    </row>
    <row r="121" spans="1:8" ht="15" hidden="1" customHeight="1" thickBot="1" x14ac:dyDescent="0.3">
      <c r="A121" s="15"/>
      <c r="B121" s="30" t="s">
        <v>39</v>
      </c>
      <c r="C121" s="61"/>
      <c r="D121" s="61"/>
      <c r="E121" s="34">
        <v>0</v>
      </c>
      <c r="H121" s="1728"/>
    </row>
    <row r="122" spans="1:8" ht="15" hidden="1" customHeight="1" thickBot="1" x14ac:dyDescent="0.3">
      <c r="A122" s="15"/>
      <c r="B122" s="30" t="s">
        <v>38</v>
      </c>
      <c r="C122" s="61"/>
      <c r="D122" s="61"/>
      <c r="E122" s="34">
        <v>0</v>
      </c>
      <c r="H122" s="1728"/>
    </row>
    <row r="123" spans="1:8" ht="15" hidden="1" customHeight="1" thickBot="1" x14ac:dyDescent="0.3">
      <c r="A123" s="15"/>
      <c r="B123" s="30" t="s">
        <v>50</v>
      </c>
      <c r="C123" s="61"/>
      <c r="D123" s="61"/>
      <c r="E123" s="34">
        <v>0</v>
      </c>
      <c r="H123" s="1728"/>
    </row>
    <row r="124" spans="1:8" ht="15" hidden="1" customHeight="1" thickBot="1" x14ac:dyDescent="0.3">
      <c r="A124" s="15"/>
      <c r="B124" s="30" t="s">
        <v>29</v>
      </c>
      <c r="C124" s="61"/>
      <c r="D124" s="61"/>
      <c r="E124" s="33"/>
      <c r="H124" s="1728"/>
    </row>
    <row r="125" spans="1:8" ht="15" hidden="1" customHeight="1" thickBot="1" x14ac:dyDescent="0.3">
      <c r="A125" s="17"/>
      <c r="B125" s="11" t="s">
        <v>45</v>
      </c>
      <c r="C125" s="54"/>
      <c r="D125" s="54"/>
      <c r="E125" s="33"/>
      <c r="H125" s="1728"/>
    </row>
    <row r="126" spans="1:8" ht="15" hidden="1" customHeight="1" thickBot="1" x14ac:dyDescent="0.3">
      <c r="A126" s="17"/>
      <c r="B126" s="11" t="s">
        <v>44</v>
      </c>
      <c r="C126" s="54"/>
      <c r="D126" s="54"/>
      <c r="E126" s="33"/>
      <c r="H126" s="1728"/>
    </row>
    <row r="127" spans="1:8" ht="15" hidden="1" customHeight="1" thickBot="1" x14ac:dyDescent="0.3">
      <c r="A127" s="15"/>
      <c r="B127" s="30" t="s">
        <v>28</v>
      </c>
      <c r="C127" s="61"/>
      <c r="D127" s="61"/>
      <c r="E127" s="33"/>
      <c r="H127" s="1728"/>
    </row>
    <row r="128" spans="1:8" ht="15" hidden="1" customHeight="1" thickBot="1" x14ac:dyDescent="0.3">
      <c r="A128" s="15"/>
      <c r="B128" s="11" t="s">
        <v>45</v>
      </c>
      <c r="C128" s="61"/>
      <c r="D128" s="61"/>
      <c r="E128" s="33">
        <v>0</v>
      </c>
      <c r="H128" s="1728"/>
    </row>
    <row r="129" spans="1:8" ht="15" hidden="1" customHeight="1" thickBot="1" x14ac:dyDescent="0.3">
      <c r="A129" s="15"/>
      <c r="B129" s="11" t="s">
        <v>44</v>
      </c>
      <c r="C129" s="61"/>
      <c r="D129" s="61"/>
      <c r="E129" s="33">
        <v>0</v>
      </c>
      <c r="H129" s="1728"/>
    </row>
    <row r="130" spans="1:8" ht="15" hidden="1" customHeight="1" thickBot="1" x14ac:dyDescent="0.3">
      <c r="A130" s="15"/>
      <c r="B130" s="30" t="s">
        <v>36</v>
      </c>
      <c r="C130" s="61"/>
      <c r="D130" s="61"/>
      <c r="E130" s="33">
        <v>0</v>
      </c>
      <c r="H130" s="1728"/>
    </row>
    <row r="131" spans="1:8" ht="15" hidden="1" customHeight="1" thickBot="1" x14ac:dyDescent="0.3">
      <c r="A131" s="15"/>
      <c r="B131" s="30" t="s">
        <v>34</v>
      </c>
      <c r="C131" s="61"/>
      <c r="D131" s="61"/>
      <c r="E131" s="33">
        <v>0</v>
      </c>
      <c r="H131" s="1728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728"/>
    </row>
    <row r="133" spans="1:8" ht="15" hidden="1" customHeight="1" thickBot="1" x14ac:dyDescent="0.3">
      <c r="A133" s="15"/>
      <c r="B133" s="30" t="s">
        <v>29</v>
      </c>
      <c r="C133" s="61"/>
      <c r="D133" s="61"/>
      <c r="E133" s="33"/>
      <c r="H133" s="1728"/>
    </row>
    <row r="134" spans="1:8" ht="15" hidden="1" customHeight="1" thickBot="1" x14ac:dyDescent="0.3">
      <c r="A134" s="15"/>
      <c r="B134" s="11" t="s">
        <v>45</v>
      </c>
      <c r="C134" s="61"/>
      <c r="D134" s="61"/>
      <c r="E134" s="33"/>
      <c r="H134" s="1728"/>
    </row>
    <row r="135" spans="1:8" ht="15" hidden="1" customHeight="1" thickBot="1" x14ac:dyDescent="0.3">
      <c r="A135" s="15"/>
      <c r="B135" s="11" t="s">
        <v>44</v>
      </c>
      <c r="C135" s="61"/>
      <c r="D135" s="61"/>
      <c r="E135" s="33"/>
      <c r="H135" s="1728"/>
    </row>
    <row r="136" spans="1:8" ht="15" hidden="1" customHeight="1" thickBot="1" x14ac:dyDescent="0.3">
      <c r="A136" s="15"/>
      <c r="B136" s="30" t="s">
        <v>28</v>
      </c>
      <c r="C136" s="61"/>
      <c r="D136" s="61"/>
      <c r="E136" s="33"/>
      <c r="H136" s="1728"/>
    </row>
    <row r="137" spans="1:8" ht="15" hidden="1" customHeight="1" thickBot="1" x14ac:dyDescent="0.3">
      <c r="A137" s="15"/>
      <c r="B137" s="11" t="s">
        <v>45</v>
      </c>
      <c r="C137" s="61"/>
      <c r="D137" s="61"/>
      <c r="E137" s="33">
        <v>0</v>
      </c>
      <c r="H137" s="1728"/>
    </row>
    <row r="138" spans="1:8" ht="15" hidden="1" customHeight="1" thickBot="1" x14ac:dyDescent="0.3">
      <c r="A138" s="15"/>
      <c r="B138" s="11" t="s">
        <v>44</v>
      </c>
      <c r="C138" s="61"/>
      <c r="D138" s="61"/>
      <c r="E138" s="33">
        <v>0</v>
      </c>
      <c r="H138" s="1728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728"/>
    </row>
    <row r="140" spans="1:8" ht="15" hidden="1" customHeight="1" thickBot="1" x14ac:dyDescent="0.3">
      <c r="A140" s="15"/>
      <c r="B140" s="30" t="s">
        <v>29</v>
      </c>
      <c r="C140" s="61"/>
      <c r="D140" s="61"/>
      <c r="E140" s="33"/>
      <c r="H140" s="1728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728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728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728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728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728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5"/>
      <c r="H146" s="1728"/>
    </row>
    <row r="147" spans="1:8" ht="15" hidden="1" customHeight="1" thickBot="1" x14ac:dyDescent="0.3">
      <c r="A147" s="15"/>
      <c r="B147" s="28" t="s">
        <v>114</v>
      </c>
      <c r="C147" s="126"/>
      <c r="D147" s="126"/>
      <c r="E147" s="42"/>
      <c r="H147" s="1728"/>
    </row>
    <row r="148" spans="1:8" ht="15" hidden="1" customHeight="1" thickBot="1" x14ac:dyDescent="0.3">
      <c r="A148" s="15"/>
      <c r="B148" s="28" t="s">
        <v>115</v>
      </c>
      <c r="C148" s="126"/>
      <c r="D148" s="126"/>
      <c r="E148" s="34"/>
      <c r="H148" s="1728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728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728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728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728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728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728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728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728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728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728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728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728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728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728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728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728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728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728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728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728"/>
    </row>
    <row r="169" spans="1:8" ht="15" hidden="1" customHeight="1" thickBot="1" x14ac:dyDescent="0.3">
      <c r="A169" s="15"/>
      <c r="B169" s="11" t="s">
        <v>91</v>
      </c>
      <c r="C169" s="126"/>
      <c r="D169" s="126"/>
      <c r="E169" s="33" t="e">
        <v>#DIV/0!</v>
      </c>
      <c r="H169" s="1728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728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728"/>
    </row>
    <row r="172" spans="1:8" ht="15" hidden="1" customHeight="1" thickBot="1" x14ac:dyDescent="0.3">
      <c r="A172" s="19"/>
      <c r="B172" s="11" t="s">
        <v>91</v>
      </c>
      <c r="C172" s="126"/>
      <c r="D172" s="126"/>
      <c r="E172" s="33" t="e">
        <v>#DIV/0!</v>
      </c>
      <c r="H172" s="1728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728"/>
    </row>
    <row r="174" spans="1:8" ht="15" hidden="1" customHeight="1" thickBot="1" x14ac:dyDescent="0.3">
      <c r="A174" s="15"/>
      <c r="B174" s="28" t="s">
        <v>115</v>
      </c>
      <c r="C174" s="90"/>
      <c r="D174" s="90"/>
      <c r="E174" s="42"/>
      <c r="H174" s="1728"/>
    </row>
    <row r="175" spans="1:8" ht="15" hidden="1" customHeight="1" thickBot="1" x14ac:dyDescent="0.3">
      <c r="A175" s="15"/>
      <c r="B175" s="30" t="s">
        <v>39</v>
      </c>
      <c r="C175" s="61"/>
      <c r="D175" s="61"/>
      <c r="E175" s="34">
        <v>0</v>
      </c>
      <c r="H175" s="1728"/>
    </row>
    <row r="176" spans="1:8" ht="15" hidden="1" customHeight="1" thickBot="1" x14ac:dyDescent="0.3">
      <c r="A176" s="15"/>
      <c r="B176" s="30" t="s">
        <v>38</v>
      </c>
      <c r="C176" s="61"/>
      <c r="D176" s="61"/>
      <c r="E176" s="34">
        <v>0</v>
      </c>
      <c r="H176" s="1728"/>
    </row>
    <row r="177" spans="1:8" ht="15" hidden="1" customHeight="1" thickBot="1" x14ac:dyDescent="0.3">
      <c r="A177" s="15"/>
      <c r="B177" s="30" t="s">
        <v>29</v>
      </c>
      <c r="C177" s="61"/>
      <c r="D177" s="61"/>
      <c r="E177" s="33"/>
      <c r="H177" s="1728"/>
    </row>
    <row r="178" spans="1:8" ht="15" hidden="1" customHeight="1" thickBot="1" x14ac:dyDescent="0.3">
      <c r="A178" s="15"/>
      <c r="B178" s="11" t="s">
        <v>116</v>
      </c>
      <c r="C178" s="61"/>
      <c r="D178" s="61"/>
      <c r="E178" s="33"/>
      <c r="H178" s="1728"/>
    </row>
    <row r="179" spans="1:8" ht="15" hidden="1" customHeight="1" thickBot="1" x14ac:dyDescent="0.3">
      <c r="A179" s="17"/>
      <c r="B179" s="11" t="s">
        <v>27</v>
      </c>
      <c r="C179" s="54"/>
      <c r="D179" s="54"/>
      <c r="E179" s="33"/>
      <c r="H179" s="1728"/>
    </row>
    <row r="180" spans="1:8" ht="15" hidden="1" customHeight="1" thickBot="1" x14ac:dyDescent="0.3">
      <c r="A180" s="17"/>
      <c r="B180" s="11" t="s">
        <v>26</v>
      </c>
      <c r="C180" s="54"/>
      <c r="D180" s="54"/>
      <c r="E180" s="33"/>
      <c r="H180" s="1728"/>
    </row>
    <row r="181" spans="1:8" ht="15" hidden="1" customHeight="1" thickBot="1" x14ac:dyDescent="0.3">
      <c r="A181" s="17"/>
      <c r="B181" s="11" t="s">
        <v>37</v>
      </c>
      <c r="C181" s="54"/>
      <c r="D181" s="54"/>
      <c r="E181" s="33"/>
      <c r="H181" s="1728"/>
    </row>
    <row r="182" spans="1:8" ht="15" hidden="1" customHeight="1" thickBot="1" x14ac:dyDescent="0.3">
      <c r="A182" s="15"/>
      <c r="B182" s="30" t="s">
        <v>28</v>
      </c>
      <c r="C182" s="61"/>
      <c r="D182" s="61"/>
      <c r="E182" s="33"/>
      <c r="H182" s="1728"/>
    </row>
    <row r="183" spans="1:8" ht="15" hidden="1" customHeight="1" thickBot="1" x14ac:dyDescent="0.3">
      <c r="A183" s="15"/>
      <c r="B183" s="11" t="s">
        <v>116</v>
      </c>
      <c r="C183" s="61"/>
      <c r="D183" s="61"/>
      <c r="E183" s="33">
        <v>0</v>
      </c>
      <c r="H183" s="1728"/>
    </row>
    <row r="184" spans="1:8" ht="15" hidden="1" customHeight="1" thickBot="1" x14ac:dyDescent="0.3">
      <c r="A184" s="15"/>
      <c r="B184" s="11" t="s">
        <v>27</v>
      </c>
      <c r="C184" s="61"/>
      <c r="D184" s="61"/>
      <c r="E184" s="33">
        <v>0</v>
      </c>
      <c r="H184" s="1728"/>
    </row>
    <row r="185" spans="1:8" ht="15" hidden="1" customHeight="1" thickBot="1" x14ac:dyDescent="0.3">
      <c r="A185" s="15"/>
      <c r="B185" s="11" t="s">
        <v>26</v>
      </c>
      <c r="C185" s="61"/>
      <c r="D185" s="61"/>
      <c r="E185" s="33">
        <v>0</v>
      </c>
      <c r="H185" s="1728"/>
    </row>
    <row r="186" spans="1:8" ht="15" hidden="1" customHeight="1" thickBot="1" x14ac:dyDescent="0.3">
      <c r="A186" s="15"/>
      <c r="B186" s="11" t="s">
        <v>37</v>
      </c>
      <c r="C186" s="61"/>
      <c r="D186" s="61"/>
      <c r="E186" s="33">
        <v>0</v>
      </c>
      <c r="H186" s="1728"/>
    </row>
    <row r="187" spans="1:8" ht="15" hidden="1" customHeight="1" thickBot="1" x14ac:dyDescent="0.3">
      <c r="A187" s="15"/>
      <c r="B187" s="30" t="s">
        <v>36</v>
      </c>
      <c r="C187" s="61"/>
      <c r="D187" s="61"/>
      <c r="E187" s="33">
        <v>0</v>
      </c>
      <c r="H187" s="1728"/>
    </row>
    <row r="188" spans="1:8" ht="15" hidden="1" customHeight="1" thickBot="1" x14ac:dyDescent="0.3">
      <c r="A188" s="15"/>
      <c r="B188" s="30" t="s">
        <v>34</v>
      </c>
      <c r="C188" s="61"/>
      <c r="D188" s="61"/>
      <c r="E188" s="33">
        <v>0</v>
      </c>
      <c r="H188" s="1728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728"/>
    </row>
    <row r="190" spans="1:8" ht="15" hidden="1" customHeight="1" thickBot="1" x14ac:dyDescent="0.3">
      <c r="A190" s="15"/>
      <c r="B190" s="30" t="s">
        <v>29</v>
      </c>
      <c r="C190" s="61"/>
      <c r="D190" s="61"/>
      <c r="E190" s="33"/>
      <c r="H190" s="1728"/>
    </row>
    <row r="191" spans="1:8" ht="15" hidden="1" customHeight="1" thickBot="1" x14ac:dyDescent="0.3">
      <c r="A191" s="15"/>
      <c r="B191" s="11" t="s">
        <v>116</v>
      </c>
      <c r="C191" s="61"/>
      <c r="D191" s="61"/>
      <c r="E191" s="33">
        <v>0</v>
      </c>
      <c r="H191" s="1728"/>
    </row>
    <row r="192" spans="1:8" ht="15" hidden="1" customHeight="1" thickBot="1" x14ac:dyDescent="0.3">
      <c r="A192" s="15"/>
      <c r="B192" s="11" t="s">
        <v>27</v>
      </c>
      <c r="C192" s="61"/>
      <c r="D192" s="61"/>
      <c r="E192" s="33">
        <v>0</v>
      </c>
      <c r="H192" s="1728"/>
    </row>
    <row r="193" spans="1:8" ht="15" hidden="1" customHeight="1" thickBot="1" x14ac:dyDescent="0.3">
      <c r="A193" s="15"/>
      <c r="B193" s="11" t="s">
        <v>26</v>
      </c>
      <c r="C193" s="61"/>
      <c r="D193" s="61"/>
      <c r="E193" s="33">
        <v>0</v>
      </c>
      <c r="H193" s="1728"/>
    </row>
    <row r="194" spans="1:8" ht="15" hidden="1" customHeight="1" thickBot="1" x14ac:dyDescent="0.3">
      <c r="A194" s="15"/>
      <c r="B194" s="30" t="s">
        <v>28</v>
      </c>
      <c r="C194" s="61"/>
      <c r="D194" s="61"/>
      <c r="E194" s="33"/>
      <c r="H194" s="1728"/>
    </row>
    <row r="195" spans="1:8" ht="15" hidden="1" customHeight="1" thickBot="1" x14ac:dyDescent="0.3">
      <c r="A195" s="15"/>
      <c r="B195" s="11" t="s">
        <v>116</v>
      </c>
      <c r="C195" s="61"/>
      <c r="D195" s="61"/>
      <c r="E195" s="33">
        <v>0</v>
      </c>
      <c r="H195" s="1728"/>
    </row>
    <row r="196" spans="1:8" ht="15" hidden="1" customHeight="1" thickBot="1" x14ac:dyDescent="0.3">
      <c r="A196" s="15"/>
      <c r="B196" s="11" t="s">
        <v>27</v>
      </c>
      <c r="C196" s="61"/>
      <c r="D196" s="61"/>
      <c r="E196" s="33">
        <v>0</v>
      </c>
      <c r="H196" s="1728"/>
    </row>
    <row r="197" spans="1:8" ht="15" hidden="1" customHeight="1" thickBot="1" x14ac:dyDescent="0.3">
      <c r="A197" s="15"/>
      <c r="B197" s="11" t="s">
        <v>26</v>
      </c>
      <c r="C197" s="61"/>
      <c r="D197" s="61"/>
      <c r="E197" s="33">
        <v>0</v>
      </c>
      <c r="H197" s="1728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728"/>
    </row>
    <row r="199" spans="1:8" ht="15" hidden="1" customHeight="1" thickBot="1" x14ac:dyDescent="0.3">
      <c r="A199" s="15"/>
      <c r="B199" s="30" t="s">
        <v>29</v>
      </c>
      <c r="C199" s="61"/>
      <c r="D199" s="61"/>
      <c r="E199" s="33"/>
      <c r="H199" s="1728"/>
    </row>
    <row r="200" spans="1:8" ht="15" hidden="1" customHeight="1" thickBot="1" x14ac:dyDescent="0.3">
      <c r="A200" s="15"/>
      <c r="B200" s="11" t="s">
        <v>116</v>
      </c>
      <c r="C200" s="126">
        <v>0.3</v>
      </c>
      <c r="D200" s="126"/>
      <c r="E200" s="34" t="e">
        <v>#DIV/0!</v>
      </c>
      <c r="H200" s="1728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728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728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728"/>
    </row>
    <row r="204" spans="1:8" ht="15" hidden="1" customHeight="1" thickBot="1" x14ac:dyDescent="0.3">
      <c r="A204" s="15"/>
      <c r="B204" s="11" t="s">
        <v>116</v>
      </c>
      <c r="C204" s="126">
        <v>0.5</v>
      </c>
      <c r="D204" s="126"/>
      <c r="E204" s="34" t="e">
        <v>#DIV/0!</v>
      </c>
      <c r="H204" s="1728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728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728"/>
    </row>
    <row r="207" spans="1:8" ht="15" hidden="1" customHeight="1" thickBot="1" x14ac:dyDescent="0.3">
      <c r="A207" s="8">
        <v>7</v>
      </c>
      <c r="B207" s="47" t="s">
        <v>87</v>
      </c>
      <c r="C207" s="127"/>
      <c r="D207" s="127"/>
      <c r="E207" s="286"/>
      <c r="H207" s="1728"/>
    </row>
    <row r="208" spans="1:8" ht="15" hidden="1" customHeight="1" thickBot="1" x14ac:dyDescent="0.3">
      <c r="A208" s="15"/>
      <c r="B208" s="26" t="s">
        <v>92</v>
      </c>
      <c r="C208" s="126"/>
      <c r="D208" s="126"/>
      <c r="E208" s="42"/>
      <c r="H208" s="1728"/>
    </row>
    <row r="209" spans="1:8" ht="15" hidden="1" customHeight="1" thickBot="1" x14ac:dyDescent="0.3">
      <c r="A209" s="15"/>
      <c r="B209" s="11" t="s">
        <v>93</v>
      </c>
      <c r="C209" s="126"/>
      <c r="D209" s="126"/>
      <c r="E209" s="34"/>
      <c r="H209" s="1728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728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728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728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728"/>
    </row>
    <row r="214" spans="1:8" ht="15" hidden="1" customHeight="1" thickBot="1" x14ac:dyDescent="0.3">
      <c r="A214" s="15"/>
      <c r="B214" s="11" t="s">
        <v>88</v>
      </c>
      <c r="C214" s="126"/>
      <c r="D214" s="126"/>
      <c r="E214" s="33"/>
      <c r="H214" s="1728"/>
    </row>
    <row r="215" spans="1:8" ht="15" hidden="1" customHeight="1" thickBot="1" x14ac:dyDescent="0.3">
      <c r="A215" s="15"/>
      <c r="B215" s="11" t="s">
        <v>117</v>
      </c>
      <c r="C215" s="126"/>
      <c r="D215" s="126"/>
      <c r="E215" s="33"/>
      <c r="H215" s="1728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728"/>
    </row>
    <row r="217" spans="1:8" ht="15" hidden="1" customHeight="1" thickBot="1" x14ac:dyDescent="0.3">
      <c r="A217" s="15"/>
      <c r="B217" s="11" t="s">
        <v>88</v>
      </c>
      <c r="C217" s="126"/>
      <c r="D217" s="126"/>
      <c r="E217" s="33">
        <v>0</v>
      </c>
      <c r="H217" s="1728"/>
    </row>
    <row r="218" spans="1:8" ht="15" hidden="1" customHeight="1" thickBot="1" x14ac:dyDescent="0.3">
      <c r="A218" s="15"/>
      <c r="B218" s="11" t="s">
        <v>117</v>
      </c>
      <c r="C218" s="126"/>
      <c r="D218" s="126"/>
      <c r="E218" s="33">
        <v>0</v>
      </c>
      <c r="H218" s="1728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728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728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7"/>
      <c r="H221" s="1728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728"/>
    </row>
    <row r="223" spans="1:8" ht="15" hidden="1" customHeight="1" thickBot="1" x14ac:dyDescent="0.3">
      <c r="A223" s="15"/>
      <c r="B223" s="11" t="s">
        <v>88</v>
      </c>
      <c r="C223" s="126"/>
      <c r="D223" s="126"/>
      <c r="E223" s="33"/>
      <c r="H223" s="1728"/>
    </row>
    <row r="224" spans="1:8" ht="15" hidden="1" customHeight="1" thickBot="1" x14ac:dyDescent="0.3">
      <c r="A224" s="15"/>
      <c r="B224" s="11" t="s">
        <v>117</v>
      </c>
      <c r="C224" s="126"/>
      <c r="D224" s="126"/>
      <c r="E224" s="33"/>
      <c r="H224" s="1728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728"/>
    </row>
    <row r="226" spans="1:8" ht="15" hidden="1" customHeight="1" thickBot="1" x14ac:dyDescent="0.3">
      <c r="A226" s="15"/>
      <c r="B226" s="11" t="s">
        <v>88</v>
      </c>
      <c r="C226" s="126"/>
      <c r="D226" s="126"/>
      <c r="E226" s="33">
        <v>0</v>
      </c>
      <c r="H226" s="1728"/>
    </row>
    <row r="227" spans="1:8" ht="15" hidden="1" customHeight="1" thickBot="1" x14ac:dyDescent="0.3">
      <c r="A227" s="15"/>
      <c r="B227" s="11" t="s">
        <v>117</v>
      </c>
      <c r="C227" s="126"/>
      <c r="D227" s="126"/>
      <c r="E227" s="33">
        <v>0</v>
      </c>
      <c r="H227" s="1728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72"/>
      <c r="H228" s="1728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728"/>
    </row>
    <row r="230" spans="1:8" ht="15" hidden="1" customHeight="1" thickBot="1" x14ac:dyDescent="0.3">
      <c r="A230" s="15"/>
      <c r="B230" s="11" t="s">
        <v>88</v>
      </c>
      <c r="C230" s="126">
        <v>0.3</v>
      </c>
      <c r="D230" s="126"/>
      <c r="E230" s="33" t="e">
        <v>#DIV/0!</v>
      </c>
      <c r="H230" s="1728"/>
    </row>
    <row r="231" spans="1:8" ht="15" hidden="1" customHeight="1" thickBot="1" x14ac:dyDescent="0.3">
      <c r="A231" s="15"/>
      <c r="B231" s="11" t="s">
        <v>117</v>
      </c>
      <c r="C231" s="126">
        <v>0.3</v>
      </c>
      <c r="D231" s="126"/>
      <c r="E231" s="33" t="e">
        <v>#DIV/0!</v>
      </c>
      <c r="H231" s="1728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728"/>
    </row>
    <row r="233" spans="1:8" ht="15" hidden="1" customHeight="1" thickBot="1" x14ac:dyDescent="0.3">
      <c r="A233" s="15"/>
      <c r="B233" s="11" t="s">
        <v>88</v>
      </c>
      <c r="C233" s="126">
        <v>0.5</v>
      </c>
      <c r="D233" s="126"/>
      <c r="E233" s="33" t="e">
        <v>#DIV/0!</v>
      </c>
      <c r="H233" s="1728"/>
    </row>
    <row r="234" spans="1:8" ht="15" hidden="1" customHeight="1" thickBot="1" x14ac:dyDescent="0.3">
      <c r="A234" s="15"/>
      <c r="B234" s="11" t="s">
        <v>117</v>
      </c>
      <c r="C234" s="126">
        <v>0.5</v>
      </c>
      <c r="D234" s="126"/>
      <c r="E234" s="33" t="e">
        <v>#DIV/0!</v>
      </c>
      <c r="H234" s="1728"/>
    </row>
    <row r="235" spans="1:8" ht="15" hidden="1" customHeight="1" thickBot="1" x14ac:dyDescent="0.3">
      <c r="A235" s="15"/>
      <c r="B235" s="101" t="s">
        <v>94</v>
      </c>
      <c r="C235" s="131"/>
      <c r="D235" s="131"/>
      <c r="E235" s="288">
        <v>0</v>
      </c>
      <c r="H235" s="1728"/>
    </row>
    <row r="236" spans="1:8" ht="15" hidden="1" customHeight="1" thickBot="1" x14ac:dyDescent="0.3">
      <c r="A236" s="15"/>
      <c r="B236" s="72" t="s">
        <v>118</v>
      </c>
      <c r="C236" s="133"/>
      <c r="D236" s="133"/>
      <c r="E236" s="289">
        <v>0</v>
      </c>
      <c r="H236" s="1728"/>
    </row>
    <row r="237" spans="1:8" ht="15" hidden="1" customHeight="1" thickBot="1" x14ac:dyDescent="0.3">
      <c r="A237" s="15"/>
      <c r="B237" s="104" t="s">
        <v>89</v>
      </c>
      <c r="C237" s="134"/>
      <c r="D237" s="134"/>
      <c r="E237" s="290">
        <v>0</v>
      </c>
      <c r="H237" s="1728"/>
    </row>
    <row r="238" spans="1:8" ht="15" hidden="1" customHeight="1" thickBot="1" x14ac:dyDescent="0.3">
      <c r="A238" s="15"/>
      <c r="B238" s="107" t="s">
        <v>90</v>
      </c>
      <c r="C238" s="135"/>
      <c r="D238" s="135"/>
      <c r="E238" s="291">
        <v>0</v>
      </c>
      <c r="H238" s="1728"/>
    </row>
    <row r="239" spans="1:8" ht="15" hidden="1" customHeight="1" thickBot="1" x14ac:dyDescent="0.3">
      <c r="A239" s="15"/>
      <c r="B239" s="110" t="s">
        <v>95</v>
      </c>
      <c r="C239" s="131"/>
      <c r="D239" s="131"/>
      <c r="E239" s="292">
        <v>0</v>
      </c>
      <c r="H239" s="1728"/>
    </row>
    <row r="240" spans="1:8" ht="15.75" thickBot="1" x14ac:dyDescent="0.3">
      <c r="A240" s="1862">
        <v>4</v>
      </c>
      <c r="B240" s="1835" t="s">
        <v>24</v>
      </c>
      <c r="C240" s="1721"/>
      <c r="D240" s="1721"/>
      <c r="E240" s="1722" t="s">
        <v>945</v>
      </c>
      <c r="F240" s="1722" t="s">
        <v>946</v>
      </c>
      <c r="G240" s="1723" t="s">
        <v>188</v>
      </c>
      <c r="H240" s="1724" t="s">
        <v>1021</v>
      </c>
    </row>
    <row r="241" spans="1:18" x14ac:dyDescent="0.25">
      <c r="A241" s="69"/>
      <c r="B241" s="235" t="s">
        <v>22</v>
      </c>
      <c r="C241" s="260">
        <v>1460.001</v>
      </c>
      <c r="D241" s="260" t="s">
        <v>1016</v>
      </c>
      <c r="E241" s="293"/>
      <c r="F241" s="1712"/>
      <c r="G241" s="293">
        <v>1236.1327000000001</v>
      </c>
      <c r="H241" s="1731"/>
    </row>
    <row r="242" spans="1:18" x14ac:dyDescent="0.25">
      <c r="A242" s="8"/>
      <c r="B242" s="235" t="s">
        <v>23</v>
      </c>
      <c r="C242" s="254"/>
      <c r="D242" s="254"/>
      <c r="E242" s="293"/>
      <c r="F242" s="1712"/>
      <c r="G242" s="293">
        <v>949.19</v>
      </c>
      <c r="H242" s="1731"/>
    </row>
    <row r="243" spans="1:18" x14ac:dyDescent="0.25">
      <c r="A243" s="15"/>
      <c r="B243" s="28" t="s">
        <v>11</v>
      </c>
      <c r="C243" s="254"/>
      <c r="D243" s="254"/>
      <c r="E243" s="295"/>
      <c r="G243" s="752"/>
      <c r="H243" s="1728"/>
    </row>
    <row r="244" spans="1:18" x14ac:dyDescent="0.25">
      <c r="A244" s="15"/>
      <c r="B244" s="235" t="s">
        <v>21</v>
      </c>
      <c r="C244" s="252">
        <f>292</f>
        <v>292</v>
      </c>
      <c r="D244" s="252" t="s">
        <v>1016</v>
      </c>
      <c r="E244" s="294"/>
      <c r="F244" s="1712"/>
      <c r="G244" s="294">
        <v>693.22799999999995</v>
      </c>
      <c r="H244" s="1854">
        <f>G244/G9*10</f>
        <v>2.7695884938074311</v>
      </c>
    </row>
    <row r="245" spans="1:18" x14ac:dyDescent="0.25">
      <c r="A245" s="15"/>
      <c r="B245" s="75" t="s">
        <v>380</v>
      </c>
      <c r="C245" s="952">
        <v>4.3</v>
      </c>
      <c r="D245" s="952" t="s">
        <v>1020</v>
      </c>
      <c r="E245" s="953"/>
      <c r="G245" s="752"/>
      <c r="H245" s="1728"/>
    </row>
    <row r="246" spans="1:18" x14ac:dyDescent="0.25">
      <c r="A246" s="15"/>
      <c r="B246" s="14" t="s">
        <v>20</v>
      </c>
      <c r="C246" s="252">
        <v>1168.001</v>
      </c>
      <c r="D246" s="252" t="s">
        <v>1016</v>
      </c>
      <c r="E246" s="294"/>
      <c r="F246" s="1712"/>
      <c r="G246" s="294">
        <f>G241-G244</f>
        <v>542.90470000000016</v>
      </c>
      <c r="H246" s="1731"/>
    </row>
    <row r="247" spans="1:18" ht="15.75" thickBot="1" x14ac:dyDescent="0.3">
      <c r="A247" s="40"/>
      <c r="B247" s="41" t="s">
        <v>1</v>
      </c>
      <c r="C247" s="1861">
        <v>1460.001</v>
      </c>
      <c r="D247" s="1861" t="s">
        <v>1016</v>
      </c>
      <c r="E247" s="1713"/>
      <c r="F247" s="1742"/>
      <c r="G247" s="1713">
        <f>G244+G246</f>
        <v>1236.1327000000001</v>
      </c>
      <c r="H247" s="1743"/>
    </row>
    <row r="248" spans="1:18" ht="15.75" thickBot="1" x14ac:dyDescent="0.3">
      <c r="A248" s="1862">
        <v>5</v>
      </c>
      <c r="B248" s="1835" t="s">
        <v>18</v>
      </c>
      <c r="C248" s="1821"/>
      <c r="D248" s="1821"/>
      <c r="E248" s="1722" t="s">
        <v>945</v>
      </c>
      <c r="F248" s="1722" t="s">
        <v>946</v>
      </c>
      <c r="G248" s="1723" t="s">
        <v>188</v>
      </c>
      <c r="H248" s="1724" t="s">
        <v>1022</v>
      </c>
    </row>
    <row r="249" spans="1:18" x14ac:dyDescent="0.25">
      <c r="A249" s="8"/>
      <c r="B249" s="235" t="s">
        <v>4</v>
      </c>
      <c r="C249" s="234">
        <v>408000</v>
      </c>
      <c r="D249" s="234" t="s">
        <v>1029</v>
      </c>
      <c r="E249" s="1684"/>
      <c r="F249" s="1712"/>
      <c r="G249" s="298">
        <v>186740</v>
      </c>
      <c r="H249" s="1731"/>
    </row>
    <row r="250" spans="1:18" x14ac:dyDescent="0.25">
      <c r="A250" s="8"/>
      <c r="B250" s="30" t="s">
        <v>17</v>
      </c>
      <c r="C250" s="262"/>
      <c r="D250" s="262"/>
      <c r="E250" s="282"/>
      <c r="G250" s="752"/>
      <c r="H250" s="1728"/>
      <c r="R250">
        <v>1.8</v>
      </c>
    </row>
    <row r="251" spans="1:18" x14ac:dyDescent="0.25">
      <c r="A251" s="15"/>
      <c r="B251" s="235" t="s">
        <v>16</v>
      </c>
      <c r="C251" s="252">
        <v>46.63</v>
      </c>
      <c r="D251" s="1753" t="s">
        <v>237</v>
      </c>
      <c r="E251" s="1530">
        <v>447.1</v>
      </c>
      <c r="F251" s="1738">
        <v>530.54999999999995</v>
      </c>
      <c r="G251" s="1740">
        <f>F251-E251</f>
        <v>83.449999999999932</v>
      </c>
      <c r="H251" s="1732">
        <f>G251/G9*1000</f>
        <v>33.339992009588471</v>
      </c>
      <c r="R251">
        <v>1.9</v>
      </c>
    </row>
    <row r="252" spans="1:18" ht="14.65" hidden="1" customHeight="1" x14ac:dyDescent="0.25">
      <c r="A252" s="15"/>
      <c r="B252" s="14"/>
      <c r="C252" s="234">
        <f>C251/2000</f>
        <v>2.3315000000000002E-2</v>
      </c>
      <c r="D252" s="234"/>
      <c r="E252" s="33"/>
      <c r="G252" s="752"/>
      <c r="H252" s="1728"/>
    </row>
    <row r="253" spans="1:18" x14ac:dyDescent="0.25">
      <c r="A253" s="15"/>
      <c r="B253" s="14"/>
      <c r="C253" s="130">
        <f>C251/C9*1000</f>
        <v>18.652000000000001</v>
      </c>
      <c r="D253" s="130" t="s">
        <v>1032</v>
      </c>
      <c r="E253" s="33"/>
      <c r="G253" s="752"/>
      <c r="H253" s="1728"/>
      <c r="R253">
        <v>5</v>
      </c>
    </row>
    <row r="254" spans="1:18" ht="14.65" hidden="1" customHeight="1" x14ac:dyDescent="0.25">
      <c r="A254" s="15"/>
      <c r="B254" s="235" t="s">
        <v>15</v>
      </c>
      <c r="C254" s="234">
        <v>122000</v>
      </c>
      <c r="D254" s="234"/>
      <c r="E254" s="275"/>
      <c r="F254" s="1712"/>
      <c r="G254" s="1729"/>
      <c r="H254" s="1731"/>
    </row>
    <row r="255" spans="1:18" x14ac:dyDescent="0.25">
      <c r="A255" s="15"/>
      <c r="B255" s="14" t="s">
        <v>948</v>
      </c>
      <c r="C255" s="234">
        <v>106000</v>
      </c>
      <c r="D255" s="234"/>
      <c r="E255" s="950"/>
      <c r="F255" s="512"/>
      <c r="G255" s="1741"/>
      <c r="H255" s="1733"/>
      <c r="R255">
        <v>2.2999999999999998</v>
      </c>
    </row>
    <row r="256" spans="1:18" ht="15.75" thickBot="1" x14ac:dyDescent="0.3">
      <c r="A256" s="40"/>
      <c r="B256" s="28" t="s">
        <v>1</v>
      </c>
      <c r="C256" s="263">
        <v>408000</v>
      </c>
      <c r="D256" s="263"/>
      <c r="E256" s="1744"/>
      <c r="F256" s="1736"/>
      <c r="G256" s="1745">
        <f>SUM(G251,G254,G255)</f>
        <v>83.449999999999932</v>
      </c>
      <c r="H256" s="1737"/>
      <c r="R256" s="1852">
        <f>SUM(R250:R255)</f>
        <v>11</v>
      </c>
    </row>
    <row r="257" spans="1:18" ht="15.75" thickBot="1" x14ac:dyDescent="0.3">
      <c r="A257" s="1862">
        <v>6</v>
      </c>
      <c r="B257" s="1835" t="s">
        <v>13</v>
      </c>
      <c r="C257" s="1723"/>
      <c r="D257" s="1723"/>
      <c r="E257" s="1722" t="s">
        <v>945</v>
      </c>
      <c r="F257" s="1722" t="s">
        <v>946</v>
      </c>
      <c r="G257" s="1723" t="s">
        <v>188</v>
      </c>
      <c r="H257" s="1724" t="s">
        <v>1023</v>
      </c>
      <c r="R257">
        <f>R256/2500*1000</f>
        <v>4.4000000000000004</v>
      </c>
    </row>
    <row r="258" spans="1:18" x14ac:dyDescent="0.25">
      <c r="A258" s="17"/>
      <c r="B258" s="242" t="s">
        <v>12</v>
      </c>
      <c r="C258" s="264">
        <v>1100</v>
      </c>
      <c r="D258" s="264" t="s">
        <v>1033</v>
      </c>
      <c r="E258" s="244"/>
      <c r="F258" s="1712"/>
      <c r="G258" s="244">
        <v>572</v>
      </c>
      <c r="H258" s="1731"/>
    </row>
    <row r="259" spans="1:18" x14ac:dyDescent="0.25">
      <c r="A259" s="17"/>
      <c r="B259" s="43" t="s">
        <v>11</v>
      </c>
      <c r="C259" s="251"/>
      <c r="D259" s="251"/>
      <c r="E259" s="34"/>
      <c r="G259" s="752"/>
      <c r="H259" s="1728"/>
    </row>
    <row r="260" spans="1:18" x14ac:dyDescent="0.25">
      <c r="A260" s="17"/>
      <c r="B260" s="242" t="s">
        <v>10</v>
      </c>
      <c r="C260" s="1754">
        <v>170.4</v>
      </c>
      <c r="D260" s="1866" t="s">
        <v>1033</v>
      </c>
      <c r="E260" s="245"/>
      <c r="F260" s="1712"/>
      <c r="G260" s="1729"/>
      <c r="H260" s="1731"/>
    </row>
    <row r="261" spans="1:18" x14ac:dyDescent="0.25">
      <c r="A261" s="17"/>
      <c r="B261" s="242"/>
      <c r="C261" s="1755">
        <f>C260/C9</f>
        <v>6.8159999999999998E-2</v>
      </c>
      <c r="D261" s="1866" t="s">
        <v>1034</v>
      </c>
      <c r="E261" s="245"/>
      <c r="F261" s="1712"/>
      <c r="G261" s="1729"/>
      <c r="H261" s="1731"/>
    </row>
    <row r="262" spans="1:18" ht="14.65" hidden="1" customHeight="1" x14ac:dyDescent="0.25">
      <c r="A262" s="17"/>
      <c r="B262" s="242" t="s">
        <v>9</v>
      </c>
      <c r="C262" s="265">
        <v>179.63</v>
      </c>
      <c r="D262" s="265"/>
      <c r="E262" s="245"/>
      <c r="F262" s="1712"/>
      <c r="G262" s="1729"/>
      <c r="H262" s="1731"/>
    </row>
    <row r="263" spans="1:18" x14ac:dyDescent="0.25">
      <c r="A263" s="17"/>
      <c r="B263" s="242" t="s">
        <v>8</v>
      </c>
      <c r="C263" s="264">
        <v>491.59</v>
      </c>
      <c r="D263" s="264" t="s">
        <v>1033</v>
      </c>
      <c r="E263" s="245"/>
      <c r="F263" s="1712"/>
      <c r="G263" s="245">
        <v>368</v>
      </c>
      <c r="H263" s="1731"/>
    </row>
    <row r="264" spans="1:18" x14ac:dyDescent="0.25">
      <c r="A264" s="17"/>
      <c r="B264" s="31" t="s">
        <v>7</v>
      </c>
      <c r="C264" s="264">
        <v>337.28</v>
      </c>
      <c r="D264" s="264" t="s">
        <v>1033</v>
      </c>
      <c r="E264" s="34"/>
      <c r="G264" s="34">
        <f>G258-G260-G262-G263</f>
        <v>204</v>
      </c>
      <c r="H264" s="1728"/>
    </row>
    <row r="265" spans="1:18" ht="15.75" thickBot="1" x14ac:dyDescent="0.3">
      <c r="A265" s="17"/>
      <c r="B265" s="242" t="s">
        <v>6</v>
      </c>
      <c r="C265" s="264">
        <v>330</v>
      </c>
      <c r="D265" s="264" t="s">
        <v>1033</v>
      </c>
      <c r="E265" s="1746"/>
      <c r="F265" s="1742"/>
      <c r="G265" s="245">
        <v>298</v>
      </c>
      <c r="H265" s="1743"/>
    </row>
    <row r="266" spans="1:18" ht="15.75" thickBot="1" x14ac:dyDescent="0.3">
      <c r="A266" s="1864">
        <v>7</v>
      </c>
      <c r="B266" s="1865" t="s">
        <v>5</v>
      </c>
      <c r="C266" s="1723"/>
      <c r="D266" s="1723"/>
      <c r="E266" s="1722" t="s">
        <v>945</v>
      </c>
      <c r="F266" s="1722" t="s">
        <v>946</v>
      </c>
      <c r="G266" s="1723" t="s">
        <v>188</v>
      </c>
      <c r="H266" s="1724" t="s">
        <v>1024</v>
      </c>
    </row>
    <row r="267" spans="1:18" x14ac:dyDescent="0.25">
      <c r="A267" s="83"/>
      <c r="B267" s="122" t="s">
        <v>4</v>
      </c>
      <c r="C267" s="1069"/>
      <c r="D267" s="1069"/>
      <c r="E267" s="33"/>
      <c r="G267" s="752"/>
      <c r="H267" s="1728"/>
    </row>
    <row r="268" spans="1:18" x14ac:dyDescent="0.25">
      <c r="A268" s="83"/>
      <c r="B268" s="235" t="s">
        <v>3</v>
      </c>
      <c r="C268" s="234">
        <v>28770</v>
      </c>
      <c r="D268" s="234" t="s">
        <v>949</v>
      </c>
      <c r="E268" s="245"/>
      <c r="F268" s="1712"/>
      <c r="G268" s="245">
        <v>5.9</v>
      </c>
      <c r="H268" s="1731"/>
      <c r="I268" s="821"/>
    </row>
    <row r="269" spans="1:18" x14ac:dyDescent="0.25">
      <c r="A269" s="83"/>
      <c r="B269" s="122" t="s">
        <v>1</v>
      </c>
      <c r="C269" s="13"/>
      <c r="D269" s="13"/>
      <c r="E269" s="1704"/>
      <c r="G269" s="1704">
        <f>G268</f>
        <v>5.9</v>
      </c>
      <c r="H269" s="1728"/>
    </row>
    <row r="270" spans="1:18" x14ac:dyDescent="0.25">
      <c r="A270" s="83"/>
      <c r="B270" s="122" t="s">
        <v>16</v>
      </c>
      <c r="C270" s="13"/>
      <c r="D270" s="13"/>
      <c r="E270" s="282"/>
      <c r="G270" s="752"/>
      <c r="H270" s="1728"/>
    </row>
    <row r="271" spans="1:18" x14ac:dyDescent="0.25">
      <c r="A271" s="15"/>
      <c r="B271" s="247" t="s">
        <v>936</v>
      </c>
      <c r="C271" s="266">
        <v>19646.41</v>
      </c>
      <c r="D271" s="254" t="s">
        <v>1027</v>
      </c>
      <c r="E271" s="275">
        <v>79215.8</v>
      </c>
      <c r="F271" s="1739">
        <v>94113.3</v>
      </c>
      <c r="G271" s="1705">
        <f>F271-E271</f>
        <v>14897.5</v>
      </c>
      <c r="H271" s="1806">
        <f>G271/G9</f>
        <v>5.9518577706751898</v>
      </c>
    </row>
    <row r="272" spans="1:18" x14ac:dyDescent="0.25">
      <c r="A272" s="15"/>
      <c r="B272" s="955"/>
      <c r="C272" s="1756">
        <f>C271/C9</f>
        <v>7.8585640000000003</v>
      </c>
      <c r="D272" s="1756" t="s">
        <v>1035</v>
      </c>
      <c r="E272" s="950"/>
      <c r="G272" s="752"/>
      <c r="H272" s="1728"/>
    </row>
    <row r="273" spans="1:11" x14ac:dyDescent="0.25">
      <c r="A273" s="15"/>
      <c r="B273" s="247" t="s">
        <v>119</v>
      </c>
      <c r="C273" s="266">
        <v>10757.64</v>
      </c>
      <c r="D273" s="254" t="s">
        <v>1028</v>
      </c>
      <c r="E273" s="275">
        <v>81749.95</v>
      </c>
      <c r="F273" s="1739">
        <v>92760.52</v>
      </c>
      <c r="G273" s="1705">
        <f>F273-E273</f>
        <v>11010.570000000007</v>
      </c>
      <c r="H273" s="1806">
        <f>G273/G9</f>
        <v>4.3989492608869387</v>
      </c>
    </row>
    <row r="274" spans="1:11" ht="14.65" hidden="1" customHeight="1" x14ac:dyDescent="0.25">
      <c r="A274" s="15"/>
      <c r="B274" s="955"/>
      <c r="C274" s="956"/>
      <c r="D274" s="956"/>
      <c r="E274" s="950"/>
      <c r="G274" s="752"/>
      <c r="H274" s="1728"/>
    </row>
    <row r="275" spans="1:11" ht="14.65" hidden="1" customHeight="1" x14ac:dyDescent="0.25">
      <c r="A275" s="15"/>
      <c r="B275" s="44" t="s">
        <v>15</v>
      </c>
      <c r="C275" s="533"/>
      <c r="D275" s="533"/>
      <c r="E275" s="299"/>
      <c r="G275" s="752"/>
      <c r="H275" s="1728"/>
    </row>
    <row r="276" spans="1:11" ht="14.65" hidden="1" customHeight="1" x14ac:dyDescent="0.25">
      <c r="A276" s="15"/>
      <c r="B276" s="247" t="s">
        <v>120</v>
      </c>
      <c r="C276" s="266">
        <v>1308.96</v>
      </c>
      <c r="D276" s="266"/>
      <c r="E276" s="275"/>
      <c r="G276" s="752"/>
      <c r="H276" s="1728"/>
    </row>
    <row r="277" spans="1:11" ht="14.65" hidden="1" customHeight="1" x14ac:dyDescent="0.25">
      <c r="A277" s="15"/>
      <c r="B277" s="955"/>
      <c r="C277" s="956"/>
      <c r="D277" s="956"/>
      <c r="E277" s="33"/>
      <c r="G277" s="752"/>
      <c r="H277" s="1728"/>
    </row>
    <row r="278" spans="1:11" ht="14.65" hidden="1" customHeight="1" x14ac:dyDescent="0.25">
      <c r="A278" s="15"/>
      <c r="B278" s="247" t="s">
        <v>121</v>
      </c>
      <c r="C278" s="266">
        <v>5759.67</v>
      </c>
      <c r="D278" s="266"/>
      <c r="E278" s="275">
        <v>792.3</v>
      </c>
      <c r="G278" s="752"/>
      <c r="H278" s="1728"/>
    </row>
    <row r="279" spans="1:11" ht="14.65" hidden="1" customHeight="1" x14ac:dyDescent="0.25">
      <c r="A279" s="15"/>
      <c r="B279" s="955"/>
      <c r="C279" s="956"/>
      <c r="D279" s="956"/>
      <c r="E279" s="950"/>
      <c r="G279" s="752"/>
      <c r="H279" s="1728"/>
    </row>
    <row r="280" spans="1:11" ht="14.65" hidden="1" customHeight="1" x14ac:dyDescent="0.25">
      <c r="A280" s="15"/>
      <c r="B280" s="44" t="s">
        <v>7</v>
      </c>
      <c r="C280" s="533"/>
      <c r="D280" s="533"/>
      <c r="E280" s="299"/>
      <c r="G280" s="752"/>
      <c r="H280" s="1728"/>
    </row>
    <row r="281" spans="1:11" ht="15.75" thickBot="1" x14ac:dyDescent="0.3">
      <c r="A281" s="15"/>
      <c r="B281" s="1814"/>
      <c r="C281" s="1815">
        <f>C273/C9</f>
        <v>4.3030559999999998</v>
      </c>
      <c r="D281" s="1815" t="s">
        <v>1035</v>
      </c>
      <c r="E281" s="1816"/>
      <c r="F281" s="1817"/>
      <c r="G281" s="1818"/>
      <c r="H281" s="1819"/>
    </row>
    <row r="282" spans="1:11" ht="15" hidden="1" customHeight="1" thickBot="1" x14ac:dyDescent="0.3">
      <c r="A282" s="19"/>
      <c r="B282" s="248" t="s">
        <v>123</v>
      </c>
      <c r="C282" s="267">
        <v>241.12</v>
      </c>
      <c r="D282" s="267"/>
      <c r="E282" s="1747"/>
      <c r="F282" s="1748"/>
      <c r="G282" s="1749"/>
      <c r="H282" s="1750"/>
    </row>
    <row r="284" spans="1:11" ht="15.75" x14ac:dyDescent="0.25">
      <c r="B284" s="2081" t="s">
        <v>954</v>
      </c>
      <c r="C284" s="2081"/>
      <c r="D284" s="1846"/>
      <c r="E284" s="2081" t="s">
        <v>955</v>
      </c>
      <c r="F284" s="2081"/>
      <c r="G284" s="2081"/>
      <c r="H284" s="2082" t="s">
        <v>960</v>
      </c>
      <c r="I284" s="2082"/>
      <c r="J284" s="2083" t="s">
        <v>964</v>
      </c>
      <c r="K284" s="2083"/>
    </row>
    <row r="285" spans="1:11" x14ac:dyDescent="0.25">
      <c r="B285" s="2073" t="s">
        <v>952</v>
      </c>
      <c r="C285" s="2074"/>
      <c r="D285" s="1845"/>
      <c r="E285" s="2073" t="s">
        <v>962</v>
      </c>
      <c r="F285" s="2074"/>
      <c r="G285" s="2074"/>
      <c r="H285" s="2073" t="s">
        <v>963</v>
      </c>
      <c r="I285" s="2074"/>
      <c r="J285" s="2075" t="s">
        <v>965</v>
      </c>
      <c r="K285" s="2075"/>
    </row>
    <row r="286" spans="1:11" ht="24.6" customHeight="1" x14ac:dyDescent="0.25">
      <c r="B286" s="2074"/>
      <c r="C286" s="2074"/>
      <c r="D286" s="1845"/>
      <c r="E286" s="2074"/>
      <c r="F286" s="2074"/>
      <c r="G286" s="2074"/>
      <c r="H286" s="2074"/>
      <c r="I286" s="2074"/>
      <c r="J286" s="2075"/>
      <c r="K286" s="2075"/>
    </row>
    <row r="287" spans="1:11" ht="14.65" customHeight="1" x14ac:dyDescent="0.25">
      <c r="B287" s="2073" t="s">
        <v>986</v>
      </c>
      <c r="C287" s="2074"/>
      <c r="D287" s="1845"/>
      <c r="E287" s="2073" t="s">
        <v>992</v>
      </c>
      <c r="F287" s="2074"/>
      <c r="G287" s="2074"/>
      <c r="H287" s="2073" t="s">
        <v>987</v>
      </c>
      <c r="I287" s="2074"/>
      <c r="J287" s="2075" t="s">
        <v>965</v>
      </c>
      <c r="K287" s="2075"/>
    </row>
    <row r="288" spans="1:11" ht="26.65" customHeight="1" x14ac:dyDescent="0.25">
      <c r="B288" s="2074"/>
      <c r="C288" s="2074"/>
      <c r="D288" s="1845"/>
      <c r="E288" s="2074"/>
      <c r="F288" s="2074"/>
      <c r="G288" s="2074"/>
      <c r="H288" s="2074"/>
      <c r="I288" s="2074"/>
      <c r="J288" s="2075"/>
      <c r="K288" s="2075"/>
    </row>
    <row r="289" spans="2:11" ht="41.65" customHeight="1" x14ac:dyDescent="0.25">
      <c r="B289" s="2073" t="s">
        <v>953</v>
      </c>
      <c r="C289" s="2074"/>
      <c r="D289" s="1845"/>
      <c r="E289" s="2073" t="s">
        <v>966</v>
      </c>
      <c r="F289" s="2074"/>
      <c r="G289" s="2074"/>
      <c r="H289" s="2074" t="s">
        <v>967</v>
      </c>
      <c r="I289" s="2074"/>
      <c r="J289" s="2075" t="s">
        <v>965</v>
      </c>
      <c r="K289" s="2075"/>
    </row>
    <row r="290" spans="2:11" ht="14.65" customHeight="1" x14ac:dyDescent="0.25">
      <c r="B290" s="2069" t="s">
        <v>961</v>
      </c>
      <c r="C290" s="2070"/>
      <c r="D290" s="1843"/>
      <c r="E290" s="2073" t="s">
        <v>968</v>
      </c>
      <c r="F290" s="2073"/>
      <c r="G290" s="2073"/>
      <c r="H290" s="2074" t="s">
        <v>969</v>
      </c>
      <c r="I290" s="2074"/>
      <c r="J290" s="2075" t="s">
        <v>965</v>
      </c>
      <c r="K290" s="2075"/>
    </row>
    <row r="291" spans="2:11" x14ac:dyDescent="0.25">
      <c r="B291" s="2071"/>
      <c r="C291" s="2072"/>
      <c r="D291" s="1844"/>
      <c r="E291" s="2073"/>
      <c r="F291" s="2073"/>
      <c r="G291" s="2073"/>
      <c r="H291" s="2074"/>
      <c r="I291" s="2074"/>
      <c r="J291" s="2075"/>
      <c r="K291" s="2075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zoomScale="90" zoomScaleNormal="90" workbookViewId="0">
      <selection activeCell="C8" sqref="C8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28515625" customWidth="1"/>
    <col min="9" max="9" width="5.42578125" customWidth="1"/>
    <col min="10" max="10" width="15.42578125" customWidth="1"/>
    <col min="11" max="11" width="10" customWidth="1"/>
    <col min="12" max="12" width="7.28515625" customWidth="1"/>
    <col min="13" max="13" width="17.7109375" customWidth="1"/>
    <col min="14" max="14" width="11.710937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32" t="s">
        <v>217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33" t="s">
        <v>361</v>
      </c>
      <c r="C3" s="834"/>
      <c r="D3" s="835"/>
      <c r="E3" s="835"/>
      <c r="F3" s="835"/>
      <c r="G3" s="835"/>
      <c r="H3" s="835"/>
      <c r="I3" s="835"/>
      <c r="J3" s="835"/>
      <c r="K3" s="835"/>
      <c r="L3" s="835"/>
      <c r="M3" s="835"/>
      <c r="N3" s="951">
        <f>('Desember 2024'!AM10)/1000</f>
        <v>1098.8155217391304</v>
      </c>
      <c r="O3" s="836" t="s">
        <v>381</v>
      </c>
    </row>
    <row r="4" spans="2:15" x14ac:dyDescent="0.25">
      <c r="B4" s="837" t="s">
        <v>229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2">
        <f>'Desember 2024'!AM6</f>
        <v>23</v>
      </c>
      <c r="O4" s="838" t="s">
        <v>228</v>
      </c>
    </row>
    <row r="5" spans="2:15" x14ac:dyDescent="0.25">
      <c r="B5" s="839" t="s">
        <v>230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2">
        <f>N4*N3</f>
        <v>25272.756999999998</v>
      </c>
      <c r="O5" s="838" t="s">
        <v>280</v>
      </c>
    </row>
    <row r="6" spans="2:15" ht="15.75" thickBot="1" x14ac:dyDescent="0.3">
      <c r="B6" s="840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1189">
        <f>'SUMMARY HPP '!I9</f>
        <v>15546</v>
      </c>
      <c r="O6" s="841" t="s">
        <v>232</v>
      </c>
    </row>
    <row r="7" spans="2:15" ht="21" customHeight="1" thickBot="1" x14ac:dyDescent="0.3">
      <c r="B7" s="842" t="s">
        <v>99</v>
      </c>
      <c r="C7" s="843" t="s">
        <v>218</v>
      </c>
      <c r="D7" s="2084" t="s">
        <v>219</v>
      </c>
      <c r="E7" s="2084"/>
      <c r="F7" s="2085" t="s">
        <v>220</v>
      </c>
      <c r="G7" s="2085"/>
      <c r="H7" s="2086" t="s">
        <v>221</v>
      </c>
      <c r="I7" s="2087"/>
      <c r="J7" s="845" t="s">
        <v>222</v>
      </c>
      <c r="K7" s="2088" t="s">
        <v>223</v>
      </c>
      <c r="L7" s="2089"/>
      <c r="M7" s="844" t="s">
        <v>224</v>
      </c>
      <c r="N7" s="844" t="s">
        <v>225</v>
      </c>
      <c r="O7" s="846" t="s">
        <v>226</v>
      </c>
    </row>
    <row r="8" spans="2:15" ht="15.75" thickTop="1" x14ac:dyDescent="0.25">
      <c r="B8" s="847">
        <v>1</v>
      </c>
      <c r="C8" s="848" t="s">
        <v>233</v>
      </c>
      <c r="D8" s="964">
        <f>'Desember 2024'!$AM$75</f>
        <v>0.90731656225713719</v>
      </c>
      <c r="E8" s="849"/>
      <c r="F8" s="850">
        <f>($D$8*$N$3*10)</f>
        <v>9969.7352173913041</v>
      </c>
      <c r="G8" s="851" t="s">
        <v>234</v>
      </c>
      <c r="H8" s="850">
        <f>$N$4</f>
        <v>23</v>
      </c>
      <c r="I8" s="850"/>
      <c r="J8" s="954">
        <f>$H$8*$F$8</f>
        <v>229303.91</v>
      </c>
      <c r="K8" s="852">
        <v>2400</v>
      </c>
      <c r="L8" s="852"/>
      <c r="M8" s="850">
        <f>$J$8*$K$8</f>
        <v>550329384</v>
      </c>
      <c r="N8" s="853">
        <f>$M$8/($N$5*1000)</f>
        <v>21.775597494171297</v>
      </c>
      <c r="O8" s="854">
        <f>($M$8/$N$6)/$N$5</f>
        <v>1.4007202813695674</v>
      </c>
    </row>
    <row r="9" spans="2:15" x14ac:dyDescent="0.25">
      <c r="B9" s="855">
        <v>2</v>
      </c>
      <c r="C9" s="366" t="s">
        <v>235</v>
      </c>
      <c r="D9" s="372">
        <f>'Desember 2024'!$AM$83</f>
        <v>5.0540366450720041E-2</v>
      </c>
      <c r="E9" s="856"/>
      <c r="F9" s="379">
        <f>($D$9*$N$3*10)</f>
        <v>555.34539130434791</v>
      </c>
      <c r="G9" s="857" t="s">
        <v>234</v>
      </c>
      <c r="H9" s="379">
        <f>$H$8</f>
        <v>23</v>
      </c>
      <c r="I9" s="379"/>
      <c r="J9" s="379">
        <f>$H$9*$F$9</f>
        <v>12772.944000000001</v>
      </c>
      <c r="K9" s="367">
        <v>17420</v>
      </c>
      <c r="L9" s="367"/>
      <c r="M9" s="379">
        <f>$J$9*$K$9</f>
        <v>222504684.48000002</v>
      </c>
      <c r="N9" s="401">
        <f>$M$9/($N$5*1000)</f>
        <v>8.8041318357154328</v>
      </c>
      <c r="O9" s="858">
        <f>($M$9/$N$6)/$N$5</f>
        <v>0.56632779079605244</v>
      </c>
    </row>
    <row r="10" spans="2:15" x14ac:dyDescent="0.25">
      <c r="B10" s="855">
        <v>3</v>
      </c>
      <c r="C10" s="366" t="s">
        <v>236</v>
      </c>
      <c r="D10" s="372">
        <v>29.1666666666667</v>
      </c>
      <c r="E10" s="857" t="s">
        <v>237</v>
      </c>
      <c r="F10" s="379">
        <f>D10</f>
        <v>29.1666666666667</v>
      </c>
      <c r="G10" s="857" t="s">
        <v>237</v>
      </c>
      <c r="H10" s="379">
        <f>$H$8</f>
        <v>23</v>
      </c>
      <c r="I10" s="379"/>
      <c r="J10" s="379">
        <f>$H$10*$F$10</f>
        <v>670.83333333333405</v>
      </c>
      <c r="K10" s="367">
        <v>15700</v>
      </c>
      <c r="L10" s="367"/>
      <c r="M10" s="379">
        <f>$J$10*$K$10</f>
        <v>10532083.333333345</v>
      </c>
      <c r="N10" s="401">
        <f>$M$10/($N$5*1000)</f>
        <v>0.4167366201215541</v>
      </c>
      <c r="O10" s="858">
        <f>($M$10/$N$6)/$N$5</f>
        <v>2.680667825302676E-2</v>
      </c>
    </row>
    <row r="11" spans="2:15" x14ac:dyDescent="0.25">
      <c r="B11" s="859">
        <v>4</v>
      </c>
      <c r="C11" s="366" t="s">
        <v>238</v>
      </c>
      <c r="D11" s="401"/>
      <c r="E11" s="856"/>
      <c r="F11" s="379"/>
      <c r="G11" s="857"/>
      <c r="H11" s="379"/>
      <c r="I11" s="379"/>
      <c r="J11" s="379"/>
      <c r="K11" s="367"/>
      <c r="L11" s="367"/>
      <c r="M11" s="379"/>
      <c r="N11" s="401"/>
      <c r="O11" s="858"/>
    </row>
    <row r="12" spans="2:15" x14ac:dyDescent="0.25">
      <c r="B12" s="860"/>
      <c r="C12" s="368" t="s">
        <v>239</v>
      </c>
      <c r="D12" s="401">
        <f>'Desember 2024'!$AM$243</f>
        <v>0.30264218487158517</v>
      </c>
      <c r="E12" s="856" t="s">
        <v>240</v>
      </c>
      <c r="F12" s="379">
        <f>$D$12*$N$3</f>
        <v>332.54793026994122</v>
      </c>
      <c r="G12" s="857" t="s">
        <v>241</v>
      </c>
      <c r="H12" s="379">
        <f>$H$8</f>
        <v>23</v>
      </c>
      <c r="I12" s="379"/>
      <c r="J12" s="379">
        <f>$H$12*$F$12</f>
        <v>7648.6023962086483</v>
      </c>
      <c r="K12" s="367">
        <f>11.5*$N$6</f>
        <v>178779</v>
      </c>
      <c r="L12" s="367"/>
      <c r="M12" s="379">
        <f>$J$12*$K$12</f>
        <v>1367409487.791786</v>
      </c>
      <c r="N12" s="401">
        <f>$M$12/($N$5*1000)</f>
        <v>54.106067169157136</v>
      </c>
      <c r="O12" s="858">
        <f>($M$12/$N$6)/$N$5</f>
        <v>3.4803851260232301</v>
      </c>
    </row>
    <row r="13" spans="2:15" x14ac:dyDescent="0.25">
      <c r="B13" s="860"/>
      <c r="C13" s="368" t="s">
        <v>242</v>
      </c>
      <c r="D13" s="401">
        <v>0</v>
      </c>
      <c r="E13" s="856" t="s">
        <v>240</v>
      </c>
      <c r="F13" s="379">
        <f>$D$13*$N$3</f>
        <v>0</v>
      </c>
      <c r="G13" s="857" t="s">
        <v>241</v>
      </c>
      <c r="H13" s="379">
        <f>$H$8</f>
        <v>23</v>
      </c>
      <c r="I13" s="379"/>
      <c r="J13" s="379">
        <f>$H$13*$F$13</f>
        <v>0</v>
      </c>
      <c r="K13" s="367">
        <f>11.5*$N$6</f>
        <v>178779</v>
      </c>
      <c r="L13" s="367"/>
      <c r="M13" s="379">
        <f>$J$13*$K$13</f>
        <v>0</v>
      </c>
      <c r="N13" s="401">
        <f>$M$13/($N$5*1000)</f>
        <v>0</v>
      </c>
      <c r="O13" s="858">
        <f>($M$13/$N$6)/$N$5</f>
        <v>0</v>
      </c>
    </row>
    <row r="14" spans="2:15" x14ac:dyDescent="0.25">
      <c r="B14" s="861"/>
      <c r="C14" s="368" t="s">
        <v>243</v>
      </c>
      <c r="D14" s="401">
        <v>0</v>
      </c>
      <c r="E14" s="856" t="s">
        <v>240</v>
      </c>
      <c r="F14" s="379">
        <f>$D$14*$N$3</f>
        <v>0</v>
      </c>
      <c r="G14" s="857" t="s">
        <v>241</v>
      </c>
      <c r="H14" s="379">
        <f>$H$8</f>
        <v>23</v>
      </c>
      <c r="I14" s="379"/>
      <c r="J14" s="379">
        <f>$H$14*$F$14</f>
        <v>0</v>
      </c>
      <c r="K14" s="367">
        <f>11.5*$N$6</f>
        <v>178779</v>
      </c>
      <c r="L14" s="367"/>
      <c r="M14" s="379">
        <f>$J$14*$K$14</f>
        <v>0</v>
      </c>
      <c r="N14" s="401">
        <f>$M$14/($N$5*1000)</f>
        <v>0</v>
      </c>
      <c r="O14" s="858">
        <f>($M$14/$N$6)/$N$5</f>
        <v>0</v>
      </c>
    </row>
    <row r="15" spans="2:15" x14ac:dyDescent="0.25">
      <c r="B15" s="859">
        <v>5</v>
      </c>
      <c r="C15" s="366" t="s">
        <v>362</v>
      </c>
      <c r="D15" s="401"/>
      <c r="E15" s="856"/>
      <c r="F15" s="379"/>
      <c r="G15" s="857"/>
      <c r="H15" s="379"/>
      <c r="I15" s="379"/>
      <c r="J15" s="379"/>
      <c r="K15" s="367"/>
      <c r="L15" s="367"/>
      <c r="M15" s="379"/>
      <c r="N15" s="401"/>
      <c r="O15" s="858"/>
    </row>
    <row r="16" spans="2:15" x14ac:dyDescent="0.25">
      <c r="B16" s="860"/>
      <c r="C16" s="368" t="s">
        <v>244</v>
      </c>
      <c r="D16" s="369">
        <f>'Desember 2024'!$AM$250</f>
        <v>34.678451187577203</v>
      </c>
      <c r="E16" s="856" t="s">
        <v>245</v>
      </c>
      <c r="F16" s="379">
        <f>$D$16*$N$3/1000</f>
        <v>38.105220434782609</v>
      </c>
      <c r="G16" s="857" t="s">
        <v>246</v>
      </c>
      <c r="H16" s="379">
        <f>$H$8</f>
        <v>23</v>
      </c>
      <c r="I16" s="379"/>
      <c r="J16" s="379">
        <f>$H$16*$F$16</f>
        <v>876.42007000000001</v>
      </c>
      <c r="K16" s="367">
        <f>Steam!H15</f>
        <v>183326.67959916082</v>
      </c>
      <c r="L16" s="367"/>
      <c r="M16" s="379">
        <f>$J$16*$K$16</f>
        <v>160671181.36716411</v>
      </c>
      <c r="N16" s="401">
        <f>$M$16/($N$5*1000)</f>
        <v>6.3574853098601043</v>
      </c>
      <c r="O16" s="858">
        <f>($M$16/$N$6)/$N$5</f>
        <v>0.40894669431751601</v>
      </c>
    </row>
    <row r="17" spans="2:15" x14ac:dyDescent="0.25">
      <c r="B17" s="861"/>
      <c r="C17" s="368" t="s">
        <v>247</v>
      </c>
      <c r="D17" s="369">
        <f>'Desember 2024'!$AM$254</f>
        <v>18.21771977627926</v>
      </c>
      <c r="E17" s="856" t="s">
        <v>245</v>
      </c>
      <c r="F17" s="379">
        <f>$D$17*$N$3/1000</f>
        <v>20.01791326086957</v>
      </c>
      <c r="G17" s="857" t="s">
        <v>246</v>
      </c>
      <c r="H17" s="379">
        <f>$H$8</f>
        <v>23</v>
      </c>
      <c r="I17" s="379"/>
      <c r="J17" s="379">
        <f>$H$17*$F$17</f>
        <v>460.41200500000008</v>
      </c>
      <c r="K17" s="367">
        <f>Steam!H15</f>
        <v>183326.67959916082</v>
      </c>
      <c r="L17" s="367"/>
      <c r="M17" s="379">
        <f>$J$17*$K$17</f>
        <v>84405804.124242246</v>
      </c>
      <c r="N17" s="401">
        <f>$M$17/($N$5*1000)</f>
        <v>3.3397940764532441</v>
      </c>
      <c r="O17" s="858">
        <f>($M$17/$N$6)/$N$5</f>
        <v>0.21483301662506393</v>
      </c>
    </row>
    <row r="18" spans="2:15" x14ac:dyDescent="0.25">
      <c r="B18" s="860">
        <v>6</v>
      </c>
      <c r="C18" s="366" t="s">
        <v>363</v>
      </c>
      <c r="D18" s="371"/>
      <c r="E18" s="856"/>
      <c r="F18" s="374"/>
      <c r="G18" s="857"/>
      <c r="H18" s="379"/>
      <c r="I18" s="379"/>
      <c r="J18" s="379"/>
      <c r="K18" s="367"/>
      <c r="L18" s="367"/>
      <c r="M18" s="379"/>
      <c r="N18" s="401"/>
      <c r="O18" s="858"/>
    </row>
    <row r="19" spans="2:15" x14ac:dyDescent="0.25">
      <c r="B19" s="860"/>
      <c r="C19" s="368" t="s">
        <v>244</v>
      </c>
      <c r="D19" s="401">
        <f>'Desember 2024'!$AM$273</f>
        <v>29.759471434003029</v>
      </c>
      <c r="E19" s="856" t="s">
        <v>248</v>
      </c>
      <c r="F19" s="379">
        <f>$D$19*$N$3</f>
        <v>32700.169130434784</v>
      </c>
      <c r="G19" s="857" t="s">
        <v>249</v>
      </c>
      <c r="H19" s="379">
        <f>$H$8</f>
        <v>23</v>
      </c>
      <c r="I19" s="379">
        <v>0</v>
      </c>
      <c r="J19" s="379">
        <f>$H$19*$F$19</f>
        <v>752103.89</v>
      </c>
      <c r="K19" s="367">
        <v>1550</v>
      </c>
      <c r="L19" s="367">
        <f>[18]Electric!H21</f>
        <v>3666.6666666666665</v>
      </c>
      <c r="M19" s="379">
        <f>($F$19*$H$19*$K$19)+($F$19*$I$19*$L$19)</f>
        <v>1165761029.5</v>
      </c>
      <c r="N19" s="401">
        <f>$M$19/($N$5*1000)</f>
        <v>46.127180722704693</v>
      </c>
      <c r="O19" s="858">
        <f>($M$19/$N$6)/$N$5</f>
        <v>2.9671414333400676</v>
      </c>
    </row>
    <row r="20" spans="2:15" x14ac:dyDescent="0.25">
      <c r="B20" s="860"/>
      <c r="C20" s="368" t="s">
        <v>250</v>
      </c>
      <c r="D20" s="372">
        <f>'Desember 2024'!$AM$275</f>
        <v>7.1115462392963291</v>
      </c>
      <c r="E20" s="856" t="s">
        <v>248</v>
      </c>
      <c r="F20" s="379">
        <f>$D$20*$N$3</f>
        <v>7814.2773913043466</v>
      </c>
      <c r="G20" s="857" t="s">
        <v>249</v>
      </c>
      <c r="H20" s="379">
        <f>$H$8</f>
        <v>23</v>
      </c>
      <c r="I20" s="379">
        <v>0</v>
      </c>
      <c r="J20" s="379">
        <f>$H$20*$F$20</f>
        <v>179728.37999999998</v>
      </c>
      <c r="K20" s="367">
        <v>1550</v>
      </c>
      <c r="L20" s="367">
        <f>L19</f>
        <v>3666.6666666666665</v>
      </c>
      <c r="M20" s="379">
        <f>(F20*H20*K20)+(F20*I20*L20)</f>
        <v>278578988.99999994</v>
      </c>
      <c r="N20" s="401">
        <f>$M$20/($N$5*1000)</f>
        <v>11.022896670909311</v>
      </c>
      <c r="O20" s="858">
        <f>($M$20/$N$6)/$N$5</f>
        <v>0.70905034548496793</v>
      </c>
    </row>
    <row r="21" spans="2:15" x14ac:dyDescent="0.25">
      <c r="B21" s="860"/>
      <c r="C21" s="368" t="s">
        <v>251</v>
      </c>
      <c r="D21" s="373">
        <v>0.33778769841269801</v>
      </c>
      <c r="E21" s="856" t="s">
        <v>248</v>
      </c>
      <c r="F21" s="379">
        <f>$D$21*$N$3</f>
        <v>371.16636606840882</v>
      </c>
      <c r="G21" s="857" t="s">
        <v>249</v>
      </c>
      <c r="H21" s="379">
        <f>$H$8</f>
        <v>23</v>
      </c>
      <c r="I21" s="379">
        <v>0</v>
      </c>
      <c r="J21" s="379">
        <f>$H$21*$F$21</f>
        <v>8536.8264195734027</v>
      </c>
      <c r="K21" s="367">
        <v>1550</v>
      </c>
      <c r="L21" s="367">
        <f>L20</f>
        <v>3666.6666666666665</v>
      </c>
      <c r="M21" s="379">
        <f>($F$21*$H$21*$K$21)+($F$21*$I$21*$L$21)</f>
        <v>13232080.950338773</v>
      </c>
      <c r="N21" s="401">
        <f>$M$21/($N$5*1000)</f>
        <v>0.52357093253968201</v>
      </c>
      <c r="O21" s="858">
        <f>($M$21/$N$6)/$N$5</f>
        <v>3.3678819795425315E-2</v>
      </c>
    </row>
    <row r="22" spans="2:15" x14ac:dyDescent="0.25">
      <c r="B22" s="860">
        <v>7</v>
      </c>
      <c r="C22" s="366" t="s">
        <v>364</v>
      </c>
      <c r="D22" s="372"/>
      <c r="E22" s="856"/>
      <c r="F22" s="379"/>
      <c r="G22" s="857"/>
      <c r="H22" s="379"/>
      <c r="I22" s="379"/>
      <c r="J22" s="379"/>
      <c r="K22" s="367"/>
      <c r="L22" s="367"/>
      <c r="M22" s="379"/>
      <c r="N22" s="401"/>
      <c r="O22" s="858"/>
    </row>
    <row r="23" spans="2:15" x14ac:dyDescent="0.25">
      <c r="B23" s="860"/>
      <c r="C23" s="368" t="s">
        <v>253</v>
      </c>
      <c r="D23" s="369">
        <f>'Desember 2024'!$AM$260</f>
        <v>39.88484517142313</v>
      </c>
      <c r="E23" s="856" t="s">
        <v>254</v>
      </c>
      <c r="F23" s="379">
        <f>$D$23</f>
        <v>39.88484517142313</v>
      </c>
      <c r="G23" s="857" t="s">
        <v>254</v>
      </c>
      <c r="H23" s="379">
        <f>$H$8</f>
        <v>23</v>
      </c>
      <c r="I23" s="379"/>
      <c r="J23" s="379">
        <f>$H$23*$F$23</f>
        <v>917.35143894273199</v>
      </c>
      <c r="K23" s="367">
        <f>WTP!H13</f>
        <v>16370.605244153103</v>
      </c>
      <c r="L23" s="367"/>
      <c r="M23" s="379">
        <f>$J$23*$K$23</f>
        <v>15017598.277087282</v>
      </c>
      <c r="N23" s="401">
        <f>$M$23/($N$5*1000)</f>
        <v>0.59422081560342965</v>
      </c>
      <c r="O23" s="858">
        <f>($M$23/$N$6)/$N$5</f>
        <v>3.8223389656723887E-2</v>
      </c>
    </row>
    <row r="24" spans="2:15" x14ac:dyDescent="0.25">
      <c r="B24" s="859">
        <v>8</v>
      </c>
      <c r="C24" s="366" t="s">
        <v>255</v>
      </c>
      <c r="D24" s="374"/>
      <c r="E24" s="856"/>
      <c r="F24" s="379"/>
      <c r="G24" s="857"/>
      <c r="H24" s="379"/>
      <c r="I24" s="379"/>
      <c r="J24" s="379"/>
      <c r="K24" s="367"/>
      <c r="L24" s="367"/>
      <c r="M24" s="379"/>
      <c r="N24" s="401">
        <f>$M$24/($N$5*1000)</f>
        <v>0</v>
      </c>
      <c r="O24" s="858">
        <f>($M$24/$N$6)/$N$5</f>
        <v>0</v>
      </c>
    </row>
    <row r="25" spans="2:15" x14ac:dyDescent="0.25">
      <c r="B25" s="860"/>
      <c r="C25" s="368" t="s">
        <v>256</v>
      </c>
      <c r="D25" s="374">
        <v>0.4</v>
      </c>
      <c r="E25" s="856" t="s">
        <v>234</v>
      </c>
      <c r="F25" s="374">
        <f>D25</f>
        <v>0.4</v>
      </c>
      <c r="G25" s="857" t="s">
        <v>234</v>
      </c>
      <c r="H25" s="379">
        <f>$H$8</f>
        <v>23</v>
      </c>
      <c r="I25" s="379"/>
      <c r="J25" s="379">
        <f>$H$25*$F$25</f>
        <v>9.2000000000000011</v>
      </c>
      <c r="K25" s="367">
        <v>27240</v>
      </c>
      <c r="L25" s="367"/>
      <c r="M25" s="379">
        <f>$J$25*$K$25</f>
        <v>250608.00000000003</v>
      </c>
      <c r="N25" s="401">
        <f>$M$25/($N$5*1000)</f>
        <v>9.9161322209523894E-3</v>
      </c>
      <c r="O25" s="858">
        <f>($M$25/$N$6)/$N$5</f>
        <v>6.378574695067793E-4</v>
      </c>
    </row>
    <row r="26" spans="2:15" x14ac:dyDescent="0.25">
      <c r="B26" s="860"/>
      <c r="C26" s="368" t="s">
        <v>257</v>
      </c>
      <c r="D26" s="374">
        <v>0.66</v>
      </c>
      <c r="E26" s="856" t="s">
        <v>234</v>
      </c>
      <c r="F26" s="374">
        <f>D26</f>
        <v>0.66</v>
      </c>
      <c r="G26" s="857" t="s">
        <v>234</v>
      </c>
      <c r="H26" s="379">
        <f>$H$8</f>
        <v>23</v>
      </c>
      <c r="I26" s="379"/>
      <c r="J26" s="379">
        <f>$H$26*$F$26</f>
        <v>15.180000000000001</v>
      </c>
      <c r="K26" s="367">
        <v>29120</v>
      </c>
      <c r="L26" s="367"/>
      <c r="M26" s="379">
        <f>$J$26*$K$26</f>
        <v>442041.60000000003</v>
      </c>
      <c r="N26" s="401">
        <f>$M$26/($N$5*1000)</f>
        <v>1.7490834102508093E-2</v>
      </c>
      <c r="O26" s="858">
        <f>($M$26/$N$6)/$N$5</f>
        <v>1.1251018977555701E-3</v>
      </c>
    </row>
    <row r="27" spans="2:15" x14ac:dyDescent="0.25">
      <c r="B27" s="860"/>
      <c r="C27" s="368" t="s">
        <v>258</v>
      </c>
      <c r="D27" s="374">
        <v>0.41</v>
      </c>
      <c r="E27" s="856" t="s">
        <v>234</v>
      </c>
      <c r="F27" s="374">
        <f>D27</f>
        <v>0.41</v>
      </c>
      <c r="G27" s="857" t="s">
        <v>234</v>
      </c>
      <c r="H27" s="379">
        <f>$H$8</f>
        <v>23</v>
      </c>
      <c r="I27" s="379"/>
      <c r="J27" s="379">
        <f>$H$27*$F$27</f>
        <v>9.43</v>
      </c>
      <c r="K27" s="367">
        <v>117212</v>
      </c>
      <c r="L27" s="367"/>
      <c r="M27" s="379">
        <f>$J$27*$K$27</f>
        <v>1105309.1599999999</v>
      </c>
      <c r="N27" s="401">
        <f>$M$27/($N$5*1000)</f>
        <v>4.3735203088448166E-2</v>
      </c>
      <c r="O27" s="858">
        <f>($M$27/$N$6)/$N$5</f>
        <v>2.8132769257975146E-3</v>
      </c>
    </row>
    <row r="28" spans="2:15" x14ac:dyDescent="0.25">
      <c r="B28" s="861"/>
      <c r="C28" s="368" t="s">
        <v>259</v>
      </c>
      <c r="D28" s="374">
        <v>0.1</v>
      </c>
      <c r="E28" s="856" t="s">
        <v>234</v>
      </c>
      <c r="F28" s="374">
        <f>D28</f>
        <v>0.1</v>
      </c>
      <c r="G28" s="857" t="s">
        <v>234</v>
      </c>
      <c r="H28" s="379">
        <f>$H$8</f>
        <v>23</v>
      </c>
      <c r="I28" s="379"/>
      <c r="J28" s="379">
        <f>$H$28*$F$28</f>
        <v>2.3000000000000003</v>
      </c>
      <c r="K28" s="367">
        <v>45940</v>
      </c>
      <c r="L28" s="367"/>
      <c r="M28" s="379">
        <f>$J$28*$K$28</f>
        <v>105662.00000000001</v>
      </c>
      <c r="N28" s="401">
        <f>$M$28/($N$5*1000)</f>
        <v>4.1808655858163804E-3</v>
      </c>
      <c r="O28" s="858">
        <f>($M$28/$N$6)/$N$5</f>
        <v>2.6893513352736266E-4</v>
      </c>
    </row>
    <row r="29" spans="2:15" x14ac:dyDescent="0.25">
      <c r="B29" s="859">
        <v>9</v>
      </c>
      <c r="C29" s="366" t="s">
        <v>7</v>
      </c>
      <c r="D29" s="374"/>
      <c r="E29" s="856"/>
      <c r="F29" s="379"/>
      <c r="G29" s="857"/>
      <c r="H29" s="379"/>
      <c r="I29" s="379"/>
      <c r="J29" s="379"/>
      <c r="K29" s="367"/>
      <c r="L29" s="367"/>
      <c r="M29" s="379"/>
      <c r="N29" s="401"/>
      <c r="O29" s="858"/>
    </row>
    <row r="30" spans="2:15" x14ac:dyDescent="0.25">
      <c r="B30" s="860"/>
      <c r="C30" s="375" t="s">
        <v>260</v>
      </c>
      <c r="D30" s="376">
        <v>0.90361445783132532</v>
      </c>
      <c r="E30" s="862" t="s">
        <v>261</v>
      </c>
      <c r="F30" s="376">
        <f t="shared" ref="F30:F35" si="0">D30</f>
        <v>0.90361445783132532</v>
      </c>
      <c r="G30" s="863" t="s">
        <v>261</v>
      </c>
      <c r="H30" s="379">
        <f t="shared" ref="H30:H35" si="1">$H$8</f>
        <v>23</v>
      </c>
      <c r="I30" s="379"/>
      <c r="J30" s="379">
        <f>$H$30*$F$30</f>
        <v>20.783132530120483</v>
      </c>
      <c r="K30" s="367">
        <v>40000</v>
      </c>
      <c r="L30" s="367"/>
      <c r="M30" s="379">
        <f>$J$30*$K$30</f>
        <v>831325.30120481935</v>
      </c>
      <c r="N30" s="401">
        <f>$M$30/($N$5*1000)</f>
        <v>3.2894127902421549E-2</v>
      </c>
      <c r="O30" s="858">
        <f>($M$30/$N$6)/$N$5</f>
        <v>2.1159222888473914E-3</v>
      </c>
    </row>
    <row r="31" spans="2:15" x14ac:dyDescent="0.25">
      <c r="B31" s="860"/>
      <c r="C31" s="375" t="s">
        <v>262</v>
      </c>
      <c r="D31" s="376">
        <v>0.63253012048192769</v>
      </c>
      <c r="E31" s="862" t="s">
        <v>261</v>
      </c>
      <c r="F31" s="376">
        <f t="shared" si="0"/>
        <v>0.63253012048192769</v>
      </c>
      <c r="G31" s="863" t="s">
        <v>261</v>
      </c>
      <c r="H31" s="379">
        <f t="shared" si="1"/>
        <v>23</v>
      </c>
      <c r="I31" s="379"/>
      <c r="J31" s="379">
        <f>$H$31*$F$31</f>
        <v>14.548192771084336</v>
      </c>
      <c r="K31" s="367">
        <v>125000</v>
      </c>
      <c r="L31" s="367"/>
      <c r="M31" s="379">
        <f>$J$31*$K$31</f>
        <v>1818524.0963855421</v>
      </c>
      <c r="N31" s="401">
        <f>$M$31/($N$5*1000)</f>
        <v>7.195590478654712E-2</v>
      </c>
      <c r="O31" s="858">
        <f>($M$31/$N$6)/$N$5</f>
        <v>4.628580006853668E-3</v>
      </c>
    </row>
    <row r="32" spans="2:15" x14ac:dyDescent="0.25">
      <c r="B32" s="860"/>
      <c r="C32" s="375" t="s">
        <v>263</v>
      </c>
      <c r="D32" s="376">
        <v>1.5666666666666667</v>
      </c>
      <c r="E32" s="862" t="s">
        <v>261</v>
      </c>
      <c r="F32" s="376">
        <f t="shared" si="0"/>
        <v>1.5666666666666667</v>
      </c>
      <c r="G32" s="863" t="s">
        <v>261</v>
      </c>
      <c r="H32" s="379">
        <f t="shared" si="1"/>
        <v>23</v>
      </c>
      <c r="I32" s="379"/>
      <c r="J32" s="379">
        <f>$H$32*$F$32</f>
        <v>36.033333333333331</v>
      </c>
      <c r="K32" s="367">
        <v>145000</v>
      </c>
      <c r="L32" s="367"/>
      <c r="M32" s="379">
        <f>$J$32*$K$32</f>
        <v>5224833.333333333</v>
      </c>
      <c r="N32" s="401">
        <f>$M$32/($N$5*1000)</f>
        <v>0.20673776641516925</v>
      </c>
      <c r="O32" s="858">
        <f>($M$32/$N$6)/$N$5</f>
        <v>1.3298454034167583E-2</v>
      </c>
    </row>
    <row r="33" spans="2:15" x14ac:dyDescent="0.25">
      <c r="B33" s="860"/>
      <c r="C33" s="375" t="s">
        <v>264</v>
      </c>
      <c r="D33" s="376">
        <v>0.12048192771084337</v>
      </c>
      <c r="E33" s="862" t="s">
        <v>261</v>
      </c>
      <c r="F33" s="376">
        <f t="shared" si="0"/>
        <v>0.12048192771084337</v>
      </c>
      <c r="G33" s="863" t="s">
        <v>261</v>
      </c>
      <c r="H33" s="379">
        <f t="shared" si="1"/>
        <v>23</v>
      </c>
      <c r="I33" s="379"/>
      <c r="J33" s="379">
        <f>$H$33*$F$33</f>
        <v>2.7710843373493974</v>
      </c>
      <c r="K33" s="367">
        <v>682500</v>
      </c>
      <c r="L33" s="367"/>
      <c r="M33" s="379">
        <f>$J$33*$K$33</f>
        <v>1891265.0602409637</v>
      </c>
      <c r="N33" s="401">
        <f>$M$33/($N$5*1000)</f>
        <v>7.4834140978009001E-2</v>
      </c>
      <c r="O33" s="858">
        <f>($M$33/$N$6)/$N$5</f>
        <v>4.8137232071278147E-3</v>
      </c>
    </row>
    <row r="34" spans="2:15" x14ac:dyDescent="0.25">
      <c r="B34" s="861"/>
      <c r="C34" s="375" t="s">
        <v>265</v>
      </c>
      <c r="D34" s="377">
        <v>3.6144578313253013</v>
      </c>
      <c r="E34" s="862" t="s">
        <v>261</v>
      </c>
      <c r="F34" s="376">
        <f t="shared" si="0"/>
        <v>3.6144578313253013</v>
      </c>
      <c r="G34" s="863" t="s">
        <v>261</v>
      </c>
      <c r="H34" s="379">
        <f t="shared" si="1"/>
        <v>23</v>
      </c>
      <c r="I34" s="379"/>
      <c r="J34" s="379">
        <f>$H$34*$F$34</f>
        <v>83.132530120481931</v>
      </c>
      <c r="K34" s="367">
        <v>14500</v>
      </c>
      <c r="L34" s="367"/>
      <c r="M34" s="379">
        <f>$J$34*$K$34</f>
        <v>1205421.686746988</v>
      </c>
      <c r="N34" s="401">
        <f>$M$34/($N$5*1000)</f>
        <v>4.769648545851124E-2</v>
      </c>
      <c r="O34" s="858">
        <f>($M$34/$N$6)/$N$5</f>
        <v>3.0680873188287171E-3</v>
      </c>
    </row>
    <row r="35" spans="2:15" x14ac:dyDescent="0.25">
      <c r="B35" s="855">
        <v>10</v>
      </c>
      <c r="C35" s="378" t="s">
        <v>365</v>
      </c>
      <c r="D35" s="379">
        <f>'Desember 2024'!$AM$266</f>
        <v>165.91304347826087</v>
      </c>
      <c r="E35" s="856" t="s">
        <v>254</v>
      </c>
      <c r="F35" s="398">
        <f t="shared" si="0"/>
        <v>165.91304347826087</v>
      </c>
      <c r="G35" s="863" t="s">
        <v>254</v>
      </c>
      <c r="H35" s="379">
        <f t="shared" si="1"/>
        <v>23</v>
      </c>
      <c r="I35" s="379"/>
      <c r="J35" s="379">
        <f>$H$35*$F$35</f>
        <v>3816</v>
      </c>
      <c r="K35" s="367">
        <f>WWTP!H17</f>
        <v>25456.970076804013</v>
      </c>
      <c r="L35" s="367"/>
      <c r="M35" s="379">
        <f>$J$35*$K$35</f>
        <v>97143797.813084111</v>
      </c>
      <c r="N35" s="401">
        <f>$M$35/($N$5*1000)</f>
        <v>3.8438148166060442</v>
      </c>
      <c r="O35" s="858">
        <f>($M$35/$N$6)/$N$5</f>
        <v>0.24725426583082749</v>
      </c>
    </row>
    <row r="36" spans="2:15" x14ac:dyDescent="0.25">
      <c r="B36" s="860">
        <v>11</v>
      </c>
      <c r="C36" s="380" t="s">
        <v>266</v>
      </c>
      <c r="D36" s="377"/>
      <c r="E36" s="862"/>
      <c r="F36" s="382"/>
      <c r="G36" s="863"/>
      <c r="H36" s="379"/>
      <c r="I36" s="379"/>
      <c r="J36" s="379"/>
      <c r="K36" s="381"/>
      <c r="L36" s="381"/>
      <c r="M36" s="379"/>
      <c r="N36" s="401"/>
      <c r="O36" s="858"/>
    </row>
    <row r="37" spans="2:15" x14ac:dyDescent="0.25">
      <c r="B37" s="860"/>
      <c r="C37" s="375" t="s">
        <v>267</v>
      </c>
      <c r="D37" s="382">
        <f>'Desember 2024'!$AM$87</f>
        <v>231452.55410160145</v>
      </c>
      <c r="E37" s="862" t="s">
        <v>234</v>
      </c>
      <c r="F37" s="382">
        <f>D37</f>
        <v>231452.55410160145</v>
      </c>
      <c r="G37" s="863" t="s">
        <v>234</v>
      </c>
      <c r="H37" s="379">
        <f>$H$8</f>
        <v>23</v>
      </c>
      <c r="I37" s="379"/>
      <c r="J37" s="379">
        <f>$F$37</f>
        <v>231452.55410160145</v>
      </c>
      <c r="K37" s="381">
        <v>275</v>
      </c>
      <c r="L37" s="381"/>
      <c r="M37" s="379">
        <f>$J$37*$K$37</f>
        <v>63649452.377940401</v>
      </c>
      <c r="N37" s="401">
        <f>$M$37/($N$5*1000)</f>
        <v>2.5185005489484351</v>
      </c>
      <c r="O37" s="858">
        <f>($M$37/$N$6)/$N$5</f>
        <v>0.16200312292219446</v>
      </c>
    </row>
    <row r="38" spans="2:15" x14ac:dyDescent="0.25">
      <c r="B38" s="860"/>
      <c r="C38" s="375" t="s">
        <v>268</v>
      </c>
      <c r="D38" s="376">
        <v>0.1</v>
      </c>
      <c r="E38" s="862" t="s">
        <v>269</v>
      </c>
      <c r="F38" s="376">
        <f>D38</f>
        <v>0.1</v>
      </c>
      <c r="G38" s="863" t="s">
        <v>269</v>
      </c>
      <c r="H38" s="379">
        <f>$H$8</f>
        <v>23</v>
      </c>
      <c r="I38" s="379"/>
      <c r="J38" s="379">
        <f>$H$38*$F$38</f>
        <v>2.3000000000000003</v>
      </c>
      <c r="K38" s="381">
        <v>303030.30303030298</v>
      </c>
      <c r="L38" s="381"/>
      <c r="M38" s="379">
        <f>$J$38*$K$38</f>
        <v>696969.6969696969</v>
      </c>
      <c r="N38" s="401">
        <f>$M$38/($N$5*1000)</f>
        <v>2.7577905211121089E-2</v>
      </c>
      <c r="O38" s="858">
        <f>($M$38/$N$6)/$N$5</f>
        <v>1.7739550502457924E-3</v>
      </c>
    </row>
    <row r="39" spans="2:15" x14ac:dyDescent="0.25">
      <c r="B39" s="864">
        <v>12</v>
      </c>
      <c r="C39" s="383" t="s">
        <v>366</v>
      </c>
      <c r="D39" s="384"/>
      <c r="E39" s="865"/>
      <c r="F39" s="384"/>
      <c r="G39" s="866"/>
      <c r="H39" s="379"/>
      <c r="I39" s="867"/>
      <c r="J39" s="379"/>
      <c r="K39" s="385"/>
      <c r="L39" s="385"/>
      <c r="M39" s="379"/>
      <c r="N39" s="401">
        <f>$M$39/($N$5*1000)</f>
        <v>0</v>
      </c>
      <c r="O39" s="858">
        <f>($M$39/$N$6)/$N$5</f>
        <v>0</v>
      </c>
    </row>
    <row r="40" spans="2:15" x14ac:dyDescent="0.25">
      <c r="B40" s="868"/>
      <c r="C40" s="386" t="s">
        <v>270</v>
      </c>
      <c r="D40" s="384">
        <f>lab!H33</f>
        <v>745255.21064425772</v>
      </c>
      <c r="E40" s="865" t="s">
        <v>271</v>
      </c>
      <c r="F40" s="384">
        <f>D40</f>
        <v>745255.21064425772</v>
      </c>
      <c r="G40" s="866" t="s">
        <v>271</v>
      </c>
      <c r="H40" s="379">
        <f>$H$8</f>
        <v>23</v>
      </c>
      <c r="I40" s="867"/>
      <c r="J40" s="379"/>
      <c r="K40" s="385"/>
      <c r="L40" s="385"/>
      <c r="M40" s="379">
        <f>$H$40*$F$40</f>
        <v>17140869.844817929</v>
      </c>
      <c r="N40" s="401">
        <f>$M$40/($N$5*1000)</f>
        <v>0.678235059388967</v>
      </c>
      <c r="O40" s="858">
        <f>($M$40/$N$6)/$N$5</f>
        <v>4.3627625073264308E-2</v>
      </c>
    </row>
    <row r="41" spans="2:15" x14ac:dyDescent="0.25">
      <c r="B41" s="868"/>
      <c r="C41" s="386" t="s">
        <v>367</v>
      </c>
      <c r="D41" s="384">
        <f>lab!H54</f>
        <v>259161.44425770309</v>
      </c>
      <c r="E41" s="865" t="s">
        <v>271</v>
      </c>
      <c r="F41" s="384">
        <f>D41</f>
        <v>259161.44425770309</v>
      </c>
      <c r="G41" s="866" t="s">
        <v>271</v>
      </c>
      <c r="H41" s="379">
        <f>$H$8</f>
        <v>23</v>
      </c>
      <c r="I41" s="867"/>
      <c r="J41" s="379"/>
      <c r="K41" s="385"/>
      <c r="L41" s="385"/>
      <c r="M41" s="379">
        <f>$H$41*$F$41</f>
        <v>5960713.2179271709</v>
      </c>
      <c r="N41" s="401">
        <f>$M$41/($N$5*1000)</f>
        <v>0.23585528155583388</v>
      </c>
      <c r="O41" s="858">
        <f>($M$41/$N$6)/$N$5</f>
        <v>1.5171444844708214E-2</v>
      </c>
    </row>
    <row r="42" spans="2:15" x14ac:dyDescent="0.25">
      <c r="B42" s="868"/>
      <c r="C42" s="386" t="s">
        <v>272</v>
      </c>
      <c r="D42" s="384">
        <v>13909.09090909091</v>
      </c>
      <c r="E42" s="865" t="s">
        <v>271</v>
      </c>
      <c r="F42" s="384">
        <f>D42</f>
        <v>13909.09090909091</v>
      </c>
      <c r="G42" s="866" t="s">
        <v>271</v>
      </c>
      <c r="H42" s="379">
        <f>$H$8</f>
        <v>23</v>
      </c>
      <c r="I42" s="867"/>
      <c r="J42" s="379"/>
      <c r="K42" s="385"/>
      <c r="L42" s="385"/>
      <c r="M42" s="379">
        <f>$H$42*$F$42</f>
        <v>319909.09090909094</v>
      </c>
      <c r="N42" s="401">
        <f>$M$42/($N$5*1000)</f>
        <v>1.2658258491904583E-2</v>
      </c>
      <c r="O42" s="858">
        <f>($M$42/$N$6)/$N$5</f>
        <v>8.1424536806281884E-4</v>
      </c>
    </row>
    <row r="43" spans="2:15" x14ac:dyDescent="0.25">
      <c r="B43" s="868"/>
      <c r="C43" s="386" t="s">
        <v>368</v>
      </c>
      <c r="D43" s="384">
        <f>[18]Chemical!$H$61</f>
        <v>27103.641456582631</v>
      </c>
      <c r="E43" s="865" t="s">
        <v>271</v>
      </c>
      <c r="F43" s="384">
        <f>D43</f>
        <v>27103.641456582631</v>
      </c>
      <c r="G43" s="866" t="s">
        <v>271</v>
      </c>
      <c r="H43" s="379">
        <f>$H$8</f>
        <v>23</v>
      </c>
      <c r="I43" s="867"/>
      <c r="J43" s="379"/>
      <c r="K43" s="385"/>
      <c r="L43" s="385"/>
      <c r="M43" s="379">
        <f>$H$43*$F$43</f>
        <v>623383.75350140047</v>
      </c>
      <c r="N43" s="401">
        <f>$M$43/($N$5*1000)</f>
        <v>2.4666234613872975E-2</v>
      </c>
      <c r="O43" s="858">
        <f>($M$43/$N$6)/$N$5</f>
        <v>1.5866611741845475E-3</v>
      </c>
    </row>
    <row r="44" spans="2:15" x14ac:dyDescent="0.25">
      <c r="B44" s="869"/>
      <c r="C44" s="386" t="s">
        <v>273</v>
      </c>
      <c r="D44" s="384">
        <f>lab!I111</f>
        <v>135770.30812324933</v>
      </c>
      <c r="E44" s="865" t="s">
        <v>271</v>
      </c>
      <c r="F44" s="384">
        <f>D44</f>
        <v>135770.30812324933</v>
      </c>
      <c r="G44" s="866" t="s">
        <v>271</v>
      </c>
      <c r="H44" s="379">
        <f>$H$8</f>
        <v>23</v>
      </c>
      <c r="I44" s="867"/>
      <c r="J44" s="379"/>
      <c r="K44" s="385"/>
      <c r="L44" s="385"/>
      <c r="M44" s="379">
        <f>$H$44*$F$44</f>
        <v>3122717.0868347343</v>
      </c>
      <c r="N44" s="401">
        <f>$M$44/($N$5*1000)</f>
        <v>0.12356060270095323</v>
      </c>
      <c r="O44" s="858">
        <f>($M$44/$N$6)/$N$5</f>
        <v>7.9480639843659603E-3</v>
      </c>
    </row>
    <row r="45" spans="2:15" x14ac:dyDescent="0.25">
      <c r="B45" s="860">
        <v>13</v>
      </c>
      <c r="C45" s="378" t="s">
        <v>274</v>
      </c>
      <c r="D45" s="379"/>
      <c r="E45" s="856"/>
      <c r="F45" s="374"/>
      <c r="G45" s="857"/>
      <c r="H45" s="379"/>
      <c r="I45" s="379"/>
      <c r="J45" s="379"/>
      <c r="K45" s="367"/>
      <c r="L45" s="367"/>
      <c r="M45" s="379"/>
      <c r="N45" s="401"/>
      <c r="O45" s="858"/>
    </row>
    <row r="46" spans="2:15" x14ac:dyDescent="0.25">
      <c r="B46" s="860"/>
      <c r="C46" s="368" t="s">
        <v>275</v>
      </c>
      <c r="D46" s="374">
        <v>15.4</v>
      </c>
      <c r="E46" s="857" t="s">
        <v>276</v>
      </c>
      <c r="F46" s="379">
        <f>D46</f>
        <v>15.4</v>
      </c>
      <c r="G46" s="857" t="s">
        <v>276</v>
      </c>
      <c r="H46" s="379">
        <f>$H$8</f>
        <v>23</v>
      </c>
      <c r="I46" s="379"/>
      <c r="J46" s="379">
        <f>$H$46*$F$46</f>
        <v>354.2</v>
      </c>
      <c r="K46" s="367">
        <v>14500</v>
      </c>
      <c r="L46" s="367"/>
      <c r="M46" s="379">
        <f>$J$46*$K$46</f>
        <v>5135900</v>
      </c>
      <c r="N46" s="401">
        <f>$M$46/($N$5*1000)</f>
        <v>0.20321882571023023</v>
      </c>
      <c r="O46" s="858">
        <f>($M$46/$N$6)/$N$5</f>
        <v>1.307209736975622E-2</v>
      </c>
    </row>
    <row r="47" spans="2:15" ht="15.75" thickBot="1" x14ac:dyDescent="0.3">
      <c r="B47" s="870"/>
      <c r="C47" s="871" t="s">
        <v>277</v>
      </c>
      <c r="D47" s="872">
        <v>0</v>
      </c>
      <c r="E47" s="873" t="s">
        <v>276</v>
      </c>
      <c r="F47" s="874">
        <f>D47</f>
        <v>0</v>
      </c>
      <c r="G47" s="873" t="s">
        <v>276</v>
      </c>
      <c r="H47" s="874">
        <f>$H$8</f>
        <v>23</v>
      </c>
      <c r="I47" s="874"/>
      <c r="J47" s="874">
        <f>$H$47*$F$47</f>
        <v>0</v>
      </c>
      <c r="K47" s="875">
        <v>14500</v>
      </c>
      <c r="L47" s="875"/>
      <c r="M47" s="874">
        <f>$J$47*$K$47</f>
        <v>0</v>
      </c>
      <c r="N47" s="876">
        <f>$M$47/($N$5*1000)</f>
        <v>0</v>
      </c>
      <c r="O47" s="877">
        <f>($M$47/$N$6)/$N$5</f>
        <v>0</v>
      </c>
    </row>
    <row r="48" spans="2:15" ht="21.6" customHeight="1" thickBot="1" x14ac:dyDescent="0.3">
      <c r="B48" s="404"/>
      <c r="C48" s="387"/>
      <c r="D48" s="388"/>
      <c r="E48" s="388"/>
      <c r="F48" s="389"/>
      <c r="G48" s="389"/>
      <c r="H48" s="389"/>
      <c r="I48" s="389"/>
      <c r="J48" s="389"/>
      <c r="K48" s="388"/>
      <c r="L48" s="388"/>
      <c r="M48" s="878">
        <f>SUM($M$8:$M$47)</f>
        <v>4075111025.9438472</v>
      </c>
      <c r="N48" s="879">
        <f>SUM($N$8:$N$47)</f>
        <v>161.24521064100165</v>
      </c>
      <c r="O48" s="879">
        <f>SUM($O$8:$O$47)</f>
        <v>10.372134995561661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O23" sqref="O23"/>
    </sheetView>
  </sheetViews>
  <sheetFormatPr defaultRowHeight="15" x14ac:dyDescent="0.25"/>
  <cols>
    <col min="1" max="1" width="7.285156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28515625" customWidth="1"/>
    <col min="10" max="10" width="17" customWidth="1"/>
    <col min="11" max="11" width="11.710937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32" t="s">
        <v>278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33" t="s">
        <v>279</v>
      </c>
      <c r="C3" s="834"/>
      <c r="D3" s="835"/>
      <c r="E3" s="835"/>
      <c r="F3" s="835"/>
      <c r="G3" s="835"/>
      <c r="H3" s="835"/>
      <c r="I3" s="835"/>
      <c r="J3" s="835"/>
      <c r="K3" s="835"/>
      <c r="L3" s="835"/>
      <c r="M3" s="835"/>
      <c r="N3" s="880" t="s">
        <v>381</v>
      </c>
      <c r="O3" s="881">
        <f>'Desember 2024'!AM23/1000</f>
        <v>1147.4684285714286</v>
      </c>
    </row>
    <row r="4" spans="2:15" x14ac:dyDescent="0.25">
      <c r="B4" s="837" t="s">
        <v>281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3" t="s">
        <v>228</v>
      </c>
      <c r="O4" s="882">
        <f>'Desember 2024'!AM22</f>
        <v>21</v>
      </c>
    </row>
    <row r="5" spans="2:15" x14ac:dyDescent="0.25">
      <c r="B5" s="839" t="s">
        <v>230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3" t="s">
        <v>280</v>
      </c>
      <c r="O5" s="882">
        <f>O3*O4</f>
        <v>24096.837</v>
      </c>
    </row>
    <row r="6" spans="2:15" ht="15.75" thickBot="1" x14ac:dyDescent="0.3">
      <c r="B6" s="840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883" t="s">
        <v>232</v>
      </c>
      <c r="O6" s="1187">
        <f>'SUMMARY HPP '!I9</f>
        <v>15546</v>
      </c>
    </row>
    <row r="7" spans="2:15" ht="15.75" thickBot="1" x14ac:dyDescent="0.3">
      <c r="B7" s="842" t="s">
        <v>99</v>
      </c>
      <c r="C7" s="843" t="s">
        <v>218</v>
      </c>
      <c r="D7" s="2084" t="s">
        <v>219</v>
      </c>
      <c r="E7" s="2084"/>
      <c r="F7" s="2085" t="s">
        <v>220</v>
      </c>
      <c r="G7" s="2085"/>
      <c r="H7" s="2086" t="s">
        <v>221</v>
      </c>
      <c r="I7" s="2087"/>
      <c r="J7" s="845" t="s">
        <v>222</v>
      </c>
      <c r="K7" s="2088" t="s">
        <v>223</v>
      </c>
      <c r="L7" s="2089"/>
      <c r="M7" s="844" t="s">
        <v>224</v>
      </c>
      <c r="N7" s="844" t="s">
        <v>225</v>
      </c>
      <c r="O7" s="846" t="s">
        <v>226</v>
      </c>
    </row>
    <row r="8" spans="2:15" ht="15.75" thickTop="1" x14ac:dyDescent="0.25">
      <c r="B8" s="861">
        <v>1</v>
      </c>
      <c r="C8" s="395" t="s">
        <v>133</v>
      </c>
      <c r="D8" s="396">
        <f>'Desember 2024'!AM252</f>
        <v>59.116633828163529</v>
      </c>
      <c r="E8" s="397" t="s">
        <v>245</v>
      </c>
      <c r="F8" s="398">
        <f>$D$8*$O$3/1000</f>
        <v>67.834470921235365</v>
      </c>
      <c r="G8" s="398" t="s">
        <v>246</v>
      </c>
      <c r="H8" s="398">
        <f>$O$4</f>
        <v>21</v>
      </c>
      <c r="I8" s="398"/>
      <c r="J8" s="398">
        <f>$H$8*$F$8</f>
        <v>1424.5238893459427</v>
      </c>
      <c r="K8" s="399">
        <f>Steam!H15</f>
        <v>183326.67959916082</v>
      </c>
      <c r="L8" s="399"/>
      <c r="M8" s="398">
        <f>$K$8*$J$8</f>
        <v>261153234.64347407</v>
      </c>
      <c r="N8" s="400">
        <f>$M$8/($O$5*1000)</f>
        <v>10.837656188796648</v>
      </c>
      <c r="O8" s="884">
        <f>($M$8/$O$6)/$O$5</f>
        <v>0.69713470917256204</v>
      </c>
    </row>
    <row r="9" spans="2:15" x14ac:dyDescent="0.25">
      <c r="B9" s="859">
        <v>2</v>
      </c>
      <c r="C9" s="378" t="s">
        <v>282</v>
      </c>
      <c r="D9" s="373"/>
      <c r="E9" s="370"/>
      <c r="F9" s="379"/>
      <c r="G9" s="379"/>
      <c r="H9" s="379"/>
      <c r="I9" s="379"/>
      <c r="J9" s="379"/>
      <c r="K9" s="367"/>
      <c r="L9" s="367"/>
      <c r="M9" s="379"/>
      <c r="N9" s="401"/>
      <c r="O9" s="858"/>
    </row>
    <row r="10" spans="2:15" x14ac:dyDescent="0.25">
      <c r="B10" s="860"/>
      <c r="C10" s="368" t="s">
        <v>244</v>
      </c>
      <c r="D10" s="372">
        <f>'Desember 2024'!$AM$280</f>
        <v>6.8307774818540814</v>
      </c>
      <c r="E10" s="370" t="s">
        <v>248</v>
      </c>
      <c r="F10" s="379">
        <f>$D$10*$O$3</f>
        <v>7838.1015030242033</v>
      </c>
      <c r="G10" s="379" t="s">
        <v>249</v>
      </c>
      <c r="H10" s="379">
        <f>$O$4</f>
        <v>21</v>
      </c>
      <c r="I10" s="379">
        <v>0</v>
      </c>
      <c r="J10" s="379">
        <f>$H$10*$F$10</f>
        <v>164600.13156350827</v>
      </c>
      <c r="K10" s="367">
        <f>[18]Electric!$L$5</f>
        <v>1550</v>
      </c>
      <c r="L10" s="367">
        <v>3666.6666666666665</v>
      </c>
      <c r="M10" s="379">
        <f>($F$10*$H$10*$K$10)+($F$10*$I$10*$L$10)</f>
        <v>255130203.92343783</v>
      </c>
      <c r="N10" s="400">
        <f>$M$10/($O$5*1000)</f>
        <v>10.587705096873828</v>
      </c>
      <c r="O10" s="884">
        <f>($M$10/$O$6)/$O$5</f>
        <v>0.68105654810715477</v>
      </c>
    </row>
    <row r="11" spans="2:15" x14ac:dyDescent="0.25">
      <c r="B11" s="861"/>
      <c r="C11" s="368" t="s">
        <v>250</v>
      </c>
      <c r="D11" s="372">
        <f>'Desember 2024'!$AM$278</f>
        <v>6.8299994604446406</v>
      </c>
      <c r="E11" s="370" t="s">
        <v>248</v>
      </c>
      <c r="F11" s="379">
        <f>$D$11*$O$3</f>
        <v>7837.2087480201171</v>
      </c>
      <c r="G11" s="379" t="s">
        <v>249</v>
      </c>
      <c r="H11" s="379">
        <f>$H$10</f>
        <v>21</v>
      </c>
      <c r="I11" s="379">
        <v>0</v>
      </c>
      <c r="J11" s="379">
        <f>$H$11*$F$11</f>
        <v>164581.38370842245</v>
      </c>
      <c r="K11" s="367">
        <f>$K$10</f>
        <v>1550</v>
      </c>
      <c r="L11" s="367">
        <v>3666.6666666666665</v>
      </c>
      <c r="M11" s="379">
        <f>($F$11*$H$11*$K$11)+($F$11*$I$11*$L$11)</f>
        <v>255101144.7480548</v>
      </c>
      <c r="N11" s="400">
        <f>$M$11/($O$5*1000)</f>
        <v>10.586499163689194</v>
      </c>
      <c r="O11" s="884">
        <f>($M$11/$O$6)/$O$5</f>
        <v>0.68097897617967285</v>
      </c>
    </row>
    <row r="12" spans="2:15" x14ac:dyDescent="0.25">
      <c r="B12" s="860">
        <v>3</v>
      </c>
      <c r="C12" s="366" t="s">
        <v>252</v>
      </c>
      <c r="D12" s="372"/>
      <c r="E12" s="370"/>
      <c r="F12" s="379"/>
      <c r="G12" s="379"/>
      <c r="H12" s="379"/>
      <c r="I12" s="379"/>
      <c r="J12" s="379"/>
      <c r="K12" s="367"/>
      <c r="L12" s="367"/>
      <c r="M12" s="379"/>
      <c r="N12" s="401"/>
      <c r="O12" s="858"/>
    </row>
    <row r="13" spans="2:15" x14ac:dyDescent="0.25">
      <c r="B13" s="860"/>
      <c r="C13" s="368" t="s">
        <v>253</v>
      </c>
      <c r="D13" s="369">
        <f>'Desember 2024'!$AM$262</f>
        <v>46.313132300309789</v>
      </c>
      <c r="E13" s="370" t="s">
        <v>254</v>
      </c>
      <c r="F13" s="379">
        <f>$D$13</f>
        <v>46.313132300309789</v>
      </c>
      <c r="G13" s="379" t="s">
        <v>254</v>
      </c>
      <c r="H13" s="379">
        <f>$H$11</f>
        <v>21</v>
      </c>
      <c r="I13" s="379"/>
      <c r="J13" s="379">
        <f>$H$13*$F$13</f>
        <v>972.57577830650553</v>
      </c>
      <c r="K13" s="367">
        <f>WTP!H13</f>
        <v>16370.605244153103</v>
      </c>
      <c r="L13" s="367"/>
      <c r="M13" s="398">
        <f>$K$13*$J$13</f>
        <v>15921654.136680765</v>
      </c>
      <c r="N13" s="400">
        <f>$M$13/($O$5*1000)</f>
        <v>0.66073626744791303</v>
      </c>
      <c r="O13" s="884">
        <f>($M$13/$O$6)/$O$5</f>
        <v>4.2502011285727066E-2</v>
      </c>
    </row>
    <row r="14" spans="2:15" x14ac:dyDescent="0.25">
      <c r="B14" s="859">
        <v>4</v>
      </c>
      <c r="C14" s="366" t="s">
        <v>255</v>
      </c>
      <c r="D14" s="379"/>
      <c r="E14" s="370"/>
      <c r="F14" s="379"/>
      <c r="G14" s="379"/>
      <c r="H14" s="379"/>
      <c r="I14" s="379"/>
      <c r="J14" s="379"/>
      <c r="K14" s="367"/>
      <c r="L14" s="367"/>
      <c r="M14" s="379"/>
      <c r="N14" s="401"/>
      <c r="O14" s="858"/>
    </row>
    <row r="15" spans="2:15" x14ac:dyDescent="0.25">
      <c r="B15" s="860"/>
      <c r="C15" s="368" t="s">
        <v>256</v>
      </c>
      <c r="D15" s="374">
        <v>0.4</v>
      </c>
      <c r="E15" s="370" t="s">
        <v>234</v>
      </c>
      <c r="F15" s="374">
        <f>$D$15</f>
        <v>0.4</v>
      </c>
      <c r="G15" s="379" t="s">
        <v>234</v>
      </c>
      <c r="H15" s="379">
        <f>$H$13</f>
        <v>21</v>
      </c>
      <c r="I15" s="379"/>
      <c r="J15" s="379">
        <f>$H$15*$F$15</f>
        <v>8.4</v>
      </c>
      <c r="K15" s="367">
        <v>27240</v>
      </c>
      <c r="L15" s="367"/>
      <c r="M15" s="398">
        <f>$K$15*$J$15</f>
        <v>228816</v>
      </c>
      <c r="N15" s="400">
        <f>$M$15/($O$5*1000)</f>
        <v>9.495686093573194E-3</v>
      </c>
      <c r="O15" s="884">
        <f>($M$15/$O$6)/$O$5</f>
        <v>6.1081217635232182E-4</v>
      </c>
    </row>
    <row r="16" spans="2:15" x14ac:dyDescent="0.25">
      <c r="B16" s="860"/>
      <c r="C16" s="368" t="s">
        <v>257</v>
      </c>
      <c r="D16" s="374">
        <v>0.66</v>
      </c>
      <c r="E16" s="370" t="s">
        <v>234</v>
      </c>
      <c r="F16" s="374">
        <f>$D$16</f>
        <v>0.66</v>
      </c>
      <c r="G16" s="379" t="s">
        <v>234</v>
      </c>
      <c r="H16" s="379">
        <f>$H$15</f>
        <v>21</v>
      </c>
      <c r="I16" s="379"/>
      <c r="J16" s="379">
        <f>$H$16*$F$16</f>
        <v>13.860000000000001</v>
      </c>
      <c r="K16" s="367">
        <v>29120</v>
      </c>
      <c r="L16" s="367"/>
      <c r="M16" s="398">
        <f>$K$16*$J$16</f>
        <v>403603.20000000001</v>
      </c>
      <c r="N16" s="400">
        <f>$M$16/($O$5*1000)</f>
        <v>1.6749218995007521E-2</v>
      </c>
      <c r="O16" s="884">
        <f>($M$16/$O$6)/$O$5</f>
        <v>1.0773973366144036E-3</v>
      </c>
    </row>
    <row r="17" spans="2:15" x14ac:dyDescent="0.25">
      <c r="B17" s="860"/>
      <c r="C17" s="368" t="s">
        <v>258</v>
      </c>
      <c r="D17" s="374">
        <v>0.41</v>
      </c>
      <c r="E17" s="370" t="s">
        <v>234</v>
      </c>
      <c r="F17" s="374">
        <f>$D$17</f>
        <v>0.41</v>
      </c>
      <c r="G17" s="379" t="s">
        <v>234</v>
      </c>
      <c r="H17" s="379">
        <f>$H$15</f>
        <v>21</v>
      </c>
      <c r="I17" s="379"/>
      <c r="J17" s="379">
        <f>$H$17*$F$17</f>
        <v>8.61</v>
      </c>
      <c r="K17" s="367">
        <v>117212</v>
      </c>
      <c r="L17" s="367"/>
      <c r="M17" s="398">
        <f>$K$17*$J$17</f>
        <v>1009195.32</v>
      </c>
      <c r="N17" s="400">
        <f>$M$17/($O$5*1000)</f>
        <v>4.1880821121875869E-2</v>
      </c>
      <c r="O17" s="884">
        <f>($M$17/$O$6)/$O$5</f>
        <v>2.6939933823411726E-3</v>
      </c>
    </row>
    <row r="18" spans="2:15" x14ac:dyDescent="0.25">
      <c r="B18" s="860"/>
      <c r="C18" s="375" t="s">
        <v>259</v>
      </c>
      <c r="D18" s="374">
        <v>0.1</v>
      </c>
      <c r="E18" s="370" t="s">
        <v>234</v>
      </c>
      <c r="F18" s="374">
        <f>$D$18</f>
        <v>0.1</v>
      </c>
      <c r="G18" s="379" t="s">
        <v>234</v>
      </c>
      <c r="H18" s="379">
        <f>$H$16</f>
        <v>21</v>
      </c>
      <c r="I18" s="379"/>
      <c r="J18" s="379">
        <f>$H$18*$F$18</f>
        <v>2.1</v>
      </c>
      <c r="K18" s="367">
        <v>45940</v>
      </c>
      <c r="L18" s="367"/>
      <c r="M18" s="398">
        <f>$K$18*$J$18</f>
        <v>96474</v>
      </c>
      <c r="N18" s="400">
        <f>$M$18/($O$5*1000)</f>
        <v>4.0035959906273176E-3</v>
      </c>
      <c r="O18" s="884">
        <f>($M$18/$O$6)/$O$5</f>
        <v>2.5753222633650568E-4</v>
      </c>
    </row>
    <row r="19" spans="2:15" x14ac:dyDescent="0.25">
      <c r="B19" s="859">
        <v>5</v>
      </c>
      <c r="C19" s="402" t="s">
        <v>7</v>
      </c>
      <c r="D19" s="379"/>
      <c r="E19" s="370"/>
      <c r="F19" s="379"/>
      <c r="G19" s="379"/>
      <c r="H19" s="379"/>
      <c r="I19" s="379"/>
      <c r="J19" s="379"/>
      <c r="K19" s="367"/>
      <c r="L19" s="367"/>
      <c r="M19" s="379"/>
      <c r="N19" s="401"/>
      <c r="O19" s="858"/>
    </row>
    <row r="20" spans="2:15" x14ac:dyDescent="0.25">
      <c r="B20" s="860"/>
      <c r="C20" s="403" t="s">
        <v>283</v>
      </c>
      <c r="D20" s="374">
        <v>0.33333333333333331</v>
      </c>
      <c r="E20" s="370" t="s">
        <v>261</v>
      </c>
      <c r="F20" s="374">
        <f>$D$20</f>
        <v>0.33333333333333331</v>
      </c>
      <c r="G20" s="379" t="s">
        <v>261</v>
      </c>
      <c r="H20" s="379">
        <f>$H$18</f>
        <v>21</v>
      </c>
      <c r="I20" s="379"/>
      <c r="J20" s="379">
        <f>$H$20*$F$20</f>
        <v>7</v>
      </c>
      <c r="K20" s="367">
        <v>895000</v>
      </c>
      <c r="L20" s="367"/>
      <c r="M20" s="398">
        <f>$K$20*$J$20</f>
        <v>6265000</v>
      </c>
      <c r="N20" s="400">
        <f>$M$20/($O$5*1000)</f>
        <v>0.2599926289081011</v>
      </c>
      <c r="O20" s="884">
        <f>($M$20/$O$6)/$O$5</f>
        <v>1.6724085225016151E-2</v>
      </c>
    </row>
    <row r="21" spans="2:15" ht="15.75" thickBot="1" x14ac:dyDescent="0.3">
      <c r="B21" s="870"/>
      <c r="C21" s="885" t="s">
        <v>262</v>
      </c>
      <c r="D21" s="872">
        <v>0.63253012048192769</v>
      </c>
      <c r="E21" s="886" t="s">
        <v>261</v>
      </c>
      <c r="F21" s="872">
        <f>$D$21</f>
        <v>0.63253012048192769</v>
      </c>
      <c r="G21" s="874" t="s">
        <v>261</v>
      </c>
      <c r="H21" s="874">
        <f>$H$20</f>
        <v>21</v>
      </c>
      <c r="I21" s="874"/>
      <c r="J21" s="874">
        <f>$H$21*$F$21</f>
        <v>13.283132530120481</v>
      </c>
      <c r="K21" s="875">
        <v>125000</v>
      </c>
      <c r="L21" s="875"/>
      <c r="M21" s="887">
        <f>$K$21*$J$21</f>
        <v>1660391.5662650601</v>
      </c>
      <c r="N21" s="888">
        <f>$M$21/($O$5*1000)</f>
        <v>6.8904959031140064E-2</v>
      </c>
      <c r="O21" s="889">
        <f>($M$21/$O$6)/$O$5</f>
        <v>4.4323272244397314E-3</v>
      </c>
    </row>
    <row r="22" spans="2:15" ht="15.75" thickBot="1" x14ac:dyDescent="0.3">
      <c r="B22" s="404"/>
      <c r="C22" s="387"/>
      <c r="D22" s="388"/>
      <c r="E22" s="388"/>
      <c r="F22" s="389"/>
      <c r="G22" s="389"/>
      <c r="H22" s="389"/>
      <c r="I22" s="389"/>
      <c r="M22" s="878">
        <f>SUM(M8:M21)</f>
        <v>796969717.53791261</v>
      </c>
      <c r="N22" s="879">
        <f>SUM(N8:N21)</f>
        <v>33.073623626947914</v>
      </c>
      <c r="O22" s="879">
        <f>SUM($O$8:$O$21)</f>
        <v>2.1274683923162168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topLeftCell="A7" workbookViewId="0">
      <selection activeCell="M16" sqref="M16"/>
    </sheetView>
  </sheetViews>
  <sheetFormatPr defaultColWidth="8.7109375" defaultRowHeight="15" x14ac:dyDescent="0.25"/>
  <cols>
    <col min="1" max="1" width="8.42578125" style="343" customWidth="1"/>
    <col min="2" max="2" width="5.42578125" style="343" customWidth="1"/>
    <col min="3" max="3" width="24.42578125" style="343" customWidth="1"/>
    <col min="4" max="4" width="5.28515625" style="343" customWidth="1"/>
    <col min="5" max="5" width="46.5703125" style="343" customWidth="1"/>
    <col min="6" max="6" width="5.28515625" style="343" customWidth="1"/>
    <col min="7" max="7" width="18.42578125" style="343" customWidth="1"/>
    <col min="8" max="8" width="10.7109375" style="343" customWidth="1"/>
    <col min="9" max="9" width="13" style="343" customWidth="1"/>
    <col min="10" max="10" width="3.5703125" style="343" customWidth="1"/>
    <col min="11" max="12" width="8.7109375" style="343"/>
    <col min="13" max="13" width="20.42578125" style="343" customWidth="1"/>
    <col min="14" max="16384" width="8.7109375" style="343"/>
  </cols>
  <sheetData>
    <row r="2" spans="2:13" ht="19.5" thickBot="1" x14ac:dyDescent="0.3">
      <c r="B2" s="832" t="s">
        <v>383</v>
      </c>
    </row>
    <row r="3" spans="2:13" x14ac:dyDescent="0.25">
      <c r="B3" s="890" t="s">
        <v>227</v>
      </c>
      <c r="C3" s="891"/>
      <c r="D3" s="891"/>
      <c r="E3" s="891"/>
      <c r="F3" s="891"/>
      <c r="G3" s="892"/>
      <c r="H3" s="893" t="s">
        <v>381</v>
      </c>
      <c r="I3" s="894">
        <f>'HPP REF '!$N$3</f>
        <v>1098.8155217391304</v>
      </c>
    </row>
    <row r="4" spans="2:13" x14ac:dyDescent="0.25">
      <c r="B4" s="895" t="s">
        <v>229</v>
      </c>
      <c r="C4" s="896"/>
      <c r="D4" s="896"/>
      <c r="E4" s="896"/>
      <c r="F4" s="967">
        <v>1</v>
      </c>
      <c r="G4" s="968"/>
      <c r="H4" s="897" t="s">
        <v>228</v>
      </c>
      <c r="I4" s="898">
        <f>'HPP REF '!$N$4</f>
        <v>23</v>
      </c>
    </row>
    <row r="5" spans="2:13" ht="15.75" thickBot="1" x14ac:dyDescent="0.3">
      <c r="B5" s="969" t="s">
        <v>554</v>
      </c>
      <c r="C5" s="970"/>
      <c r="D5" s="970"/>
      <c r="E5" s="970"/>
      <c r="F5" s="970"/>
      <c r="G5" s="901"/>
      <c r="H5" s="971" t="s">
        <v>280</v>
      </c>
      <c r="I5" s="903">
        <f>$I$4*$I$3</f>
        <v>25272.756999999998</v>
      </c>
    </row>
    <row r="6" spans="2:13" x14ac:dyDescent="0.25">
      <c r="B6" s="890" t="s">
        <v>382</v>
      </c>
      <c r="C6" s="891"/>
      <c r="D6" s="891"/>
      <c r="E6" s="891"/>
      <c r="F6" s="891"/>
      <c r="G6" s="972"/>
      <c r="H6" s="893" t="s">
        <v>381</v>
      </c>
      <c r="I6" s="894">
        <f>'HPP FRACT'!$O$3</f>
        <v>1147.4684285714286</v>
      </c>
    </row>
    <row r="7" spans="2:13" x14ac:dyDescent="0.25">
      <c r="B7" s="895" t="s">
        <v>229</v>
      </c>
      <c r="C7" s="896"/>
      <c r="D7" s="896"/>
      <c r="E7" s="896"/>
      <c r="F7" s="896"/>
      <c r="G7" s="968"/>
      <c r="H7" s="897" t="s">
        <v>228</v>
      </c>
      <c r="I7" s="898">
        <f>'HPP FRACT'!$O$4</f>
        <v>21</v>
      </c>
    </row>
    <row r="8" spans="2:13" ht="15.75" thickBot="1" x14ac:dyDescent="0.3">
      <c r="B8" s="969" t="s">
        <v>555</v>
      </c>
      <c r="C8" s="970"/>
      <c r="D8" s="970"/>
      <c r="E8" s="970"/>
      <c r="F8" s="970"/>
      <c r="G8" s="901"/>
      <c r="H8" s="971" t="s">
        <v>280</v>
      </c>
      <c r="I8" s="903">
        <f>$I$7*$I$6</f>
        <v>24096.837</v>
      </c>
    </row>
    <row r="9" spans="2:13" ht="15.75" thickBot="1" x14ac:dyDescent="0.3">
      <c r="B9" s="899" t="s">
        <v>231</v>
      </c>
      <c r="C9" s="900"/>
      <c r="D9" s="900"/>
      <c r="E9" s="900"/>
      <c r="F9" s="900"/>
      <c r="G9" s="901"/>
      <c r="H9" s="902" t="s">
        <v>232</v>
      </c>
      <c r="I9" s="1185">
        <v>15546</v>
      </c>
    </row>
    <row r="10" spans="2:13" ht="15.75" thickBot="1" x14ac:dyDescent="0.3">
      <c r="B10" s="904" t="s">
        <v>99</v>
      </c>
      <c r="C10" s="905" t="s">
        <v>284</v>
      </c>
      <c r="D10" s="2090" t="s">
        <v>285</v>
      </c>
      <c r="E10" s="2091"/>
      <c r="F10" s="2092"/>
      <c r="G10" s="906" t="s">
        <v>369</v>
      </c>
      <c r="H10" s="904" t="s">
        <v>286</v>
      </c>
      <c r="I10" s="906" t="s">
        <v>226</v>
      </c>
    </row>
    <row r="11" spans="2:13" ht="15.75" thickTop="1" x14ac:dyDescent="0.25">
      <c r="B11" s="907" t="s">
        <v>287</v>
      </c>
      <c r="C11" s="908" t="s">
        <v>370</v>
      </c>
      <c r="D11" s="909" t="s">
        <v>371</v>
      </c>
      <c r="E11" s="908" t="s">
        <v>288</v>
      </c>
      <c r="F11" s="910"/>
      <c r="G11" s="911">
        <f>'HPP REF '!$M$48</f>
        <v>4075111025.9438472</v>
      </c>
      <c r="H11" s="912">
        <f>$G$11/($I$5*1000)</f>
        <v>161.24521064100159</v>
      </c>
      <c r="I11" s="913">
        <f>(G11/$I$9)/$I$5</f>
        <v>10.372134995561661</v>
      </c>
      <c r="M11" s="914"/>
    </row>
    <row r="12" spans="2:13" x14ac:dyDescent="0.25">
      <c r="B12" s="915"/>
      <c r="D12" s="916" t="s">
        <v>371</v>
      </c>
      <c r="E12" s="917" t="s">
        <v>278</v>
      </c>
      <c r="F12" s="918"/>
      <c r="G12" s="407">
        <f>'HPP FRACT'!$M$22</f>
        <v>796969717.53791261</v>
      </c>
      <c r="H12" s="408">
        <f>$G$12/($I$8*1000)</f>
        <v>33.073623626947914</v>
      </c>
      <c r="I12" s="919">
        <f>(G12/$I$9)/$I$8</f>
        <v>2.1274683923162172</v>
      </c>
      <c r="M12" s="914"/>
    </row>
    <row r="13" spans="2:13" x14ac:dyDescent="0.25">
      <c r="B13" s="915"/>
      <c r="D13" s="916" t="s">
        <v>371</v>
      </c>
      <c r="E13" s="917" t="s">
        <v>289</v>
      </c>
      <c r="F13" s="920">
        <v>0</v>
      </c>
      <c r="G13" s="407">
        <f>MTC!$F$18*F13</f>
        <v>0</v>
      </c>
      <c r="H13" s="408">
        <f>$G$13/($I$5*1000)</f>
        <v>0</v>
      </c>
      <c r="I13" s="921">
        <f>(G13/$I$9)/$I$5</f>
        <v>0</v>
      </c>
      <c r="M13" s="914"/>
    </row>
    <row r="14" spans="2:13" x14ac:dyDescent="0.25">
      <c r="B14" s="915"/>
      <c r="D14" s="916"/>
      <c r="E14" s="917"/>
      <c r="F14" s="920"/>
      <c r="G14" s="922">
        <f>SUM(G11:$G$13)</f>
        <v>4872080743.48176</v>
      </c>
      <c r="H14" s="409">
        <f>SUM($H$11:$H$13)</f>
        <v>194.31883426794951</v>
      </c>
      <c r="I14" s="923">
        <f>SUM(I11:I13)</f>
        <v>12.499603387877878</v>
      </c>
      <c r="K14" s="935">
        <f>I14+I26</f>
        <v>35.025781714093434</v>
      </c>
      <c r="M14" s="914"/>
    </row>
    <row r="15" spans="2:13" x14ac:dyDescent="0.25">
      <c r="B15" s="924"/>
      <c r="C15" s="925"/>
      <c r="D15" s="926"/>
      <c r="E15" s="927"/>
      <c r="F15" s="928"/>
      <c r="G15" s="929"/>
      <c r="H15" s="930"/>
      <c r="I15" s="931"/>
      <c r="M15" s="914"/>
    </row>
    <row r="16" spans="2:13" x14ac:dyDescent="0.25">
      <c r="B16" s="915" t="s">
        <v>290</v>
      </c>
      <c r="C16" s="343" t="s">
        <v>372</v>
      </c>
      <c r="D16" s="916" t="s">
        <v>371</v>
      </c>
      <c r="E16" s="932" t="s">
        <v>373</v>
      </c>
      <c r="F16" s="920"/>
      <c r="G16" s="407">
        <f>LOG!I8+LOG!I9+LOG!$I$10</f>
        <v>2623918722.7680001</v>
      </c>
      <c r="H16" s="408">
        <f>$G$16/($I$5*1000)</f>
        <v>103.82400000000003</v>
      </c>
      <c r="I16" s="919">
        <f>($G$16/$I$9)/$I$5</f>
        <v>6.6785025086839074</v>
      </c>
      <c r="M16" s="933"/>
    </row>
    <row r="17" spans="2:13" x14ac:dyDescent="0.25">
      <c r="B17" s="915"/>
      <c r="D17" s="916" t="s">
        <v>371</v>
      </c>
      <c r="E17" s="934" t="s">
        <v>374</v>
      </c>
      <c r="F17" s="920">
        <f>F4</f>
        <v>1</v>
      </c>
      <c r="G17" s="407">
        <f>LOG!I11+LOG!I12+LOG!I13+LOG!$I$14*F17</f>
        <v>1886000000</v>
      </c>
      <c r="H17" s="408">
        <f>$G$17/($I$5*1000)</f>
        <v>74.625811501293683</v>
      </c>
      <c r="I17" s="919">
        <f>($G$17/$I$9)/$I$5</f>
        <v>4.8003223659651146</v>
      </c>
      <c r="M17" s="933"/>
    </row>
    <row r="18" spans="2:13" x14ac:dyDescent="0.25">
      <c r="B18" s="915"/>
      <c r="D18" s="916" t="s">
        <v>371</v>
      </c>
      <c r="E18" s="917" t="s">
        <v>375</v>
      </c>
      <c r="F18" s="920"/>
      <c r="G18" s="407">
        <f>LOG!I18+LOG!I19+LOG!I20+LOG!$I$21</f>
        <v>1353811046.9760001</v>
      </c>
      <c r="H18" s="408">
        <f>$G$18/($I$5*1000)</f>
        <v>53.568000000000012</v>
      </c>
      <c r="I18" s="919">
        <f>($G$18/$I$9)/$I$5</f>
        <v>3.4457738324971059</v>
      </c>
      <c r="M18" s="933"/>
    </row>
    <row r="19" spans="2:13" x14ac:dyDescent="0.25">
      <c r="B19" s="915"/>
      <c r="D19" s="916" t="s">
        <v>371</v>
      </c>
      <c r="E19" s="917" t="s">
        <v>376</v>
      </c>
      <c r="F19" s="920"/>
      <c r="G19" s="407">
        <f>LOG!I15+LOG!I16+LOG!$I$17</f>
        <v>1078034722.5920002</v>
      </c>
      <c r="H19" s="408">
        <f>$G$19/($I$5*1000)</f>
        <v>42.656000000000013</v>
      </c>
      <c r="I19" s="919">
        <f>($G$19/$I$9)/$I$5</f>
        <v>2.7438569406921403</v>
      </c>
      <c r="M19" s="933"/>
    </row>
    <row r="20" spans="2:13" x14ac:dyDescent="0.25">
      <c r="B20" s="915"/>
      <c r="D20" s="406"/>
      <c r="E20" s="917"/>
      <c r="F20" s="918"/>
      <c r="G20" s="922">
        <f>SUM($G$16:$G$19)</f>
        <v>6941764492.3359995</v>
      </c>
      <c r="H20" s="409">
        <f>SUM($H$16:$H$19)</f>
        <v>274.67381150129376</v>
      </c>
      <c r="I20" s="409">
        <f>SUM($I$16:$I$19)</f>
        <v>17.668455647838268</v>
      </c>
      <c r="K20" s="935"/>
      <c r="M20" s="933"/>
    </row>
    <row r="21" spans="2:13" x14ac:dyDescent="0.25">
      <c r="B21" s="924"/>
      <c r="C21" s="925"/>
      <c r="D21" s="936"/>
      <c r="E21" s="927"/>
      <c r="F21" s="937"/>
      <c r="G21" s="925"/>
      <c r="H21" s="938"/>
      <c r="I21" s="939"/>
      <c r="M21" s="933"/>
    </row>
    <row r="22" spans="2:13" x14ac:dyDescent="0.25">
      <c r="B22" s="940" t="s">
        <v>290</v>
      </c>
      <c r="C22" s="941" t="s">
        <v>291</v>
      </c>
      <c r="D22" s="942" t="s">
        <v>371</v>
      </c>
      <c r="E22" s="941" t="s">
        <v>292</v>
      </c>
      <c r="F22" s="943">
        <f>F4</f>
        <v>1</v>
      </c>
      <c r="G22" s="944">
        <f>[18]MPC!$H$29*$F$22</f>
        <v>2184665532.2092161</v>
      </c>
      <c r="H22" s="408">
        <f>$G$22/($I$5*1000)</f>
        <v>86.44349851538621</v>
      </c>
      <c r="I22" s="919">
        <f>($G$22/$I$9)/$I$5</f>
        <v>5.5604977817693424</v>
      </c>
      <c r="M22" s="914"/>
    </row>
    <row r="23" spans="2:13" x14ac:dyDescent="0.25">
      <c r="B23" s="915"/>
      <c r="D23" s="916" t="s">
        <v>371</v>
      </c>
      <c r="E23" s="917" t="s">
        <v>293</v>
      </c>
      <c r="F23" s="920">
        <f>F4</f>
        <v>1</v>
      </c>
      <c r="G23" s="407">
        <f>OH!G51*$F$23</f>
        <v>1436056392.483475</v>
      </c>
      <c r="H23" s="408">
        <f>$G$23/($I$5*1000)</f>
        <v>56.822308404400644</v>
      </c>
      <c r="I23" s="919">
        <f>($G$23/$I$9)/$I$5</f>
        <v>3.6551079637463428</v>
      </c>
      <c r="M23" s="914"/>
    </row>
    <row r="24" spans="2:13" x14ac:dyDescent="0.25">
      <c r="B24" s="915"/>
      <c r="D24" s="916" t="s">
        <v>371</v>
      </c>
      <c r="E24" s="917" t="s">
        <v>294</v>
      </c>
      <c r="F24" s="920">
        <f>F4</f>
        <v>1</v>
      </c>
      <c r="G24" s="407">
        <f>DEP!I9*$F$24</f>
        <v>4181184787.4775009</v>
      </c>
      <c r="H24" s="408">
        <f>$G$24/($I$5*1000)</f>
        <v>165.44236893020818</v>
      </c>
      <c r="I24" s="919">
        <f>($G$24/$I$9)/$I$5</f>
        <v>10.642118160955112</v>
      </c>
      <c r="M24" s="914"/>
    </row>
    <row r="25" spans="2:13" x14ac:dyDescent="0.25">
      <c r="B25" s="915"/>
      <c r="D25" s="916" t="s">
        <v>371</v>
      </c>
      <c r="E25" s="917" t="s">
        <v>295</v>
      </c>
      <c r="F25" s="920">
        <f>F4</f>
        <v>1</v>
      </c>
      <c r="G25" s="407">
        <f>AMOR!$G$20*$F$25</f>
        <v>1048409804.9999995</v>
      </c>
      <c r="H25" s="408">
        <f>$G$25/($I$5*1000)</f>
        <v>41.483792409352084</v>
      </c>
      <c r="I25" s="919">
        <f>($G$25/$I$9)/$I$5</f>
        <v>2.6684544197447626</v>
      </c>
      <c r="M25" s="914"/>
    </row>
    <row r="26" spans="2:13" x14ac:dyDescent="0.25">
      <c r="B26" s="915"/>
      <c r="D26" s="406"/>
      <c r="E26" s="917"/>
      <c r="F26" s="918"/>
      <c r="G26" s="922">
        <f>SUM($G$22:$G$25)</f>
        <v>8850316517.1701908</v>
      </c>
      <c r="H26" s="409">
        <f>SUM($H$22:$H$25)</f>
        <v>350.19196825934711</v>
      </c>
      <c r="I26" s="923">
        <f>SUM($I$22:$I$25)</f>
        <v>22.526178326215557</v>
      </c>
      <c r="K26" s="935">
        <f>I26+I14</f>
        <v>35.025781714093434</v>
      </c>
      <c r="M26" s="914"/>
    </row>
    <row r="27" spans="2:13" ht="15.75" thickBot="1" x14ac:dyDescent="0.3">
      <c r="B27" s="915"/>
      <c r="D27" s="406"/>
      <c r="E27" s="917"/>
      <c r="F27" s="918"/>
      <c r="H27" s="409"/>
      <c r="I27" s="945"/>
      <c r="M27" s="914"/>
    </row>
    <row r="28" spans="2:13" ht="17.25" thickTop="1" thickBot="1" x14ac:dyDescent="0.3">
      <c r="B28" s="2093" t="s">
        <v>377</v>
      </c>
      <c r="C28" s="2093"/>
      <c r="D28" s="2093"/>
      <c r="E28" s="2093"/>
      <c r="F28" s="2093"/>
      <c r="G28" s="946">
        <f>$G$26+$G$20+$G$14</f>
        <v>20664161752.987953</v>
      </c>
      <c r="H28" s="947">
        <f>$H$26+$H$20+$H$14</f>
        <v>819.18461402859043</v>
      </c>
      <c r="I28" s="947">
        <f>$I$26+$I$20+$I$14</f>
        <v>52.694237361931705</v>
      </c>
      <c r="K28" s="935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20" activePane="bottomRight" state="frozen"/>
      <selection pane="topRight"/>
      <selection pane="bottomLeft"/>
      <selection pane="bottomRight" activeCell="E36" sqref="E36"/>
    </sheetView>
  </sheetViews>
  <sheetFormatPr defaultColWidth="9" defaultRowHeight="14.25" x14ac:dyDescent="0.2"/>
  <cols>
    <col min="1" max="1" width="9" style="180"/>
    <col min="2" max="2" width="9.5703125" style="180" customWidth="1"/>
    <col min="3" max="3" width="18" style="174" customWidth="1"/>
    <col min="4" max="4" width="11.42578125" style="180" customWidth="1"/>
    <col min="5" max="5" width="15.5703125" style="180" customWidth="1"/>
    <col min="6" max="6" width="15.28515625" style="180" bestFit="1" customWidth="1"/>
    <col min="7" max="7" width="13.5703125" style="180" customWidth="1"/>
    <col min="8" max="8" width="15.42578125" style="180" customWidth="1"/>
    <col min="9" max="9" width="14.7109375" style="228" customWidth="1"/>
    <col min="10" max="10" width="16.42578125" style="180" customWidth="1"/>
    <col min="11" max="11" width="17.7109375" style="180" customWidth="1"/>
    <col min="12" max="12" width="17.28515625" style="228" customWidth="1"/>
    <col min="13" max="13" width="10.42578125" style="180" customWidth="1"/>
    <col min="14" max="14" width="8.7109375" style="180" customWidth="1"/>
    <col min="15" max="16384" width="9" style="180"/>
  </cols>
  <sheetData>
    <row r="2" spans="2:14" s="175" customFormat="1" x14ac:dyDescent="0.2">
      <c r="C2" s="152"/>
    </row>
    <row r="3" spans="2:14" s="175" customFormat="1" ht="21" customHeight="1" x14ac:dyDescent="0.2">
      <c r="B3" s="2094" t="s">
        <v>136</v>
      </c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</row>
    <row r="4" spans="2:14" s="175" customFormat="1" ht="15" thickBot="1" x14ac:dyDescent="0.25">
      <c r="B4" s="176"/>
      <c r="C4" s="152"/>
      <c r="D4" s="175">
        <v>2024</v>
      </c>
    </row>
    <row r="5" spans="2:14" ht="18.75" customHeight="1" thickBot="1" x14ac:dyDescent="0.25">
      <c r="B5" s="2095"/>
      <c r="C5" s="2096" t="s">
        <v>137</v>
      </c>
      <c r="D5" s="2097"/>
      <c r="E5" s="2098"/>
      <c r="F5" s="2095" t="s">
        <v>138</v>
      </c>
      <c r="G5" s="177"/>
      <c r="H5" s="178"/>
      <c r="I5" s="179"/>
      <c r="J5" s="178"/>
      <c r="K5" s="2099" t="s">
        <v>139</v>
      </c>
      <c r="L5" s="2101" t="s">
        <v>140</v>
      </c>
      <c r="M5" s="2103" t="s">
        <v>141</v>
      </c>
      <c r="N5" s="2099"/>
    </row>
    <row r="6" spans="2:14" ht="60.75" thickBot="1" x14ac:dyDescent="0.25">
      <c r="B6" s="2095"/>
      <c r="C6" s="153" t="s">
        <v>978</v>
      </c>
      <c r="D6" s="177" t="s">
        <v>142</v>
      </c>
      <c r="E6" s="177" t="s">
        <v>143</v>
      </c>
      <c r="F6" s="2095"/>
      <c r="G6" s="177" t="s">
        <v>144</v>
      </c>
      <c r="H6" s="177" t="s">
        <v>145</v>
      </c>
      <c r="I6" s="181" t="s">
        <v>146</v>
      </c>
      <c r="J6" s="177" t="s">
        <v>147</v>
      </c>
      <c r="K6" s="2100"/>
      <c r="L6" s="2102"/>
      <c r="M6" s="177" t="s">
        <v>148</v>
      </c>
      <c r="N6" s="177" t="s">
        <v>149</v>
      </c>
    </row>
    <row r="7" spans="2:14" s="185" customFormat="1" ht="15" customHeight="1" thickBot="1" x14ac:dyDescent="0.25">
      <c r="B7" s="2095"/>
      <c r="C7" s="154">
        <v>1</v>
      </c>
      <c r="D7" s="182">
        <v>2</v>
      </c>
      <c r="E7" s="182" t="s">
        <v>150</v>
      </c>
      <c r="F7" s="182" t="s">
        <v>151</v>
      </c>
      <c r="G7" s="182">
        <v>5</v>
      </c>
      <c r="H7" s="182" t="s">
        <v>152</v>
      </c>
      <c r="I7" s="183">
        <v>7</v>
      </c>
      <c r="J7" s="182" t="s">
        <v>153</v>
      </c>
      <c r="K7" s="184" t="s">
        <v>154</v>
      </c>
      <c r="L7" s="183">
        <v>10</v>
      </c>
      <c r="M7" s="182" t="s">
        <v>155</v>
      </c>
      <c r="N7" s="182" t="s">
        <v>156</v>
      </c>
    </row>
    <row r="8" spans="2:14" x14ac:dyDescent="0.2">
      <c r="B8" s="186">
        <v>1</v>
      </c>
      <c r="C8" s="189"/>
      <c r="D8" s="155">
        <v>5</v>
      </c>
      <c r="E8" s="156">
        <f>C8*D8</f>
        <v>0</v>
      </c>
      <c r="F8" s="156">
        <f>E8</f>
        <v>0</v>
      </c>
      <c r="G8" s="157">
        <v>35.314667</v>
      </c>
      <c r="H8" s="157">
        <f>(F8*G8)/1000</f>
        <v>0</v>
      </c>
      <c r="I8" s="190">
        <v>1047.7934499999999</v>
      </c>
      <c r="J8" s="158">
        <f>(H8*I8)/1000</f>
        <v>0</v>
      </c>
      <c r="K8" s="187">
        <f>L8-J8</f>
        <v>0</v>
      </c>
      <c r="L8" s="159">
        <v>0</v>
      </c>
      <c r="M8" s="160" t="e">
        <f>(J8/L8)</f>
        <v>#DIV/0!</v>
      </c>
      <c r="N8" s="160" t="e">
        <f>K8/L8</f>
        <v>#DIV/0!</v>
      </c>
    </row>
    <row r="9" spans="2:14" x14ac:dyDescent="0.2">
      <c r="B9" s="188">
        <f>B8+1</f>
        <v>2</v>
      </c>
      <c r="C9" s="189"/>
      <c r="D9" s="161">
        <v>5</v>
      </c>
      <c r="E9" s="162">
        <f t="shared" ref="E9:E21" si="0">C9*D9</f>
        <v>0</v>
      </c>
      <c r="F9" s="162">
        <f t="shared" ref="F9:F21" si="1">E9</f>
        <v>0</v>
      </c>
      <c r="G9" s="163">
        <v>35.314667</v>
      </c>
      <c r="H9" s="163">
        <f t="shared" ref="H9:H21" si="2">(F9*G9)/1000</f>
        <v>0</v>
      </c>
      <c r="I9" s="190">
        <v>1042.7042200000001</v>
      </c>
      <c r="J9" s="164">
        <f>(H9*I9)/1000</f>
        <v>0</v>
      </c>
      <c r="K9" s="191">
        <f t="shared" ref="K9:K21" si="3">L9-J9</f>
        <v>0.79690000000000005</v>
      </c>
      <c r="L9" s="165">
        <v>0.79690000000000005</v>
      </c>
      <c r="M9" s="166">
        <f t="shared" ref="M9:M21" si="4">(J9/L9)</f>
        <v>0</v>
      </c>
      <c r="N9" s="167">
        <f t="shared" ref="N9:N21" si="5">K9/L9</f>
        <v>1</v>
      </c>
    </row>
    <row r="10" spans="2:14" x14ac:dyDescent="0.2">
      <c r="B10" s="188">
        <f t="shared" ref="B10:B37" si="6">B9+1</f>
        <v>3</v>
      </c>
      <c r="C10" s="189">
        <v>159.69</v>
      </c>
      <c r="D10" s="161">
        <v>5</v>
      </c>
      <c r="E10" s="162">
        <f t="shared" si="0"/>
        <v>798.45</v>
      </c>
      <c r="F10" s="162">
        <f t="shared" si="1"/>
        <v>798.45</v>
      </c>
      <c r="G10" s="163">
        <v>35.314667</v>
      </c>
      <c r="H10" s="163">
        <f t="shared" si="2"/>
        <v>28.196995866150001</v>
      </c>
      <c r="I10" s="190">
        <v>1044.8302000000001</v>
      </c>
      <c r="J10" s="164">
        <f t="shared" ref="J10:J16" si="7">(H10*I10)/1000</f>
        <v>29.46107283022868</v>
      </c>
      <c r="K10" s="191">
        <f>L10-J10</f>
        <v>656.3733271697713</v>
      </c>
      <c r="L10" s="165">
        <v>685.83439999999996</v>
      </c>
      <c r="M10" s="166">
        <f t="shared" si="4"/>
        <v>4.2956539990161885E-2</v>
      </c>
      <c r="N10" s="167">
        <f t="shared" si="5"/>
        <v>0.9570434600098382</v>
      </c>
    </row>
    <row r="11" spans="2:14" x14ac:dyDescent="0.2">
      <c r="B11" s="188">
        <f t="shared" si="6"/>
        <v>4</v>
      </c>
      <c r="C11" s="189">
        <v>788.24</v>
      </c>
      <c r="D11" s="161">
        <v>5</v>
      </c>
      <c r="E11" s="162">
        <f t="shared" si="0"/>
        <v>3941.2</v>
      </c>
      <c r="F11" s="162">
        <f t="shared" si="1"/>
        <v>3941.2</v>
      </c>
      <c r="G11" s="163">
        <v>35.314667</v>
      </c>
      <c r="H11" s="163">
        <f t="shared" si="2"/>
        <v>139.18216558040001</v>
      </c>
      <c r="I11" s="190">
        <v>1050.3635200000001</v>
      </c>
      <c r="J11" s="164">
        <f t="shared" si="7"/>
        <v>146.19186936025181</v>
      </c>
      <c r="K11" s="191">
        <f t="shared" si="3"/>
        <v>696.04741063974825</v>
      </c>
      <c r="L11" s="168">
        <v>842.23928000000001</v>
      </c>
      <c r="M11" s="166">
        <f t="shared" si="4"/>
        <v>0.17357522123671532</v>
      </c>
      <c r="N11" s="167">
        <f t="shared" si="5"/>
        <v>0.8264247787632848</v>
      </c>
    </row>
    <row r="12" spans="2:14" x14ac:dyDescent="0.2">
      <c r="B12" s="188">
        <f t="shared" si="6"/>
        <v>5</v>
      </c>
      <c r="C12" s="189">
        <v>3.33</v>
      </c>
      <c r="D12" s="161">
        <v>5</v>
      </c>
      <c r="E12" s="162">
        <f t="shared" si="0"/>
        <v>16.649999999999999</v>
      </c>
      <c r="F12" s="162">
        <f t="shared" si="1"/>
        <v>16.649999999999999</v>
      </c>
      <c r="G12" s="163">
        <v>35.314667</v>
      </c>
      <c r="H12" s="163">
        <f t="shared" si="2"/>
        <v>0.58798920555</v>
      </c>
      <c r="I12" s="190">
        <v>1050.64978</v>
      </c>
      <c r="J12" s="164">
        <f t="shared" si="7"/>
        <v>0.61777072945348233</v>
      </c>
      <c r="K12" s="191">
        <f t="shared" si="3"/>
        <v>767.54332927054656</v>
      </c>
      <c r="L12" s="165">
        <v>768.16110000000003</v>
      </c>
      <c r="M12" s="166">
        <f t="shared" si="4"/>
        <v>8.0422027287437795E-4</v>
      </c>
      <c r="N12" s="167">
        <f t="shared" si="5"/>
        <v>0.99919577972712559</v>
      </c>
    </row>
    <row r="13" spans="2:14" x14ac:dyDescent="0.2">
      <c r="B13" s="188">
        <f t="shared" si="6"/>
        <v>6</v>
      </c>
      <c r="C13" s="189">
        <v>1356.95</v>
      </c>
      <c r="D13" s="161">
        <v>5</v>
      </c>
      <c r="E13" s="162">
        <f t="shared" si="0"/>
        <v>6784.75</v>
      </c>
      <c r="F13" s="162">
        <f t="shared" si="1"/>
        <v>6784.75</v>
      </c>
      <c r="G13" s="163">
        <v>35.314667</v>
      </c>
      <c r="H13" s="163">
        <f t="shared" si="2"/>
        <v>239.60118692825</v>
      </c>
      <c r="I13" s="190">
        <v>1051.39123</v>
      </c>
      <c r="J13" s="164">
        <f t="shared" si="7"/>
        <v>251.91458663395269</v>
      </c>
      <c r="K13" s="191">
        <f t="shared" si="3"/>
        <v>389.14956336604735</v>
      </c>
      <c r="L13" s="165">
        <v>641.06415000000004</v>
      </c>
      <c r="M13" s="166">
        <f t="shared" si="4"/>
        <v>0.39296314828079637</v>
      </c>
      <c r="N13" s="167">
        <f t="shared" si="5"/>
        <v>0.60703685171920363</v>
      </c>
    </row>
    <row r="14" spans="2:14" x14ac:dyDescent="0.2">
      <c r="B14" s="188">
        <f t="shared" si="6"/>
        <v>7</v>
      </c>
      <c r="C14" s="189">
        <v>4051.52</v>
      </c>
      <c r="D14" s="161">
        <v>5</v>
      </c>
      <c r="E14" s="162">
        <f>C14*D14</f>
        <v>20257.599999999999</v>
      </c>
      <c r="F14" s="162">
        <f t="shared" si="1"/>
        <v>20257.599999999999</v>
      </c>
      <c r="G14" s="163">
        <v>35.314667</v>
      </c>
      <c r="H14" s="163">
        <f t="shared" si="2"/>
        <v>715.39039821919994</v>
      </c>
      <c r="I14" s="190">
        <v>1053.7683099999999</v>
      </c>
      <c r="J14" s="164">
        <f t="shared" si="7"/>
        <v>753.85573092167328</v>
      </c>
      <c r="K14" s="191">
        <f t="shared" si="3"/>
        <v>105.66982907832676</v>
      </c>
      <c r="L14" s="165">
        <v>859.52556000000004</v>
      </c>
      <c r="M14" s="166">
        <f t="shared" si="4"/>
        <v>0.87706028302599082</v>
      </c>
      <c r="N14" s="167">
        <f t="shared" si="5"/>
        <v>0.12293971697400918</v>
      </c>
    </row>
    <row r="15" spans="2:14" x14ac:dyDescent="0.2">
      <c r="B15" s="188">
        <f t="shared" si="6"/>
        <v>8</v>
      </c>
      <c r="C15" s="189">
        <v>5815.62</v>
      </c>
      <c r="D15" s="161">
        <v>5</v>
      </c>
      <c r="E15" s="162">
        <f t="shared" si="0"/>
        <v>29078.1</v>
      </c>
      <c r="F15" s="162">
        <f t="shared" si="1"/>
        <v>29078.1</v>
      </c>
      <c r="G15" s="163">
        <v>35.314667</v>
      </c>
      <c r="H15" s="163">
        <f t="shared" si="2"/>
        <v>1026.8834184927</v>
      </c>
      <c r="I15" s="190">
        <v>1055.9121</v>
      </c>
      <c r="J15" s="164">
        <f t="shared" si="7"/>
        <v>1084.2986268758057</v>
      </c>
      <c r="K15" s="191">
        <f>L15-J15</f>
        <v>-55.066246875805746</v>
      </c>
      <c r="L15" s="165">
        <v>1029.2323799999999</v>
      </c>
      <c r="M15" s="166">
        <f t="shared" si="4"/>
        <v>1.0535022488078016</v>
      </c>
      <c r="N15" s="167">
        <f t="shared" si="5"/>
        <v>-5.350224880780155E-2</v>
      </c>
    </row>
    <row r="16" spans="2:14" x14ac:dyDescent="0.2">
      <c r="B16" s="188">
        <f t="shared" si="6"/>
        <v>9</v>
      </c>
      <c r="C16" s="189">
        <v>5220.53</v>
      </c>
      <c r="D16" s="161">
        <v>5</v>
      </c>
      <c r="E16" s="162">
        <f t="shared" si="0"/>
        <v>26102.649999999998</v>
      </c>
      <c r="F16" s="162">
        <f t="shared" si="1"/>
        <v>26102.649999999998</v>
      </c>
      <c r="G16" s="163">
        <v>35.314667</v>
      </c>
      <c r="H16" s="163">
        <f t="shared" si="2"/>
        <v>921.80639256754989</v>
      </c>
      <c r="I16" s="190">
        <v>1058.5966599999999</v>
      </c>
      <c r="J16" s="164">
        <f t="shared" si="7"/>
        <v>975.82116833865712</v>
      </c>
      <c r="K16" s="191">
        <f t="shared" si="3"/>
        <v>139.90533166134287</v>
      </c>
      <c r="L16" s="165">
        <v>1115.7265</v>
      </c>
      <c r="M16" s="166">
        <f t="shared" si="4"/>
        <v>0.87460606908472383</v>
      </c>
      <c r="N16" s="167">
        <f t="shared" si="5"/>
        <v>0.12539393091527617</v>
      </c>
    </row>
    <row r="17" spans="2:14" x14ac:dyDescent="0.2">
      <c r="B17" s="188">
        <f t="shared" si="6"/>
        <v>10</v>
      </c>
      <c r="C17" s="189">
        <v>2188</v>
      </c>
      <c r="D17" s="161">
        <v>5</v>
      </c>
      <c r="E17" s="162">
        <f t="shared" si="0"/>
        <v>10940</v>
      </c>
      <c r="F17" s="162">
        <f t="shared" si="1"/>
        <v>10940</v>
      </c>
      <c r="G17" s="163">
        <v>35.314667</v>
      </c>
      <c r="H17" s="163">
        <f t="shared" si="2"/>
        <v>386.34245698000001</v>
      </c>
      <c r="I17" s="190">
        <v>1055.60546</v>
      </c>
      <c r="J17" s="164">
        <f>(H17*I17)/1000</f>
        <v>407.8252070179031</v>
      </c>
      <c r="K17" s="191">
        <f t="shared" si="3"/>
        <v>551.84729298209686</v>
      </c>
      <c r="L17" s="165">
        <v>959.67250000000001</v>
      </c>
      <c r="M17" s="166">
        <f t="shared" si="4"/>
        <v>0.42496289829905837</v>
      </c>
      <c r="N17" s="167">
        <f t="shared" si="5"/>
        <v>0.57503710170094158</v>
      </c>
    </row>
    <row r="18" spans="2:14" x14ac:dyDescent="0.2">
      <c r="B18" s="188">
        <f t="shared" si="6"/>
        <v>11</v>
      </c>
      <c r="C18" s="189">
        <v>1796.49</v>
      </c>
      <c r="D18" s="161">
        <v>5</v>
      </c>
      <c r="E18" s="162">
        <f t="shared" si="0"/>
        <v>8982.4500000000007</v>
      </c>
      <c r="F18" s="162">
        <f>E18</f>
        <v>8982.4500000000007</v>
      </c>
      <c r="G18" s="163">
        <v>35.314667</v>
      </c>
      <c r="H18" s="163">
        <f t="shared" si="2"/>
        <v>317.21223059415001</v>
      </c>
      <c r="I18" s="190">
        <v>1056.3095699999999</v>
      </c>
      <c r="J18" s="164">
        <f>(H18*I18)/1000</f>
        <v>335.07431489764741</v>
      </c>
      <c r="K18" s="191">
        <f t="shared" si="3"/>
        <v>538.27708510235266</v>
      </c>
      <c r="L18" s="165">
        <v>873.35140000000001</v>
      </c>
      <c r="M18" s="166">
        <f t="shared" si="4"/>
        <v>0.38366494276833746</v>
      </c>
      <c r="N18" s="167">
        <f t="shared" si="5"/>
        <v>0.6163350572316626</v>
      </c>
    </row>
    <row r="19" spans="2:14" x14ac:dyDescent="0.2">
      <c r="B19" s="188">
        <f t="shared" si="6"/>
        <v>12</v>
      </c>
      <c r="C19" s="189">
        <v>4866.75</v>
      </c>
      <c r="D19" s="161">
        <v>5</v>
      </c>
      <c r="E19" s="162">
        <f t="shared" si="0"/>
        <v>24333.75</v>
      </c>
      <c r="F19" s="162">
        <f>E19</f>
        <v>24333.75</v>
      </c>
      <c r="G19" s="163">
        <v>35.314667</v>
      </c>
      <c r="H19" s="163">
        <f t="shared" si="2"/>
        <v>859.33827811125002</v>
      </c>
      <c r="I19" s="190">
        <v>1051.5483400000001</v>
      </c>
      <c r="J19" s="164">
        <f>(H19*I19)/1000</f>
        <v>903.63573984634331</v>
      </c>
      <c r="K19" s="191">
        <f t="shared" si="3"/>
        <v>6.6809601536566561</v>
      </c>
      <c r="L19" s="165">
        <v>910.31669999999997</v>
      </c>
      <c r="M19" s="166">
        <f t="shared" si="4"/>
        <v>0.99266083973450492</v>
      </c>
      <c r="N19" s="167">
        <f t="shared" si="5"/>
        <v>7.3391602654951362E-3</v>
      </c>
    </row>
    <row r="20" spans="2:14" x14ac:dyDescent="0.2">
      <c r="B20" s="188">
        <f t="shared" si="6"/>
        <v>13</v>
      </c>
      <c r="C20" s="189">
        <v>6932.28</v>
      </c>
      <c r="D20" s="161">
        <v>5</v>
      </c>
      <c r="E20" s="162">
        <f t="shared" si="0"/>
        <v>34661.4</v>
      </c>
      <c r="F20" s="162">
        <f>E20</f>
        <v>34661.4</v>
      </c>
      <c r="G20" s="163">
        <v>35.314667</v>
      </c>
      <c r="H20" s="163">
        <f t="shared" si="2"/>
        <v>1224.0557987538</v>
      </c>
      <c r="I20" s="190">
        <v>1053.7374199999999</v>
      </c>
      <c r="J20" s="164">
        <f>(H20*I20)/1000</f>
        <v>1289.8333993148683</v>
      </c>
      <c r="K20" s="191">
        <f t="shared" si="3"/>
        <v>-53.700699314868189</v>
      </c>
      <c r="L20" s="165">
        <v>1236.1327000000001</v>
      </c>
      <c r="M20" s="166">
        <f t="shared" si="4"/>
        <v>1.0434425036364365</v>
      </c>
      <c r="N20" s="167">
        <f t="shared" si="5"/>
        <v>-4.3442503636436591E-2</v>
      </c>
    </row>
    <row r="21" spans="2:14" x14ac:dyDescent="0.2">
      <c r="B21" s="188">
        <f t="shared" si="6"/>
        <v>14</v>
      </c>
      <c r="C21" s="189">
        <v>6338.15</v>
      </c>
      <c r="D21" s="161">
        <v>5</v>
      </c>
      <c r="E21" s="162">
        <f t="shared" si="0"/>
        <v>31690.75</v>
      </c>
      <c r="F21" s="162">
        <f t="shared" si="1"/>
        <v>31690.75</v>
      </c>
      <c r="G21" s="163">
        <v>35.314667</v>
      </c>
      <c r="H21" s="163">
        <f t="shared" si="2"/>
        <v>1119.1482832302499</v>
      </c>
      <c r="I21" s="190">
        <v>1054.6458700000001</v>
      </c>
      <c r="J21" s="164">
        <f>(H21*I21)/1000</f>
        <v>1180.3051148263735</v>
      </c>
      <c r="K21" s="191">
        <f t="shared" si="3"/>
        <v>-24.066514826373577</v>
      </c>
      <c r="L21" s="165">
        <v>1156.2385999999999</v>
      </c>
      <c r="M21" s="166">
        <f t="shared" si="4"/>
        <v>1.0208144883126835</v>
      </c>
      <c r="N21" s="167">
        <f t="shared" si="5"/>
        <v>-2.0814488312683541E-2</v>
      </c>
    </row>
    <row r="22" spans="2:14" x14ac:dyDescent="0.2">
      <c r="B22" s="188">
        <f t="shared" si="6"/>
        <v>15</v>
      </c>
      <c r="C22" s="189">
        <v>4350.1099999999997</v>
      </c>
      <c r="D22" s="161">
        <v>5</v>
      </c>
      <c r="E22" s="162">
        <f t="shared" ref="E22:E37" si="8">C22*D22</f>
        <v>21750.55</v>
      </c>
      <c r="F22" s="162">
        <f t="shared" ref="F22:F37" si="9">E22</f>
        <v>21750.55</v>
      </c>
      <c r="G22" s="163">
        <v>36.314667</v>
      </c>
      <c r="H22" s="163">
        <f t="shared" ref="H22:H37" si="10">(F22*G22)/1000</f>
        <v>789.86398031684996</v>
      </c>
      <c r="I22" s="190">
        <v>1051.3793900000001</v>
      </c>
      <c r="J22" s="164">
        <f t="shared" ref="J22:J37" si="11">(H22*I22)/1000</f>
        <v>830.44670980850174</v>
      </c>
      <c r="K22" s="191">
        <f t="shared" ref="K22:K37" si="12">L22-J22</f>
        <v>360.67519019149836</v>
      </c>
      <c r="L22" s="165">
        <v>1191.1219000000001</v>
      </c>
      <c r="M22" s="166">
        <f t="shared" ref="M22:M37" si="13">(J22/L22)</f>
        <v>0.69719707933209996</v>
      </c>
      <c r="N22" s="167">
        <f t="shared" ref="N22:N37" si="14">K22/L22</f>
        <v>0.30280292066789999</v>
      </c>
    </row>
    <row r="23" spans="2:14" x14ac:dyDescent="0.2">
      <c r="B23" s="188">
        <f t="shared" si="6"/>
        <v>16</v>
      </c>
      <c r="C23" s="189">
        <v>3652.71</v>
      </c>
      <c r="D23" s="161">
        <v>5</v>
      </c>
      <c r="E23" s="162">
        <f t="shared" si="8"/>
        <v>18263.55</v>
      </c>
      <c r="F23" s="162">
        <f t="shared" si="9"/>
        <v>18263.55</v>
      </c>
      <c r="G23" s="163">
        <v>37.314667</v>
      </c>
      <c r="H23" s="163">
        <f t="shared" si="10"/>
        <v>681.49828648785001</v>
      </c>
      <c r="I23" s="190">
        <v>1034.49316</v>
      </c>
      <c r="J23" s="164">
        <f t="shared" si="11"/>
        <v>705.00531592340133</v>
      </c>
      <c r="K23" s="191">
        <f t="shared" si="12"/>
        <v>338.83608407659869</v>
      </c>
      <c r="L23" s="165">
        <v>1043.8414</v>
      </c>
      <c r="M23" s="166">
        <f t="shared" si="13"/>
        <v>0.67539505132044131</v>
      </c>
      <c r="N23" s="167">
        <f t="shared" si="14"/>
        <v>0.32460494867955869</v>
      </c>
    </row>
    <row r="24" spans="2:14" x14ac:dyDescent="0.2">
      <c r="B24" s="188">
        <f t="shared" si="6"/>
        <v>17</v>
      </c>
      <c r="C24" s="189">
        <v>6388.24</v>
      </c>
      <c r="D24" s="161">
        <v>5</v>
      </c>
      <c r="E24" s="162">
        <f t="shared" si="8"/>
        <v>31941.199999999997</v>
      </c>
      <c r="F24" s="162">
        <f t="shared" si="9"/>
        <v>31941.199999999997</v>
      </c>
      <c r="G24" s="163">
        <v>38.314667</v>
      </c>
      <c r="H24" s="163">
        <f t="shared" si="10"/>
        <v>1223.8164415803999</v>
      </c>
      <c r="I24" s="190">
        <v>1041.3328799999999</v>
      </c>
      <c r="J24" s="164">
        <f>(H24*I24)/1000</f>
        <v>1274.4002997022694</v>
      </c>
      <c r="K24" s="191">
        <f t="shared" si="12"/>
        <v>-125.4959997022695</v>
      </c>
      <c r="L24" s="165">
        <v>1148.9042999999999</v>
      </c>
      <c r="M24" s="166">
        <f t="shared" si="13"/>
        <v>1.1092310296882599</v>
      </c>
      <c r="N24" s="167">
        <f t="shared" si="14"/>
        <v>-0.10923102968825994</v>
      </c>
    </row>
    <row r="25" spans="2:14" x14ac:dyDescent="0.2">
      <c r="B25" s="188">
        <f t="shared" si="6"/>
        <v>18</v>
      </c>
      <c r="C25" s="189">
        <v>7607.66</v>
      </c>
      <c r="D25" s="161">
        <v>5</v>
      </c>
      <c r="E25" s="162">
        <f t="shared" si="8"/>
        <v>38038.300000000003</v>
      </c>
      <c r="F25" s="162">
        <f t="shared" si="9"/>
        <v>38038.300000000003</v>
      </c>
      <c r="G25" s="163">
        <v>39.314667</v>
      </c>
      <c r="H25" s="163">
        <f t="shared" si="10"/>
        <v>1495.4630977460999</v>
      </c>
      <c r="I25" s="190">
        <v>1042.2141099999999</v>
      </c>
      <c r="J25" s="164">
        <f t="shared" si="11"/>
        <v>1558.5927414552943</v>
      </c>
      <c r="K25" s="191">
        <f t="shared" si="12"/>
        <v>-1558.5927414552943</v>
      </c>
      <c r="L25" s="165"/>
      <c r="M25" s="166" t="e">
        <f t="shared" si="13"/>
        <v>#DIV/0!</v>
      </c>
      <c r="N25" s="167" t="e">
        <f t="shared" si="14"/>
        <v>#DIV/0!</v>
      </c>
    </row>
    <row r="26" spans="2:14" x14ac:dyDescent="0.2">
      <c r="B26" s="188">
        <f t="shared" si="6"/>
        <v>19</v>
      </c>
      <c r="C26" s="189">
        <v>6514.97</v>
      </c>
      <c r="D26" s="161">
        <v>5</v>
      </c>
      <c r="E26" s="162">
        <f t="shared" si="8"/>
        <v>32574.850000000002</v>
      </c>
      <c r="F26" s="162">
        <f t="shared" si="9"/>
        <v>32574.850000000002</v>
      </c>
      <c r="G26" s="163">
        <v>40.314667</v>
      </c>
      <c r="H26" s="163">
        <f t="shared" si="10"/>
        <v>1313.24423032495</v>
      </c>
      <c r="I26" s="190">
        <v>1042.5070800000001</v>
      </c>
      <c r="J26" s="164">
        <f t="shared" si="11"/>
        <v>1369.0664078829111</v>
      </c>
      <c r="K26" s="191">
        <f t="shared" si="12"/>
        <v>-1369.0664078829111</v>
      </c>
      <c r="L26" s="165"/>
      <c r="M26" s="166" t="e">
        <f t="shared" si="13"/>
        <v>#DIV/0!</v>
      </c>
      <c r="N26" s="167" t="e">
        <f t="shared" si="14"/>
        <v>#DIV/0!</v>
      </c>
    </row>
    <row r="27" spans="2:14" x14ac:dyDescent="0.2">
      <c r="B27" s="188">
        <f t="shared" si="6"/>
        <v>20</v>
      </c>
      <c r="C27" s="189">
        <v>4942.41</v>
      </c>
      <c r="D27" s="161">
        <v>5</v>
      </c>
      <c r="E27" s="162">
        <f t="shared" si="8"/>
        <v>24712.05</v>
      </c>
      <c r="F27" s="162">
        <f t="shared" si="9"/>
        <v>24712.05</v>
      </c>
      <c r="G27" s="163">
        <v>41.314667</v>
      </c>
      <c r="H27" s="163">
        <f t="shared" si="10"/>
        <v>1020.97011663735</v>
      </c>
      <c r="I27" s="190">
        <v>1042.9853499999999</v>
      </c>
      <c r="J27" s="164">
        <f t="shared" si="11"/>
        <v>1064.8568744405472</v>
      </c>
      <c r="K27" s="191">
        <f t="shared" si="12"/>
        <v>-1064.8568744405472</v>
      </c>
      <c r="L27" s="165"/>
      <c r="M27" s="166" t="e">
        <f t="shared" si="13"/>
        <v>#DIV/0!</v>
      </c>
      <c r="N27" s="167" t="e">
        <f t="shared" si="14"/>
        <v>#DIV/0!</v>
      </c>
    </row>
    <row r="28" spans="2:14" x14ac:dyDescent="0.2">
      <c r="B28" s="188">
        <f t="shared" si="6"/>
        <v>21</v>
      </c>
      <c r="C28" s="189">
        <v>3073.52</v>
      </c>
      <c r="D28" s="161">
        <v>5</v>
      </c>
      <c r="E28" s="162">
        <f t="shared" si="8"/>
        <v>15367.6</v>
      </c>
      <c r="F28" s="162">
        <f t="shared" si="9"/>
        <v>15367.6</v>
      </c>
      <c r="G28" s="163">
        <v>42.314667</v>
      </c>
      <c r="H28" s="163">
        <f t="shared" si="10"/>
        <v>650.27487658919995</v>
      </c>
      <c r="I28" s="190">
        <v>1043.1148599999999</v>
      </c>
      <c r="J28" s="164">
        <f t="shared" si="11"/>
        <v>678.31138685486042</v>
      </c>
      <c r="K28" s="191">
        <f t="shared" si="12"/>
        <v>-678.31138685486042</v>
      </c>
      <c r="L28" s="165"/>
      <c r="M28" s="166" t="e">
        <f t="shared" si="13"/>
        <v>#DIV/0!</v>
      </c>
      <c r="N28" s="167" t="e">
        <f t="shared" si="14"/>
        <v>#DIV/0!</v>
      </c>
    </row>
    <row r="29" spans="2:14" x14ac:dyDescent="0.2">
      <c r="B29" s="188">
        <f t="shared" si="6"/>
        <v>22</v>
      </c>
      <c r="C29" s="189"/>
      <c r="D29" s="161">
        <v>5</v>
      </c>
      <c r="E29" s="162">
        <f>C29*D29</f>
        <v>0</v>
      </c>
      <c r="F29" s="162">
        <f>E29</f>
        <v>0</v>
      </c>
      <c r="G29" s="163">
        <v>42.314667</v>
      </c>
      <c r="H29" s="163">
        <f>(F29*G29)/1000</f>
        <v>0</v>
      </c>
      <c r="I29" s="190">
        <v>1042.5883699999999</v>
      </c>
      <c r="J29" s="164">
        <f>(H29*I29)/1000</f>
        <v>0</v>
      </c>
      <c r="K29" s="191">
        <f>L29-J29</f>
        <v>0</v>
      </c>
      <c r="L29" s="165"/>
      <c r="M29" s="166" t="e">
        <f>(J29/L29)</f>
        <v>#DIV/0!</v>
      </c>
      <c r="N29" s="167" t="e">
        <f>K29/L29</f>
        <v>#DIV/0!</v>
      </c>
    </row>
    <row r="30" spans="2:14" x14ac:dyDescent="0.2">
      <c r="B30" s="188">
        <f t="shared" si="6"/>
        <v>23</v>
      </c>
      <c r="C30" s="189"/>
      <c r="D30" s="161">
        <v>5</v>
      </c>
      <c r="E30" s="162">
        <f t="shared" si="8"/>
        <v>0</v>
      </c>
      <c r="F30" s="162">
        <f t="shared" si="9"/>
        <v>0</v>
      </c>
      <c r="G30" s="163">
        <v>44.314667</v>
      </c>
      <c r="H30" s="163">
        <f t="shared" si="10"/>
        <v>0</v>
      </c>
      <c r="I30" s="190">
        <v>1042.7497499999999</v>
      </c>
      <c r="J30" s="164">
        <f>(H30*I30)/1000</f>
        <v>0</v>
      </c>
      <c r="K30" s="191">
        <f t="shared" si="12"/>
        <v>0</v>
      </c>
      <c r="L30" s="165"/>
      <c r="M30" s="166" t="e">
        <f t="shared" si="13"/>
        <v>#DIV/0!</v>
      </c>
      <c r="N30" s="167" t="e">
        <f t="shared" si="14"/>
        <v>#DIV/0!</v>
      </c>
    </row>
    <row r="31" spans="2:14" x14ac:dyDescent="0.2">
      <c r="B31" s="188">
        <f t="shared" si="6"/>
        <v>24</v>
      </c>
      <c r="C31" s="189"/>
      <c r="D31" s="161">
        <v>5</v>
      </c>
      <c r="E31" s="162">
        <f t="shared" si="8"/>
        <v>0</v>
      </c>
      <c r="F31" s="162">
        <f t="shared" si="9"/>
        <v>0</v>
      </c>
      <c r="G31" s="163">
        <v>45.314667</v>
      </c>
      <c r="H31" s="163">
        <f t="shared" si="10"/>
        <v>0</v>
      </c>
      <c r="I31" s="190">
        <v>1042.2930899999999</v>
      </c>
      <c r="J31" s="164">
        <f>(H31*I31)/1000</f>
        <v>0</v>
      </c>
      <c r="K31" s="191">
        <f t="shared" si="12"/>
        <v>0</v>
      </c>
      <c r="L31" s="165"/>
      <c r="M31" s="166" t="e">
        <f t="shared" si="13"/>
        <v>#DIV/0!</v>
      </c>
      <c r="N31" s="167" t="e">
        <f t="shared" si="14"/>
        <v>#DIV/0!</v>
      </c>
    </row>
    <row r="32" spans="2:14" x14ac:dyDescent="0.2">
      <c r="B32" s="188">
        <f t="shared" si="6"/>
        <v>25</v>
      </c>
      <c r="C32" s="189"/>
      <c r="D32" s="161">
        <v>5</v>
      </c>
      <c r="E32" s="162">
        <f t="shared" si="8"/>
        <v>0</v>
      </c>
      <c r="F32" s="162">
        <f t="shared" si="9"/>
        <v>0</v>
      </c>
      <c r="G32" s="163">
        <v>46.314667</v>
      </c>
      <c r="H32" s="163">
        <f t="shared" si="10"/>
        <v>0</v>
      </c>
      <c r="I32" s="190">
        <v>1039.41137</v>
      </c>
      <c r="J32" s="164">
        <f>(H32*I32)/1000</f>
        <v>0</v>
      </c>
      <c r="K32" s="191">
        <f t="shared" si="12"/>
        <v>0</v>
      </c>
      <c r="L32" s="165"/>
      <c r="M32" s="166" t="e">
        <f t="shared" si="13"/>
        <v>#DIV/0!</v>
      </c>
      <c r="N32" s="167" t="e">
        <f t="shared" si="14"/>
        <v>#DIV/0!</v>
      </c>
    </row>
    <row r="33" spans="2:14" x14ac:dyDescent="0.2">
      <c r="B33" s="188">
        <f t="shared" si="6"/>
        <v>26</v>
      </c>
      <c r="C33" s="189"/>
      <c r="D33" s="161">
        <v>5</v>
      </c>
      <c r="E33" s="162">
        <f t="shared" si="8"/>
        <v>0</v>
      </c>
      <c r="F33" s="162">
        <f t="shared" si="9"/>
        <v>0</v>
      </c>
      <c r="G33" s="163">
        <v>47.314667</v>
      </c>
      <c r="H33" s="163">
        <f t="shared" si="10"/>
        <v>0</v>
      </c>
      <c r="I33" s="190">
        <v>1039.44067</v>
      </c>
      <c r="J33" s="164">
        <f t="shared" si="11"/>
        <v>0</v>
      </c>
      <c r="K33" s="191">
        <f t="shared" si="12"/>
        <v>0</v>
      </c>
      <c r="L33" s="165"/>
      <c r="M33" s="166" t="e">
        <f t="shared" si="13"/>
        <v>#DIV/0!</v>
      </c>
      <c r="N33" s="167" t="e">
        <f t="shared" si="14"/>
        <v>#DIV/0!</v>
      </c>
    </row>
    <row r="34" spans="2:14" x14ac:dyDescent="0.2">
      <c r="B34" s="188">
        <f t="shared" si="6"/>
        <v>27</v>
      </c>
      <c r="C34" s="189"/>
      <c r="D34" s="161">
        <v>5</v>
      </c>
      <c r="E34" s="162">
        <f t="shared" si="8"/>
        <v>0</v>
      </c>
      <c r="F34" s="162">
        <f t="shared" si="9"/>
        <v>0</v>
      </c>
      <c r="G34" s="163">
        <v>48.314667</v>
      </c>
      <c r="H34" s="163">
        <f t="shared" si="10"/>
        <v>0</v>
      </c>
      <c r="I34" s="190">
        <v>1040.2491399999999</v>
      </c>
      <c r="J34" s="164">
        <f t="shared" si="11"/>
        <v>0</v>
      </c>
      <c r="K34" s="191">
        <f t="shared" si="12"/>
        <v>0</v>
      </c>
      <c r="L34" s="165"/>
      <c r="M34" s="166" t="e">
        <f t="shared" si="13"/>
        <v>#DIV/0!</v>
      </c>
      <c r="N34" s="167" t="e">
        <f t="shared" si="14"/>
        <v>#DIV/0!</v>
      </c>
    </row>
    <row r="35" spans="2:14" x14ac:dyDescent="0.2">
      <c r="B35" s="188">
        <f t="shared" si="6"/>
        <v>28</v>
      </c>
      <c r="C35" s="189"/>
      <c r="D35" s="161">
        <v>5</v>
      </c>
      <c r="E35" s="162">
        <f t="shared" si="8"/>
        <v>0</v>
      </c>
      <c r="F35" s="162">
        <f t="shared" si="9"/>
        <v>0</v>
      </c>
      <c r="G35" s="163">
        <v>49.314667</v>
      </c>
      <c r="H35" s="163">
        <f t="shared" si="10"/>
        <v>0</v>
      </c>
      <c r="I35" s="190"/>
      <c r="J35" s="164">
        <f t="shared" si="11"/>
        <v>0</v>
      </c>
      <c r="K35" s="191">
        <f t="shared" si="12"/>
        <v>0</v>
      </c>
      <c r="L35" s="165"/>
      <c r="M35" s="166" t="e">
        <f t="shared" si="13"/>
        <v>#DIV/0!</v>
      </c>
      <c r="N35" s="167" t="e">
        <f t="shared" si="14"/>
        <v>#DIV/0!</v>
      </c>
    </row>
    <row r="36" spans="2:14" x14ac:dyDescent="0.2">
      <c r="B36" s="188">
        <f t="shared" si="6"/>
        <v>29</v>
      </c>
      <c r="C36" s="189"/>
      <c r="D36" s="161">
        <v>5</v>
      </c>
      <c r="E36" s="162">
        <f t="shared" si="8"/>
        <v>0</v>
      </c>
      <c r="F36" s="162">
        <f t="shared" si="9"/>
        <v>0</v>
      </c>
      <c r="G36" s="163">
        <v>50.314667</v>
      </c>
      <c r="H36" s="163">
        <f t="shared" si="10"/>
        <v>0</v>
      </c>
      <c r="I36" s="190"/>
      <c r="J36" s="164">
        <f t="shared" si="11"/>
        <v>0</v>
      </c>
      <c r="K36" s="191">
        <f t="shared" si="12"/>
        <v>0</v>
      </c>
      <c r="L36" s="165"/>
      <c r="M36" s="166" t="e">
        <f t="shared" si="13"/>
        <v>#DIV/0!</v>
      </c>
      <c r="N36" s="167" t="e">
        <f t="shared" si="14"/>
        <v>#DIV/0!</v>
      </c>
    </row>
    <row r="37" spans="2:14" ht="15" thickBot="1" x14ac:dyDescent="0.25">
      <c r="B37" s="188">
        <f t="shared" si="6"/>
        <v>30</v>
      </c>
      <c r="C37" s="189"/>
      <c r="D37" s="161">
        <v>5</v>
      </c>
      <c r="E37" s="162">
        <f t="shared" si="8"/>
        <v>0</v>
      </c>
      <c r="F37" s="162">
        <f t="shared" si="9"/>
        <v>0</v>
      </c>
      <c r="G37" s="163">
        <v>51.314667</v>
      </c>
      <c r="H37" s="163">
        <f t="shared" si="10"/>
        <v>0</v>
      </c>
      <c r="I37" s="190"/>
      <c r="J37" s="164">
        <f t="shared" si="11"/>
        <v>0</v>
      </c>
      <c r="K37" s="191">
        <f t="shared" si="12"/>
        <v>0</v>
      </c>
      <c r="L37" s="165"/>
      <c r="M37" s="166" t="e">
        <f t="shared" si="13"/>
        <v>#DIV/0!</v>
      </c>
      <c r="N37" s="167" t="e">
        <f t="shared" si="14"/>
        <v>#DIV/0!</v>
      </c>
    </row>
    <row r="38" spans="2:14" ht="15" x14ac:dyDescent="0.25">
      <c r="B38" s="192" t="s">
        <v>157</v>
      </c>
      <c r="C38" s="169"/>
      <c r="D38" s="193"/>
      <c r="E38" s="193"/>
      <c r="F38" s="194">
        <f>AVERAGE(F8:F37)</f>
        <v>12674.528333333328</v>
      </c>
      <c r="G38" s="194"/>
      <c r="H38" s="194">
        <f t="shared" ref="H38:N38" si="15">AVERAGE(H8:H37)</f>
        <v>471.76255414039832</v>
      </c>
      <c r="I38" s="195">
        <f t="shared" si="15"/>
        <v>1047.133901851852</v>
      </c>
      <c r="J38" s="196">
        <f t="shared" si="15"/>
        <v>494.65047792203143</v>
      </c>
      <c r="K38" s="197">
        <f t="shared" si="15"/>
        <v>-12.578485588698099</v>
      </c>
      <c r="L38" s="198">
        <f t="shared" si="15"/>
        <v>850.71528058823515</v>
      </c>
      <c r="M38" s="199" t="e">
        <f t="shared" si="15"/>
        <v>#DIV/0!</v>
      </c>
      <c r="N38" s="199" t="e">
        <f t="shared" si="15"/>
        <v>#DIV/0!</v>
      </c>
    </row>
    <row r="39" spans="2:14" ht="15" x14ac:dyDescent="0.25">
      <c r="B39" s="200" t="s">
        <v>158</v>
      </c>
      <c r="C39" s="112">
        <f>SUM(C8:C37)</f>
        <v>76047.170000000013</v>
      </c>
      <c r="D39" s="201"/>
      <c r="E39" s="202">
        <f>SUM(E8:E37)</f>
        <v>380235.84999999986</v>
      </c>
      <c r="F39" s="202">
        <f>SUM(F8:F37)</f>
        <v>380235.84999999986</v>
      </c>
      <c r="G39" s="202"/>
      <c r="H39" s="202">
        <f>SUM(H8:H37)</f>
        <v>14152.876624211949</v>
      </c>
      <c r="I39" s="203"/>
      <c r="J39" s="204">
        <f>SUM(J8:J37)</f>
        <v>14839.514337660943</v>
      </c>
      <c r="K39" s="205"/>
      <c r="L39" s="206"/>
      <c r="M39" s="207"/>
      <c r="N39" s="207"/>
    </row>
    <row r="40" spans="2:14" ht="15" x14ac:dyDescent="0.25">
      <c r="B40" s="208" t="s">
        <v>159</v>
      </c>
      <c r="C40" s="170"/>
      <c r="D40" s="209"/>
      <c r="E40" s="209"/>
      <c r="F40" s="210"/>
      <c r="G40" s="210"/>
      <c r="H40" s="210"/>
      <c r="I40" s="211"/>
      <c r="J40" s="207"/>
      <c r="K40" s="205"/>
      <c r="L40" s="212"/>
      <c r="M40" s="207"/>
      <c r="N40" s="207"/>
    </row>
    <row r="41" spans="2:14" ht="30.75" customHeight="1" thickBot="1" x14ac:dyDescent="0.25">
      <c r="B41" s="213" t="s">
        <v>160</v>
      </c>
      <c r="C41" s="171"/>
      <c r="D41" s="214"/>
      <c r="E41" s="214"/>
      <c r="F41" s="215"/>
      <c r="G41" s="215"/>
      <c r="H41" s="216">
        <f>H39+H40</f>
        <v>14152.876624211949</v>
      </c>
      <c r="I41" s="217"/>
      <c r="J41" s="218">
        <f>J39+J40</f>
        <v>14839.514337660943</v>
      </c>
      <c r="K41" s="219"/>
      <c r="L41" s="220"/>
      <c r="M41" s="221"/>
      <c r="N41" s="221"/>
    </row>
    <row r="42" spans="2:14" s="175" customFormat="1" x14ac:dyDescent="0.2">
      <c r="C42" s="152"/>
    </row>
    <row r="43" spans="2:14" s="175" customFormat="1" x14ac:dyDescent="0.2">
      <c r="C43" s="152" t="s">
        <v>161</v>
      </c>
      <c r="F43" s="222"/>
    </row>
    <row r="44" spans="2:14" s="175" customFormat="1" x14ac:dyDescent="0.2">
      <c r="C44" s="152">
        <f>C39</f>
        <v>76047.170000000013</v>
      </c>
      <c r="D44" s="175" t="s">
        <v>124</v>
      </c>
      <c r="F44" s="152">
        <f>C39*5</f>
        <v>380235.85000000009</v>
      </c>
      <c r="G44" s="175">
        <v>9983.7000000000007</v>
      </c>
    </row>
    <row r="45" spans="2:14" s="175" customFormat="1" ht="15" x14ac:dyDescent="0.25">
      <c r="C45" s="152">
        <v>5</v>
      </c>
      <c r="D45" s="175" t="s">
        <v>162</v>
      </c>
      <c r="F45" s="152">
        <v>21286.9</v>
      </c>
      <c r="G45" s="222">
        <f>G44-C39</f>
        <v>-66063.470000000016</v>
      </c>
      <c r="H45" s="223"/>
      <c r="L45" s="223"/>
    </row>
    <row r="46" spans="2:14" s="175" customFormat="1" x14ac:dyDescent="0.2">
      <c r="C46" s="152">
        <f>C44*C45</f>
        <v>380235.85000000009</v>
      </c>
      <c r="D46" s="175" t="s">
        <v>163</v>
      </c>
      <c r="F46" s="152">
        <f>F44/F45</f>
        <v>17.862434173129955</v>
      </c>
      <c r="G46" s="222"/>
      <c r="H46" s="143"/>
      <c r="J46" s="143"/>
      <c r="L46" s="224"/>
    </row>
    <row r="47" spans="2:14" s="175" customFormat="1" x14ac:dyDescent="0.2">
      <c r="C47" s="152" t="e">
        <f>#REF!</f>
        <v>#REF!</v>
      </c>
      <c r="D47" s="175" t="s">
        <v>164</v>
      </c>
      <c r="H47" s="225"/>
      <c r="J47" s="152"/>
      <c r="L47" s="224"/>
    </row>
    <row r="48" spans="2:14" s="175" customFormat="1" ht="15" x14ac:dyDescent="0.25">
      <c r="C48" s="152" t="e">
        <f>(C46*C47)/1000</f>
        <v>#REF!</v>
      </c>
      <c r="D48" s="175" t="s">
        <v>165</v>
      </c>
      <c r="H48" s="173"/>
      <c r="J48" s="143"/>
      <c r="L48" s="152"/>
    </row>
    <row r="49" spans="3:10" s="175" customFormat="1" x14ac:dyDescent="0.2">
      <c r="C49" s="152">
        <f>I38</f>
        <v>1047.133901851852</v>
      </c>
      <c r="D49" s="175" t="s">
        <v>166</v>
      </c>
      <c r="H49" s="152"/>
      <c r="J49" s="226"/>
    </row>
    <row r="50" spans="3:10" s="175" customFormat="1" ht="15" x14ac:dyDescent="0.25">
      <c r="C50" s="173" t="e">
        <f>(C48*C49)/1000</f>
        <v>#REF!</v>
      </c>
      <c r="D50" s="175" t="s">
        <v>167</v>
      </c>
      <c r="H50" s="227"/>
      <c r="I50" s="223"/>
    </row>
    <row r="51" spans="3:10" s="175" customFormat="1" x14ac:dyDescent="0.2">
      <c r="C51" s="152"/>
    </row>
    <row r="52" spans="3:10" s="175" customFormat="1" x14ac:dyDescent="0.2">
      <c r="C52" s="152"/>
    </row>
    <row r="53" spans="3:10" s="175" customFormat="1" x14ac:dyDescent="0.2">
      <c r="C53" s="152"/>
    </row>
    <row r="54" spans="3:10" s="175" customFormat="1" x14ac:dyDescent="0.2">
      <c r="C54" s="152"/>
    </row>
    <row r="55" spans="3:10" s="175" customFormat="1" x14ac:dyDescent="0.2">
      <c r="C55" s="152"/>
    </row>
    <row r="56" spans="3:10" s="175" customFormat="1" x14ac:dyDescent="0.2">
      <c r="C56" s="152"/>
    </row>
    <row r="57" spans="3:10" s="175" customFormat="1" x14ac:dyDescent="0.2">
      <c r="C57" s="152"/>
    </row>
    <row r="58" spans="3:10" s="175" customFormat="1" x14ac:dyDescent="0.2">
      <c r="C58" s="152"/>
    </row>
    <row r="59" spans="3:10" s="175" customFormat="1" x14ac:dyDescent="0.2">
      <c r="C59" s="152"/>
      <c r="F59" s="143"/>
    </row>
    <row r="60" spans="3:10" s="175" customFormat="1" x14ac:dyDescent="0.2">
      <c r="C60" s="152"/>
      <c r="F60" s="143"/>
    </row>
    <row r="61" spans="3:10" s="175" customFormat="1" x14ac:dyDescent="0.2">
      <c r="C61" s="152"/>
      <c r="F61" s="143"/>
    </row>
    <row r="62" spans="3:10" s="175" customFormat="1" x14ac:dyDescent="0.2">
      <c r="C62" s="152"/>
      <c r="F62" s="143"/>
    </row>
    <row r="63" spans="3:10" s="175" customFormat="1" x14ac:dyDescent="0.2">
      <c r="C63" s="152"/>
    </row>
    <row r="64" spans="3:10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3"/>
  <sheetViews>
    <sheetView showGridLines="0" zoomScale="90" zoomScaleNormal="90" workbookViewId="0">
      <selection activeCell="O23" sqref="O23"/>
    </sheetView>
  </sheetViews>
  <sheetFormatPr defaultColWidth="9.28515625" defaultRowHeight="15" x14ac:dyDescent="0.25"/>
  <cols>
    <col min="1" max="3" width="9.28515625" style="1448"/>
    <col min="4" max="4" width="35.140625" style="1448" customWidth="1"/>
    <col min="5" max="5" width="12.28515625" style="1448" customWidth="1"/>
    <col min="6" max="8" width="14.42578125" style="1448" customWidth="1"/>
    <col min="9" max="9" width="55.7109375" style="1448" customWidth="1"/>
    <col min="10" max="10" width="9.28515625" style="1448"/>
    <col min="11" max="11" width="10.42578125" style="1448" bestFit="1" customWidth="1"/>
    <col min="12" max="16384" width="9.28515625" style="1448"/>
  </cols>
  <sheetData>
    <row r="2" spans="4:11" ht="18" x14ac:dyDescent="0.25">
      <c r="D2" s="2105" t="s">
        <v>799</v>
      </c>
      <c r="E2" s="2105"/>
      <c r="F2" s="2105"/>
      <c r="G2" s="2105"/>
      <c r="H2" s="2105"/>
      <c r="I2" s="2105"/>
    </row>
    <row r="3" spans="4:11" ht="18" x14ac:dyDescent="0.25">
      <c r="D3" s="2106" t="s">
        <v>800</v>
      </c>
      <c r="E3" s="2106"/>
      <c r="F3" s="2106"/>
      <c r="G3" s="2106"/>
      <c r="H3" s="2106"/>
      <c r="I3" s="2106"/>
    </row>
    <row r="4" spans="4:11" ht="15.75" thickBot="1" x14ac:dyDescent="0.3">
      <c r="D4" s="2107" t="s">
        <v>1094</v>
      </c>
      <c r="E4" s="2107"/>
      <c r="F4" s="1449"/>
      <c r="G4" s="1450"/>
      <c r="H4" s="1451"/>
      <c r="I4" s="1451"/>
    </row>
    <row r="5" spans="4:11" ht="26.25" thickBot="1" x14ac:dyDescent="0.3">
      <c r="D5" s="1452" t="s">
        <v>801</v>
      </c>
      <c r="E5" s="1453" t="s">
        <v>102</v>
      </c>
      <c r="F5" s="1454" t="s">
        <v>802</v>
      </c>
      <c r="G5" s="1454" t="s">
        <v>740</v>
      </c>
      <c r="H5" s="1455" t="s">
        <v>803</v>
      </c>
      <c r="I5" s="1456" t="s">
        <v>804</v>
      </c>
    </row>
    <row r="6" spans="4:11" ht="17.25" customHeight="1" x14ac:dyDescent="0.25">
      <c r="D6" s="1457" t="s">
        <v>71</v>
      </c>
      <c r="E6" s="1458" t="s">
        <v>14</v>
      </c>
      <c r="F6" s="1459">
        <v>36359000</v>
      </c>
      <c r="G6" s="1460">
        <f>'Desember 2024'!$AM$9</f>
        <v>25272757</v>
      </c>
      <c r="H6" s="1461">
        <f>G6/F6</f>
        <v>0.69508944140377893</v>
      </c>
      <c r="I6" s="1462"/>
      <c r="J6" s="1463"/>
      <c r="K6" s="1464"/>
    </row>
    <row r="7" spans="4:11" ht="17.25" customHeight="1" x14ac:dyDescent="0.25">
      <c r="D7" s="1465" t="s">
        <v>805</v>
      </c>
      <c r="E7" s="1466" t="s">
        <v>14</v>
      </c>
      <c r="F7" s="1467">
        <v>34458000</v>
      </c>
      <c r="G7" s="1468">
        <f>'Desember 2024'!$AM$24</f>
        <v>24112447</v>
      </c>
      <c r="H7" s="1469">
        <f>G7/F7</f>
        <v>0.69976339311625746</v>
      </c>
      <c r="I7" s="1470"/>
      <c r="J7" s="1463"/>
      <c r="K7" s="1464"/>
    </row>
    <row r="8" spans="4:11" x14ac:dyDescent="0.25">
      <c r="D8" s="2108" t="s">
        <v>806</v>
      </c>
      <c r="E8" s="2109"/>
      <c r="F8" s="2109"/>
      <c r="G8" s="2109"/>
      <c r="H8" s="2109"/>
      <c r="I8" s="2110"/>
    </row>
    <row r="9" spans="4:11" x14ac:dyDescent="0.25">
      <c r="D9" s="1471" t="s">
        <v>16</v>
      </c>
      <c r="E9" s="1472"/>
      <c r="F9" s="1473"/>
      <c r="G9" s="1474"/>
      <c r="H9" s="1475"/>
      <c r="I9" s="1476"/>
    </row>
    <row r="10" spans="4:11" x14ac:dyDescent="0.25">
      <c r="D10" s="1477" t="s">
        <v>763</v>
      </c>
      <c r="E10" s="1478" t="s">
        <v>14</v>
      </c>
      <c r="F10" s="1479">
        <v>232362</v>
      </c>
      <c r="G10" s="1480">
        <f>'Desember 2024'!$AM$74</f>
        <v>229303.91</v>
      </c>
      <c r="H10" s="1481">
        <f t="shared" ref="H10:H18" si="0">F10-G10</f>
        <v>3058.0899999999965</v>
      </c>
      <c r="I10" s="1482"/>
    </row>
    <row r="11" spans="4:11" x14ac:dyDescent="0.25">
      <c r="D11" s="1477" t="s">
        <v>764</v>
      </c>
      <c r="E11" s="1478" t="s">
        <v>14</v>
      </c>
      <c r="F11" s="1479">
        <v>131651</v>
      </c>
      <c r="G11" s="1480">
        <f>'Desember 2024'!$AM$80</f>
        <v>0</v>
      </c>
      <c r="H11" s="1481">
        <f t="shared" si="0"/>
        <v>131651</v>
      </c>
      <c r="I11" s="1483"/>
    </row>
    <row r="12" spans="4:11" x14ac:dyDescent="0.25">
      <c r="D12" s="1477" t="s">
        <v>765</v>
      </c>
      <c r="E12" s="1478" t="s">
        <v>14</v>
      </c>
      <c r="F12" s="1479">
        <v>21815</v>
      </c>
      <c r="G12" s="1480">
        <f>'Desember 2024'!$AM$82</f>
        <v>12772.944000000001</v>
      </c>
      <c r="H12" s="1481">
        <f t="shared" si="0"/>
        <v>9042.0559999999987</v>
      </c>
      <c r="I12" s="1483"/>
    </row>
    <row r="13" spans="4:11" x14ac:dyDescent="0.25">
      <c r="D13" s="1477" t="s">
        <v>828</v>
      </c>
      <c r="E13" s="1478" t="s">
        <v>19</v>
      </c>
      <c r="F13" s="1479">
        <v>20978.28</v>
      </c>
      <c r="G13" s="1480">
        <f>'Desember 2024'!$AM$244+'Desember 2024'!$AM$243</f>
        <v>-50695.652419901598</v>
      </c>
      <c r="H13" s="1481">
        <f t="shared" si="0"/>
        <v>71673.932419901597</v>
      </c>
      <c r="I13" s="1482"/>
    </row>
    <row r="14" spans="4:11" x14ac:dyDescent="0.25">
      <c r="D14" s="1477" t="s">
        <v>807</v>
      </c>
      <c r="E14" s="1478" t="s">
        <v>19</v>
      </c>
      <c r="F14" s="1479">
        <v>3702.06</v>
      </c>
      <c r="G14" s="1480">
        <f>'Desember 2024'!$AM$242</f>
        <v>76486.023962086474</v>
      </c>
      <c r="H14" s="1481">
        <f t="shared" si="0"/>
        <v>-72783.963962086476</v>
      </c>
      <c r="I14" s="1483"/>
    </row>
    <row r="15" spans="4:11" x14ac:dyDescent="0.25">
      <c r="D15" s="1484" t="s">
        <v>808</v>
      </c>
      <c r="E15" s="1485" t="s">
        <v>124</v>
      </c>
      <c r="F15" s="1479">
        <v>1441.26</v>
      </c>
      <c r="G15" s="1480">
        <f>'Desember 2024'!$AM$259</f>
        <v>1008</v>
      </c>
      <c r="H15" s="1481">
        <f t="shared" si="0"/>
        <v>433.26</v>
      </c>
      <c r="I15" s="1483"/>
    </row>
    <row r="16" spans="4:11" x14ac:dyDescent="0.25">
      <c r="D16" s="1477" t="s">
        <v>133</v>
      </c>
      <c r="E16" s="1478" t="s">
        <v>14</v>
      </c>
      <c r="F16" s="1479">
        <v>8640000</v>
      </c>
      <c r="G16" s="1480">
        <f>'Desember 2024'!$AM$249</f>
        <v>876420.07000000007</v>
      </c>
      <c r="H16" s="1481">
        <f t="shared" si="0"/>
        <v>7763579.9299999997</v>
      </c>
      <c r="I16" s="1483"/>
    </row>
    <row r="17" spans="4:10" x14ac:dyDescent="0.25">
      <c r="D17" s="1477" t="s">
        <v>809</v>
      </c>
      <c r="E17" s="1478" t="s">
        <v>2</v>
      </c>
      <c r="F17" s="1479">
        <v>97275</v>
      </c>
      <c r="G17" s="1480">
        <f>'Desember 2024'!$AM$274</f>
        <v>179728.37999999998</v>
      </c>
      <c r="H17" s="1481">
        <f t="shared" si="0"/>
        <v>-82453.379999999976</v>
      </c>
      <c r="I17" s="1483"/>
    </row>
    <row r="18" spans="4:10" x14ac:dyDescent="0.25">
      <c r="D18" s="1477" t="s">
        <v>810</v>
      </c>
      <c r="E18" s="1478" t="s">
        <v>2</v>
      </c>
      <c r="F18" s="1479">
        <v>69307</v>
      </c>
      <c r="G18" s="1480">
        <f>'Desember 2024'!$AM$272</f>
        <v>752103.89</v>
      </c>
      <c r="H18" s="1481">
        <f t="shared" si="0"/>
        <v>-682796.89</v>
      </c>
      <c r="I18" s="1483"/>
    </row>
    <row r="19" spans="4:10" x14ac:dyDescent="0.25">
      <c r="D19" s="1486" t="s">
        <v>15</v>
      </c>
      <c r="E19" s="1487"/>
      <c r="F19" s="1488"/>
      <c r="G19" s="1489"/>
      <c r="H19" s="1490"/>
      <c r="I19" s="1491"/>
    </row>
    <row r="20" spans="4:10" x14ac:dyDescent="0.25">
      <c r="D20" s="1484" t="s">
        <v>808</v>
      </c>
      <c r="E20" s="1485" t="s">
        <v>124</v>
      </c>
      <c r="F20" s="1492">
        <v>2489</v>
      </c>
      <c r="G20" s="1493">
        <f>'Desember 2024'!$AM$261</f>
        <v>1116</v>
      </c>
      <c r="H20" s="1481">
        <f>F20-G20</f>
        <v>1373</v>
      </c>
      <c r="I20" s="1494"/>
    </row>
    <row r="21" spans="4:10" x14ac:dyDescent="0.25">
      <c r="D21" s="1484" t="s">
        <v>133</v>
      </c>
      <c r="E21" s="1485" t="s">
        <v>14</v>
      </c>
      <c r="F21" s="1492">
        <v>2196000</v>
      </c>
      <c r="G21" s="1493">
        <f>'Desember 2024'!$AM$251</f>
        <v>1425446.7000000002</v>
      </c>
      <c r="H21" s="1481">
        <f>F21-G21</f>
        <v>770553.29999999981</v>
      </c>
      <c r="I21" s="1494"/>
    </row>
    <row r="22" spans="4:10" x14ac:dyDescent="0.25">
      <c r="D22" s="1484" t="s">
        <v>809</v>
      </c>
      <c r="E22" s="1485" t="s">
        <v>2</v>
      </c>
      <c r="F22" s="1492">
        <v>103680</v>
      </c>
      <c r="G22" s="1493">
        <f>'Desember 2024'!$AM$279</f>
        <v>164706.76</v>
      </c>
      <c r="H22" s="1481">
        <f>F22-G22</f>
        <v>-61026.760000000009</v>
      </c>
      <c r="I22" s="1494"/>
    </row>
    <row r="23" spans="4:10" x14ac:dyDescent="0.25">
      <c r="D23" s="1465" t="s">
        <v>810</v>
      </c>
      <c r="E23" s="1466" t="s">
        <v>2</v>
      </c>
      <c r="F23" s="1495">
        <v>27234</v>
      </c>
      <c r="G23" s="1496">
        <f>'Desember 2024'!$AM$277</f>
        <v>164688</v>
      </c>
      <c r="H23" s="1481">
        <f>F23-G23</f>
        <v>-137454</v>
      </c>
      <c r="I23" s="1497"/>
    </row>
    <row r="24" spans="4:10" x14ac:dyDescent="0.25">
      <c r="D24" s="2108" t="s">
        <v>811</v>
      </c>
      <c r="E24" s="2109"/>
      <c r="F24" s="2109"/>
      <c r="G24" s="2109"/>
      <c r="H24" s="2109"/>
      <c r="I24" s="2110"/>
    </row>
    <row r="25" spans="4:10" x14ac:dyDescent="0.25">
      <c r="D25" s="1471" t="s">
        <v>16</v>
      </c>
      <c r="E25" s="1498"/>
      <c r="F25" s="1499"/>
      <c r="G25" s="1500"/>
      <c r="H25" s="1501"/>
      <c r="I25" s="1502"/>
    </row>
    <row r="26" spans="4:10" x14ac:dyDescent="0.25">
      <c r="D26" s="1484" t="s">
        <v>763</v>
      </c>
      <c r="E26" s="1485" t="s">
        <v>326</v>
      </c>
      <c r="F26" s="1503">
        <v>9</v>
      </c>
      <c r="G26" s="1504">
        <f t="shared" ref="G26:G34" si="1">(G10/$G$6)*1000</f>
        <v>9.0731656225713717</v>
      </c>
      <c r="H26" s="1505">
        <f t="shared" ref="H26:H34" si="2">F26-G26</f>
        <v>-7.3165622571371713E-2</v>
      </c>
      <c r="I26" s="1506"/>
    </row>
    <row r="27" spans="4:10" x14ac:dyDescent="0.25">
      <c r="D27" s="1484" t="s">
        <v>764</v>
      </c>
      <c r="E27" s="1485" t="s">
        <v>326</v>
      </c>
      <c r="F27" s="1503">
        <v>18</v>
      </c>
      <c r="G27" s="1504">
        <f t="shared" si="1"/>
        <v>0</v>
      </c>
      <c r="H27" s="1505">
        <f t="shared" si="2"/>
        <v>18</v>
      </c>
      <c r="I27" s="1507"/>
      <c r="J27" s="1448" t="s">
        <v>216</v>
      </c>
    </row>
    <row r="28" spans="4:10" x14ac:dyDescent="0.25">
      <c r="D28" s="1484" t="s">
        <v>765</v>
      </c>
      <c r="E28" s="1485" t="s">
        <v>326</v>
      </c>
      <c r="F28" s="1503">
        <v>0.6</v>
      </c>
      <c r="G28" s="1504">
        <f t="shared" si="1"/>
        <v>0.50540366450720042</v>
      </c>
      <c r="H28" s="1505">
        <f t="shared" si="2"/>
        <v>9.4596335492799555E-2</v>
      </c>
      <c r="I28" s="1508"/>
    </row>
    <row r="29" spans="4:10" x14ac:dyDescent="0.25">
      <c r="D29" s="1484" t="s">
        <v>807</v>
      </c>
      <c r="E29" s="1485" t="s">
        <v>812</v>
      </c>
      <c r="F29" s="1509">
        <v>4.2</v>
      </c>
      <c r="G29" s="1504">
        <f t="shared" si="1"/>
        <v>-2.0059407218571996</v>
      </c>
      <c r="H29" s="1505">
        <f t="shared" si="2"/>
        <v>6.2059407218571998</v>
      </c>
      <c r="I29" s="2111" t="s">
        <v>813</v>
      </c>
    </row>
    <row r="30" spans="4:10" x14ac:dyDescent="0.25">
      <c r="D30" s="1484" t="s">
        <v>814</v>
      </c>
      <c r="E30" s="1485" t="s">
        <v>815</v>
      </c>
      <c r="F30" s="1509">
        <v>0.14729399999999998</v>
      </c>
      <c r="G30" s="1504">
        <f t="shared" si="1"/>
        <v>3.0264218487158514</v>
      </c>
      <c r="H30" s="1505">
        <f t="shared" si="2"/>
        <v>-2.8791278487158514</v>
      </c>
      <c r="I30" s="2112"/>
    </row>
    <row r="31" spans="4:10" x14ac:dyDescent="0.25">
      <c r="D31" s="1484" t="s">
        <v>808</v>
      </c>
      <c r="E31" s="1485" t="s">
        <v>816</v>
      </c>
      <c r="F31" s="1509">
        <v>0.6</v>
      </c>
      <c r="G31" s="1504">
        <f t="shared" si="1"/>
        <v>3.9884845171423128E-2</v>
      </c>
      <c r="H31" s="1505">
        <f t="shared" si="2"/>
        <v>0.56011515482857688</v>
      </c>
      <c r="I31" s="1511"/>
    </row>
    <row r="32" spans="4:10" x14ac:dyDescent="0.25">
      <c r="D32" s="1484" t="s">
        <v>817</v>
      </c>
      <c r="E32" s="1485" t="s">
        <v>326</v>
      </c>
      <c r="F32" s="1509">
        <v>46</v>
      </c>
      <c r="G32" s="1504">
        <f t="shared" si="1"/>
        <v>34.678451187577203</v>
      </c>
      <c r="H32" s="1505">
        <f t="shared" si="2"/>
        <v>11.321548812422797</v>
      </c>
      <c r="I32" s="1510" t="s">
        <v>818</v>
      </c>
    </row>
    <row r="33" spans="4:10" x14ac:dyDescent="0.25">
      <c r="D33" s="1484" t="s">
        <v>809</v>
      </c>
      <c r="E33" s="1485" t="s">
        <v>819</v>
      </c>
      <c r="F33" s="1509">
        <v>4.3033333333333301</v>
      </c>
      <c r="G33" s="1504">
        <f t="shared" si="1"/>
        <v>7.1115462392963291</v>
      </c>
      <c r="H33" s="1505">
        <f t="shared" si="2"/>
        <v>-2.808212905962999</v>
      </c>
      <c r="I33" s="2113" t="s">
        <v>820</v>
      </c>
    </row>
    <row r="34" spans="4:10" x14ac:dyDescent="0.25">
      <c r="D34" s="1484" t="s">
        <v>1121</v>
      </c>
      <c r="E34" s="1485" t="s">
        <v>819</v>
      </c>
      <c r="F34" s="1509">
        <v>7.3</v>
      </c>
      <c r="G34" s="1504">
        <f t="shared" si="1"/>
        <v>29.759471434003029</v>
      </c>
      <c r="H34" s="1505">
        <f t="shared" si="2"/>
        <v>-22.459471434003028</v>
      </c>
      <c r="I34" s="2114"/>
    </row>
    <row r="35" spans="4:10" x14ac:dyDescent="0.25">
      <c r="D35" s="1512" t="s">
        <v>15</v>
      </c>
      <c r="E35" s="1513"/>
      <c r="F35" s="1514"/>
      <c r="G35" s="1515"/>
      <c r="H35" s="1516"/>
      <c r="I35" s="1517"/>
    </row>
    <row r="36" spans="4:10" x14ac:dyDescent="0.25">
      <c r="D36" s="1484" t="s">
        <v>808</v>
      </c>
      <c r="E36" s="1485" t="s">
        <v>816</v>
      </c>
      <c r="F36" s="1509">
        <v>0.4</v>
      </c>
      <c r="G36" s="1504">
        <f>(G20/$G$6)*1000</f>
        <v>4.415822143978989E-2</v>
      </c>
      <c r="H36" s="1505">
        <f>F36-G36</f>
        <v>0.35584177856021015</v>
      </c>
      <c r="I36" s="1511"/>
    </row>
    <row r="37" spans="4:10" x14ac:dyDescent="0.25">
      <c r="D37" s="1484" t="s">
        <v>817</v>
      </c>
      <c r="E37" s="1485" t="s">
        <v>326</v>
      </c>
      <c r="F37" s="1518">
        <v>45</v>
      </c>
      <c r="G37" s="1504">
        <f>(G21/$G$6)*1000</f>
        <v>56.402500922238133</v>
      </c>
      <c r="H37" s="1505">
        <f>F37-G37</f>
        <v>-11.402500922238133</v>
      </c>
      <c r="I37" s="1510" t="s">
        <v>821</v>
      </c>
    </row>
    <row r="38" spans="4:10" x14ac:dyDescent="0.25">
      <c r="D38" s="1484" t="s">
        <v>809</v>
      </c>
      <c r="E38" s="1485" t="s">
        <v>819</v>
      </c>
      <c r="F38" s="1509">
        <v>4.5</v>
      </c>
      <c r="G38" s="1504">
        <f>(G22/$G$6)*1000</f>
        <v>6.5171662909590751</v>
      </c>
      <c r="H38" s="1505">
        <f>F38-G38</f>
        <v>-2.0171662909590751</v>
      </c>
      <c r="I38" s="2113" t="s">
        <v>820</v>
      </c>
    </row>
    <row r="39" spans="4:10" x14ac:dyDescent="0.25">
      <c r="D39" s="1484" t="s">
        <v>1122</v>
      </c>
      <c r="E39" s="1485" t="s">
        <v>819</v>
      </c>
      <c r="F39" s="1509">
        <v>4.0999999999999996</v>
      </c>
      <c r="G39" s="1504">
        <f t="shared" ref="G39" si="3">(G23/$G$6)*1000</f>
        <v>6.5164239896739407</v>
      </c>
      <c r="H39" s="1505">
        <f>F39-G39</f>
        <v>-2.416423989673941</v>
      </c>
      <c r="I39" s="2114"/>
    </row>
    <row r="40" spans="4:10" ht="15.75" thickBot="1" x14ac:dyDescent="0.3">
      <c r="D40" s="1519"/>
      <c r="E40" s="1520"/>
      <c r="F40" s="1521"/>
      <c r="G40" s="1522"/>
      <c r="H40" s="1523"/>
      <c r="I40" s="1524"/>
    </row>
    <row r="41" spans="4:10" x14ac:dyDescent="0.25">
      <c r="E41" s="1525"/>
      <c r="F41" s="1525"/>
      <c r="H41" s="1526"/>
      <c r="I41" s="1526"/>
    </row>
    <row r="42" spans="4:10" x14ac:dyDescent="0.25">
      <c r="D42" s="2116" t="s">
        <v>1100</v>
      </c>
      <c r="E42" s="2116"/>
      <c r="F42" s="2116"/>
      <c r="G42" s="2116"/>
      <c r="H42" s="1526"/>
      <c r="I42" s="1526"/>
    </row>
    <row r="43" spans="4:10" hidden="1" x14ac:dyDescent="0.25">
      <c r="D43" s="2115" t="s">
        <v>769</v>
      </c>
      <c r="E43" s="2115"/>
      <c r="F43" s="2115"/>
      <c r="G43" s="2115"/>
    </row>
    <row r="44" spans="4:10" hidden="1" x14ac:dyDescent="0.25">
      <c r="D44" s="2104" t="s">
        <v>822</v>
      </c>
      <c r="E44" s="2104"/>
      <c r="F44" s="2104"/>
    </row>
    <row r="45" spans="4:10" hidden="1" x14ac:dyDescent="0.25">
      <c r="D45" s="2104" t="s">
        <v>823</v>
      </c>
      <c r="E45" s="2104"/>
      <c r="F45" s="2104"/>
      <c r="H45" s="1526"/>
      <c r="I45" s="1526"/>
    </row>
    <row r="46" spans="4:10" hidden="1" x14ac:dyDescent="0.25">
      <c r="D46" s="2104" t="s">
        <v>824</v>
      </c>
      <c r="E46" s="2104"/>
      <c r="F46" s="2104"/>
      <c r="H46" s="1526"/>
      <c r="I46" s="1526"/>
    </row>
    <row r="47" spans="4:10" x14ac:dyDescent="0.25">
      <c r="H47" s="1526"/>
      <c r="I47" s="1526"/>
    </row>
    <row r="48" spans="4:10" s="1320" customFormat="1" x14ac:dyDescent="0.2">
      <c r="D48" s="1196" t="s">
        <v>771</v>
      </c>
      <c r="E48" s="1196"/>
      <c r="F48" s="1196"/>
      <c r="G48" s="1196" t="s">
        <v>772</v>
      </c>
      <c r="H48" s="1322"/>
      <c r="I48" s="1196" t="s">
        <v>825</v>
      </c>
      <c r="J48" s="1311"/>
    </row>
    <row r="49" spans="3:10" s="1320" customFormat="1" x14ac:dyDescent="0.25">
      <c r="C49" s="1193"/>
      <c r="D49" s="1313"/>
      <c r="E49" s="1313"/>
      <c r="F49" s="1193"/>
      <c r="G49" s="1313"/>
      <c r="H49" s="1322"/>
      <c r="I49" s="1322"/>
      <c r="J49" s="1313"/>
    </row>
    <row r="50" spans="3:10" s="1320" customFormat="1" x14ac:dyDescent="0.25">
      <c r="C50" s="1193"/>
      <c r="D50" s="1193"/>
      <c r="E50" s="1193"/>
      <c r="F50" s="1193"/>
      <c r="G50" s="1193"/>
      <c r="H50" s="1322"/>
      <c r="I50" s="1322"/>
      <c r="J50" s="1193"/>
    </row>
    <row r="51" spans="3:10" s="1320" customFormat="1" x14ac:dyDescent="0.25">
      <c r="C51" s="1193"/>
      <c r="D51" s="1193"/>
      <c r="E51" s="1193"/>
      <c r="F51" s="1193"/>
      <c r="G51" s="1193"/>
      <c r="H51" s="1322"/>
      <c r="I51" s="1322"/>
      <c r="J51" s="1193"/>
    </row>
    <row r="52" spans="3:10" s="1320" customFormat="1" x14ac:dyDescent="0.2">
      <c r="D52" s="1315" t="s">
        <v>1097</v>
      </c>
      <c r="E52" s="1315"/>
      <c r="F52" s="1315" t="s">
        <v>774</v>
      </c>
      <c r="H52" s="1315" t="s">
        <v>775</v>
      </c>
      <c r="I52" s="1315" t="s">
        <v>826</v>
      </c>
      <c r="J52" s="1316"/>
    </row>
    <row r="53" spans="3:10" s="1320" customFormat="1" ht="15" customHeight="1" x14ac:dyDescent="0.2">
      <c r="D53" s="1313" t="s">
        <v>777</v>
      </c>
      <c r="E53" s="1313"/>
      <c r="F53" s="1313" t="s">
        <v>778</v>
      </c>
      <c r="H53" s="1313" t="s">
        <v>779</v>
      </c>
      <c r="I53" s="1313" t="s">
        <v>827</v>
      </c>
      <c r="J53" s="1318"/>
    </row>
  </sheetData>
  <mergeCells count="13">
    <mergeCell ref="D46:F46"/>
    <mergeCell ref="D2:I2"/>
    <mergeCell ref="D3:I3"/>
    <mergeCell ref="D4:E4"/>
    <mergeCell ref="D8:I8"/>
    <mergeCell ref="D24:I24"/>
    <mergeCell ref="I29:I30"/>
    <mergeCell ref="I33:I34"/>
    <mergeCell ref="I38:I39"/>
    <mergeCell ref="D43:G43"/>
    <mergeCell ref="D44:F44"/>
    <mergeCell ref="D45:F45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9"/>
  <sheetViews>
    <sheetView showGridLines="0" topLeftCell="C10" zoomScale="85" zoomScaleNormal="85" zoomScaleSheetLayoutView="115" workbookViewId="0">
      <selection activeCell="L33" sqref="L33"/>
    </sheetView>
  </sheetViews>
  <sheetFormatPr defaultColWidth="9" defaultRowHeight="14.25" x14ac:dyDescent="0.2"/>
  <cols>
    <col min="1" max="2" width="9" style="1320"/>
    <col min="3" max="3" width="1.5703125" style="1320" customWidth="1"/>
    <col min="4" max="4" width="4.28515625" style="1323" customWidth="1"/>
    <col min="5" max="5" width="42.7109375" style="1320" customWidth="1"/>
    <col min="6" max="6" width="11.28515625" style="1321" bestFit="1" customWidth="1"/>
    <col min="7" max="7" width="9" style="1320" customWidth="1"/>
    <col min="8" max="8" width="15.42578125" style="1320" customWidth="1"/>
    <col min="9" max="9" width="22.28515625" style="1320" bestFit="1" customWidth="1"/>
    <col min="10" max="10" width="16.42578125" style="1322" customWidth="1"/>
    <col min="11" max="11" width="13.5703125" style="1322" customWidth="1"/>
    <col min="12" max="12" width="16.42578125" style="1322" bestFit="1" customWidth="1"/>
    <col min="13" max="13" width="9" style="1320"/>
    <col min="14" max="14" width="16.42578125" style="1320" bestFit="1" customWidth="1"/>
    <col min="15" max="16384" width="9" style="1320"/>
  </cols>
  <sheetData>
    <row r="1" spans="4:14" x14ac:dyDescent="0.2">
      <c r="D1" s="1319"/>
    </row>
    <row r="2" spans="4:14" ht="17.100000000000001" customHeight="1" x14ac:dyDescent="0.25">
      <c r="D2" s="2121" t="s">
        <v>781</v>
      </c>
      <c r="E2" s="2121"/>
      <c r="F2" s="2121"/>
      <c r="G2" s="2121"/>
      <c r="H2" s="2121"/>
      <c r="I2" s="2121"/>
      <c r="J2" s="2122"/>
      <c r="K2" s="2121"/>
      <c r="L2" s="2121"/>
    </row>
    <row r="3" spans="4:14" ht="17.100000000000001" customHeight="1" x14ac:dyDescent="0.25">
      <c r="D3" s="2121" t="s">
        <v>735</v>
      </c>
      <c r="E3" s="2121"/>
      <c r="F3" s="2121"/>
      <c r="G3" s="2121"/>
      <c r="H3" s="2121"/>
      <c r="I3" s="2121"/>
      <c r="J3" s="2122"/>
      <c r="K3" s="2121"/>
      <c r="L3" s="2121"/>
    </row>
    <row r="4" spans="4:14" ht="10.5" customHeight="1" x14ac:dyDescent="0.2"/>
    <row r="5" spans="4:14" ht="13.15" customHeight="1" thickBot="1" x14ac:dyDescent="0.25">
      <c r="D5" s="2107" t="s">
        <v>1094</v>
      </c>
      <c r="E5" s="2107"/>
    </row>
    <row r="6" spans="4:14" ht="15" customHeight="1" x14ac:dyDescent="0.25">
      <c r="D6" s="2123" t="s">
        <v>99</v>
      </c>
      <c r="E6" s="2123" t="s">
        <v>736</v>
      </c>
      <c r="F6" s="2124" t="s">
        <v>782</v>
      </c>
      <c r="G6" s="2124" t="s">
        <v>102</v>
      </c>
      <c r="H6" s="2127" t="s">
        <v>1095</v>
      </c>
      <c r="I6" s="2127"/>
      <c r="J6" s="2128"/>
      <c r="K6" s="2129" t="s">
        <v>783</v>
      </c>
      <c r="L6" s="2132" t="s">
        <v>738</v>
      </c>
    </row>
    <row r="7" spans="4:14" ht="15" customHeight="1" x14ac:dyDescent="0.2">
      <c r="D7" s="2123"/>
      <c r="E7" s="2123"/>
      <c r="F7" s="2125"/>
      <c r="G7" s="2125"/>
      <c r="H7" s="2135" t="s">
        <v>739</v>
      </c>
      <c r="I7" s="2137" t="s">
        <v>740</v>
      </c>
      <c r="J7" s="2139" t="s">
        <v>741</v>
      </c>
      <c r="K7" s="2130"/>
      <c r="L7" s="2133"/>
    </row>
    <row r="8" spans="4:14" ht="24" customHeight="1" x14ac:dyDescent="0.2">
      <c r="D8" s="2123"/>
      <c r="E8" s="2123"/>
      <c r="F8" s="2126"/>
      <c r="G8" s="2126"/>
      <c r="H8" s="2136"/>
      <c r="I8" s="2138"/>
      <c r="J8" s="2140"/>
      <c r="K8" s="2131"/>
      <c r="L8" s="2134"/>
    </row>
    <row r="9" spans="4:14" ht="20.25" customHeight="1" x14ac:dyDescent="0.2">
      <c r="D9" s="1324"/>
      <c r="E9" s="1324" t="s">
        <v>784</v>
      </c>
      <c r="F9" s="1324"/>
      <c r="G9" s="1324"/>
      <c r="H9" s="1326"/>
      <c r="I9" s="1327"/>
      <c r="J9" s="1328"/>
      <c r="K9" s="1329">
        <v>29045</v>
      </c>
      <c r="L9" s="1325"/>
    </row>
    <row r="10" spans="4:14" ht="15" x14ac:dyDescent="0.25">
      <c r="D10" s="1330" t="s">
        <v>742</v>
      </c>
      <c r="E10" s="1331" t="s">
        <v>24</v>
      </c>
      <c r="F10" s="1332"/>
      <c r="G10" s="1333"/>
      <c r="H10" s="1334"/>
      <c r="I10" s="1334"/>
      <c r="J10" s="1335"/>
      <c r="K10" s="1335"/>
      <c r="L10" s="1336"/>
    </row>
    <row r="11" spans="4:14" ht="15" x14ac:dyDescent="0.25">
      <c r="D11" s="1337"/>
      <c r="E11" s="1338" t="s">
        <v>785</v>
      </c>
      <c r="F11" s="1339"/>
      <c r="G11" s="1340" t="s">
        <v>19</v>
      </c>
      <c r="H11" s="1341"/>
      <c r="I11" s="1342">
        <f>'Desember 2024'!$AM$240</f>
        <v>25913.808400000002</v>
      </c>
      <c r="J11" s="1343"/>
      <c r="K11" s="1344"/>
      <c r="L11" s="1345"/>
    </row>
    <row r="12" spans="4:14" s="1355" customFormat="1" ht="15" x14ac:dyDescent="0.25">
      <c r="D12" s="1346"/>
      <c r="E12" s="1347" t="s">
        <v>786</v>
      </c>
      <c r="F12" s="1348">
        <v>1460.001</v>
      </c>
      <c r="G12" s="1349" t="s">
        <v>19</v>
      </c>
      <c r="H12" s="1350">
        <v>24680.34</v>
      </c>
      <c r="I12" s="1351">
        <f>'Desember 2024'!$AM$238</f>
        <v>25790.068899999998</v>
      </c>
      <c r="J12" s="1352">
        <f>I12/H12</f>
        <v>1.0449640847735484</v>
      </c>
      <c r="K12" s="1353">
        <f>I12/K9</f>
        <v>0.88793489068686515</v>
      </c>
      <c r="L12" s="1354"/>
      <c r="N12" s="1356"/>
    </row>
    <row r="13" spans="4:14" x14ac:dyDescent="0.2">
      <c r="D13" s="1346"/>
      <c r="E13" s="1357" t="s">
        <v>17</v>
      </c>
      <c r="F13" s="1358"/>
      <c r="G13" s="1346"/>
      <c r="H13" s="1359"/>
      <c r="I13" s="1360"/>
      <c r="J13" s="1361"/>
      <c r="K13" s="1362"/>
      <c r="L13" s="1363"/>
    </row>
    <row r="14" spans="4:14" x14ac:dyDescent="0.2">
      <c r="D14" s="1346"/>
      <c r="E14" s="1347" t="s">
        <v>21</v>
      </c>
      <c r="F14" s="1348"/>
      <c r="G14" s="1349" t="s">
        <v>19</v>
      </c>
      <c r="H14" s="1359">
        <v>3702.06</v>
      </c>
      <c r="I14" s="1364">
        <f>'Desember 2024'!$AM$242</f>
        <v>76486.023962086474</v>
      </c>
      <c r="J14" s="1361">
        <f>I14/H14</f>
        <v>20.660395553309908</v>
      </c>
      <c r="K14" s="1362">
        <f>I14/K9</f>
        <v>2.6333628494435004</v>
      </c>
      <c r="L14" s="1363"/>
      <c r="N14" s="1365"/>
    </row>
    <row r="15" spans="4:14" hidden="1" x14ac:dyDescent="0.2">
      <c r="D15" s="1346"/>
      <c r="E15" s="1347" t="s">
        <v>787</v>
      </c>
      <c r="F15" s="1348"/>
      <c r="G15" s="1349" t="s">
        <v>19</v>
      </c>
      <c r="H15" s="1359">
        <v>22143.74</v>
      </c>
      <c r="I15" s="1366">
        <f>I12-$I$14</f>
        <v>-50695.955062086476</v>
      </c>
      <c r="J15" s="1361">
        <f t="shared" ref="J15:J42" si="0">I15/H15</f>
        <v>-2.2894034640077274</v>
      </c>
      <c r="K15" s="1362">
        <f>I15/K9</f>
        <v>-1.7454279587566355</v>
      </c>
      <c r="L15" s="1367"/>
      <c r="N15" s="1368"/>
    </row>
    <row r="16" spans="4:14" s="1378" customFormat="1" ht="15" x14ac:dyDescent="0.25">
      <c r="D16" s="1369"/>
      <c r="E16" s="1370" t="s">
        <v>1</v>
      </c>
      <c r="F16" s="1371"/>
      <c r="G16" s="1372" t="s">
        <v>19</v>
      </c>
      <c r="H16" s="1373">
        <f>H12</f>
        <v>24680.34</v>
      </c>
      <c r="I16" s="1374">
        <f>I14+I12</f>
        <v>102276.09286208647</v>
      </c>
      <c r="J16" s="1375">
        <f t="shared" si="0"/>
        <v>4.144030951846144</v>
      </c>
      <c r="K16" s="1376">
        <f>SUM(K14+K15)</f>
        <v>0.88793489068686493</v>
      </c>
      <c r="L16" s="1377"/>
    </row>
    <row r="17" spans="4:14" s="1378" customFormat="1" ht="15" x14ac:dyDescent="0.25">
      <c r="D17" s="1379" t="s">
        <v>760</v>
      </c>
      <c r="E17" s="1380" t="s">
        <v>18</v>
      </c>
      <c r="F17" s="1381"/>
      <c r="G17" s="1379"/>
      <c r="H17" s="1382"/>
      <c r="I17" s="1382"/>
      <c r="J17" s="1383"/>
      <c r="K17" s="1384"/>
      <c r="L17" s="1385"/>
    </row>
    <row r="18" spans="4:14" s="1378" customFormat="1" ht="15" x14ac:dyDescent="0.25">
      <c r="D18" s="1386"/>
      <c r="E18" s="1387" t="s">
        <v>4</v>
      </c>
      <c r="F18" s="1388"/>
      <c r="G18" s="1389" t="s">
        <v>14</v>
      </c>
      <c r="H18" s="2020">
        <f>480*'Desember 2024'!AM6</f>
        <v>11040</v>
      </c>
      <c r="I18" s="1390">
        <f>'Desember 2024'!$AM$247</f>
        <v>2568027.324</v>
      </c>
      <c r="J18" s="1361">
        <f t="shared" si="0"/>
        <v>232.61117065217391</v>
      </c>
      <c r="K18" s="1391">
        <f t="shared" ref="K18:K23" si="1">I18/$K$9</f>
        <v>88.415469925976936</v>
      </c>
      <c r="L18" s="1392"/>
      <c r="N18" s="1356"/>
    </row>
    <row r="19" spans="4:14" s="1378" customFormat="1" ht="15" x14ac:dyDescent="0.25">
      <c r="D19" s="1386"/>
      <c r="E19" s="1393" t="s">
        <v>17</v>
      </c>
      <c r="F19" s="1394"/>
      <c r="G19" s="1386"/>
      <c r="H19" s="1395"/>
      <c r="I19" s="1395"/>
      <c r="J19" s="1361"/>
      <c r="K19" s="1362">
        <f t="shared" si="1"/>
        <v>0</v>
      </c>
      <c r="L19" s="1392"/>
    </row>
    <row r="20" spans="4:14" s="1378" customFormat="1" ht="15" x14ac:dyDescent="0.25">
      <c r="D20" s="1386"/>
      <c r="E20" s="1387" t="s">
        <v>16</v>
      </c>
      <c r="F20" s="1388" t="s">
        <v>1113</v>
      </c>
      <c r="G20" s="1389" t="s">
        <v>14</v>
      </c>
      <c r="H20" s="1390">
        <v>3240000</v>
      </c>
      <c r="I20" s="1390">
        <f>'Desember 2024'!$AM$249</f>
        <v>876420.07000000007</v>
      </c>
      <c r="J20" s="1361">
        <f>I20/H20</f>
        <v>0.2705000216049383</v>
      </c>
      <c r="K20" s="1362">
        <f>I20/$K$9</f>
        <v>30.174559132380789</v>
      </c>
      <c r="L20" s="1345"/>
    </row>
    <row r="21" spans="4:14" s="1378" customFormat="1" ht="15" x14ac:dyDescent="0.25">
      <c r="D21" s="1386"/>
      <c r="E21" s="1387" t="s">
        <v>15</v>
      </c>
      <c r="F21" s="1388" t="s">
        <v>1114</v>
      </c>
      <c r="G21" s="1389" t="s">
        <v>14</v>
      </c>
      <c r="H21" s="1390">
        <v>2196000</v>
      </c>
      <c r="I21" s="1390">
        <f>'Desember 2024'!$AM$251</f>
        <v>1425446.7000000002</v>
      </c>
      <c r="J21" s="1361">
        <f t="shared" si="0"/>
        <v>0.64911051912568318</v>
      </c>
      <c r="K21" s="1362">
        <f t="shared" si="1"/>
        <v>49.077180237562409</v>
      </c>
      <c r="L21" s="1345"/>
    </row>
    <row r="22" spans="4:14" s="1378" customFormat="1" ht="15" x14ac:dyDescent="0.25">
      <c r="D22" s="1386"/>
      <c r="E22" s="1387" t="s">
        <v>7</v>
      </c>
      <c r="F22" s="1396">
        <v>106000</v>
      </c>
      <c r="G22" s="1389" t="s">
        <v>14</v>
      </c>
      <c r="H22" s="1397">
        <v>3204000</v>
      </c>
      <c r="I22" s="1341">
        <f>'Desember 2024'!$AM$253</f>
        <v>460412.00500000006</v>
      </c>
      <c r="J22" s="1361">
        <f>I22/H22</f>
        <v>0.14369912765293386</v>
      </c>
      <c r="K22" s="1362">
        <f t="shared" si="1"/>
        <v>15.85167860216905</v>
      </c>
      <c r="L22" s="1345"/>
    </row>
    <row r="23" spans="4:14" s="1378" customFormat="1" ht="15" x14ac:dyDescent="0.25">
      <c r="D23" s="1337"/>
      <c r="E23" s="1398" t="s">
        <v>1</v>
      </c>
      <c r="F23" s="1399"/>
      <c r="G23" s="1400" t="s">
        <v>14</v>
      </c>
      <c r="H23" s="1401">
        <f>H20+H21+H22</f>
        <v>8640000</v>
      </c>
      <c r="I23" s="1401">
        <f>SUM(I20:I22)</f>
        <v>2762278.7750000004</v>
      </c>
      <c r="J23" s="1375">
        <f t="shared" si="0"/>
        <v>0.31970819155092595</v>
      </c>
      <c r="K23" s="1391">
        <f t="shared" si="1"/>
        <v>95.103417972112254</v>
      </c>
      <c r="L23" s="1392"/>
    </row>
    <row r="24" spans="4:14" ht="15" x14ac:dyDescent="0.25">
      <c r="D24" s="1330" t="s">
        <v>762</v>
      </c>
      <c r="E24" s="1331" t="s">
        <v>13</v>
      </c>
      <c r="F24" s="1332"/>
      <c r="G24" s="1333"/>
      <c r="H24" s="1334"/>
      <c r="I24" s="1334"/>
      <c r="J24" s="1383"/>
      <c r="K24" s="1402"/>
      <c r="L24" s="1403"/>
    </row>
    <row r="25" spans="4:14" ht="15" x14ac:dyDescent="0.25">
      <c r="D25" s="1346"/>
      <c r="E25" s="1338" t="s">
        <v>788</v>
      </c>
      <c r="F25" s="1339"/>
      <c r="G25" s="1340" t="s">
        <v>124</v>
      </c>
      <c r="H25" s="1404">
        <v>18117.18</v>
      </c>
      <c r="I25" s="1405">
        <f>SUM(I26:$I$27)</f>
        <v>18195</v>
      </c>
      <c r="J25" s="1352">
        <f t="shared" si="0"/>
        <v>1.0042953704715634</v>
      </c>
      <c r="K25" s="1353">
        <f t="shared" ref="K25:K32" si="2">I25/$K$9</f>
        <v>0.6264417283525564</v>
      </c>
      <c r="L25" s="1406"/>
      <c r="N25" s="1356"/>
    </row>
    <row r="26" spans="4:14" ht="15" x14ac:dyDescent="0.25">
      <c r="D26" s="1346"/>
      <c r="E26" s="1338" t="s">
        <v>789</v>
      </c>
      <c r="F26" s="1339"/>
      <c r="G26" s="1340"/>
      <c r="H26" s="1407"/>
      <c r="I26" s="1408">
        <f>'Desember 2024'!$AM$263</f>
        <v>7710</v>
      </c>
      <c r="J26" s="1361"/>
      <c r="K26" s="1408">
        <f t="shared" si="2"/>
        <v>0.26545016353933554</v>
      </c>
      <c r="L26" s="1409"/>
      <c r="N26" s="1356"/>
    </row>
    <row r="27" spans="4:14" ht="15" x14ac:dyDescent="0.25">
      <c r="D27" s="1346"/>
      <c r="E27" s="1338" t="s">
        <v>790</v>
      </c>
      <c r="F27" s="1339"/>
      <c r="G27" s="1340"/>
      <c r="H27" s="1407"/>
      <c r="I27" s="1408">
        <f>SUM(I29:$I$31)</f>
        <v>10485</v>
      </c>
      <c r="J27" s="1361"/>
      <c r="K27" s="1408">
        <f t="shared" si="2"/>
        <v>0.36099156481322087</v>
      </c>
      <c r="L27" s="1409"/>
      <c r="N27" s="1356"/>
    </row>
    <row r="28" spans="4:14" x14ac:dyDescent="0.2">
      <c r="D28" s="1346"/>
      <c r="E28" s="1357" t="s">
        <v>791</v>
      </c>
      <c r="F28" s="1358"/>
      <c r="G28" s="1346"/>
      <c r="H28" s="1360"/>
      <c r="I28" s="1360"/>
      <c r="J28" s="1361"/>
      <c r="K28" s="1408">
        <f t="shared" si="2"/>
        <v>0</v>
      </c>
      <c r="L28" s="1410"/>
    </row>
    <row r="29" spans="4:14" x14ac:dyDescent="0.2">
      <c r="D29" s="1346"/>
      <c r="E29" s="1347" t="s">
        <v>10</v>
      </c>
      <c r="F29" s="1348" t="s">
        <v>1115</v>
      </c>
      <c r="G29" s="1349" t="s">
        <v>124</v>
      </c>
      <c r="H29" s="1360">
        <v>1441.26</v>
      </c>
      <c r="I29" s="1360">
        <f>'Desember 2024'!$AM$259</f>
        <v>1008</v>
      </c>
      <c r="J29" s="1361">
        <f t="shared" si="0"/>
        <v>0.69938803546896466</v>
      </c>
      <c r="K29" s="1408">
        <f t="shared" si="2"/>
        <v>3.4704768462730247E-2</v>
      </c>
      <c r="L29" s="1410"/>
    </row>
    <row r="30" spans="4:14" x14ac:dyDescent="0.2">
      <c r="D30" s="1346"/>
      <c r="E30" s="1347" t="s">
        <v>9</v>
      </c>
      <c r="F30" s="1348" t="s">
        <v>1116</v>
      </c>
      <c r="G30" s="1349" t="s">
        <v>124</v>
      </c>
      <c r="H30" s="1360">
        <v>2489.58</v>
      </c>
      <c r="I30" s="1360">
        <f>'Desember 2024'!$AM$261</f>
        <v>1116</v>
      </c>
      <c r="J30" s="1361">
        <f t="shared" si="0"/>
        <v>0.44826838261875496</v>
      </c>
      <c r="K30" s="1408">
        <f t="shared" si="2"/>
        <v>3.8423136512308484E-2</v>
      </c>
      <c r="L30" s="1410"/>
    </row>
    <row r="31" spans="4:14" x14ac:dyDescent="0.2">
      <c r="D31" s="1346"/>
      <c r="E31" s="1347" t="s">
        <v>7</v>
      </c>
      <c r="F31" s="1348"/>
      <c r="G31" s="1349" t="s">
        <v>124</v>
      </c>
      <c r="H31" s="1411">
        <v>14186.34</v>
      </c>
      <c r="I31" s="1360">
        <f>'Desember 2024'!$AM$264</f>
        <v>8361</v>
      </c>
      <c r="J31" s="1361">
        <f t="shared" si="0"/>
        <v>0.58936977402205215</v>
      </c>
      <c r="K31" s="1408">
        <f t="shared" si="2"/>
        <v>0.28786365983818213</v>
      </c>
      <c r="L31" s="1410"/>
    </row>
    <row r="32" spans="4:14" s="1378" customFormat="1" ht="15" x14ac:dyDescent="0.25">
      <c r="D32" s="1337"/>
      <c r="E32" s="1398" t="s">
        <v>1</v>
      </c>
      <c r="F32" s="1399"/>
      <c r="G32" s="1412" t="s">
        <v>124</v>
      </c>
      <c r="H32" s="1413">
        <f>H29+H30+H31</f>
        <v>18117.18</v>
      </c>
      <c r="I32" s="1413">
        <f>SUM(I26:I27)</f>
        <v>18195</v>
      </c>
      <c r="J32" s="1375">
        <f>I32/H32</f>
        <v>1.0042953704715634</v>
      </c>
      <c r="K32" s="1414">
        <f t="shared" si="2"/>
        <v>0.6264417283525564</v>
      </c>
      <c r="L32" s="1409"/>
    </row>
    <row r="33" spans="4:15" ht="15" x14ac:dyDescent="0.25">
      <c r="D33" s="1330">
        <v>4</v>
      </c>
      <c r="E33" s="1331" t="s">
        <v>5</v>
      </c>
      <c r="F33" s="1332"/>
      <c r="G33" s="1333"/>
      <c r="H33" s="1334"/>
      <c r="I33" s="1334"/>
      <c r="J33" s="1383"/>
      <c r="K33" s="1335"/>
      <c r="L33" s="1336"/>
    </row>
    <row r="34" spans="4:15" ht="15" x14ac:dyDescent="0.25">
      <c r="D34" s="1337"/>
      <c r="E34" s="1398" t="s">
        <v>4</v>
      </c>
      <c r="F34" s="1399"/>
      <c r="G34" s="1415"/>
      <c r="H34" s="1341"/>
      <c r="I34" s="1341"/>
      <c r="J34" s="1361"/>
      <c r="K34" s="1344"/>
      <c r="L34" s="1345"/>
    </row>
    <row r="35" spans="4:15" ht="15" x14ac:dyDescent="0.25">
      <c r="D35" s="1416"/>
      <c r="E35" s="1347" t="s">
        <v>792</v>
      </c>
      <c r="F35" s="1348"/>
      <c r="G35" s="1349" t="s">
        <v>2</v>
      </c>
      <c r="H35" s="1404">
        <v>538199</v>
      </c>
      <c r="I35" s="1405">
        <f>'Desember 2024'!$AM$269</f>
        <v>504.23999999999995</v>
      </c>
      <c r="J35" s="1352">
        <f t="shared" si="0"/>
        <v>9.369025211864012E-4</v>
      </c>
      <c r="K35" s="1353">
        <f>I35/$K$9</f>
        <v>1.7360647271475297E-2</v>
      </c>
      <c r="L35" s="1417"/>
      <c r="N35" s="1418"/>
    </row>
    <row r="36" spans="4:15" x14ac:dyDescent="0.2">
      <c r="D36" s="1346"/>
      <c r="E36" s="1419" t="s">
        <v>11</v>
      </c>
      <c r="F36" s="1420"/>
      <c r="G36" s="1346"/>
      <c r="H36" s="1360"/>
      <c r="I36" s="1360"/>
      <c r="J36" s="1361"/>
      <c r="K36" s="1408">
        <f>I36/$K$9</f>
        <v>0</v>
      </c>
      <c r="L36" s="1421"/>
    </row>
    <row r="37" spans="4:15" ht="15" x14ac:dyDescent="0.25">
      <c r="D37" s="1422"/>
      <c r="E37" s="1423" t="s">
        <v>793</v>
      </c>
      <c r="F37" s="1339">
        <v>10946.3</v>
      </c>
      <c r="G37" s="1349" t="s">
        <v>2</v>
      </c>
      <c r="H37" s="1360">
        <v>97275</v>
      </c>
      <c r="I37" s="1360">
        <f>'Desember 2024'!$AM$274</f>
        <v>179728.37999999998</v>
      </c>
      <c r="J37" s="1361">
        <f t="shared" si="0"/>
        <v>1.8476317656129526</v>
      </c>
      <c r="K37" s="1408">
        <f t="shared" ref="K37:K42" si="3">I37/$K$9*1000</f>
        <v>6187.9283869857118</v>
      </c>
      <c r="L37" s="1424"/>
      <c r="N37" s="1425"/>
      <c r="O37" s="1426"/>
    </row>
    <row r="38" spans="4:15" ht="15" x14ac:dyDescent="0.25">
      <c r="D38" s="1422"/>
      <c r="E38" s="1423" t="s">
        <v>1117</v>
      </c>
      <c r="F38" s="1339">
        <v>18374.400000000001</v>
      </c>
      <c r="G38" s="1349" t="s">
        <v>2</v>
      </c>
      <c r="H38" s="1360">
        <v>69307</v>
      </c>
      <c r="I38" s="1360">
        <f>'Desember 2024'!$AM$272</f>
        <v>752103.89</v>
      </c>
      <c r="J38" s="1361">
        <f t="shared" si="0"/>
        <v>10.851773846797583</v>
      </c>
      <c r="K38" s="1408">
        <f t="shared" si="3"/>
        <v>25894.435875365813</v>
      </c>
      <c r="L38" s="1424"/>
      <c r="N38" s="1425"/>
      <c r="O38" s="1426"/>
    </row>
    <row r="39" spans="4:15" ht="15" hidden="1" x14ac:dyDescent="0.25">
      <c r="D39" s="1422"/>
      <c r="E39" s="1423" t="s">
        <v>794</v>
      </c>
      <c r="F39" s="1339">
        <v>11.81</v>
      </c>
      <c r="G39" s="1349" t="s">
        <v>2</v>
      </c>
      <c r="H39" s="1360">
        <v>212</v>
      </c>
      <c r="I39" s="1360">
        <f>'Desember 2024'!$AM$282</f>
        <v>0</v>
      </c>
      <c r="J39" s="1361">
        <f t="shared" si="0"/>
        <v>0</v>
      </c>
      <c r="K39" s="1408">
        <f t="shared" si="3"/>
        <v>0</v>
      </c>
      <c r="L39" s="1424"/>
      <c r="N39" s="1425"/>
      <c r="O39" s="1426"/>
    </row>
    <row r="40" spans="4:15" ht="15" x14ac:dyDescent="0.25">
      <c r="D40" s="1422"/>
      <c r="E40" s="1423" t="s">
        <v>795</v>
      </c>
      <c r="F40" s="1339">
        <v>11201.3</v>
      </c>
      <c r="G40" s="1349" t="s">
        <v>2</v>
      </c>
      <c r="H40" s="1360">
        <v>103680</v>
      </c>
      <c r="I40" s="1360">
        <f>'Desember 2024'!$AM$279</f>
        <v>164706.76</v>
      </c>
      <c r="J40" s="1361">
        <f t="shared" si="0"/>
        <v>1.5886068672839506</v>
      </c>
      <c r="K40" s="1408">
        <f t="shared" si="3"/>
        <v>5670.7440179032537</v>
      </c>
      <c r="L40" s="1424"/>
      <c r="N40" s="1425"/>
      <c r="O40" s="1426"/>
    </row>
    <row r="41" spans="4:15" ht="15" x14ac:dyDescent="0.25">
      <c r="D41" s="1427"/>
      <c r="E41" s="1428" t="s">
        <v>1118</v>
      </c>
      <c r="F41" s="1429">
        <v>10272</v>
      </c>
      <c r="G41" s="1430" t="s">
        <v>2</v>
      </c>
      <c r="H41" s="1431">
        <v>27234</v>
      </c>
      <c r="I41" s="1431">
        <f>'Desember 2024'!$AM$277</f>
        <v>164688</v>
      </c>
      <c r="J41" s="1375">
        <f t="shared" si="0"/>
        <v>6.0471469486671072</v>
      </c>
      <c r="K41" s="1432">
        <f t="shared" si="3"/>
        <v>5670.0981236013085</v>
      </c>
      <c r="L41" s="1433"/>
      <c r="N41" s="1425"/>
      <c r="O41" s="1426"/>
    </row>
    <row r="42" spans="4:15" ht="15" hidden="1" x14ac:dyDescent="0.25">
      <c r="D42" s="1427"/>
      <c r="E42" s="1428" t="s">
        <v>796</v>
      </c>
      <c r="F42" s="1429">
        <v>241.12</v>
      </c>
      <c r="G42" s="1430" t="s">
        <v>2</v>
      </c>
      <c r="H42" s="1431">
        <v>4581</v>
      </c>
      <c r="I42" s="1431">
        <f>'Desember 2024'!$AM$283</f>
        <v>0</v>
      </c>
      <c r="J42" s="1375">
        <f t="shared" si="0"/>
        <v>0</v>
      </c>
      <c r="K42" s="1432">
        <f t="shared" si="3"/>
        <v>0</v>
      </c>
      <c r="L42" s="1433"/>
      <c r="N42" s="1425"/>
      <c r="O42" s="1426"/>
    </row>
    <row r="43" spans="4:15" ht="15" x14ac:dyDescent="0.25">
      <c r="D43" s="1434"/>
      <c r="E43" s="1435"/>
      <c r="F43" s="1436"/>
      <c r="G43" s="1437"/>
      <c r="H43" s="1438"/>
      <c r="I43" s="1438"/>
      <c r="J43" s="1439"/>
      <c r="K43" s="1440"/>
      <c r="L43" s="1441"/>
      <c r="N43" s="1425"/>
      <c r="O43" s="1426"/>
    </row>
    <row r="44" spans="4:15" s="1322" customFormat="1" x14ac:dyDescent="0.2">
      <c r="D44" s="1442" t="s">
        <v>797</v>
      </c>
      <c r="F44" s="1313"/>
    </row>
    <row r="45" spans="4:15" s="1322" customFormat="1" x14ac:dyDescent="0.2">
      <c r="D45" s="1322" t="s">
        <v>798</v>
      </c>
      <c r="F45" s="1313"/>
      <c r="H45" s="1443"/>
      <c r="J45" s="1443"/>
      <c r="K45" s="1443"/>
      <c r="L45" s="1443"/>
    </row>
    <row r="46" spans="4:15" s="1322" customFormat="1" hidden="1" x14ac:dyDescent="0.2">
      <c r="D46" s="1444"/>
      <c r="F46" s="1313"/>
      <c r="H46" s="1440"/>
      <c r="J46" s="1440"/>
      <c r="K46" s="1440"/>
      <c r="L46" s="1440"/>
    </row>
    <row r="47" spans="4:15" s="1322" customFormat="1" x14ac:dyDescent="0.2">
      <c r="D47" s="2141" t="s">
        <v>1119</v>
      </c>
      <c r="E47" s="2141"/>
      <c r="F47" s="2141"/>
      <c r="G47" s="2141"/>
      <c r="H47" s="2141"/>
      <c r="I47" s="2141"/>
      <c r="J47" s="2141"/>
      <c r="K47" s="2141"/>
      <c r="L47" s="2141"/>
    </row>
    <row r="48" spans="4:15" ht="15" x14ac:dyDescent="0.2">
      <c r="D48" s="2120"/>
      <c r="E48" s="2120"/>
      <c r="F48" s="1445"/>
      <c r="G48" s="1446"/>
      <c r="J48" s="1440"/>
      <c r="K48" s="1440"/>
      <c r="L48" s="1440"/>
    </row>
    <row r="49" spans="4:12" ht="15" x14ac:dyDescent="0.2">
      <c r="D49" s="2120"/>
      <c r="E49" s="2120"/>
      <c r="F49" s="1445"/>
      <c r="G49" s="1446"/>
      <c r="H49" s="1447"/>
      <c r="J49" s="1440"/>
      <c r="K49" s="1440"/>
      <c r="L49" s="1440"/>
    </row>
    <row r="50" spans="4:12" ht="15" x14ac:dyDescent="0.2">
      <c r="D50" s="1320"/>
      <c r="E50" s="1311" t="s">
        <v>771</v>
      </c>
      <c r="F50" s="2117" t="s">
        <v>772</v>
      </c>
      <c r="G50" s="2117"/>
      <c r="H50" s="2117"/>
      <c r="I50" s="2117"/>
      <c r="K50" s="2117" t="s">
        <v>773</v>
      </c>
      <c r="L50" s="2117"/>
    </row>
    <row r="51" spans="4:12" ht="15" x14ac:dyDescent="0.25">
      <c r="D51" s="1320"/>
      <c r="E51" s="1193"/>
      <c r="F51" s="1313"/>
      <c r="G51" s="1313"/>
      <c r="H51" s="1193"/>
      <c r="I51" s="1313"/>
      <c r="L51" s="1313"/>
    </row>
    <row r="52" spans="4:12" ht="15" x14ac:dyDescent="0.25">
      <c r="D52" s="1320"/>
      <c r="E52" s="1193"/>
      <c r="F52" s="1193"/>
      <c r="G52" s="1193"/>
      <c r="H52" s="1193"/>
      <c r="I52" s="1193"/>
      <c r="L52" s="1193"/>
    </row>
    <row r="53" spans="4:12" ht="15" x14ac:dyDescent="0.25">
      <c r="D53" s="1320"/>
      <c r="E53" s="1193"/>
      <c r="F53" s="1193"/>
      <c r="G53" s="1193"/>
      <c r="H53" s="1193"/>
      <c r="I53" s="1193"/>
      <c r="L53" s="1193"/>
    </row>
    <row r="54" spans="4:12" ht="15" x14ac:dyDescent="0.2">
      <c r="D54" s="1320"/>
      <c r="E54" s="1316" t="s">
        <v>1096</v>
      </c>
      <c r="F54" s="2118" t="s">
        <v>774</v>
      </c>
      <c r="G54" s="2118"/>
      <c r="I54" s="1315" t="s">
        <v>775</v>
      </c>
      <c r="K54" s="2118" t="s">
        <v>776</v>
      </c>
      <c r="L54" s="2118"/>
    </row>
    <row r="55" spans="4:12" ht="19.5" customHeight="1" x14ac:dyDescent="0.2">
      <c r="E55" s="1318" t="s">
        <v>777</v>
      </c>
      <c r="F55" s="2119" t="s">
        <v>778</v>
      </c>
      <c r="G55" s="2119"/>
      <c r="I55" s="1313" t="s">
        <v>779</v>
      </c>
      <c r="K55" s="2119" t="s">
        <v>780</v>
      </c>
      <c r="L55" s="2119"/>
    </row>
    <row r="59" spans="4:12" x14ac:dyDescent="0.2">
      <c r="E59" s="1320">
        <f>'[19]Planning Production Plant 1 (22'!$S$112+'[19]Planning Production Plant 1 (22'!$S$114+'[19]Planning Production Plant 1 (22'!$S$128</f>
        <v>101816.32139999987</v>
      </c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66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4"/>
  <sheetViews>
    <sheetView showGridLines="0" topLeftCell="A31" zoomScale="85" zoomScaleNormal="85" workbookViewId="0">
      <selection activeCell="L33" sqref="L33"/>
    </sheetView>
  </sheetViews>
  <sheetFormatPr defaultColWidth="9.28515625" defaultRowHeight="15" x14ac:dyDescent="0.25"/>
  <cols>
    <col min="1" max="1" width="9.28515625" style="1193"/>
    <col min="2" max="2" width="5.5703125" style="1193" customWidth="1"/>
    <col min="3" max="3" width="32.5703125" style="1193" customWidth="1"/>
    <col min="4" max="4" width="9" style="1193" customWidth="1"/>
    <col min="5" max="5" width="15.5703125" style="1193" customWidth="1"/>
    <col min="6" max="6" width="20.5703125" style="1193" customWidth="1"/>
    <col min="7" max="7" width="13.5703125" style="1193" customWidth="1"/>
    <col min="8" max="8" width="21.7109375" style="1194" customWidth="1"/>
    <col min="9" max="9" width="16.42578125" style="1195" customWidth="1"/>
    <col min="10" max="10" width="11.28515625" style="1193" bestFit="1" customWidth="1"/>
    <col min="11" max="11" width="11.5703125" style="1193" bestFit="1" customWidth="1"/>
    <col min="12" max="12" width="13.5703125" style="1193" customWidth="1"/>
    <col min="13" max="13" width="13.42578125" style="1193" bestFit="1" customWidth="1"/>
    <col min="14" max="16384" width="9.28515625" style="1193"/>
  </cols>
  <sheetData>
    <row r="1" spans="2:12" x14ac:dyDescent="0.25">
      <c r="B1" s="1192"/>
    </row>
    <row r="2" spans="2:12" x14ac:dyDescent="0.25">
      <c r="B2" s="2117" t="s">
        <v>1108</v>
      </c>
      <c r="C2" s="2117"/>
      <c r="D2" s="2117"/>
      <c r="E2" s="2117"/>
      <c r="F2" s="2117"/>
      <c r="G2" s="2117"/>
      <c r="H2" s="2117"/>
      <c r="I2" s="1197"/>
    </row>
    <row r="3" spans="2:12" x14ac:dyDescent="0.25">
      <c r="B3" s="2117" t="s">
        <v>735</v>
      </c>
      <c r="C3" s="2117"/>
      <c r="D3" s="2117"/>
      <c r="E3" s="2117"/>
      <c r="F3" s="2117"/>
      <c r="G3" s="2117"/>
      <c r="H3" s="2117"/>
      <c r="I3" s="1197"/>
    </row>
    <row r="4" spans="2:12" ht="15.75" thickBot="1" x14ac:dyDescent="0.3">
      <c r="B4" s="2107" t="s">
        <v>1094</v>
      </c>
      <c r="C4" s="2107"/>
      <c r="D4" s="1198"/>
      <c r="E4" s="1198"/>
      <c r="F4" s="1198"/>
      <c r="G4" s="1199"/>
      <c r="H4" s="1200"/>
      <c r="I4" s="1201"/>
    </row>
    <row r="5" spans="2:12" x14ac:dyDescent="0.25">
      <c r="B5" s="2145" t="s">
        <v>175</v>
      </c>
      <c r="C5" s="2147" t="s">
        <v>736</v>
      </c>
      <c r="D5" s="2147" t="s">
        <v>737</v>
      </c>
      <c r="E5" s="2149" t="s">
        <v>1095</v>
      </c>
      <c r="F5" s="2150"/>
      <c r="G5" s="2151"/>
      <c r="H5" s="2152" t="s">
        <v>738</v>
      </c>
      <c r="I5" s="1202"/>
    </row>
    <row r="6" spans="2:12" ht="41.25" customHeight="1" x14ac:dyDescent="0.25">
      <c r="B6" s="2146"/>
      <c r="C6" s="2148"/>
      <c r="D6" s="2148"/>
      <c r="E6" s="1203" t="s">
        <v>739</v>
      </c>
      <c r="F6" s="1203" t="s">
        <v>740</v>
      </c>
      <c r="G6" s="1203" t="s">
        <v>741</v>
      </c>
      <c r="H6" s="2153"/>
      <c r="I6" s="1202"/>
    </row>
    <row r="7" spans="2:12" x14ac:dyDescent="0.25">
      <c r="B7" s="1204" t="s">
        <v>742</v>
      </c>
      <c r="C7" s="1205" t="s">
        <v>85</v>
      </c>
      <c r="D7" s="1206"/>
      <c r="E7" s="1207"/>
      <c r="F7" s="1207"/>
      <c r="G7" s="1207"/>
      <c r="H7" s="1208"/>
      <c r="I7" s="1209"/>
    </row>
    <row r="8" spans="2:12" x14ac:dyDescent="0.25">
      <c r="B8" s="1210"/>
      <c r="C8" s="1211" t="s">
        <v>743</v>
      </c>
      <c r="D8" s="1212"/>
      <c r="E8" s="1213"/>
      <c r="F8" s="1214"/>
      <c r="G8" s="1213"/>
      <c r="H8" s="1215"/>
      <c r="I8" s="1209"/>
      <c r="J8" s="1216"/>
      <c r="K8" s="1216"/>
      <c r="L8" s="1217"/>
    </row>
    <row r="9" spans="2:12" x14ac:dyDescent="0.25">
      <c r="B9" s="1210"/>
      <c r="C9" s="1218" t="s">
        <v>84</v>
      </c>
      <c r="D9" s="1219" t="s">
        <v>228</v>
      </c>
      <c r="E9" s="1220">
        <v>18</v>
      </c>
      <c r="F9" s="1220">
        <f>'Desember 2024'!$AM$6</f>
        <v>23</v>
      </c>
      <c r="G9" s="1221">
        <f>(F9/E9)</f>
        <v>1.2777777777777777</v>
      </c>
      <c r="H9" s="1222" t="s">
        <v>744</v>
      </c>
      <c r="I9" s="1209"/>
      <c r="J9" s="1223"/>
      <c r="K9" s="1216"/>
    </row>
    <row r="10" spans="2:12" x14ac:dyDescent="0.25">
      <c r="B10" s="1210"/>
      <c r="C10" s="1224" t="s">
        <v>745</v>
      </c>
      <c r="D10" s="1225" t="s">
        <v>14</v>
      </c>
      <c r="E10" s="1214"/>
      <c r="F10" s="1214"/>
      <c r="G10" s="1226"/>
      <c r="H10" s="1227"/>
      <c r="I10" s="1228"/>
      <c r="J10" s="1223"/>
      <c r="K10" s="1216"/>
    </row>
    <row r="11" spans="2:12" x14ac:dyDescent="0.25">
      <c r="B11" s="1210"/>
      <c r="C11" s="1218" t="s">
        <v>746</v>
      </c>
      <c r="D11" s="1219" t="s">
        <v>14</v>
      </c>
      <c r="E11" s="1220">
        <v>36359000</v>
      </c>
      <c r="F11" s="1220">
        <f>F12+F13</f>
        <v>25272757</v>
      </c>
      <c r="G11" s="1221">
        <f>(F11/E11)</f>
        <v>0.69508944140377893</v>
      </c>
      <c r="H11" s="1229" t="s">
        <v>747</v>
      </c>
      <c r="I11" s="1209"/>
      <c r="J11" s="1230"/>
      <c r="L11" s="1217"/>
    </row>
    <row r="12" spans="2:12" x14ac:dyDescent="0.25">
      <c r="B12" s="1210"/>
      <c r="C12" s="1218" t="s">
        <v>97</v>
      </c>
      <c r="D12" s="1219"/>
      <c r="E12" s="1220"/>
      <c r="F12" s="1220">
        <f>'Desember 2024'!$AM$11</f>
        <v>25272757</v>
      </c>
      <c r="G12" s="1221"/>
      <c r="H12" s="1229"/>
      <c r="I12" s="1209"/>
      <c r="J12" s="1230"/>
      <c r="L12" s="1217"/>
    </row>
    <row r="13" spans="2:12" x14ac:dyDescent="0.25">
      <c r="B13" s="1210"/>
      <c r="C13" s="1218" t="s">
        <v>98</v>
      </c>
      <c r="D13" s="1219"/>
      <c r="E13" s="1220"/>
      <c r="F13" s="1220">
        <f>'Desember 2024'!$AM$12</f>
        <v>0</v>
      </c>
      <c r="G13" s="1221"/>
      <c r="H13" s="1229"/>
      <c r="I13" s="1209"/>
      <c r="J13" s="1230"/>
      <c r="L13" s="1217"/>
    </row>
    <row r="14" spans="2:12" x14ac:dyDescent="0.25">
      <c r="B14" s="1210"/>
      <c r="C14" s="1231" t="s">
        <v>748</v>
      </c>
      <c r="D14" s="1232" t="s">
        <v>25</v>
      </c>
      <c r="E14" s="1233">
        <v>5</v>
      </c>
      <c r="F14" s="1234">
        <f>'Desember 2024'!$AM$13</f>
        <v>3.3336956521739136</v>
      </c>
      <c r="G14" s="1235">
        <f>(F14/E14)</f>
        <v>0.66673913043478272</v>
      </c>
      <c r="H14" s="1236"/>
      <c r="I14" s="1237"/>
      <c r="J14" s="1238"/>
    </row>
    <row r="15" spans="2:12" x14ac:dyDescent="0.25">
      <c r="B15" s="1210"/>
      <c r="C15" s="1231" t="s">
        <v>749</v>
      </c>
      <c r="D15" s="1232" t="s">
        <v>25</v>
      </c>
      <c r="E15" s="1233">
        <v>0.5</v>
      </c>
      <c r="F15" s="1234">
        <f>'Desember 2024'!$AM$14</f>
        <v>0.36391304347826092</v>
      </c>
      <c r="G15" s="1235">
        <f>(F15/E15)</f>
        <v>0.72782608695652184</v>
      </c>
      <c r="H15" s="1236"/>
      <c r="I15" s="1237"/>
      <c r="J15" s="1238"/>
    </row>
    <row r="16" spans="2:12" x14ac:dyDescent="0.25">
      <c r="B16" s="1210"/>
      <c r="C16" s="1231" t="s">
        <v>750</v>
      </c>
      <c r="D16" s="1232" t="s">
        <v>25</v>
      </c>
      <c r="E16" s="1233">
        <v>22.2</v>
      </c>
      <c r="F16" s="1234">
        <f>'Desember 2024'!AM15</f>
        <v>1.8452173913043481</v>
      </c>
      <c r="G16" s="1235">
        <f>(F16/E16)</f>
        <v>8.3117900509204867E-2</v>
      </c>
      <c r="H16" s="1236"/>
      <c r="I16" s="1237"/>
    </row>
    <row r="17" spans="2:13" x14ac:dyDescent="0.25">
      <c r="B17" s="1210"/>
      <c r="C17" s="1239" t="s">
        <v>78</v>
      </c>
      <c r="D17" s="1225"/>
      <c r="E17" s="1214"/>
      <c r="F17" s="1214"/>
      <c r="G17" s="1235"/>
      <c r="H17" s="1240"/>
      <c r="I17" s="1237"/>
    </row>
    <row r="18" spans="2:13" x14ac:dyDescent="0.25">
      <c r="B18" s="1210"/>
      <c r="C18" s="1241" t="s">
        <v>193</v>
      </c>
      <c r="D18" s="1242" t="s">
        <v>14</v>
      </c>
      <c r="E18" s="1214">
        <v>34458000</v>
      </c>
      <c r="F18" s="1214">
        <f>'Desember 2024'!$AM$19</f>
        <v>24389568</v>
      </c>
      <c r="G18" s="1235">
        <f>(F18/E18)</f>
        <v>0.70780567647570958</v>
      </c>
      <c r="H18" s="1243"/>
      <c r="I18" s="1209"/>
    </row>
    <row r="19" spans="2:13" x14ac:dyDescent="0.25">
      <c r="B19" s="1210"/>
      <c r="C19" s="1244" t="s">
        <v>64</v>
      </c>
      <c r="D19" s="1245" t="s">
        <v>14</v>
      </c>
      <c r="E19" s="1246">
        <v>1636000</v>
      </c>
      <c r="F19" s="1214">
        <f>'Desember 2024'!$AM$20</f>
        <v>1089130</v>
      </c>
      <c r="G19" s="1235">
        <f>(F19/E19)</f>
        <v>0.66572738386308072</v>
      </c>
      <c r="H19" s="1247"/>
      <c r="I19" s="1209"/>
    </row>
    <row r="20" spans="2:13" ht="8.25" customHeight="1" x14ac:dyDescent="0.25">
      <c r="B20" s="1210"/>
      <c r="C20" s="1248"/>
      <c r="D20" s="1249"/>
      <c r="E20" s="1213"/>
      <c r="F20" s="1250"/>
      <c r="G20" s="1251"/>
      <c r="H20" s="1243"/>
      <c r="I20" s="1209"/>
    </row>
    <row r="21" spans="2:13" s="1252" customFormat="1" ht="14.25" customHeight="1" x14ac:dyDescent="0.25">
      <c r="B21" s="1210"/>
      <c r="C21" s="1211" t="s">
        <v>751</v>
      </c>
      <c r="D21" s="1249"/>
      <c r="E21" s="1213"/>
      <c r="F21" s="1214"/>
      <c r="G21" s="1226"/>
      <c r="H21" s="1243"/>
      <c r="I21" s="1209"/>
    </row>
    <row r="22" spans="2:13" s="1252" customFormat="1" ht="14.25" customHeight="1" x14ac:dyDescent="0.25">
      <c r="B22" s="1210"/>
      <c r="C22" s="1253" t="s">
        <v>355</v>
      </c>
      <c r="D22" s="1249" t="s">
        <v>14</v>
      </c>
      <c r="E22" s="1213">
        <f>E25+E38+E43</f>
        <v>31417000</v>
      </c>
      <c r="F22" s="1214">
        <f>'Desember 2024'!$AM$28</f>
        <v>24096837</v>
      </c>
      <c r="G22" s="1235">
        <f>(F22/E22)</f>
        <v>0.76699993634019803</v>
      </c>
      <c r="H22" s="1243" t="s">
        <v>747</v>
      </c>
      <c r="I22" s="1209"/>
    </row>
    <row r="23" spans="2:13" s="1252" customFormat="1" ht="20.25" customHeight="1" x14ac:dyDescent="0.25">
      <c r="B23" s="1210"/>
      <c r="C23" s="1253" t="s">
        <v>752</v>
      </c>
      <c r="D23" s="1249" t="s">
        <v>14</v>
      </c>
      <c r="E23" s="1213">
        <f>E25+E38+E43</f>
        <v>31417000</v>
      </c>
      <c r="F23" s="1254">
        <f>'Desember 2024'!$AM$24</f>
        <v>24112447</v>
      </c>
      <c r="G23" s="1235">
        <f>(F23/E23)</f>
        <v>0.76749680109494856</v>
      </c>
      <c r="H23" s="1243" t="s">
        <v>747</v>
      </c>
      <c r="I23" s="1209"/>
    </row>
    <row r="24" spans="2:13" x14ac:dyDescent="0.25">
      <c r="B24" s="1210"/>
      <c r="C24" s="1255" t="s">
        <v>753</v>
      </c>
      <c r="D24" s="1256"/>
      <c r="E24" s="1257"/>
      <c r="F24" s="1250"/>
      <c r="G24" s="1251"/>
      <c r="H24" s="1258"/>
      <c r="I24" s="1209"/>
    </row>
    <row r="25" spans="2:13" x14ac:dyDescent="0.25">
      <c r="B25" s="1210"/>
      <c r="C25" s="1241" t="s">
        <v>75</v>
      </c>
      <c r="D25" s="1242" t="s">
        <v>14</v>
      </c>
      <c r="E25" s="1214">
        <f>E26+E27</f>
        <v>7883000</v>
      </c>
      <c r="F25" s="1214">
        <f>F26+F27</f>
        <v>7003508</v>
      </c>
      <c r="G25" s="1235">
        <f>(F25/E25)</f>
        <v>0.88843181529874415</v>
      </c>
      <c r="H25" s="1259" t="s">
        <v>744</v>
      </c>
      <c r="I25" s="1209"/>
      <c r="J25" s="1238"/>
    </row>
    <row r="26" spans="2:13" x14ac:dyDescent="0.25">
      <c r="B26" s="1210"/>
      <c r="C26" s="1260" t="s">
        <v>63</v>
      </c>
      <c r="D26" s="1261" t="s">
        <v>14</v>
      </c>
      <c r="E26" s="1220">
        <v>6464000</v>
      </c>
      <c r="F26" s="1220">
        <f>'Desember 2024'!$AM$32</f>
        <v>5583694</v>
      </c>
      <c r="G26" s="1221">
        <f>(F26/E26)</f>
        <v>0.86381404702970299</v>
      </c>
      <c r="H26" s="1262" t="s">
        <v>744</v>
      </c>
      <c r="I26" s="1209"/>
      <c r="J26" s="1238"/>
      <c r="M26" s="1263"/>
    </row>
    <row r="27" spans="2:13" x14ac:dyDescent="0.25">
      <c r="B27" s="1210"/>
      <c r="C27" s="1244" t="s">
        <v>62</v>
      </c>
      <c r="D27" s="1245" t="s">
        <v>14</v>
      </c>
      <c r="E27" s="1246">
        <v>1419000</v>
      </c>
      <c r="F27" s="1254">
        <f>'Desember 2024'!$AM$33</f>
        <v>1419814</v>
      </c>
      <c r="G27" s="1235">
        <f>(F27/E27)</f>
        <v>1.0005736434108528</v>
      </c>
      <c r="H27" s="1264" t="s">
        <v>744</v>
      </c>
      <c r="I27" s="1209"/>
      <c r="J27" s="1238"/>
      <c r="M27" s="1263"/>
    </row>
    <row r="28" spans="2:13" x14ac:dyDescent="0.25">
      <c r="B28" s="1210"/>
      <c r="C28" s="1255" t="s">
        <v>754</v>
      </c>
      <c r="D28" s="1265"/>
      <c r="E28" s="1257"/>
      <c r="F28" s="1250"/>
      <c r="G28" s="1251"/>
      <c r="H28" s="1243"/>
      <c r="I28" s="1209"/>
      <c r="M28" s="1263"/>
    </row>
    <row r="29" spans="2:13" x14ac:dyDescent="0.25">
      <c r="B29" s="1210"/>
      <c r="C29" s="1224" t="s">
        <v>75</v>
      </c>
      <c r="D29" s="1225" t="s">
        <v>14</v>
      </c>
      <c r="E29" s="1213">
        <v>0</v>
      </c>
      <c r="F29" s="1214"/>
      <c r="G29" s="1226"/>
      <c r="H29" s="1243"/>
      <c r="I29" s="1209"/>
      <c r="J29" s="1238"/>
    </row>
    <row r="30" spans="2:13" x14ac:dyDescent="0.25">
      <c r="B30" s="1210"/>
      <c r="C30" s="1218" t="s">
        <v>755</v>
      </c>
      <c r="D30" s="1219" t="s">
        <v>14</v>
      </c>
      <c r="E30" s="1220">
        <v>0</v>
      </c>
      <c r="F30" s="1220">
        <v>0</v>
      </c>
      <c r="G30" s="1220">
        <v>0</v>
      </c>
      <c r="H30" s="1229"/>
      <c r="I30" s="1209"/>
      <c r="J30" s="1238"/>
    </row>
    <row r="31" spans="2:13" x14ac:dyDescent="0.25">
      <c r="B31" s="1210"/>
      <c r="C31" s="1248" t="s">
        <v>62</v>
      </c>
      <c r="D31" s="1266" t="s">
        <v>14</v>
      </c>
      <c r="E31" s="1213">
        <v>0</v>
      </c>
      <c r="F31" s="1214"/>
      <c r="G31" s="1267"/>
      <c r="H31" s="1243"/>
      <c r="I31" s="1209"/>
      <c r="J31" s="1238"/>
    </row>
    <row r="32" spans="2:13" x14ac:dyDescent="0.25">
      <c r="B32" s="1268"/>
      <c r="C32" s="1255" t="s">
        <v>756</v>
      </c>
      <c r="D32" s="1256"/>
      <c r="E32" s="1257"/>
      <c r="F32" s="1250"/>
      <c r="G32" s="1251"/>
      <c r="H32" s="1269"/>
      <c r="I32" s="1209"/>
    </row>
    <row r="33" spans="2:13" hidden="1" x14ac:dyDescent="0.25">
      <c r="B33" s="1268"/>
      <c r="C33" s="1270" t="s">
        <v>192</v>
      </c>
      <c r="D33" s="1212" t="s">
        <v>14</v>
      </c>
      <c r="E33" s="1213">
        <v>1812101.9108280253</v>
      </c>
      <c r="F33" s="1214"/>
      <c r="G33" s="1271">
        <f t="shared" ref="G33:G68" si="0">(F33/E33)*100</f>
        <v>0</v>
      </c>
      <c r="H33" s="1243"/>
      <c r="I33" s="1209"/>
      <c r="M33" s="1216"/>
    </row>
    <row r="34" spans="2:13" x14ac:dyDescent="0.25">
      <c r="B34" s="1268"/>
      <c r="C34" s="1224" t="s">
        <v>75</v>
      </c>
      <c r="D34" s="1225" t="s">
        <v>14</v>
      </c>
      <c r="E34" s="1214">
        <f>E35+E36</f>
        <v>3040000</v>
      </c>
      <c r="F34" s="1214">
        <f>F35+F36</f>
        <v>0</v>
      </c>
      <c r="G34" s="1226">
        <f t="shared" si="0"/>
        <v>0</v>
      </c>
      <c r="H34" s="1243" t="s">
        <v>1112</v>
      </c>
      <c r="I34" s="1209"/>
      <c r="J34" s="1238"/>
    </row>
    <row r="35" spans="2:13" x14ac:dyDescent="0.25">
      <c r="B35" s="1268"/>
      <c r="C35" s="1218" t="s">
        <v>755</v>
      </c>
      <c r="D35" s="1219" t="s">
        <v>14</v>
      </c>
      <c r="E35" s="1220">
        <v>2280000</v>
      </c>
      <c r="F35" s="1220"/>
      <c r="G35" s="1271">
        <f t="shared" si="0"/>
        <v>0</v>
      </c>
      <c r="H35" s="1229" t="s">
        <v>1112</v>
      </c>
      <c r="I35" s="1209"/>
      <c r="J35" s="1238"/>
    </row>
    <row r="36" spans="2:13" x14ac:dyDescent="0.25">
      <c r="B36" s="1268"/>
      <c r="C36" s="1248" t="s">
        <v>62</v>
      </c>
      <c r="D36" s="1212" t="s">
        <v>14</v>
      </c>
      <c r="E36" s="1213">
        <v>760000</v>
      </c>
      <c r="F36" s="1214"/>
      <c r="G36" s="1267">
        <f t="shared" si="0"/>
        <v>0</v>
      </c>
      <c r="H36" s="1243" t="s">
        <v>1112</v>
      </c>
      <c r="I36" s="1209"/>
      <c r="J36" s="1238"/>
    </row>
    <row r="37" spans="2:13" x14ac:dyDescent="0.25">
      <c r="B37" s="1210"/>
      <c r="C37" s="1255" t="s">
        <v>757</v>
      </c>
      <c r="D37" s="1256"/>
      <c r="E37" s="1257"/>
      <c r="F37" s="1250"/>
      <c r="G37" s="1251"/>
      <c r="H37" s="1269"/>
      <c r="I37" s="1209"/>
    </row>
    <row r="38" spans="2:13" x14ac:dyDescent="0.25">
      <c r="B38" s="1210"/>
      <c r="C38" s="1241" t="s">
        <v>75</v>
      </c>
      <c r="D38" s="1242" t="s">
        <v>14</v>
      </c>
      <c r="E38" s="1214">
        <f>E39+E40</f>
        <v>21429000</v>
      </c>
      <c r="F38" s="1214">
        <f>F39+F40</f>
        <v>16973017</v>
      </c>
      <c r="G38" s="1226">
        <f>(F38/E38)*100</f>
        <v>79.205828550095674</v>
      </c>
      <c r="H38" s="1243" t="s">
        <v>747</v>
      </c>
      <c r="I38" s="1209"/>
      <c r="J38" s="1238"/>
    </row>
    <row r="39" spans="2:13" x14ac:dyDescent="0.25">
      <c r="B39" s="1210"/>
      <c r="C39" s="1260" t="s">
        <v>332</v>
      </c>
      <c r="D39" s="1261" t="s">
        <v>14</v>
      </c>
      <c r="E39" s="1220">
        <v>15000000</v>
      </c>
      <c r="F39" s="1220">
        <f>'Desember 2024'!$AM$45</f>
        <v>11987575</v>
      </c>
      <c r="G39" s="1271">
        <f>(F39/E39)*100</f>
        <v>79.91716666666666</v>
      </c>
      <c r="H39" s="1229" t="s">
        <v>747</v>
      </c>
      <c r="I39" s="1209"/>
      <c r="J39" s="1238"/>
    </row>
    <row r="40" spans="2:13" x14ac:dyDescent="0.25">
      <c r="B40" s="1210"/>
      <c r="C40" s="1248" t="s">
        <v>62</v>
      </c>
      <c r="D40" s="1249" t="s">
        <v>14</v>
      </c>
      <c r="E40" s="1213">
        <v>6429000</v>
      </c>
      <c r="F40" s="1214">
        <f>'Desember 2024'!$AM$46</f>
        <v>4985442</v>
      </c>
      <c r="G40" s="1267">
        <f>(F40/E40)*100</f>
        <v>77.546150256649554</v>
      </c>
      <c r="H40" s="1243" t="s">
        <v>747</v>
      </c>
      <c r="I40" s="1209"/>
      <c r="J40" s="1238"/>
    </row>
    <row r="41" spans="2:13" x14ac:dyDescent="0.25">
      <c r="B41" s="1268"/>
      <c r="C41" s="1255" t="s">
        <v>758</v>
      </c>
      <c r="D41" s="1256"/>
      <c r="E41" s="1257"/>
      <c r="F41" s="1250"/>
      <c r="G41" s="1251"/>
      <c r="H41" s="1269"/>
      <c r="I41" s="1209"/>
    </row>
    <row r="42" spans="2:13" hidden="1" x14ac:dyDescent="0.25">
      <c r="B42" s="1268"/>
      <c r="C42" s="1270" t="s">
        <v>192</v>
      </c>
      <c r="D42" s="1272"/>
      <c r="E42" s="1213">
        <v>2234607.2186836516</v>
      </c>
      <c r="F42" s="1214">
        <v>0</v>
      </c>
      <c r="G42" s="1226">
        <f t="shared" si="0"/>
        <v>0</v>
      </c>
      <c r="H42" s="1243"/>
      <c r="I42" s="1209"/>
    </row>
    <row r="43" spans="2:13" x14ac:dyDescent="0.25">
      <c r="B43" s="1268"/>
      <c r="C43" s="1224" t="s">
        <v>75</v>
      </c>
      <c r="D43" s="1225" t="s">
        <v>14</v>
      </c>
      <c r="E43" s="1214">
        <f>E44+E45</f>
        <v>2105000</v>
      </c>
      <c r="F43" s="1214">
        <f>F44+F45</f>
        <v>145360</v>
      </c>
      <c r="G43" s="1226">
        <f>(F43/E43)*100</f>
        <v>6.9054631828978623</v>
      </c>
      <c r="H43" s="1243" t="s">
        <v>747</v>
      </c>
      <c r="I43" s="1209"/>
      <c r="J43" s="1238"/>
    </row>
    <row r="44" spans="2:13" x14ac:dyDescent="0.25">
      <c r="B44" s="1268"/>
      <c r="C44" s="1218" t="s">
        <v>759</v>
      </c>
      <c r="D44" s="1219" t="s">
        <v>14</v>
      </c>
      <c r="E44" s="1220">
        <v>1263000</v>
      </c>
      <c r="F44" s="1220">
        <f>'Desember 2024'!AM55</f>
        <v>87260</v>
      </c>
      <c r="G44" s="1271">
        <f>(F44/E44)*100</f>
        <v>6.9089469517022968</v>
      </c>
      <c r="H44" s="1229" t="s">
        <v>747</v>
      </c>
      <c r="I44" s="1209"/>
      <c r="J44" s="1238"/>
    </row>
    <row r="45" spans="2:13" x14ac:dyDescent="0.25">
      <c r="B45" s="1268"/>
      <c r="C45" s="1273" t="s">
        <v>60</v>
      </c>
      <c r="D45" s="1266" t="s">
        <v>14</v>
      </c>
      <c r="E45" s="1246">
        <v>842000</v>
      </c>
      <c r="F45" s="1214">
        <f>'Desember 2024'!AM56</f>
        <v>58100</v>
      </c>
      <c r="G45" s="1267">
        <f>(F45/E45)*100</f>
        <v>6.9002375296912106</v>
      </c>
      <c r="H45" s="1243" t="s">
        <v>747</v>
      </c>
      <c r="I45" s="1209"/>
      <c r="J45" s="1238"/>
    </row>
    <row r="46" spans="2:13" x14ac:dyDescent="0.25">
      <c r="B46" s="1274" t="s">
        <v>760</v>
      </c>
      <c r="C46" s="1275" t="s">
        <v>761</v>
      </c>
      <c r="D46" s="1206"/>
      <c r="E46" s="1207"/>
      <c r="F46" s="1207"/>
      <c r="G46" s="1276"/>
      <c r="H46" s="1277"/>
      <c r="I46" s="1209"/>
    </row>
    <row r="47" spans="2:13" x14ac:dyDescent="0.25">
      <c r="B47" s="1278"/>
      <c r="C47" s="1241" t="s">
        <v>65</v>
      </c>
      <c r="D47" s="1242" t="s">
        <v>25</v>
      </c>
      <c r="E47" s="1234">
        <v>94.77</v>
      </c>
      <c r="F47" s="274">
        <f>(F18/F11)*100</f>
        <v>96.5053713767754</v>
      </c>
      <c r="G47" s="1226">
        <f t="shared" ref="G47:G53" si="1">(F47/E47)*100</f>
        <v>101.83113999870783</v>
      </c>
      <c r="H47" s="1259" t="s">
        <v>744</v>
      </c>
      <c r="I47" s="1237"/>
    </row>
    <row r="48" spans="2:13" x14ac:dyDescent="0.25">
      <c r="B48" s="1278"/>
      <c r="C48" s="1241" t="s">
        <v>64</v>
      </c>
      <c r="D48" s="1242" t="s">
        <v>25</v>
      </c>
      <c r="E48" s="1234">
        <v>4.5</v>
      </c>
      <c r="F48" s="274">
        <f>(F19/(F11))*100</f>
        <v>4.3095021251539753</v>
      </c>
      <c r="G48" s="1267">
        <f t="shared" si="1"/>
        <v>95.766713892310563</v>
      </c>
      <c r="H48" s="1264" t="s">
        <v>744</v>
      </c>
      <c r="I48" s="1237"/>
    </row>
    <row r="49" spans="2:10" x14ac:dyDescent="0.25">
      <c r="B49" s="1278"/>
      <c r="C49" s="1279" t="s">
        <v>63</v>
      </c>
      <c r="D49" s="1280" t="s">
        <v>25</v>
      </c>
      <c r="E49" s="1281">
        <v>82</v>
      </c>
      <c r="F49" s="1282">
        <f>F26/(F26+F27)*100</f>
        <v>79.727102474931129</v>
      </c>
      <c r="G49" s="1251">
        <f t="shared" si="1"/>
        <v>97.22817374991601</v>
      </c>
      <c r="H49" s="1283" t="s">
        <v>744</v>
      </c>
      <c r="I49" s="1237"/>
    </row>
    <row r="50" spans="2:10" x14ac:dyDescent="0.25">
      <c r="B50" s="1278"/>
      <c r="C50" s="1241" t="s">
        <v>62</v>
      </c>
      <c r="D50" s="1242" t="s">
        <v>25</v>
      </c>
      <c r="E50" s="1234">
        <v>18</v>
      </c>
      <c r="F50" s="1284">
        <f>(F27/F25)*100</f>
        <v>20.272897525068863</v>
      </c>
      <c r="G50" s="1267">
        <f t="shared" si="1"/>
        <v>112.62720847260479</v>
      </c>
      <c r="H50" s="1264" t="s">
        <v>744</v>
      </c>
      <c r="I50" s="1237"/>
    </row>
    <row r="51" spans="2:10" x14ac:dyDescent="0.25">
      <c r="B51" s="1278"/>
      <c r="C51" s="1285" t="s">
        <v>106</v>
      </c>
      <c r="D51" s="1280" t="s">
        <v>25</v>
      </c>
      <c r="E51" s="1281">
        <v>75</v>
      </c>
      <c r="F51" s="1286">
        <v>0</v>
      </c>
      <c r="G51" s="1251">
        <f t="shared" si="1"/>
        <v>0</v>
      </c>
      <c r="H51" s="1287"/>
      <c r="I51" s="1237"/>
    </row>
    <row r="52" spans="2:10" x14ac:dyDescent="0.25">
      <c r="B52" s="1278"/>
      <c r="C52" s="1241" t="s">
        <v>62</v>
      </c>
      <c r="D52" s="1242" t="s">
        <v>25</v>
      </c>
      <c r="E52" s="1234">
        <v>25</v>
      </c>
      <c r="F52" s="1288">
        <v>0</v>
      </c>
      <c r="G52" s="1267">
        <f t="shared" si="1"/>
        <v>0</v>
      </c>
      <c r="H52" s="1289"/>
      <c r="I52" s="1237"/>
      <c r="J52" s="1263">
        <f>F47+F48</f>
        <v>100.81487350192937</v>
      </c>
    </row>
    <row r="53" spans="2:10" x14ac:dyDescent="0.25">
      <c r="B53" s="1278"/>
      <c r="C53" s="1285" t="s">
        <v>108</v>
      </c>
      <c r="D53" s="1280" t="s">
        <v>25</v>
      </c>
      <c r="E53" s="1281">
        <v>75</v>
      </c>
      <c r="F53" s="1282" t="e">
        <f>F35/(F35+F36)*100</f>
        <v>#DIV/0!</v>
      </c>
      <c r="G53" s="1251" t="e">
        <f t="shared" si="1"/>
        <v>#DIV/0!</v>
      </c>
      <c r="H53" s="1290" t="s">
        <v>744</v>
      </c>
      <c r="I53" s="1237"/>
      <c r="J53" s="1193">
        <f>J52-100%</f>
        <v>99.81487350192937</v>
      </c>
    </row>
    <row r="54" spans="2:10" x14ac:dyDescent="0.25">
      <c r="B54" s="1278"/>
      <c r="C54" s="1241" t="s">
        <v>62</v>
      </c>
      <c r="D54" s="1242" t="s">
        <v>25</v>
      </c>
      <c r="E54" s="1234">
        <v>25</v>
      </c>
      <c r="F54" s="1284" t="e">
        <f>(F36/F34)*100</f>
        <v>#DIV/0!</v>
      </c>
      <c r="G54" s="1267" t="e">
        <f t="shared" si="0"/>
        <v>#DIV/0!</v>
      </c>
      <c r="H54" s="1290" t="s">
        <v>744</v>
      </c>
      <c r="I54" s="1237"/>
      <c r="J54" s="1263">
        <f>100-J52</f>
        <v>-0.81487350192936958</v>
      </c>
    </row>
    <row r="55" spans="2:10" x14ac:dyDescent="0.25">
      <c r="B55" s="1278"/>
      <c r="C55" s="1285" t="s">
        <v>332</v>
      </c>
      <c r="D55" s="1280" t="s">
        <v>25</v>
      </c>
      <c r="E55" s="1281">
        <v>70</v>
      </c>
      <c r="F55" s="1282">
        <f>F39/(F39+F40)*100</f>
        <v>70.627249121355391</v>
      </c>
      <c r="G55" s="1251">
        <f t="shared" si="0"/>
        <v>100.89607017336483</v>
      </c>
      <c r="H55" s="1283" t="s">
        <v>744</v>
      </c>
      <c r="I55" s="1237"/>
    </row>
    <row r="56" spans="2:10" x14ac:dyDescent="0.25">
      <c r="B56" s="1278"/>
      <c r="C56" s="1241" t="s">
        <v>62</v>
      </c>
      <c r="D56" s="1242" t="s">
        <v>25</v>
      </c>
      <c r="E56" s="1234">
        <v>30</v>
      </c>
      <c r="F56" s="1284">
        <f>(F40/F38)*100</f>
        <v>29.372750878644617</v>
      </c>
      <c r="G56" s="1267">
        <f t="shared" si="0"/>
        <v>97.909169595482055</v>
      </c>
      <c r="H56" s="1264" t="s">
        <v>744</v>
      </c>
      <c r="I56" s="1237"/>
    </row>
    <row r="57" spans="2:10" x14ac:dyDescent="0.25">
      <c r="B57" s="1278"/>
      <c r="C57" s="1279" t="s">
        <v>61</v>
      </c>
      <c r="D57" s="1280" t="s">
        <v>25</v>
      </c>
      <c r="E57" s="1281">
        <v>60</v>
      </c>
      <c r="F57" s="1282">
        <f>F44/(F44+F45)*100</f>
        <v>60.030269675288942</v>
      </c>
      <c r="G57" s="1251">
        <f t="shared" si="0"/>
        <v>100.0504494588149</v>
      </c>
      <c r="H57" s="1283" t="s">
        <v>744</v>
      </c>
      <c r="I57" s="1237"/>
    </row>
    <row r="58" spans="2:10" x14ac:dyDescent="0.25">
      <c r="B58" s="1278"/>
      <c r="C58" s="1291" t="s">
        <v>60</v>
      </c>
      <c r="D58" s="1292" t="s">
        <v>25</v>
      </c>
      <c r="E58" s="1288">
        <v>40</v>
      </c>
      <c r="F58" s="1284">
        <f>(F45/F43)*100</f>
        <v>39.969730324711058</v>
      </c>
      <c r="G58" s="1267">
        <f t="shared" si="0"/>
        <v>99.924325811777649</v>
      </c>
      <c r="H58" s="1264" t="s">
        <v>744</v>
      </c>
      <c r="I58" s="1237"/>
    </row>
    <row r="59" spans="2:10" x14ac:dyDescent="0.25">
      <c r="B59" s="1204" t="s">
        <v>762</v>
      </c>
      <c r="C59" s="1205" t="s">
        <v>59</v>
      </c>
      <c r="D59" s="1206"/>
      <c r="E59" s="1207"/>
      <c r="F59" s="1207"/>
      <c r="G59" s="1276"/>
      <c r="H59" s="1277"/>
      <c r="I59" s="1209"/>
    </row>
    <row r="60" spans="2:10" x14ac:dyDescent="0.25">
      <c r="B60" s="1293"/>
      <c r="C60" s="1294" t="s">
        <v>763</v>
      </c>
      <c r="D60" s="1212" t="s">
        <v>14</v>
      </c>
      <c r="E60" s="1213">
        <v>232362</v>
      </c>
      <c r="F60" s="1214">
        <f>'Desember 2024'!$AM$74</f>
        <v>229303.91</v>
      </c>
      <c r="G60" s="1226">
        <f>(F60/E60)*100</f>
        <v>98.68391131079953</v>
      </c>
      <c r="H60" s="1243"/>
      <c r="I60" s="1209"/>
    </row>
    <row r="61" spans="2:10" x14ac:dyDescent="0.25">
      <c r="B61" s="1293"/>
      <c r="C61" s="1224"/>
      <c r="D61" s="1242" t="s">
        <v>326</v>
      </c>
      <c r="E61" s="1295">
        <v>9</v>
      </c>
      <c r="F61" s="1295">
        <f>(F60/F12)*1000</f>
        <v>9.0731656225713717</v>
      </c>
      <c r="G61" s="1271">
        <f t="shared" si="0"/>
        <v>100.81295136190414</v>
      </c>
      <c r="H61" s="1222" t="s">
        <v>744</v>
      </c>
      <c r="I61" s="1237"/>
    </row>
    <row r="62" spans="2:10" x14ac:dyDescent="0.25">
      <c r="B62" s="1293"/>
      <c r="C62" s="1294" t="s">
        <v>764</v>
      </c>
      <c r="D62" s="1212" t="s">
        <v>14</v>
      </c>
      <c r="E62" s="1213">
        <v>131651</v>
      </c>
      <c r="F62" s="1214">
        <f>'Desember 2024'!AM12</f>
        <v>0</v>
      </c>
      <c r="G62" s="1226">
        <f t="shared" si="0"/>
        <v>0</v>
      </c>
      <c r="H62" s="1290"/>
      <c r="I62" s="1209"/>
    </row>
    <row r="63" spans="2:10" x14ac:dyDescent="0.25">
      <c r="B63" s="1293"/>
      <c r="C63" s="1224"/>
      <c r="D63" s="1242" t="s">
        <v>326</v>
      </c>
      <c r="E63" s="1295">
        <v>18</v>
      </c>
      <c r="F63" s="1295"/>
      <c r="G63" s="1271">
        <f t="shared" si="0"/>
        <v>0</v>
      </c>
      <c r="H63" s="1296"/>
      <c r="I63" s="1237"/>
    </row>
    <row r="64" spans="2:10" x14ac:dyDescent="0.25">
      <c r="B64" s="1293"/>
      <c r="C64" s="1241" t="s">
        <v>765</v>
      </c>
      <c r="D64" s="1242" t="s">
        <v>14</v>
      </c>
      <c r="E64" s="1214">
        <v>21815</v>
      </c>
      <c r="F64" s="1214">
        <f>'Desember 2024'!$AM$82</f>
        <v>12772.944000000001</v>
      </c>
      <c r="G64" s="1226">
        <f t="shared" si="0"/>
        <v>58.55119871647949</v>
      </c>
      <c r="H64" s="1290"/>
      <c r="I64" s="1209"/>
    </row>
    <row r="65" spans="1:9" x14ac:dyDescent="0.25">
      <c r="B65" s="1293"/>
      <c r="C65" s="1294"/>
      <c r="D65" s="1249" t="s">
        <v>326</v>
      </c>
      <c r="E65" s="1297">
        <v>0.6</v>
      </c>
      <c r="F65" s="1297">
        <f>(F64/F11)*1000</f>
        <v>0.50540366450720042</v>
      </c>
      <c r="G65" s="1298">
        <f t="shared" si="0"/>
        <v>84.233944084533405</v>
      </c>
      <c r="H65" s="1222" t="s">
        <v>744</v>
      </c>
      <c r="I65" s="1237"/>
    </row>
    <row r="66" spans="1:9" x14ac:dyDescent="0.25">
      <c r="B66" s="1204" t="s">
        <v>766</v>
      </c>
      <c r="C66" s="1275" t="s">
        <v>168</v>
      </c>
      <c r="D66" s="1206"/>
      <c r="E66" s="1207"/>
      <c r="F66" s="1207"/>
      <c r="G66" s="1276"/>
      <c r="H66" s="1277"/>
      <c r="I66" s="1209"/>
    </row>
    <row r="67" spans="1:9" x14ac:dyDescent="0.25">
      <c r="B67" s="1299"/>
      <c r="C67" s="1241" t="s">
        <v>767</v>
      </c>
      <c r="D67" s="1242" t="s">
        <v>25</v>
      </c>
      <c r="E67" s="2011" t="s">
        <v>1109</v>
      </c>
      <c r="F67" s="2011" t="s">
        <v>1120</v>
      </c>
      <c r="G67" s="1271">
        <f t="shared" si="0"/>
        <v>87.671232876712338</v>
      </c>
      <c r="H67" s="1229" t="s">
        <v>744</v>
      </c>
      <c r="I67" s="1237"/>
    </row>
    <row r="68" spans="1:9" x14ac:dyDescent="0.25">
      <c r="B68" s="1299"/>
      <c r="C68" s="1241" t="s">
        <v>54</v>
      </c>
      <c r="D68" s="1242" t="s">
        <v>25</v>
      </c>
      <c r="E68" s="1234">
        <v>22</v>
      </c>
      <c r="F68" s="1234">
        <f>'Desember 2024'!$AM$86</f>
        <v>21.551666666666662</v>
      </c>
      <c r="G68" s="1226">
        <f t="shared" si="0"/>
        <v>97.96212121212119</v>
      </c>
      <c r="H68" s="1236" t="s">
        <v>744</v>
      </c>
      <c r="I68" s="1237"/>
    </row>
    <row r="69" spans="1:9" ht="15.75" thickBot="1" x14ac:dyDescent="0.3">
      <c r="B69" s="1300"/>
      <c r="C69" s="1301" t="s">
        <v>53</v>
      </c>
      <c r="D69" s="1302" t="s">
        <v>14</v>
      </c>
      <c r="E69" s="1303">
        <v>413199.35999999999</v>
      </c>
      <c r="F69" s="1303">
        <f>'Desember 2024'!$AM$87</f>
        <v>231452.55410160145</v>
      </c>
      <c r="G69" s="1304">
        <f>(F69/E69)*100</f>
        <v>56.014741673753186</v>
      </c>
      <c r="H69" s="1305"/>
      <c r="I69" s="1237"/>
    </row>
    <row r="70" spans="1:9" x14ac:dyDescent="0.25">
      <c r="B70" s="1193" t="s">
        <v>768</v>
      </c>
      <c r="C70" s="1306"/>
      <c r="D70" s="1307"/>
      <c r="E70" s="1237"/>
      <c r="F70" s="1237"/>
      <c r="G70" s="1237"/>
      <c r="H70" s="1308"/>
      <c r="I70" s="1237"/>
    </row>
    <row r="71" spans="1:9" x14ac:dyDescent="0.25">
      <c r="B71" s="2142" t="s">
        <v>1100</v>
      </c>
      <c r="C71" s="2142"/>
      <c r="D71" s="2142"/>
      <c r="E71" s="2142"/>
      <c r="F71" s="2142"/>
      <c r="G71" s="2142"/>
      <c r="H71" s="2142"/>
      <c r="I71" s="1237"/>
    </row>
    <row r="72" spans="1:9" x14ac:dyDescent="0.25">
      <c r="B72" s="2142" t="s">
        <v>1111</v>
      </c>
      <c r="C72" s="2142"/>
      <c r="D72" s="2142"/>
      <c r="E72" s="2142"/>
      <c r="F72" s="2142"/>
      <c r="G72" s="2142"/>
      <c r="H72" s="2142"/>
      <c r="I72" s="1237"/>
    </row>
    <row r="73" spans="1:9" x14ac:dyDescent="0.25">
      <c r="B73" s="2142" t="s">
        <v>1110</v>
      </c>
      <c r="C73" s="2142"/>
      <c r="D73" s="2142"/>
      <c r="E73" s="2142"/>
      <c r="F73" s="2142"/>
      <c r="G73" s="2142"/>
      <c r="H73" s="2142"/>
      <c r="I73" s="1309"/>
    </row>
    <row r="74" spans="1:9" hidden="1" x14ac:dyDescent="0.25">
      <c r="B74" s="2143" t="s">
        <v>770</v>
      </c>
      <c r="C74" s="2143"/>
      <c r="D74" s="2143"/>
      <c r="E74" s="2143"/>
      <c r="F74" s="2143"/>
      <c r="G74" s="2143"/>
      <c r="H74" s="2143"/>
      <c r="I74" s="1309"/>
    </row>
    <row r="75" spans="1:9" hidden="1" x14ac:dyDescent="0.25">
      <c r="B75" s="2143"/>
      <c r="C75" s="2143"/>
      <c r="D75" s="2143"/>
      <c r="E75" s="2143"/>
      <c r="F75" s="2143"/>
      <c r="G75" s="2143"/>
      <c r="H75" s="2143"/>
      <c r="I75" s="1309"/>
    </row>
    <row r="76" spans="1:9" hidden="1" x14ac:dyDescent="0.25">
      <c r="B76" s="2144" t="s">
        <v>1098</v>
      </c>
      <c r="C76" s="2144"/>
      <c r="D76" s="2144"/>
      <c r="E76" s="2144"/>
      <c r="F76" s="2144"/>
      <c r="G76" s="2144"/>
      <c r="H76" s="2144"/>
      <c r="I76" s="1309"/>
    </row>
    <row r="77" spans="1:9" hidden="1" x14ac:dyDescent="0.25">
      <c r="B77" s="2144" t="s">
        <v>1099</v>
      </c>
      <c r="C77" s="2144"/>
      <c r="D77" s="2144"/>
      <c r="E77" s="2144"/>
      <c r="F77" s="2144"/>
      <c r="G77" s="2144"/>
      <c r="H77" s="2144"/>
      <c r="I77" s="1309"/>
    </row>
    <row r="78" spans="1:9" x14ac:dyDescent="0.25">
      <c r="B78" s="1309"/>
      <c r="C78" s="1309"/>
      <c r="D78" s="1309"/>
      <c r="E78" s="1309"/>
      <c r="F78" s="1309"/>
      <c r="G78" s="1309"/>
      <c r="H78" s="1310"/>
      <c r="I78" s="1309"/>
    </row>
    <row r="79" spans="1:9" s="1312" customFormat="1" x14ac:dyDescent="0.25">
      <c r="A79" s="2117" t="s">
        <v>771</v>
      </c>
      <c r="B79" s="2117"/>
      <c r="C79" s="2117"/>
      <c r="D79" s="2117" t="s">
        <v>772</v>
      </c>
      <c r="E79" s="2117"/>
      <c r="F79" s="2117"/>
      <c r="G79" s="1311"/>
      <c r="H79" s="1196" t="s">
        <v>773</v>
      </c>
      <c r="I79" s="1197"/>
    </row>
    <row r="80" spans="1:9" x14ac:dyDescent="0.25">
      <c r="B80" s="1313"/>
      <c r="C80" s="1313"/>
      <c r="D80" s="1313"/>
      <c r="E80" s="1313"/>
      <c r="G80" s="1313"/>
      <c r="H80" s="1313"/>
      <c r="I80" s="1314"/>
    </row>
    <row r="81" spans="1:9" x14ac:dyDescent="0.25">
      <c r="B81" s="1313"/>
      <c r="C81" s="1313"/>
      <c r="D81" s="1313"/>
      <c r="E81" s="1313"/>
      <c r="G81" s="1313"/>
      <c r="H81" s="1313"/>
      <c r="I81" s="1314"/>
    </row>
    <row r="82" spans="1:9" x14ac:dyDescent="0.25">
      <c r="B82" s="1313"/>
      <c r="C82" s="1313"/>
      <c r="D82" s="1313"/>
      <c r="E82" s="1313"/>
      <c r="G82" s="1313"/>
      <c r="H82" s="1313"/>
      <c r="I82" s="1314"/>
    </row>
    <row r="83" spans="1:9" x14ac:dyDescent="0.25">
      <c r="A83" s="2118" t="s">
        <v>1097</v>
      </c>
      <c r="B83" s="2118"/>
      <c r="C83" s="2118"/>
      <c r="D83" s="2118" t="s">
        <v>774</v>
      </c>
      <c r="E83" s="2118"/>
      <c r="F83" s="1315" t="s">
        <v>775</v>
      </c>
      <c r="G83" s="1316"/>
      <c r="H83" s="1315" t="s">
        <v>776</v>
      </c>
      <c r="I83" s="1317"/>
    </row>
    <row r="84" spans="1:9" ht="20.65" customHeight="1" x14ac:dyDescent="0.25">
      <c r="A84" s="2119" t="s">
        <v>777</v>
      </c>
      <c r="B84" s="2119"/>
      <c r="C84" s="2119"/>
      <c r="D84" s="2119" t="s">
        <v>778</v>
      </c>
      <c r="E84" s="2119"/>
      <c r="F84" s="1313" t="s">
        <v>779</v>
      </c>
      <c r="G84" s="1318"/>
      <c r="H84" s="1313" t="s">
        <v>780</v>
      </c>
      <c r="I84" s="1314"/>
    </row>
  </sheetData>
  <mergeCells count="20">
    <mergeCell ref="B2:H2"/>
    <mergeCell ref="B3:H3"/>
    <mergeCell ref="B4:C4"/>
    <mergeCell ref="B5:B6"/>
    <mergeCell ref="C5:C6"/>
    <mergeCell ref="D5:D6"/>
    <mergeCell ref="E5:G5"/>
    <mergeCell ref="H5:H6"/>
    <mergeCell ref="B71:H71"/>
    <mergeCell ref="A83:C83"/>
    <mergeCell ref="D83:E83"/>
    <mergeCell ref="A84:C84"/>
    <mergeCell ref="D84:E84"/>
    <mergeCell ref="B73:H73"/>
    <mergeCell ref="B74:H75"/>
    <mergeCell ref="B76:H76"/>
    <mergeCell ref="B77:H77"/>
    <mergeCell ref="A79:C79"/>
    <mergeCell ref="D79:F79"/>
    <mergeCell ref="B72:H72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topLeftCell="A4" zoomScale="80" zoomScaleNormal="80" workbookViewId="0">
      <selection activeCell="K21" sqref="K21"/>
    </sheetView>
  </sheetViews>
  <sheetFormatPr defaultColWidth="9.28515625" defaultRowHeight="15" x14ac:dyDescent="0.25"/>
  <cols>
    <col min="1" max="1" width="9.28515625" style="1619"/>
    <col min="2" max="2" width="23.5703125" style="1619" customWidth="1"/>
    <col min="3" max="3" width="13.7109375" style="1619" customWidth="1"/>
    <col min="4" max="4" width="13.28515625" style="1619" customWidth="1"/>
    <col min="5" max="5" width="13" style="1619" customWidth="1"/>
    <col min="6" max="6" width="12.42578125" style="1619" customWidth="1"/>
    <col min="7" max="7" width="14.42578125" style="1619" bestFit="1" customWidth="1"/>
    <col min="8" max="8" width="12.7109375" style="1619" customWidth="1"/>
    <col min="9" max="9" width="18.7109375" style="1619" bestFit="1" customWidth="1"/>
    <col min="10" max="10" width="9.5703125" style="1619" customWidth="1"/>
    <col min="11" max="11" width="9.5703125" style="1619" bestFit="1" customWidth="1"/>
    <col min="12" max="12" width="9.28515625" style="1619" customWidth="1"/>
    <col min="13" max="13" width="8.7109375" style="1619" hidden="1" customWidth="1"/>
    <col min="14" max="14" width="9" style="1619" hidden="1" customWidth="1"/>
    <col min="15" max="15" width="10.28515625" style="1619" hidden="1" customWidth="1"/>
    <col min="16" max="16" width="9" style="1619" hidden="1" customWidth="1"/>
    <col min="17" max="17" width="8.5703125" style="1619" hidden="1" customWidth="1"/>
    <col min="18" max="18" width="9.7109375" style="1619" hidden="1" customWidth="1"/>
    <col min="19" max="20" width="0" style="1619" hidden="1" customWidth="1"/>
    <col min="21" max="16384" width="9.28515625" style="1619"/>
  </cols>
  <sheetData>
    <row r="4" spans="2:20" ht="15.75" x14ac:dyDescent="0.25">
      <c r="B4" s="1619" t="s">
        <v>865</v>
      </c>
      <c r="I4" s="1642" t="s">
        <v>899</v>
      </c>
      <c r="J4" s="2154" t="s">
        <v>971</v>
      </c>
      <c r="K4" s="2155"/>
      <c r="L4" s="2156"/>
      <c r="M4" s="2157" t="s">
        <v>974</v>
      </c>
      <c r="N4" s="2158"/>
      <c r="O4" s="2159"/>
      <c r="P4" s="2157" t="s">
        <v>975</v>
      </c>
      <c r="Q4" s="2158"/>
      <c r="R4" s="2159"/>
      <c r="S4" s="2160" t="s">
        <v>977</v>
      </c>
      <c r="T4" s="2161"/>
    </row>
    <row r="5" spans="2:20" ht="30" x14ac:dyDescent="0.25">
      <c r="B5" s="1620" t="s">
        <v>866</v>
      </c>
      <c r="C5" s="1620" t="s">
        <v>867</v>
      </c>
      <c r="D5" s="1620" t="s">
        <v>868</v>
      </c>
      <c r="E5" s="1620" t="s">
        <v>869</v>
      </c>
      <c r="F5" s="1621" t="s">
        <v>870</v>
      </c>
      <c r="G5" s="1620" t="s">
        <v>871</v>
      </c>
      <c r="I5" s="308" t="s">
        <v>169</v>
      </c>
      <c r="J5" s="316" t="s">
        <v>170</v>
      </c>
      <c r="K5" s="316" t="s">
        <v>972</v>
      </c>
      <c r="L5" s="316" t="s">
        <v>973</v>
      </c>
      <c r="M5" s="316" t="s">
        <v>170</v>
      </c>
      <c r="N5" s="316" t="s">
        <v>972</v>
      </c>
      <c r="O5" s="316" t="s">
        <v>976</v>
      </c>
      <c r="P5" s="316" t="s">
        <v>170</v>
      </c>
      <c r="Q5" s="316" t="s">
        <v>972</v>
      </c>
      <c r="R5" s="316" t="s">
        <v>976</v>
      </c>
      <c r="S5" s="2162"/>
      <c r="T5" s="2163"/>
    </row>
    <row r="6" spans="2:20" x14ac:dyDescent="0.25">
      <c r="B6" s="1623" t="s">
        <v>872</v>
      </c>
      <c r="C6" s="1625">
        <v>5.67</v>
      </c>
      <c r="D6" s="1624">
        <v>850</v>
      </c>
      <c r="E6" s="1625">
        <f>C6*D6/1000</f>
        <v>4.8194999999999997</v>
      </c>
      <c r="F6" s="1626">
        <v>0</v>
      </c>
      <c r="G6" s="1627">
        <f>(F6*E6/100)*1000</f>
        <v>0</v>
      </c>
      <c r="H6" s="1628"/>
      <c r="I6" s="826">
        <v>45627</v>
      </c>
      <c r="J6" s="1761"/>
      <c r="K6" s="1761"/>
      <c r="L6" s="1776"/>
      <c r="M6" s="1761"/>
      <c r="N6" s="1761"/>
      <c r="O6" s="1779"/>
      <c r="P6" s="1761"/>
      <c r="Q6" s="1761"/>
      <c r="R6" s="1623"/>
      <c r="S6" s="2164"/>
      <c r="T6" s="2165"/>
    </row>
    <row r="7" spans="2:20" x14ac:dyDescent="0.25">
      <c r="B7" s="1623" t="s">
        <v>873</v>
      </c>
      <c r="C7" s="1686">
        <v>47.22</v>
      </c>
      <c r="D7" s="1624">
        <v>850</v>
      </c>
      <c r="E7" s="1625">
        <f>C7*D7/1000</f>
        <v>40.137</v>
      </c>
      <c r="F7" s="1626">
        <v>0</v>
      </c>
      <c r="G7" s="1627">
        <f>(F7*E7/100)*1000</f>
        <v>0</v>
      </c>
      <c r="H7" s="1687"/>
      <c r="I7" s="826">
        <v>45628</v>
      </c>
      <c r="J7" s="1761"/>
      <c r="K7" s="1761"/>
      <c r="L7" s="1776"/>
      <c r="M7" s="1761"/>
      <c r="N7" s="1761"/>
      <c r="O7" s="1779"/>
      <c r="P7" s="1761"/>
      <c r="Q7" s="1761"/>
      <c r="R7" s="1623"/>
      <c r="S7" s="2164"/>
      <c r="T7" s="2165"/>
    </row>
    <row r="8" spans="2:20" x14ac:dyDescent="0.25">
      <c r="B8" s="1623" t="s">
        <v>874</v>
      </c>
      <c r="C8" s="1686">
        <v>47.22</v>
      </c>
      <c r="D8" s="1624">
        <v>850</v>
      </c>
      <c r="E8" s="1625">
        <f t="shared" ref="E8:E21" si="0">C8*D8/1000</f>
        <v>40.137</v>
      </c>
      <c r="F8" s="1626">
        <v>0</v>
      </c>
      <c r="G8" s="1627">
        <f>(F8*E8/100)*1000</f>
        <v>0</v>
      </c>
      <c r="H8" s="1687"/>
      <c r="I8" s="826">
        <v>45629</v>
      </c>
      <c r="J8" s="1761"/>
      <c r="K8" s="1761"/>
      <c r="L8" s="1776"/>
      <c r="M8" s="1761"/>
      <c r="N8" s="1761"/>
      <c r="O8" s="1779"/>
      <c r="P8" s="1761"/>
      <c r="Q8" s="1761"/>
      <c r="R8" s="1623"/>
      <c r="S8" s="2164"/>
      <c r="T8" s="2165"/>
    </row>
    <row r="9" spans="2:20" x14ac:dyDescent="0.25">
      <c r="B9" s="1623" t="s">
        <v>875</v>
      </c>
      <c r="C9" s="1686">
        <v>35.68</v>
      </c>
      <c r="D9" s="1624">
        <v>850</v>
      </c>
      <c r="E9" s="1625">
        <f t="shared" si="0"/>
        <v>30.327999999999999</v>
      </c>
      <c r="F9" s="1626">
        <v>0</v>
      </c>
      <c r="G9" s="1627">
        <f>(F9*E9/100)*1000</f>
        <v>0</v>
      </c>
      <c r="H9" s="1687"/>
      <c r="I9" s="826">
        <v>45630</v>
      </c>
      <c r="J9" s="1761"/>
      <c r="K9" s="1762">
        <v>308515.38</v>
      </c>
      <c r="L9" s="1777"/>
      <c r="M9" s="1762"/>
      <c r="N9" s="1762"/>
      <c r="O9" s="1780"/>
      <c r="P9" s="1762"/>
      <c r="Q9" s="1761"/>
      <c r="R9" s="1623"/>
      <c r="S9" s="2164"/>
      <c r="T9" s="2165"/>
    </row>
    <row r="10" spans="2:20" x14ac:dyDescent="0.25">
      <c r="B10" s="1623" t="s">
        <v>876</v>
      </c>
      <c r="C10" s="1629">
        <v>10.8</v>
      </c>
      <c r="D10" s="1629">
        <v>850</v>
      </c>
      <c r="E10" s="1630">
        <f t="shared" si="0"/>
        <v>9.18</v>
      </c>
      <c r="F10" s="1626">
        <v>0</v>
      </c>
      <c r="G10" s="1627">
        <f t="shared" ref="G10:G16" si="1">(F10*E10/100)*1000</f>
        <v>0</v>
      </c>
      <c r="H10" s="1687"/>
      <c r="I10" s="826">
        <v>45631</v>
      </c>
      <c r="J10" s="1763">
        <v>308515</v>
      </c>
      <c r="K10" s="1761"/>
      <c r="L10" s="1776"/>
      <c r="M10" s="1761"/>
      <c r="N10" s="1761"/>
      <c r="O10" s="1779"/>
      <c r="P10" s="1761"/>
      <c r="Q10" s="1761"/>
      <c r="R10" s="1623"/>
      <c r="S10" s="2164"/>
      <c r="T10" s="2165"/>
    </row>
    <row r="11" spans="2:20" x14ac:dyDescent="0.25">
      <c r="B11" s="1623" t="s">
        <v>877</v>
      </c>
      <c r="C11" s="1629">
        <v>10.1</v>
      </c>
      <c r="D11" s="1629">
        <v>850</v>
      </c>
      <c r="E11" s="1630">
        <f t="shared" si="0"/>
        <v>8.5850000000000009</v>
      </c>
      <c r="F11" s="1626">
        <v>0</v>
      </c>
      <c r="G11" s="1627">
        <f t="shared" si="1"/>
        <v>0</v>
      </c>
      <c r="H11" s="1687"/>
      <c r="I11" s="826">
        <v>45632</v>
      </c>
      <c r="J11" s="1763">
        <v>308515</v>
      </c>
      <c r="K11" s="1763">
        <v>284092</v>
      </c>
      <c r="L11" s="1778">
        <f t="shared" ref="L11:L16" si="2">J11-K11</f>
        <v>24423</v>
      </c>
      <c r="M11" s="1763"/>
      <c r="N11" s="1763"/>
      <c r="O11" s="1781"/>
      <c r="P11" s="1763"/>
      <c r="Q11" s="1761"/>
      <c r="R11" s="1623"/>
      <c r="S11" s="2164"/>
      <c r="T11" s="2165"/>
    </row>
    <row r="12" spans="2:20" x14ac:dyDescent="0.25">
      <c r="B12" s="1623" t="s">
        <v>878</v>
      </c>
      <c r="C12" s="1629">
        <v>10.1</v>
      </c>
      <c r="D12" s="1629">
        <v>850</v>
      </c>
      <c r="E12" s="1630">
        <f t="shared" si="0"/>
        <v>8.5850000000000009</v>
      </c>
      <c r="F12" s="1626">
        <v>0</v>
      </c>
      <c r="G12" s="1627">
        <f t="shared" si="1"/>
        <v>0</v>
      </c>
      <c r="H12" s="1687"/>
      <c r="I12" s="826">
        <v>45633</v>
      </c>
      <c r="J12" s="1764">
        <v>284092</v>
      </c>
      <c r="K12" s="1764">
        <v>307785</v>
      </c>
      <c r="L12" s="1778">
        <f t="shared" si="2"/>
        <v>-23693</v>
      </c>
      <c r="M12" s="1764"/>
      <c r="N12" s="1764"/>
      <c r="O12" s="1782"/>
      <c r="P12" s="1764"/>
      <c r="Q12" s="1761"/>
      <c r="R12" s="1623"/>
      <c r="S12" s="2164"/>
      <c r="T12" s="2165"/>
    </row>
    <row r="13" spans="2:20" x14ac:dyDescent="0.25">
      <c r="B13" s="1623" t="s">
        <v>879</v>
      </c>
      <c r="C13" s="1629">
        <v>10.1</v>
      </c>
      <c r="D13" s="1629">
        <v>850</v>
      </c>
      <c r="E13" s="1630">
        <f t="shared" si="0"/>
        <v>8.5850000000000009</v>
      </c>
      <c r="F13" s="1626">
        <v>0</v>
      </c>
      <c r="G13" s="1627">
        <f t="shared" si="1"/>
        <v>0</v>
      </c>
      <c r="H13" s="1687"/>
      <c r="I13" s="826">
        <v>45634</v>
      </c>
      <c r="J13" s="1764">
        <v>307798</v>
      </c>
      <c r="K13" s="1764">
        <v>299017</v>
      </c>
      <c r="L13" s="1778">
        <f t="shared" si="2"/>
        <v>8781</v>
      </c>
      <c r="M13" s="1764"/>
      <c r="N13" s="1764">
        <v>0</v>
      </c>
      <c r="O13" s="1782"/>
      <c r="P13" s="1764"/>
      <c r="Q13" s="1764">
        <v>174609</v>
      </c>
      <c r="R13" s="1623"/>
      <c r="S13" s="2164"/>
      <c r="T13" s="2165"/>
    </row>
    <row r="14" spans="2:20" x14ac:dyDescent="0.25">
      <c r="B14" s="1623" t="s">
        <v>880</v>
      </c>
      <c r="C14" s="1629">
        <v>10.1</v>
      </c>
      <c r="D14" s="1629">
        <v>850</v>
      </c>
      <c r="E14" s="1630">
        <f t="shared" si="0"/>
        <v>8.5850000000000009</v>
      </c>
      <c r="F14" s="1626">
        <v>0</v>
      </c>
      <c r="G14" s="1627">
        <f t="shared" si="1"/>
        <v>0</v>
      </c>
      <c r="H14" s="1687"/>
      <c r="I14" s="826">
        <v>45635</v>
      </c>
      <c r="J14" s="1764">
        <v>299017</v>
      </c>
      <c r="K14" s="1764">
        <v>305518</v>
      </c>
      <c r="L14" s="1778">
        <f t="shared" si="2"/>
        <v>-6501</v>
      </c>
      <c r="M14" s="1764"/>
      <c r="N14" s="1765">
        <v>44191</v>
      </c>
      <c r="O14" s="1783"/>
      <c r="P14" s="1764">
        <v>174609</v>
      </c>
      <c r="Q14" s="1765">
        <v>38852</v>
      </c>
      <c r="R14" s="1773">
        <f>P14-Q14</f>
        <v>135757</v>
      </c>
      <c r="S14" s="2166">
        <f>R14+O14+L14</f>
        <v>129256</v>
      </c>
      <c r="T14" s="2165"/>
    </row>
    <row r="15" spans="2:20" x14ac:dyDescent="0.25">
      <c r="B15" s="1623" t="s">
        <v>881</v>
      </c>
      <c r="C15" s="1629">
        <v>10.1</v>
      </c>
      <c r="D15" s="1629">
        <v>850</v>
      </c>
      <c r="E15" s="1630">
        <f t="shared" si="0"/>
        <v>8.5850000000000009</v>
      </c>
      <c r="F15" s="1626">
        <v>0</v>
      </c>
      <c r="G15" s="1627">
        <f t="shared" si="1"/>
        <v>0</v>
      </c>
      <c r="H15" s="1687"/>
      <c r="I15" s="826">
        <v>45636</v>
      </c>
      <c r="J15" s="1764">
        <v>305518</v>
      </c>
      <c r="K15" s="1764">
        <v>307138</v>
      </c>
      <c r="L15" s="1778">
        <f>J15-K15</f>
        <v>-1620</v>
      </c>
      <c r="M15" s="1765">
        <v>44191</v>
      </c>
      <c r="N15" s="1764">
        <v>405272</v>
      </c>
      <c r="O15" s="1781">
        <f>M15-N15</f>
        <v>-361081</v>
      </c>
      <c r="P15" s="1765">
        <v>38852</v>
      </c>
      <c r="Q15" s="1765">
        <v>38852</v>
      </c>
      <c r="R15" s="1773">
        <f>P15-Q15</f>
        <v>0</v>
      </c>
      <c r="S15" s="2166">
        <f>R15+O15+L15</f>
        <v>-362701</v>
      </c>
      <c r="T15" s="2165"/>
    </row>
    <row r="16" spans="2:20" x14ac:dyDescent="0.25">
      <c r="B16" s="1623" t="s">
        <v>882</v>
      </c>
      <c r="C16" s="1624">
        <v>72.13</v>
      </c>
      <c r="D16" s="1624">
        <v>850</v>
      </c>
      <c r="E16" s="1625">
        <f t="shared" si="0"/>
        <v>61.31049999999999</v>
      </c>
      <c r="F16" s="1626">
        <v>40.799999999999997</v>
      </c>
      <c r="G16" s="1627">
        <f t="shared" si="1"/>
        <v>25014.68399999999</v>
      </c>
      <c r="H16" s="1687"/>
      <c r="I16" s="826">
        <v>45637</v>
      </c>
      <c r="J16" s="1764">
        <v>307138</v>
      </c>
      <c r="K16" s="1764">
        <v>306411</v>
      </c>
      <c r="L16" s="1776">
        <f t="shared" si="2"/>
        <v>727</v>
      </c>
      <c r="M16" s="1761"/>
      <c r="N16" s="1761"/>
      <c r="O16" s="1779"/>
      <c r="P16" s="1761"/>
      <c r="Q16" s="1761"/>
      <c r="R16" s="1623"/>
      <c r="S16" s="2164"/>
      <c r="T16" s="2165"/>
    </row>
    <row r="17" spans="2:22" x14ac:dyDescent="0.25">
      <c r="B17" s="1623" t="s">
        <v>883</v>
      </c>
      <c r="C17" s="1624">
        <v>4.28</v>
      </c>
      <c r="D17" s="1624">
        <v>860</v>
      </c>
      <c r="E17" s="1625">
        <f t="shared" si="0"/>
        <v>3.6808000000000001</v>
      </c>
      <c r="F17" s="1626">
        <v>50</v>
      </c>
      <c r="G17" s="1627">
        <f t="shared" ref="G17:G23" si="3">(F17*E17/100)*1000</f>
        <v>1840.3999999999999</v>
      </c>
      <c r="H17" s="1687"/>
      <c r="I17" s="826">
        <v>45638</v>
      </c>
      <c r="J17" s="1764">
        <v>306411</v>
      </c>
      <c r="K17" s="1764">
        <v>304056</v>
      </c>
      <c r="L17" s="1778">
        <f t="shared" ref="L17:L29" si="4">J17-K17</f>
        <v>2355</v>
      </c>
      <c r="M17" s="1761"/>
      <c r="N17" s="1761"/>
      <c r="O17" s="1779"/>
      <c r="P17" s="1761"/>
      <c r="Q17" s="1761"/>
      <c r="R17" s="1623"/>
      <c r="S17" s="2164"/>
      <c r="T17" s="2165"/>
    </row>
    <row r="18" spans="2:22" x14ac:dyDescent="0.25">
      <c r="B18" s="1623" t="s">
        <v>884</v>
      </c>
      <c r="C18" s="1624">
        <v>10</v>
      </c>
      <c r="D18" s="1624">
        <v>810</v>
      </c>
      <c r="E18" s="1625">
        <f t="shared" si="0"/>
        <v>8.1</v>
      </c>
      <c r="F18" s="1626">
        <v>100</v>
      </c>
      <c r="G18" s="1627">
        <f t="shared" si="3"/>
        <v>8100</v>
      </c>
      <c r="H18" s="1687"/>
      <c r="I18" s="826">
        <v>45639</v>
      </c>
      <c r="J18" s="1764">
        <v>304056</v>
      </c>
      <c r="K18" s="1764">
        <v>287956</v>
      </c>
      <c r="L18" s="1778">
        <f t="shared" si="4"/>
        <v>16100</v>
      </c>
      <c r="M18" s="1761"/>
      <c r="N18" s="1761"/>
      <c r="O18" s="1779"/>
      <c r="P18" s="1761"/>
      <c r="Q18" s="1761"/>
      <c r="R18" s="1623"/>
      <c r="S18" s="2164"/>
      <c r="T18" s="2165"/>
    </row>
    <row r="19" spans="2:22" x14ac:dyDescent="0.25">
      <c r="B19" s="1623" t="s">
        <v>885</v>
      </c>
      <c r="C19" s="1686">
        <v>21.8</v>
      </c>
      <c r="D19" s="1624">
        <v>800</v>
      </c>
      <c r="E19" s="1625">
        <f t="shared" si="0"/>
        <v>17.440000000000001</v>
      </c>
      <c r="F19" s="1626">
        <v>60</v>
      </c>
      <c r="G19" s="1627">
        <f t="shared" si="3"/>
        <v>10464</v>
      </c>
      <c r="H19" s="1687"/>
      <c r="I19" s="826">
        <v>45640</v>
      </c>
      <c r="J19" s="1764">
        <v>287956</v>
      </c>
      <c r="K19" s="1764">
        <v>270583</v>
      </c>
      <c r="L19" s="1778">
        <f t="shared" si="4"/>
        <v>17373</v>
      </c>
      <c r="M19" s="1761"/>
      <c r="N19" s="1761"/>
      <c r="O19" s="1779"/>
      <c r="P19" s="1761"/>
      <c r="Q19" s="1761"/>
      <c r="R19" s="1623"/>
      <c r="S19" s="2164"/>
      <c r="T19" s="2165"/>
    </row>
    <row r="20" spans="2:22" x14ac:dyDescent="0.25">
      <c r="B20" s="1623" t="s">
        <v>886</v>
      </c>
      <c r="C20" s="1624">
        <v>10</v>
      </c>
      <c r="D20" s="1624">
        <v>810</v>
      </c>
      <c r="E20" s="1625">
        <f t="shared" si="0"/>
        <v>8.1</v>
      </c>
      <c r="F20" s="1626">
        <v>100</v>
      </c>
      <c r="G20" s="1627">
        <f t="shared" si="3"/>
        <v>8100</v>
      </c>
      <c r="H20" s="1687"/>
      <c r="I20" s="826">
        <v>45641</v>
      </c>
      <c r="J20" s="1764">
        <v>270583</v>
      </c>
      <c r="K20" s="1764">
        <v>294127</v>
      </c>
      <c r="L20" s="1778">
        <f t="shared" si="4"/>
        <v>-23544</v>
      </c>
      <c r="M20" s="1761"/>
      <c r="N20" s="1761"/>
      <c r="O20" s="1779"/>
      <c r="P20" s="1761"/>
      <c r="Q20" s="1761"/>
      <c r="R20" s="1623"/>
      <c r="S20" s="2164"/>
      <c r="T20" s="2165"/>
    </row>
    <row r="21" spans="2:22" x14ac:dyDescent="0.25">
      <c r="B21" s="1623" t="s">
        <v>887</v>
      </c>
      <c r="C21" s="1686">
        <v>11.4</v>
      </c>
      <c r="D21" s="1624">
        <v>790</v>
      </c>
      <c r="E21" s="1625">
        <f t="shared" si="0"/>
        <v>9.0060000000000002</v>
      </c>
      <c r="F21" s="1626">
        <v>80</v>
      </c>
      <c r="G21" s="1627">
        <f t="shared" si="3"/>
        <v>7204.8</v>
      </c>
      <c r="H21" s="1687"/>
      <c r="I21" s="826">
        <v>45642</v>
      </c>
      <c r="J21" s="1764">
        <v>294127</v>
      </c>
      <c r="K21" s="1764">
        <v>284931</v>
      </c>
      <c r="L21" s="1778">
        <f t="shared" si="4"/>
        <v>9196</v>
      </c>
      <c r="M21" s="1761"/>
      <c r="N21" s="1761"/>
      <c r="O21" s="1779"/>
      <c r="P21" s="1761"/>
      <c r="Q21" s="1761"/>
      <c r="R21" s="1623"/>
      <c r="S21" s="2164"/>
      <c r="T21" s="2165"/>
    </row>
    <row r="22" spans="2:22" x14ac:dyDescent="0.25">
      <c r="B22" s="1623" t="s">
        <v>888</v>
      </c>
      <c r="C22" s="1624">
        <v>14</v>
      </c>
      <c r="D22" s="1624">
        <v>790</v>
      </c>
      <c r="E22" s="1625">
        <f>C22*D22/1000</f>
        <v>11.06</v>
      </c>
      <c r="F22" s="1626">
        <v>60</v>
      </c>
      <c r="G22" s="1627">
        <f t="shared" si="3"/>
        <v>6636</v>
      </c>
      <c r="H22" s="1631"/>
      <c r="I22" s="826">
        <v>45643</v>
      </c>
      <c r="J22" s="1764">
        <v>284931</v>
      </c>
      <c r="K22" s="1764">
        <v>319970</v>
      </c>
      <c r="L22" s="1778">
        <f t="shared" si="4"/>
        <v>-35039</v>
      </c>
      <c r="M22" s="1761"/>
      <c r="N22" s="1761"/>
      <c r="O22" s="1779"/>
      <c r="P22" s="1761"/>
      <c r="Q22" s="1761"/>
      <c r="R22" s="1623"/>
      <c r="S22" s="2164"/>
      <c r="T22" s="2165"/>
    </row>
    <row r="23" spans="2:22" x14ac:dyDescent="0.25">
      <c r="B23" s="1623" t="s">
        <v>889</v>
      </c>
      <c r="C23" s="1686">
        <v>149.76</v>
      </c>
      <c r="D23" s="1624">
        <v>790</v>
      </c>
      <c r="E23" s="1625">
        <f>C23*D23/1000</f>
        <v>118.31039999999999</v>
      </c>
      <c r="F23" s="1626">
        <v>100</v>
      </c>
      <c r="G23" s="1627">
        <f t="shared" si="3"/>
        <v>118310.39999999999</v>
      </c>
      <c r="H23" s="1632"/>
      <c r="I23" s="826">
        <v>45644</v>
      </c>
      <c r="J23" s="1764">
        <v>319970</v>
      </c>
      <c r="K23" s="1764">
        <v>320396</v>
      </c>
      <c r="L23" s="1778">
        <f t="shared" si="4"/>
        <v>-426</v>
      </c>
      <c r="M23" s="1761"/>
      <c r="N23" s="1761"/>
      <c r="O23" s="1779"/>
      <c r="P23" s="1761"/>
      <c r="Q23" s="1761"/>
      <c r="R23" s="1623"/>
      <c r="S23" s="2164"/>
      <c r="T23" s="2165"/>
    </row>
    <row r="24" spans="2:22" x14ac:dyDescent="0.25">
      <c r="B24" s="1624"/>
      <c r="C24" s="1625">
        <f>SUM(C6:C23)</f>
        <v>490.45999999999992</v>
      </c>
      <c r="D24" s="1624"/>
      <c r="E24" s="1625">
        <f>SUM(E6:E23)</f>
        <v>404.53420000000006</v>
      </c>
      <c r="F24" s="1626"/>
      <c r="G24" s="1633"/>
      <c r="H24" s="1639"/>
      <c r="I24" s="826">
        <v>45645</v>
      </c>
      <c r="J24" s="1764">
        <v>320396</v>
      </c>
      <c r="K24" s="1764">
        <v>315612</v>
      </c>
      <c r="L24" s="1778">
        <f t="shared" si="4"/>
        <v>4784</v>
      </c>
      <c r="M24" s="1761"/>
      <c r="N24" s="1761"/>
      <c r="O24" s="1779"/>
      <c r="P24" s="1761"/>
      <c r="Q24" s="1761"/>
      <c r="R24" s="1623"/>
      <c r="S24" s="2164"/>
      <c r="T24" s="2165"/>
    </row>
    <row r="25" spans="2:22" ht="15.75" x14ac:dyDescent="0.25">
      <c r="E25" s="1632"/>
      <c r="F25" s="1634" t="s">
        <v>890</v>
      </c>
      <c r="G25" s="1641">
        <f>SUM(G6:G24)</f>
        <v>185670.28399999999</v>
      </c>
      <c r="H25" s="1639"/>
      <c r="I25" s="826">
        <v>45646</v>
      </c>
      <c r="J25" s="1764">
        <v>315612</v>
      </c>
      <c r="K25" s="1764">
        <v>293070</v>
      </c>
      <c r="L25" s="1778">
        <f t="shared" si="4"/>
        <v>22542</v>
      </c>
      <c r="M25" s="1761"/>
      <c r="N25" s="1761"/>
      <c r="O25" s="1779"/>
      <c r="P25" s="1761"/>
      <c r="Q25" s="1761"/>
      <c r="R25" s="1623"/>
      <c r="S25" s="2164"/>
      <c r="T25" s="2165"/>
    </row>
    <row r="26" spans="2:22" ht="30" x14ac:dyDescent="0.25">
      <c r="B26" s="1697" t="s">
        <v>939</v>
      </c>
      <c r="C26" s="1620" t="s">
        <v>867</v>
      </c>
      <c r="D26" s="1620" t="s">
        <v>868</v>
      </c>
      <c r="E26" s="1620" t="s">
        <v>869</v>
      </c>
      <c r="F26" s="1699" t="s">
        <v>870</v>
      </c>
      <c r="G26" s="1698" t="s">
        <v>942</v>
      </c>
      <c r="H26" s="1639"/>
      <c r="I26" s="826">
        <v>45647</v>
      </c>
      <c r="J26" s="1990">
        <v>293070</v>
      </c>
      <c r="K26" s="1990">
        <v>283964</v>
      </c>
      <c r="L26" s="1991">
        <f t="shared" si="4"/>
        <v>9106</v>
      </c>
      <c r="M26" s="1761"/>
      <c r="N26" s="1761"/>
      <c r="O26" s="1779"/>
      <c r="P26" s="1761"/>
      <c r="Q26" s="1761"/>
      <c r="R26" s="1623"/>
      <c r="S26" s="2164"/>
      <c r="T26" s="2165"/>
    </row>
    <row r="27" spans="2:22" x14ac:dyDescent="0.25">
      <c r="B27" s="1697" t="s">
        <v>940</v>
      </c>
      <c r="C27" s="1624">
        <v>559</v>
      </c>
      <c r="D27" s="1624">
        <v>880</v>
      </c>
      <c r="E27" s="1625">
        <f>C27*D27/1000</f>
        <v>491.92</v>
      </c>
      <c r="F27" s="1700"/>
      <c r="G27" s="1633">
        <f>F27*E27/100*1000</f>
        <v>0</v>
      </c>
      <c r="H27" s="1639"/>
      <c r="I27" s="826">
        <v>45648</v>
      </c>
      <c r="J27" s="1990">
        <v>283964</v>
      </c>
      <c r="K27" s="1990">
        <v>285490</v>
      </c>
      <c r="L27" s="1991">
        <f t="shared" si="4"/>
        <v>-1526</v>
      </c>
      <c r="M27" s="1761"/>
      <c r="N27" s="1761"/>
      <c r="O27" s="1779"/>
      <c r="P27" s="1761"/>
      <c r="Q27" s="1761"/>
      <c r="R27" s="1623"/>
      <c r="S27" s="2164"/>
      <c r="T27" s="2165"/>
    </row>
    <row r="28" spans="2:22" ht="15.75" x14ac:dyDescent="0.25">
      <c r="B28" s="1697" t="s">
        <v>941</v>
      </c>
      <c r="C28" s="1624">
        <v>559</v>
      </c>
      <c r="D28" s="1624">
        <v>880</v>
      </c>
      <c r="E28" s="1625">
        <f>C28*D28/1000</f>
        <v>491.92</v>
      </c>
      <c r="F28" s="1700"/>
      <c r="G28" s="1698"/>
      <c r="H28" s="1639"/>
      <c r="I28" s="826">
        <v>45649</v>
      </c>
      <c r="J28" s="1990">
        <v>285490</v>
      </c>
      <c r="K28" s="1990">
        <v>303442</v>
      </c>
      <c r="L28" s="1991">
        <f t="shared" si="4"/>
        <v>-17952</v>
      </c>
      <c r="M28" s="1761"/>
      <c r="N28" s="1761"/>
      <c r="O28" s="1779"/>
      <c r="P28" s="1761"/>
      <c r="Q28" s="1761"/>
      <c r="R28" s="1623"/>
      <c r="S28" s="2164"/>
      <c r="T28" s="2165"/>
    </row>
    <row r="29" spans="2:22" ht="15.75" x14ac:dyDescent="0.25">
      <c r="B29" s="1687"/>
      <c r="E29" s="1632"/>
      <c r="F29" s="1639"/>
      <c r="G29" s="1641"/>
      <c r="H29" s="1639"/>
      <c r="I29" s="826">
        <v>45650</v>
      </c>
      <c r="J29" s="1990">
        <v>303442</v>
      </c>
      <c r="K29" s="1990">
        <v>195205</v>
      </c>
      <c r="L29" s="1991">
        <f t="shared" si="4"/>
        <v>108237</v>
      </c>
      <c r="M29" s="1761"/>
      <c r="N29" s="1761"/>
      <c r="O29" s="1779"/>
      <c r="P29" s="1761"/>
      <c r="Q29" s="1761"/>
      <c r="R29" s="1623"/>
      <c r="S29" s="2164"/>
      <c r="T29" s="2165"/>
      <c r="V29" s="1622"/>
    </row>
    <row r="30" spans="2:22" x14ac:dyDescent="0.25">
      <c r="B30" s="1619" t="s">
        <v>891</v>
      </c>
      <c r="H30" s="1632"/>
      <c r="I30" s="826">
        <v>45651</v>
      </c>
      <c r="J30" s="1990">
        <v>195205</v>
      </c>
      <c r="K30" s="1990">
        <v>185670</v>
      </c>
      <c r="L30" s="1991">
        <f>J30-K30</f>
        <v>9535</v>
      </c>
      <c r="M30" s="1761"/>
      <c r="N30" s="1761"/>
      <c r="O30" s="1779"/>
      <c r="P30" s="1761"/>
      <c r="Q30" s="1761"/>
      <c r="R30" s="1623"/>
      <c r="S30" s="2164"/>
      <c r="T30" s="2165"/>
    </row>
    <row r="31" spans="2:22" x14ac:dyDescent="0.25">
      <c r="B31" s="1623" t="s">
        <v>892</v>
      </c>
      <c r="C31" s="1624">
        <f>5.3+0.78</f>
        <v>6.08</v>
      </c>
      <c r="D31" s="1624">
        <v>840</v>
      </c>
      <c r="E31" s="1625">
        <f>C31*D31/1000</f>
        <v>5.1071999999999997</v>
      </c>
      <c r="F31" s="1626">
        <v>0</v>
      </c>
      <c r="G31" s="1636">
        <f>F31*E31/100*1000</f>
        <v>0</v>
      </c>
      <c r="H31" s="1635">
        <v>0</v>
      </c>
      <c r="I31" s="826">
        <v>45652</v>
      </c>
      <c r="J31" s="1990">
        <v>185670</v>
      </c>
      <c r="K31" s="1761">
        <v>0</v>
      </c>
      <c r="L31" s="1776">
        <f>J31-K31</f>
        <v>185670</v>
      </c>
      <c r="M31" s="1761"/>
      <c r="N31" s="1761"/>
      <c r="O31" s="1779"/>
      <c r="P31" s="1761"/>
      <c r="Q31" s="1761"/>
      <c r="R31" s="1623"/>
      <c r="S31" s="2164"/>
      <c r="T31" s="2165"/>
    </row>
    <row r="32" spans="2:22" x14ac:dyDescent="0.25">
      <c r="B32" s="1661"/>
      <c r="C32" s="1661"/>
      <c r="D32" s="1661"/>
      <c r="E32" s="1696"/>
      <c r="F32" s="1696"/>
      <c r="G32" s="1695"/>
      <c r="H32" s="1635"/>
      <c r="I32" s="826">
        <v>45653</v>
      </c>
      <c r="J32" s="2002">
        <f>K31</f>
        <v>0</v>
      </c>
      <c r="K32" s="1761"/>
      <c r="L32" s="2003">
        <f t="shared" ref="L32:L36" si="5">J32-K32</f>
        <v>0</v>
      </c>
      <c r="M32" s="1761"/>
      <c r="N32" s="1761"/>
      <c r="O32" s="1779"/>
      <c r="P32" s="1761"/>
      <c r="Q32" s="1761"/>
      <c r="R32" s="1623"/>
      <c r="S32" s="2164"/>
      <c r="T32" s="2165"/>
    </row>
    <row r="33" spans="2:20" x14ac:dyDescent="0.25">
      <c r="B33" s="1619" t="s">
        <v>893</v>
      </c>
      <c r="F33" s="1696"/>
      <c r="G33" s="1695"/>
      <c r="H33" s="1635"/>
      <c r="I33" s="826">
        <v>45654</v>
      </c>
      <c r="J33" s="2002">
        <f>K32</f>
        <v>0</v>
      </c>
      <c r="K33" s="1761"/>
      <c r="L33" s="2003">
        <f t="shared" si="5"/>
        <v>0</v>
      </c>
      <c r="M33" s="1761"/>
      <c r="N33" s="1761"/>
      <c r="O33" s="1779"/>
      <c r="P33" s="1761"/>
      <c r="Q33" s="1761"/>
      <c r="R33" s="1623"/>
      <c r="S33" s="2164"/>
      <c r="T33" s="2165"/>
    </row>
    <row r="34" spans="2:20" x14ac:dyDescent="0.25">
      <c r="B34" s="1624"/>
      <c r="C34" s="1637" t="s">
        <v>894</v>
      </c>
      <c r="D34" s="1637" t="s">
        <v>895</v>
      </c>
      <c r="E34" s="1624" t="s">
        <v>801</v>
      </c>
      <c r="F34" s="1696"/>
      <c r="G34" s="1695"/>
      <c r="H34" s="1635"/>
      <c r="I34" s="826">
        <v>45655</v>
      </c>
      <c r="J34" s="2002">
        <f>K33</f>
        <v>0</v>
      </c>
      <c r="K34" s="1761"/>
      <c r="L34" s="2003">
        <f t="shared" si="5"/>
        <v>0</v>
      </c>
      <c r="M34" s="1761"/>
      <c r="N34" s="1761"/>
      <c r="O34" s="1779"/>
      <c r="P34" s="1761"/>
      <c r="Q34" s="1761"/>
      <c r="R34" s="1623"/>
      <c r="S34" s="2164"/>
      <c r="T34" s="2165"/>
    </row>
    <row r="35" spans="2:20" x14ac:dyDescent="0.25">
      <c r="B35" s="1624" t="s">
        <v>896</v>
      </c>
      <c r="C35" s="1638"/>
      <c r="D35" s="1638"/>
      <c r="E35" s="1638"/>
      <c r="F35" s="1661"/>
      <c r="I35" s="826">
        <v>45656</v>
      </c>
      <c r="J35" s="2002">
        <f>K34</f>
        <v>0</v>
      </c>
      <c r="K35" s="1761"/>
      <c r="L35" s="2003">
        <f t="shared" si="5"/>
        <v>0</v>
      </c>
      <c r="M35" s="1761"/>
      <c r="N35" s="1761"/>
      <c r="O35" s="1779"/>
      <c r="P35" s="1761"/>
      <c r="Q35" s="1761"/>
      <c r="R35" s="1623"/>
      <c r="S35" s="2164"/>
      <c r="T35" s="2165"/>
    </row>
    <row r="36" spans="2:20" x14ac:dyDescent="0.25">
      <c r="B36" s="1697" t="s">
        <v>990</v>
      </c>
      <c r="C36" s="1638"/>
      <c r="D36" s="1638"/>
      <c r="E36" s="1638"/>
      <c r="F36" s="1661"/>
      <c r="I36" s="1924">
        <v>45657</v>
      </c>
      <c r="J36" s="2002">
        <f t="shared" ref="J36" si="6">K35</f>
        <v>0</v>
      </c>
      <c r="K36" s="1761"/>
      <c r="L36" s="2003">
        <f t="shared" si="5"/>
        <v>0</v>
      </c>
      <c r="M36" s="1809"/>
      <c r="N36" s="1809"/>
      <c r="O36" s="1810"/>
      <c r="P36" s="1809"/>
      <c r="Q36" s="1809"/>
      <c r="R36" s="1811"/>
      <c r="S36" s="1808"/>
      <c r="T36" s="1808"/>
    </row>
    <row r="37" spans="2:20" x14ac:dyDescent="0.25">
      <c r="B37" s="1697" t="s">
        <v>991</v>
      </c>
      <c r="C37" s="1638"/>
      <c r="D37" s="1638"/>
      <c r="E37" s="1638"/>
      <c r="F37" s="1661"/>
      <c r="I37" s="1701"/>
      <c r="J37" s="1925"/>
      <c r="K37" s="1925"/>
      <c r="M37" s="1809"/>
      <c r="N37" s="1809"/>
      <c r="O37" s="1810"/>
      <c r="P37" s="1809"/>
      <c r="Q37" s="1809"/>
      <c r="R37" s="1811"/>
      <c r="S37" s="1808"/>
      <c r="T37" s="1808"/>
    </row>
    <row r="38" spans="2:20" x14ac:dyDescent="0.25">
      <c r="B38" s="1624" t="s">
        <v>897</v>
      </c>
      <c r="C38" s="1638"/>
      <c r="D38" s="1638"/>
      <c r="E38" s="1638"/>
      <c r="I38" s="1702"/>
    </row>
    <row r="39" spans="2:20" x14ac:dyDescent="0.25">
      <c r="B39" s="1624" t="s">
        <v>601</v>
      </c>
      <c r="C39" s="1624"/>
      <c r="D39" s="1624"/>
      <c r="E39" s="1624"/>
      <c r="I39" s="1702"/>
    </row>
    <row r="40" spans="2:20" x14ac:dyDescent="0.25">
      <c r="B40" s="1624" t="s">
        <v>898</v>
      </c>
      <c r="C40" s="1624"/>
      <c r="D40" s="1624"/>
      <c r="E40" s="1624"/>
      <c r="I40" s="1702"/>
    </row>
    <row r="41" spans="2:20" x14ac:dyDescent="0.25">
      <c r="B41" s="1624"/>
      <c r="C41" s="1638"/>
      <c r="D41" s="1638"/>
      <c r="E41" s="1638"/>
      <c r="I41" s="1702"/>
    </row>
    <row r="42" spans="2:20" x14ac:dyDescent="0.25">
      <c r="B42" s="1624"/>
      <c r="C42" s="1624"/>
      <c r="D42" s="1624"/>
      <c r="E42" s="1624"/>
      <c r="I42" s="1702"/>
    </row>
    <row r="43" spans="2:20" x14ac:dyDescent="0.25">
      <c r="B43" s="1624"/>
      <c r="C43" s="1624"/>
      <c r="D43" s="1624"/>
      <c r="E43" s="1624"/>
      <c r="I43" s="1702"/>
    </row>
    <row r="44" spans="2:20" x14ac:dyDescent="0.25">
      <c r="I44" s="1702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topLeftCell="A13" zoomScale="80" zoomScaleNormal="80" workbookViewId="0">
      <selection activeCell="Z21" sqref="Z21"/>
    </sheetView>
  </sheetViews>
  <sheetFormatPr defaultColWidth="12.5703125" defaultRowHeight="15" x14ac:dyDescent="0.25"/>
  <cols>
    <col min="1" max="1" width="12.5703125" style="1619"/>
    <col min="2" max="2" width="16.7109375" style="1619" customWidth="1"/>
    <col min="3" max="3" width="16.42578125" style="1619" customWidth="1"/>
    <col min="4" max="5" width="12.5703125" style="1619"/>
    <col min="6" max="6" width="14.42578125" style="1619" customWidth="1"/>
    <col min="7" max="7" width="15.28515625" style="1619" customWidth="1"/>
    <col min="8" max="8" width="15.28515625" style="1619" bestFit="1" customWidth="1"/>
    <col min="9" max="9" width="26" style="1619" customWidth="1"/>
    <col min="10" max="10" width="18.85546875" style="1619" bestFit="1" customWidth="1"/>
    <col min="11" max="11" width="9.42578125" style="1619" customWidth="1"/>
    <col min="12" max="12" width="9.7109375" style="1619" customWidth="1"/>
    <col min="13" max="13" width="11.5703125" style="1619" hidden="1" customWidth="1"/>
    <col min="14" max="14" width="10.5703125" style="1619" customWidth="1"/>
    <col min="15" max="15" width="8.5703125" style="1619" customWidth="1"/>
    <col min="16" max="16" width="11" style="1619" hidden="1" customWidth="1"/>
    <col min="17" max="17" width="9.28515625" style="1619" customWidth="1"/>
    <col min="18" max="18" width="8.42578125" style="1619" customWidth="1"/>
    <col min="19" max="19" width="9.28515625" style="1619" hidden="1" customWidth="1"/>
    <col min="20" max="21" width="9.28515625" style="1619" customWidth="1"/>
    <col min="22" max="22" width="9.7109375" style="1619" customWidth="1"/>
    <col min="23" max="23" width="10" style="1619" customWidth="1"/>
    <col min="24" max="16384" width="12.5703125" style="1619"/>
  </cols>
  <sheetData>
    <row r="1" spans="1:23" ht="15" customHeight="1" x14ac:dyDescent="0.25">
      <c r="F1" s="2175"/>
      <c r="G1" s="2175"/>
      <c r="H1" s="2175"/>
    </row>
    <row r="2" spans="1:23" ht="15" customHeight="1" x14ac:dyDescent="0.25">
      <c r="F2" s="2175"/>
      <c r="G2" s="2175"/>
      <c r="H2" s="2175"/>
    </row>
    <row r="4" spans="1:23" ht="15.75" x14ac:dyDescent="0.25">
      <c r="B4" s="1619" t="s">
        <v>900</v>
      </c>
      <c r="J4" s="2176" t="s">
        <v>984</v>
      </c>
      <c r="K4" s="2177"/>
      <c r="L4" s="2177"/>
      <c r="M4" s="2177"/>
      <c r="N4" s="2177"/>
      <c r="O4" s="2177"/>
      <c r="P4" s="2177"/>
      <c r="Q4" s="2177"/>
      <c r="R4" s="2177"/>
      <c r="S4" s="2178"/>
      <c r="T4" s="2179" t="s">
        <v>985</v>
      </c>
      <c r="U4" s="2180"/>
      <c r="V4" s="2180"/>
      <c r="W4" s="2180"/>
    </row>
    <row r="5" spans="1:23" ht="15.75" x14ac:dyDescent="0.25">
      <c r="B5" s="1619" t="s">
        <v>901</v>
      </c>
      <c r="J5" s="2168" t="s">
        <v>983</v>
      </c>
      <c r="K5" s="2169"/>
      <c r="L5" s="2169"/>
      <c r="M5" s="2170"/>
      <c r="N5" s="2171" t="s">
        <v>970</v>
      </c>
      <c r="O5" s="2172"/>
      <c r="P5" s="2173"/>
      <c r="Q5" s="2174" t="s">
        <v>73</v>
      </c>
      <c r="R5" s="2174"/>
      <c r="S5" s="2174"/>
      <c r="T5" s="2157" t="s">
        <v>974</v>
      </c>
      <c r="U5" s="2158"/>
      <c r="V5" s="2157" t="s">
        <v>975</v>
      </c>
      <c r="W5" s="2158"/>
    </row>
    <row r="6" spans="1:23" ht="42.75" x14ac:dyDescent="0.25">
      <c r="A6" s="1643" t="s">
        <v>902</v>
      </c>
      <c r="B6" s="1644" t="s">
        <v>866</v>
      </c>
      <c r="C6" s="1643" t="s">
        <v>867</v>
      </c>
      <c r="D6" s="1643" t="s">
        <v>868</v>
      </c>
      <c r="E6" s="1644" t="s">
        <v>869</v>
      </c>
      <c r="F6" s="1643" t="s">
        <v>903</v>
      </c>
      <c r="G6" s="1645" t="s">
        <v>904</v>
      </c>
      <c r="H6" s="1644" t="s">
        <v>14</v>
      </c>
      <c r="J6" s="1767" t="s">
        <v>169</v>
      </c>
      <c r="K6" s="1768" t="s">
        <v>170</v>
      </c>
      <c r="L6" s="1768" t="s">
        <v>171</v>
      </c>
      <c r="M6" s="1768" t="s">
        <v>973</v>
      </c>
      <c r="N6" s="1769" t="s">
        <v>170</v>
      </c>
      <c r="O6" s="1769" t="s">
        <v>171</v>
      </c>
      <c r="P6" s="1769" t="s">
        <v>973</v>
      </c>
      <c r="Q6" s="1770" t="s">
        <v>170</v>
      </c>
      <c r="R6" s="1770" t="s">
        <v>171</v>
      </c>
      <c r="S6" s="1786" t="s">
        <v>973</v>
      </c>
      <c r="T6" s="316" t="s">
        <v>170</v>
      </c>
      <c r="U6" s="316" t="s">
        <v>972</v>
      </c>
      <c r="V6" s="316" t="s">
        <v>170</v>
      </c>
      <c r="W6" s="316" t="s">
        <v>972</v>
      </c>
    </row>
    <row r="7" spans="1:23" x14ac:dyDescent="0.25">
      <c r="A7" s="1646"/>
      <c r="B7" s="1623" t="s">
        <v>905</v>
      </c>
      <c r="C7" s="1625">
        <v>70.510000000000005</v>
      </c>
      <c r="D7" s="1647">
        <v>890</v>
      </c>
      <c r="E7" s="1625">
        <f>C7*D7/1000</f>
        <v>62.753900000000002</v>
      </c>
      <c r="F7" s="1648">
        <f>E7/100</f>
        <v>0.62753900000000007</v>
      </c>
      <c r="G7" s="1649">
        <v>0</v>
      </c>
      <c r="H7" s="1650">
        <f>F7*G7*1000</f>
        <v>0</v>
      </c>
      <c r="I7" s="1619" t="s">
        <v>216</v>
      </c>
      <c r="J7" s="826">
        <v>45627</v>
      </c>
      <c r="K7" s="1624"/>
      <c r="L7" s="1624"/>
      <c r="M7" s="1774"/>
      <c r="N7" s="1624"/>
      <c r="O7" s="1624"/>
      <c r="P7" s="1623"/>
      <c r="Q7" s="1624"/>
      <c r="R7" s="1624"/>
      <c r="S7" s="1771"/>
      <c r="T7" s="1761"/>
      <c r="U7" s="1761"/>
      <c r="V7" s="1761"/>
      <c r="W7" s="1761"/>
    </row>
    <row r="8" spans="1:23" x14ac:dyDescent="0.25">
      <c r="A8" s="1646"/>
      <c r="B8" s="1623" t="s">
        <v>906</v>
      </c>
      <c r="C8" s="1625">
        <v>70.510000000000005</v>
      </c>
      <c r="D8" s="1647">
        <v>890</v>
      </c>
      <c r="E8" s="1625">
        <f>C8*D8/1000</f>
        <v>62.753900000000002</v>
      </c>
      <c r="F8" s="1648">
        <f t="shared" ref="F8:F21" si="0">E8/100</f>
        <v>0.62753900000000007</v>
      </c>
      <c r="G8" s="1649">
        <v>0</v>
      </c>
      <c r="H8" s="1650">
        <f t="shared" ref="H8:H21" si="1">F8*G8*1000</f>
        <v>0</v>
      </c>
      <c r="I8" s="1651"/>
      <c r="J8" s="826">
        <v>45628</v>
      </c>
      <c r="K8" s="1624"/>
      <c r="L8" s="1624"/>
      <c r="M8" s="1774"/>
      <c r="N8" s="1624"/>
      <c r="O8" s="1624"/>
      <c r="P8" s="1623"/>
      <c r="Q8" s="1624"/>
      <c r="R8" s="1624"/>
      <c r="S8" s="1771"/>
      <c r="T8" s="1761"/>
      <c r="U8" s="1761"/>
      <c r="V8" s="1761"/>
      <c r="W8" s="1761"/>
    </row>
    <row r="9" spans="1:23" x14ac:dyDescent="0.25">
      <c r="A9" s="1646"/>
      <c r="B9" s="1623" t="s">
        <v>907</v>
      </c>
      <c r="C9" s="1625">
        <v>70.510000000000005</v>
      </c>
      <c r="D9" s="1647">
        <v>890</v>
      </c>
      <c r="E9" s="1625">
        <f t="shared" ref="E9:E21" si="2">C9*D9/1000</f>
        <v>62.753900000000002</v>
      </c>
      <c r="F9" s="1648">
        <f t="shared" si="0"/>
        <v>0.62753900000000007</v>
      </c>
      <c r="G9" s="1649">
        <v>0</v>
      </c>
      <c r="H9" s="1650">
        <f t="shared" si="1"/>
        <v>0</v>
      </c>
      <c r="J9" s="826">
        <v>45629</v>
      </c>
      <c r="K9" s="1624"/>
      <c r="L9" s="1624"/>
      <c r="M9" s="1774"/>
      <c r="N9" s="1624"/>
      <c r="O9" s="1624"/>
      <c r="P9" s="1623"/>
      <c r="Q9" s="1624"/>
      <c r="R9" s="1624"/>
      <c r="S9" s="1771"/>
      <c r="T9" s="1761"/>
      <c r="U9" s="1761"/>
      <c r="V9" s="1761"/>
      <c r="W9" s="1761"/>
    </row>
    <row r="10" spans="1:23" x14ac:dyDescent="0.25">
      <c r="A10" s="1646"/>
      <c r="B10" s="1623" t="s">
        <v>908</v>
      </c>
      <c r="C10" s="1625">
        <v>70.510000000000005</v>
      </c>
      <c r="D10" s="1647">
        <v>890</v>
      </c>
      <c r="E10" s="1625">
        <f t="shared" si="2"/>
        <v>62.753900000000002</v>
      </c>
      <c r="F10" s="1648">
        <f t="shared" si="0"/>
        <v>0.62753900000000007</v>
      </c>
      <c r="G10" s="1649">
        <v>0</v>
      </c>
      <c r="H10" s="1650">
        <f t="shared" si="1"/>
        <v>0</v>
      </c>
      <c r="J10" s="826">
        <v>45630</v>
      </c>
      <c r="K10" s="1624"/>
      <c r="L10" s="1624"/>
      <c r="M10" s="1774"/>
      <c r="N10" s="1624"/>
      <c r="O10" s="1624"/>
      <c r="P10" s="1623"/>
      <c r="Q10" s="1624"/>
      <c r="R10" s="1624"/>
      <c r="S10" s="1771"/>
      <c r="T10" s="1762"/>
      <c r="U10" s="1762"/>
      <c r="V10" s="1762"/>
      <c r="W10" s="1761"/>
    </row>
    <row r="11" spans="1:23" x14ac:dyDescent="0.25">
      <c r="A11" s="1646"/>
      <c r="B11" s="1623" t="s">
        <v>909</v>
      </c>
      <c r="C11" s="1625">
        <v>70.510000000000005</v>
      </c>
      <c r="D11" s="1647">
        <v>890</v>
      </c>
      <c r="E11" s="1625">
        <f t="shared" si="2"/>
        <v>62.753900000000002</v>
      </c>
      <c r="F11" s="1648">
        <f t="shared" si="0"/>
        <v>0.62753900000000007</v>
      </c>
      <c r="G11" s="1649">
        <v>0</v>
      </c>
      <c r="H11" s="1650">
        <f t="shared" si="1"/>
        <v>0</v>
      </c>
      <c r="J11" s="826">
        <v>45631</v>
      </c>
      <c r="K11" s="1624"/>
      <c r="L11" s="1624"/>
      <c r="M11" s="1774"/>
      <c r="N11" s="1624"/>
      <c r="O11" s="1624"/>
      <c r="P11" s="1623"/>
      <c r="Q11" s="1624"/>
      <c r="R11" s="1624"/>
      <c r="S11" s="1771"/>
      <c r="T11" s="1761"/>
      <c r="U11" s="1761"/>
      <c r="V11" s="1761"/>
      <c r="W11" s="1761"/>
    </row>
    <row r="12" spans="1:23" x14ac:dyDescent="0.25">
      <c r="A12" s="1646"/>
      <c r="B12" s="1623" t="s">
        <v>910</v>
      </c>
      <c r="C12" s="1625">
        <v>70.510000000000005</v>
      </c>
      <c r="D12" s="1647">
        <v>890</v>
      </c>
      <c r="E12" s="1625">
        <f t="shared" si="2"/>
        <v>62.753900000000002</v>
      </c>
      <c r="F12" s="1648">
        <f t="shared" si="0"/>
        <v>0.62753900000000007</v>
      </c>
      <c r="G12" s="1649">
        <v>100</v>
      </c>
      <c r="H12" s="1650">
        <f>F12*G12*1000</f>
        <v>62753.900000000009</v>
      </c>
      <c r="J12" s="826">
        <v>45632</v>
      </c>
      <c r="K12" s="1624"/>
      <c r="L12" s="1624"/>
      <c r="M12" s="1774"/>
      <c r="N12" s="1624"/>
      <c r="O12" s="1624"/>
      <c r="P12" s="1623"/>
      <c r="Q12" s="1624"/>
      <c r="R12" s="1624"/>
      <c r="S12" s="1771"/>
      <c r="T12" s="1763"/>
      <c r="U12" s="1763"/>
      <c r="V12" s="1763"/>
      <c r="W12" s="1761"/>
    </row>
    <row r="13" spans="1:23" x14ac:dyDescent="0.25">
      <c r="A13" s="1646"/>
      <c r="B13" s="1623" t="s">
        <v>911</v>
      </c>
      <c r="C13" s="1625">
        <v>70.510000000000005</v>
      </c>
      <c r="D13" s="1647">
        <v>890</v>
      </c>
      <c r="E13" s="1625">
        <f t="shared" si="2"/>
        <v>62.753900000000002</v>
      </c>
      <c r="F13" s="1648">
        <f t="shared" si="0"/>
        <v>0.62753900000000007</v>
      </c>
      <c r="G13" s="1649">
        <v>100</v>
      </c>
      <c r="H13" s="1650">
        <f t="shared" si="1"/>
        <v>62753.900000000009</v>
      </c>
      <c r="I13" s="1652"/>
      <c r="J13" s="826">
        <v>45633</v>
      </c>
      <c r="K13" s="1624"/>
      <c r="L13" s="1624"/>
      <c r="M13" s="1774"/>
      <c r="N13" s="1624"/>
      <c r="O13" s="1624"/>
      <c r="P13" s="1623"/>
      <c r="Q13" s="1624"/>
      <c r="R13" s="1624"/>
      <c r="S13" s="1771"/>
      <c r="T13" s="1764"/>
      <c r="U13" s="1764"/>
      <c r="V13" s="1764"/>
      <c r="W13" s="1761"/>
    </row>
    <row r="14" spans="1:23" x14ac:dyDescent="0.25">
      <c r="A14" s="1646"/>
      <c r="B14" s="1623" t="s">
        <v>912</v>
      </c>
      <c r="C14" s="1625">
        <v>70.510000000000005</v>
      </c>
      <c r="D14" s="1647">
        <v>890</v>
      </c>
      <c r="E14" s="1625">
        <f t="shared" si="2"/>
        <v>62.753900000000002</v>
      </c>
      <c r="F14" s="1648">
        <f t="shared" si="0"/>
        <v>0.62753900000000007</v>
      </c>
      <c r="G14" s="1649">
        <v>100</v>
      </c>
      <c r="H14" s="1650">
        <f t="shared" si="1"/>
        <v>62753.900000000009</v>
      </c>
      <c r="J14" s="826">
        <v>45634</v>
      </c>
      <c r="K14" s="1624"/>
      <c r="L14" s="1688">
        <v>281577</v>
      </c>
      <c r="M14" s="1775">
        <f t="shared" ref="M14:M20" si="3">K14-L14</f>
        <v>-281577</v>
      </c>
      <c r="N14" s="1624"/>
      <c r="O14" s="1688"/>
      <c r="P14" s="1773"/>
      <c r="Q14" s="1624"/>
      <c r="R14" s="1624"/>
      <c r="S14" s="1771"/>
      <c r="T14" s="1764"/>
      <c r="U14" s="1764">
        <v>0</v>
      </c>
      <c r="V14" s="1764"/>
      <c r="W14" s="1764">
        <v>174609</v>
      </c>
    </row>
    <row r="15" spans="1:23" ht="14.65" customHeight="1" x14ac:dyDescent="0.25">
      <c r="A15" s="1646"/>
      <c r="B15" s="1623" t="s">
        <v>913</v>
      </c>
      <c r="C15" s="1625">
        <v>70.510000000000005</v>
      </c>
      <c r="D15" s="1647">
        <v>890</v>
      </c>
      <c r="E15" s="1625">
        <f t="shared" si="2"/>
        <v>62.753900000000002</v>
      </c>
      <c r="F15" s="1648">
        <f t="shared" si="0"/>
        <v>0.62753900000000007</v>
      </c>
      <c r="G15" s="1649">
        <v>0</v>
      </c>
      <c r="H15" s="1650">
        <f t="shared" si="1"/>
        <v>0</v>
      </c>
      <c r="J15" s="826">
        <v>45635</v>
      </c>
      <c r="K15" s="1688">
        <v>281577</v>
      </c>
      <c r="L15" s="1688">
        <v>777326</v>
      </c>
      <c r="M15" s="1775">
        <f t="shared" si="3"/>
        <v>-495749</v>
      </c>
      <c r="N15" s="1688"/>
      <c r="O15" s="1688">
        <v>52378</v>
      </c>
      <c r="P15" s="1773"/>
      <c r="Q15" s="1624"/>
      <c r="R15" s="1688">
        <v>14279</v>
      </c>
      <c r="S15" s="1771"/>
      <c r="T15" s="1764"/>
      <c r="U15" s="1765">
        <v>44191</v>
      </c>
      <c r="V15" s="1764">
        <v>174609</v>
      </c>
      <c r="W15" s="1765">
        <v>38852</v>
      </c>
    </row>
    <row r="16" spans="1:23" ht="14.65" customHeight="1" x14ac:dyDescent="0.25">
      <c r="A16" s="1646"/>
      <c r="B16" s="1623" t="s">
        <v>914</v>
      </c>
      <c r="C16" s="1625">
        <v>70.510000000000005</v>
      </c>
      <c r="D16" s="1647">
        <v>890</v>
      </c>
      <c r="E16" s="1625">
        <f t="shared" si="2"/>
        <v>62.753900000000002</v>
      </c>
      <c r="F16" s="1648">
        <f t="shared" si="0"/>
        <v>0.62753900000000007</v>
      </c>
      <c r="G16" s="1649">
        <v>0</v>
      </c>
      <c r="H16" s="1650">
        <f t="shared" si="1"/>
        <v>0</v>
      </c>
      <c r="I16" s="1622"/>
      <c r="J16" s="826">
        <v>45636</v>
      </c>
      <c r="K16" s="1688">
        <v>777326</v>
      </c>
      <c r="L16" s="1688">
        <v>450259</v>
      </c>
      <c r="M16" s="1775">
        <f t="shared" si="3"/>
        <v>327067</v>
      </c>
      <c r="N16" s="1688">
        <v>52378</v>
      </c>
      <c r="O16" s="1688">
        <v>95638</v>
      </c>
      <c r="P16" s="1773">
        <f t="shared" ref="P16:P20" si="4">N16-O16</f>
        <v>-43260</v>
      </c>
      <c r="Q16" s="1688">
        <v>14279</v>
      </c>
      <c r="R16" s="1688">
        <v>8567</v>
      </c>
      <c r="S16" s="1772">
        <f t="shared" ref="S16:S22" si="5">Q16-R16</f>
        <v>5712</v>
      </c>
      <c r="T16" s="1765">
        <v>44191</v>
      </c>
      <c r="U16" s="1764">
        <v>405272</v>
      </c>
      <c r="V16" s="1765">
        <v>38852</v>
      </c>
      <c r="W16" s="1765">
        <v>38852</v>
      </c>
    </row>
    <row r="17" spans="1:23" x14ac:dyDescent="0.25">
      <c r="A17" s="1646"/>
      <c r="B17" s="1623" t="s">
        <v>915</v>
      </c>
      <c r="C17" s="1625">
        <v>70.510000000000005</v>
      </c>
      <c r="D17" s="1647">
        <v>890</v>
      </c>
      <c r="E17" s="1625">
        <f t="shared" si="2"/>
        <v>62.753900000000002</v>
      </c>
      <c r="F17" s="1648">
        <f t="shared" si="0"/>
        <v>0.62753900000000007</v>
      </c>
      <c r="G17" s="1649">
        <v>0</v>
      </c>
      <c r="H17" s="1650">
        <f t="shared" si="1"/>
        <v>0</v>
      </c>
      <c r="J17" s="826">
        <v>45637</v>
      </c>
      <c r="K17" s="1688">
        <v>450259</v>
      </c>
      <c r="L17" s="1688">
        <v>833623</v>
      </c>
      <c r="M17" s="1775">
        <f t="shared" si="3"/>
        <v>-383364</v>
      </c>
      <c r="N17" s="1688">
        <v>95638</v>
      </c>
      <c r="O17" s="1688">
        <v>50626</v>
      </c>
      <c r="P17" s="1773">
        <f t="shared" si="4"/>
        <v>45012</v>
      </c>
      <c r="Q17" s="1688">
        <v>8567</v>
      </c>
      <c r="R17" s="1688">
        <v>22846</v>
      </c>
      <c r="S17" s="1772">
        <f t="shared" si="5"/>
        <v>-14279</v>
      </c>
      <c r="T17" s="1764">
        <v>405272</v>
      </c>
      <c r="U17" s="1764">
        <v>312272</v>
      </c>
      <c r="V17" s="1765">
        <v>38852</v>
      </c>
      <c r="W17" s="1764">
        <v>312272</v>
      </c>
    </row>
    <row r="18" spans="1:23" x14ac:dyDescent="0.25">
      <c r="A18" s="1646"/>
      <c r="B18" s="1623" t="s">
        <v>916</v>
      </c>
      <c r="C18" s="1625">
        <v>70.510000000000005</v>
      </c>
      <c r="D18" s="1647">
        <v>890</v>
      </c>
      <c r="E18" s="1625">
        <f t="shared" si="2"/>
        <v>62.753900000000002</v>
      </c>
      <c r="F18" s="1648">
        <f t="shared" si="0"/>
        <v>0.62753900000000007</v>
      </c>
      <c r="G18" s="1649">
        <v>0</v>
      </c>
      <c r="H18" s="1650">
        <f t="shared" si="1"/>
        <v>0</v>
      </c>
      <c r="I18" s="1622"/>
      <c r="J18" s="826">
        <v>45638</v>
      </c>
      <c r="K18" s="1688">
        <v>833623</v>
      </c>
      <c r="L18" s="1688">
        <v>853328</v>
      </c>
      <c r="M18" s="1775">
        <f t="shared" si="3"/>
        <v>-19705</v>
      </c>
      <c r="N18" s="1688">
        <v>50626</v>
      </c>
      <c r="O18" s="1688">
        <v>29049</v>
      </c>
      <c r="P18" s="1773">
        <f t="shared" si="4"/>
        <v>21577</v>
      </c>
      <c r="Q18" s="1688">
        <v>22846</v>
      </c>
      <c r="R18" s="1688">
        <v>14279</v>
      </c>
      <c r="S18" s="1772">
        <f t="shared" si="5"/>
        <v>8567</v>
      </c>
      <c r="T18" s="1764">
        <v>312272</v>
      </c>
      <c r="U18" s="1764">
        <v>447800</v>
      </c>
      <c r="V18" s="1764">
        <v>312272</v>
      </c>
      <c r="W18" s="1764">
        <v>347595</v>
      </c>
    </row>
    <row r="19" spans="1:23" x14ac:dyDescent="0.25">
      <c r="A19" s="1646"/>
      <c r="B19" s="1623" t="s">
        <v>917</v>
      </c>
      <c r="C19" s="1625">
        <v>70.510000000000005</v>
      </c>
      <c r="D19" s="1647">
        <v>890</v>
      </c>
      <c r="E19" s="1625">
        <f t="shared" si="2"/>
        <v>62.753900000000002</v>
      </c>
      <c r="F19" s="1648">
        <f t="shared" si="0"/>
        <v>0.62753900000000007</v>
      </c>
      <c r="G19" s="1649">
        <v>0</v>
      </c>
      <c r="H19" s="1650">
        <f t="shared" si="1"/>
        <v>0</v>
      </c>
      <c r="J19" s="826">
        <v>45639</v>
      </c>
      <c r="K19" s="1688">
        <v>853328</v>
      </c>
      <c r="L19" s="1688">
        <v>699831</v>
      </c>
      <c r="M19" s="1775">
        <f t="shared" si="3"/>
        <v>153497</v>
      </c>
      <c r="N19" s="1688">
        <v>29049</v>
      </c>
      <c r="O19" s="1688">
        <v>65200</v>
      </c>
      <c r="P19" s="1773">
        <f t="shared" si="4"/>
        <v>-36151</v>
      </c>
      <c r="Q19" s="1688">
        <v>14279</v>
      </c>
      <c r="R19" s="1688">
        <v>19990</v>
      </c>
      <c r="S19" s="1772">
        <f t="shared" si="5"/>
        <v>-5711</v>
      </c>
      <c r="T19" s="1764">
        <v>447800</v>
      </c>
      <c r="U19" s="1764">
        <v>160000</v>
      </c>
      <c r="V19" s="1764">
        <v>347595</v>
      </c>
      <c r="W19" s="1764">
        <v>112000</v>
      </c>
    </row>
    <row r="20" spans="1:23" x14ac:dyDescent="0.25">
      <c r="A20" s="1646"/>
      <c r="B20" s="1623" t="s">
        <v>918</v>
      </c>
      <c r="C20" s="1625">
        <v>70.510000000000005</v>
      </c>
      <c r="D20" s="1647">
        <v>890</v>
      </c>
      <c r="E20" s="1625">
        <f t="shared" si="2"/>
        <v>62.753900000000002</v>
      </c>
      <c r="F20" s="1648">
        <f t="shared" si="0"/>
        <v>0.62753900000000007</v>
      </c>
      <c r="G20" s="1649">
        <v>0</v>
      </c>
      <c r="H20" s="1650">
        <f t="shared" si="1"/>
        <v>0</v>
      </c>
      <c r="J20" s="826">
        <v>45640</v>
      </c>
      <c r="K20" s="1688">
        <v>699831</v>
      </c>
      <c r="L20" s="1688">
        <v>870648</v>
      </c>
      <c r="M20" s="1774">
        <f t="shared" si="3"/>
        <v>-170817</v>
      </c>
      <c r="N20" s="1688">
        <v>65200</v>
      </c>
      <c r="O20" s="1688">
        <v>47784</v>
      </c>
      <c r="P20" s="1773">
        <f t="shared" si="4"/>
        <v>17416</v>
      </c>
      <c r="Q20" s="1688">
        <v>19990</v>
      </c>
      <c r="R20" s="1688">
        <v>25702</v>
      </c>
      <c r="S20" s="1772">
        <f t="shared" si="5"/>
        <v>-5712</v>
      </c>
      <c r="T20" s="1764">
        <v>160000</v>
      </c>
      <c r="U20" s="1764">
        <v>156000</v>
      </c>
      <c r="V20" s="1764">
        <v>112000</v>
      </c>
      <c r="W20" s="1764">
        <v>85000</v>
      </c>
    </row>
    <row r="21" spans="1:23" x14ac:dyDescent="0.25">
      <c r="A21" s="1646"/>
      <c r="B21" s="1623" t="s">
        <v>919</v>
      </c>
      <c r="C21" s="1625">
        <v>70.510000000000005</v>
      </c>
      <c r="D21" s="1647">
        <v>890</v>
      </c>
      <c r="E21" s="1625">
        <f t="shared" si="2"/>
        <v>62.753900000000002</v>
      </c>
      <c r="F21" s="1648">
        <f t="shared" si="0"/>
        <v>0.62753900000000007</v>
      </c>
      <c r="G21" s="1649">
        <v>0</v>
      </c>
      <c r="H21" s="1650">
        <f t="shared" si="1"/>
        <v>0</v>
      </c>
      <c r="J21" s="826">
        <v>45641</v>
      </c>
      <c r="K21" s="1688">
        <v>870648</v>
      </c>
      <c r="L21" s="1688">
        <v>822076</v>
      </c>
      <c r="M21" s="1775">
        <f>K21-L21</f>
        <v>48572</v>
      </c>
      <c r="N21" s="1688">
        <v>47784</v>
      </c>
      <c r="O21" s="1688">
        <v>44032</v>
      </c>
      <c r="P21" s="1773">
        <f>N21-O21</f>
        <v>3752</v>
      </c>
      <c r="Q21" s="1688">
        <v>25702</v>
      </c>
      <c r="R21" s="1688">
        <v>17135</v>
      </c>
      <c r="S21" s="1772">
        <f t="shared" si="5"/>
        <v>8567</v>
      </c>
      <c r="T21" s="1764">
        <v>156000</v>
      </c>
      <c r="U21" s="1764">
        <v>265000</v>
      </c>
      <c r="V21" s="1764">
        <v>85000</v>
      </c>
      <c r="W21" s="1764">
        <v>265000</v>
      </c>
    </row>
    <row r="22" spans="1:23" x14ac:dyDescent="0.25">
      <c r="B22" s="1653"/>
      <c r="C22" s="1654"/>
      <c r="D22" s="1655"/>
      <c r="E22" s="1656"/>
      <c r="F22" s="1657"/>
      <c r="G22" s="1658"/>
      <c r="H22" s="1659"/>
      <c r="I22" s="1681"/>
      <c r="J22" s="826">
        <v>45642</v>
      </c>
      <c r="K22" s="1688">
        <v>822076</v>
      </c>
      <c r="L22" s="1688">
        <v>152178</v>
      </c>
      <c r="M22" s="1775">
        <f>K22-L22</f>
        <v>669898</v>
      </c>
      <c r="N22" s="1688">
        <v>44032</v>
      </c>
      <c r="O22" s="1688">
        <v>69851</v>
      </c>
      <c r="P22" s="1773">
        <f>N22-O22</f>
        <v>-25819</v>
      </c>
      <c r="Q22" s="1688">
        <v>17135</v>
      </c>
      <c r="R22" s="1624">
        <v>0</v>
      </c>
      <c r="S22" s="1771">
        <f t="shared" si="5"/>
        <v>17135</v>
      </c>
      <c r="T22" s="1764">
        <v>265000</v>
      </c>
      <c r="U22" s="1764">
        <v>88200</v>
      </c>
      <c r="V22" s="1764">
        <v>265000</v>
      </c>
      <c r="W22" s="1764">
        <v>80200</v>
      </c>
    </row>
    <row r="23" spans="1:23" x14ac:dyDescent="0.25">
      <c r="B23" s="1661"/>
      <c r="C23" s="1661"/>
      <c r="D23" s="1661"/>
      <c r="E23" s="1632"/>
      <c r="F23" s="1631"/>
      <c r="G23" s="1660" t="s">
        <v>920</v>
      </c>
      <c r="H23" s="1682">
        <f>SUM(H7:H21)</f>
        <v>188261.7</v>
      </c>
      <c r="I23" s="1622"/>
      <c r="J23" s="826">
        <v>45643</v>
      </c>
      <c r="K23" s="1688">
        <v>152178</v>
      </c>
      <c r="L23" s="1688">
        <v>627539</v>
      </c>
      <c r="M23" s="1774"/>
      <c r="N23" s="1688">
        <v>69851</v>
      </c>
      <c r="O23" s="1688">
        <v>66851</v>
      </c>
      <c r="P23" s="1623"/>
      <c r="Q23" s="1688">
        <v>0</v>
      </c>
      <c r="R23" s="1688">
        <v>4855</v>
      </c>
      <c r="S23" s="1771"/>
      <c r="T23" s="1764">
        <v>88200</v>
      </c>
      <c r="U23" s="1764">
        <v>35220</v>
      </c>
      <c r="V23" s="1764">
        <v>80200</v>
      </c>
      <c r="W23" s="1764">
        <v>35220</v>
      </c>
    </row>
    <row r="24" spans="1:23" x14ac:dyDescent="0.25">
      <c r="B24" s="1661"/>
      <c r="C24" s="1661"/>
      <c r="D24" s="1661"/>
      <c r="E24" s="1632"/>
      <c r="F24" s="1631"/>
      <c r="H24" s="1662"/>
      <c r="I24" s="1622">
        <f>H23+H31+H36</f>
        <v>257618.45441599999</v>
      </c>
      <c r="J24" s="826">
        <v>45644</v>
      </c>
      <c r="K24" s="1688">
        <v>627539</v>
      </c>
      <c r="L24" s="1688">
        <v>876044</v>
      </c>
      <c r="M24" s="1774"/>
      <c r="N24" s="1688">
        <v>66851</v>
      </c>
      <c r="O24" s="1688">
        <v>63943</v>
      </c>
      <c r="P24" s="1623"/>
      <c r="Q24" s="1688">
        <v>4855</v>
      </c>
      <c r="R24" s="1923">
        <v>25.702000000000002</v>
      </c>
      <c r="S24" s="1771"/>
      <c r="T24" s="1764">
        <v>35220</v>
      </c>
      <c r="U24" s="1764">
        <v>95225</v>
      </c>
      <c r="V24" s="1764">
        <v>35220</v>
      </c>
      <c r="W24" s="1764">
        <v>105225</v>
      </c>
    </row>
    <row r="25" spans="1:23" x14ac:dyDescent="0.25">
      <c r="B25" s="1619" t="s">
        <v>921</v>
      </c>
      <c r="E25" s="1632"/>
      <c r="F25" s="1631"/>
      <c r="H25" s="1662"/>
      <c r="J25" s="826">
        <v>45645</v>
      </c>
      <c r="K25" s="1688">
        <v>876044</v>
      </c>
      <c r="L25" s="1688">
        <v>853453</v>
      </c>
      <c r="M25" s="1774"/>
      <c r="N25" s="1688">
        <v>63943</v>
      </c>
      <c r="O25" s="1688">
        <v>22284</v>
      </c>
      <c r="P25" s="1623"/>
      <c r="Q25" s="1923">
        <v>25.702000000000002</v>
      </c>
      <c r="R25" s="1923">
        <v>34.268999999999998</v>
      </c>
      <c r="S25" s="1771"/>
      <c r="T25" s="1764">
        <v>95225</v>
      </c>
      <c r="U25" s="1764">
        <v>234123</v>
      </c>
      <c r="V25" s="1764">
        <v>105225</v>
      </c>
      <c r="W25" s="1764">
        <v>234125</v>
      </c>
    </row>
    <row r="26" spans="1:23" ht="42.75" x14ac:dyDescent="0.25">
      <c r="B26" s="1644" t="s">
        <v>866</v>
      </c>
      <c r="C26" s="1643" t="s">
        <v>867</v>
      </c>
      <c r="D26" s="1643" t="s">
        <v>868</v>
      </c>
      <c r="E26" s="1644" t="s">
        <v>869</v>
      </c>
      <c r="F26" s="1643" t="s">
        <v>903</v>
      </c>
      <c r="G26" s="1663" t="s">
        <v>904</v>
      </c>
      <c r="H26" s="1644" t="s">
        <v>14</v>
      </c>
      <c r="J26" s="826">
        <v>45646</v>
      </c>
      <c r="K26" s="1984">
        <v>853453</v>
      </c>
      <c r="L26" s="1992">
        <v>859666</v>
      </c>
      <c r="M26" s="1985"/>
      <c r="N26" s="1984">
        <v>22284</v>
      </c>
      <c r="O26" s="1984">
        <v>23136</v>
      </c>
      <c r="P26" s="1986"/>
      <c r="Q26" s="1987">
        <v>34.268999999999998</v>
      </c>
      <c r="R26" s="1654">
        <v>15421</v>
      </c>
      <c r="S26" s="1988"/>
      <c r="T26" s="1989">
        <v>234123</v>
      </c>
      <c r="U26" s="1989">
        <v>223284</v>
      </c>
      <c r="V26" s="1989">
        <v>234125</v>
      </c>
      <c r="W26" s="1989">
        <v>216280</v>
      </c>
    </row>
    <row r="27" spans="1:23" x14ac:dyDescent="0.25">
      <c r="B27" s="1689" t="s">
        <v>944</v>
      </c>
      <c r="C27" s="1624">
        <v>15.95</v>
      </c>
      <c r="D27" s="1624">
        <v>885</v>
      </c>
      <c r="E27" s="1625">
        <f>C27*D27/1000</f>
        <v>14.11575</v>
      </c>
      <c r="F27" s="1648">
        <f>E27/100</f>
        <v>0.14115749999999999</v>
      </c>
      <c r="G27" s="1664">
        <v>72.099999999999994</v>
      </c>
      <c r="H27" s="1650">
        <f>F27*G27*1000</f>
        <v>10177.455749999997</v>
      </c>
      <c r="J27" s="826">
        <v>45647</v>
      </c>
      <c r="K27" s="1992">
        <v>859666</v>
      </c>
      <c r="L27" s="1992">
        <v>859666</v>
      </c>
      <c r="M27" s="1774"/>
      <c r="N27" s="1992">
        <f>O26</f>
        <v>23136</v>
      </c>
      <c r="O27" s="1624">
        <v>15421</v>
      </c>
      <c r="P27" s="1623"/>
      <c r="Q27" s="308">
        <f>R26</f>
        <v>15421</v>
      </c>
      <c r="R27" s="1624">
        <v>12851</v>
      </c>
      <c r="S27" s="1771"/>
      <c r="T27" s="1763">
        <f>U26</f>
        <v>223284</v>
      </c>
      <c r="U27" s="1989">
        <v>158003</v>
      </c>
      <c r="V27" s="1763">
        <f>W26</f>
        <v>216280</v>
      </c>
      <c r="W27" s="1989">
        <v>155107</v>
      </c>
    </row>
    <row r="28" spans="1:23" x14ac:dyDescent="0.25">
      <c r="B28" s="1689" t="s">
        <v>935</v>
      </c>
      <c r="C28" s="1624">
        <v>3.02</v>
      </c>
      <c r="D28" s="1624">
        <v>885</v>
      </c>
      <c r="E28" s="1625">
        <f>C28*D28/1000</f>
        <v>2.6726999999999999</v>
      </c>
      <c r="F28" s="1648">
        <f>E28/100</f>
        <v>2.6726999999999997E-2</v>
      </c>
      <c r="G28" s="1664">
        <v>0</v>
      </c>
      <c r="H28" s="1650">
        <f>F28*G28*1000</f>
        <v>0</v>
      </c>
      <c r="J28" s="826">
        <v>45648</v>
      </c>
      <c r="K28" s="1993">
        <f t="shared" ref="K28:K37" si="6">L27</f>
        <v>859666</v>
      </c>
      <c r="L28" s="1992">
        <v>878555</v>
      </c>
      <c r="M28" s="1774"/>
      <c r="N28" s="1992">
        <f>O27</f>
        <v>15421</v>
      </c>
      <c r="O28" s="1624">
        <v>12851</v>
      </c>
      <c r="P28" s="1623"/>
      <c r="Q28" s="308">
        <f>R27</f>
        <v>12851</v>
      </c>
      <c r="R28" s="1688">
        <v>20847</v>
      </c>
      <c r="S28" s="1771"/>
      <c r="T28" s="1763">
        <f t="shared" ref="T28:T37" si="7">U27</f>
        <v>158003</v>
      </c>
      <c r="U28" s="1989">
        <v>167918</v>
      </c>
      <c r="V28" s="1763">
        <f t="shared" ref="V28:V37" si="8">W27</f>
        <v>155107</v>
      </c>
      <c r="W28" s="1989">
        <v>164248</v>
      </c>
    </row>
    <row r="29" spans="1:23" x14ac:dyDescent="0.25">
      <c r="B29" s="1623" t="s">
        <v>922</v>
      </c>
      <c r="C29" s="1624">
        <v>82.48</v>
      </c>
      <c r="D29" s="1624">
        <v>885</v>
      </c>
      <c r="E29" s="1625">
        <f>C29*D29/1000</f>
        <v>72.994799999999998</v>
      </c>
      <c r="F29" s="1648">
        <f>E29/100</f>
        <v>0.72994799999999993</v>
      </c>
      <c r="G29" s="1664">
        <v>63.9</v>
      </c>
      <c r="H29" s="1650">
        <f>F29*G29*1000</f>
        <v>46643.677199999991</v>
      </c>
      <c r="I29" s="1665"/>
      <c r="J29" s="826">
        <v>45649</v>
      </c>
      <c r="K29" s="1993">
        <f t="shared" si="6"/>
        <v>878555</v>
      </c>
      <c r="L29" s="1992">
        <v>878555</v>
      </c>
      <c r="M29" s="1774"/>
      <c r="N29" s="1992">
        <f t="shared" ref="N29:N37" si="9">O28</f>
        <v>12851</v>
      </c>
      <c r="O29" s="1688">
        <v>66552</v>
      </c>
      <c r="P29" s="1623"/>
      <c r="Q29" s="308">
        <f>R28</f>
        <v>20847</v>
      </c>
      <c r="R29" s="1688">
        <v>17706</v>
      </c>
      <c r="S29" s="1771"/>
      <c r="T29" s="1763">
        <f t="shared" si="7"/>
        <v>167918</v>
      </c>
      <c r="U29" s="1989">
        <v>340216</v>
      </c>
      <c r="V29" s="1763">
        <f t="shared" si="8"/>
        <v>164248</v>
      </c>
      <c r="W29" s="1989">
        <v>330359</v>
      </c>
    </row>
    <row r="30" spans="1:23" x14ac:dyDescent="0.25">
      <c r="B30" s="1623" t="s">
        <v>923</v>
      </c>
      <c r="C30" s="1624">
        <v>16.95</v>
      </c>
      <c r="D30" s="1624">
        <v>885</v>
      </c>
      <c r="E30" s="1625">
        <f>C30*D30/1000</f>
        <v>15.00075</v>
      </c>
      <c r="F30" s="1648">
        <f>E30/100</f>
        <v>0.15000749999999999</v>
      </c>
      <c r="G30" s="1664">
        <v>83.5</v>
      </c>
      <c r="H30" s="1650">
        <f>F30*G30*1000</f>
        <v>12525.626249999998</v>
      </c>
      <c r="I30" s="1640"/>
      <c r="J30" s="826">
        <v>45650</v>
      </c>
      <c r="K30" s="1992">
        <v>878555</v>
      </c>
      <c r="L30" s="1992">
        <v>835568</v>
      </c>
      <c r="M30" s="1774"/>
      <c r="N30" s="1992">
        <f t="shared" si="9"/>
        <v>66552</v>
      </c>
      <c r="O30" s="1688">
        <v>67509</v>
      </c>
      <c r="P30" s="1623"/>
      <c r="Q30" s="1688">
        <v>17706</v>
      </c>
      <c r="R30" s="1688">
        <v>11423</v>
      </c>
      <c r="S30" s="1771"/>
      <c r="T30" s="1763">
        <f t="shared" si="7"/>
        <v>340216</v>
      </c>
      <c r="U30" s="1989">
        <v>156238</v>
      </c>
      <c r="V30" s="1763">
        <f t="shared" si="8"/>
        <v>330359</v>
      </c>
      <c r="W30" s="1989">
        <v>156022</v>
      </c>
    </row>
    <row r="31" spans="1:23" x14ac:dyDescent="0.25">
      <c r="G31" s="1660" t="s">
        <v>933</v>
      </c>
      <c r="H31" s="1682">
        <f>SUM(H27:H30)</f>
        <v>69346.759199999986</v>
      </c>
      <c r="J31" s="826">
        <v>45651</v>
      </c>
      <c r="K31" s="1993">
        <f t="shared" si="6"/>
        <v>835568</v>
      </c>
      <c r="L31" s="1992">
        <v>842157</v>
      </c>
      <c r="M31" s="1774"/>
      <c r="N31" s="1992">
        <f t="shared" si="9"/>
        <v>67509</v>
      </c>
      <c r="O31" s="1688">
        <v>67509</v>
      </c>
      <c r="P31" s="1623"/>
      <c r="Q31" s="1688">
        <v>11423</v>
      </c>
      <c r="R31" s="1688">
        <v>15421</v>
      </c>
      <c r="S31" s="1771"/>
      <c r="T31" s="1763">
        <f t="shared" si="7"/>
        <v>156238</v>
      </c>
      <c r="U31" s="1989">
        <v>78021</v>
      </c>
      <c r="V31" s="1763">
        <f t="shared" si="8"/>
        <v>156022</v>
      </c>
      <c r="W31" s="1989">
        <v>156240</v>
      </c>
    </row>
    <row r="32" spans="1:23" x14ac:dyDescent="0.25">
      <c r="B32" s="1668" t="s">
        <v>924</v>
      </c>
      <c r="C32" s="1669"/>
      <c r="D32" s="1669"/>
      <c r="E32" s="1670"/>
      <c r="F32" s="1671"/>
      <c r="G32" s="1672"/>
      <c r="H32" s="1673"/>
      <c r="I32" s="1674"/>
      <c r="J32" s="826">
        <v>45652</v>
      </c>
      <c r="K32" s="1993">
        <f t="shared" si="6"/>
        <v>842157</v>
      </c>
      <c r="L32" s="1992">
        <v>336361</v>
      </c>
      <c r="M32" s="1774"/>
      <c r="N32" s="1992">
        <f t="shared" si="9"/>
        <v>67509</v>
      </c>
      <c r="O32" s="1688">
        <v>44184</v>
      </c>
      <c r="P32" s="1623"/>
      <c r="Q32" s="308">
        <f t="shared" ref="Q32:Q37" si="10">R31</f>
        <v>15421</v>
      </c>
      <c r="R32" s="1688">
        <v>9995</v>
      </c>
      <c r="S32" s="1771"/>
      <c r="T32" s="1763">
        <f t="shared" si="7"/>
        <v>78021</v>
      </c>
      <c r="U32" s="1989">
        <v>37638</v>
      </c>
      <c r="V32" s="1763">
        <f t="shared" si="8"/>
        <v>156240</v>
      </c>
      <c r="W32" s="1989">
        <v>197872</v>
      </c>
    </row>
    <row r="33" spans="2:23" ht="22.9" customHeight="1" x14ac:dyDescent="0.25">
      <c r="B33" s="1675" t="s">
        <v>925</v>
      </c>
      <c r="C33" s="1620" t="s">
        <v>926</v>
      </c>
      <c r="D33" s="1620" t="s">
        <v>927</v>
      </c>
      <c r="E33" s="1675" t="s">
        <v>928</v>
      </c>
      <c r="F33" s="1676" t="s">
        <v>929</v>
      </c>
      <c r="G33" s="1677" t="s">
        <v>930</v>
      </c>
      <c r="H33" s="1675" t="s">
        <v>14</v>
      </c>
      <c r="J33" s="826">
        <v>45653</v>
      </c>
      <c r="K33" s="1993">
        <f t="shared" si="6"/>
        <v>336361</v>
      </c>
      <c r="L33" s="1992">
        <v>188262</v>
      </c>
      <c r="M33" s="1774"/>
      <c r="N33" s="1992">
        <f t="shared" si="9"/>
        <v>44184</v>
      </c>
      <c r="O33" s="1688">
        <v>69347</v>
      </c>
      <c r="P33" s="1623"/>
      <c r="Q33" s="308">
        <f t="shared" si="10"/>
        <v>9995</v>
      </c>
      <c r="R33" s="1624"/>
      <c r="S33" s="1771"/>
      <c r="T33" s="1763">
        <f t="shared" si="7"/>
        <v>37638</v>
      </c>
      <c r="U33" s="1989">
        <v>37954</v>
      </c>
      <c r="V33" s="1763">
        <f t="shared" si="8"/>
        <v>197872</v>
      </c>
      <c r="W33" s="1989">
        <v>108106</v>
      </c>
    </row>
    <row r="34" spans="2:23" ht="15" customHeight="1" x14ac:dyDescent="0.25">
      <c r="B34" s="1679" t="s">
        <v>931</v>
      </c>
      <c r="C34" s="1667">
        <v>12.2</v>
      </c>
      <c r="D34" s="1667">
        <v>1.75</v>
      </c>
      <c r="E34" s="1667">
        <v>1.52</v>
      </c>
      <c r="F34" s="1667">
        <v>0.88</v>
      </c>
      <c r="G34" s="1666">
        <v>20</v>
      </c>
      <c r="H34" s="1680">
        <f>C34*D34*E34*F34*G34/100</f>
        <v>5.7115519999999993</v>
      </c>
      <c r="I34" s="2167"/>
      <c r="J34" s="826">
        <v>45654</v>
      </c>
      <c r="K34" s="1993">
        <f t="shared" si="6"/>
        <v>188262</v>
      </c>
      <c r="L34" s="1624"/>
      <c r="M34" s="1774"/>
      <c r="N34" s="1992">
        <f t="shared" si="9"/>
        <v>69347</v>
      </c>
      <c r="O34" s="1624"/>
      <c r="P34" s="1623"/>
      <c r="Q34" s="308">
        <f t="shared" si="10"/>
        <v>0</v>
      </c>
      <c r="R34" s="1624"/>
      <c r="S34" s="1771"/>
      <c r="T34" s="1763">
        <f t="shared" si="7"/>
        <v>37954</v>
      </c>
      <c r="U34" s="1761"/>
      <c r="V34" s="1763">
        <f t="shared" si="8"/>
        <v>108106</v>
      </c>
      <c r="W34" s="1761"/>
    </row>
    <row r="35" spans="2:23" ht="15" customHeight="1" x14ac:dyDescent="0.25">
      <c r="B35" s="1679" t="s">
        <v>932</v>
      </c>
      <c r="C35" s="1667">
        <v>12.2</v>
      </c>
      <c r="D35" s="1667">
        <v>1.75</v>
      </c>
      <c r="E35" s="1667">
        <v>1.52</v>
      </c>
      <c r="F35" s="1667">
        <v>0.88</v>
      </c>
      <c r="G35" s="1666">
        <v>15</v>
      </c>
      <c r="H35" s="1680">
        <f>C35*D35*E35*F35*G35/100</f>
        <v>4.2836639999999999</v>
      </c>
      <c r="I35" s="2167"/>
      <c r="J35" s="826">
        <v>45655</v>
      </c>
      <c r="K35" s="1993">
        <f t="shared" si="6"/>
        <v>0</v>
      </c>
      <c r="L35" s="1624"/>
      <c r="M35" s="1774"/>
      <c r="N35" s="1992">
        <f t="shared" si="9"/>
        <v>0</v>
      </c>
      <c r="O35" s="1624"/>
      <c r="P35" s="1623"/>
      <c r="Q35" s="308">
        <f t="shared" si="10"/>
        <v>0</v>
      </c>
      <c r="R35" s="1624"/>
      <c r="S35" s="1771"/>
      <c r="T35" s="1763">
        <f t="shared" si="7"/>
        <v>0</v>
      </c>
      <c r="U35" s="1761"/>
      <c r="V35" s="1763">
        <f t="shared" si="8"/>
        <v>0</v>
      </c>
      <c r="W35" s="1761"/>
    </row>
    <row r="36" spans="2:23" ht="28.5" x14ac:dyDescent="0.25">
      <c r="G36" s="1660" t="s">
        <v>934</v>
      </c>
      <c r="H36" s="1678">
        <f>SUM(H34:H35)</f>
        <v>9.9952159999999992</v>
      </c>
      <c r="J36" s="826">
        <v>45656</v>
      </c>
      <c r="K36" s="1993">
        <f t="shared" si="6"/>
        <v>0</v>
      </c>
      <c r="L36" s="1624"/>
      <c r="M36" s="1774"/>
      <c r="N36" s="1992">
        <f t="shared" si="9"/>
        <v>0</v>
      </c>
      <c r="O36" s="1624"/>
      <c r="P36" s="1623"/>
      <c r="Q36" s="308">
        <f t="shared" si="10"/>
        <v>0</v>
      </c>
      <c r="R36" s="1624"/>
      <c r="S36" s="1771"/>
      <c r="T36" s="1763">
        <f t="shared" si="7"/>
        <v>0</v>
      </c>
      <c r="U36" s="1761"/>
      <c r="V36" s="1763">
        <f t="shared" si="8"/>
        <v>0</v>
      </c>
      <c r="W36" s="1761"/>
    </row>
    <row r="37" spans="2:23" x14ac:dyDescent="0.25">
      <c r="J37" s="826">
        <v>45657</v>
      </c>
      <c r="K37" s="1993">
        <f t="shared" si="6"/>
        <v>0</v>
      </c>
      <c r="L37" s="1624"/>
      <c r="M37" s="1774"/>
      <c r="N37" s="1992">
        <f t="shared" si="9"/>
        <v>0</v>
      </c>
      <c r="O37" s="1624"/>
      <c r="P37" s="1623"/>
      <c r="Q37" s="308">
        <f t="shared" si="10"/>
        <v>0</v>
      </c>
      <c r="R37" s="1624"/>
      <c r="S37" s="1771"/>
      <c r="T37" s="1763">
        <f t="shared" si="7"/>
        <v>0</v>
      </c>
      <c r="U37" s="1761"/>
      <c r="V37" s="1763">
        <f t="shared" si="8"/>
        <v>0</v>
      </c>
      <c r="W37" s="1761"/>
    </row>
    <row r="38" spans="2:23" x14ac:dyDescent="0.25">
      <c r="J38"/>
      <c r="K38"/>
      <c r="L38"/>
    </row>
    <row r="39" spans="2:23" x14ac:dyDescent="0.25">
      <c r="J39"/>
      <c r="K39"/>
      <c r="L39"/>
    </row>
    <row r="40" spans="2:23" x14ac:dyDescent="0.25">
      <c r="J40"/>
      <c r="K40"/>
      <c r="L40"/>
    </row>
    <row r="41" spans="2:23" x14ac:dyDescent="0.25">
      <c r="J41"/>
      <c r="K41"/>
      <c r="L41"/>
    </row>
    <row r="42" spans="2:23" x14ac:dyDescent="0.25">
      <c r="J42"/>
      <c r="K42"/>
      <c r="L42"/>
    </row>
    <row r="43" spans="2:23" x14ac:dyDescent="0.25">
      <c r="J43"/>
      <c r="K43"/>
      <c r="L43"/>
    </row>
    <row r="44" spans="2:23" x14ac:dyDescent="0.25">
      <c r="J44"/>
      <c r="K44"/>
      <c r="L44"/>
    </row>
  </sheetData>
  <mergeCells count="10">
    <mergeCell ref="V5:W5"/>
    <mergeCell ref="F1:H1"/>
    <mergeCell ref="F2:H2"/>
    <mergeCell ref="J4:S4"/>
    <mergeCell ref="T4:W4"/>
    <mergeCell ref="I34:I35"/>
    <mergeCell ref="J5:M5"/>
    <mergeCell ref="N5:P5"/>
    <mergeCell ref="Q5:S5"/>
    <mergeCell ref="T5:U5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sheetPr>
    <pageSetUpPr fitToPage="1"/>
  </sheetPr>
  <dimension ref="C2:BE65"/>
  <sheetViews>
    <sheetView view="pageBreakPreview" topLeftCell="A31" zoomScale="80" zoomScaleNormal="80" zoomScaleSheetLayoutView="80" workbookViewId="0">
      <selection activeCell="O23" sqref="O23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181" t="s">
        <v>832</v>
      </c>
      <c r="G2" s="2181"/>
      <c r="H2" s="2181"/>
      <c r="I2" s="2181"/>
      <c r="J2" s="2181"/>
      <c r="K2" s="1556"/>
      <c r="L2" s="1556"/>
      <c r="M2" s="1556"/>
    </row>
    <row r="3" spans="3:46" s="16" customFormat="1" x14ac:dyDescent="0.2">
      <c r="C3" s="1"/>
      <c r="F3" s="1557"/>
      <c r="G3" s="1558"/>
      <c r="H3" s="1559"/>
    </row>
    <row r="4" spans="3:46" s="16" customFormat="1" ht="15" thickBot="1" x14ac:dyDescent="0.3">
      <c r="F4" s="1560" t="s">
        <v>1101</v>
      </c>
      <c r="G4" s="1558"/>
      <c r="H4" s="1559"/>
    </row>
    <row r="5" spans="3:46" s="16" customFormat="1" ht="15" customHeight="1" thickTop="1" thickBot="1" x14ac:dyDescent="0.3">
      <c r="F5" s="2182" t="s">
        <v>174</v>
      </c>
      <c r="G5" s="2184" t="s">
        <v>833</v>
      </c>
      <c r="H5" s="2186" t="s">
        <v>834</v>
      </c>
      <c r="I5" s="2188" t="s">
        <v>835</v>
      </c>
      <c r="J5" s="2189"/>
      <c r="K5" s="2190"/>
      <c r="L5" s="1562"/>
      <c r="M5" s="517" t="s">
        <v>836</v>
      </c>
    </row>
    <row r="6" spans="3:46" s="16" customFormat="1" ht="16.5" thickTop="1" thickBot="1" x14ac:dyDescent="0.3">
      <c r="F6" s="2183"/>
      <c r="G6" s="2185"/>
      <c r="H6" s="2187"/>
      <c r="I6" s="1563" t="s">
        <v>837</v>
      </c>
      <c r="J6" s="1564" t="s">
        <v>838</v>
      </c>
      <c r="K6" s="1563" t="s">
        <v>25</v>
      </c>
      <c r="L6" s="1562"/>
      <c r="M6" s="156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65">
        <v>1</v>
      </c>
      <c r="G7" s="1566"/>
      <c r="H7" s="1567" t="s">
        <v>1102</v>
      </c>
      <c r="I7" s="1568"/>
      <c r="J7" s="1568">
        <f t="shared" ref="J7:J36" si="0">(2500-(G7/1000))/105</f>
        <v>23.80952380952381</v>
      </c>
      <c r="K7" s="1569">
        <f t="shared" ref="K7:K36" si="1">G7/2500/1000</f>
        <v>0</v>
      </c>
      <c r="L7" s="1570"/>
      <c r="M7" s="1571">
        <f>(G7/1000)/24</f>
        <v>0</v>
      </c>
      <c r="O7" s="1572">
        <f>249.262+270.9</f>
        <v>520.16200000000003</v>
      </c>
      <c r="P7" s="1573">
        <f>1356.367+39.742</f>
        <v>1396.1089999999999</v>
      </c>
      <c r="Q7" s="1573">
        <f>1086.521+50.6</f>
        <v>1137.1209999999999</v>
      </c>
      <c r="R7" s="1573">
        <f>1353.558+373.309</f>
        <v>1726.867</v>
      </c>
      <c r="S7" s="1572">
        <v>1942.7460000000001</v>
      </c>
      <c r="T7" s="1572">
        <v>1868.212</v>
      </c>
      <c r="U7" s="1572">
        <v>2057.011</v>
      </c>
      <c r="V7" s="1572">
        <v>1781.8440000000001</v>
      </c>
      <c r="W7" s="1574">
        <v>1250.7639999999999</v>
      </c>
      <c r="X7" s="1574">
        <v>1613.4860000000001</v>
      </c>
      <c r="Y7" s="1574">
        <v>1325.077</v>
      </c>
      <c r="Z7" s="1572">
        <f>66.442+571.568</f>
        <v>638.01</v>
      </c>
      <c r="AA7" s="1572">
        <f>815.429</f>
        <v>815.42899999999997</v>
      </c>
      <c r="AB7" s="1574">
        <f>352.234+731.627</f>
        <v>1083.8609999999999</v>
      </c>
      <c r="AC7" s="1572">
        <f>1626.002+13.213</f>
        <v>1639.2149999999999</v>
      </c>
      <c r="AD7" s="1572">
        <v>2094.7910000000002</v>
      </c>
      <c r="AE7" s="1574">
        <v>2075.375</v>
      </c>
      <c r="AF7" s="1574">
        <v>2008.8040000000001</v>
      </c>
      <c r="AG7" s="1574">
        <v>1946.712</v>
      </c>
      <c r="AH7" s="1574">
        <v>1998.9390000000001</v>
      </c>
      <c r="AI7" s="1572">
        <f>1623.839+281.468</f>
        <v>1905.307</v>
      </c>
      <c r="AJ7" s="1572">
        <v>1610.0239999999999</v>
      </c>
      <c r="AK7" s="1572">
        <f>1135.181+98.368</f>
        <v>1233.549</v>
      </c>
      <c r="AL7" s="1572">
        <f>958.893+543.852</f>
        <v>1502.7449999999999</v>
      </c>
      <c r="AM7" s="1572">
        <v>2043.15</v>
      </c>
      <c r="AN7" s="1572">
        <v>1762.6420000000001</v>
      </c>
      <c r="AO7" s="1572">
        <v>2170.3359999999998</v>
      </c>
      <c r="AP7" s="1572">
        <f>1181.38+463.711</f>
        <v>1645.0910000000001</v>
      </c>
      <c r="AQ7" s="1572">
        <v>219.47399999999999</v>
      </c>
      <c r="AR7" s="1572">
        <f>48.153+1225.968+107.3</f>
        <v>1381.421</v>
      </c>
      <c r="AS7" s="1572"/>
    </row>
    <row r="8" spans="3:46" s="16" customFormat="1" x14ac:dyDescent="0.25">
      <c r="F8" s="1575">
        <v>2</v>
      </c>
      <c r="G8" s="1576"/>
      <c r="H8" s="1567" t="s">
        <v>1102</v>
      </c>
      <c r="I8" s="1577"/>
      <c r="J8" s="1577">
        <f t="shared" si="0"/>
        <v>23.80952380952381</v>
      </c>
      <c r="K8" s="1578">
        <f t="shared" si="1"/>
        <v>0</v>
      </c>
      <c r="L8" s="1570"/>
      <c r="M8" s="1571">
        <f t="shared" ref="M8:M36" si="2">(G8/1000)/24</f>
        <v>0</v>
      </c>
    </row>
    <row r="9" spans="3:46" s="16" customFormat="1" x14ac:dyDescent="0.25">
      <c r="F9" s="1579">
        <v>3</v>
      </c>
      <c r="G9" s="2005">
        <v>132992</v>
      </c>
      <c r="H9" s="1567" t="s">
        <v>1103</v>
      </c>
      <c r="I9" s="1577"/>
      <c r="J9" s="1577">
        <f t="shared" si="0"/>
        <v>22.54293333333333</v>
      </c>
      <c r="K9" s="1578">
        <f t="shared" si="1"/>
        <v>5.3196800000000002E-2</v>
      </c>
      <c r="L9" s="1570"/>
      <c r="M9" s="1571">
        <f t="shared" si="2"/>
        <v>5.5413333333333332</v>
      </c>
    </row>
    <row r="10" spans="3:46" s="16" customFormat="1" x14ac:dyDescent="0.25">
      <c r="F10" s="1579">
        <v>4</v>
      </c>
      <c r="G10" s="1576">
        <v>235848</v>
      </c>
      <c r="H10" s="1567" t="s">
        <v>839</v>
      </c>
      <c r="I10" s="1577"/>
      <c r="J10" s="1577">
        <f t="shared" si="0"/>
        <v>21.563352380952381</v>
      </c>
      <c r="K10" s="1578">
        <f t="shared" si="1"/>
        <v>9.4339200000000012E-2</v>
      </c>
      <c r="L10" s="1570"/>
      <c r="M10" s="1571">
        <f t="shared" si="2"/>
        <v>9.827</v>
      </c>
    </row>
    <row r="11" spans="3:46" s="16" customFormat="1" x14ac:dyDescent="0.25">
      <c r="F11" s="1579">
        <v>5</v>
      </c>
      <c r="G11" s="1576"/>
      <c r="H11" s="1567" t="s">
        <v>1102</v>
      </c>
      <c r="I11" s="1577"/>
      <c r="J11" s="1577">
        <f t="shared" si="0"/>
        <v>23.80952380952381</v>
      </c>
      <c r="K11" s="1578">
        <f t="shared" si="1"/>
        <v>0</v>
      </c>
      <c r="L11" s="1570"/>
      <c r="M11" s="1571">
        <f t="shared" si="2"/>
        <v>0</v>
      </c>
    </row>
    <row r="12" spans="3:46" s="16" customFormat="1" x14ac:dyDescent="0.25">
      <c r="F12" s="1579">
        <v>6</v>
      </c>
      <c r="G12" s="1576"/>
      <c r="H12" s="1567" t="s">
        <v>1102</v>
      </c>
      <c r="I12" s="1577"/>
      <c r="J12" s="1577">
        <f t="shared" si="0"/>
        <v>23.80952380952381</v>
      </c>
      <c r="K12" s="1578">
        <f t="shared" si="1"/>
        <v>0</v>
      </c>
      <c r="L12" s="1570"/>
      <c r="M12" s="1571">
        <f t="shared" si="2"/>
        <v>0</v>
      </c>
      <c r="AT12" s="139"/>
    </row>
    <row r="13" spans="3:46" s="16" customFormat="1" x14ac:dyDescent="0.25">
      <c r="F13" s="1579">
        <v>7</v>
      </c>
      <c r="G13" s="1576">
        <v>494521</v>
      </c>
      <c r="H13" s="1567" t="s">
        <v>839</v>
      </c>
      <c r="I13" s="1577"/>
      <c r="J13" s="1577">
        <f t="shared" si="0"/>
        <v>19.099800000000002</v>
      </c>
      <c r="K13" s="1578">
        <f t="shared" si="1"/>
        <v>0.1978084</v>
      </c>
      <c r="L13" s="1570"/>
      <c r="M13" s="1571">
        <f t="shared" si="2"/>
        <v>20.605041666666668</v>
      </c>
    </row>
    <row r="14" spans="3:46" s="16" customFormat="1" x14ac:dyDescent="0.25">
      <c r="F14" s="1579">
        <v>8</v>
      </c>
      <c r="G14" s="1576">
        <v>1864782</v>
      </c>
      <c r="H14" s="1567" t="s">
        <v>839</v>
      </c>
      <c r="I14" s="1577"/>
      <c r="J14" s="1577">
        <f t="shared" si="0"/>
        <v>6.0496952380952385</v>
      </c>
      <c r="K14" s="1578">
        <f t="shared" si="1"/>
        <v>0.74591279999999993</v>
      </c>
      <c r="L14" s="1570"/>
      <c r="M14" s="1571">
        <f t="shared" si="2"/>
        <v>77.699249999999992</v>
      </c>
    </row>
    <row r="15" spans="3:46" s="16" customFormat="1" x14ac:dyDescent="0.25">
      <c r="F15" s="1579">
        <v>9</v>
      </c>
      <c r="G15" s="1576">
        <v>1581450</v>
      </c>
      <c r="H15" s="1567" t="s">
        <v>839</v>
      </c>
      <c r="I15" s="1577"/>
      <c r="J15" s="1577">
        <f t="shared" si="0"/>
        <v>8.748095238095237</v>
      </c>
      <c r="K15" s="1578">
        <f t="shared" si="1"/>
        <v>0.63258000000000003</v>
      </c>
      <c r="L15" s="1570"/>
      <c r="M15" s="1571">
        <f t="shared" si="2"/>
        <v>65.893749999999997</v>
      </c>
    </row>
    <row r="16" spans="3:46" s="16" customFormat="1" x14ac:dyDescent="0.25">
      <c r="F16" s="1579">
        <v>10</v>
      </c>
      <c r="G16" s="1576">
        <v>621025</v>
      </c>
      <c r="H16" s="1567" t="s">
        <v>839</v>
      </c>
      <c r="I16" s="1577"/>
      <c r="J16" s="1577">
        <f t="shared" si="0"/>
        <v>17.895</v>
      </c>
      <c r="K16" s="1578">
        <f t="shared" si="1"/>
        <v>0.24840999999999999</v>
      </c>
      <c r="L16" s="1570"/>
      <c r="M16" s="1571">
        <f t="shared" si="2"/>
        <v>25.876041666666666</v>
      </c>
    </row>
    <row r="17" spans="6:57" s="16" customFormat="1" x14ac:dyDescent="0.25">
      <c r="F17" s="1579">
        <v>11</v>
      </c>
      <c r="G17" s="1576">
        <v>247984</v>
      </c>
      <c r="H17" s="1567" t="s">
        <v>839</v>
      </c>
      <c r="I17" s="1577"/>
      <c r="J17" s="1577">
        <f t="shared" si="0"/>
        <v>21.447771428571428</v>
      </c>
      <c r="K17" s="1578">
        <f t="shared" si="1"/>
        <v>9.9193600000000007E-2</v>
      </c>
      <c r="L17" s="1570"/>
      <c r="M17" s="1571">
        <f t="shared" si="2"/>
        <v>10.332666666666666</v>
      </c>
    </row>
    <row r="18" spans="6:57" s="16" customFormat="1" x14ac:dyDescent="0.25">
      <c r="F18" s="1579">
        <v>12</v>
      </c>
      <c r="G18" s="1576">
        <v>1063200</v>
      </c>
      <c r="H18" s="1567" t="s">
        <v>839</v>
      </c>
      <c r="I18" s="1577"/>
      <c r="J18" s="1577">
        <f t="shared" si="0"/>
        <v>13.683809523809524</v>
      </c>
      <c r="K18" s="1578">
        <f t="shared" si="1"/>
        <v>0.42527999999999999</v>
      </c>
      <c r="L18" s="1570"/>
      <c r="M18" s="1571">
        <f t="shared" si="2"/>
        <v>44.300000000000004</v>
      </c>
    </row>
    <row r="19" spans="6:57" s="16" customFormat="1" x14ac:dyDescent="0.25">
      <c r="F19" s="1579">
        <v>13</v>
      </c>
      <c r="G19" s="1576">
        <v>2196288</v>
      </c>
      <c r="H19" s="1567" t="s">
        <v>839</v>
      </c>
      <c r="I19" s="1577"/>
      <c r="J19" s="1577">
        <f t="shared" si="0"/>
        <v>2.892495238095238</v>
      </c>
      <c r="K19" s="1578">
        <f t="shared" si="1"/>
        <v>0.87851520000000005</v>
      </c>
      <c r="L19" s="1570"/>
      <c r="M19" s="1571">
        <f t="shared" si="2"/>
        <v>91.512</v>
      </c>
    </row>
    <row r="20" spans="6:57" s="16" customFormat="1" x14ac:dyDescent="0.25">
      <c r="F20" s="1579">
        <v>14</v>
      </c>
      <c r="G20" s="1576">
        <v>1639113</v>
      </c>
      <c r="H20" s="1567" t="s">
        <v>839</v>
      </c>
      <c r="I20" s="1577"/>
      <c r="J20" s="1577">
        <f t="shared" si="0"/>
        <v>8.1989238095238086</v>
      </c>
      <c r="K20" s="1578">
        <f t="shared" si="1"/>
        <v>0.65564520000000004</v>
      </c>
      <c r="L20" s="1570"/>
      <c r="M20" s="1571">
        <f t="shared" si="2"/>
        <v>68.296374999999998</v>
      </c>
      <c r="BE20" s="16" t="s">
        <v>1123</v>
      </c>
    </row>
    <row r="21" spans="6:57" s="16" customFormat="1" x14ac:dyDescent="0.25">
      <c r="F21" s="1579">
        <v>15</v>
      </c>
      <c r="G21" s="1580">
        <v>1616712</v>
      </c>
      <c r="H21" s="1567" t="s">
        <v>839</v>
      </c>
      <c r="I21" s="1577"/>
      <c r="J21" s="1577">
        <f t="shared" si="0"/>
        <v>8.4122666666666674</v>
      </c>
      <c r="K21" s="1578">
        <f t="shared" si="1"/>
        <v>0.64668479999999995</v>
      </c>
      <c r="L21" s="1570"/>
      <c r="M21" s="1571">
        <f t="shared" si="2"/>
        <v>67.363</v>
      </c>
    </row>
    <row r="22" spans="6:57" s="16" customFormat="1" x14ac:dyDescent="0.25">
      <c r="F22" s="1579">
        <v>16</v>
      </c>
      <c r="G22" s="1576">
        <v>907136</v>
      </c>
      <c r="H22" s="1567" t="s">
        <v>839</v>
      </c>
      <c r="I22" s="1577"/>
      <c r="J22" s="1577">
        <f t="shared" si="0"/>
        <v>15.170133333333334</v>
      </c>
      <c r="K22" s="1578">
        <f t="shared" si="1"/>
        <v>0.36285440000000002</v>
      </c>
      <c r="L22" s="1570"/>
      <c r="M22" s="1571">
        <f t="shared" si="2"/>
        <v>37.797333333333334</v>
      </c>
    </row>
    <row r="23" spans="6:57" s="16" customFormat="1" x14ac:dyDescent="0.25">
      <c r="F23" s="1579">
        <v>17</v>
      </c>
      <c r="G23" s="1581">
        <v>1962242</v>
      </c>
      <c r="H23" s="1567" t="s">
        <v>839</v>
      </c>
      <c r="I23" s="1577"/>
      <c r="J23" s="1577">
        <f t="shared" si="0"/>
        <v>5.1215047619047622</v>
      </c>
      <c r="K23" s="1578">
        <f t="shared" si="1"/>
        <v>0.78489679999999995</v>
      </c>
      <c r="L23" s="1570"/>
      <c r="M23" s="1571">
        <f t="shared" si="2"/>
        <v>81.760083333333327</v>
      </c>
    </row>
    <row r="24" spans="6:57" s="16" customFormat="1" x14ac:dyDescent="0.2">
      <c r="F24" s="1582">
        <v>18</v>
      </c>
      <c r="G24" s="1583">
        <v>2416411</v>
      </c>
      <c r="H24" s="1567" t="s">
        <v>839</v>
      </c>
      <c r="I24" s="1577"/>
      <c r="J24" s="1577">
        <f t="shared" si="0"/>
        <v>0.79608571428571373</v>
      </c>
      <c r="K24" s="1578">
        <f t="shared" si="1"/>
        <v>0.96656439999999999</v>
      </c>
      <c r="L24" s="1570"/>
      <c r="M24" s="1571">
        <f t="shared" si="2"/>
        <v>100.68379166666666</v>
      </c>
    </row>
    <row r="25" spans="6:57" s="16" customFormat="1" x14ac:dyDescent="0.2">
      <c r="F25" s="1582">
        <v>19</v>
      </c>
      <c r="G25" s="1583">
        <v>2155472</v>
      </c>
      <c r="H25" s="1567" t="s">
        <v>839</v>
      </c>
      <c r="I25" s="1577"/>
      <c r="J25" s="1577">
        <f t="shared" si="0"/>
        <v>3.2812190476190457</v>
      </c>
      <c r="K25" s="1578">
        <f t="shared" si="1"/>
        <v>0.86218879999999998</v>
      </c>
      <c r="L25" s="1570"/>
      <c r="M25" s="1571">
        <f t="shared" si="2"/>
        <v>89.811333333333337</v>
      </c>
    </row>
    <row r="26" spans="6:57" s="16" customFormat="1" x14ac:dyDescent="0.25">
      <c r="F26" s="1582">
        <v>20</v>
      </c>
      <c r="G26" s="1576">
        <v>1498922</v>
      </c>
      <c r="H26" s="1567" t="s">
        <v>839</v>
      </c>
      <c r="I26" s="1577"/>
      <c r="J26" s="1577">
        <f t="shared" si="0"/>
        <v>9.5340761904761901</v>
      </c>
      <c r="K26" s="1578">
        <f t="shared" si="1"/>
        <v>0.59956880000000001</v>
      </c>
      <c r="L26" s="1570"/>
      <c r="M26" s="1571">
        <f t="shared" si="2"/>
        <v>62.455083333333334</v>
      </c>
    </row>
    <row r="27" spans="6:57" s="16" customFormat="1" x14ac:dyDescent="0.25">
      <c r="F27" s="1582">
        <v>21</v>
      </c>
      <c r="G27" s="1576">
        <v>698565</v>
      </c>
      <c r="H27" s="1567" t="s">
        <v>839</v>
      </c>
      <c r="I27" s="1577"/>
      <c r="J27" s="1577">
        <f t="shared" si="0"/>
        <v>17.156523809523808</v>
      </c>
      <c r="K27" s="1578">
        <f t="shared" si="1"/>
        <v>0.27942600000000001</v>
      </c>
      <c r="L27" s="1570"/>
      <c r="M27" s="1571">
        <f t="shared" si="2"/>
        <v>29.106875000000002</v>
      </c>
    </row>
    <row r="28" spans="6:57" s="16" customFormat="1" x14ac:dyDescent="0.25">
      <c r="F28" s="1582">
        <v>22</v>
      </c>
      <c r="G28" s="1576">
        <v>1675125</v>
      </c>
      <c r="H28" s="1567" t="s">
        <v>839</v>
      </c>
      <c r="I28" s="1577"/>
      <c r="J28" s="1577">
        <f t="shared" si="0"/>
        <v>7.855952380952381</v>
      </c>
      <c r="K28" s="1578">
        <f t="shared" si="1"/>
        <v>0.67004999999999992</v>
      </c>
      <c r="L28" s="1570"/>
      <c r="M28" s="1571">
        <f t="shared" si="2"/>
        <v>69.796875</v>
      </c>
    </row>
    <row r="29" spans="6:57" s="16" customFormat="1" x14ac:dyDescent="0.25">
      <c r="F29" s="1582">
        <v>23</v>
      </c>
      <c r="G29" s="1576">
        <v>1790351</v>
      </c>
      <c r="H29" s="1567" t="s">
        <v>839</v>
      </c>
      <c r="I29" s="1577"/>
      <c r="J29" s="1577">
        <f t="shared" si="0"/>
        <v>6.7585619047619039</v>
      </c>
      <c r="K29" s="1578">
        <f t="shared" si="1"/>
        <v>0.71614040000000001</v>
      </c>
      <c r="L29" s="1570"/>
      <c r="M29" s="1571">
        <f t="shared" si="2"/>
        <v>74.597958333333338</v>
      </c>
    </row>
    <row r="30" spans="6:57" s="16" customFormat="1" x14ac:dyDescent="0.25">
      <c r="F30" s="1582">
        <v>24</v>
      </c>
      <c r="G30" s="1576">
        <v>738441</v>
      </c>
      <c r="H30" s="1567" t="s">
        <v>1104</v>
      </c>
      <c r="I30" s="1577"/>
      <c r="J30" s="1577">
        <f t="shared" si="0"/>
        <v>16.776752380952381</v>
      </c>
      <c r="K30" s="1578">
        <f t="shared" si="1"/>
        <v>0.29537639999999998</v>
      </c>
      <c r="L30" s="1570"/>
      <c r="M30" s="1571">
        <f t="shared" si="2"/>
        <v>30.768375000000002</v>
      </c>
    </row>
    <row r="31" spans="6:57" s="16" customFormat="1" x14ac:dyDescent="0.25">
      <c r="F31" s="1582">
        <v>25</v>
      </c>
      <c r="G31" s="1576">
        <v>105017</v>
      </c>
      <c r="H31" s="1567" t="s">
        <v>839</v>
      </c>
      <c r="I31" s="1577"/>
      <c r="J31" s="1577">
        <f t="shared" si="0"/>
        <v>22.809361904761907</v>
      </c>
      <c r="K31" s="1578">
        <f t="shared" si="1"/>
        <v>4.2006799999999997E-2</v>
      </c>
      <c r="L31" s="1570"/>
      <c r="M31" s="1571">
        <f t="shared" si="2"/>
        <v>4.3757083333333329</v>
      </c>
    </row>
    <row r="32" spans="6:57" s="16" customFormat="1" x14ac:dyDescent="0.25">
      <c r="F32" s="1582">
        <v>26</v>
      </c>
      <c r="G32" s="1576">
        <v>0</v>
      </c>
      <c r="H32" s="1567" t="s">
        <v>1102</v>
      </c>
      <c r="I32" s="1577"/>
      <c r="J32" s="1577">
        <f t="shared" si="0"/>
        <v>23.80952380952381</v>
      </c>
      <c r="K32" s="1578">
        <f t="shared" si="1"/>
        <v>0</v>
      </c>
      <c r="L32" s="1570"/>
      <c r="M32" s="1571">
        <f t="shared" si="2"/>
        <v>0</v>
      </c>
    </row>
    <row r="33" spans="6:16" s="16" customFormat="1" x14ac:dyDescent="0.25">
      <c r="F33" s="1582">
        <v>27</v>
      </c>
      <c r="G33" s="1576">
        <v>0</v>
      </c>
      <c r="H33" s="1567" t="s">
        <v>1102</v>
      </c>
      <c r="I33" s="1577"/>
      <c r="J33" s="1577">
        <f t="shared" si="0"/>
        <v>23.80952380952381</v>
      </c>
      <c r="K33" s="1578">
        <f t="shared" si="1"/>
        <v>0</v>
      </c>
      <c r="L33" s="1570"/>
      <c r="M33" s="1571">
        <f t="shared" si="2"/>
        <v>0</v>
      </c>
    </row>
    <row r="34" spans="6:16" s="16" customFormat="1" x14ac:dyDescent="0.25">
      <c r="F34" s="1582">
        <v>28</v>
      </c>
      <c r="G34" s="1576">
        <v>0</v>
      </c>
      <c r="H34" s="1567" t="s">
        <v>1102</v>
      </c>
      <c r="I34" s="1577"/>
      <c r="J34" s="1577">
        <f t="shared" si="0"/>
        <v>23.80952380952381</v>
      </c>
      <c r="K34" s="1578">
        <f t="shared" si="1"/>
        <v>0</v>
      </c>
      <c r="L34" s="1570"/>
      <c r="M34" s="1571">
        <f t="shared" si="2"/>
        <v>0</v>
      </c>
    </row>
    <row r="35" spans="6:16" s="16" customFormat="1" x14ac:dyDescent="0.25">
      <c r="F35" s="1582">
        <v>29</v>
      </c>
      <c r="G35" s="1576">
        <v>0</v>
      </c>
      <c r="H35" s="1567" t="s">
        <v>1102</v>
      </c>
      <c r="I35" s="1577"/>
      <c r="J35" s="1577">
        <f t="shared" si="0"/>
        <v>23.80952380952381</v>
      </c>
      <c r="K35" s="1578">
        <f t="shared" si="1"/>
        <v>0</v>
      </c>
      <c r="L35" s="1570"/>
      <c r="M35" s="1571">
        <f t="shared" si="2"/>
        <v>0</v>
      </c>
    </row>
    <row r="36" spans="6:16" s="16" customFormat="1" ht="15" thickBot="1" x14ac:dyDescent="0.3">
      <c r="F36" s="1584">
        <v>30</v>
      </c>
      <c r="G36" s="1585">
        <v>0</v>
      </c>
      <c r="H36" s="1567" t="s">
        <v>1102</v>
      </c>
      <c r="I36" s="1586"/>
      <c r="J36" s="1577">
        <f t="shared" si="0"/>
        <v>23.80952380952381</v>
      </c>
      <c r="K36" s="1578">
        <f t="shared" si="1"/>
        <v>0</v>
      </c>
      <c r="L36" s="1570"/>
      <c r="M36" s="1571">
        <f t="shared" si="2"/>
        <v>0</v>
      </c>
    </row>
    <row r="37" spans="6:16" s="16" customFormat="1" ht="17.25" thickTop="1" thickBot="1" x14ac:dyDescent="0.3">
      <c r="F37" s="1561" t="s">
        <v>158</v>
      </c>
      <c r="G37" s="1590">
        <f>SUM(G7:G36)</f>
        <v>25641597</v>
      </c>
      <c r="H37" s="1591"/>
      <c r="I37" s="1592">
        <f>SUM(I7:I36)</f>
        <v>0</v>
      </c>
      <c r="J37" s="1593">
        <f>SUM(J7:J36)</f>
        <v>470.08002857142856</v>
      </c>
      <c r="K37" s="1592"/>
      <c r="L37" s="1594"/>
      <c r="M37" s="1595">
        <f>AVERAGE(M7:M36)</f>
        <v>35.613329166666659</v>
      </c>
    </row>
    <row r="38" spans="6:16" customFormat="1" ht="18" customHeight="1" thickTop="1" x14ac:dyDescent="0.25">
      <c r="F38" s="1596"/>
      <c r="G38" s="1597"/>
      <c r="H38" s="1598"/>
      <c r="I38" s="1"/>
      <c r="J38" s="1"/>
      <c r="K38" s="1"/>
      <c r="L38" s="1"/>
      <c r="M38" s="1"/>
    </row>
    <row r="39" spans="6:16" s="16" customFormat="1" x14ac:dyDescent="0.25">
      <c r="G39" s="1599" t="s">
        <v>840</v>
      </c>
    </row>
    <row r="40" spans="6:16" s="16" customFormat="1" x14ac:dyDescent="0.25">
      <c r="G40" s="16" t="s">
        <v>841</v>
      </c>
      <c r="I40" s="1571">
        <v>0</v>
      </c>
      <c r="J40" s="16" t="s">
        <v>842</v>
      </c>
      <c r="P40" s="1600"/>
    </row>
    <row r="41" spans="6:16" s="16" customFormat="1" x14ac:dyDescent="0.25">
      <c r="G41" s="16" t="s">
        <v>843</v>
      </c>
      <c r="I41" s="1571">
        <f>SUM(J30)</f>
        <v>16.776752380952381</v>
      </c>
      <c r="J41" s="16" t="s">
        <v>842</v>
      </c>
    </row>
    <row r="42" spans="6:16" s="16" customFormat="1" x14ac:dyDescent="0.25">
      <c r="G42" s="16" t="s">
        <v>844</v>
      </c>
      <c r="I42" s="1571">
        <v>0</v>
      </c>
      <c r="J42" s="16" t="s">
        <v>842</v>
      </c>
    </row>
    <row r="43" spans="6:16" s="16" customFormat="1" x14ac:dyDescent="0.25">
      <c r="G43" s="16" t="s">
        <v>845</v>
      </c>
      <c r="I43" s="1571">
        <f>SUM(J10,J13,J14,J15,J16,J17,J18,J20,J19,J21,J22,J23,J24,J25,J26,J27,J28,J29,J31)</f>
        <v>216.47462857142855</v>
      </c>
      <c r="J43" s="16" t="s">
        <v>842</v>
      </c>
    </row>
    <row r="44" spans="6:16" s="16" customFormat="1" x14ac:dyDescent="0.25">
      <c r="G44" s="16" t="s">
        <v>846</v>
      </c>
      <c r="I44" s="1601">
        <f>SUM(J9)</f>
        <v>22.54293333333333</v>
      </c>
      <c r="J44" s="16" t="s">
        <v>842</v>
      </c>
    </row>
    <row r="45" spans="6:16" s="16" customFormat="1" x14ac:dyDescent="0.25">
      <c r="G45" s="16" t="s">
        <v>847</v>
      </c>
      <c r="I45" s="1601">
        <v>0</v>
      </c>
      <c r="J45" s="16" t="s">
        <v>842</v>
      </c>
    </row>
    <row r="46" spans="6:16" s="16" customFormat="1" x14ac:dyDescent="0.25">
      <c r="G46" s="16" t="s">
        <v>848</v>
      </c>
      <c r="I46" s="1601">
        <v>0</v>
      </c>
      <c r="J46" s="16" t="s">
        <v>842</v>
      </c>
    </row>
    <row r="47" spans="6:16" s="16" customFormat="1" x14ac:dyDescent="0.25">
      <c r="G47" s="16" t="s">
        <v>849</v>
      </c>
      <c r="I47" s="1601">
        <v>0</v>
      </c>
      <c r="J47" s="16" t="s">
        <v>842</v>
      </c>
    </row>
    <row r="48" spans="6:16" s="16" customFormat="1" x14ac:dyDescent="0.25">
      <c r="G48" s="16" t="s">
        <v>850</v>
      </c>
      <c r="I48" s="1601">
        <v>0</v>
      </c>
      <c r="J48" s="16" t="s">
        <v>842</v>
      </c>
    </row>
    <row r="49" spans="5:13" s="16" customFormat="1" x14ac:dyDescent="0.25">
      <c r="G49" s="16" t="s">
        <v>851</v>
      </c>
      <c r="I49" s="1601">
        <f>SUM(J7,J8,J11,J12,J32,J33,J34,J35,J36)</f>
        <v>214.28571428571428</v>
      </c>
      <c r="J49" s="16" t="s">
        <v>842</v>
      </c>
    </row>
    <row r="50" spans="5:13" s="16" customFormat="1" x14ac:dyDescent="0.25">
      <c r="G50" s="16" t="s">
        <v>852</v>
      </c>
      <c r="I50" s="1571"/>
      <c r="J50" s="16" t="s">
        <v>842</v>
      </c>
    </row>
    <row r="51" spans="5:13" ht="15" x14ac:dyDescent="0.25">
      <c r="G51" s="2192" t="s">
        <v>1</v>
      </c>
      <c r="H51" s="2192"/>
      <c r="I51" s="1602">
        <f>SUM(I40:I50)</f>
        <v>470.08002857142856</v>
      </c>
      <c r="J51" s="2" t="s">
        <v>842</v>
      </c>
      <c r="K51" s="2"/>
      <c r="L51" s="2"/>
      <c r="M51" s="2"/>
    </row>
    <row r="52" spans="5:13" x14ac:dyDescent="0.2">
      <c r="G52" s="2191" t="s">
        <v>1105</v>
      </c>
      <c r="H52" s="2191"/>
      <c r="I52" s="140">
        <f>I51/24</f>
        <v>19.586667857142857</v>
      </c>
    </row>
    <row r="60" spans="5:13" ht="15" x14ac:dyDescent="0.2">
      <c r="E60" s="2117" t="s">
        <v>771</v>
      </c>
      <c r="F60" s="2117"/>
      <c r="G60" s="2117"/>
      <c r="H60" s="1196" t="s">
        <v>772</v>
      </c>
      <c r="I60" s="1311"/>
      <c r="J60" s="1196" t="s">
        <v>773</v>
      </c>
      <c r="K60" s="1311"/>
    </row>
    <row r="61" spans="5:13" ht="15" x14ac:dyDescent="0.25">
      <c r="E61" s="1193"/>
      <c r="F61" s="1313"/>
      <c r="G61" s="1313"/>
      <c r="H61" s="1313"/>
      <c r="I61" s="1313"/>
      <c r="J61" s="1193"/>
      <c r="K61" s="1313"/>
    </row>
    <row r="62" spans="5:13" ht="15" x14ac:dyDescent="0.25">
      <c r="E62" s="1193"/>
      <c r="F62" s="1313"/>
      <c r="G62" s="1313"/>
      <c r="H62" s="1313"/>
      <c r="I62" s="1313"/>
      <c r="J62" s="1193"/>
      <c r="K62" s="1313"/>
    </row>
    <row r="63" spans="5:13" ht="15" x14ac:dyDescent="0.25">
      <c r="E63" s="1193"/>
      <c r="F63" s="1313"/>
      <c r="G63" s="1313"/>
      <c r="H63" s="1313"/>
      <c r="I63" s="1313"/>
      <c r="J63" s="1193"/>
      <c r="K63" s="1313"/>
    </row>
    <row r="64" spans="5:13" ht="15" x14ac:dyDescent="0.2">
      <c r="E64" s="2118" t="s">
        <v>1096</v>
      </c>
      <c r="F64" s="2118"/>
      <c r="G64" s="2118"/>
      <c r="H64" s="1315" t="s">
        <v>774</v>
      </c>
      <c r="I64" s="1316"/>
      <c r="J64" s="1315" t="s">
        <v>775</v>
      </c>
      <c r="K64" s="1316"/>
    </row>
    <row r="65" spans="5:11" x14ac:dyDescent="0.2">
      <c r="E65" s="2119" t="s">
        <v>777</v>
      </c>
      <c r="F65" s="2119"/>
      <c r="G65" s="2119"/>
      <c r="H65" s="1313" t="s">
        <v>778</v>
      </c>
      <c r="I65" s="1318"/>
      <c r="J65" s="1313" t="s">
        <v>779</v>
      </c>
      <c r="K65" s="1318"/>
    </row>
  </sheetData>
  <mergeCells count="10">
    <mergeCell ref="E60:G60"/>
    <mergeCell ref="E64:G64"/>
    <mergeCell ref="E65:G65"/>
    <mergeCell ref="F2:J2"/>
    <mergeCell ref="F5:F6"/>
    <mergeCell ref="G5:G6"/>
    <mergeCell ref="H5:H6"/>
    <mergeCell ref="I5:K5"/>
    <mergeCell ref="G52:H52"/>
    <mergeCell ref="G51:H5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sheetPr>
    <pageSetUpPr fitToPage="1"/>
  </sheetPr>
  <dimension ref="E2:AS69"/>
  <sheetViews>
    <sheetView view="pageBreakPreview" topLeftCell="A7" zoomScale="80" zoomScaleNormal="80" zoomScaleSheetLayoutView="80" workbookViewId="0">
      <selection activeCell="O23" sqref="O23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0" width="9.42578125" style="1" customWidth="1"/>
    <col min="11" max="11" width="10" style="1" bestFit="1" customWidth="1"/>
    <col min="12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181" t="s">
        <v>853</v>
      </c>
      <c r="G2" s="2181"/>
      <c r="H2" s="2181"/>
      <c r="I2" s="2181"/>
      <c r="J2" s="2181"/>
      <c r="K2" s="1556"/>
      <c r="L2" s="1556"/>
      <c r="M2" s="1556"/>
    </row>
    <row r="3" spans="6:45" s="16" customFormat="1" x14ac:dyDescent="0.25">
      <c r="F3" s="1557"/>
      <c r="G3" s="1558"/>
      <c r="H3" s="1559"/>
    </row>
    <row r="4" spans="6:45" s="16" customFormat="1" ht="15" thickBot="1" x14ac:dyDescent="0.3">
      <c r="F4" s="1560" t="s">
        <v>1101</v>
      </c>
      <c r="G4" s="1558"/>
      <c r="H4" s="1559"/>
    </row>
    <row r="5" spans="6:45" s="16" customFormat="1" ht="15" customHeight="1" thickTop="1" thickBot="1" x14ac:dyDescent="0.3">
      <c r="F5" s="2182" t="s">
        <v>174</v>
      </c>
      <c r="G5" s="2184" t="s">
        <v>833</v>
      </c>
      <c r="H5" s="2186" t="s">
        <v>834</v>
      </c>
      <c r="I5" s="2188" t="s">
        <v>835</v>
      </c>
      <c r="J5" s="2189"/>
      <c r="K5" s="2190"/>
      <c r="L5" s="1562"/>
      <c r="M5" s="517" t="s">
        <v>836</v>
      </c>
    </row>
    <row r="6" spans="6:45" s="16" customFormat="1" ht="16.5" thickTop="1" thickBot="1" x14ac:dyDescent="0.3">
      <c r="F6" s="2183"/>
      <c r="G6" s="2185"/>
      <c r="H6" s="2187"/>
      <c r="I6" s="1563" t="s">
        <v>837</v>
      </c>
      <c r="J6" s="1564" t="s">
        <v>838</v>
      </c>
      <c r="K6" s="1563" t="s">
        <v>25</v>
      </c>
      <c r="L6" s="1562"/>
      <c r="M6" s="156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15" customHeight="1" thickTop="1" x14ac:dyDescent="0.25">
      <c r="F7" s="1565">
        <v>1</v>
      </c>
      <c r="G7" s="33"/>
      <c r="H7" s="1567" t="s">
        <v>856</v>
      </c>
      <c r="I7" s="1568"/>
      <c r="J7" s="1568">
        <f t="shared" ref="J7:J37" si="0">(2500-(G7/1000))/105</f>
        <v>23.80952380952381</v>
      </c>
      <c r="K7" s="1569">
        <f>G7/2000/1000</f>
        <v>0</v>
      </c>
      <c r="L7" s="1570"/>
      <c r="M7" s="1571">
        <f>(G7/1000)/24</f>
        <v>0</v>
      </c>
      <c r="O7" s="1572">
        <f>249.262+270.9</f>
        <v>520.16200000000003</v>
      </c>
      <c r="P7" s="1573">
        <f>1356.367+39.742</f>
        <v>1396.1089999999999</v>
      </c>
      <c r="Q7" s="1573">
        <f>1086.521+50.6</f>
        <v>1137.1209999999999</v>
      </c>
      <c r="R7" s="1573">
        <f>1353.558+373.309</f>
        <v>1726.867</v>
      </c>
      <c r="S7" s="1572">
        <v>1942.7460000000001</v>
      </c>
      <c r="T7" s="1572">
        <v>1868.212</v>
      </c>
      <c r="U7" s="1572">
        <v>2057.011</v>
      </c>
      <c r="V7" s="1572">
        <v>1781.8440000000001</v>
      </c>
      <c r="W7" s="1574">
        <v>1250.7639999999999</v>
      </c>
      <c r="X7" s="1574">
        <v>1613.4860000000001</v>
      </c>
      <c r="Y7" s="1574">
        <v>1325.077</v>
      </c>
      <c r="Z7" s="1572">
        <f>66.442+571.568</f>
        <v>638.01</v>
      </c>
      <c r="AA7" s="1572">
        <f>815.429</f>
        <v>815.42899999999997</v>
      </c>
      <c r="AB7" s="1574">
        <f>352.234+731.627</f>
        <v>1083.8609999999999</v>
      </c>
      <c r="AC7" s="1572">
        <f>1626.002+13.213</f>
        <v>1639.2149999999999</v>
      </c>
      <c r="AD7" s="1572">
        <v>2094.7910000000002</v>
      </c>
      <c r="AE7" s="1574">
        <v>2075.375</v>
      </c>
      <c r="AF7" s="1574">
        <v>2008.8040000000001</v>
      </c>
      <c r="AG7" s="1574">
        <v>1946.712</v>
      </c>
      <c r="AH7" s="1574">
        <v>1998.9390000000001</v>
      </c>
      <c r="AI7" s="1572">
        <f>1623.839+281.468</f>
        <v>1905.307</v>
      </c>
      <c r="AJ7" s="1572">
        <v>1610.0239999999999</v>
      </c>
      <c r="AK7" s="1572">
        <f>1135.181+98.368</f>
        <v>1233.549</v>
      </c>
      <c r="AL7" s="1572">
        <f>958.893+543.852</f>
        <v>1502.7449999999999</v>
      </c>
      <c r="AM7" s="1572">
        <v>2043.15</v>
      </c>
      <c r="AN7" s="1572">
        <v>1762.6420000000001</v>
      </c>
      <c r="AO7" s="1572">
        <v>2170.3359999999998</v>
      </c>
      <c r="AP7" s="1572">
        <f>1181.38+463.711</f>
        <v>1645.0910000000001</v>
      </c>
      <c r="AQ7" s="1572">
        <v>219.47399999999999</v>
      </c>
      <c r="AR7" s="1572">
        <f>48.153+1225.968+107.3</f>
        <v>1381.421</v>
      </c>
      <c r="AS7" s="1572"/>
    </row>
    <row r="8" spans="6:45" s="16" customFormat="1" x14ac:dyDescent="0.2">
      <c r="F8" s="1575">
        <v>2</v>
      </c>
      <c r="G8" s="1583"/>
      <c r="H8" s="1567" t="s">
        <v>856</v>
      </c>
      <c r="I8" s="1577"/>
      <c r="J8" s="1577">
        <f t="shared" si="0"/>
        <v>23.80952380952381</v>
      </c>
      <c r="K8" s="1578">
        <f t="shared" ref="K8:K37" si="1">G8/2000/1000</f>
        <v>0</v>
      </c>
      <c r="L8" s="1570"/>
      <c r="M8" s="1571">
        <f t="shared" ref="M8:M37" si="2">(G8/1000)/24</f>
        <v>0</v>
      </c>
    </row>
    <row r="9" spans="6:45" s="16" customFormat="1" x14ac:dyDescent="0.2">
      <c r="F9" s="1579">
        <v>3</v>
      </c>
      <c r="G9" s="1583"/>
      <c r="H9" s="1567" t="s">
        <v>856</v>
      </c>
      <c r="I9" s="1577"/>
      <c r="J9" s="1577">
        <f t="shared" si="0"/>
        <v>23.80952380952381</v>
      </c>
      <c r="K9" s="1578">
        <f t="shared" si="1"/>
        <v>0</v>
      </c>
      <c r="L9" s="1570"/>
      <c r="M9" s="1571">
        <f t="shared" si="2"/>
        <v>0</v>
      </c>
    </row>
    <row r="10" spans="6:45" s="810" customFormat="1" x14ac:dyDescent="0.2">
      <c r="F10" s="1603">
        <v>4</v>
      </c>
      <c r="G10" s="1583"/>
      <c r="H10" s="1567" t="s">
        <v>856</v>
      </c>
      <c r="I10" s="1604"/>
      <c r="J10" s="1604">
        <f t="shared" si="0"/>
        <v>23.80952380952381</v>
      </c>
      <c r="K10" s="1605">
        <f t="shared" si="1"/>
        <v>0</v>
      </c>
      <c r="L10" s="1606"/>
      <c r="M10" s="1607">
        <f t="shared" si="2"/>
        <v>0</v>
      </c>
    </row>
    <row r="11" spans="6:45" s="16" customFormat="1" ht="14.65" customHeight="1" x14ac:dyDescent="0.2">
      <c r="F11" s="1579">
        <v>5</v>
      </c>
      <c r="G11" s="1583"/>
      <c r="H11" s="1567" t="s">
        <v>856</v>
      </c>
      <c r="I11" s="1577"/>
      <c r="J11" s="1577">
        <f t="shared" si="0"/>
        <v>23.80952380952381</v>
      </c>
      <c r="K11" s="1578">
        <f t="shared" si="1"/>
        <v>0</v>
      </c>
      <c r="L11" s="1570"/>
      <c r="M11" s="1571">
        <f t="shared" si="2"/>
        <v>0</v>
      </c>
    </row>
    <row r="12" spans="6:45" s="16" customFormat="1" x14ac:dyDescent="0.2">
      <c r="F12" s="1579">
        <v>6</v>
      </c>
      <c r="G12" s="1583"/>
      <c r="H12" s="1567" t="s">
        <v>856</v>
      </c>
      <c r="I12" s="1577"/>
      <c r="J12" s="1577">
        <f t="shared" si="0"/>
        <v>23.80952380952381</v>
      </c>
      <c r="K12" s="1578">
        <f t="shared" si="1"/>
        <v>0</v>
      </c>
      <c r="L12" s="1570"/>
      <c r="M12" s="1571">
        <f t="shared" si="2"/>
        <v>0</v>
      </c>
    </row>
    <row r="13" spans="6:45" s="16" customFormat="1" x14ac:dyDescent="0.25">
      <c r="F13" s="1579">
        <v>7</v>
      </c>
      <c r="G13" s="1608"/>
      <c r="H13" s="1567" t="s">
        <v>856</v>
      </c>
      <c r="I13" s="1577"/>
      <c r="J13" s="1577">
        <f t="shared" si="0"/>
        <v>23.80952380952381</v>
      </c>
      <c r="K13" s="1578">
        <f t="shared" si="1"/>
        <v>0</v>
      </c>
      <c r="L13" s="1570"/>
      <c r="M13" s="1571">
        <f t="shared" si="2"/>
        <v>0</v>
      </c>
    </row>
    <row r="14" spans="6:45" s="16" customFormat="1" x14ac:dyDescent="0.25">
      <c r="F14" s="1579">
        <v>8</v>
      </c>
      <c r="G14" s="1608"/>
      <c r="H14" s="1567" t="s">
        <v>856</v>
      </c>
      <c r="I14" s="1577"/>
      <c r="J14" s="1577">
        <f t="shared" si="0"/>
        <v>23.80952380952381</v>
      </c>
      <c r="K14" s="1578">
        <f t="shared" si="1"/>
        <v>0</v>
      </c>
      <c r="L14" s="1570"/>
      <c r="M14" s="1571">
        <f t="shared" si="2"/>
        <v>0</v>
      </c>
    </row>
    <row r="15" spans="6:45" s="16" customFormat="1" ht="12" customHeight="1" x14ac:dyDescent="0.25">
      <c r="F15" s="1579">
        <v>9</v>
      </c>
      <c r="G15" s="1608"/>
      <c r="H15" s="1567" t="s">
        <v>856</v>
      </c>
      <c r="I15" s="1577"/>
      <c r="J15" s="1577">
        <f t="shared" si="0"/>
        <v>23.80952380952381</v>
      </c>
      <c r="K15" s="1578">
        <f t="shared" si="1"/>
        <v>0</v>
      </c>
      <c r="L15" s="1570"/>
      <c r="M15" s="1571">
        <f t="shared" si="2"/>
        <v>0</v>
      </c>
    </row>
    <row r="16" spans="6:45" s="16" customFormat="1" ht="14.1" customHeight="1" x14ac:dyDescent="0.2">
      <c r="F16" s="1579">
        <v>10</v>
      </c>
      <c r="G16" s="1583">
        <v>178924</v>
      </c>
      <c r="H16" s="1567" t="s">
        <v>855</v>
      </c>
      <c r="I16" s="1577"/>
      <c r="J16" s="1577">
        <f t="shared" si="0"/>
        <v>22.105485714285713</v>
      </c>
      <c r="K16" s="1578">
        <f t="shared" si="1"/>
        <v>8.9462E-2</v>
      </c>
      <c r="L16" s="1570"/>
      <c r="M16" s="1571">
        <f t="shared" si="2"/>
        <v>7.4551666666666669</v>
      </c>
    </row>
    <row r="17" spans="6:13" s="16" customFormat="1" ht="12.6" customHeight="1" x14ac:dyDescent="0.2">
      <c r="F17" s="1579">
        <v>11</v>
      </c>
      <c r="G17" s="1583">
        <v>698398</v>
      </c>
      <c r="H17" s="1567" t="s">
        <v>1106</v>
      </c>
      <c r="I17" s="1577"/>
      <c r="J17" s="1577">
        <f t="shared" si="0"/>
        <v>17.158114285714284</v>
      </c>
      <c r="K17" s="1578">
        <f t="shared" si="1"/>
        <v>0.34919900000000004</v>
      </c>
      <c r="L17" s="1570"/>
      <c r="M17" s="1571">
        <f t="shared" si="2"/>
        <v>29.099916666666669</v>
      </c>
    </row>
    <row r="18" spans="6:13" s="16" customFormat="1" ht="28.5" x14ac:dyDescent="0.2">
      <c r="F18" s="1579">
        <v>12</v>
      </c>
      <c r="G18" s="1583">
        <v>1023384</v>
      </c>
      <c r="H18" s="1567" t="s">
        <v>1106</v>
      </c>
      <c r="I18" s="1577"/>
      <c r="J18" s="1577">
        <f t="shared" si="0"/>
        <v>14.063009523809523</v>
      </c>
      <c r="K18" s="1578">
        <f t="shared" si="1"/>
        <v>0.51169200000000004</v>
      </c>
      <c r="L18" s="1570"/>
      <c r="M18" s="1571">
        <f t="shared" si="2"/>
        <v>42.640999999999998</v>
      </c>
    </row>
    <row r="19" spans="6:13" s="16" customFormat="1" x14ac:dyDescent="0.2">
      <c r="F19" s="1579">
        <v>13</v>
      </c>
      <c r="G19" s="1583">
        <v>1366180</v>
      </c>
      <c r="H19" s="1567" t="s">
        <v>854</v>
      </c>
      <c r="I19" s="1577"/>
      <c r="J19" s="1577">
        <f t="shared" si="0"/>
        <v>10.798285714285713</v>
      </c>
      <c r="K19" s="1578">
        <f t="shared" si="1"/>
        <v>0.68309000000000009</v>
      </c>
      <c r="L19" s="1570"/>
      <c r="M19" s="1571">
        <f t="shared" si="2"/>
        <v>56.924166666666672</v>
      </c>
    </row>
    <row r="20" spans="6:13" s="16" customFormat="1" x14ac:dyDescent="0.2">
      <c r="F20" s="1579">
        <v>14</v>
      </c>
      <c r="G20" s="1583">
        <v>1943182</v>
      </c>
      <c r="H20" s="1567" t="s">
        <v>854</v>
      </c>
      <c r="I20" s="1577"/>
      <c r="J20" s="1577">
        <f t="shared" si="0"/>
        <v>5.3030285714285714</v>
      </c>
      <c r="K20" s="1578">
        <f t="shared" si="1"/>
        <v>0.97159099999999998</v>
      </c>
      <c r="L20" s="1570"/>
      <c r="M20" s="1571">
        <f t="shared" si="2"/>
        <v>80.965916666666672</v>
      </c>
    </row>
    <row r="21" spans="6:13" s="16" customFormat="1" x14ac:dyDescent="0.2">
      <c r="F21" s="1579">
        <v>15</v>
      </c>
      <c r="G21" s="1583">
        <v>2119169</v>
      </c>
      <c r="H21" s="1567" t="s">
        <v>854</v>
      </c>
      <c r="I21" s="1577"/>
      <c r="J21" s="1577">
        <f t="shared" si="0"/>
        <v>3.6269619047619059</v>
      </c>
      <c r="K21" s="1578">
        <f t="shared" si="1"/>
        <v>1.0595844999999999</v>
      </c>
      <c r="L21" s="1570"/>
      <c r="M21" s="1571">
        <f t="shared" si="2"/>
        <v>88.298708333333323</v>
      </c>
    </row>
    <row r="22" spans="6:13" s="16" customFormat="1" ht="28.5" x14ac:dyDescent="0.2">
      <c r="F22" s="1579">
        <v>16</v>
      </c>
      <c r="G22" s="1583">
        <v>1102637</v>
      </c>
      <c r="H22" s="1567" t="s">
        <v>1106</v>
      </c>
      <c r="I22" s="1577"/>
      <c r="J22" s="1577">
        <f t="shared" si="0"/>
        <v>13.308219047619048</v>
      </c>
      <c r="K22" s="1578">
        <f t="shared" si="1"/>
        <v>0.55131849999999993</v>
      </c>
      <c r="L22" s="1570"/>
      <c r="M22" s="1571">
        <f t="shared" si="2"/>
        <v>45.943208333333331</v>
      </c>
    </row>
    <row r="23" spans="6:13" s="16" customFormat="1" ht="13.5" customHeight="1" x14ac:dyDescent="0.2">
      <c r="F23" s="1579">
        <v>17</v>
      </c>
      <c r="G23" s="1583">
        <v>2268595</v>
      </c>
      <c r="H23" s="1567" t="s">
        <v>1106</v>
      </c>
      <c r="I23" s="1577"/>
      <c r="J23" s="1577">
        <f t="shared" si="0"/>
        <v>2.203857142857145</v>
      </c>
      <c r="K23" s="1578">
        <f t="shared" si="1"/>
        <v>1.1342975</v>
      </c>
      <c r="L23" s="1570"/>
      <c r="M23" s="1571">
        <f t="shared" si="2"/>
        <v>94.524791666666658</v>
      </c>
    </row>
    <row r="24" spans="6:13" s="16" customFormat="1" x14ac:dyDescent="0.2">
      <c r="F24" s="1582">
        <v>18</v>
      </c>
      <c r="G24" s="1583">
        <v>2916949</v>
      </c>
      <c r="H24" s="1567" t="s">
        <v>855</v>
      </c>
      <c r="I24" s="1577"/>
      <c r="J24" s="1577">
        <f t="shared" si="0"/>
        <v>-3.970942857142858</v>
      </c>
      <c r="K24" s="1578">
        <f t="shared" si="1"/>
        <v>1.4584745000000001</v>
      </c>
      <c r="L24" s="1570"/>
      <c r="M24" s="1571">
        <f t="shared" si="2"/>
        <v>121.53954166666666</v>
      </c>
    </row>
    <row r="25" spans="6:13" s="16" customFormat="1" ht="28.5" x14ac:dyDescent="0.2">
      <c r="F25" s="1582">
        <v>19</v>
      </c>
      <c r="G25" s="1583">
        <v>1399735</v>
      </c>
      <c r="H25" s="1567" t="s">
        <v>1106</v>
      </c>
      <c r="I25" s="1577"/>
      <c r="J25" s="1577">
        <f t="shared" si="0"/>
        <v>10.478714285714286</v>
      </c>
      <c r="K25" s="1578">
        <f t="shared" si="1"/>
        <v>0.69986749999999998</v>
      </c>
      <c r="L25" s="1570"/>
      <c r="M25" s="1571">
        <f t="shared" si="2"/>
        <v>58.322291666666665</v>
      </c>
    </row>
    <row r="26" spans="6:13" s="16" customFormat="1" x14ac:dyDescent="0.2">
      <c r="F26" s="1582">
        <v>20</v>
      </c>
      <c r="G26" s="1583">
        <v>228179</v>
      </c>
      <c r="H26" s="1567" t="s">
        <v>854</v>
      </c>
      <c r="I26" s="1577"/>
      <c r="J26" s="1577">
        <f t="shared" si="0"/>
        <v>21.636390476190474</v>
      </c>
      <c r="K26" s="1578">
        <f t="shared" si="1"/>
        <v>0.1140895</v>
      </c>
      <c r="L26" s="1570"/>
      <c r="M26" s="1571">
        <f t="shared" si="2"/>
        <v>9.507458333333334</v>
      </c>
    </row>
    <row r="27" spans="6:13" s="16" customFormat="1" x14ac:dyDescent="0.2">
      <c r="F27" s="1582">
        <v>21</v>
      </c>
      <c r="G27" s="1583">
        <v>546176</v>
      </c>
      <c r="H27" s="1567" t="s">
        <v>854</v>
      </c>
      <c r="I27" s="1577"/>
      <c r="J27" s="1577">
        <f t="shared" si="0"/>
        <v>18.607847619047618</v>
      </c>
      <c r="K27" s="1578">
        <f t="shared" si="1"/>
        <v>0.273088</v>
      </c>
      <c r="L27" s="1570"/>
      <c r="M27" s="1571">
        <f t="shared" si="2"/>
        <v>22.757333333333335</v>
      </c>
    </row>
    <row r="28" spans="6:13" s="16" customFormat="1" x14ac:dyDescent="0.2">
      <c r="F28" s="1582">
        <v>22</v>
      </c>
      <c r="G28" s="1583">
        <v>1230701</v>
      </c>
      <c r="H28" s="1567" t="s">
        <v>854</v>
      </c>
      <c r="I28" s="1577"/>
      <c r="J28" s="1577">
        <f t="shared" si="0"/>
        <v>12.088561904761905</v>
      </c>
      <c r="K28" s="1578">
        <f t="shared" si="1"/>
        <v>0.61535050000000002</v>
      </c>
      <c r="L28" s="1570"/>
      <c r="M28" s="1571">
        <f t="shared" si="2"/>
        <v>51.279208333333337</v>
      </c>
    </row>
    <row r="29" spans="6:13" s="16" customFormat="1" x14ac:dyDescent="0.2">
      <c r="F29" s="1582">
        <v>23</v>
      </c>
      <c r="G29" s="1583">
        <v>1595581</v>
      </c>
      <c r="H29" s="1567" t="s">
        <v>854</v>
      </c>
      <c r="I29" s="1577"/>
      <c r="J29" s="1577">
        <f t="shared" si="0"/>
        <v>8.6135142857142863</v>
      </c>
      <c r="K29" s="1578">
        <f t="shared" si="1"/>
        <v>0.79779049999999996</v>
      </c>
      <c r="L29" s="1570"/>
      <c r="M29" s="1571">
        <f t="shared" si="2"/>
        <v>66.482541666666663</v>
      </c>
    </row>
    <row r="30" spans="6:13" s="16" customFormat="1" x14ac:dyDescent="0.2">
      <c r="F30" s="1582">
        <v>24</v>
      </c>
      <c r="G30" s="1583">
        <v>1493796</v>
      </c>
      <c r="H30" s="1567" t="s">
        <v>854</v>
      </c>
      <c r="I30" s="1577"/>
      <c r="J30" s="1577">
        <f t="shared" si="0"/>
        <v>9.5828952380952384</v>
      </c>
      <c r="K30" s="1578">
        <f t="shared" si="1"/>
        <v>0.74689800000000006</v>
      </c>
      <c r="L30" s="1570"/>
      <c r="M30" s="1571">
        <f t="shared" si="2"/>
        <v>62.241500000000002</v>
      </c>
    </row>
    <row r="31" spans="6:13" s="16" customFormat="1" x14ac:dyDescent="0.2">
      <c r="F31" s="1582">
        <v>25</v>
      </c>
      <c r="G31" s="1583">
        <v>1574199</v>
      </c>
      <c r="H31" s="1567" t="s">
        <v>854</v>
      </c>
      <c r="I31" s="1577"/>
      <c r="J31" s="1577">
        <f t="shared" si="0"/>
        <v>8.8171523809523809</v>
      </c>
      <c r="K31" s="1578">
        <f t="shared" si="1"/>
        <v>0.78709950000000006</v>
      </c>
      <c r="L31" s="1570"/>
      <c r="M31" s="1571">
        <f t="shared" si="2"/>
        <v>65.591625000000008</v>
      </c>
    </row>
    <row r="32" spans="6:13" s="16" customFormat="1" ht="28.5" x14ac:dyDescent="0.2">
      <c r="F32" s="1582">
        <v>26</v>
      </c>
      <c r="G32" s="1583">
        <v>2042339</v>
      </c>
      <c r="H32" s="1567" t="s">
        <v>1106</v>
      </c>
      <c r="I32" s="1577"/>
      <c r="J32" s="1577">
        <f t="shared" si="0"/>
        <v>4.3586761904761913</v>
      </c>
      <c r="K32" s="1578">
        <f t="shared" si="1"/>
        <v>1.0211695000000001</v>
      </c>
      <c r="L32" s="1570"/>
      <c r="M32" s="1571">
        <f t="shared" si="2"/>
        <v>85.097458333333336</v>
      </c>
    </row>
    <row r="33" spans="6:16" s="16" customFormat="1" x14ac:dyDescent="0.2">
      <c r="F33" s="1582">
        <v>27</v>
      </c>
      <c r="G33" s="1583">
        <v>223353</v>
      </c>
      <c r="H33" s="1567" t="s">
        <v>855</v>
      </c>
      <c r="I33" s="1577"/>
      <c r="J33" s="1577">
        <f t="shared" si="0"/>
        <v>21.682352380952381</v>
      </c>
      <c r="K33" s="1578">
        <f t="shared" si="1"/>
        <v>0.1116765</v>
      </c>
      <c r="L33" s="1570"/>
      <c r="M33" s="1571">
        <f t="shared" si="2"/>
        <v>9.306375000000001</v>
      </c>
    </row>
    <row r="34" spans="6:16" s="16" customFormat="1" x14ac:dyDescent="0.2">
      <c r="F34" s="1582">
        <v>28</v>
      </c>
      <c r="G34" s="1583">
        <v>145360</v>
      </c>
      <c r="H34" s="1567" t="s">
        <v>1104</v>
      </c>
      <c r="I34" s="1577"/>
      <c r="J34" s="1577">
        <f t="shared" si="0"/>
        <v>22.425142857142855</v>
      </c>
      <c r="K34" s="1578">
        <f t="shared" si="1"/>
        <v>7.2680000000000008E-2</v>
      </c>
      <c r="L34" s="1570"/>
      <c r="M34" s="1571">
        <f t="shared" si="2"/>
        <v>6.0566666666666675</v>
      </c>
    </row>
    <row r="35" spans="6:16" s="16" customFormat="1" ht="12.6" customHeight="1" x14ac:dyDescent="0.2">
      <c r="F35" s="1582">
        <v>29</v>
      </c>
      <c r="G35" s="1583">
        <v>0</v>
      </c>
      <c r="H35" s="1567" t="s">
        <v>856</v>
      </c>
      <c r="I35" s="1609"/>
      <c r="J35" s="1577">
        <f t="shared" si="0"/>
        <v>23.80952380952381</v>
      </c>
      <c r="K35" s="1578">
        <f t="shared" si="1"/>
        <v>0</v>
      </c>
      <c r="L35" s="1570"/>
      <c r="M35" s="1571">
        <f t="shared" si="2"/>
        <v>0</v>
      </c>
    </row>
    <row r="36" spans="6:16" s="16" customFormat="1" x14ac:dyDescent="0.2">
      <c r="F36" s="1584">
        <v>30</v>
      </c>
      <c r="G36" s="1610">
        <v>0</v>
      </c>
      <c r="H36" s="1567" t="s">
        <v>856</v>
      </c>
      <c r="I36" s="1611"/>
      <c r="J36" s="1577">
        <f t="shared" si="0"/>
        <v>23.80952380952381</v>
      </c>
      <c r="K36" s="1578">
        <f t="shared" si="1"/>
        <v>0</v>
      </c>
      <c r="L36" s="1570"/>
      <c r="M36" s="1571">
        <f t="shared" si="2"/>
        <v>0</v>
      </c>
    </row>
    <row r="37" spans="6:16" s="16" customFormat="1" ht="15" thickBot="1" x14ac:dyDescent="0.25">
      <c r="F37" s="1587">
        <v>31</v>
      </c>
      <c r="G37" s="1612">
        <v>0</v>
      </c>
      <c r="H37" s="1567" t="s">
        <v>856</v>
      </c>
      <c r="I37" s="1588"/>
      <c r="J37" s="1589">
        <f t="shared" si="0"/>
        <v>23.80952380952381</v>
      </c>
      <c r="K37" s="1578">
        <f t="shared" si="1"/>
        <v>0</v>
      </c>
      <c r="L37" s="1570"/>
      <c r="M37" s="1571">
        <f t="shared" si="2"/>
        <v>0</v>
      </c>
    </row>
    <row r="38" spans="6:16" s="16" customFormat="1" ht="18" customHeight="1" thickTop="1" thickBot="1" x14ac:dyDescent="0.3">
      <c r="F38" s="1561" t="s">
        <v>158</v>
      </c>
      <c r="G38" s="1613">
        <f>SUM(G7:G37)</f>
        <v>24096837</v>
      </c>
      <c r="H38" s="1614"/>
      <c r="I38" s="1592">
        <f>SUM(I7:I36)</f>
        <v>0</v>
      </c>
      <c r="J38" s="1593">
        <f>SUM(J7:J37)</f>
        <v>508.60155238095234</v>
      </c>
      <c r="K38" s="1592"/>
      <c r="L38" s="1594"/>
      <c r="M38" s="1595">
        <f>AVERAGE(M7:M37)</f>
        <v>32.388221774193546</v>
      </c>
    </row>
    <row r="39" spans="6:16" customFormat="1" ht="15.75" thickTop="1" x14ac:dyDescent="0.25">
      <c r="F39" s="1596"/>
      <c r="G39" s="1597"/>
      <c r="H39" s="1598"/>
      <c r="I39" s="1"/>
      <c r="J39" s="1"/>
      <c r="K39" s="1"/>
      <c r="L39" s="1"/>
      <c r="M39" s="1"/>
    </row>
    <row r="40" spans="6:16" s="16" customFormat="1" x14ac:dyDescent="0.25">
      <c r="G40" s="1599" t="s">
        <v>840</v>
      </c>
    </row>
    <row r="41" spans="6:16" s="16" customFormat="1" x14ac:dyDescent="0.25">
      <c r="G41" s="16" t="s">
        <v>841</v>
      </c>
      <c r="I41" s="1571">
        <v>0</v>
      </c>
      <c r="J41" s="16" t="s">
        <v>842</v>
      </c>
      <c r="P41" s="1600"/>
    </row>
    <row r="42" spans="6:16" s="16" customFormat="1" x14ac:dyDescent="0.25">
      <c r="G42" s="16" t="s">
        <v>843</v>
      </c>
      <c r="I42" s="1571">
        <f>SUM(J34)</f>
        <v>22.425142857142855</v>
      </c>
      <c r="J42" s="16" t="s">
        <v>842</v>
      </c>
    </row>
    <row r="43" spans="6:16" s="16" customFormat="1" x14ac:dyDescent="0.25">
      <c r="G43" s="16" t="s">
        <v>857</v>
      </c>
      <c r="I43" s="1571">
        <v>0</v>
      </c>
      <c r="J43" s="16" t="s">
        <v>842</v>
      </c>
    </row>
    <row r="44" spans="6:16" s="16" customFormat="1" x14ac:dyDescent="0.25">
      <c r="G44" s="16" t="s">
        <v>858</v>
      </c>
      <c r="I44" s="1601">
        <v>0</v>
      </c>
      <c r="J44" s="16" t="s">
        <v>842</v>
      </c>
    </row>
    <row r="45" spans="6:16" s="16" customFormat="1" x14ac:dyDescent="0.25">
      <c r="G45" s="16" t="s">
        <v>859</v>
      </c>
      <c r="I45" s="1601">
        <v>0</v>
      </c>
      <c r="J45" s="16" t="s">
        <v>842</v>
      </c>
    </row>
    <row r="46" spans="6:16" s="16" customFormat="1" x14ac:dyDescent="0.25">
      <c r="G46" s="16" t="s">
        <v>847</v>
      </c>
      <c r="I46" s="1601">
        <v>0</v>
      </c>
      <c r="J46" s="16" t="s">
        <v>842</v>
      </c>
    </row>
    <row r="47" spans="6:16" s="16" customFormat="1" x14ac:dyDescent="0.25">
      <c r="G47" s="16" t="s">
        <v>848</v>
      </c>
      <c r="I47" s="1601">
        <v>0</v>
      </c>
      <c r="J47" s="16" t="s">
        <v>842</v>
      </c>
    </row>
    <row r="48" spans="6:16" s="16" customFormat="1" x14ac:dyDescent="0.25">
      <c r="G48" s="16" t="s">
        <v>849</v>
      </c>
      <c r="I48" s="1601">
        <v>0</v>
      </c>
      <c r="J48" s="16" t="s">
        <v>842</v>
      </c>
    </row>
    <row r="49" spans="5:13" s="16" customFormat="1" x14ac:dyDescent="0.25">
      <c r="G49" s="16" t="s">
        <v>850</v>
      </c>
      <c r="I49" s="1601">
        <v>0</v>
      </c>
      <c r="J49" s="16" t="s">
        <v>842</v>
      </c>
    </row>
    <row r="50" spans="5:13" s="16" customFormat="1" x14ac:dyDescent="0.25">
      <c r="G50" s="1559" t="s">
        <v>860</v>
      </c>
      <c r="I50" s="1601">
        <f>SUM(J19,J20,J21,J26,J27,J28,J29,J30,J31)</f>
        <v>99.074638095238086</v>
      </c>
      <c r="J50" s="16" t="s">
        <v>842</v>
      </c>
    </row>
    <row r="51" spans="5:13" s="16" customFormat="1" x14ac:dyDescent="0.25">
      <c r="G51" s="1559" t="s">
        <v>861</v>
      </c>
      <c r="I51" s="1601">
        <f>SUM(J37,J36,J35,J15,J14,J13,J12,J11,J10,J9,J8,J7)</f>
        <v>285.71428571428567</v>
      </c>
      <c r="J51" s="16" t="s">
        <v>842</v>
      </c>
    </row>
    <row r="52" spans="5:13" s="16" customFormat="1" x14ac:dyDescent="0.25">
      <c r="G52" s="1559" t="s">
        <v>862</v>
      </c>
      <c r="I52" s="1601">
        <f>SUM(J16,J24,J33)</f>
        <v>39.816895238095235</v>
      </c>
      <c r="J52" s="16" t="s">
        <v>842</v>
      </c>
    </row>
    <row r="53" spans="5:13" s="16" customFormat="1" x14ac:dyDescent="0.25">
      <c r="G53" s="1559" t="s">
        <v>863</v>
      </c>
      <c r="I53" s="1601">
        <v>0</v>
      </c>
      <c r="J53" s="16" t="s">
        <v>842</v>
      </c>
    </row>
    <row r="54" spans="5:13" s="16" customFormat="1" x14ac:dyDescent="0.25">
      <c r="G54" s="1559" t="s">
        <v>864</v>
      </c>
      <c r="I54" s="1601">
        <f>SUM(J17,J18,J22,J23,J25,J32)</f>
        <v>61.570590476190475</v>
      </c>
      <c r="J54" s="16" t="s">
        <v>842</v>
      </c>
    </row>
    <row r="55" spans="5:13" ht="15" x14ac:dyDescent="0.25">
      <c r="G55" s="2192" t="s">
        <v>1</v>
      </c>
      <c r="H55" s="2192"/>
      <c r="I55" s="1602">
        <f>SUM(I41:I54)</f>
        <v>508.60155238095234</v>
      </c>
      <c r="J55" s="2" t="s">
        <v>842</v>
      </c>
      <c r="K55" s="2"/>
      <c r="L55" s="2"/>
      <c r="M55" s="2"/>
    </row>
    <row r="56" spans="5:13" x14ac:dyDescent="0.2">
      <c r="G56" s="2191" t="s">
        <v>1105</v>
      </c>
      <c r="H56" s="2191"/>
    </row>
    <row r="64" spans="5:13" ht="15" x14ac:dyDescent="0.2">
      <c r="E64" s="2117" t="s">
        <v>771</v>
      </c>
      <c r="F64" s="2117"/>
      <c r="G64" s="2117"/>
      <c r="H64" s="1196" t="s">
        <v>772</v>
      </c>
      <c r="I64" s="1311"/>
      <c r="J64" s="1196" t="s">
        <v>773</v>
      </c>
      <c r="K64" s="1311"/>
    </row>
    <row r="65" spans="5:11" ht="15" x14ac:dyDescent="0.25">
      <c r="E65" s="1193"/>
      <c r="F65" s="1313"/>
      <c r="G65" s="1313"/>
      <c r="H65" s="1313"/>
      <c r="I65" s="1313"/>
      <c r="J65" s="1193"/>
      <c r="K65" s="1313"/>
    </row>
    <row r="66" spans="5:11" ht="15" x14ac:dyDescent="0.25">
      <c r="E66" s="1193"/>
      <c r="F66" s="1313"/>
      <c r="G66" s="1313"/>
      <c r="H66" s="1313"/>
      <c r="I66" s="1313"/>
      <c r="J66" s="1193"/>
      <c r="K66" s="1313"/>
    </row>
    <row r="67" spans="5:11" ht="15" x14ac:dyDescent="0.25">
      <c r="E67" s="1193"/>
      <c r="F67" s="1313"/>
      <c r="G67" s="1313"/>
      <c r="H67" s="1313"/>
      <c r="I67" s="1313"/>
      <c r="J67" s="1193"/>
      <c r="K67" s="1313"/>
    </row>
    <row r="68" spans="5:11" ht="15" x14ac:dyDescent="0.2">
      <c r="E68" s="2118" t="s">
        <v>1096</v>
      </c>
      <c r="F68" s="2118"/>
      <c r="G68" s="2118"/>
      <c r="H68" s="1315" t="s">
        <v>774</v>
      </c>
      <c r="I68" s="1316"/>
      <c r="J68" s="1315" t="s">
        <v>775</v>
      </c>
      <c r="K68" s="1316"/>
    </row>
    <row r="69" spans="5:11" x14ac:dyDescent="0.2">
      <c r="E69" s="2119" t="s">
        <v>777</v>
      </c>
      <c r="F69" s="2119"/>
      <c r="G69" s="2119"/>
      <c r="H69" s="1313" t="s">
        <v>778</v>
      </c>
      <c r="I69" s="1318"/>
      <c r="J69" s="1313" t="s">
        <v>779</v>
      </c>
      <c r="K69" s="1318"/>
    </row>
  </sheetData>
  <mergeCells count="10">
    <mergeCell ref="E64:G64"/>
    <mergeCell ref="E68:G68"/>
    <mergeCell ref="E69:G69"/>
    <mergeCell ref="G56:H56"/>
    <mergeCell ref="F2:J2"/>
    <mergeCell ref="F5:F6"/>
    <mergeCell ref="G5:G6"/>
    <mergeCell ref="H5:H6"/>
    <mergeCell ref="I5:K5"/>
    <mergeCell ref="G55:H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4"/>
  <sheetViews>
    <sheetView topLeftCell="A2" zoomScale="80" zoomScaleNormal="80" workbookViewId="0">
      <pane xSplit="4" ySplit="4" topLeftCell="E6" activePane="bottomRight" state="frozen"/>
      <selection activeCell="O23" sqref="O23"/>
      <selection pane="topRight" activeCell="O23" sqref="O23"/>
      <selection pane="bottomLeft" activeCell="O23" sqref="O23"/>
      <selection pane="bottomRight" activeCell="O23" sqref="O23"/>
    </sheetView>
  </sheetViews>
  <sheetFormatPr defaultRowHeight="15" x14ac:dyDescent="0.25"/>
  <cols>
    <col min="1" max="1" width="4.28515625" customWidth="1"/>
    <col min="3" max="3" width="41.28515625" customWidth="1"/>
    <col min="4" max="4" width="16.28515625" customWidth="1"/>
    <col min="5" max="5" width="8.42578125" customWidth="1"/>
    <col min="6" max="6" width="19.42578125" customWidth="1"/>
    <col min="7" max="8" width="17.5703125" customWidth="1"/>
    <col min="9" max="10" width="18.28515625" customWidth="1"/>
    <col min="11" max="11" width="17.5703125" customWidth="1"/>
    <col min="12" max="12" width="17.28515625" customWidth="1"/>
    <col min="13" max="13" width="18.28515625" customWidth="1"/>
    <col min="14" max="16" width="17.42578125" customWidth="1"/>
    <col min="17" max="17" width="17" customWidth="1"/>
    <col min="18" max="18" width="15.5703125" hidden="1" customWidth="1"/>
    <col min="20" max="20" width="25.28515625" customWidth="1"/>
    <col min="21" max="22" width="25.28515625" hidden="1" customWidth="1"/>
    <col min="23" max="23" width="13.42578125" customWidth="1"/>
    <col min="24" max="24" width="15.42578125" customWidth="1"/>
    <col min="25" max="32" width="9.28515625" customWidth="1"/>
    <col min="33" max="33" width="28.5703125" customWidth="1"/>
    <col min="34" max="37" width="9.28515625" customWidth="1"/>
    <col min="38" max="38" width="13.42578125" customWidth="1"/>
    <col min="39" max="39" width="61.7109375" customWidth="1"/>
    <col min="40" max="40" width="41.5703125" customWidth="1"/>
    <col min="41" max="49" width="9.28515625" customWidth="1"/>
    <col min="50" max="50" width="14" customWidth="1"/>
    <col min="51" max="60" width="9.28515625" customWidth="1"/>
  </cols>
  <sheetData>
    <row r="1" spans="2:933" x14ac:dyDescent="0.25">
      <c r="B1" s="411"/>
    </row>
    <row r="2" spans="2:933" ht="18" x14ac:dyDescent="0.25">
      <c r="C2" s="412" t="s">
        <v>297</v>
      </c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3"/>
      <c r="O2" s="413"/>
      <c r="P2" s="413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</row>
    <row r="3" spans="2:933" ht="15.75" thickBot="1" x14ac:dyDescent="0.3">
      <c r="B3" s="414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</row>
    <row r="4" spans="2:933" ht="30.75" thickBot="1" x14ac:dyDescent="0.3">
      <c r="B4" s="2203" t="s">
        <v>99</v>
      </c>
      <c r="C4" s="2205" t="s">
        <v>100</v>
      </c>
      <c r="D4" s="2207" t="s">
        <v>101</v>
      </c>
      <c r="E4" s="2205" t="s">
        <v>102</v>
      </c>
      <c r="F4" s="2197" t="s">
        <v>298</v>
      </c>
      <c r="G4" s="2198"/>
      <c r="H4" s="2198"/>
      <c r="I4" s="2198"/>
      <c r="J4" s="2198"/>
      <c r="K4" s="2198"/>
      <c r="L4" s="2198"/>
      <c r="M4" s="2198"/>
      <c r="N4" s="2198"/>
      <c r="O4" s="2198"/>
      <c r="P4" s="2198"/>
      <c r="Q4" s="2198"/>
      <c r="R4" s="2199"/>
      <c r="S4" s="718"/>
      <c r="T4" s="410" t="s">
        <v>299</v>
      </c>
      <c r="U4" s="663" t="s">
        <v>300</v>
      </c>
      <c r="V4" s="767" t="s">
        <v>301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204"/>
      <c r="C5" s="2206"/>
      <c r="D5" s="2208"/>
      <c r="E5" s="2206"/>
      <c r="F5" s="417" t="s">
        <v>302</v>
      </c>
      <c r="G5" s="417" t="s">
        <v>303</v>
      </c>
      <c r="H5" s="417" t="s">
        <v>304</v>
      </c>
      <c r="I5" s="418" t="s">
        <v>305</v>
      </c>
      <c r="J5" s="417" t="s">
        <v>306</v>
      </c>
      <c r="K5" s="417" t="s">
        <v>307</v>
      </c>
      <c r="L5" s="417" t="s">
        <v>308</v>
      </c>
      <c r="M5" s="417" t="s">
        <v>309</v>
      </c>
      <c r="N5" s="418" t="s">
        <v>310</v>
      </c>
      <c r="O5" s="418" t="s">
        <v>311</v>
      </c>
      <c r="P5" s="418" t="s">
        <v>312</v>
      </c>
      <c r="Q5" s="418" t="s">
        <v>313</v>
      </c>
      <c r="R5" s="417" t="s">
        <v>313</v>
      </c>
      <c r="T5" s="416" t="s">
        <v>126</v>
      </c>
      <c r="U5" s="663" t="s">
        <v>126</v>
      </c>
      <c r="V5" s="767" t="s">
        <v>314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194">
        <v>1</v>
      </c>
      <c r="C6" s="419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0" t="s">
        <v>127</v>
      </c>
      <c r="U6" s="664" t="s">
        <v>127</v>
      </c>
      <c r="V6" s="768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1"/>
      <c r="DF6" s="422"/>
      <c r="DG6" s="423">
        <v>29</v>
      </c>
      <c r="DH6" s="424">
        <v>30</v>
      </c>
      <c r="DI6" s="425">
        <v>31</v>
      </c>
    </row>
    <row r="7" spans="2:933" x14ac:dyDescent="0.25">
      <c r="B7" s="2195"/>
      <c r="C7" s="426" t="s">
        <v>16</v>
      </c>
      <c r="D7" s="427"/>
      <c r="E7" s="428"/>
      <c r="F7" s="429"/>
      <c r="G7" s="430"/>
      <c r="H7" s="1533"/>
      <c r="I7" s="429"/>
      <c r="J7" s="1540"/>
      <c r="K7" s="429"/>
      <c r="L7" s="429"/>
      <c r="M7" s="429"/>
      <c r="N7" s="429"/>
      <c r="O7" s="429"/>
      <c r="P7" s="429"/>
      <c r="Q7" s="429"/>
      <c r="R7" s="429"/>
      <c r="S7" s="3"/>
      <c r="T7" s="713" t="s">
        <v>16</v>
      </c>
      <c r="U7" s="665" t="s">
        <v>16</v>
      </c>
      <c r="V7" s="769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1" t="s">
        <v>315</v>
      </c>
      <c r="DF7" s="5" t="s">
        <v>14</v>
      </c>
      <c r="DG7" s="432">
        <v>1971319.99999999</v>
      </c>
      <c r="DH7" s="433">
        <v>2015120.00000001</v>
      </c>
      <c r="DI7" s="434">
        <v>2015230</v>
      </c>
      <c r="AIU7" s="435" t="s">
        <v>316</v>
      </c>
      <c r="AIV7" s="435" t="s">
        <v>127</v>
      </c>
      <c r="AIW7" s="435" t="s">
        <v>317</v>
      </c>
    </row>
    <row r="8" spans="2:933" x14ac:dyDescent="0.25">
      <c r="B8" s="2195"/>
      <c r="C8" s="436" t="s">
        <v>84</v>
      </c>
      <c r="D8" s="437"/>
      <c r="E8" s="438" t="s">
        <v>83</v>
      </c>
      <c r="F8" s="439">
        <v>18</v>
      </c>
      <c r="G8" s="439">
        <v>11</v>
      </c>
      <c r="H8" s="531">
        <v>27</v>
      </c>
      <c r="I8" s="439">
        <v>22</v>
      </c>
      <c r="J8" s="532">
        <v>27</v>
      </c>
      <c r="K8" s="439">
        <v>18</v>
      </c>
      <c r="L8" s="439">
        <v>22</v>
      </c>
      <c r="M8" s="439">
        <v>28</v>
      </c>
      <c r="N8" s="439">
        <v>27</v>
      </c>
      <c r="O8" s="55">
        <v>28</v>
      </c>
      <c r="P8" s="55">
        <v>22</v>
      </c>
      <c r="Q8" s="439">
        <f>'Desember 2024'!AM6</f>
        <v>23</v>
      </c>
      <c r="R8" s="439">
        <f>'[20]Desember 24'!AL9</f>
        <v>0</v>
      </c>
      <c r="S8" s="3"/>
      <c r="T8" s="55">
        <f>SUM(F8:R8)</f>
        <v>273</v>
      </c>
      <c r="U8" s="666">
        <v>231</v>
      </c>
      <c r="V8" s="770">
        <f>T8/U8*100</f>
        <v>118.18181818181819</v>
      </c>
      <c r="W8" s="63"/>
      <c r="X8" s="3">
        <f>T8-Q8</f>
        <v>250</v>
      </c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1"/>
      <c r="DG8" s="432"/>
      <c r="DH8" s="433"/>
      <c r="DI8" s="434"/>
      <c r="FN8" s="3"/>
      <c r="OR8" s="141" t="s">
        <v>318</v>
      </c>
      <c r="AEE8" s="5" t="s">
        <v>319</v>
      </c>
      <c r="AEF8" s="5" t="s">
        <v>320</v>
      </c>
      <c r="AIT8" s="2" t="s">
        <v>192</v>
      </c>
      <c r="AIU8" s="141">
        <v>11008948</v>
      </c>
      <c r="AIV8" s="141">
        <f>T11</f>
        <v>206162448</v>
      </c>
      <c r="AIW8" s="4">
        <f>AIU8-AIV8</f>
        <v>-195153500</v>
      </c>
    </row>
    <row r="9" spans="2:933" x14ac:dyDescent="0.25">
      <c r="B9" s="2195"/>
      <c r="C9" s="11" t="s">
        <v>103</v>
      </c>
      <c r="D9" s="437"/>
      <c r="E9" s="438"/>
      <c r="F9" s="1553">
        <v>17.46</v>
      </c>
      <c r="G9" s="440">
        <f>'[20]Februari 24'!AL10</f>
        <v>17.224766862170089</v>
      </c>
      <c r="H9" s="524">
        <f>'[20]Maret 24'!AL10</f>
        <v>4.5497712609970664</v>
      </c>
      <c r="I9" s="440">
        <f>'[21]April - 24'!$AK$11</f>
        <v>0</v>
      </c>
      <c r="J9" s="679">
        <f>'[22]Mei - 24'!$AL$11</f>
        <v>0</v>
      </c>
      <c r="K9" s="440">
        <f>'[23]Juni - 24'!$AL$11</f>
        <v>13.078035190615838</v>
      </c>
      <c r="L9" s="440">
        <f>'[24]Juli - 2024 ( Revisi )'!$AL$8</f>
        <v>23.454543988269798</v>
      </c>
      <c r="M9" s="440">
        <f>'[25]Agustus - 2024'!$AN$8</f>
        <v>0</v>
      </c>
      <c r="N9" s="440">
        <f>'[26]September - 2024'!$AM$8</f>
        <v>0</v>
      </c>
      <c r="O9" s="440">
        <f>'[27]Oktober- 2024'!$AM$8</f>
        <v>55.059060606060598</v>
      </c>
      <c r="P9" s="520">
        <v>33666529</v>
      </c>
      <c r="Q9" s="439">
        <f>'Desember 2024'!AM8</f>
        <v>0.43952620869565218</v>
      </c>
      <c r="R9" s="440">
        <f>'[20]Desember 24'!AL10</f>
        <v>0</v>
      </c>
      <c r="S9" s="3"/>
      <c r="T9" s="55"/>
      <c r="U9" s="666"/>
      <c r="V9" s="770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1"/>
      <c r="DG9" s="432"/>
      <c r="DH9" s="433"/>
      <c r="DI9" s="434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195"/>
      <c r="C10" s="11" t="s">
        <v>321</v>
      </c>
      <c r="D10" s="437"/>
      <c r="E10" s="438"/>
      <c r="F10" s="440">
        <f>F11/F14*100</f>
        <v>18.288923195084486</v>
      </c>
      <c r="G10" s="440">
        <f>G11/G14*100</f>
        <v>18.044993855606759</v>
      </c>
      <c r="H10" s="524">
        <f t="shared" ref="H10:R10" si="0">H11/H14*100</f>
        <v>43.450393982808023</v>
      </c>
      <c r="I10" s="440">
        <f>I11/I14*100</f>
        <v>24.340124865920405</v>
      </c>
      <c r="J10" s="679">
        <f t="shared" si="0"/>
        <v>42.665477598393799</v>
      </c>
      <c r="K10" s="440">
        <f t="shared" si="0"/>
        <v>24.530982700294288</v>
      </c>
      <c r="L10" s="440">
        <f t="shared" si="0"/>
        <v>43.994606562336699</v>
      </c>
      <c r="M10" s="440">
        <f>M11/M14*100</f>
        <v>63.465348331912317</v>
      </c>
      <c r="N10" s="440">
        <f>N11/N14*100</f>
        <v>66.135729805550199</v>
      </c>
      <c r="O10" s="440">
        <f>O11/O14*100</f>
        <v>64.566129431502517</v>
      </c>
      <c r="P10" s="1794">
        <v>42.102024793388438</v>
      </c>
      <c r="Q10" s="440">
        <f>Q11/Q14*100</f>
        <v>69.508944140377892</v>
      </c>
      <c r="R10" s="440" t="e">
        <f t="shared" si="0"/>
        <v>#DIV/0!</v>
      </c>
      <c r="S10" s="3"/>
      <c r="T10" s="55">
        <f>AVERAGE(F10:Q10)</f>
        <v>43.424473271931326</v>
      </c>
      <c r="U10" s="666"/>
      <c r="V10" s="770"/>
      <c r="W10" s="63"/>
      <c r="X10" s="1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1"/>
      <c r="DG10" s="432"/>
      <c r="DH10" s="433"/>
      <c r="DI10" s="434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195"/>
      <c r="C11" s="441" t="s">
        <v>96</v>
      </c>
      <c r="D11" s="442">
        <v>701400000</v>
      </c>
      <c r="E11" s="443" t="s">
        <v>14</v>
      </c>
      <c r="F11" s="444">
        <v>11906089</v>
      </c>
      <c r="G11" s="444">
        <v>11747291</v>
      </c>
      <c r="H11" s="1534">
        <v>16983890</v>
      </c>
      <c r="I11" s="1548">
        <v>8849826</v>
      </c>
      <c r="J11" s="1541">
        <v>15512741</v>
      </c>
      <c r="K11" s="444">
        <v>8919220</v>
      </c>
      <c r="L11" s="444">
        <v>15995999</v>
      </c>
      <c r="M11" s="444">
        <v>23075366</v>
      </c>
      <c r="N11" s="444">
        <v>24046290</v>
      </c>
      <c r="O11" s="444">
        <v>23475599</v>
      </c>
      <c r="P11" s="58">
        <v>20377380</v>
      </c>
      <c r="Q11" s="444">
        <f>'Desember 2024'!AM9</f>
        <v>25272757</v>
      </c>
      <c r="R11" s="444">
        <f>'[20]Desember 24'!AL11</f>
        <v>0</v>
      </c>
      <c r="S11" s="719"/>
      <c r="T11" s="58">
        <f>SUM(F11:Q11)</f>
        <v>206162448</v>
      </c>
      <c r="U11" s="667">
        <v>421374000</v>
      </c>
      <c r="V11" s="771">
        <f>T11/U11</f>
        <v>0.48926238448504178</v>
      </c>
      <c r="W11" s="1071"/>
      <c r="X11" s="452"/>
      <c r="Y11" s="805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452"/>
      <c r="AU11" s="452"/>
      <c r="AV11" s="1"/>
      <c r="AW11" s="1"/>
      <c r="AX11" s="362">
        <f>T11/D11</f>
        <v>0.29392992301112064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5" t="s">
        <v>322</v>
      </c>
      <c r="DF11" s="446" t="s">
        <v>19</v>
      </c>
      <c r="DG11" s="447">
        <v>251.19641540408301</v>
      </c>
      <c r="DH11" s="448">
        <v>257.91391043490898</v>
      </c>
      <c r="DI11" s="449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323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8966931</v>
      </c>
      <c r="AIW11" s="4">
        <f>AIU11-AIV11</f>
        <v>-8400046</v>
      </c>
    </row>
    <row r="12" spans="2:933" x14ac:dyDescent="0.25">
      <c r="B12" s="2195"/>
      <c r="C12" s="441" t="s">
        <v>97</v>
      </c>
      <c r="D12" s="442"/>
      <c r="E12" s="443" t="s">
        <v>14</v>
      </c>
      <c r="F12" s="444">
        <v>10284032.518182635</v>
      </c>
      <c r="G12" s="444">
        <v>10885810.60758747</v>
      </c>
      <c r="H12" s="1534">
        <v>16067553.485320078</v>
      </c>
      <c r="I12" s="1549">
        <v>8849826</v>
      </c>
      <c r="J12" s="1541">
        <v>15512741</v>
      </c>
      <c r="K12" s="444">
        <v>8919220</v>
      </c>
      <c r="L12" s="444">
        <v>15995999</v>
      </c>
      <c r="M12" s="444">
        <v>22890671</v>
      </c>
      <c r="N12" s="444">
        <f>N11-N13</f>
        <v>24046290</v>
      </c>
      <c r="O12" s="444">
        <v>23419756.894736841</v>
      </c>
      <c r="P12" s="58">
        <v>20377380</v>
      </c>
      <c r="Q12" s="444">
        <f>'Desember 2024'!AM9</f>
        <v>25272757</v>
      </c>
      <c r="R12" s="444" t="e">
        <f>'[20]Desember 24'!AL12</f>
        <v>#DIV/0!</v>
      </c>
      <c r="S12" s="719"/>
      <c r="T12" s="58">
        <f>SUM(F12:Q12)</f>
        <v>202522037.50582701</v>
      </c>
      <c r="U12" s="668"/>
      <c r="V12" s="772"/>
      <c r="W12" s="63"/>
      <c r="X12" s="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2"/>
      <c r="AU12" s="45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2"/>
      <c r="BY12" s="1"/>
      <c r="DA12" s="1"/>
      <c r="DE12" s="431"/>
      <c r="DF12" s="5"/>
      <c r="DG12" s="451"/>
      <c r="DH12" s="452"/>
      <c r="DI12" s="453"/>
      <c r="DJ12" s="142"/>
      <c r="FM12" s="142"/>
      <c r="JH12" s="142"/>
      <c r="JI12" s="142"/>
      <c r="JJ12" s="142"/>
      <c r="JK12" s="142"/>
      <c r="OO12" s="142"/>
      <c r="OP12" s="142"/>
      <c r="OR12" s="142"/>
      <c r="PF12" s="145"/>
      <c r="PJ12" s="142"/>
      <c r="RM12" s="145"/>
      <c r="AGV12" s="141"/>
      <c r="AIK12" s="141"/>
      <c r="AIL12" s="141"/>
      <c r="AIM12" s="141"/>
      <c r="AIT12" s="2"/>
      <c r="AIU12" s="141"/>
      <c r="AIV12" s="141"/>
    </row>
    <row r="13" spans="2:933" x14ac:dyDescent="0.25">
      <c r="B13" s="2195"/>
      <c r="C13" s="441" t="s">
        <v>98</v>
      </c>
      <c r="D13" s="442"/>
      <c r="E13" s="443" t="s">
        <v>14</v>
      </c>
      <c r="F13" s="444">
        <v>1622056.4818173659</v>
      </c>
      <c r="G13" s="444">
        <v>861480.39241253119</v>
      </c>
      <c r="H13" s="1534">
        <v>916336.51467992098</v>
      </c>
      <c r="I13" s="1549">
        <v>0</v>
      </c>
      <c r="J13" s="1541">
        <v>0</v>
      </c>
      <c r="K13" s="444">
        <v>0</v>
      </c>
      <c r="L13" s="444">
        <v>0</v>
      </c>
      <c r="M13" s="444">
        <v>184695</v>
      </c>
      <c r="N13" s="444">
        <v>0</v>
      </c>
      <c r="O13" s="444">
        <v>55842.1052631579</v>
      </c>
      <c r="P13" s="444"/>
      <c r="Q13" s="444">
        <v>0</v>
      </c>
      <c r="R13" s="444" t="e">
        <f>'[20]Desember 24'!AL13</f>
        <v>#DIV/0!</v>
      </c>
      <c r="S13" s="719"/>
      <c r="T13" s="450">
        <f>SUM(F13:Q13)</f>
        <v>3640410.4941729754</v>
      </c>
      <c r="U13" s="668"/>
      <c r="V13" s="772"/>
      <c r="W13" s="365"/>
      <c r="X13" s="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2"/>
      <c r="AU13" s="452"/>
      <c r="AV13" s="1"/>
      <c r="AW13" s="1"/>
      <c r="AX13" s="362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31"/>
      <c r="DF13" s="5"/>
      <c r="DG13" s="451"/>
      <c r="DH13" s="452"/>
      <c r="DI13" s="453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195"/>
      <c r="C14" s="441" t="s">
        <v>324</v>
      </c>
      <c r="D14" s="442"/>
      <c r="E14" s="443" t="s">
        <v>14</v>
      </c>
      <c r="F14" s="444">
        <v>65100000</v>
      </c>
      <c r="G14" s="444">
        <v>65100000</v>
      </c>
      <c r="H14" s="1534">
        <v>39088000</v>
      </c>
      <c r="I14" s="444">
        <v>36359000</v>
      </c>
      <c r="J14" s="1541">
        <v>36359000</v>
      </c>
      <c r="K14" s="444">
        <v>36359000</v>
      </c>
      <c r="L14" s="444">
        <v>36359000</v>
      </c>
      <c r="M14" s="444">
        <v>36359000</v>
      </c>
      <c r="N14" s="444">
        <v>36359000</v>
      </c>
      <c r="O14" s="444">
        <f>'[27]Oktober- 2024'!$E$9</f>
        <v>36359000</v>
      </c>
      <c r="P14" s="444">
        <f>'[27]Oktober- 2024'!$E$9</f>
        <v>36359000</v>
      </c>
      <c r="Q14" s="444">
        <f>'Desember 2024'!E9</f>
        <v>36359000</v>
      </c>
      <c r="R14" s="444"/>
      <c r="S14" s="719"/>
      <c r="T14" s="58">
        <f>SUM(F14:Q14)</f>
        <v>496519000</v>
      </c>
      <c r="U14" s="668"/>
      <c r="V14" s="772"/>
      <c r="W14" s="365"/>
      <c r="X14" s="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2"/>
      <c r="AU14" s="45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31"/>
      <c r="DF14" s="5"/>
      <c r="DG14" s="451"/>
      <c r="DH14" s="452"/>
      <c r="DI14" s="453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195"/>
      <c r="C15" s="454" t="s">
        <v>82</v>
      </c>
      <c r="D15" s="455">
        <v>5</v>
      </c>
      <c r="E15" s="456" t="s">
        <v>25</v>
      </c>
      <c r="F15" s="457">
        <v>4.38</v>
      </c>
      <c r="G15" s="457">
        <v>4.5590909090909086</v>
      </c>
      <c r="H15" s="1535">
        <v>4.1350000000000007</v>
      </c>
      <c r="I15" s="457">
        <v>4.1100000000000003</v>
      </c>
      <c r="J15" s="1542">
        <v>3.859375</v>
      </c>
      <c r="K15" s="457">
        <v>4.2481249999999999</v>
      </c>
      <c r="L15" s="457">
        <v>3.8848484848484857</v>
      </c>
      <c r="M15" s="457">
        <v>3.9614880952380962</v>
      </c>
      <c r="N15" s="457">
        <v>3.6441975308641967</v>
      </c>
      <c r="O15" s="457">
        <f>'[27]Oktober- 2024'!$AM$13</f>
        <v>3.813333333333333</v>
      </c>
      <c r="P15" s="1794">
        <v>3.8712121212121207</v>
      </c>
      <c r="Q15" s="457">
        <f>'Desember 2024'!AM13</f>
        <v>3.3336956521739136</v>
      </c>
      <c r="R15" s="457" t="e">
        <f>'[20]Desember 24'!AL14</f>
        <v>#DIV/0!</v>
      </c>
      <c r="T15" s="59">
        <f>AVERAGE(F15:Q15)</f>
        <v>3.9833638438967545</v>
      </c>
      <c r="U15" s="669" t="e">
        <f t="shared" ref="U15:V17" si="1">AVERAGE(G15:S15)</f>
        <v>#DIV/0!</v>
      </c>
      <c r="V15" s="770" t="e">
        <f t="shared" si="1"/>
        <v>#DIV/0!</v>
      </c>
      <c r="W15" s="63"/>
      <c r="X15" s="1531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806"/>
      <c r="AU15" s="80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8"/>
      <c r="BY15" s="1"/>
      <c r="DA15" s="1"/>
      <c r="DE15" s="431" t="s">
        <v>325</v>
      </c>
      <c r="DF15" s="5" t="s">
        <v>14</v>
      </c>
      <c r="DG15" s="432">
        <v>182230</v>
      </c>
      <c r="DH15" s="433">
        <v>190070</v>
      </c>
      <c r="DI15" s="434">
        <v>197800.00000000099</v>
      </c>
      <c r="DJ15" s="458"/>
      <c r="FM15" s="458"/>
      <c r="FN15" s="458"/>
      <c r="JH15" s="458"/>
      <c r="JI15" s="458"/>
      <c r="JJ15" s="459"/>
      <c r="JK15" s="458"/>
      <c r="OO15" s="458">
        <f>T11/1000</f>
        <v>206162.448</v>
      </c>
      <c r="OP15" s="458">
        <f>(T25+T48+T34)/1000</f>
        <v>60978.7</v>
      </c>
      <c r="OR15" s="458" t="e">
        <f>SUM(OR16:OR17)</f>
        <v>#REF!</v>
      </c>
      <c r="PF15" s="460"/>
      <c r="PJ15" s="458"/>
      <c r="RM15" s="460"/>
      <c r="AGV15" s="458">
        <v>2000</v>
      </c>
      <c r="AIK15" s="458"/>
      <c r="AIL15" s="458"/>
      <c r="AIM15" s="458"/>
      <c r="AIT15" s="461"/>
      <c r="AIU15" s="458"/>
      <c r="AIV15" s="458"/>
    </row>
    <row r="16" spans="2:933" ht="15.75" thickBot="1" x14ac:dyDescent="0.3">
      <c r="B16" s="2195"/>
      <c r="C16" s="462" t="s">
        <v>81</v>
      </c>
      <c r="D16" s="463">
        <v>0.5</v>
      </c>
      <c r="E16" s="464" t="s">
        <v>25</v>
      </c>
      <c r="F16" s="457">
        <v>0.42</v>
      </c>
      <c r="G16" s="457">
        <v>0.43545454545454548</v>
      </c>
      <c r="H16" s="1535">
        <v>0.42375000000000007</v>
      </c>
      <c r="I16" s="457">
        <v>0.42</v>
      </c>
      <c r="J16" s="1542">
        <v>0.43187500000000006</v>
      </c>
      <c r="K16" s="457">
        <v>0.45375000000000004</v>
      </c>
      <c r="L16" s="457">
        <v>0.41795454545454547</v>
      </c>
      <c r="M16" s="457">
        <v>0.43083333333333335</v>
      </c>
      <c r="N16" s="457">
        <v>0.41401234567901246</v>
      </c>
      <c r="O16" s="457">
        <f>'[27]Oktober- 2024'!$AM$14</f>
        <v>0.43333333333333329</v>
      </c>
      <c r="P16" s="1794">
        <v>0.43416666666666665</v>
      </c>
      <c r="Q16" s="457">
        <f>'Desember 2024'!AM14</f>
        <v>0.36391304347826092</v>
      </c>
      <c r="R16" s="457" t="e">
        <f>'[20]Desember 24'!AL15</f>
        <v>#DIV/0!</v>
      </c>
      <c r="S16" s="719"/>
      <c r="T16" s="59">
        <f>AVERAGE(F16:Q16)</f>
        <v>0.42325356778330819</v>
      </c>
      <c r="U16" s="669" t="e">
        <f t="shared" si="1"/>
        <v>#DIV/0!</v>
      </c>
      <c r="V16" s="770" t="e">
        <f t="shared" si="1"/>
        <v>#DIV/0!</v>
      </c>
      <c r="W16" s="63"/>
      <c r="X16" s="2004"/>
      <c r="Y16" s="1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452"/>
      <c r="AU16" s="45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5"/>
      <c r="DF16" s="466" t="s">
        <v>326</v>
      </c>
      <c r="DG16" s="467">
        <f>DG15/(DG7/1000)</f>
        <v>92.440598177871138</v>
      </c>
      <c r="DH16" s="468">
        <f>DH15/(DH7/1000)</f>
        <v>94.321926237642941</v>
      </c>
      <c r="DI16" s="469">
        <f>DI15/(DI7/1000)</f>
        <v>98.152568193209206</v>
      </c>
      <c r="DJ16" s="142"/>
      <c r="FM16" s="142"/>
      <c r="JH16" s="142"/>
      <c r="JI16" s="458"/>
      <c r="JJ16" s="142"/>
      <c r="JK16" s="142"/>
      <c r="OO16" s="470"/>
      <c r="OP16" s="470"/>
      <c r="OR16" s="470" t="e">
        <f>#REF!/1000</f>
        <v>#REF!</v>
      </c>
      <c r="OS16" s="145" t="e">
        <f>OR16/OR15*100</f>
        <v>#REF!</v>
      </c>
      <c r="PF16" s="145"/>
      <c r="PJ16" s="142"/>
      <c r="RM16" s="145"/>
      <c r="AGU16" s="471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T26</f>
        <v>47460462</v>
      </c>
      <c r="AIW16" s="4">
        <f>AIU16-AIV16</f>
        <v>-37866332</v>
      </c>
    </row>
    <row r="17" spans="2:933" x14ac:dyDescent="0.25">
      <c r="B17" s="2195"/>
      <c r="C17" s="462" t="s">
        <v>80</v>
      </c>
      <c r="D17" s="472" t="s">
        <v>79</v>
      </c>
      <c r="E17" s="464" t="s">
        <v>25</v>
      </c>
      <c r="F17" s="457">
        <v>2.21</v>
      </c>
      <c r="G17" s="457">
        <v>2.2127272727272729</v>
      </c>
      <c r="H17" s="1535">
        <v>2.2104166666666671</v>
      </c>
      <c r="I17" s="457">
        <v>2.21</v>
      </c>
      <c r="J17" s="1542">
        <v>2.2100000000000004</v>
      </c>
      <c r="K17" s="457">
        <v>2.2100000000000004</v>
      </c>
      <c r="L17" s="457">
        <v>2.1131818181818183</v>
      </c>
      <c r="M17" s="457">
        <v>2.2129285714285718</v>
      </c>
      <c r="N17" s="457">
        <v>2.27</v>
      </c>
      <c r="O17" s="457">
        <f>'[27]Oktober- 2024'!$AM$15</f>
        <v>22.02</v>
      </c>
      <c r="P17" s="1794">
        <v>2.0150000000000001</v>
      </c>
      <c r="Q17" s="457">
        <f>'Desember 2024'!AM15</f>
        <v>1.8452173913043481</v>
      </c>
      <c r="R17" s="473" t="e">
        <f>'[20]Desember 24'!AL16</f>
        <v>#DIV/0!</v>
      </c>
      <c r="S17" s="719"/>
      <c r="T17" s="59">
        <f>AVERAGE(F17:Q17)</f>
        <v>3.8116226433590565</v>
      </c>
      <c r="U17" s="669" t="e">
        <f t="shared" si="1"/>
        <v>#DIV/0!</v>
      </c>
      <c r="V17" s="770" t="e">
        <f t="shared" si="1"/>
        <v>#DIV/0!</v>
      </c>
      <c r="W17" s="63"/>
      <c r="X17" s="1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2"/>
      <c r="AU17" s="45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206162.448</v>
      </c>
      <c r="OP17" s="142">
        <f>SUM(OP15:OP16)</f>
        <v>60978.7</v>
      </c>
      <c r="OR17" s="470" t="e">
        <f>#REF!/1000</f>
        <v>#REF!</v>
      </c>
      <c r="OS17" s="145" t="e">
        <f>OR17/OR15*100</f>
        <v>#REF!</v>
      </c>
      <c r="PF17" s="145"/>
      <c r="PJ17" s="142"/>
      <c r="RM17" s="145"/>
      <c r="AGU17" s="474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T27</f>
        <v>9963890</v>
      </c>
      <c r="AIW17" s="4">
        <f>AIU17-AIV17</f>
        <v>-7802739</v>
      </c>
    </row>
    <row r="18" spans="2:933" x14ac:dyDescent="0.25">
      <c r="B18" s="2195"/>
      <c r="C18" s="475" t="s">
        <v>78</v>
      </c>
      <c r="D18" s="476"/>
      <c r="E18" s="477"/>
      <c r="F18" s="439"/>
      <c r="G18" s="439"/>
      <c r="H18" s="531"/>
      <c r="I18" s="439"/>
      <c r="J18" s="532"/>
      <c r="K18" s="439"/>
      <c r="L18" s="439"/>
      <c r="M18" s="439"/>
      <c r="N18" s="439"/>
      <c r="O18" s="439"/>
      <c r="P18" s="439"/>
      <c r="Q18" s="439"/>
      <c r="R18" s="439"/>
      <c r="S18" s="720"/>
      <c r="T18" s="711" t="s">
        <v>78</v>
      </c>
      <c r="U18" s="670" t="s">
        <v>78</v>
      </c>
      <c r="V18" s="773" t="s">
        <v>78</v>
      </c>
      <c r="W18" s="63"/>
      <c r="X18" s="1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2"/>
      <c r="AU18" s="45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765.09175146666769</v>
      </c>
      <c r="OP18" s="145">
        <f>OP17/OP11*100</f>
        <v>350.79031691353833</v>
      </c>
      <c r="OR18" s="142"/>
      <c r="PF18" s="145"/>
      <c r="PJ18" s="142"/>
      <c r="RM18" s="145"/>
      <c r="AEG18" s="411" t="s">
        <v>327</v>
      </c>
      <c r="AEH18" s="411"/>
      <c r="AEI18" s="411"/>
      <c r="AEJ18" s="411"/>
      <c r="AEK18" s="411"/>
      <c r="AEL18" s="411"/>
      <c r="AEM18" s="411"/>
      <c r="AEN18" s="411"/>
      <c r="AEO18" s="411"/>
      <c r="AEP18" s="411"/>
      <c r="AEQ18" s="5" t="s">
        <v>328</v>
      </c>
      <c r="AER18" s="411" t="s">
        <v>329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195"/>
      <c r="C19" s="478" t="s">
        <v>77</v>
      </c>
      <c r="D19" s="442">
        <f>D56%*D11</f>
        <v>660718800</v>
      </c>
      <c r="E19" s="479" t="s">
        <v>14</v>
      </c>
      <c r="F19" s="444">
        <v>11255730</v>
      </c>
      <c r="G19" s="444">
        <v>11075536</v>
      </c>
      <c r="H19" s="1534">
        <v>16117978</v>
      </c>
      <c r="I19" s="1548">
        <v>8393524</v>
      </c>
      <c r="J19" s="1541">
        <v>14773343</v>
      </c>
      <c r="K19" s="444">
        <v>8432668</v>
      </c>
      <c r="L19" s="444">
        <v>14396709</v>
      </c>
      <c r="M19" s="444">
        <v>22151806.199999999</v>
      </c>
      <c r="N19" s="444">
        <v>22783491</v>
      </c>
      <c r="O19" s="444">
        <v>22272728</v>
      </c>
      <c r="P19" s="58">
        <v>19958156</v>
      </c>
      <c r="Q19" s="444">
        <f>'Desember 2024'!AM19</f>
        <v>24389568</v>
      </c>
      <c r="R19" s="444">
        <f>'[20]Desember 24'!AL18</f>
        <v>0</v>
      </c>
      <c r="S19" s="719"/>
      <c r="T19" s="103">
        <f>SUM(F19:Q19)</f>
        <v>196001237.19999999</v>
      </c>
      <c r="U19" s="667">
        <v>399336000</v>
      </c>
      <c r="V19" s="772">
        <f>T19/U19*100</f>
        <v>49.081785063204919</v>
      </c>
      <c r="W19" s="63"/>
      <c r="X19" s="1531"/>
      <c r="Y19" s="63"/>
      <c r="Z19" s="807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33"/>
      <c r="AU19" s="433"/>
      <c r="AV19" s="3"/>
      <c r="AW19" s="1"/>
      <c r="AX19" s="362">
        <f>AX20/D19</f>
        <v>0.29766454352441613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80" t="s">
        <v>330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81"/>
      <c r="PJ19" s="141"/>
      <c r="RM19" s="481"/>
      <c r="AEE19" s="141">
        <v>136359.999999986</v>
      </c>
      <c r="AEF19" s="141">
        <v>109339.999999997</v>
      </c>
      <c r="AEG19" s="482">
        <f>SUM(AEE19:AEF19)</f>
        <v>245699.999999983</v>
      </c>
      <c r="AEQ19" s="141">
        <v>34157.880000005498</v>
      </c>
      <c r="AER19" s="482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195"/>
      <c r="C20" s="478" t="s">
        <v>64</v>
      </c>
      <c r="D20" s="442">
        <f>D57%*D11</f>
        <v>35070000</v>
      </c>
      <c r="E20" s="479" t="s">
        <v>14</v>
      </c>
      <c r="F20" s="444">
        <v>568791</v>
      </c>
      <c r="G20" s="444">
        <v>594383</v>
      </c>
      <c r="H20" s="1534">
        <v>753150</v>
      </c>
      <c r="I20" s="1548">
        <v>419494</v>
      </c>
      <c r="J20" s="1541">
        <v>630157</v>
      </c>
      <c r="K20" s="444">
        <v>432588</v>
      </c>
      <c r="L20" s="444">
        <v>713632</v>
      </c>
      <c r="M20" s="444">
        <v>947460</v>
      </c>
      <c r="N20" s="444">
        <v>998518</v>
      </c>
      <c r="O20" s="444">
        <v>949170</v>
      </c>
      <c r="P20" s="58">
        <v>870458</v>
      </c>
      <c r="Q20" s="444">
        <f>'Desember 2024'!AM20</f>
        <v>1089130</v>
      </c>
      <c r="R20" s="444">
        <f>'[20]Desember 24'!AL19</f>
        <v>0</v>
      </c>
      <c r="S20" s="719"/>
      <c r="T20" s="58">
        <f>SUM(F20:Q20)</f>
        <v>8966931</v>
      </c>
      <c r="U20" s="671">
        <v>19024000</v>
      </c>
      <c r="V20" s="772">
        <f>T20/U20*100</f>
        <v>47.134834945332209</v>
      </c>
      <c r="W20" s="63"/>
      <c r="X20" s="1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3"/>
      <c r="AU20" s="433"/>
      <c r="AV20" s="3"/>
      <c r="AW20" s="1"/>
      <c r="AX20" s="3">
        <f>T25+T29+T34+T48+T38</f>
        <v>196672560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83" t="s">
        <v>284</v>
      </c>
      <c r="DF20" s="484"/>
      <c r="DG20" s="485" t="s">
        <v>215</v>
      </c>
      <c r="DH20" s="486" t="s">
        <v>331</v>
      </c>
      <c r="DI20" s="487"/>
      <c r="DJ20" s="141"/>
      <c r="FM20" s="141"/>
      <c r="JH20" s="141"/>
      <c r="JI20" s="141"/>
      <c r="JJ20" s="141"/>
      <c r="JK20" s="141"/>
      <c r="OO20" s="141">
        <f>OO11-OO17</f>
        <v>-179216.3402155689</v>
      </c>
      <c r="OP20" s="141">
        <f>OP11-OP17</f>
        <v>-43595.466467065897</v>
      </c>
      <c r="OR20" s="488" t="s">
        <v>332</v>
      </c>
      <c r="OS20" s="489">
        <v>0</v>
      </c>
      <c r="PE20" s="141">
        <v>564.70506750000004</v>
      </c>
      <c r="PF20" s="481">
        <f>OS20/PE20*100</f>
        <v>0</v>
      </c>
      <c r="PI20" s="474"/>
      <c r="PJ20" s="141"/>
      <c r="RM20" s="481"/>
      <c r="AEE20" s="141">
        <v>13799.9999999993</v>
      </c>
      <c r="AEF20" s="141">
        <v>2799.9999999992701</v>
      </c>
      <c r="AEG20" s="482">
        <f>SUM(AEE20:AEF20)</f>
        <v>16599.99999999857</v>
      </c>
      <c r="AEQ20" s="141">
        <v>1469.85000000024</v>
      </c>
      <c r="AER20" s="482">
        <f>AEG20-AEQ20</f>
        <v>15130.14999999833</v>
      </c>
      <c r="AGU20" s="474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195"/>
      <c r="C21" s="717" t="s">
        <v>353</v>
      </c>
      <c r="D21" s="442"/>
      <c r="E21" s="496"/>
      <c r="F21" s="439"/>
      <c r="G21" s="439"/>
      <c r="H21" s="531"/>
      <c r="I21" s="439"/>
      <c r="J21" s="532"/>
      <c r="K21" s="439"/>
      <c r="L21" s="439"/>
      <c r="M21" s="439"/>
      <c r="N21" s="439"/>
      <c r="O21" s="439"/>
      <c r="P21" s="439"/>
      <c r="Q21" s="515"/>
      <c r="R21" s="515"/>
      <c r="S21" s="719"/>
      <c r="T21" s="58"/>
      <c r="U21" s="671"/>
      <c r="V21" s="772"/>
      <c r="W21" s="63"/>
      <c r="X21" s="1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3"/>
      <c r="AU21" s="433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58"/>
      <c r="DF21" s="759"/>
      <c r="DG21" s="760"/>
      <c r="DH21" s="761"/>
      <c r="DI21" s="762"/>
      <c r="DJ21" s="141"/>
      <c r="FM21" s="141"/>
      <c r="JH21" s="141"/>
      <c r="JI21" s="141"/>
      <c r="JJ21" s="141"/>
      <c r="JK21" s="141"/>
      <c r="OO21" s="141"/>
      <c r="OP21" s="141"/>
      <c r="OR21" s="488"/>
      <c r="OS21" s="489"/>
      <c r="PE21" s="141"/>
      <c r="PF21" s="481"/>
      <c r="PI21" s="474"/>
      <c r="PJ21" s="141"/>
      <c r="RM21" s="481"/>
      <c r="AEE21" s="141"/>
      <c r="AEF21" s="141"/>
      <c r="AEG21" s="482"/>
      <c r="AEQ21" s="141"/>
      <c r="AER21" s="482"/>
      <c r="AGU21" s="474"/>
      <c r="AGV21" s="141"/>
      <c r="AIK21" s="141"/>
      <c r="AIL21" s="141"/>
      <c r="AIM21" s="141"/>
      <c r="AIU21" s="141"/>
      <c r="AIV21" s="141"/>
    </row>
    <row r="22" spans="2:933" x14ac:dyDescent="0.25">
      <c r="B22" s="2195"/>
      <c r="C22" s="65" t="s">
        <v>356</v>
      </c>
      <c r="D22" s="764">
        <f>399289.3*1000</f>
        <v>399289300</v>
      </c>
      <c r="E22" s="479" t="s">
        <v>14</v>
      </c>
      <c r="F22" s="444">
        <f>F23</f>
        <v>13630524</v>
      </c>
      <c r="G22" s="444">
        <f>G23</f>
        <v>8090413</v>
      </c>
      <c r="H22" s="1534">
        <f t="shared" ref="H22:M22" si="2">H23</f>
        <v>16273198</v>
      </c>
      <c r="I22" s="444">
        <f t="shared" si="2"/>
        <v>9676196</v>
      </c>
      <c r="J22" s="1541">
        <f t="shared" si="2"/>
        <v>14816948</v>
      </c>
      <c r="K22" s="444">
        <f t="shared" si="2"/>
        <v>7764784</v>
      </c>
      <c r="L22" s="444">
        <f t="shared" si="2"/>
        <v>11846463</v>
      </c>
      <c r="M22" s="444">
        <f t="shared" si="2"/>
        <v>24206356</v>
      </c>
      <c r="N22" s="58">
        <v>22592969</v>
      </c>
      <c r="O22" s="444">
        <v>20122000</v>
      </c>
      <c r="P22" s="58">
        <v>21737836</v>
      </c>
      <c r="Q22" s="444">
        <f>'Desember 2024'!AM28</f>
        <v>24096837</v>
      </c>
      <c r="R22" s="444"/>
      <c r="S22" s="719"/>
      <c r="T22" s="765">
        <f>SUM(F22:Q22)</f>
        <v>194854524</v>
      </c>
      <c r="U22" s="671"/>
      <c r="V22" s="772"/>
      <c r="W22" s="1070"/>
      <c r="X22" s="1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3"/>
      <c r="AU22" s="433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58"/>
      <c r="DF22" s="759"/>
      <c r="DG22" s="760"/>
      <c r="DH22" s="761"/>
      <c r="DI22" s="762"/>
      <c r="DJ22" s="141"/>
      <c r="FM22" s="141"/>
      <c r="JH22" s="141"/>
      <c r="JI22" s="141"/>
      <c r="JJ22" s="141"/>
      <c r="JK22" s="141"/>
      <c r="OO22" s="141"/>
      <c r="OP22" s="141"/>
      <c r="OR22" s="488"/>
      <c r="OS22" s="489"/>
      <c r="PE22" s="141"/>
      <c r="PF22" s="481"/>
      <c r="PI22" s="474"/>
      <c r="PJ22" s="141"/>
      <c r="RM22" s="481"/>
      <c r="AEE22" s="141"/>
      <c r="AEF22" s="141"/>
      <c r="AEG22" s="482"/>
      <c r="AEQ22" s="141"/>
      <c r="AER22" s="482"/>
      <c r="AGU22" s="474"/>
      <c r="AGV22" s="141"/>
      <c r="AIK22" s="141"/>
      <c r="AIL22" s="141"/>
      <c r="AIM22" s="141"/>
      <c r="AIU22" s="141"/>
      <c r="AIV22" s="141"/>
    </row>
    <row r="23" spans="2:933" x14ac:dyDescent="0.25">
      <c r="B23" s="2195"/>
      <c r="C23" s="14" t="s">
        <v>355</v>
      </c>
      <c r="D23" s="763"/>
      <c r="E23" s="496" t="s">
        <v>14</v>
      </c>
      <c r="F23" s="439">
        <f t="shared" ref="F23:N23" si="3">SUM(F25,F29,F34,F38,F48)</f>
        <v>13630524</v>
      </c>
      <c r="G23" s="439">
        <f t="shared" si="3"/>
        <v>8090413</v>
      </c>
      <c r="H23" s="531">
        <f t="shared" si="3"/>
        <v>16273198</v>
      </c>
      <c r="I23" s="439">
        <f t="shared" si="3"/>
        <v>9676196</v>
      </c>
      <c r="J23" s="532">
        <f t="shared" si="3"/>
        <v>14816948</v>
      </c>
      <c r="K23" s="439">
        <f t="shared" si="3"/>
        <v>7764784</v>
      </c>
      <c r="L23" s="439">
        <f t="shared" si="3"/>
        <v>11846463</v>
      </c>
      <c r="M23" s="439">
        <f t="shared" si="3"/>
        <v>24206356</v>
      </c>
      <c r="N23" s="439">
        <f t="shared" si="3"/>
        <v>23189025</v>
      </c>
      <c r="O23" s="439">
        <f>'[27]Oktober- 2024'!$AM$25</f>
        <v>3069861</v>
      </c>
      <c r="P23" s="55">
        <v>22537659</v>
      </c>
      <c r="Q23" s="439">
        <f>'Desember 2024'!AM28</f>
        <v>24096837</v>
      </c>
      <c r="R23" s="439"/>
      <c r="S23" s="719"/>
      <c r="T23" s="766">
        <f>SUM(F23:Q23)</f>
        <v>179198264</v>
      </c>
      <c r="U23" s="671"/>
      <c r="V23" s="772"/>
      <c r="W23" s="63"/>
      <c r="X23" s="1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3"/>
      <c r="AU23" s="433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58"/>
      <c r="DF23" s="759"/>
      <c r="DG23" s="760"/>
      <c r="DH23" s="761"/>
      <c r="DI23" s="762"/>
      <c r="DJ23" s="141"/>
      <c r="FM23" s="141"/>
      <c r="JH23" s="141"/>
      <c r="JI23" s="141"/>
      <c r="JJ23" s="141"/>
      <c r="JK23" s="141"/>
      <c r="OO23" s="141"/>
      <c r="OP23" s="141"/>
      <c r="OR23" s="488"/>
      <c r="OS23" s="489"/>
      <c r="PE23" s="141"/>
      <c r="PF23" s="481"/>
      <c r="PI23" s="474"/>
      <c r="PJ23" s="141"/>
      <c r="RM23" s="481"/>
      <c r="AEE23" s="141"/>
      <c r="AEF23" s="141"/>
      <c r="AEG23" s="482"/>
      <c r="AEQ23" s="141"/>
      <c r="AER23" s="482"/>
      <c r="AGU23" s="474"/>
      <c r="AGV23" s="141"/>
      <c r="AIK23" s="141"/>
      <c r="AIL23" s="141"/>
      <c r="AIM23" s="141"/>
      <c r="AIU23" s="141"/>
      <c r="AIV23" s="141"/>
    </row>
    <row r="24" spans="2:933" ht="15.75" thickBot="1" x14ac:dyDescent="0.3">
      <c r="B24" s="2195"/>
      <c r="C24" s="490" t="s">
        <v>76</v>
      </c>
      <c r="D24" s="491"/>
      <c r="E24" s="492"/>
      <c r="F24" s="429"/>
      <c r="G24" s="429"/>
      <c r="H24" s="1533"/>
      <c r="I24" s="429"/>
      <c r="J24" s="1543"/>
      <c r="K24" s="429"/>
      <c r="L24" s="429"/>
      <c r="M24" s="429"/>
      <c r="N24" s="429"/>
      <c r="O24" s="429"/>
      <c r="P24" s="429"/>
      <c r="Q24" s="429"/>
      <c r="R24" s="429"/>
      <c r="S24" s="719"/>
      <c r="T24" s="712" t="s">
        <v>63</v>
      </c>
      <c r="U24" s="672" t="s">
        <v>63</v>
      </c>
      <c r="V24" s="774" t="s">
        <v>63</v>
      </c>
      <c r="W24" s="63"/>
      <c r="X24" s="1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21"/>
      <c r="DF24" s="493"/>
      <c r="DG24" s="423">
        <v>24</v>
      </c>
      <c r="DH24" s="424">
        <v>2</v>
      </c>
      <c r="DI24" s="425">
        <v>3</v>
      </c>
      <c r="OR24" s="488" t="s">
        <v>61</v>
      </c>
      <c r="OS24" s="494">
        <f>80.53776+PF34</f>
        <v>120.78492</v>
      </c>
      <c r="PE24" s="141">
        <v>4695.7554</v>
      </c>
      <c r="PF24" s="481">
        <f>OS24/PE24*100</f>
        <v>2.5722148985869238</v>
      </c>
      <c r="AGU24" s="474">
        <v>0.25</v>
      </c>
      <c r="AGV24" s="141">
        <f>AGU24*AGV19</f>
        <v>471</v>
      </c>
    </row>
    <row r="25" spans="2:933" x14ac:dyDescent="0.25">
      <c r="B25" s="2195"/>
      <c r="C25" s="478" t="s">
        <v>75</v>
      </c>
      <c r="D25" s="495">
        <f>SUM(D26:D27)</f>
        <v>0</v>
      </c>
      <c r="E25" s="496" t="s">
        <v>14</v>
      </c>
      <c r="F25" s="439">
        <v>2379082</v>
      </c>
      <c r="G25" s="439">
        <v>50570</v>
      </c>
      <c r="H25" s="531">
        <v>1699905</v>
      </c>
      <c r="I25" s="439">
        <f>'[20]April 24'!AL21</f>
        <v>0</v>
      </c>
      <c r="J25" s="532">
        <v>0</v>
      </c>
      <c r="K25" s="439">
        <v>0</v>
      </c>
      <c r="L25" s="439">
        <v>160400</v>
      </c>
      <c r="M25" s="439">
        <v>14223412</v>
      </c>
      <c r="N25" s="439">
        <v>16566545</v>
      </c>
      <c r="O25" s="439">
        <v>9370708</v>
      </c>
      <c r="P25" s="55">
        <v>5970222</v>
      </c>
      <c r="Q25" s="439">
        <f>'Desember 2024'!AM31</f>
        <v>7003508</v>
      </c>
      <c r="R25" s="439">
        <f>R26+R27</f>
        <v>0</v>
      </c>
      <c r="S25" s="719"/>
      <c r="T25" s="58">
        <f>T26+T27</f>
        <v>57424352</v>
      </c>
      <c r="U25" s="667">
        <f>U26+U27</f>
        <v>87311000</v>
      </c>
      <c r="V25" s="772">
        <f>T25/U25*100</f>
        <v>65.769893827810932</v>
      </c>
      <c r="W25" s="63"/>
      <c r="X25" s="1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52"/>
      <c r="AU25" s="452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2"/>
      <c r="BY25" s="1"/>
      <c r="DA25" s="1"/>
      <c r="DE25" s="431" t="s">
        <v>315</v>
      </c>
      <c r="DF25" s="5" t="s">
        <v>14</v>
      </c>
      <c r="DG25" s="432">
        <v>2000530</v>
      </c>
      <c r="DH25" s="452">
        <v>2005167</v>
      </c>
      <c r="DI25" s="434">
        <v>2025879</v>
      </c>
      <c r="DJ25" s="142"/>
      <c r="FM25" s="142"/>
      <c r="JH25" s="142"/>
      <c r="JI25" s="142"/>
      <c r="JJ25" s="142"/>
      <c r="JK25" s="142"/>
      <c r="OO25" s="142"/>
      <c r="OP25" s="142"/>
      <c r="OR25" s="142"/>
      <c r="PF25" s="145"/>
      <c r="PJ25" s="142"/>
      <c r="RM25" s="145"/>
      <c r="AEE25" s="4">
        <f>95.28%*AEE11</f>
        <v>34157.880000005527</v>
      </c>
      <c r="AEG25" s="4">
        <f>AEE19-AEQ19</f>
        <v>102202.1199999805</v>
      </c>
      <c r="AGV25" s="141"/>
      <c r="AIK25" s="141"/>
      <c r="AIL25" s="141"/>
      <c r="AIM25" s="141"/>
      <c r="AIQ25" s="1" t="s">
        <v>333</v>
      </c>
    </row>
    <row r="26" spans="2:933" x14ac:dyDescent="0.25">
      <c r="B26" s="2195"/>
      <c r="C26" s="478" t="s">
        <v>74</v>
      </c>
      <c r="D26" s="495"/>
      <c r="E26" s="479" t="s">
        <v>14</v>
      </c>
      <c r="F26" s="444">
        <v>1982807</v>
      </c>
      <c r="G26" s="444">
        <v>42320</v>
      </c>
      <c r="H26" s="1534">
        <v>1394887</v>
      </c>
      <c r="I26" s="444">
        <f>'[20]April 24'!AL22</f>
        <v>0</v>
      </c>
      <c r="J26" s="1541">
        <v>0</v>
      </c>
      <c r="K26" s="444">
        <v>0</v>
      </c>
      <c r="L26" s="444">
        <v>135300</v>
      </c>
      <c r="M26" s="444">
        <v>11670227</v>
      </c>
      <c r="N26" s="444">
        <v>13789795</v>
      </c>
      <c r="O26" s="444">
        <v>7870678</v>
      </c>
      <c r="P26" s="58">
        <v>4990754</v>
      </c>
      <c r="Q26" s="444">
        <f>'Desember 2024'!AM32</f>
        <v>5583694</v>
      </c>
      <c r="R26" s="444">
        <f>'[20]Desember 24'!AL22</f>
        <v>0</v>
      </c>
      <c r="S26" s="719"/>
      <c r="T26" s="58">
        <f>SUM(F26:Q26)</f>
        <v>47460462</v>
      </c>
      <c r="U26" s="671">
        <v>71627000</v>
      </c>
      <c r="V26" s="772">
        <f>T26/U26*100</f>
        <v>66.260574922864279</v>
      </c>
      <c r="W26" s="63"/>
      <c r="X26" s="1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45" t="s">
        <v>322</v>
      </c>
      <c r="DF26" s="446" t="s">
        <v>19</v>
      </c>
      <c r="DG26" s="447">
        <v>255.536188590634</v>
      </c>
      <c r="DH26" s="497">
        <v>255.09239449100701</v>
      </c>
      <c r="DI26" s="449">
        <v>260.824545250543</v>
      </c>
      <c r="OO26" s="470" t="e">
        <f>#REF!/1000</f>
        <v>#REF!</v>
      </c>
      <c r="OR26" s="498" t="s">
        <v>334</v>
      </c>
      <c r="OS26" s="141">
        <v>0</v>
      </c>
      <c r="PE26" s="141">
        <v>9.7534799999999997</v>
      </c>
      <c r="PF26" s="481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 x14ac:dyDescent="0.25">
      <c r="B27" s="2195"/>
      <c r="C27" s="478" t="s">
        <v>73</v>
      </c>
      <c r="D27" s="495"/>
      <c r="E27" s="479" t="s">
        <v>14</v>
      </c>
      <c r="F27" s="444">
        <v>396275</v>
      </c>
      <c r="G27" s="444">
        <v>8250</v>
      </c>
      <c r="H27" s="1534">
        <v>305018</v>
      </c>
      <c r="I27" s="444">
        <f>'[20]April 24'!AL23</f>
        <v>0</v>
      </c>
      <c r="J27" s="1541">
        <v>0</v>
      </c>
      <c r="K27" s="444">
        <v>0</v>
      </c>
      <c r="L27" s="444">
        <v>25100</v>
      </c>
      <c r="M27" s="444">
        <v>2553185</v>
      </c>
      <c r="N27" s="444">
        <v>2776750</v>
      </c>
      <c r="O27" s="444">
        <v>1500030</v>
      </c>
      <c r="P27" s="58">
        <v>979468</v>
      </c>
      <c r="Q27" s="444">
        <f>'Desember 2024'!AM33</f>
        <v>1419814</v>
      </c>
      <c r="R27" s="444">
        <f>'[20]Desember 24'!AL23</f>
        <v>0</v>
      </c>
      <c r="S27" s="719"/>
      <c r="T27" s="58">
        <f>SUM(F27:Q27)</f>
        <v>9963890</v>
      </c>
      <c r="U27" s="671">
        <v>15684000</v>
      </c>
      <c r="V27" s="772">
        <f>T27/U27*100</f>
        <v>63.529010456516197</v>
      </c>
      <c r="W27" s="63"/>
      <c r="X27" s="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31" t="s">
        <v>325</v>
      </c>
      <c r="DF27" s="5" t="s">
        <v>14</v>
      </c>
      <c r="DG27" s="432">
        <v>146000</v>
      </c>
      <c r="DH27" s="433">
        <v>151100</v>
      </c>
      <c r="DI27" s="434">
        <v>152900</v>
      </c>
      <c r="OO27" s="141">
        <v>1796</v>
      </c>
      <c r="OQ27" s="481"/>
      <c r="OR27" s="498" t="s">
        <v>335</v>
      </c>
      <c r="OS27" s="470">
        <v>1262</v>
      </c>
      <c r="PE27" s="1">
        <v>10.86</v>
      </c>
      <c r="PF27" s="481">
        <f>(OS27*PE27)/1000</f>
        <v>13.70532</v>
      </c>
      <c r="AIQ27" s="2" t="s">
        <v>336</v>
      </c>
    </row>
    <row r="28" spans="2:933" x14ac:dyDescent="0.25">
      <c r="B28" s="2195"/>
      <c r="C28" s="490" t="s">
        <v>104</v>
      </c>
      <c r="D28" s="495"/>
      <c r="E28" s="499"/>
      <c r="F28" s="500"/>
      <c r="G28" s="500"/>
      <c r="H28" s="1536"/>
      <c r="I28" s="500"/>
      <c r="J28" s="1544"/>
      <c r="K28" s="500"/>
      <c r="L28" s="500"/>
      <c r="M28" s="500"/>
      <c r="N28" s="500"/>
      <c r="O28" s="500"/>
      <c r="P28" s="500"/>
      <c r="Q28" s="500"/>
      <c r="R28" s="500"/>
      <c r="S28" s="719"/>
      <c r="T28" s="712" t="s">
        <v>106</v>
      </c>
      <c r="U28" s="672" t="s">
        <v>106</v>
      </c>
      <c r="V28" s="774" t="s">
        <v>106</v>
      </c>
      <c r="W28" s="63"/>
      <c r="X28" s="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1"/>
      <c r="DF28" s="5"/>
      <c r="DG28" s="432"/>
      <c r="DH28" s="433"/>
      <c r="DI28" s="434"/>
      <c r="OO28" s="141"/>
      <c r="OQ28" s="481"/>
      <c r="OR28" s="498"/>
      <c r="OS28" s="470"/>
      <c r="PE28" s="1"/>
      <c r="PF28" s="481"/>
      <c r="AIQ28" s="2"/>
    </row>
    <row r="29" spans="2:933" x14ac:dyDescent="0.25">
      <c r="B29" s="2195"/>
      <c r="C29" s="478" t="s">
        <v>75</v>
      </c>
      <c r="D29" s="495"/>
      <c r="E29" s="479" t="s">
        <v>14</v>
      </c>
      <c r="F29" s="444">
        <v>2827867</v>
      </c>
      <c r="G29" s="444">
        <v>0</v>
      </c>
      <c r="H29" s="1534">
        <v>0</v>
      </c>
      <c r="I29" s="1548">
        <v>60502</v>
      </c>
      <c r="J29" s="1541">
        <v>0</v>
      </c>
      <c r="K29" s="444">
        <v>0</v>
      </c>
      <c r="L29" s="444">
        <v>0</v>
      </c>
      <c r="M29" s="444">
        <v>0</v>
      </c>
      <c r="N29" s="444">
        <v>0</v>
      </c>
      <c r="O29" s="444">
        <f>'[27]Oktober- 2024'!$AM$32</f>
        <v>0</v>
      </c>
      <c r="P29" s="444"/>
      <c r="Q29" s="444">
        <f>'Desember 2024'!AM35</f>
        <v>0</v>
      </c>
      <c r="R29" s="444">
        <f>R30+R31</f>
        <v>0</v>
      </c>
      <c r="S29" s="719"/>
      <c r="T29" s="58">
        <f>T30+T31</f>
        <v>2888369</v>
      </c>
      <c r="U29" s="667">
        <f>U30+U31</f>
        <v>5121000</v>
      </c>
      <c r="V29" s="772">
        <f>T29/U29*100</f>
        <v>56.402440929505957</v>
      </c>
      <c r="W29" s="365"/>
      <c r="X29" s="1"/>
      <c r="Y29" s="63"/>
      <c r="Z29" s="63"/>
      <c r="AA29" s="63"/>
      <c r="AB29" s="63"/>
      <c r="AC29" s="63"/>
      <c r="AD29" s="63"/>
      <c r="AE29" s="63"/>
      <c r="AF29" s="809"/>
      <c r="AG29" s="809"/>
      <c r="AH29" s="809"/>
      <c r="AI29" s="809"/>
      <c r="AJ29" s="809"/>
      <c r="AK29" s="809"/>
      <c r="AL29" s="809"/>
      <c r="AM29" s="809"/>
      <c r="AN29" s="63"/>
      <c r="AO29" s="63"/>
      <c r="AP29" s="63"/>
      <c r="AR29" s="63"/>
      <c r="AT29" s="1"/>
      <c r="AU29" s="1"/>
      <c r="AV29" s="3"/>
      <c r="AW29" s="1"/>
      <c r="AX29" s="365">
        <f>T29+T34</f>
        <v>4098296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1"/>
      <c r="DF29" s="5"/>
      <c r="DG29" s="432"/>
      <c r="DH29" s="433"/>
      <c r="DI29" s="434"/>
      <c r="OO29" s="141"/>
      <c r="OQ29" s="481"/>
      <c r="OR29" s="498"/>
      <c r="OS29" s="470"/>
      <c r="PE29" s="1"/>
      <c r="PF29" s="481"/>
      <c r="AIQ29" s="2"/>
    </row>
    <row r="30" spans="2:933" x14ac:dyDescent="0.25">
      <c r="B30" s="2195"/>
      <c r="C30" s="478" t="s">
        <v>105</v>
      </c>
      <c r="D30" s="495"/>
      <c r="E30" s="479" t="s">
        <v>14</v>
      </c>
      <c r="F30" s="444">
        <v>2230587</v>
      </c>
      <c r="G30" s="444">
        <v>0</v>
      </c>
      <c r="H30" s="1534">
        <v>0</v>
      </c>
      <c r="I30" s="1548">
        <v>45478</v>
      </c>
      <c r="J30" s="1541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f>'[27]Oktober- 2024'!$AM$33</f>
        <v>0</v>
      </c>
      <c r="P30" s="444"/>
      <c r="Q30" s="444">
        <f>'Desember 2024'!AM36</f>
        <v>0</v>
      </c>
      <c r="R30" s="444">
        <f>'[20]Desember 24'!AL26</f>
        <v>0</v>
      </c>
      <c r="S30" s="719"/>
      <c r="T30" s="58">
        <f>SUM(F30:Q30)</f>
        <v>2276065</v>
      </c>
      <c r="U30" s="671">
        <v>3934000</v>
      </c>
      <c r="V30" s="772">
        <f>T30/U30*100</f>
        <v>57.856253177427554</v>
      </c>
      <c r="W30" s="365"/>
      <c r="X30" s="1"/>
      <c r="Y30" s="63"/>
      <c r="Z30" s="63"/>
      <c r="AA30" s="63"/>
      <c r="AB30" s="63"/>
      <c r="AC30" s="63"/>
      <c r="AD30" s="63"/>
      <c r="AE30" s="63"/>
      <c r="AF30" s="809"/>
      <c r="AG30" s="809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365">
        <f>T30+T35</f>
        <v>3177959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1"/>
      <c r="DF30" s="5"/>
      <c r="DG30" s="432"/>
      <c r="DH30" s="433"/>
      <c r="DI30" s="434"/>
      <c r="OO30" s="141"/>
      <c r="OQ30" s="481"/>
      <c r="OR30" s="498"/>
      <c r="OS30" s="470"/>
      <c r="PE30" s="1"/>
      <c r="PF30" s="481"/>
      <c r="AIQ30" s="2"/>
    </row>
    <row r="31" spans="2:933" x14ac:dyDescent="0.25">
      <c r="B31" s="2195"/>
      <c r="C31" s="478" t="s">
        <v>73</v>
      </c>
      <c r="D31" s="495"/>
      <c r="E31" s="479" t="s">
        <v>14</v>
      </c>
      <c r="F31" s="444">
        <v>597280</v>
      </c>
      <c r="G31" s="444">
        <v>0</v>
      </c>
      <c r="H31" s="1534">
        <v>0</v>
      </c>
      <c r="I31" s="1548">
        <v>15024</v>
      </c>
      <c r="J31" s="1541">
        <v>0</v>
      </c>
      <c r="K31" s="444">
        <v>0</v>
      </c>
      <c r="L31" s="444">
        <v>0</v>
      </c>
      <c r="M31" s="444">
        <v>0</v>
      </c>
      <c r="N31" s="444">
        <v>0</v>
      </c>
      <c r="O31" s="444">
        <f>'[27]Oktober- 2024'!$AM$34</f>
        <v>0</v>
      </c>
      <c r="P31" s="444"/>
      <c r="Q31" s="444">
        <f>'Desember 2024'!AM37</f>
        <v>0</v>
      </c>
      <c r="R31" s="444">
        <f>'[20]Desember 24'!AL27</f>
        <v>0</v>
      </c>
      <c r="S31" s="719"/>
      <c r="T31" s="58">
        <f>SUM(F31:Q31)</f>
        <v>612304</v>
      </c>
      <c r="U31" s="671">
        <v>1187000</v>
      </c>
      <c r="V31" s="772">
        <f>T31/U31*100</f>
        <v>51.58416175231676</v>
      </c>
      <c r="W31" s="365"/>
      <c r="X31" s="1"/>
      <c r="Y31" s="63"/>
      <c r="Z31" s="63"/>
      <c r="AA31" s="63"/>
      <c r="AB31" s="63"/>
      <c r="AC31" s="63"/>
      <c r="AD31" s="63"/>
      <c r="AE31" s="63"/>
      <c r="AF31" s="809"/>
      <c r="AG31" s="809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365">
        <f>T31+T36</f>
        <v>920337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1"/>
      <c r="DF31" s="5"/>
      <c r="DG31" s="432"/>
      <c r="DH31" s="433"/>
      <c r="DI31" s="434"/>
      <c r="OO31" s="141"/>
      <c r="OQ31" s="481"/>
      <c r="OR31" s="498"/>
      <c r="OS31" s="470"/>
      <c r="PE31" s="1"/>
      <c r="PF31" s="481"/>
      <c r="AIQ31" s="2"/>
    </row>
    <row r="32" spans="2:933" ht="15.75" thickBot="1" x14ac:dyDescent="0.3">
      <c r="B32" s="2195"/>
      <c r="C32" s="490" t="s">
        <v>107</v>
      </c>
      <c r="D32" s="501"/>
      <c r="E32" s="492"/>
      <c r="F32" s="429"/>
      <c r="G32" s="429"/>
      <c r="H32" s="1533"/>
      <c r="I32" s="502"/>
      <c r="J32" s="1543"/>
      <c r="K32" s="429"/>
      <c r="L32" s="429"/>
      <c r="M32" s="429"/>
      <c r="N32" s="429"/>
      <c r="O32" s="429"/>
      <c r="P32" s="429"/>
      <c r="Q32" s="429"/>
      <c r="R32" s="429"/>
      <c r="S32" s="719"/>
      <c r="T32" s="712" t="s">
        <v>108</v>
      </c>
      <c r="U32" s="672" t="s">
        <v>108</v>
      </c>
      <c r="V32" s="774" t="s">
        <v>108</v>
      </c>
      <c r="W32" s="63"/>
      <c r="X32" s="1"/>
      <c r="Y32" s="63"/>
      <c r="Z32" s="63"/>
      <c r="AA32" s="63"/>
      <c r="AB32" s="63"/>
      <c r="AC32" s="63"/>
      <c r="AD32" s="63"/>
      <c r="AE32" s="63"/>
      <c r="AF32" s="2193"/>
      <c r="AG32" s="2193"/>
      <c r="AH32" s="63"/>
      <c r="AI32" s="63"/>
      <c r="AJ32" s="63"/>
      <c r="AK32" s="63"/>
      <c r="AL32" s="63"/>
      <c r="AM32" s="63"/>
      <c r="AN32" s="63"/>
      <c r="AO32" s="63"/>
      <c r="AP32" s="63"/>
      <c r="AR32" s="63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65"/>
      <c r="DF32" s="466" t="s">
        <v>326</v>
      </c>
      <c r="DG32" s="503">
        <f>DG27/(DG25/1000)</f>
        <v>72.980660125066862</v>
      </c>
      <c r="DH32" s="504">
        <f>DH27/(DH25/1000)</f>
        <v>75.35531953198911</v>
      </c>
      <c r="DI32" s="505">
        <f>DI27/(DI25/1000)</f>
        <v>75.473411788167013</v>
      </c>
      <c r="OO32" s="481" t="e">
        <f>OO26/OO27*100</f>
        <v>#REF!</v>
      </c>
      <c r="OQ32" s="481"/>
      <c r="OR32" s="498" t="s">
        <v>337</v>
      </c>
      <c r="OS32" s="470">
        <v>2444</v>
      </c>
      <c r="PE32" s="1">
        <v>10.86</v>
      </c>
      <c r="PF32" s="481">
        <f>(OS32*PE32)/1000</f>
        <v>26.541840000000001</v>
      </c>
      <c r="AIQ32" s="2" t="s">
        <v>317</v>
      </c>
    </row>
    <row r="33" spans="1:14939" x14ac:dyDescent="0.25">
      <c r="A33" s="16"/>
      <c r="B33" s="2195"/>
      <c r="C33" s="506" t="s">
        <v>71</v>
      </c>
      <c r="D33" s="507"/>
      <c r="E33" s="508" t="s">
        <v>14</v>
      </c>
      <c r="F33" s="444">
        <v>0</v>
      </c>
      <c r="G33" s="444">
        <v>440053.74641644466</v>
      </c>
      <c r="H33" s="1534">
        <v>793075.76686850865</v>
      </c>
      <c r="I33" s="444">
        <f>'[20]April 24'!AL29</f>
        <v>0</v>
      </c>
      <c r="J33" s="1541">
        <v>0</v>
      </c>
      <c r="K33" s="444">
        <v>0</v>
      </c>
      <c r="L33" s="444">
        <v>0</v>
      </c>
      <c r="M33" s="444">
        <v>0</v>
      </c>
      <c r="N33" s="444">
        <v>0</v>
      </c>
      <c r="O33" s="444">
        <f>'[27]Oktober- 2024'!$AM$36</f>
        <v>0</v>
      </c>
      <c r="P33" s="444"/>
      <c r="Q33" s="444">
        <f>'Desember 2024'!AM39</f>
        <v>0</v>
      </c>
      <c r="R33" s="444">
        <f>'[20]Desember 24'!AL29</f>
        <v>0</v>
      </c>
      <c r="S33" s="721"/>
      <c r="T33" s="509">
        <f>SUM(F33:Q33)</f>
        <v>1233129.5132849533</v>
      </c>
      <c r="U33" s="673">
        <f>U34/U56%</f>
        <v>32338304.029689282</v>
      </c>
      <c r="V33" s="772">
        <f>(T33/U33)*100</f>
        <v>3.8132164016790635</v>
      </c>
      <c r="W33" s="810"/>
      <c r="X33" s="16"/>
      <c r="Y33" s="810"/>
      <c r="Z33" s="810"/>
      <c r="AA33" s="810"/>
      <c r="AB33" s="810"/>
      <c r="AC33" s="810"/>
      <c r="AD33" s="810"/>
      <c r="AE33" s="810"/>
      <c r="AF33" s="811"/>
      <c r="AG33" s="811"/>
      <c r="AH33" s="810"/>
      <c r="AI33" s="810"/>
      <c r="AJ33" s="810"/>
      <c r="AK33" s="810"/>
      <c r="AL33" s="810"/>
      <c r="AM33" s="810"/>
      <c r="AN33" s="810"/>
      <c r="AO33" s="810"/>
      <c r="AP33" s="810"/>
      <c r="AQ33" s="810"/>
      <c r="AR33" s="810"/>
      <c r="AS33" s="810"/>
      <c r="AT33" s="812"/>
      <c r="AU33" s="812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4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326</v>
      </c>
      <c r="DG33" s="145" t="e">
        <f>DG27/(DG20/1000)</f>
        <v>#VALUE!</v>
      </c>
      <c r="DH33" s="145" t="e">
        <f>DI27/(DH20/1000)</f>
        <v>#VALUE!</v>
      </c>
      <c r="DI33" s="145" t="e">
        <f>#REF!/(DI20/1000)</f>
        <v>#REF!</v>
      </c>
      <c r="DJ33" s="144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4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4"/>
      <c r="JI33" s="144"/>
      <c r="JJ33" s="144"/>
      <c r="JK33" s="144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4"/>
      <c r="OP33" s="144"/>
      <c r="OQ33" s="510"/>
      <c r="OR33" s="144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10"/>
      <c r="PG33" s="16"/>
      <c r="PH33" s="16"/>
      <c r="PI33" s="16"/>
      <c r="PJ33" s="144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10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4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4"/>
      <c r="AIL33" s="144"/>
      <c r="AIM33" s="144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x14ac:dyDescent="0.25">
      <c r="B34" s="2195"/>
      <c r="C34" s="478" t="s">
        <v>70</v>
      </c>
      <c r="D34" s="495">
        <f>SUM(D35:D36)</f>
        <v>0</v>
      </c>
      <c r="E34" s="479" t="s">
        <v>14</v>
      </c>
      <c r="F34" s="444">
        <v>0</v>
      </c>
      <c r="G34" s="444">
        <v>417044</v>
      </c>
      <c r="H34" s="1534">
        <v>751933</v>
      </c>
      <c r="I34" s="444">
        <f>I35+I36</f>
        <v>0</v>
      </c>
      <c r="J34" s="1541">
        <v>0</v>
      </c>
      <c r="K34" s="444">
        <v>0</v>
      </c>
      <c r="L34" s="444">
        <v>0</v>
      </c>
      <c r="M34" s="444">
        <v>0</v>
      </c>
      <c r="N34" s="444">
        <v>40950</v>
      </c>
      <c r="O34" s="444">
        <f>'[27]Oktober- 2024'!$AM$37</f>
        <v>0</v>
      </c>
      <c r="P34" s="444"/>
      <c r="Q34" s="444">
        <f>'Desember 2024'!AM40</f>
        <v>0</v>
      </c>
      <c r="R34" s="444">
        <f>R35+R36</f>
        <v>0</v>
      </c>
      <c r="S34" s="719"/>
      <c r="T34" s="509">
        <f>T35+T36</f>
        <v>1209927</v>
      </c>
      <c r="U34" s="674">
        <f>U35+U36</f>
        <v>30647000</v>
      </c>
      <c r="V34" s="772">
        <f>(T34/U34)*100</f>
        <v>3.9479459653473423</v>
      </c>
      <c r="W34" s="63"/>
      <c r="X34" s="1"/>
      <c r="Y34" s="63"/>
      <c r="Z34" s="63"/>
      <c r="AA34" s="63"/>
      <c r="AB34" s="63"/>
      <c r="AC34" s="63"/>
      <c r="AD34" s="63"/>
      <c r="AE34" s="63"/>
      <c r="AF34" s="2193"/>
      <c r="AG34" s="2193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452"/>
      <c r="AU34" s="452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2"/>
      <c r="BY34" s="1"/>
      <c r="DA34" s="1"/>
      <c r="DE34" s="2"/>
      <c r="DF34" s="5"/>
      <c r="DG34" s="141"/>
      <c r="DH34" s="141"/>
      <c r="DI34" s="141"/>
      <c r="DJ34" s="142"/>
      <c r="FM34" s="142"/>
      <c r="JH34" s="142"/>
      <c r="JI34" s="142"/>
      <c r="JJ34" s="142"/>
      <c r="JK34" s="142"/>
      <c r="OO34" s="142"/>
      <c r="OP34" s="142"/>
      <c r="OQ34" s="145"/>
      <c r="OR34" s="142"/>
      <c r="PF34" s="145">
        <f>SUM(PF27:PF32)</f>
        <v>40.247160000000001</v>
      </c>
      <c r="PJ34" s="142"/>
      <c r="RM34" s="145"/>
      <c r="AGV34" s="141"/>
      <c r="AIK34" s="141"/>
      <c r="AIL34" s="141"/>
      <c r="AIM34" s="141"/>
    </row>
    <row r="35" spans="1:14939" x14ac:dyDescent="0.25">
      <c r="B35" s="2195"/>
      <c r="C35" s="478" t="s">
        <v>338</v>
      </c>
      <c r="D35" s="495"/>
      <c r="E35" s="479" t="s">
        <v>14</v>
      </c>
      <c r="F35" s="444">
        <v>0</v>
      </c>
      <c r="G35" s="444">
        <v>327115</v>
      </c>
      <c r="H35" s="1534">
        <v>543979</v>
      </c>
      <c r="I35" s="444">
        <f>'[20]April 24'!AL31</f>
        <v>0</v>
      </c>
      <c r="J35" s="1541">
        <v>0</v>
      </c>
      <c r="K35" s="444">
        <v>0</v>
      </c>
      <c r="L35" s="444">
        <v>0</v>
      </c>
      <c r="M35" s="444">
        <v>0</v>
      </c>
      <c r="N35" s="444">
        <v>30800</v>
      </c>
      <c r="O35" s="444">
        <f>'[27]Oktober- 2024'!$AM$38</f>
        <v>0</v>
      </c>
      <c r="P35" s="444"/>
      <c r="Q35" s="444">
        <f>'Desember 2024'!AM41</f>
        <v>0</v>
      </c>
      <c r="R35" s="444">
        <f>'[20]Desember 24'!AL31</f>
        <v>0</v>
      </c>
      <c r="S35" s="719"/>
      <c r="T35" s="511">
        <f>SUM(F35:Q35)</f>
        <v>901894</v>
      </c>
      <c r="U35" s="675">
        <v>23002000</v>
      </c>
      <c r="V35" s="772">
        <f>T35/U35*100</f>
        <v>3.920937309799148</v>
      </c>
      <c r="W35" s="63"/>
      <c r="X35" s="5"/>
      <c r="Y35" s="63"/>
      <c r="Z35" s="63"/>
      <c r="AA35" s="63"/>
      <c r="AB35" s="63"/>
      <c r="AC35" s="63"/>
      <c r="AD35" s="63"/>
      <c r="AE35" s="63"/>
      <c r="AF35" s="2193"/>
      <c r="AG35" s="2193"/>
      <c r="AH35" s="2193"/>
      <c r="AI35" s="2193"/>
      <c r="AJ35" s="2193"/>
      <c r="AK35" s="2193"/>
      <c r="AL35" s="2193"/>
      <c r="AM35" s="63"/>
      <c r="AN35" s="63"/>
      <c r="AO35" s="63"/>
      <c r="AP35" s="63"/>
      <c r="AR35" s="63"/>
      <c r="AT35" s="452"/>
      <c r="AU35" s="452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2"/>
      <c r="BY35" s="1"/>
      <c r="DA35" s="1"/>
      <c r="DF35" s="5"/>
      <c r="DG35" s="145"/>
      <c r="DH35" s="145"/>
      <c r="DI35" s="145"/>
      <c r="DJ35" s="142"/>
      <c r="FM35" s="142"/>
      <c r="JH35" s="142"/>
      <c r="JI35" s="142"/>
      <c r="JJ35" s="142"/>
      <c r="JK35" s="142"/>
      <c r="OO35" s="142"/>
      <c r="OP35" s="142"/>
      <c r="OQ35" s="145"/>
      <c r="OR35" s="142"/>
      <c r="PF35" s="145"/>
      <c r="PJ35" s="142"/>
      <c r="RM35" s="145"/>
      <c r="AGV35" s="141"/>
      <c r="AIK35" s="141"/>
      <c r="AIL35" s="141"/>
      <c r="AIM35" s="141"/>
    </row>
    <row r="36" spans="1:14939" x14ac:dyDescent="0.25">
      <c r="B36" s="2195"/>
      <c r="C36" s="441" t="s">
        <v>73</v>
      </c>
      <c r="D36" s="495"/>
      <c r="E36" s="479" t="s">
        <v>14</v>
      </c>
      <c r="F36" s="444">
        <v>0</v>
      </c>
      <c r="G36" s="444">
        <v>89929</v>
      </c>
      <c r="H36" s="1534">
        <v>207954</v>
      </c>
      <c r="I36" s="444">
        <f>'[20]April 24'!AL32</f>
        <v>0</v>
      </c>
      <c r="J36" s="1541">
        <v>0</v>
      </c>
      <c r="K36" s="444">
        <v>0</v>
      </c>
      <c r="L36" s="444">
        <v>0</v>
      </c>
      <c r="M36" s="444">
        <v>0</v>
      </c>
      <c r="N36" s="444">
        <v>10150</v>
      </c>
      <c r="O36" s="444">
        <f>'[27]Oktober- 2024'!$AM$39</f>
        <v>0</v>
      </c>
      <c r="P36" s="444"/>
      <c r="Q36" s="444">
        <f>'Desember 2024'!AM42</f>
        <v>0</v>
      </c>
      <c r="R36" s="444">
        <f>'[20]Desember 24'!AL32</f>
        <v>0</v>
      </c>
      <c r="S36" s="719"/>
      <c r="T36" s="509">
        <f>SUM(F36:Q36)</f>
        <v>308033</v>
      </c>
      <c r="U36" s="673">
        <v>7645000</v>
      </c>
      <c r="V36" s="772">
        <f>T36/U36*100</f>
        <v>4.0292086330935248</v>
      </c>
      <c r="W36" s="63"/>
      <c r="X36" s="82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R36" s="63"/>
      <c r="AT36" s="452"/>
      <c r="AU36" s="452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2"/>
      <c r="BY36" s="1"/>
      <c r="DA36" s="1"/>
      <c r="DF36" s="5"/>
      <c r="DG36" s="142"/>
      <c r="DH36" s="142"/>
      <c r="DI36" s="142"/>
      <c r="DJ36" s="142"/>
      <c r="FM36" s="142"/>
      <c r="JH36" s="142"/>
      <c r="JI36" s="142"/>
      <c r="JJ36" s="142"/>
      <c r="JK36" s="142"/>
      <c r="OO36" s="142"/>
      <c r="OP36" s="142"/>
      <c r="OR36" s="142"/>
      <c r="PF36" s="145"/>
      <c r="PJ36" s="142"/>
      <c r="RM36" s="145"/>
      <c r="AGV36" s="141"/>
      <c r="AIK36" s="141"/>
      <c r="AIL36" s="141"/>
      <c r="AIM36" s="141"/>
    </row>
    <row r="37" spans="1:14939" s="512" customFormat="1" x14ac:dyDescent="0.25">
      <c r="B37" s="2195"/>
      <c r="C37" s="490" t="s">
        <v>339</v>
      </c>
      <c r="D37" s="513"/>
      <c r="E37" s="514"/>
      <c r="F37" s="515"/>
      <c r="G37" s="515"/>
      <c r="H37" s="1537"/>
      <c r="I37" s="515"/>
      <c r="J37" s="1545"/>
      <c r="K37" s="515"/>
      <c r="L37" s="515"/>
      <c r="M37" s="515"/>
      <c r="N37" s="515"/>
      <c r="O37" s="515"/>
      <c r="P37" s="515"/>
      <c r="Q37" s="515"/>
      <c r="R37" s="515"/>
      <c r="S37" s="720"/>
      <c r="T37" s="712" t="s">
        <v>332</v>
      </c>
      <c r="U37" s="672" t="s">
        <v>332</v>
      </c>
      <c r="V37" s="774" t="s">
        <v>332</v>
      </c>
      <c r="W37" s="63"/>
      <c r="X37" s="823"/>
      <c r="Y37" s="805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804"/>
      <c r="AU37" s="804"/>
      <c r="AV37" s="63"/>
      <c r="AW37" s="63"/>
      <c r="AX37" s="1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143"/>
      <c r="BY37" s="63"/>
      <c r="DA37" s="63"/>
      <c r="DF37" s="516"/>
      <c r="DG37" s="143"/>
      <c r="DH37" s="143"/>
      <c r="DI37" s="143"/>
      <c r="DJ37" s="143"/>
      <c r="FM37" s="143"/>
      <c r="JH37" s="143"/>
      <c r="JI37" s="143"/>
      <c r="JJ37" s="143"/>
      <c r="JK37" s="143"/>
      <c r="OO37" s="143"/>
      <c r="OP37" s="143"/>
      <c r="OR37" s="143"/>
      <c r="PF37" s="152"/>
      <c r="PJ37" s="143"/>
      <c r="RM37" s="152"/>
      <c r="AGV37" s="143"/>
      <c r="AIK37" s="143"/>
      <c r="AIL37" s="143"/>
      <c r="AIM37" s="143"/>
    </row>
    <row r="38" spans="1:14939" x14ac:dyDescent="0.25">
      <c r="B38" s="2195"/>
      <c r="C38" s="478" t="s">
        <v>75</v>
      </c>
      <c r="D38" s="495"/>
      <c r="E38" s="479" t="s">
        <v>14</v>
      </c>
      <c r="F38" s="444">
        <v>6885934</v>
      </c>
      <c r="G38" s="1554">
        <v>7224129</v>
      </c>
      <c r="H38" s="1534">
        <v>13704210</v>
      </c>
      <c r="I38" s="1548">
        <v>9615694</v>
      </c>
      <c r="J38" s="1541">
        <v>14816948</v>
      </c>
      <c r="K38" s="444">
        <v>7764784</v>
      </c>
      <c r="L38" s="444">
        <v>11686063</v>
      </c>
      <c r="M38" s="444">
        <v>9837344</v>
      </c>
      <c r="N38" s="444">
        <v>6581530</v>
      </c>
      <c r="O38" s="444">
        <v>10628161</v>
      </c>
      <c r="P38" s="58">
        <v>16567437</v>
      </c>
      <c r="Q38" s="444">
        <f>'Desember 2024'!AM44</f>
        <v>16973017</v>
      </c>
      <c r="R38" s="444">
        <f>R39+R40</f>
        <v>0</v>
      </c>
      <c r="S38" s="719"/>
      <c r="T38" s="58">
        <f>T39+T40</f>
        <v>132805491</v>
      </c>
      <c r="U38" s="674">
        <f>U39+U40</f>
        <v>249961000</v>
      </c>
      <c r="V38" s="772">
        <f>T38/U38*100</f>
        <v>53.130484755621879</v>
      </c>
      <c r="W38" s="63"/>
      <c r="X38" s="823"/>
      <c r="Y38" s="805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R38" s="63"/>
      <c r="AT38" s="452"/>
      <c r="AU38" s="452"/>
      <c r="AV38" s="1"/>
      <c r="AW38" s="1"/>
      <c r="AX38" s="6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2"/>
      <c r="BY38" s="1"/>
      <c r="DA38" s="1"/>
      <c r="DF38" s="5"/>
      <c r="DG38" s="142"/>
      <c r="DH38" s="142"/>
      <c r="DI38" s="142"/>
      <c r="DJ38" s="142"/>
      <c r="FM38" s="142"/>
      <c r="JH38" s="142"/>
      <c r="JI38" s="142"/>
      <c r="JJ38" s="142"/>
      <c r="JK38" s="142"/>
      <c r="OO38" s="142"/>
      <c r="OP38" s="142"/>
      <c r="OR38" s="142"/>
      <c r="PF38" s="145"/>
      <c r="PJ38" s="142"/>
      <c r="RM38" s="145"/>
      <c r="AGV38" s="141"/>
      <c r="AIK38" s="141"/>
      <c r="AIL38" s="141"/>
      <c r="AIM38" s="141"/>
    </row>
    <row r="39" spans="1:14939" x14ac:dyDescent="0.25">
      <c r="B39" s="2195"/>
      <c r="C39" s="478" t="s">
        <v>340</v>
      </c>
      <c r="D39" s="495"/>
      <c r="E39" s="479" t="s">
        <v>14</v>
      </c>
      <c r="F39" s="444">
        <v>4847146</v>
      </c>
      <c r="G39" s="1554">
        <v>5178274</v>
      </c>
      <c r="H39" s="1534">
        <v>8651956</v>
      </c>
      <c r="I39" s="1548">
        <v>6783108</v>
      </c>
      <c r="J39" s="1541">
        <v>10840932</v>
      </c>
      <c r="K39" s="444">
        <v>5498655</v>
      </c>
      <c r="L39" s="444">
        <v>8627479</v>
      </c>
      <c r="M39" s="444">
        <v>6991936</v>
      </c>
      <c r="N39" s="444">
        <v>4788598</v>
      </c>
      <c r="O39" s="444">
        <v>7897790</v>
      </c>
      <c r="P39" s="58">
        <v>12573252</v>
      </c>
      <c r="Q39" s="444">
        <f>'Desember 2024'!AM45</f>
        <v>11987575</v>
      </c>
      <c r="R39" s="444">
        <f>'[20]Desember 24'!AL35</f>
        <v>0</v>
      </c>
      <c r="S39" s="719"/>
      <c r="T39" s="58">
        <f>SUM(F39:Q39)</f>
        <v>94666701</v>
      </c>
      <c r="U39" s="673">
        <v>175000000</v>
      </c>
      <c r="V39" s="772">
        <f>T39/U39*100</f>
        <v>54.095257714285715</v>
      </c>
      <c r="W39" s="63"/>
      <c r="X39" s="5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2"/>
      <c r="AU39" s="452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x14ac:dyDescent="0.25">
      <c r="B40" s="2195"/>
      <c r="C40" s="478" t="s">
        <v>73</v>
      </c>
      <c r="D40" s="495"/>
      <c r="E40" s="479" t="s">
        <v>14</v>
      </c>
      <c r="F40" s="444">
        <v>2038788</v>
      </c>
      <c r="G40" s="1554">
        <v>2045855</v>
      </c>
      <c r="H40" s="1534">
        <v>5052254</v>
      </c>
      <c r="I40" s="1548">
        <v>2832586</v>
      </c>
      <c r="J40" s="1541">
        <v>3976016</v>
      </c>
      <c r="K40" s="444">
        <v>2266129</v>
      </c>
      <c r="L40" s="444">
        <v>3578824</v>
      </c>
      <c r="M40" s="444">
        <v>2845408</v>
      </c>
      <c r="N40" s="444">
        <v>1792932</v>
      </c>
      <c r="O40" s="444">
        <v>2730371</v>
      </c>
      <c r="P40" s="58">
        <v>3994185</v>
      </c>
      <c r="Q40" s="444">
        <f>'Desember 2024'!AM46</f>
        <v>4985442</v>
      </c>
      <c r="R40" s="444">
        <f>'[20]Desember 24'!AL36</f>
        <v>0</v>
      </c>
      <c r="S40" s="719"/>
      <c r="T40" s="58">
        <f>SUM(F40:Q40)</f>
        <v>38138790</v>
      </c>
      <c r="U40" s="673">
        <v>74961000</v>
      </c>
      <c r="V40" s="772">
        <f>T40/U40*100</f>
        <v>50.878176651858965</v>
      </c>
      <c r="W40" s="63"/>
      <c r="X40" s="5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452"/>
      <c r="AU40" s="452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2"/>
      <c r="BY40" s="1"/>
      <c r="DA40" s="1"/>
      <c r="DF40" s="5"/>
      <c r="DG40" s="142"/>
      <c r="DH40" s="142"/>
      <c r="DI40" s="142"/>
      <c r="DJ40" s="142"/>
      <c r="FM40" s="142"/>
      <c r="JH40" s="142"/>
      <c r="JI40" s="142"/>
      <c r="JJ40" s="142"/>
      <c r="JK40" s="142"/>
      <c r="OO40" s="142"/>
      <c r="OP40" s="142"/>
      <c r="OR40" s="142"/>
      <c r="PF40" s="145"/>
      <c r="PJ40" s="142"/>
      <c r="RM40" s="145"/>
      <c r="AGV40" s="141"/>
      <c r="AIK40" s="141"/>
      <c r="AIL40" s="141"/>
      <c r="AIM40" s="141"/>
    </row>
    <row r="41" spans="1:14939" x14ac:dyDescent="0.25">
      <c r="B41" s="2195"/>
      <c r="C41" s="717" t="s">
        <v>829</v>
      </c>
      <c r="D41" s="495"/>
      <c r="E41" s="479"/>
      <c r="F41" s="444"/>
      <c r="G41" s="1554"/>
      <c r="H41" s="1534"/>
      <c r="I41" s="1548"/>
      <c r="J41" s="1541"/>
      <c r="K41" s="444"/>
      <c r="L41" s="444"/>
      <c r="M41" s="444"/>
      <c r="N41" s="444"/>
      <c r="O41" s="444"/>
      <c r="P41" s="444"/>
      <c r="Q41" s="444"/>
      <c r="R41" s="444"/>
      <c r="S41" s="719"/>
      <c r="T41" s="58"/>
      <c r="U41" s="673"/>
      <c r="V41" s="772"/>
      <c r="W41" s="63"/>
      <c r="X41" s="5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2"/>
      <c r="AU41" s="452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x14ac:dyDescent="0.25">
      <c r="B42" s="2195"/>
      <c r="C42" s="72" t="s">
        <v>71</v>
      </c>
      <c r="D42" s="495"/>
      <c r="E42" s="479" t="s">
        <v>14</v>
      </c>
      <c r="F42" s="444"/>
      <c r="G42" s="1554"/>
      <c r="H42" s="1534"/>
      <c r="I42" s="1548"/>
      <c r="J42" s="1541"/>
      <c r="K42" s="444"/>
      <c r="L42" s="444"/>
      <c r="M42" s="444"/>
      <c r="N42" s="444"/>
      <c r="O42" s="444">
        <v>55842.1052631579</v>
      </c>
      <c r="P42" s="444"/>
      <c r="Q42" s="444"/>
      <c r="R42" s="444"/>
      <c r="S42" s="719"/>
      <c r="T42" s="58"/>
      <c r="U42" s="673"/>
      <c r="V42" s="772"/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2"/>
      <c r="AU42" s="452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x14ac:dyDescent="0.25">
      <c r="B43" s="2195"/>
      <c r="C43" s="65" t="s">
        <v>75</v>
      </c>
      <c r="D43" s="495"/>
      <c r="E43" s="479" t="s">
        <v>14</v>
      </c>
      <c r="F43" s="444"/>
      <c r="G43" s="1554"/>
      <c r="H43" s="1534"/>
      <c r="I43" s="1548"/>
      <c r="J43" s="1541"/>
      <c r="K43" s="444"/>
      <c r="L43" s="444"/>
      <c r="M43" s="444"/>
      <c r="N43" s="444"/>
      <c r="O43" s="444">
        <v>53050</v>
      </c>
      <c r="P43" s="444"/>
      <c r="Q43" s="444"/>
      <c r="R43" s="444"/>
      <c r="S43" s="719"/>
      <c r="T43" s="58"/>
      <c r="U43" s="673"/>
      <c r="V43" s="772"/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2"/>
      <c r="AU43" s="452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x14ac:dyDescent="0.25">
      <c r="B44" s="2195"/>
      <c r="C44" s="65" t="s">
        <v>112</v>
      </c>
      <c r="D44" s="495"/>
      <c r="E44" s="479" t="s">
        <v>14</v>
      </c>
      <c r="F44" s="444"/>
      <c r="G44" s="1554"/>
      <c r="H44" s="1534"/>
      <c r="I44" s="1548"/>
      <c r="J44" s="1541"/>
      <c r="K44" s="444"/>
      <c r="L44" s="444"/>
      <c r="M44" s="444"/>
      <c r="N44" s="444"/>
      <c r="O44" s="444">
        <v>38000</v>
      </c>
      <c r="P44" s="444"/>
      <c r="Q44" s="444"/>
      <c r="R44" s="444"/>
      <c r="S44" s="719"/>
      <c r="T44" s="58"/>
      <c r="U44" s="673"/>
      <c r="V44" s="772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2"/>
      <c r="AU44" s="452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x14ac:dyDescent="0.25">
      <c r="B45" s="2195"/>
      <c r="C45" s="65" t="s">
        <v>73</v>
      </c>
      <c r="D45" s="495"/>
      <c r="E45" s="479" t="s">
        <v>14</v>
      </c>
      <c r="F45" s="444"/>
      <c r="G45" s="1554"/>
      <c r="H45" s="1534"/>
      <c r="I45" s="1548"/>
      <c r="J45" s="1541"/>
      <c r="K45" s="444"/>
      <c r="L45" s="444"/>
      <c r="M45" s="444"/>
      <c r="N45" s="444"/>
      <c r="O45" s="444">
        <v>15050</v>
      </c>
      <c r="P45" s="444"/>
      <c r="Q45" s="444"/>
      <c r="R45" s="444"/>
      <c r="S45" s="719"/>
      <c r="T45" s="58"/>
      <c r="U45" s="673"/>
      <c r="V45" s="772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2"/>
      <c r="AU45" s="452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x14ac:dyDescent="0.25">
      <c r="B46" s="2195"/>
      <c r="C46" s="490" t="s">
        <v>72</v>
      </c>
      <c r="D46" s="501"/>
      <c r="E46" s="492"/>
      <c r="F46" s="429"/>
      <c r="G46" s="429"/>
      <c r="H46" s="1533"/>
      <c r="I46" s="502"/>
      <c r="J46" s="1543"/>
      <c r="K46" s="429"/>
      <c r="L46" s="429"/>
      <c r="M46" s="429"/>
      <c r="N46" s="429"/>
      <c r="O46" s="429"/>
      <c r="P46" s="429"/>
      <c r="Q46" s="429"/>
      <c r="R46" s="429"/>
      <c r="S46" s="719"/>
      <c r="T46" s="712" t="s">
        <v>61</v>
      </c>
      <c r="U46" s="672" t="s">
        <v>61</v>
      </c>
      <c r="V46" s="774" t="s">
        <v>61</v>
      </c>
      <c r="W46" s="63"/>
      <c r="X46" s="1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"/>
      <c r="BY46" s="1"/>
      <c r="DA46" s="1"/>
    </row>
    <row r="47" spans="1:14939" x14ac:dyDescent="0.25">
      <c r="A47" s="16"/>
      <c r="B47" s="2195"/>
      <c r="C47" s="506" t="s">
        <v>71</v>
      </c>
      <c r="D47" s="507"/>
      <c r="E47" s="508" t="s">
        <v>14</v>
      </c>
      <c r="F47" s="444">
        <v>1622056.4818173659</v>
      </c>
      <c r="G47" s="444">
        <v>421426.64599608653</v>
      </c>
      <c r="H47" s="1534">
        <v>123260.74781141231</v>
      </c>
      <c r="I47" s="1550">
        <v>0</v>
      </c>
      <c r="J47" s="1541">
        <v>0</v>
      </c>
      <c r="K47" s="444">
        <v>0</v>
      </c>
      <c r="L47" s="444">
        <v>0</v>
      </c>
      <c r="M47" s="444">
        <v>0</v>
      </c>
      <c r="N47" s="444">
        <v>0</v>
      </c>
      <c r="O47" s="444">
        <f>'[27]Oktober- 2024'!$AM$50</f>
        <v>0</v>
      </c>
      <c r="P47" s="444"/>
      <c r="Q47" s="444">
        <f>'Desember 2024'!AM53</f>
        <v>0</v>
      </c>
      <c r="R47" s="444"/>
      <c r="S47" s="721"/>
      <c r="T47" s="58">
        <f>SUM(F47:Q47)</f>
        <v>2166743.8756248648</v>
      </c>
      <c r="U47" s="671">
        <f>U48/U56%</f>
        <v>25913272.762786224</v>
      </c>
      <c r="V47" s="772">
        <f>T47/U47*100</f>
        <v>8.3615215085317303</v>
      </c>
      <c r="W47" s="810"/>
      <c r="X47" s="16"/>
      <c r="Y47" s="810"/>
      <c r="Z47" s="810"/>
      <c r="AA47" s="810"/>
      <c r="AB47" s="810"/>
      <c r="AC47" s="810"/>
      <c r="AD47" s="810"/>
      <c r="AE47" s="810"/>
      <c r="AF47" s="810"/>
      <c r="AG47" s="810"/>
      <c r="AH47" s="810"/>
      <c r="AI47" s="810"/>
      <c r="AJ47" s="810"/>
      <c r="AK47" s="810"/>
      <c r="AL47" s="810"/>
      <c r="AM47" s="810"/>
      <c r="AN47" s="810"/>
      <c r="AO47" s="810"/>
      <c r="AP47" s="810"/>
      <c r="AQ47" s="810"/>
      <c r="AR47" s="810"/>
      <c r="AS47" s="810"/>
      <c r="AT47" s="812"/>
      <c r="AU47" s="812"/>
      <c r="AV47" s="16"/>
      <c r="AW47" s="16"/>
      <c r="AX47" s="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V47" s="16"/>
      <c r="BW47" s="16"/>
      <c r="BX47" s="144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517"/>
      <c r="DG47" s="144"/>
      <c r="DH47" s="144"/>
      <c r="DI47" s="144"/>
      <c r="DJ47" s="144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44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44"/>
      <c r="JI47" s="144"/>
      <c r="JJ47" s="144"/>
      <c r="JK47" s="144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44"/>
      <c r="OP47" s="144"/>
      <c r="OQ47" s="16"/>
      <c r="OR47" s="144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510"/>
      <c r="PG47" s="16"/>
      <c r="PH47" s="16"/>
      <c r="PI47" s="16"/>
      <c r="PJ47" s="144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510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44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44"/>
      <c r="AIL47" s="144"/>
      <c r="AIM47" s="144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</row>
    <row r="48" spans="1:14939" x14ac:dyDescent="0.25">
      <c r="B48" s="2195"/>
      <c r="C48" s="478" t="s">
        <v>70</v>
      </c>
      <c r="D48" s="495">
        <f>SUM(D50:D51)</f>
        <v>0</v>
      </c>
      <c r="E48" s="479" t="s">
        <v>14</v>
      </c>
      <c r="F48" s="444">
        <v>1537641</v>
      </c>
      <c r="G48" s="444">
        <v>398670</v>
      </c>
      <c r="H48" s="1534">
        <v>117150</v>
      </c>
      <c r="I48" s="1548">
        <v>0</v>
      </c>
      <c r="J48" s="1541">
        <v>0</v>
      </c>
      <c r="K48" s="444">
        <v>0</v>
      </c>
      <c r="L48" s="444">
        <v>0</v>
      </c>
      <c r="M48" s="444">
        <v>145600</v>
      </c>
      <c r="N48" s="444">
        <v>0</v>
      </c>
      <c r="O48" s="444"/>
      <c r="P48" s="444"/>
      <c r="Q48" s="444">
        <f>'Desember 2024'!AM54</f>
        <v>145360</v>
      </c>
      <c r="R48" s="444">
        <f>R50+R51</f>
        <v>0</v>
      </c>
      <c r="S48" s="719"/>
      <c r="T48" s="58">
        <f>T50+T51</f>
        <v>2344421</v>
      </c>
      <c r="U48" s="667">
        <f>U50+U51</f>
        <v>24558000</v>
      </c>
      <c r="V48" s="772">
        <f>T48/U48*100</f>
        <v>9.5464655102207008</v>
      </c>
      <c r="W48" s="63"/>
      <c r="X48" s="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2"/>
      <c r="AU48" s="452"/>
      <c r="AV48" s="1"/>
      <c r="AW48" s="1"/>
      <c r="AX48" s="144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2"/>
      <c r="BY48" s="1"/>
      <c r="DA48" s="1"/>
      <c r="DF48" s="5"/>
      <c r="DG48" s="142">
        <v>2136</v>
      </c>
      <c r="DH48" s="142"/>
      <c r="DI48" s="142"/>
      <c r="DJ48" s="142"/>
      <c r="FM48" s="142"/>
      <c r="JH48" s="142"/>
      <c r="JI48" s="142"/>
      <c r="JJ48" s="142"/>
      <c r="JK48" s="142"/>
      <c r="OO48" s="142"/>
      <c r="OP48" s="142"/>
      <c r="OR48" s="142"/>
      <c r="PF48" s="145"/>
      <c r="PJ48" s="142"/>
      <c r="RM48" s="145"/>
      <c r="AGV48" s="141"/>
      <c r="AIK48" s="141"/>
      <c r="AIL48" s="141"/>
      <c r="AIM48" s="141"/>
    </row>
    <row r="49" spans="2:923" x14ac:dyDescent="0.25">
      <c r="B49" s="2195"/>
      <c r="C49" s="478" t="s">
        <v>69</v>
      </c>
      <c r="D49" s="495"/>
      <c r="E49" s="479" t="s">
        <v>14</v>
      </c>
      <c r="F49" s="444">
        <v>0</v>
      </c>
      <c r="G49" s="444">
        <v>0</v>
      </c>
      <c r="H49" s="1534">
        <v>0</v>
      </c>
      <c r="I49" s="1548">
        <v>0</v>
      </c>
      <c r="J49" s="1541">
        <v>0</v>
      </c>
      <c r="K49" s="444">
        <v>0</v>
      </c>
      <c r="L49" s="444">
        <v>0</v>
      </c>
      <c r="M49" s="444">
        <v>0</v>
      </c>
      <c r="N49" s="444">
        <v>0</v>
      </c>
      <c r="O49" s="444"/>
      <c r="P49" s="444"/>
      <c r="Q49" s="444"/>
      <c r="R49" s="444">
        <f>'[20]Desember 24'!AL40</f>
        <v>0</v>
      </c>
      <c r="S49" s="719"/>
      <c r="T49" s="58">
        <f>SUM(F49:Q49)</f>
        <v>0</v>
      </c>
      <c r="U49" s="671">
        <f>SUM(F49:R49)</f>
        <v>0</v>
      </c>
      <c r="V49" s="775">
        <f>SUM(H49:T49)</f>
        <v>0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452"/>
      <c r="AU49" s="452"/>
      <c r="AV49" s="1"/>
      <c r="AW49" s="1"/>
      <c r="AX49" s="144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2"/>
      <c r="BY49" s="1"/>
      <c r="DA49" s="1"/>
      <c r="DF49" s="5"/>
      <c r="DG49" s="142"/>
      <c r="DH49" s="142"/>
      <c r="DI49" s="142"/>
      <c r="DJ49" s="142"/>
      <c r="FM49" s="142"/>
      <c r="JH49" s="142"/>
      <c r="JI49" s="142"/>
      <c r="JJ49" s="142"/>
      <c r="JK49" s="142"/>
      <c r="OO49" s="142"/>
      <c r="OP49" s="142"/>
      <c r="OR49" s="142"/>
      <c r="PF49" s="145"/>
      <c r="PJ49" s="142"/>
      <c r="RM49" s="145"/>
      <c r="AGV49" s="141"/>
      <c r="AIK49" s="141"/>
      <c r="AIL49" s="141"/>
      <c r="AIM49" s="141"/>
    </row>
    <row r="50" spans="2:923" x14ac:dyDescent="0.25">
      <c r="B50" s="2195"/>
      <c r="C50" s="478" t="s">
        <v>68</v>
      </c>
      <c r="D50" s="495"/>
      <c r="E50" s="479" t="s">
        <v>14</v>
      </c>
      <c r="F50" s="444">
        <v>923976</v>
      </c>
      <c r="G50" s="444">
        <v>248300</v>
      </c>
      <c r="H50" s="1534">
        <v>70300</v>
      </c>
      <c r="I50" s="1548">
        <v>0</v>
      </c>
      <c r="J50" s="1541">
        <v>0</v>
      </c>
      <c r="K50" s="444">
        <v>0</v>
      </c>
      <c r="L50" s="444">
        <v>0</v>
      </c>
      <c r="M50" s="444">
        <v>87600</v>
      </c>
      <c r="N50" s="444">
        <v>0</v>
      </c>
      <c r="O50" s="444"/>
      <c r="P50" s="444"/>
      <c r="Q50" s="444">
        <f>'Desember 2024'!AM55</f>
        <v>87260</v>
      </c>
      <c r="R50" s="444">
        <f>'[20]Desember 24'!AL41</f>
        <v>0</v>
      </c>
      <c r="S50" s="719"/>
      <c r="T50" s="58">
        <f>SUM(F50:Q50)</f>
        <v>1417436</v>
      </c>
      <c r="U50" s="671">
        <v>14736000</v>
      </c>
      <c r="V50" s="772">
        <f>T50/U50*100</f>
        <v>9.6188653637350701</v>
      </c>
      <c r="W50" s="63"/>
      <c r="X50" s="1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R50" s="63"/>
      <c r="AT50" s="452"/>
      <c r="AU50" s="452"/>
      <c r="AV50" s="3"/>
      <c r="AW50" s="1"/>
      <c r="AX50" s="142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2"/>
      <c r="BY50" s="1"/>
      <c r="DA50" s="1"/>
      <c r="DF50" s="5"/>
      <c r="DG50" s="142">
        <v>1796</v>
      </c>
      <c r="DH50" s="142"/>
      <c r="DI50" s="142"/>
      <c r="DJ50" s="142"/>
      <c r="FM50" s="142"/>
      <c r="JH50" s="142"/>
      <c r="JI50" s="142"/>
      <c r="JJ50" s="142"/>
      <c r="JK50" s="142"/>
      <c r="OO50" s="142"/>
      <c r="OP50" s="142"/>
      <c r="OR50" s="142"/>
      <c r="PF50" s="145"/>
      <c r="PJ50" s="142"/>
      <c r="RM50" s="145"/>
      <c r="AGV50" s="141"/>
      <c r="AIK50" s="141"/>
      <c r="AIL50" s="141"/>
      <c r="AIM50" s="141"/>
    </row>
    <row r="51" spans="2:923" x14ac:dyDescent="0.25">
      <c r="B51" s="2195"/>
      <c r="C51" s="478" t="s">
        <v>67</v>
      </c>
      <c r="D51" s="495"/>
      <c r="E51" s="479" t="s">
        <v>14</v>
      </c>
      <c r="F51" s="444">
        <v>613665</v>
      </c>
      <c r="G51" s="444">
        <v>150370</v>
      </c>
      <c r="H51" s="1534">
        <v>46850</v>
      </c>
      <c r="I51" s="1548">
        <v>0</v>
      </c>
      <c r="J51" s="1541">
        <v>0</v>
      </c>
      <c r="K51" s="444">
        <v>0</v>
      </c>
      <c r="L51" s="444">
        <v>0</v>
      </c>
      <c r="M51" s="444">
        <v>58000</v>
      </c>
      <c r="N51" s="444">
        <v>0</v>
      </c>
      <c r="O51" s="444"/>
      <c r="P51" s="444"/>
      <c r="Q51" s="444">
        <f>'Desember 2024'!AM56</f>
        <v>58100</v>
      </c>
      <c r="R51" s="444">
        <f>'[20]Desember 24'!AL42</f>
        <v>0</v>
      </c>
      <c r="S51" s="719"/>
      <c r="T51" s="58">
        <f>SUM(F51:Q51)</f>
        <v>926985</v>
      </c>
      <c r="U51" s="671">
        <v>9822000</v>
      </c>
      <c r="V51" s="772">
        <f>T51/U51*100</f>
        <v>9.4378436163714099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2"/>
      <c r="AU51" s="452"/>
      <c r="AV51" s="3"/>
      <c r="AW51" s="1"/>
      <c r="AX51" s="146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f>DG48/DG50*100</f>
        <v>118.93095768374164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2:923" s="512" customFormat="1" x14ac:dyDescent="0.25">
      <c r="B52" s="2195"/>
      <c r="C52" s="11" t="s">
        <v>113</v>
      </c>
      <c r="D52" s="513"/>
      <c r="E52" s="514"/>
      <c r="F52" s="1553">
        <v>17.423640322580646</v>
      </c>
      <c r="G52" s="518">
        <v>13.04905322580645</v>
      </c>
      <c r="H52" s="1538">
        <v>26.247093548387095</v>
      </c>
      <c r="I52" s="1552">
        <v>15.606767741935485</v>
      </c>
      <c r="J52" s="1546">
        <v>23.898303225806451</v>
      </c>
      <c r="K52" s="518">
        <v>12.523845161290323</v>
      </c>
      <c r="L52" s="519">
        <v>0</v>
      </c>
      <c r="M52" s="519">
        <v>0</v>
      </c>
      <c r="N52" s="519">
        <v>0</v>
      </c>
      <c r="O52" s="519">
        <f>(O38+O34+O29+O25)/(60000000)</f>
        <v>0.33331448333333336</v>
      </c>
      <c r="P52" s="519">
        <f>(P38+P34+P29+P25)/(60000000)</f>
        <v>0.37562764999999998</v>
      </c>
      <c r="Q52" s="519">
        <f>(Q38+Q34+Q29+Q25)/(60000000)</f>
        <v>0.39960875000000001</v>
      </c>
      <c r="R52" s="519">
        <f>(R38+R34+R29+R25)/(60000000)</f>
        <v>0</v>
      </c>
      <c r="S52" s="720"/>
      <c r="T52" s="84">
        <f>+AVERAGE(F52:Q52)</f>
        <v>9.154771175761649</v>
      </c>
      <c r="U52" s="676"/>
      <c r="V52" s="776"/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804"/>
      <c r="AU52" s="804"/>
      <c r="AV52" s="365"/>
      <c r="AW52" s="63"/>
      <c r="AX52" s="1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V52" s="63"/>
      <c r="BW52" s="63"/>
      <c r="BX52" s="143"/>
      <c r="BY52" s="63"/>
      <c r="DA52" s="63"/>
      <c r="DF52" s="516"/>
      <c r="DG52" s="143"/>
      <c r="DH52" s="143"/>
      <c r="DI52" s="143"/>
      <c r="DJ52" s="143"/>
      <c r="FM52" s="143"/>
      <c r="JH52" s="143"/>
      <c r="JI52" s="143"/>
      <c r="JJ52" s="143"/>
      <c r="JK52" s="143"/>
      <c r="OO52" s="143"/>
      <c r="OP52" s="143"/>
      <c r="OR52" s="143"/>
      <c r="PF52" s="152"/>
      <c r="PJ52" s="143"/>
      <c r="RM52" s="152"/>
      <c r="AGV52" s="143"/>
      <c r="AIK52" s="143"/>
      <c r="AIL52" s="143"/>
      <c r="AIM52" s="143"/>
    </row>
    <row r="53" spans="2:923" s="512" customFormat="1" x14ac:dyDescent="0.25">
      <c r="B53" s="2195"/>
      <c r="C53" s="11" t="s">
        <v>341</v>
      </c>
      <c r="D53" s="513"/>
      <c r="E53" s="514"/>
      <c r="F53" s="518">
        <f>(F48+F38+F34+F30+F26)/F54*100</f>
        <v>20.606822428992142</v>
      </c>
      <c r="G53" s="518">
        <f>(G48+G38+G34+G30+G26)/G54*100</f>
        <v>13.179402258814626</v>
      </c>
      <c r="H53" s="1538">
        <f>(H48+H38+H34+H30+H26)/H54*100</f>
        <v>43.367168468686913</v>
      </c>
      <c r="I53" s="518"/>
      <c r="J53" s="1546">
        <f>(J48+J38+J34+J30+J26)/J54*100</f>
        <v>43.260937213231415</v>
      </c>
      <c r="K53" s="518">
        <f>(K48+K38+K34+K30+K26)/K54*100</f>
        <v>22.670784367894381</v>
      </c>
      <c r="L53" s="518">
        <f>(L48+L38+L34+L30+L26)/L54*100</f>
        <v>34.306584827906441</v>
      </c>
      <c r="M53" s="518">
        <f>($M$48+$M$38+$M$34+$M$30+$M$25)/$M$54*100</f>
        <v>70.248871089442218</v>
      </c>
      <c r="N53" s="518">
        <f>($N$48+$N$38+$N$34+$N$30+$N$26)/$N$54*100</f>
        <v>59.238130477682972</v>
      </c>
      <c r="O53" s="518">
        <f>(O48+O38+O34+O29+O25)/O54*100</f>
        <v>58.390554933758295</v>
      </c>
      <c r="P53" s="518">
        <f>(P48+P38+P34+P29+P25)/P54*100</f>
        <v>65.803041957913337</v>
      </c>
      <c r="Q53" s="518">
        <f>(Q48+Q38+Q34+Q30+Q26)/Q54*100</f>
        <v>65.883310116663765</v>
      </c>
      <c r="R53" s="518">
        <f>(R48+R38+R34+R30+R26)/R54*100</f>
        <v>0</v>
      </c>
      <c r="S53" s="720"/>
      <c r="T53" s="84">
        <f>+AVERAGE(F53:Q53)</f>
        <v>45.177782558271502</v>
      </c>
      <c r="U53" s="676"/>
      <c r="V53" s="776"/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804"/>
      <c r="AU53" s="804"/>
      <c r="AV53" s="365"/>
      <c r="AW53" s="63"/>
      <c r="AX53" s="1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V53" s="63"/>
      <c r="BW53" s="63"/>
      <c r="BX53" s="143"/>
      <c r="BY53" s="63"/>
      <c r="DA53" s="63"/>
      <c r="DF53" s="516"/>
      <c r="DG53" s="143"/>
      <c r="DH53" s="143"/>
      <c r="DI53" s="143"/>
      <c r="DJ53" s="143"/>
      <c r="FM53" s="143"/>
      <c r="JH53" s="143"/>
      <c r="JI53" s="143"/>
      <c r="JJ53" s="143"/>
      <c r="JK53" s="143"/>
      <c r="OO53" s="143"/>
      <c r="OP53" s="143"/>
      <c r="OR53" s="143"/>
      <c r="PF53" s="152"/>
      <c r="PJ53" s="143"/>
      <c r="RM53" s="152"/>
      <c r="AGV53" s="143"/>
      <c r="AIK53" s="143"/>
      <c r="AIL53" s="143"/>
      <c r="AIM53" s="143"/>
    </row>
    <row r="54" spans="2:923" s="512" customFormat="1" x14ac:dyDescent="0.25">
      <c r="B54" s="2195"/>
      <c r="C54" s="11" t="s">
        <v>342</v>
      </c>
      <c r="D54" s="513"/>
      <c r="E54" s="514"/>
      <c r="F54" s="740">
        <v>61324200.000000007</v>
      </c>
      <c r="G54" s="740">
        <v>61324200.000000007</v>
      </c>
      <c r="H54" s="1539">
        <v>36820896</v>
      </c>
      <c r="I54" s="1551">
        <v>34250178</v>
      </c>
      <c r="J54" s="1547">
        <v>34250178</v>
      </c>
      <c r="K54" s="740">
        <v>34250178</v>
      </c>
      <c r="L54" s="740">
        <v>34458000</v>
      </c>
      <c r="M54" s="740">
        <v>34458000</v>
      </c>
      <c r="N54" s="518">
        <v>34458000</v>
      </c>
      <c r="O54" s="518">
        <f>'[23]Juni - 24'!$D$19</f>
        <v>34250178</v>
      </c>
      <c r="P54" s="518">
        <f>'[23]Juni - 24'!$D$19</f>
        <v>34250178</v>
      </c>
      <c r="Q54" s="740">
        <f>'Desember 2024'!E19</f>
        <v>34458000</v>
      </c>
      <c r="R54" s="518">
        <f>'[23]Juni - 24'!$D$19</f>
        <v>34250178</v>
      </c>
      <c r="S54" s="720"/>
      <c r="T54" s="520">
        <f>SUM(F54:Q54)</f>
        <v>468552186</v>
      </c>
      <c r="U54" s="676"/>
      <c r="V54" s="776"/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804"/>
      <c r="AU54" s="804"/>
      <c r="AV54" s="365"/>
      <c r="AW54" s="63"/>
      <c r="AX54" s="1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143"/>
      <c r="BY54" s="63"/>
      <c r="DA54" s="63"/>
      <c r="DF54" s="516"/>
      <c r="DG54" s="143"/>
      <c r="DH54" s="143"/>
      <c r="DI54" s="143"/>
      <c r="DJ54" s="143"/>
      <c r="FM54" s="143"/>
      <c r="JH54" s="143"/>
      <c r="JI54" s="143"/>
      <c r="JJ54" s="143"/>
      <c r="JK54" s="143"/>
      <c r="OO54" s="143"/>
      <c r="OP54" s="143"/>
      <c r="OR54" s="143"/>
      <c r="PF54" s="152"/>
      <c r="PJ54" s="143"/>
      <c r="RM54" s="152"/>
      <c r="AGV54" s="143"/>
      <c r="AIK54" s="143"/>
      <c r="AIL54" s="143"/>
      <c r="AIM54" s="143"/>
    </row>
    <row r="55" spans="2:923" x14ac:dyDescent="0.25">
      <c r="B55" s="2195"/>
      <c r="C55" s="521" t="s">
        <v>66</v>
      </c>
      <c r="D55" s="77"/>
      <c r="E55" s="77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719"/>
      <c r="T55" s="714" t="s">
        <v>128</v>
      </c>
      <c r="U55" s="677" t="s">
        <v>128</v>
      </c>
      <c r="V55" s="777" t="s">
        <v>128</v>
      </c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CF55" s="1" t="s">
        <v>216</v>
      </c>
      <c r="DA55" s="1"/>
      <c r="OP55" s="141">
        <v>678</v>
      </c>
    </row>
    <row r="56" spans="2:923" x14ac:dyDescent="0.25">
      <c r="B56" s="2195"/>
      <c r="C56" s="523" t="s">
        <v>65</v>
      </c>
      <c r="D56" s="463">
        <v>94.2</v>
      </c>
      <c r="E56" s="514" t="s">
        <v>25</v>
      </c>
      <c r="F56" s="524">
        <v>94.537593327246256</v>
      </c>
      <c r="G56" s="440">
        <v>94.281617778941538</v>
      </c>
      <c r="H56" s="440">
        <v>94.901568486371502</v>
      </c>
      <c r="I56" s="440">
        <v>94.843943824432259</v>
      </c>
      <c r="J56" s="440">
        <v>95.233608296560874</v>
      </c>
      <c r="K56" s="440">
        <v>94.544904150811391</v>
      </c>
      <c r="L56" s="440">
        <v>90.001937359460953</v>
      </c>
      <c r="M56" s="440">
        <v>95.997637480592928</v>
      </c>
      <c r="N56" s="440">
        <v>94.748466395439806</v>
      </c>
      <c r="O56" s="440">
        <f>(O19/(O11))*100</f>
        <v>94.876079626338822</v>
      </c>
      <c r="P56" s="1791">
        <v>97.94269920863232</v>
      </c>
      <c r="Q56" s="440">
        <f>(Q19/(Q11))*100</f>
        <v>96.5053713767754</v>
      </c>
      <c r="R56" s="440" t="e">
        <f>(R19/(R11))*100</f>
        <v>#DIV/0!</v>
      </c>
      <c r="S56" s="720"/>
      <c r="T56" s="525">
        <f>(T19/(T11))*100</f>
        <v>95.071260116197294</v>
      </c>
      <c r="U56" s="526">
        <f>(U19/(U11))*100</f>
        <v>94.769966822822482</v>
      </c>
      <c r="V56" s="778"/>
      <c r="W56" s="813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  <c r="OP56" s="141">
        <v>420</v>
      </c>
      <c r="OR56" s="481">
        <f>OP56/OP55*100</f>
        <v>61.946902654867252</v>
      </c>
    </row>
    <row r="57" spans="2:923" x14ac:dyDescent="0.25">
      <c r="B57" s="2195"/>
      <c r="C57" s="523" t="s">
        <v>64</v>
      </c>
      <c r="D57" s="463">
        <v>5</v>
      </c>
      <c r="E57" s="514" t="s">
        <v>25</v>
      </c>
      <c r="F57" s="524">
        <v>4.777311844384835</v>
      </c>
      <c r="G57" s="440">
        <v>5.0597452638229523</v>
      </c>
      <c r="H57" s="440">
        <v>4.434496455170164</v>
      </c>
      <c r="I57" s="440">
        <v>4.7401383936814128</v>
      </c>
      <c r="J57" s="440">
        <v>4.0621899121502771</v>
      </c>
      <c r="K57" s="440">
        <v>4.8500653644601215</v>
      </c>
      <c r="L57" s="440">
        <v>4.4613156077341589</v>
      </c>
      <c r="M57" s="440">
        <v>4.1059370412586302</v>
      </c>
      <c r="N57" s="440">
        <v>4.1524825659176523</v>
      </c>
      <c r="O57" s="440">
        <f>(O20/(O11))*100</f>
        <v>4.0432195148673307</v>
      </c>
      <c r="P57" s="1791">
        <v>4.2716875280335351</v>
      </c>
      <c r="Q57" s="440">
        <f>(Q20/(Q11))*100</f>
        <v>4.3095021251539753</v>
      </c>
      <c r="R57" s="440" t="e">
        <f>(R20/(R11))*100</f>
        <v>#DIV/0!</v>
      </c>
      <c r="S57" s="720"/>
      <c r="T57" s="525">
        <f>(T20/(T11))*100</f>
        <v>4.3494492265633165</v>
      </c>
      <c r="U57" s="526">
        <f>(U20/(U11))*100</f>
        <v>4.5147541139225487</v>
      </c>
      <c r="V57" s="778"/>
      <c r="W57" s="813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1">
        <f>OP55-OP56</f>
        <v>258</v>
      </c>
      <c r="OR57" s="481">
        <f>OP57/OP55*100</f>
        <v>38.053097345132741</v>
      </c>
    </row>
    <row r="58" spans="2:923" x14ac:dyDescent="0.25">
      <c r="B58" s="2195"/>
      <c r="C58" s="523" t="s">
        <v>63</v>
      </c>
      <c r="D58" s="463">
        <v>82</v>
      </c>
      <c r="E58" s="514" t="s">
        <v>25</v>
      </c>
      <c r="F58" s="524">
        <v>83.343365213977492</v>
      </c>
      <c r="G58" s="440">
        <v>83.685979829938688</v>
      </c>
      <c r="H58" s="440">
        <v>82.056761995523274</v>
      </c>
      <c r="I58" s="440" t="e">
        <v>#DIV/0!</v>
      </c>
      <c r="J58" s="440" t="e">
        <v>#DIV/0!</v>
      </c>
      <c r="K58" s="440" t="e">
        <v>#DIV/0!</v>
      </c>
      <c r="L58" s="440">
        <v>84.35162094763092</v>
      </c>
      <c r="M58" s="440">
        <v>82.049419646987658</v>
      </c>
      <c r="N58" s="440">
        <v>83.238810506354824</v>
      </c>
      <c r="O58" s="440">
        <f>(O26/O25)*100</f>
        <v>83.992351485074551</v>
      </c>
      <c r="P58" s="1791">
        <v>83.594110905758612</v>
      </c>
      <c r="Q58" s="440">
        <f>(Q26/Q25)*100</f>
        <v>79.727102474931129</v>
      </c>
      <c r="R58" s="440" t="e">
        <f>(R26/R25)*100</f>
        <v>#DIV/0!</v>
      </c>
      <c r="S58" s="720"/>
      <c r="T58" s="525">
        <f>(T26/T25)*100</f>
        <v>82.648667937950776</v>
      </c>
      <c r="U58" s="526">
        <f>(U26/U25)*100</f>
        <v>82.036627687232993</v>
      </c>
      <c r="V58" s="778"/>
      <c r="W58" s="813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</row>
    <row r="59" spans="2:923" x14ac:dyDescent="0.25">
      <c r="B59" s="2195"/>
      <c r="C59" s="523" t="s">
        <v>62</v>
      </c>
      <c r="D59" s="463">
        <v>18</v>
      </c>
      <c r="E59" s="514" t="s">
        <v>25</v>
      </c>
      <c r="F59" s="524">
        <v>16.656634786022508</v>
      </c>
      <c r="G59" s="440">
        <v>16.314020170061301</v>
      </c>
      <c r="H59" s="440">
        <v>17.943238004476722</v>
      </c>
      <c r="I59" s="440" t="e">
        <v>#DIV/0!</v>
      </c>
      <c r="J59" s="440" t="e">
        <v>#DIV/0!</v>
      </c>
      <c r="K59" s="440" t="e">
        <v>#DIV/0!</v>
      </c>
      <c r="L59" s="440" t="e">
        <v>#DIV/0!</v>
      </c>
      <c r="M59" s="440">
        <v>17.950580353012345</v>
      </c>
      <c r="N59" s="440">
        <v>16.761189493645173</v>
      </c>
      <c r="O59" s="440">
        <f>(O27/O25)*100</f>
        <v>16.007648514925446</v>
      </c>
      <c r="P59" s="1795">
        <v>16.405889094241385</v>
      </c>
      <c r="Q59" s="440">
        <f>(Q27/Q25)*100</f>
        <v>20.272897525068863</v>
      </c>
      <c r="R59" s="440" t="e">
        <f>(R27/R25)*100</f>
        <v>#DIV/0!</v>
      </c>
      <c r="S59" s="720"/>
      <c r="T59" s="525">
        <f>(T27/T25)*100</f>
        <v>17.351332062049217</v>
      </c>
      <c r="U59" s="526">
        <f>(U27/U25)*100</f>
        <v>17.963372312767007</v>
      </c>
      <c r="V59" s="778"/>
      <c r="W59" s="813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x14ac:dyDescent="0.25">
      <c r="B60" s="2195"/>
      <c r="C60" s="523" t="s">
        <v>106</v>
      </c>
      <c r="D60" s="527">
        <v>75</v>
      </c>
      <c r="E60" s="514" t="s">
        <v>25</v>
      </c>
      <c r="F60" s="440">
        <v>78.878780366969167</v>
      </c>
      <c r="G60" s="440" t="e">
        <v>#DIV/0!</v>
      </c>
      <c r="H60" s="440" t="e">
        <v>#DIV/0!</v>
      </c>
      <c r="I60" s="440">
        <v>75.167763049155397</v>
      </c>
      <c r="J60" s="440" t="e">
        <v>#DIV/0!</v>
      </c>
      <c r="K60" s="440" t="e">
        <v>#DIV/0!</v>
      </c>
      <c r="L60" s="440" t="e">
        <v>#DIV/0!</v>
      </c>
      <c r="M60" s="440" t="e">
        <v>#DIV/0!</v>
      </c>
      <c r="N60" s="440">
        <v>75.213675213675216</v>
      </c>
      <c r="O60" s="440" t="e">
        <f>(O30/O29)*100</f>
        <v>#DIV/0!</v>
      </c>
      <c r="P60" s="440"/>
      <c r="Q60" s="440" t="e">
        <f>'Desember 2024'!I63</f>
        <v>#DIV/0!</v>
      </c>
      <c r="R60" s="440" t="e">
        <f>(R30/R29)*100</f>
        <v>#DIV/0!</v>
      </c>
      <c r="S60" s="720"/>
      <c r="T60" s="525">
        <f>(T30/T29)*100</f>
        <v>78.801046542183499</v>
      </c>
      <c r="U60" s="526">
        <v>75</v>
      </c>
      <c r="V60" s="778"/>
      <c r="W60" s="813"/>
      <c r="X60" s="306"/>
      <c r="Y60" s="808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x14ac:dyDescent="0.25">
      <c r="B61" s="2195"/>
      <c r="C61" s="523" t="s">
        <v>62</v>
      </c>
      <c r="D61" s="527">
        <v>25</v>
      </c>
      <c r="E61" s="514" t="s">
        <v>25</v>
      </c>
      <c r="F61" s="440">
        <v>21.121219633030833</v>
      </c>
      <c r="G61" s="440" t="e">
        <v>#DIV/0!</v>
      </c>
      <c r="H61" s="440" t="e">
        <v>#DIV/0!</v>
      </c>
      <c r="I61" s="440">
        <v>24.832236950844599</v>
      </c>
      <c r="J61" s="440" t="e">
        <v>#DIV/0!</v>
      </c>
      <c r="K61" s="440" t="e">
        <v>#DIV/0!</v>
      </c>
      <c r="L61" s="440" t="e">
        <v>#DIV/0!</v>
      </c>
      <c r="M61" s="440" t="e">
        <v>#DIV/0!</v>
      </c>
      <c r="N61" s="440">
        <v>24.786324786324787</v>
      </c>
      <c r="O61" s="440" t="e">
        <f>(O31/O29)*100</f>
        <v>#DIV/0!</v>
      </c>
      <c r="P61" s="440"/>
      <c r="Q61" s="440" t="e">
        <f>'Desember 2024'!I64</f>
        <v>#DIV/0!</v>
      </c>
      <c r="R61" s="440" t="e">
        <f>(R31/R29)*100</f>
        <v>#DIV/0!</v>
      </c>
      <c r="S61" s="720"/>
      <c r="T61" s="525">
        <f>(T31/T29)*100</f>
        <v>21.198953457816504</v>
      </c>
      <c r="U61" s="526">
        <v>25</v>
      </c>
      <c r="V61" s="778"/>
      <c r="W61" s="813"/>
      <c r="X61" s="306"/>
      <c r="Y61" s="808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x14ac:dyDescent="0.25">
      <c r="B62" s="2195"/>
      <c r="C62" s="523" t="s">
        <v>108</v>
      </c>
      <c r="D62" s="463">
        <v>75</v>
      </c>
      <c r="E62" s="514" t="s">
        <v>25</v>
      </c>
      <c r="F62" s="440" t="e">
        <v>#DIV/0!</v>
      </c>
      <c r="G62" s="440">
        <v>78.436567844160336</v>
      </c>
      <c r="H62" s="440">
        <v>72.34407852827313</v>
      </c>
      <c r="I62" s="440" t="e">
        <v>#DIV/0!</v>
      </c>
      <c r="J62" s="440" t="e">
        <v>#DIV/0!</v>
      </c>
      <c r="K62" s="440" t="e">
        <v>#DIV/0!</v>
      </c>
      <c r="L62" s="440" t="e">
        <v>#DIV/0!</v>
      </c>
      <c r="M62" s="440" t="e">
        <v>#DIV/0!</v>
      </c>
      <c r="N62" s="440">
        <v>75.213675213675216</v>
      </c>
      <c r="O62" s="440" t="e">
        <f>O35/O34*100</f>
        <v>#DIV/0!</v>
      </c>
      <c r="P62" s="440"/>
      <c r="Q62" s="440" t="e">
        <f>'Desember 2024'!AM65</f>
        <v>#DIV/0!</v>
      </c>
      <c r="R62" s="440" t="e">
        <f>R35/R34*100</f>
        <v>#DIV/0!</v>
      </c>
      <c r="S62" s="720" t="s">
        <v>216</v>
      </c>
      <c r="T62" s="525">
        <f>(T35/T34)*100</f>
        <v>74.541191328071861</v>
      </c>
      <c r="U62" s="526">
        <v>75</v>
      </c>
      <c r="V62" s="778"/>
      <c r="W62" s="813"/>
      <c r="X62" s="140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x14ac:dyDescent="0.25">
      <c r="B63" s="2195"/>
      <c r="C63" s="523" t="s">
        <v>62</v>
      </c>
      <c r="D63" s="463">
        <v>25</v>
      </c>
      <c r="E63" s="514" t="s">
        <v>25</v>
      </c>
      <c r="F63" s="440" t="e">
        <v>#DIV/0!</v>
      </c>
      <c r="G63" s="440">
        <v>21.563432155839671</v>
      </c>
      <c r="H63" s="440">
        <v>27.65592147172687</v>
      </c>
      <c r="I63" s="440" t="e">
        <v>#DIV/0!</v>
      </c>
      <c r="J63" s="440" t="e">
        <v>#DIV/0!</v>
      </c>
      <c r="K63" s="440" t="e">
        <v>#DIV/0!</v>
      </c>
      <c r="L63" s="440" t="e">
        <v>#DIV/0!</v>
      </c>
      <c r="M63" s="440" t="e">
        <v>#DIV/0!</v>
      </c>
      <c r="N63" s="440">
        <v>24.786324786324787</v>
      </c>
      <c r="O63" s="440" t="e">
        <f>O36/O34*100</f>
        <v>#DIV/0!</v>
      </c>
      <c r="P63" s="440"/>
      <c r="Q63" s="440" t="e">
        <f>'Desember 2024'!AM66</f>
        <v>#DIV/0!</v>
      </c>
      <c r="R63" s="440" t="e">
        <f>R36/R34*100</f>
        <v>#DIV/0!</v>
      </c>
      <c r="S63" s="526"/>
      <c r="T63" s="525">
        <f>(T36/T34)*100</f>
        <v>25.458808671928139</v>
      </c>
      <c r="U63" s="526">
        <v>25</v>
      </c>
      <c r="V63" s="778"/>
      <c r="W63" s="813"/>
      <c r="X63" s="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  <c r="FN63" s="1">
        <v>95.03</v>
      </c>
    </row>
    <row r="64" spans="2:923" x14ac:dyDescent="0.25">
      <c r="B64" s="2195"/>
      <c r="C64" s="523" t="s">
        <v>111</v>
      </c>
      <c r="D64" s="463">
        <v>70</v>
      </c>
      <c r="E64" s="514" t="s">
        <v>25</v>
      </c>
      <c r="F64" s="440">
        <v>70.391990396654975</v>
      </c>
      <c r="G64" s="440">
        <v>71.680253771769571</v>
      </c>
      <c r="H64" s="440">
        <v>63.133562605943716</v>
      </c>
      <c r="I64" s="440">
        <v>70.542053438888559</v>
      </c>
      <c r="J64" s="440">
        <v>73.165755862813313</v>
      </c>
      <c r="K64" s="440">
        <v>70.815298918810882</v>
      </c>
      <c r="L64" s="440">
        <v>70.680524643702526</v>
      </c>
      <c r="M64" s="440">
        <v>71.075444754193811</v>
      </c>
      <c r="N64" s="440">
        <v>72.7581276694021</v>
      </c>
      <c r="O64" s="440">
        <f>(O39/O38)*100</f>
        <v>74.310033504385189</v>
      </c>
      <c r="P64" s="1792">
        <v>75.891352416188454</v>
      </c>
      <c r="Q64" s="440">
        <f>'Desember 2024'!AM67</f>
        <v>70.627249121355391</v>
      </c>
      <c r="R64" s="440" t="e">
        <f>(R39/R38)*100</f>
        <v>#DIV/0!</v>
      </c>
      <c r="S64" s="526"/>
      <c r="T64" s="525">
        <f>(T39/T38)*100</f>
        <v>71.282219046198918</v>
      </c>
      <c r="U64" s="526">
        <v>70</v>
      </c>
      <c r="V64" s="778"/>
      <c r="W64" s="813"/>
      <c r="X64" s="1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/>
    </row>
    <row r="65" spans="2:936" x14ac:dyDescent="0.25">
      <c r="B65" s="2195"/>
      <c r="C65" s="523" t="s">
        <v>62</v>
      </c>
      <c r="D65" s="463">
        <v>30</v>
      </c>
      <c r="E65" s="514" t="s">
        <v>25</v>
      </c>
      <c r="F65" s="440">
        <v>29.608009603345021</v>
      </c>
      <c r="G65" s="440">
        <v>28.319746228230418</v>
      </c>
      <c r="H65" s="440">
        <v>36.866437394056277</v>
      </c>
      <c r="I65" s="440">
        <v>29.457946561111449</v>
      </c>
      <c r="J65" s="440">
        <v>26.834244137186687</v>
      </c>
      <c r="K65" s="440">
        <v>29.184701081189125</v>
      </c>
      <c r="L65" s="440">
        <v>29.319475356297481</v>
      </c>
      <c r="M65" s="440">
        <v>28.924555245806182</v>
      </c>
      <c r="N65" s="440">
        <v>27.2418723305979</v>
      </c>
      <c r="O65" s="440">
        <f>(O40/O38)*100</f>
        <v>25.689966495614811</v>
      </c>
      <c r="P65" s="1790">
        <v>24.108647583811546</v>
      </c>
      <c r="Q65" s="440">
        <f>'Desember 2024'!AM68</f>
        <v>29.372750878644617</v>
      </c>
      <c r="R65" s="440" t="e">
        <f>(R40/R38)*100</f>
        <v>#DIV/0!</v>
      </c>
      <c r="S65" s="526"/>
      <c r="T65" s="525">
        <f>(T40/T38)*100</f>
        <v>28.717780953801075</v>
      </c>
      <c r="U65" s="526">
        <v>30</v>
      </c>
      <c r="V65" s="778"/>
      <c r="W65" s="813"/>
      <c r="X65" s="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 x14ac:dyDescent="0.25">
      <c r="B66" s="2195"/>
      <c r="C66" s="523" t="s">
        <v>61</v>
      </c>
      <c r="D66" s="463">
        <v>60</v>
      </c>
      <c r="E66" s="514" t="s">
        <v>25</v>
      </c>
      <c r="F66" s="524">
        <v>60.090489262448123</v>
      </c>
      <c r="G66" s="440">
        <v>62.282087942408502</v>
      </c>
      <c r="H66" s="440">
        <v>60.008536064874093</v>
      </c>
      <c r="I66" s="440" t="e">
        <v>#DIV/0!</v>
      </c>
      <c r="J66" s="440" t="e">
        <v>#DIV/0!</v>
      </c>
      <c r="K66" s="440" t="e">
        <v>#DIV/0!</v>
      </c>
      <c r="L66" s="440" t="e">
        <v>#DIV/0!</v>
      </c>
      <c r="M66" s="440">
        <v>60.164835164835161</v>
      </c>
      <c r="N66" s="440" t="e">
        <v>#DIV/0!</v>
      </c>
      <c r="O66" s="440" t="e">
        <f>O50/O48*100</f>
        <v>#DIV/0!</v>
      </c>
      <c r="P66" s="440"/>
      <c r="Q66" s="440">
        <f>'Desember 2024'!AM71</f>
        <v>60.030269675288942</v>
      </c>
      <c r="R66" s="440" t="e">
        <f>R50/R48*100</f>
        <v>#DIV/0!</v>
      </c>
      <c r="S66" s="720"/>
      <c r="T66" s="525">
        <f>(T50/T48)*100</f>
        <v>60.45996004983747</v>
      </c>
      <c r="U66" s="526">
        <f>U50/U48*100</f>
        <v>60.00488639139995</v>
      </c>
      <c r="V66" s="778"/>
      <c r="W66" s="813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4.2300000000000004</v>
      </c>
      <c r="OR66" s="141">
        <f>OR67/94.2%</f>
        <v>1307.8556263269638</v>
      </c>
      <c r="OS66" s="1" t="s">
        <v>343</v>
      </c>
    </row>
    <row r="67" spans="2:936" x14ac:dyDescent="0.25">
      <c r="B67" s="2196"/>
      <c r="C67" s="523" t="s">
        <v>60</v>
      </c>
      <c r="D67" s="463">
        <v>40</v>
      </c>
      <c r="E67" s="514" t="s">
        <v>25</v>
      </c>
      <c r="F67" s="524">
        <v>39.909510737551877</v>
      </c>
      <c r="G67" s="440">
        <v>37.717912057591491</v>
      </c>
      <c r="H67" s="440">
        <v>39.991463935125907</v>
      </c>
      <c r="I67" s="440" t="e">
        <v>#DIV/0!</v>
      </c>
      <c r="J67" s="440" t="e">
        <v>#DIV/0!</v>
      </c>
      <c r="K67" s="440" t="e">
        <v>#DIV/0!</v>
      </c>
      <c r="L67" s="440" t="e">
        <v>#DIV/0!</v>
      </c>
      <c r="M67" s="440">
        <v>39.835164835164832</v>
      </c>
      <c r="N67" s="440" t="e">
        <v>#DIV/0!</v>
      </c>
      <c r="O67" s="440" t="e">
        <f>O51/O48*100</f>
        <v>#DIV/0!</v>
      </c>
      <c r="P67" s="440"/>
      <c r="Q67" s="440">
        <f>'Desember 2024'!AM72</f>
        <v>39.969730324711058</v>
      </c>
      <c r="R67" s="440" t="e">
        <f>R51/R48*100</f>
        <v>#DIV/0!</v>
      </c>
      <c r="S67" s="526"/>
      <c r="T67" s="528">
        <f>(T51/T48)*100</f>
        <v>39.540039950162537</v>
      </c>
      <c r="U67" s="526">
        <f>U51/U48*100</f>
        <v>39.99511360860005</v>
      </c>
      <c r="V67" s="779"/>
      <c r="W67" s="813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f>100-FN63-FN66</f>
        <v>0.73999999999999844</v>
      </c>
      <c r="OR67" s="141">
        <f>22*56</f>
        <v>1232</v>
      </c>
      <c r="OS67" s="1" t="s">
        <v>344</v>
      </c>
    </row>
    <row r="68" spans="2:936" x14ac:dyDescent="0.25">
      <c r="B68" s="2194">
        <v>3</v>
      </c>
      <c r="C68" s="529" t="s">
        <v>59</v>
      </c>
      <c r="D68" s="77"/>
      <c r="E68" s="77"/>
      <c r="F68" s="51"/>
      <c r="G68" s="50"/>
      <c r="H68" s="53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719"/>
      <c r="T68" s="601" t="s">
        <v>129</v>
      </c>
      <c r="U68" s="678" t="s">
        <v>129</v>
      </c>
      <c r="V68" s="780" t="s">
        <v>129</v>
      </c>
      <c r="W68" s="63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41"/>
      <c r="BT68" s="1"/>
      <c r="BV68" s="1"/>
      <c r="BW68" s="1"/>
      <c r="BX68" s="1"/>
      <c r="BY68" s="1"/>
      <c r="DA68" s="1"/>
      <c r="OR68" s="141">
        <f>16.5*OR66</f>
        <v>21579.617834394903</v>
      </c>
    </row>
    <row r="69" spans="2:936" x14ac:dyDescent="0.25">
      <c r="B69" s="2195"/>
      <c r="C69" s="462" t="s">
        <v>58</v>
      </c>
      <c r="D69" s="463">
        <v>8</v>
      </c>
      <c r="E69" s="496" t="s">
        <v>56</v>
      </c>
      <c r="F69" s="531">
        <v>128586</v>
      </c>
      <c r="G69" s="439">
        <v>148066</v>
      </c>
      <c r="H69" s="532">
        <v>138748</v>
      </c>
      <c r="I69" s="439">
        <v>130411</v>
      </c>
      <c r="J69" s="439">
        <v>159056</v>
      </c>
      <c r="K69" s="439">
        <v>88126</v>
      </c>
      <c r="L69" s="439">
        <v>162476</v>
      </c>
      <c r="M69" s="439">
        <v>256409</v>
      </c>
      <c r="N69" s="439">
        <v>187513</v>
      </c>
      <c r="O69" s="439">
        <v>161718</v>
      </c>
      <c r="P69" s="1796">
        <v>137569</v>
      </c>
      <c r="Q69" s="439">
        <f>'Desember 2024'!AM74</f>
        <v>229303.91</v>
      </c>
      <c r="R69" s="439">
        <f>'[20]Desember 24'!AL58</f>
        <v>0</v>
      </c>
      <c r="S69" s="719"/>
      <c r="T69" s="450">
        <f>SUM(F69:Q69)</f>
        <v>1927981.91</v>
      </c>
      <c r="U69" s="668">
        <v>2767753</v>
      </c>
      <c r="V69" s="772">
        <f>T69/U69*100</f>
        <v>69.658741585683401</v>
      </c>
      <c r="W69" s="63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1"/>
      <c r="BT69" s="1"/>
      <c r="BV69" s="1"/>
      <c r="BW69" s="1"/>
      <c r="BX69" s="1"/>
      <c r="BY69" s="1"/>
      <c r="DA69" s="1"/>
    </row>
    <row r="70" spans="2:936" x14ac:dyDescent="0.25">
      <c r="B70" s="2195"/>
      <c r="C70" s="533"/>
      <c r="D70" s="476"/>
      <c r="E70" s="496" t="s">
        <v>25</v>
      </c>
      <c r="F70" s="524">
        <v>1.2503461047274416</v>
      </c>
      <c r="G70" s="440">
        <v>1.3601743162497901</v>
      </c>
      <c r="H70" s="440">
        <v>0.86352909997633054</v>
      </c>
      <c r="I70" s="440">
        <v>1.4735995939355193</v>
      </c>
      <c r="J70" s="440">
        <v>1.0253249248472593</v>
      </c>
      <c r="K70" s="440">
        <v>0.98804603990035011</v>
      </c>
      <c r="L70" s="440">
        <v>1.0157289957319953</v>
      </c>
      <c r="M70" s="440">
        <v>1.1201462814261758</v>
      </c>
      <c r="N70" s="440">
        <v>0.7798001271713848</v>
      </c>
      <c r="O70" s="440">
        <f>$O$69/($O$12)*100</f>
        <v>0.69051955033889845</v>
      </c>
      <c r="P70" s="1797">
        <v>0.67510641701730056</v>
      </c>
      <c r="Q70" s="440">
        <f>'Desember 2024'!AM75</f>
        <v>0.90731656225713719</v>
      </c>
      <c r="R70" s="440" t="e">
        <f>R69/(R12)*100</f>
        <v>#DIV/0!</v>
      </c>
      <c r="S70" s="719"/>
      <c r="T70" s="525">
        <f>T69/(T11)*100</f>
        <v>0.93517608502592087</v>
      </c>
      <c r="U70" s="679">
        <v>0.8</v>
      </c>
      <c r="V70" s="781">
        <v>0</v>
      </c>
      <c r="W70" s="808"/>
      <c r="X70" s="140"/>
      <c r="Y70" s="63"/>
      <c r="Z70" s="808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40">
        <f>T70*10</f>
        <v>9.3517608502592093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4"/>
      <c r="BT70" s="1"/>
      <c r="BV70" s="1"/>
      <c r="BW70" s="1"/>
      <c r="BX70" s="1"/>
      <c r="BY70" s="1"/>
      <c r="DA70" s="1"/>
      <c r="FN70" s="481" t="e">
        <f>#REF!*10</f>
        <v>#REF!</v>
      </c>
      <c r="OO70" s="481"/>
      <c r="OR70" s="141">
        <f>OR66+(T47/1000)</f>
        <v>3474.5995019518286</v>
      </c>
      <c r="OS70" s="141" t="s">
        <v>345</v>
      </c>
    </row>
    <row r="71" spans="2:936" x14ac:dyDescent="0.25">
      <c r="B71" s="2195"/>
      <c r="C71" s="534" t="s">
        <v>57</v>
      </c>
      <c r="D71" s="535">
        <v>16</v>
      </c>
      <c r="E71" s="536" t="s">
        <v>56</v>
      </c>
      <c r="F71" s="537">
        <v>25923</v>
      </c>
      <c r="G71" s="538">
        <v>15015</v>
      </c>
      <c r="H71" s="539">
        <v>16441</v>
      </c>
      <c r="I71" s="538">
        <v>0</v>
      </c>
      <c r="J71" s="538">
        <v>0</v>
      </c>
      <c r="K71" s="538">
        <v>0</v>
      </c>
      <c r="L71" s="538">
        <v>0</v>
      </c>
      <c r="M71" s="538">
        <v>2930</v>
      </c>
      <c r="N71" s="538">
        <v>0</v>
      </c>
      <c r="O71" s="538">
        <v>998</v>
      </c>
      <c r="P71" s="538"/>
      <c r="Q71" s="538">
        <f>'Desember 2024'!AM80</f>
        <v>0</v>
      </c>
      <c r="R71" s="538">
        <f>'[20]Desember 24'!AL60</f>
        <v>0</v>
      </c>
      <c r="S71" s="719"/>
      <c r="T71" s="540">
        <f>SUM(F71:Q71)</f>
        <v>61307</v>
      </c>
      <c r="U71" s="680">
        <v>1357284</v>
      </c>
      <c r="V71" s="772">
        <f>T71/U71*100</f>
        <v>4.5168881383704518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433"/>
      <c r="AU71" s="433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1"/>
      <c r="BY71" s="1"/>
      <c r="DA71" s="1"/>
      <c r="DF71" s="5"/>
      <c r="DG71" s="141"/>
      <c r="DH71" s="141"/>
      <c r="DI71" s="141"/>
      <c r="DJ71" s="141"/>
      <c r="FM71" s="141"/>
      <c r="FN71" s="481"/>
      <c r="JH71" s="141"/>
      <c r="JI71" s="141"/>
      <c r="JJ71" s="141"/>
      <c r="JK71" s="141"/>
      <c r="OO71" s="141"/>
      <c r="OP71" s="141"/>
      <c r="OR71" s="141">
        <f>OR68+T71</f>
        <v>82886.6178343949</v>
      </c>
      <c r="OS71" s="141" t="s">
        <v>346</v>
      </c>
      <c r="PF71" s="481"/>
      <c r="PJ71" s="141"/>
      <c r="RM71" s="481"/>
      <c r="AGV71" s="141"/>
      <c r="AIK71" s="141"/>
      <c r="AIL71" s="141"/>
      <c r="AIM71" s="141"/>
    </row>
    <row r="72" spans="2:936" x14ac:dyDescent="0.25">
      <c r="B72" s="2195"/>
      <c r="C72" s="541"/>
      <c r="D72" s="542"/>
      <c r="E72" s="543" t="s">
        <v>25</v>
      </c>
      <c r="F72" s="544">
        <v>1.5981564323182909</v>
      </c>
      <c r="G72" s="545">
        <v>1.7429299763806896</v>
      </c>
      <c r="H72" s="545">
        <v>1.794209849396091</v>
      </c>
      <c r="I72" s="545" t="e">
        <v>#DIV/0!</v>
      </c>
      <c r="J72" s="545" t="e">
        <v>#DIV/0!</v>
      </c>
      <c r="K72" s="545" t="e">
        <v>#DIV/0!</v>
      </c>
      <c r="L72" s="545" t="e">
        <v>#DIV/0!</v>
      </c>
      <c r="M72" s="545">
        <v>1.586399198678903</v>
      </c>
      <c r="N72" s="545" t="e">
        <v>#DIV/0!</v>
      </c>
      <c r="O72" s="545">
        <v>1.7871819038642787</v>
      </c>
      <c r="P72" s="545"/>
      <c r="Q72" s="545" t="e">
        <f>'Desember 2024'!AM81</f>
        <v>#DIV/0!</v>
      </c>
      <c r="R72" s="545" t="e">
        <f>R71/(R13)*100</f>
        <v>#DIV/0!</v>
      </c>
      <c r="S72" s="719"/>
      <c r="T72" s="709">
        <f>T71/(T13)*100</f>
        <v>1.684068324111555</v>
      </c>
      <c r="U72" s="681">
        <v>1.8</v>
      </c>
      <c r="V72" s="782">
        <v>0</v>
      </c>
      <c r="W72" s="808"/>
      <c r="X72" s="140"/>
      <c r="Y72" s="63"/>
      <c r="Z72" s="808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433"/>
      <c r="AU72" s="433"/>
      <c r="AV72" s="1"/>
      <c r="AW72" s="1"/>
      <c r="AX72" s="140">
        <f>T72*10</f>
        <v>16.840683241115549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4"/>
      <c r="BT72" s="1"/>
      <c r="BV72" s="1"/>
      <c r="BW72" s="1"/>
      <c r="BX72" s="141"/>
      <c r="BY72" s="1"/>
      <c r="DA72" s="1"/>
      <c r="DF72" s="5"/>
      <c r="DG72" s="141"/>
      <c r="DH72" s="141"/>
      <c r="DI72" s="141"/>
      <c r="DJ72" s="141"/>
      <c r="FM72" s="141"/>
      <c r="FN72" s="481"/>
      <c r="JH72" s="141"/>
      <c r="JI72" s="141"/>
      <c r="JJ72" s="141"/>
      <c r="JK72" s="141"/>
      <c r="OO72" s="481"/>
      <c r="OP72" s="141"/>
      <c r="OR72" s="546">
        <f>OR71/OR70</f>
        <v>23.855013444811121</v>
      </c>
      <c r="OS72" s="547" t="s">
        <v>245</v>
      </c>
      <c r="PF72" s="481"/>
      <c r="PJ72" s="141"/>
      <c r="RM72" s="481"/>
      <c r="AGV72" s="141"/>
      <c r="AIK72" s="141"/>
      <c r="AIL72" s="141"/>
      <c r="AIM72" s="141"/>
    </row>
    <row r="73" spans="2:936" x14ac:dyDescent="0.25">
      <c r="B73" s="2195"/>
      <c r="C73" s="462" t="s">
        <v>55</v>
      </c>
      <c r="D73" s="463">
        <v>0.55000000000000004</v>
      </c>
      <c r="E73" s="496" t="s">
        <v>14</v>
      </c>
      <c r="F73" s="531">
        <v>6664.8560000000007</v>
      </c>
      <c r="G73" s="439">
        <v>6551.9319999999989</v>
      </c>
      <c r="H73" s="532">
        <v>9270.8559999999998</v>
      </c>
      <c r="I73" s="439">
        <v>5139.1220000000003</v>
      </c>
      <c r="J73" s="439">
        <v>7872.5539999999992</v>
      </c>
      <c r="K73" s="439">
        <v>4040.197999999999</v>
      </c>
      <c r="L73" s="439">
        <v>7823.7820000000002</v>
      </c>
      <c r="M73" s="531">
        <v>11739.24</v>
      </c>
      <c r="N73" s="1618">
        <v>12499.518</v>
      </c>
      <c r="O73" s="532">
        <v>12588.965999999999</v>
      </c>
      <c r="P73" s="1799">
        <v>10695.717999999997</v>
      </c>
      <c r="Q73" s="439">
        <f>'Desember 2024'!AM82</f>
        <v>12772.944000000001</v>
      </c>
      <c r="R73" s="439">
        <f>'[20]Desember 24'!AL62</f>
        <v>0</v>
      </c>
      <c r="S73" s="719"/>
      <c r="T73" s="540">
        <f>SUM(F73:Q73)</f>
        <v>107659.68599999999</v>
      </c>
      <c r="U73" s="680">
        <v>252824</v>
      </c>
      <c r="V73" s="783">
        <f>SUM(H73:T73)</f>
        <v>202102.58399999997</v>
      </c>
      <c r="W73" s="516"/>
      <c r="X73" s="1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481"/>
      <c r="OR73" s="481">
        <v>16</v>
      </c>
      <c r="OS73" s="1" t="s">
        <v>347</v>
      </c>
    </row>
    <row r="74" spans="2:936" x14ac:dyDescent="0.25">
      <c r="B74" s="2196"/>
      <c r="C74" s="548"/>
      <c r="D74" s="476"/>
      <c r="E74" s="549" t="s">
        <v>25</v>
      </c>
      <c r="F74" s="550">
        <v>5.597855013514514E-2</v>
      </c>
      <c r="G74" s="551">
        <v>5.577398227387062E-2</v>
      </c>
      <c r="H74" s="551">
        <v>5.4586175487476657E-2</v>
      </c>
      <c r="I74" s="551">
        <v>5.8070316862727026E-2</v>
      </c>
      <c r="J74" s="551">
        <v>5.0748955326463577E-2</v>
      </c>
      <c r="K74" s="551">
        <v>4.5297660557761771E-2</v>
      </c>
      <c r="L74" s="551">
        <v>4.8910868273997765E-2</v>
      </c>
      <c r="M74" s="551">
        <v>5.087347260277475E-2</v>
      </c>
      <c r="N74" s="551">
        <v>5.1981066517953492E-2</v>
      </c>
      <c r="O74" s="551">
        <f>O73/(O11)*100</f>
        <v>5.3625749869044871E-2</v>
      </c>
      <c r="P74" s="1798">
        <v>5.2488190336539814E-2</v>
      </c>
      <c r="Q74" s="551">
        <f>'Desember 2024'!AM83</f>
        <v>5.0540366450720041E-2</v>
      </c>
      <c r="R74" s="551" t="e">
        <f>R73/(R11)*100</f>
        <v>#DIV/0!</v>
      </c>
      <c r="S74" s="722"/>
      <c r="T74" s="303">
        <f>T73/(T11+71450)*100</f>
        <v>5.2202711117839605E-2</v>
      </c>
      <c r="U74" s="682">
        <v>0.06</v>
      </c>
      <c r="V74" s="784">
        <f>V73/(V11+71450)*100</f>
        <v>282.85682307622494</v>
      </c>
      <c r="W74" s="63"/>
      <c r="X74" s="140"/>
      <c r="Y74" s="63"/>
      <c r="Z74" s="808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1"/>
      <c r="AU74" s="1"/>
      <c r="AV74" s="1"/>
      <c r="AW74" s="1"/>
      <c r="AX74" s="140">
        <f>T74*10</f>
        <v>0.52202711117839606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1">
        <f>Q74*10</f>
        <v>0.50540366450720042</v>
      </c>
      <c r="OO74" s="481"/>
      <c r="OR74" s="481">
        <f>OR72-OR73</f>
        <v>7.8550134448111208</v>
      </c>
      <c r="OS74" s="1" t="s">
        <v>348</v>
      </c>
    </row>
    <row r="75" spans="2:936" x14ac:dyDescent="0.25">
      <c r="B75" s="723">
        <v>4</v>
      </c>
      <c r="C75" s="552" t="s">
        <v>349</v>
      </c>
      <c r="D75" s="553">
        <v>0.8</v>
      </c>
      <c r="E75" s="499" t="s">
        <v>25</v>
      </c>
      <c r="F75" s="554">
        <v>-0.68509482836891278</v>
      </c>
      <c r="G75" s="555">
        <v>-0.6586369572355022</v>
      </c>
      <c r="H75" s="555">
        <v>-0.66393505845833911</v>
      </c>
      <c r="I75" s="555">
        <f>((SUM(I19:I20))-(SUM(I11)))/(SUM(I11))*100</f>
        <v>-0.4159177818863331</v>
      </c>
      <c r="J75" s="555">
        <v>-0.70420179128885085</v>
      </c>
      <c r="K75" s="555">
        <v>-0.6050304847284852</v>
      </c>
      <c r="L75" s="555">
        <v>-5.5367470328048913</v>
      </c>
      <c r="M75" s="555">
        <v>0.10357452185156785</v>
      </c>
      <c r="N75" s="555">
        <v>-1.0990510386425516</v>
      </c>
      <c r="O75" s="555">
        <f>((SUM(O19:O20))-(SUM(O11)))/(SUM(O11))*100</f>
        <v>-1.080700858793848</v>
      </c>
      <c r="P75" s="1800">
        <v>2.2143867366658521</v>
      </c>
      <c r="Q75" s="555">
        <f>'Desember 2024'!AM84</f>
        <v>0.81487350192937014</v>
      </c>
      <c r="R75" s="555" t="e">
        <f>((SUM(R19:R20))-(SUM(R11)))/(SUM(R11))*100</f>
        <v>#DIV/0!</v>
      </c>
      <c r="S75" s="724"/>
      <c r="T75" s="304">
        <f>((SUM(T19:T20))-(SUM(T11)))/(SUM(T11))*100</f>
        <v>-0.57929065723938822</v>
      </c>
      <c r="U75" s="683">
        <f>((SUM(U19:U20))-(SUM(U11)))/(SUM(U11))*100</f>
        <v>-0.71527906325497059</v>
      </c>
      <c r="V75" s="770">
        <f>T75/U75*100</f>
        <v>80.988062841270732</v>
      </c>
      <c r="W75" s="813"/>
      <c r="X75" s="1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804"/>
      <c r="AU75" s="804"/>
      <c r="AV75" s="1"/>
      <c r="AW75" s="1"/>
      <c r="AX75" s="137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43"/>
      <c r="BY75" s="1"/>
      <c r="DA75" s="1"/>
      <c r="DF75" s="516"/>
      <c r="DG75" s="143"/>
      <c r="DH75" s="143"/>
      <c r="DI75" s="143"/>
      <c r="DJ75" s="143"/>
      <c r="FM75" s="143"/>
      <c r="JH75" s="143"/>
      <c r="JI75" s="143"/>
      <c r="JJ75" s="143"/>
      <c r="JK75" s="143"/>
      <c r="OO75" s="143"/>
      <c r="OP75" s="143"/>
      <c r="OR75" s="481"/>
      <c r="PF75" s="152"/>
      <c r="PJ75" s="143"/>
      <c r="RM75" s="152"/>
      <c r="AGV75" s="143"/>
      <c r="AIK75" s="143"/>
      <c r="AIL75" s="143"/>
      <c r="AIM75" s="143"/>
    </row>
    <row r="76" spans="2:936" x14ac:dyDescent="0.25">
      <c r="B76" s="725"/>
      <c r="C76" s="523" t="s">
        <v>54</v>
      </c>
      <c r="D76" s="556">
        <v>22</v>
      </c>
      <c r="E76" s="514" t="s">
        <v>25</v>
      </c>
      <c r="F76" s="440">
        <v>21.923529411764708</v>
      </c>
      <c r="G76" s="440">
        <v>21.991000000000003</v>
      </c>
      <c r="H76" s="440">
        <v>21.974000000000004</v>
      </c>
      <c r="I76" s="440">
        <v>21.953333333333337</v>
      </c>
      <c r="J76" s="440">
        <v>20.636666666666667</v>
      </c>
      <c r="K76" s="440">
        <v>21.886470588235294</v>
      </c>
      <c r="L76" s="440">
        <v>21.912727272727277</v>
      </c>
      <c r="M76" s="440">
        <v>21.70071428571428</v>
      </c>
      <c r="N76" s="440">
        <v>22.058148148148149</v>
      </c>
      <c r="O76" s="440">
        <v>22.009285714285717</v>
      </c>
      <c r="P76" s="1801">
        <v>21.916818181818183</v>
      </c>
      <c r="Q76" s="440">
        <f>'Desember 2024'!AM86</f>
        <v>21.551666666666662</v>
      </c>
      <c r="R76" s="440" t="e">
        <f>'[20]Desember 24'!AL65</f>
        <v>#DIV/0!</v>
      </c>
      <c r="S76" s="720"/>
      <c r="T76" s="84">
        <f>AVERAGE(F76:Q76)</f>
        <v>21.792863355780018</v>
      </c>
      <c r="U76" s="684">
        <v>22</v>
      </c>
      <c r="V76" s="776" t="e">
        <f>AVERAGE(H76:T76)</f>
        <v>#DIV/0!</v>
      </c>
      <c r="W76" s="63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804"/>
      <c r="AU76" s="804"/>
      <c r="AV76" s="1"/>
      <c r="AW76" s="1"/>
      <c r="AX76" s="6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3"/>
      <c r="BY76" s="1"/>
      <c r="DA76" s="1"/>
      <c r="DF76" s="516"/>
      <c r="DG76" s="143"/>
      <c r="DH76" s="143"/>
      <c r="DI76" s="143"/>
      <c r="DJ76" s="143"/>
      <c r="FM76" s="143"/>
      <c r="JH76" s="143"/>
      <c r="JI76" s="143"/>
      <c r="JJ76" s="143"/>
      <c r="JK76" s="143"/>
      <c r="OO76" s="143"/>
      <c r="OP76" s="143"/>
      <c r="OR76" s="143"/>
      <c r="PF76" s="152"/>
      <c r="PJ76" s="143"/>
      <c r="RM76" s="152"/>
      <c r="AGV76" s="143"/>
      <c r="AIK76" s="143"/>
      <c r="AIL76" s="143"/>
      <c r="AIM76" s="143"/>
    </row>
    <row r="77" spans="2:936" x14ac:dyDescent="0.25">
      <c r="B77" s="726"/>
      <c r="C77" s="557" t="s">
        <v>53</v>
      </c>
      <c r="D77" s="476"/>
      <c r="E77" s="558" t="s">
        <v>14</v>
      </c>
      <c r="F77" s="440">
        <v>188382.82605882353</v>
      </c>
      <c r="G77" s="440">
        <v>198944.14270999999</v>
      </c>
      <c r="H77" s="440">
        <v>189290.23086000001</v>
      </c>
      <c r="I77" s="440">
        <v>159040.56153333333</v>
      </c>
      <c r="J77" s="440">
        <v>191879.85653333334</v>
      </c>
      <c r="K77" s="440">
        <v>107413.67107058823</v>
      </c>
      <c r="L77" s="440">
        <v>198078.92276363636</v>
      </c>
      <c r="M77" s="440">
        <v>315617.41542142857</v>
      </c>
      <c r="N77" s="440">
        <v>189044.9220495199</v>
      </c>
      <c r="O77" s="440">
        <v>163995.0224765306</v>
      </c>
      <c r="P77" s="965">
        <v>138939.48852747935</v>
      </c>
      <c r="Q77" s="440">
        <f>'Desember 2024'!AM87</f>
        <v>231452.55410160145</v>
      </c>
      <c r="R77" s="440" t="e">
        <f>SUM(R69,R71)+(R76%*SUM(R69,R71))</f>
        <v>#DIV/0!</v>
      </c>
      <c r="S77" s="720"/>
      <c r="T77" s="559">
        <f>SUM(T69,T71)+(T76%*SUM(T69,T71))</f>
        <v>2422811.9239079854</v>
      </c>
      <c r="U77" s="685">
        <v>7811279</v>
      </c>
      <c r="V77" s="785" t="e">
        <f>SUM(V69,V71)+(V76%*SUM(V69,V71))</f>
        <v>#DIV/0!</v>
      </c>
      <c r="W77" s="814"/>
      <c r="X77" s="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X77" s="63"/>
      <c r="BG77" s="143"/>
      <c r="BH77" s="143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43"/>
      <c r="DA77" s="1"/>
      <c r="DS77" s="516"/>
      <c r="DT77" s="143"/>
      <c r="DU77" s="143"/>
      <c r="DV77" s="143"/>
      <c r="DW77" s="143"/>
      <c r="FZ77" s="143"/>
      <c r="GA77" s="365">
        <f>X77+400</f>
        <v>400</v>
      </c>
      <c r="JU77" s="143"/>
      <c r="JV77" s="143"/>
      <c r="JW77" s="143"/>
      <c r="JX77" s="143"/>
      <c r="PB77" s="143"/>
      <c r="PC77" s="143"/>
      <c r="PE77" s="143"/>
      <c r="PS77" s="152"/>
      <c r="PW77" s="143"/>
      <c r="RZ77" s="152"/>
      <c r="AHI77" s="143"/>
      <c r="AIX77" s="143"/>
      <c r="AIY77" s="143"/>
      <c r="AIZ77" s="143"/>
    </row>
    <row r="78" spans="2:936" hidden="1" x14ac:dyDescent="0.25">
      <c r="B78" s="727">
        <v>5</v>
      </c>
      <c r="C78" s="419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3"/>
      <c r="T78" s="522" t="s">
        <v>130</v>
      </c>
      <c r="U78" s="677" t="s">
        <v>130</v>
      </c>
      <c r="V78" s="777" t="s">
        <v>130</v>
      </c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X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DA78" s="1"/>
      <c r="FX78" s="3">
        <v>17292</v>
      </c>
      <c r="OY78" s="141" t="e">
        <f>#REF!-FX78</f>
        <v>#REF!</v>
      </c>
    </row>
    <row r="79" spans="2:936" hidden="1" x14ac:dyDescent="0.25">
      <c r="B79" s="728"/>
      <c r="C79" s="560" t="s">
        <v>51</v>
      </c>
      <c r="D79" s="561"/>
      <c r="E79" s="12" t="s">
        <v>14</v>
      </c>
      <c r="F79" s="562">
        <f>'[20]Januari 24'!AL68</f>
        <v>845858</v>
      </c>
      <c r="G79" s="562" t="e">
        <f>'[20]Februari 24'!AI68</f>
        <v>#REF!</v>
      </c>
      <c r="H79" s="562">
        <f>'[20]Maret 24'!AL68</f>
        <v>0</v>
      </c>
      <c r="I79" s="562">
        <f>'[20]April 24'!AL68</f>
        <v>0</v>
      </c>
      <c r="J79" s="562">
        <f>'[20]Mei 24'!AL68</f>
        <v>0</v>
      </c>
      <c r="K79" s="562">
        <f>'[20]Juny 24'!AL68</f>
        <v>0</v>
      </c>
      <c r="L79" s="562">
        <f>'[20]July 24'!AL68</f>
        <v>0</v>
      </c>
      <c r="M79" s="562">
        <f>'[20]Agustus 24'!AL68</f>
        <v>0</v>
      </c>
      <c r="N79" s="562">
        <f>'[20]September 24'!AL68</f>
        <v>0</v>
      </c>
      <c r="O79" s="562" t="e">
        <f>'[20]September 24'!AM68</f>
        <v>#REF!</v>
      </c>
      <c r="P79" s="562"/>
      <c r="Q79" s="562">
        <f>'[20]November 24'!AL68</f>
        <v>0</v>
      </c>
      <c r="R79" s="562">
        <f>'[20]Desember 24'!AL68</f>
        <v>0</v>
      </c>
      <c r="S79" s="27"/>
      <c r="T79" s="89" t="e">
        <f>SUM(F79:R79)</f>
        <v>#REF!</v>
      </c>
      <c r="U79" s="686" t="e">
        <f>SUM(G79:S79)</f>
        <v>#REF!</v>
      </c>
      <c r="V79" s="770" t="e">
        <f>(T79/U79)*100</f>
        <v>#REF!</v>
      </c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X79" s="2"/>
      <c r="BD79" s="146"/>
      <c r="BE79" s="146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6"/>
      <c r="DA79" s="1"/>
      <c r="DP79" s="435"/>
      <c r="DQ79" s="146"/>
      <c r="DR79" s="146"/>
      <c r="DS79" s="146"/>
      <c r="DT79" s="146"/>
      <c r="FW79" s="146"/>
      <c r="JR79" s="146"/>
      <c r="JS79" s="146"/>
      <c r="JT79" s="146"/>
      <c r="JU79" s="146"/>
      <c r="OY79" s="146"/>
      <c r="OZ79" s="146"/>
      <c r="PB79" s="146"/>
      <c r="PP79" s="563"/>
      <c r="PT79" s="146"/>
      <c r="RW79" s="563"/>
      <c r="AHF79" s="151"/>
      <c r="AIU79" s="151"/>
      <c r="AIV79" s="151"/>
      <c r="AIW79" s="151"/>
    </row>
    <row r="80" spans="2:936" hidden="1" x14ac:dyDescent="0.25">
      <c r="B80" s="729"/>
      <c r="C80" s="564" t="s">
        <v>46</v>
      </c>
      <c r="D80" s="565"/>
      <c r="E80" s="566" t="s">
        <v>14</v>
      </c>
      <c r="F80" s="567">
        <f>'[20]Januari 24'!AL69</f>
        <v>399021.27999999997</v>
      </c>
      <c r="G80" s="567" t="e">
        <f>'[20]Februari 24'!AI69</f>
        <v>#REF!</v>
      </c>
      <c r="H80" s="567">
        <f>'[20]Maret 24'!AL69</f>
        <v>0</v>
      </c>
      <c r="I80" s="567">
        <f>'[20]April 24'!AL69</f>
        <v>0</v>
      </c>
      <c r="J80" s="567">
        <f>'[20]Mei 24'!AL69</f>
        <v>0</v>
      </c>
      <c r="K80" s="567">
        <f>'[20]Juny 24'!AL69</f>
        <v>0</v>
      </c>
      <c r="L80" s="567">
        <f>'[20]July 24'!AL69</f>
        <v>0</v>
      </c>
      <c r="M80" s="567">
        <f>'[20]Agustus 24'!AL69</f>
        <v>0</v>
      </c>
      <c r="N80" s="567">
        <f>'[20]September 24'!AL69</f>
        <v>0</v>
      </c>
      <c r="O80" s="567" t="e">
        <f>'[20]September 24'!AM69</f>
        <v>#REF!</v>
      </c>
      <c r="P80" s="567"/>
      <c r="Q80" s="567">
        <f>'[20]November 24'!AL69</f>
        <v>0</v>
      </c>
      <c r="R80" s="567">
        <f>'[20]Desember 24'!AL69</f>
        <v>0</v>
      </c>
      <c r="S80" s="730"/>
      <c r="T80" s="89" t="e">
        <f>SUM(T81:T83)</f>
        <v>#REF!</v>
      </c>
      <c r="U80" s="686" t="e">
        <f>SUM(U81:U83)</f>
        <v>#REF!</v>
      </c>
      <c r="V80" s="770" t="e">
        <f>(T80/U80)*100</f>
        <v>#REF!</v>
      </c>
      <c r="X80" s="824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"/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3"/>
      <c r="BV80" s="173"/>
      <c r="BW80" s="173"/>
      <c r="BX80" s="173"/>
      <c r="BY80" s="173"/>
      <c r="BZ80" s="173"/>
      <c r="CA80" s="173"/>
      <c r="CB80" s="173"/>
      <c r="CC80" s="173"/>
      <c r="CD80" s="173"/>
      <c r="CF80" s="173"/>
      <c r="CG80" s="173"/>
      <c r="CH80" s="173"/>
      <c r="CI80" s="173"/>
      <c r="CJ80" s="173"/>
      <c r="CK80" s="173"/>
      <c r="CL80" s="173"/>
      <c r="CM80" s="173"/>
      <c r="CN80" s="173"/>
      <c r="CO80" s="173"/>
      <c r="CP80" s="173"/>
      <c r="CQ80" s="173"/>
      <c r="CR80" s="173"/>
      <c r="CS80" s="173"/>
      <c r="CT80" s="173"/>
      <c r="CU80" s="173"/>
      <c r="CV80" s="173"/>
      <c r="CW80" s="173"/>
      <c r="CX80" s="173"/>
      <c r="CY80" s="173"/>
      <c r="CZ80" s="173"/>
      <c r="DA80" s="173"/>
      <c r="DB80" s="173"/>
      <c r="DC80" s="173"/>
      <c r="DD80" s="173"/>
      <c r="DE80" s="173"/>
      <c r="DF80" s="173"/>
      <c r="DG80" s="173"/>
      <c r="DH80" s="173"/>
      <c r="DI80" s="173"/>
      <c r="DJ80" s="173"/>
      <c r="DK80" s="173"/>
      <c r="DL80" s="173"/>
      <c r="DM80" s="173"/>
      <c r="DN80" s="173"/>
      <c r="DO80" s="173"/>
      <c r="DP80" s="568"/>
      <c r="DQ80" s="173"/>
      <c r="DR80" s="173"/>
      <c r="DS80" s="173"/>
      <c r="DT80" s="173"/>
      <c r="DU80" s="173"/>
      <c r="DV80" s="173"/>
      <c r="DW80" s="173"/>
      <c r="DX80" s="173"/>
      <c r="DY80" s="173"/>
      <c r="DZ80" s="173"/>
      <c r="EA80" s="173"/>
      <c r="EB80" s="173"/>
      <c r="EC80" s="173"/>
      <c r="ED80" s="173"/>
      <c r="EE80" s="173"/>
      <c r="EF80" s="173"/>
      <c r="EG80" s="173"/>
      <c r="EH80" s="173"/>
      <c r="EI80" s="173"/>
      <c r="EJ80" s="173"/>
      <c r="EK80" s="173"/>
      <c r="EL80" s="173"/>
      <c r="EM80" s="173"/>
      <c r="EN80" s="173"/>
      <c r="EO80" s="173"/>
      <c r="EP80" s="173"/>
      <c r="EQ80" s="173"/>
      <c r="ER80" s="173"/>
      <c r="ES80" s="173"/>
      <c r="ET80" s="173"/>
      <c r="EU80" s="173"/>
      <c r="EV80" s="173"/>
      <c r="EW80" s="173"/>
      <c r="EX80" s="173"/>
      <c r="EY80" s="173"/>
      <c r="EZ80" s="173"/>
      <c r="FA80" s="173"/>
      <c r="FB80" s="173"/>
      <c r="FC80" s="173"/>
      <c r="FD80" s="173"/>
      <c r="FE80" s="173"/>
      <c r="FF80" s="173"/>
      <c r="FG80" s="173"/>
      <c r="FH80" s="173"/>
      <c r="FI80" s="173"/>
      <c r="FJ80" s="173"/>
      <c r="FK80" s="173"/>
      <c r="FL80" s="173"/>
      <c r="FM80" s="173"/>
      <c r="FN80" s="173"/>
      <c r="FO80" s="173"/>
      <c r="FP80" s="173"/>
      <c r="FQ80" s="173"/>
      <c r="FR80" s="173"/>
      <c r="FS80" s="173"/>
      <c r="FT80" s="173"/>
      <c r="FU80" s="173"/>
      <c r="FV80" s="173"/>
      <c r="FW80" s="173"/>
      <c r="FX80" s="173"/>
      <c r="FY80" s="173"/>
      <c r="FZ80" s="173"/>
      <c r="GA80" s="173"/>
      <c r="GB80" s="173"/>
      <c r="GC80" s="173"/>
      <c r="GD80" s="173"/>
      <c r="GE80" s="173"/>
      <c r="GF80" s="173"/>
      <c r="GG80" s="173"/>
      <c r="GH80" s="173"/>
      <c r="GI80" s="173"/>
      <c r="GJ80" s="173"/>
      <c r="GK80" s="173"/>
      <c r="GL80" s="173"/>
      <c r="GM80" s="173"/>
      <c r="GN80" s="173"/>
      <c r="GO80" s="173"/>
      <c r="GP80" s="173"/>
      <c r="GQ80" s="173"/>
      <c r="GR80" s="173"/>
      <c r="GS80" s="173"/>
      <c r="GT80" s="173"/>
      <c r="GU80" s="173"/>
      <c r="GV80" s="173"/>
      <c r="GW80" s="173"/>
      <c r="GX80" s="173"/>
      <c r="GY80" s="173"/>
      <c r="GZ80" s="173"/>
      <c r="HA80" s="173"/>
      <c r="HB80" s="173"/>
      <c r="HC80" s="173"/>
      <c r="HD80" s="173"/>
      <c r="HE80" s="173"/>
      <c r="HF80" s="173"/>
      <c r="HG80" s="173"/>
      <c r="HH80" s="173"/>
      <c r="HI80" s="173"/>
      <c r="HJ80" s="173"/>
      <c r="HK80" s="173"/>
      <c r="HL80" s="173"/>
      <c r="HM80" s="173"/>
      <c r="HN80" s="173"/>
      <c r="HO80" s="173"/>
      <c r="HP80" s="173"/>
      <c r="HQ80" s="173"/>
      <c r="HR80" s="173"/>
      <c r="HS80" s="173"/>
      <c r="HT80" s="173"/>
      <c r="HU80" s="173"/>
      <c r="HV80" s="173"/>
      <c r="HW80" s="173"/>
      <c r="HX80" s="173"/>
      <c r="HY80" s="173"/>
      <c r="HZ80" s="173"/>
      <c r="IA80" s="173"/>
      <c r="IB80" s="173"/>
      <c r="IC80" s="173"/>
      <c r="ID80" s="173"/>
      <c r="IE80" s="173"/>
      <c r="IF80" s="173"/>
      <c r="IG80" s="173"/>
      <c r="IH80" s="173"/>
      <c r="II80" s="173"/>
      <c r="IJ80" s="173"/>
      <c r="IK80" s="173"/>
      <c r="IL80" s="173"/>
      <c r="IM80" s="173"/>
      <c r="IN80" s="173"/>
      <c r="IO80" s="173"/>
      <c r="IP80" s="173"/>
      <c r="IQ80" s="173"/>
      <c r="IR80" s="173"/>
      <c r="IS80" s="173"/>
      <c r="IT80" s="173"/>
      <c r="IU80" s="173"/>
      <c r="IV80" s="173"/>
      <c r="IW80" s="173"/>
      <c r="IX80" s="173"/>
      <c r="IY80" s="173"/>
      <c r="IZ80" s="173"/>
      <c r="JA80" s="173"/>
      <c r="JB80" s="173"/>
      <c r="JC80" s="173"/>
      <c r="JD80" s="173"/>
      <c r="JE80" s="173"/>
      <c r="JF80" s="173"/>
      <c r="JG80" s="173"/>
      <c r="JH80" s="173"/>
      <c r="JI80" s="173"/>
      <c r="JJ80" s="173"/>
      <c r="JK80" s="173"/>
      <c r="JL80" s="173"/>
      <c r="JM80" s="173"/>
      <c r="JN80" s="173"/>
      <c r="JO80" s="173"/>
      <c r="JP80" s="173"/>
      <c r="JQ80" s="173"/>
      <c r="JR80" s="173"/>
      <c r="JS80" s="173"/>
      <c r="JT80" s="173"/>
      <c r="JU80" s="173"/>
      <c r="JV80" s="173"/>
      <c r="JW80" s="173"/>
      <c r="JX80" s="173"/>
      <c r="JY80" s="173"/>
      <c r="JZ80" s="173"/>
      <c r="KA80" s="173"/>
      <c r="KB80" s="173"/>
      <c r="KC80" s="173"/>
      <c r="KD80" s="173"/>
      <c r="KE80" s="173"/>
      <c r="KF80" s="173"/>
      <c r="KG80" s="173"/>
      <c r="KH80" s="173"/>
      <c r="KI80" s="173"/>
      <c r="KJ80" s="173"/>
      <c r="KK80" s="173"/>
      <c r="KL80" s="173"/>
      <c r="KM80" s="173"/>
      <c r="KN80" s="173"/>
      <c r="KO80" s="173"/>
      <c r="KP80" s="173"/>
      <c r="KQ80" s="173"/>
      <c r="KR80" s="173"/>
      <c r="KS80" s="173"/>
      <c r="KT80" s="173"/>
      <c r="KU80" s="173"/>
      <c r="KV80" s="173"/>
      <c r="KW80" s="173"/>
      <c r="KX80" s="173"/>
      <c r="KY80" s="173"/>
      <c r="KZ80" s="173"/>
      <c r="LA80" s="173"/>
      <c r="LB80" s="173"/>
      <c r="LC80" s="173"/>
      <c r="LD80" s="173"/>
      <c r="LE80" s="173"/>
      <c r="LF80" s="173"/>
      <c r="LG80" s="173"/>
      <c r="LH80" s="173"/>
      <c r="LI80" s="173"/>
      <c r="LJ80" s="173"/>
      <c r="LK80" s="173"/>
      <c r="LL80" s="173"/>
      <c r="LM80" s="173"/>
      <c r="LN80" s="173"/>
      <c r="LO80" s="173"/>
      <c r="LP80" s="173"/>
      <c r="LQ80" s="173"/>
      <c r="LR80" s="173"/>
      <c r="LS80" s="173"/>
      <c r="LT80" s="173"/>
      <c r="LU80" s="173"/>
      <c r="LV80" s="173"/>
      <c r="LW80" s="173"/>
      <c r="LX80" s="173"/>
      <c r="LY80" s="173"/>
      <c r="LZ80" s="173"/>
      <c r="MA80" s="173"/>
      <c r="MB80" s="173"/>
      <c r="MC80" s="173"/>
      <c r="MD80" s="173"/>
      <c r="ME80" s="173"/>
      <c r="MF80" s="173"/>
      <c r="MG80" s="173"/>
      <c r="MH80" s="173"/>
      <c r="MI80" s="173"/>
      <c r="MJ80" s="173"/>
      <c r="MK80" s="173"/>
      <c r="ML80" s="173"/>
      <c r="MM80" s="173"/>
      <c r="MN80" s="173"/>
      <c r="MO80" s="173"/>
      <c r="MP80" s="173"/>
      <c r="MQ80" s="173"/>
      <c r="MR80" s="173"/>
      <c r="MS80" s="173"/>
      <c r="MT80" s="173"/>
      <c r="MU80" s="173"/>
      <c r="MV80" s="173"/>
      <c r="MW80" s="173"/>
      <c r="MX80" s="173"/>
      <c r="MY80" s="173"/>
      <c r="MZ80" s="173"/>
      <c r="NA80" s="173"/>
      <c r="NB80" s="173"/>
      <c r="NC80" s="173"/>
      <c r="ND80" s="173"/>
      <c r="NE80" s="173"/>
      <c r="NF80" s="173"/>
      <c r="NG80" s="173"/>
      <c r="NH80" s="173"/>
      <c r="NI80" s="173"/>
      <c r="NJ80" s="173"/>
      <c r="NK80" s="173"/>
      <c r="NL80" s="173"/>
      <c r="NM80" s="173"/>
      <c r="NN80" s="173"/>
      <c r="NO80" s="173"/>
      <c r="NP80" s="173"/>
      <c r="NQ80" s="173"/>
      <c r="NR80" s="173"/>
      <c r="NS80" s="173"/>
      <c r="NT80" s="173"/>
      <c r="NU80" s="173"/>
      <c r="NV80" s="173"/>
      <c r="NW80" s="173"/>
      <c r="NX80" s="173"/>
      <c r="NY80" s="173"/>
      <c r="NZ80" s="173"/>
      <c r="OA80" s="173"/>
      <c r="OB80" s="173"/>
      <c r="OC80" s="173"/>
      <c r="OD80" s="173"/>
      <c r="OE80" s="173"/>
      <c r="OF80" s="173"/>
      <c r="OG80" s="173"/>
      <c r="OH80" s="173"/>
      <c r="OI80" s="173"/>
      <c r="OJ80" s="173"/>
      <c r="OK80" s="173"/>
      <c r="OL80" s="173"/>
      <c r="OM80" s="173"/>
      <c r="ON80" s="173"/>
      <c r="OO80" s="173"/>
      <c r="OP80" s="173"/>
      <c r="OQ80" s="173"/>
      <c r="OR80" s="173"/>
      <c r="OS80" s="173"/>
      <c r="OT80" s="173"/>
      <c r="OU80" s="173"/>
      <c r="OV80" s="173"/>
      <c r="OW80" s="173"/>
      <c r="OX80" s="173"/>
      <c r="OY80" s="173"/>
      <c r="OZ80" s="173"/>
      <c r="PA80" s="173"/>
      <c r="PB80" s="173"/>
      <c r="PC80" s="173"/>
      <c r="PD80" s="173"/>
      <c r="PE80" s="173"/>
      <c r="PF80" s="173"/>
      <c r="PG80" s="173"/>
      <c r="PH80" s="173"/>
      <c r="PI80" s="173"/>
      <c r="PJ80" s="173"/>
      <c r="PK80" s="173"/>
      <c r="PL80" s="173"/>
      <c r="PM80" s="173"/>
      <c r="PN80" s="173"/>
      <c r="PO80" s="173"/>
      <c r="PP80" s="173"/>
      <c r="PQ80" s="173"/>
      <c r="PR80" s="173"/>
      <c r="PS80" s="173"/>
      <c r="PT80" s="173"/>
      <c r="PU80" s="173"/>
      <c r="PV80" s="173"/>
      <c r="PW80" s="173"/>
      <c r="PX80" s="173"/>
      <c r="PY80" s="173"/>
      <c r="PZ80" s="173"/>
      <c r="QA80" s="173"/>
      <c r="QB80" s="173"/>
      <c r="QC80" s="173"/>
      <c r="QD80" s="173"/>
      <c r="QE80" s="173"/>
      <c r="QF80" s="173"/>
      <c r="QG80" s="173"/>
      <c r="QH80" s="173"/>
      <c r="QI80" s="173"/>
      <c r="QJ80" s="173"/>
      <c r="QK80" s="173"/>
      <c r="QL80" s="173"/>
      <c r="QM80" s="173"/>
      <c r="QN80" s="173"/>
      <c r="QO80" s="173"/>
      <c r="QP80" s="173"/>
      <c r="QQ80" s="173"/>
      <c r="QR80" s="173"/>
      <c r="QS80" s="173"/>
      <c r="QT80" s="173"/>
      <c r="QU80" s="173"/>
      <c r="QV80" s="173"/>
      <c r="QW80" s="173"/>
      <c r="QX80" s="173"/>
      <c r="QY80" s="173"/>
      <c r="QZ80" s="173"/>
      <c r="RA80" s="173"/>
      <c r="RB80" s="173"/>
      <c r="RC80" s="173"/>
      <c r="RD80" s="173"/>
      <c r="RE80" s="173"/>
      <c r="RF80" s="173"/>
      <c r="RG80" s="173"/>
      <c r="RH80" s="173"/>
      <c r="RI80" s="173"/>
      <c r="RJ80" s="173"/>
      <c r="RK80" s="173"/>
      <c r="RL80" s="173"/>
      <c r="RM80" s="173"/>
      <c r="RN80" s="173"/>
      <c r="RO80" s="173"/>
      <c r="RP80" s="173"/>
      <c r="RQ80" s="173"/>
      <c r="RR80" s="173"/>
      <c r="RS80" s="173"/>
      <c r="RT80" s="173"/>
      <c r="RU80" s="173"/>
      <c r="RV80" s="173"/>
      <c r="RW80" s="173"/>
      <c r="RX80" s="173"/>
      <c r="RY80" s="173"/>
      <c r="RZ80" s="173"/>
      <c r="SA80" s="173"/>
      <c r="SB80" s="173"/>
      <c r="SC80" s="173"/>
      <c r="SD80" s="173"/>
      <c r="SE80" s="173"/>
      <c r="SF80" s="173"/>
      <c r="SG80" s="173"/>
      <c r="SH80" s="173"/>
      <c r="SI80" s="173"/>
      <c r="SJ80" s="173"/>
      <c r="SK80" s="173"/>
      <c r="SL80" s="173"/>
      <c r="SM80" s="173"/>
      <c r="SN80" s="173"/>
      <c r="SO80" s="173"/>
      <c r="SP80" s="173"/>
      <c r="SQ80" s="173"/>
      <c r="SR80" s="173"/>
      <c r="SS80" s="173"/>
      <c r="ST80" s="173"/>
      <c r="SU80" s="173"/>
      <c r="SV80" s="173"/>
      <c r="SW80" s="173"/>
      <c r="SX80" s="173"/>
      <c r="SY80" s="173"/>
      <c r="SZ80" s="173"/>
      <c r="TA80" s="173"/>
      <c r="TB80" s="173"/>
      <c r="TC80" s="173"/>
      <c r="TD80" s="173"/>
      <c r="TE80" s="173"/>
      <c r="TF80" s="173"/>
      <c r="TG80" s="173"/>
      <c r="TH80" s="173"/>
      <c r="TI80" s="173"/>
      <c r="TJ80" s="173"/>
      <c r="TK80" s="173"/>
      <c r="TL80" s="173"/>
      <c r="TM80" s="173"/>
      <c r="TN80" s="173"/>
      <c r="TO80" s="173"/>
      <c r="TP80" s="173"/>
      <c r="TQ80" s="173"/>
      <c r="TR80" s="173"/>
      <c r="TS80" s="173"/>
      <c r="TT80" s="173"/>
      <c r="TU80" s="173"/>
      <c r="TV80" s="173"/>
      <c r="TW80" s="173"/>
      <c r="TX80" s="173"/>
      <c r="TY80" s="173"/>
      <c r="TZ80" s="173"/>
      <c r="UA80" s="173"/>
      <c r="UB80" s="173"/>
      <c r="UC80" s="173"/>
      <c r="UD80" s="173"/>
      <c r="UE80" s="173"/>
      <c r="UF80" s="173"/>
      <c r="UG80" s="173"/>
      <c r="UH80" s="173"/>
      <c r="UI80" s="173"/>
      <c r="UJ80" s="173"/>
      <c r="UK80" s="173"/>
      <c r="UL80" s="173"/>
      <c r="UM80" s="173"/>
      <c r="UN80" s="173"/>
      <c r="UO80" s="173"/>
      <c r="UP80" s="173"/>
      <c r="UQ80" s="173"/>
      <c r="UR80" s="173"/>
      <c r="US80" s="173"/>
      <c r="UT80" s="173"/>
      <c r="UU80" s="173"/>
      <c r="UV80" s="173"/>
      <c r="UW80" s="173"/>
      <c r="UX80" s="173"/>
      <c r="UY80" s="173"/>
      <c r="UZ80" s="173"/>
      <c r="VA80" s="173"/>
      <c r="VB80" s="173"/>
      <c r="VC80" s="173"/>
      <c r="VD80" s="173"/>
      <c r="VE80" s="173"/>
      <c r="VF80" s="173"/>
      <c r="VG80" s="173"/>
      <c r="VH80" s="173"/>
      <c r="VI80" s="173"/>
      <c r="VJ80" s="173"/>
      <c r="VK80" s="173"/>
      <c r="VL80" s="173"/>
      <c r="VM80" s="173"/>
      <c r="VN80" s="173"/>
      <c r="VO80" s="173"/>
      <c r="VP80" s="173"/>
      <c r="VQ80" s="173"/>
      <c r="VR80" s="173"/>
      <c r="VS80" s="173"/>
      <c r="VT80" s="173"/>
      <c r="VU80" s="173"/>
      <c r="VV80" s="173"/>
      <c r="VW80" s="173"/>
      <c r="VX80" s="173"/>
      <c r="VY80" s="173"/>
      <c r="VZ80" s="173"/>
      <c r="WA80" s="173"/>
      <c r="WB80" s="173"/>
      <c r="WC80" s="173"/>
      <c r="WD80" s="173"/>
      <c r="WE80" s="173"/>
      <c r="WF80" s="173"/>
      <c r="WG80" s="173"/>
      <c r="WH80" s="173"/>
      <c r="WI80" s="173"/>
      <c r="WJ80" s="173"/>
      <c r="WK80" s="173"/>
      <c r="WL80" s="173"/>
      <c r="WM80" s="173"/>
      <c r="WN80" s="173"/>
      <c r="WO80" s="173"/>
      <c r="WP80" s="173"/>
      <c r="WQ80" s="173"/>
      <c r="WR80" s="173"/>
      <c r="WS80" s="173"/>
      <c r="WT80" s="173"/>
      <c r="WU80" s="173"/>
      <c r="WV80" s="173"/>
      <c r="WW80" s="173"/>
      <c r="WX80" s="173"/>
      <c r="WY80" s="173"/>
      <c r="WZ80" s="173"/>
      <c r="XA80" s="173"/>
      <c r="XB80" s="173"/>
      <c r="XC80" s="173"/>
      <c r="XD80" s="173"/>
      <c r="XE80" s="173"/>
      <c r="XF80" s="173"/>
      <c r="XG80" s="173"/>
      <c r="XH80" s="173"/>
      <c r="XI80" s="173"/>
      <c r="XJ80" s="173"/>
      <c r="XK80" s="173"/>
      <c r="XL80" s="173"/>
      <c r="XM80" s="173"/>
      <c r="XN80" s="173"/>
      <c r="XO80" s="173"/>
      <c r="XP80" s="173"/>
      <c r="XQ80" s="173"/>
      <c r="XR80" s="173"/>
      <c r="XS80" s="173"/>
      <c r="XT80" s="173"/>
      <c r="XU80" s="173"/>
      <c r="XV80" s="173"/>
      <c r="XW80" s="173"/>
      <c r="XX80" s="173"/>
      <c r="XY80" s="173"/>
      <c r="XZ80" s="173"/>
      <c r="YA80" s="173"/>
      <c r="YB80" s="173"/>
      <c r="YC80" s="173"/>
      <c r="YD80" s="173"/>
      <c r="YE80" s="173"/>
      <c r="YF80" s="173"/>
      <c r="YG80" s="173"/>
      <c r="YH80" s="173"/>
      <c r="YI80" s="173"/>
      <c r="YJ80" s="173"/>
      <c r="YK80" s="173"/>
      <c r="YL80" s="173"/>
      <c r="YM80" s="173"/>
      <c r="YN80" s="173"/>
      <c r="YO80" s="173"/>
      <c r="YP80" s="173"/>
      <c r="YQ80" s="173"/>
      <c r="YR80" s="173"/>
      <c r="YS80" s="173"/>
      <c r="YT80" s="173"/>
      <c r="YU80" s="173"/>
      <c r="YV80" s="173"/>
      <c r="YW80" s="173"/>
      <c r="YX80" s="173"/>
      <c r="YY80" s="173"/>
      <c r="YZ80" s="173"/>
      <c r="ZA80" s="173"/>
      <c r="ZB80" s="173"/>
      <c r="ZC80" s="173"/>
      <c r="ZD80" s="173"/>
      <c r="ZE80" s="173"/>
      <c r="ZF80" s="173"/>
      <c r="ZG80" s="173"/>
      <c r="ZH80" s="173"/>
      <c r="ZI80" s="173"/>
      <c r="ZJ80" s="173"/>
      <c r="ZK80" s="173"/>
      <c r="ZL80" s="173"/>
      <c r="ZM80" s="173"/>
      <c r="ZN80" s="173"/>
      <c r="ZO80" s="173"/>
      <c r="ZP80" s="173"/>
      <c r="ZQ80" s="173"/>
      <c r="ZR80" s="173"/>
      <c r="ZS80" s="173"/>
      <c r="ZT80" s="173"/>
      <c r="ZU80" s="173"/>
      <c r="ZV80" s="173"/>
      <c r="ZW80" s="173"/>
      <c r="ZX80" s="173"/>
      <c r="ZY80" s="173"/>
      <c r="ZZ80" s="173"/>
      <c r="AAA80" s="173"/>
      <c r="AAB80" s="173"/>
      <c r="AAC80" s="173"/>
      <c r="AAD80" s="173"/>
      <c r="AAE80" s="173"/>
      <c r="AAF80" s="173"/>
      <c r="AAG80" s="173"/>
      <c r="AAH80" s="173"/>
      <c r="AAI80" s="173"/>
      <c r="AAJ80" s="173"/>
      <c r="AAK80" s="173"/>
      <c r="AAL80" s="173"/>
      <c r="AAM80" s="173"/>
      <c r="AAN80" s="173"/>
      <c r="AAO80" s="173"/>
      <c r="AAP80" s="173"/>
      <c r="AAQ80" s="173"/>
      <c r="AAR80" s="173"/>
      <c r="AAS80" s="173"/>
      <c r="AAT80" s="173"/>
      <c r="AAU80" s="173"/>
      <c r="AAV80" s="173"/>
      <c r="AAW80" s="173"/>
      <c r="AAX80" s="173"/>
      <c r="AAY80" s="173"/>
      <c r="AAZ80" s="173"/>
      <c r="ABA80" s="173"/>
      <c r="ABB80" s="173"/>
      <c r="ABC80" s="173"/>
      <c r="ABD80" s="173"/>
      <c r="ABE80" s="173"/>
      <c r="ABF80" s="173"/>
      <c r="ABG80" s="173"/>
      <c r="ABH80" s="173"/>
      <c r="ABI80" s="173"/>
      <c r="ABJ80" s="173"/>
      <c r="ABK80" s="173"/>
      <c r="ABL80" s="173"/>
      <c r="ABM80" s="173"/>
      <c r="ABN80" s="173"/>
      <c r="ABO80" s="173"/>
      <c r="ABP80" s="173"/>
      <c r="ABQ80" s="173"/>
      <c r="ABR80" s="173"/>
      <c r="ABS80" s="173"/>
      <c r="ABT80" s="173"/>
      <c r="ABU80" s="173"/>
      <c r="ABV80" s="173"/>
      <c r="ABW80" s="173"/>
      <c r="ABX80" s="173"/>
      <c r="ABY80" s="173"/>
      <c r="ABZ80" s="173"/>
      <c r="ACA80" s="173"/>
      <c r="ACB80" s="173"/>
      <c r="ACC80" s="173"/>
      <c r="ACD80" s="173"/>
      <c r="ACE80" s="173"/>
      <c r="ACF80" s="173"/>
      <c r="ACG80" s="173"/>
      <c r="ACH80" s="173"/>
      <c r="ACI80" s="173"/>
      <c r="ACJ80" s="173"/>
      <c r="ACK80" s="173"/>
      <c r="ACL80" s="173"/>
      <c r="ACM80" s="173"/>
      <c r="ACN80" s="173"/>
      <c r="ACO80" s="173"/>
      <c r="ACP80" s="173"/>
      <c r="ACQ80" s="173"/>
      <c r="ACR80" s="173"/>
      <c r="ACS80" s="173"/>
      <c r="ACT80" s="173"/>
      <c r="ACU80" s="173"/>
      <c r="ACV80" s="173"/>
      <c r="ACW80" s="173"/>
      <c r="ACX80" s="173"/>
      <c r="ACY80" s="173"/>
      <c r="ACZ80" s="173"/>
      <c r="ADA80" s="173"/>
      <c r="ADB80" s="173"/>
      <c r="ADC80" s="173"/>
      <c r="ADD80" s="173"/>
      <c r="ADE80" s="173"/>
      <c r="ADF80" s="173"/>
      <c r="ADG80" s="173"/>
      <c r="ADH80" s="173"/>
      <c r="ADI80" s="173"/>
      <c r="ADJ80" s="173"/>
      <c r="ADK80" s="173"/>
      <c r="ADL80" s="173"/>
      <c r="ADM80" s="173"/>
      <c r="ADN80" s="173"/>
      <c r="ADO80" s="173"/>
      <c r="ADP80" s="173"/>
      <c r="ADQ80" s="173"/>
      <c r="ADR80" s="173"/>
      <c r="ADS80" s="173"/>
      <c r="ADT80" s="173"/>
      <c r="ADU80" s="173"/>
      <c r="ADV80" s="173"/>
      <c r="ADW80" s="173"/>
      <c r="ADX80" s="173"/>
      <c r="ADY80" s="173"/>
      <c r="ADZ80" s="173"/>
      <c r="AEA80" s="173"/>
      <c r="AEB80" s="173"/>
      <c r="AEC80" s="173"/>
      <c r="AED80" s="173"/>
      <c r="AEE80" s="173"/>
      <c r="AEF80" s="173"/>
      <c r="AEG80" s="173"/>
      <c r="AEH80" s="173"/>
      <c r="AEI80" s="173"/>
      <c r="AEJ80" s="173"/>
      <c r="AEK80" s="173"/>
      <c r="AEL80" s="173"/>
      <c r="AEM80" s="173"/>
      <c r="AEN80" s="173"/>
      <c r="AEO80" s="173"/>
      <c r="AEP80" s="173"/>
      <c r="AEQ80" s="173"/>
      <c r="AER80" s="173"/>
      <c r="AES80" s="173"/>
      <c r="AET80" s="173"/>
      <c r="AEU80" s="173"/>
      <c r="AEV80" s="173"/>
      <c r="AEW80" s="173"/>
      <c r="AEX80" s="173"/>
      <c r="AEY80" s="173"/>
      <c r="AEZ80" s="173"/>
      <c r="AFA80" s="173"/>
      <c r="AFB80" s="173"/>
      <c r="AFC80" s="173"/>
      <c r="AFD80" s="173"/>
      <c r="AFE80" s="173"/>
      <c r="AFF80" s="173"/>
      <c r="AFG80" s="173"/>
      <c r="AFH80" s="173"/>
      <c r="AFI80" s="173"/>
      <c r="AFJ80" s="173"/>
      <c r="AFK80" s="173"/>
      <c r="AFL80" s="173"/>
      <c r="AFM80" s="173"/>
      <c r="AFN80" s="173"/>
      <c r="AFO80" s="173"/>
      <c r="AFP80" s="173"/>
      <c r="AFQ80" s="173"/>
      <c r="AFR80" s="152" t="s">
        <v>14</v>
      </c>
      <c r="AFS80" s="173" t="s">
        <v>350</v>
      </c>
    </row>
    <row r="81" spans="2:936" hidden="1" x14ac:dyDescent="0.25">
      <c r="B81" s="731"/>
      <c r="C81" s="569" t="s">
        <v>39</v>
      </c>
      <c r="D81" s="476"/>
      <c r="E81" s="496" t="s">
        <v>14</v>
      </c>
      <c r="F81" s="570">
        <f>SUM(F85:F86)*10.86</f>
        <v>400256.16</v>
      </c>
      <c r="G81" s="570" t="e">
        <f>SUM(G85:G86)*10.86</f>
        <v>#REF!</v>
      </c>
      <c r="H81" s="570">
        <f>SUM(H85:H86)*10.86</f>
        <v>0</v>
      </c>
      <c r="I81" s="571">
        <f>'[20]April 24'!AL70</f>
        <v>0</v>
      </c>
      <c r="J81" s="571">
        <f>SUM(J85:J86)*10.86</f>
        <v>0</v>
      </c>
      <c r="K81" s="571">
        <f>SUM(K85:K86)*10.86</f>
        <v>0</v>
      </c>
      <c r="L81" s="571">
        <f t="shared" ref="L81:R81" si="4">SUM(L85:L86)*10.86</f>
        <v>0</v>
      </c>
      <c r="M81" s="571">
        <f t="shared" si="4"/>
        <v>0</v>
      </c>
      <c r="N81" s="571">
        <f t="shared" si="4"/>
        <v>0</v>
      </c>
      <c r="O81" s="571" t="e">
        <f>SUM(O85:O86)*10.86</f>
        <v>#REF!</v>
      </c>
      <c r="P81" s="571"/>
      <c r="Q81" s="571">
        <f>SUM(Q85:Q86)*10.86</f>
        <v>0</v>
      </c>
      <c r="R81" s="571">
        <f t="shared" si="4"/>
        <v>0</v>
      </c>
      <c r="S81" s="719"/>
      <c r="T81" s="710" t="e">
        <f>SUM(T85:T86)*10.86</f>
        <v>#REF!</v>
      </c>
      <c r="U81" s="687">
        <f>SUM(U85:U86)*10.86</f>
        <v>32269045.619999997</v>
      </c>
      <c r="V81" s="770" t="e">
        <f>(T81/U81)*100</f>
        <v>#REF!</v>
      </c>
      <c r="W81" s="306"/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42"/>
      <c r="BE81" s="142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42"/>
      <c r="DA81" s="1"/>
      <c r="DP81" s="5"/>
      <c r="DQ81" s="142"/>
      <c r="DR81" s="142"/>
      <c r="DS81" s="142"/>
      <c r="DT81" s="142"/>
      <c r="FW81" s="142"/>
      <c r="FX81" s="140" t="e">
        <f>#REF!/1000</f>
        <v>#REF!</v>
      </c>
      <c r="JR81" s="142"/>
      <c r="JS81" s="142"/>
      <c r="JT81" s="142"/>
      <c r="JU81" s="142"/>
      <c r="OY81" s="142">
        <v>4696</v>
      </c>
      <c r="OZ81" s="145" t="e">
        <f>FX81/OY81*100</f>
        <v>#REF!</v>
      </c>
      <c r="PB81" s="142"/>
      <c r="PP81" s="145"/>
      <c r="PT81" s="142"/>
      <c r="RW81" s="145"/>
      <c r="AHF81" s="141"/>
      <c r="AIU81" s="141"/>
      <c r="AIV81" s="141"/>
      <c r="AIW81" s="141"/>
    </row>
    <row r="82" spans="2:936" hidden="1" x14ac:dyDescent="0.25">
      <c r="B82" s="731"/>
      <c r="C82" s="569" t="s">
        <v>38</v>
      </c>
      <c r="D82" s="476"/>
      <c r="E82" s="496" t="s">
        <v>14</v>
      </c>
      <c r="F82" s="440">
        <f>F80-F81</f>
        <v>-1234.8800000000047</v>
      </c>
      <c r="G82" s="440" t="e">
        <f>G80-G81</f>
        <v>#REF!</v>
      </c>
      <c r="H82" s="440">
        <f>H80-H81</f>
        <v>0</v>
      </c>
      <c r="I82" s="440">
        <f>'[20]April 24'!AL71</f>
        <v>0</v>
      </c>
      <c r="J82" s="440">
        <f>J80-J81</f>
        <v>0</v>
      </c>
      <c r="K82" s="440">
        <f t="shared" ref="K82:R82" si="5">K80-K81</f>
        <v>0</v>
      </c>
      <c r="L82" s="440">
        <f t="shared" si="5"/>
        <v>0</v>
      </c>
      <c r="M82" s="440">
        <f t="shared" si="5"/>
        <v>0</v>
      </c>
      <c r="N82" s="440">
        <f t="shared" si="5"/>
        <v>0</v>
      </c>
      <c r="O82" s="440" t="e">
        <f>O80-O81</f>
        <v>#REF!</v>
      </c>
      <c r="P82" s="440"/>
      <c r="Q82" s="440">
        <f>Q80-Q81</f>
        <v>0</v>
      </c>
      <c r="R82" s="440">
        <f t="shared" si="5"/>
        <v>0</v>
      </c>
      <c r="S82" s="719"/>
      <c r="T82" s="59" t="e">
        <f>SUM(F82:R82)</f>
        <v>#REF!</v>
      </c>
      <c r="U82" s="669" t="e">
        <f>SUM(G82:S82)</f>
        <v>#REF!</v>
      </c>
      <c r="V82" s="770" t="e">
        <f>(T82/U82)*100</f>
        <v>#REF!</v>
      </c>
      <c r="W82" s="140"/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1"/>
      <c r="BD82" s="142"/>
      <c r="BE82" s="142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2"/>
      <c r="DA82" s="1"/>
      <c r="DP82" s="5"/>
      <c r="DQ82" s="142"/>
      <c r="DR82" s="142"/>
      <c r="DS82" s="142"/>
      <c r="DT82" s="142"/>
      <c r="FW82" s="142"/>
      <c r="FX82" s="481" t="e">
        <f>#REF!/1000</f>
        <v>#REF!</v>
      </c>
      <c r="JR82" s="142"/>
      <c r="JS82" s="142"/>
      <c r="JT82" s="142"/>
      <c r="JU82" s="142"/>
      <c r="OY82" s="142">
        <v>565</v>
      </c>
      <c r="OZ82" s="145" t="e">
        <f>FX82/OY82*100</f>
        <v>#REF!</v>
      </c>
      <c r="PB82" s="142"/>
      <c r="PP82" s="145"/>
      <c r="PT82" s="142"/>
      <c r="RW82" s="145"/>
      <c r="AHF82" s="141"/>
      <c r="AIU82" s="141"/>
      <c r="AIV82" s="141"/>
      <c r="AIW82" s="141"/>
    </row>
    <row r="83" spans="2:936" hidden="1" x14ac:dyDescent="0.25">
      <c r="B83" s="731"/>
      <c r="C83" s="569" t="s">
        <v>50</v>
      </c>
      <c r="D83" s="476"/>
      <c r="E83" s="464" t="s">
        <v>14</v>
      </c>
      <c r="F83" s="440">
        <f>'[20]Januari 24'!AL72</f>
        <v>0</v>
      </c>
      <c r="G83" s="440">
        <f>'[20]Februari 24'!AI72</f>
        <v>0</v>
      </c>
      <c r="H83" s="440">
        <f>'[20]Maret 24'!AL72</f>
        <v>0</v>
      </c>
      <c r="I83" s="440">
        <f>'[20]April 24'!AL72</f>
        <v>0</v>
      </c>
      <c r="J83" s="440"/>
      <c r="K83" s="440"/>
      <c r="L83" s="440"/>
      <c r="M83" s="440"/>
      <c r="N83" s="440"/>
      <c r="O83" s="440"/>
      <c r="P83" s="440"/>
      <c r="Q83" s="440">
        <v>0</v>
      </c>
      <c r="R83" s="440">
        <v>0</v>
      </c>
      <c r="S83" s="719"/>
      <c r="T83" s="59">
        <f>SUM(F83:R83)</f>
        <v>0</v>
      </c>
      <c r="U83" s="669">
        <f>SUM(G83:S83)</f>
        <v>0</v>
      </c>
      <c r="V83" s="770"/>
      <c r="X83" s="1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R83" s="63"/>
      <c r="AX83" s="1"/>
      <c r="BD83" s="142"/>
      <c r="BE83" s="142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2"/>
      <c r="DA83" s="1"/>
      <c r="DP83" s="5"/>
      <c r="DQ83" s="142"/>
      <c r="DR83" s="142"/>
      <c r="DS83" s="142"/>
      <c r="DT83" s="142"/>
      <c r="FW83" s="142"/>
      <c r="JR83" s="142"/>
      <c r="JS83" s="142"/>
      <c r="JT83" s="142"/>
      <c r="JU83" s="142"/>
      <c r="OY83" s="142"/>
      <c r="OZ83" s="142"/>
      <c r="PB83" s="142"/>
      <c r="PP83" s="145"/>
      <c r="PT83" s="142"/>
      <c r="RW83" s="145"/>
      <c r="AHF83" s="141"/>
      <c r="AIU83" s="141"/>
      <c r="AIV83" s="141"/>
      <c r="AIW83" s="141"/>
    </row>
    <row r="84" spans="2:936" hidden="1" x14ac:dyDescent="0.25">
      <c r="B84" s="731"/>
      <c r="C84" s="569" t="s">
        <v>29</v>
      </c>
      <c r="D84" s="476"/>
      <c r="E84" s="464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719"/>
      <c r="T84" s="64" t="s">
        <v>29</v>
      </c>
      <c r="U84" s="688" t="s">
        <v>29</v>
      </c>
      <c r="V84" s="786" t="s">
        <v>29</v>
      </c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2"/>
      <c r="BE84" s="142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2"/>
      <c r="DA84" s="1"/>
      <c r="DP84" s="5"/>
      <c r="DQ84" s="142"/>
      <c r="DR84" s="142"/>
      <c r="DS84" s="142"/>
      <c r="DT84" s="142"/>
      <c r="FW84" s="142"/>
      <c r="JR84" s="142"/>
      <c r="JS84" s="142"/>
      <c r="JT84" s="142"/>
      <c r="JU84" s="142"/>
      <c r="OY84" s="142"/>
      <c r="OZ84" s="142"/>
      <c r="PB84" s="142"/>
      <c r="PP84" s="145"/>
      <c r="PT84" s="142"/>
      <c r="RW84" s="145"/>
      <c r="AHF84" s="141"/>
      <c r="AIU84" s="141"/>
      <c r="AIV84" s="141"/>
      <c r="AIW84" s="141"/>
    </row>
    <row r="85" spans="2:936" hidden="1" x14ac:dyDescent="0.25">
      <c r="B85" s="732"/>
      <c r="C85" s="572" t="s">
        <v>49</v>
      </c>
      <c r="D85" s="437"/>
      <c r="E85" s="573" t="s">
        <v>31</v>
      </c>
      <c r="F85" s="282">
        <f>'[20]Januari 24'!AL74</f>
        <v>17197</v>
      </c>
      <c r="G85" s="282" t="e">
        <f>'[20]Februari 24'!AI74</f>
        <v>#REF!</v>
      </c>
      <c r="H85" s="282">
        <f>'[20]Maret 24'!AL74</f>
        <v>0</v>
      </c>
      <c r="I85" s="282">
        <f>'[20]April 24'!AL74</f>
        <v>0</v>
      </c>
      <c r="J85" s="282">
        <f>'[20]Mei 24'!AL74</f>
        <v>0</v>
      </c>
      <c r="K85" s="282">
        <f>'[20]Juny 24'!AL74</f>
        <v>0</v>
      </c>
      <c r="L85" s="282">
        <f>'[20]July 24'!AL74</f>
        <v>0</v>
      </c>
      <c r="M85" s="282">
        <f>'[20]Agustus 24'!AL74</f>
        <v>0</v>
      </c>
      <c r="N85" s="282">
        <f>'[20]September 24'!AL74</f>
        <v>0</v>
      </c>
      <c r="O85" s="282" t="e">
        <f>'[20]September 24'!AM74</f>
        <v>#REF!</v>
      </c>
      <c r="P85" s="282"/>
      <c r="Q85" s="282">
        <f>'[20]November 24'!AL74</f>
        <v>0</v>
      </c>
      <c r="R85" s="282">
        <f>'[20]Desember 24'!AL74</f>
        <v>0</v>
      </c>
      <c r="S85" s="721"/>
      <c r="T85" s="55" t="e">
        <f>SUM(F85:R85)</f>
        <v>#REF!</v>
      </c>
      <c r="U85" s="666">
        <v>1254577</v>
      </c>
      <c r="V85" s="770" t="e">
        <f>(T85/U85)*100</f>
        <v>#REF!</v>
      </c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6"/>
      <c r="BD85" s="148"/>
      <c r="BE85" s="148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8"/>
      <c r="DA85" s="1"/>
      <c r="DP85" s="517"/>
      <c r="DQ85" s="148"/>
      <c r="DR85" s="148"/>
      <c r="DS85" s="148"/>
      <c r="DT85" s="148"/>
      <c r="FW85" s="148"/>
      <c r="JR85" s="148"/>
      <c r="JS85" s="148"/>
      <c r="JT85" s="148"/>
      <c r="JU85" s="148"/>
      <c r="OY85" s="148"/>
      <c r="OZ85" s="148"/>
      <c r="PB85" s="148"/>
      <c r="PP85" s="574"/>
      <c r="PT85" s="148"/>
      <c r="RW85" s="574"/>
      <c r="AHF85" s="144"/>
      <c r="AIU85" s="144"/>
      <c r="AIV85" s="144"/>
      <c r="AIW85" s="144"/>
    </row>
    <row r="86" spans="2:936" hidden="1" x14ac:dyDescent="0.25">
      <c r="B86" s="732"/>
      <c r="C86" s="572" t="s">
        <v>48</v>
      </c>
      <c r="D86" s="437"/>
      <c r="E86" s="573" t="s">
        <v>31</v>
      </c>
      <c r="F86" s="282">
        <f>'[20]Januari 24'!AL75</f>
        <v>19659</v>
      </c>
      <c r="G86" s="282" t="e">
        <f>'[20]Februari 24'!AI75</f>
        <v>#REF!</v>
      </c>
      <c r="H86" s="282">
        <f>'[20]Maret 24'!AL75</f>
        <v>0</v>
      </c>
      <c r="I86" s="282">
        <f>'[20]April 24'!AL75</f>
        <v>0</v>
      </c>
      <c r="J86" s="282">
        <f>'[20]Mei 24'!AL75</f>
        <v>0</v>
      </c>
      <c r="K86" s="282">
        <f>'[20]Juny 24'!AL75</f>
        <v>0</v>
      </c>
      <c r="L86" s="282">
        <f>'[20]July 24'!AL75</f>
        <v>0</v>
      </c>
      <c r="M86" s="282">
        <f>'[20]Agustus 24'!AL75</f>
        <v>0</v>
      </c>
      <c r="N86" s="282">
        <f>'[20]September 24'!AL75</f>
        <v>0</v>
      </c>
      <c r="O86" s="282" t="e">
        <f>'[20]September 24'!AM75</f>
        <v>#REF!</v>
      </c>
      <c r="P86" s="282"/>
      <c r="Q86" s="282">
        <f>'[20]November 24'!AL75</f>
        <v>0</v>
      </c>
      <c r="R86" s="282">
        <f>'[20]Desember 24'!AL75</f>
        <v>0</v>
      </c>
      <c r="S86" s="721"/>
      <c r="T86" s="55" t="e">
        <f>SUM(F86:R86)</f>
        <v>#REF!</v>
      </c>
      <c r="U86" s="666">
        <v>1716790</v>
      </c>
      <c r="V86" s="770" t="e">
        <f>(T86/U86)*100</f>
        <v>#REF!</v>
      </c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6"/>
      <c r="BD86" s="148"/>
      <c r="BE86" s="148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8"/>
      <c r="DA86" s="1"/>
      <c r="DP86" s="517"/>
      <c r="DQ86" s="148"/>
      <c r="DR86" s="148"/>
      <c r="DS86" s="148"/>
      <c r="DT86" s="148"/>
      <c r="FW86" s="148"/>
      <c r="JR86" s="148"/>
      <c r="JS86" s="148"/>
      <c r="JT86" s="148"/>
      <c r="JU86" s="148"/>
      <c r="OY86" s="148"/>
      <c r="OZ86" s="148"/>
      <c r="PB86" s="148"/>
      <c r="PP86" s="574"/>
      <c r="PT86" s="148"/>
      <c r="RW86" s="574"/>
      <c r="AHF86" s="144"/>
      <c r="AIU86" s="144"/>
      <c r="AIV86" s="144"/>
      <c r="AIW86" s="144"/>
    </row>
    <row r="87" spans="2:936" hidden="1" x14ac:dyDescent="0.25">
      <c r="B87" s="731"/>
      <c r="C87" s="569" t="s">
        <v>28</v>
      </c>
      <c r="D87" s="476"/>
      <c r="E87" s="464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719"/>
      <c r="T87" s="64" t="s">
        <v>28</v>
      </c>
      <c r="U87" s="688" t="s">
        <v>28</v>
      </c>
      <c r="V87" s="786" t="s">
        <v>28</v>
      </c>
      <c r="X87" s="6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G87" s="142"/>
      <c r="BH87" s="142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42"/>
      <c r="DA87" s="1"/>
      <c r="DS87" s="5"/>
      <c r="DT87" s="142"/>
      <c r="DU87" s="142"/>
      <c r="DV87" s="142"/>
      <c r="DW87" s="142"/>
      <c r="FZ87" s="142"/>
      <c r="JU87" s="142"/>
      <c r="JV87" s="142"/>
      <c r="JW87" s="142"/>
      <c r="JX87" s="142"/>
      <c r="PB87" s="142"/>
      <c r="PC87" s="142"/>
      <c r="PE87" s="142"/>
      <c r="PS87" s="145"/>
      <c r="PW87" s="142"/>
      <c r="RZ87" s="145"/>
      <c r="AHI87" s="141"/>
      <c r="AIX87" s="141"/>
      <c r="AIY87" s="141"/>
      <c r="AIZ87" s="141"/>
    </row>
    <row r="88" spans="2:936" hidden="1" x14ac:dyDescent="0.25">
      <c r="B88" s="731"/>
      <c r="C88" s="462" t="s">
        <v>49</v>
      </c>
      <c r="D88" s="476"/>
      <c r="E88" s="496" t="s">
        <v>28</v>
      </c>
      <c r="F88" s="439">
        <f>F85*12</f>
        <v>206364</v>
      </c>
      <c r="G88" s="439" t="e">
        <f>G85*12</f>
        <v>#REF!</v>
      </c>
      <c r="H88" s="439">
        <f>H85*12</f>
        <v>0</v>
      </c>
      <c r="I88" s="439">
        <f t="shared" ref="I88:R88" si="6">I85*12</f>
        <v>0</v>
      </c>
      <c r="J88" s="439">
        <f t="shared" si="6"/>
        <v>0</v>
      </c>
      <c r="K88" s="439">
        <f t="shared" si="6"/>
        <v>0</v>
      </c>
      <c r="L88" s="439">
        <f t="shared" si="6"/>
        <v>0</v>
      </c>
      <c r="M88" s="439">
        <f t="shared" si="6"/>
        <v>0</v>
      </c>
      <c r="N88" s="439">
        <f t="shared" si="6"/>
        <v>0</v>
      </c>
      <c r="O88" s="439" t="e">
        <f>O85*12</f>
        <v>#REF!</v>
      </c>
      <c r="P88" s="439"/>
      <c r="Q88" s="439">
        <f t="shared" si="6"/>
        <v>0</v>
      </c>
      <c r="R88" s="439">
        <f t="shared" si="6"/>
        <v>0</v>
      </c>
      <c r="S88" s="719"/>
      <c r="T88" s="55" t="e">
        <f>T85*12</f>
        <v>#REF!</v>
      </c>
      <c r="U88" s="666">
        <f>U85*12</f>
        <v>15054924</v>
      </c>
      <c r="V88" s="770" t="e">
        <f>(T88/U88)*100</f>
        <v>#REF!</v>
      </c>
      <c r="X88" s="6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"/>
      <c r="BG88" s="142"/>
      <c r="BH88" s="142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2"/>
      <c r="DA88" s="1"/>
      <c r="DS88" s="5"/>
      <c r="DT88" s="142"/>
      <c r="DU88" s="142"/>
      <c r="DV88" s="142"/>
      <c r="DW88" s="142"/>
      <c r="FZ88" s="142"/>
      <c r="JU88" s="142"/>
      <c r="JV88" s="142"/>
      <c r="JW88" s="142"/>
      <c r="JX88" s="142"/>
      <c r="PB88" s="142"/>
      <c r="PC88" s="142"/>
      <c r="PE88" s="142"/>
      <c r="PS88" s="145"/>
      <c r="PW88" s="142"/>
      <c r="RZ88" s="145"/>
      <c r="AHI88" s="141"/>
      <c r="AIX88" s="141"/>
      <c r="AIY88" s="141"/>
      <c r="AIZ88" s="141"/>
    </row>
    <row r="89" spans="2:936" hidden="1" x14ac:dyDescent="0.25">
      <c r="B89" s="731"/>
      <c r="C89" s="462" t="s">
        <v>48</v>
      </c>
      <c r="D89" s="476"/>
      <c r="E89" s="496" t="s">
        <v>28</v>
      </c>
      <c r="F89" s="439">
        <f>F86*6</f>
        <v>117954</v>
      </c>
      <c r="G89" s="439" t="e">
        <f>G86*6</f>
        <v>#REF!</v>
      </c>
      <c r="H89" s="439">
        <f>H86*6</f>
        <v>0</v>
      </c>
      <c r="I89" s="439">
        <f t="shared" ref="I89:R89" si="7">I86*6</f>
        <v>0</v>
      </c>
      <c r="J89" s="439">
        <f t="shared" si="7"/>
        <v>0</v>
      </c>
      <c r="K89" s="439">
        <f t="shared" si="7"/>
        <v>0</v>
      </c>
      <c r="L89" s="439">
        <f t="shared" si="7"/>
        <v>0</v>
      </c>
      <c r="M89" s="439">
        <f t="shared" si="7"/>
        <v>0</v>
      </c>
      <c r="N89" s="439">
        <f t="shared" si="7"/>
        <v>0</v>
      </c>
      <c r="O89" s="439" t="e">
        <f>O86*6</f>
        <v>#REF!</v>
      </c>
      <c r="P89" s="439"/>
      <c r="Q89" s="439">
        <f>Q86*6</f>
        <v>0</v>
      </c>
      <c r="R89" s="439">
        <f t="shared" si="7"/>
        <v>0</v>
      </c>
      <c r="S89" s="719"/>
      <c r="T89" s="55" t="e">
        <f>T86*6</f>
        <v>#REF!</v>
      </c>
      <c r="U89" s="666">
        <f>U86*6</f>
        <v>10300740</v>
      </c>
      <c r="V89" s="770" t="e">
        <f>(T89/U89)*100</f>
        <v>#REF!</v>
      </c>
      <c r="X89" s="6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"/>
      <c r="BG89" s="142"/>
      <c r="BH89" s="142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2"/>
      <c r="DA89" s="1"/>
      <c r="DS89" s="5"/>
      <c r="DT89" s="142"/>
      <c r="DU89" s="142"/>
      <c r="DV89" s="142"/>
      <c r="DW89" s="142"/>
      <c r="FZ89" s="142"/>
      <c r="JU89" s="142"/>
      <c r="JV89" s="142"/>
      <c r="JW89" s="142"/>
      <c r="JX89" s="142"/>
      <c r="PB89" s="142"/>
      <c r="PC89" s="142"/>
      <c r="PE89" s="142"/>
      <c r="PS89" s="145"/>
      <c r="PW89" s="142"/>
      <c r="RZ89" s="145"/>
      <c r="AHI89" s="141"/>
      <c r="AIX89" s="141"/>
      <c r="AIY89" s="141"/>
      <c r="AIZ89" s="141"/>
    </row>
    <row r="90" spans="2:936" hidden="1" x14ac:dyDescent="0.25">
      <c r="B90" s="731"/>
      <c r="C90" s="569" t="s">
        <v>36</v>
      </c>
      <c r="D90" s="476"/>
      <c r="E90" s="496" t="s">
        <v>35</v>
      </c>
      <c r="F90" s="575">
        <f>(F80*45)/1700</f>
        <v>10562.328</v>
      </c>
      <c r="G90" s="576" t="e">
        <f>(G80*45)/1700</f>
        <v>#REF!</v>
      </c>
      <c r="H90" s="576">
        <f>(H80*45)/1700</f>
        <v>0</v>
      </c>
      <c r="I90" s="575">
        <f>(I80*45)/1700</f>
        <v>0</v>
      </c>
      <c r="J90" s="575">
        <f t="shared" ref="J90:R90" si="8">(J80*45)/1700</f>
        <v>0</v>
      </c>
      <c r="K90" s="575">
        <f t="shared" si="8"/>
        <v>0</v>
      </c>
      <c r="L90" s="575">
        <f t="shared" si="8"/>
        <v>0</v>
      </c>
      <c r="M90" s="575">
        <f t="shared" si="8"/>
        <v>0</v>
      </c>
      <c r="N90" s="575">
        <f t="shared" si="8"/>
        <v>0</v>
      </c>
      <c r="O90" s="575" t="e">
        <f>(O80*45)/1700</f>
        <v>#REF!</v>
      </c>
      <c r="P90" s="575"/>
      <c r="Q90" s="575">
        <f>(Q80*45)/1700</f>
        <v>0</v>
      </c>
      <c r="R90" s="575">
        <f t="shared" si="8"/>
        <v>0</v>
      </c>
      <c r="S90" s="719"/>
      <c r="T90" s="55" t="e">
        <f>SUM(F90:R90)</f>
        <v>#REF!</v>
      </c>
      <c r="U90" s="575" t="e">
        <f>(U80*45)/1700</f>
        <v>#REF!</v>
      </c>
      <c r="V90" s="770" t="e">
        <f>(T90/U90)*100</f>
        <v>#REF!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2"/>
      <c r="BH90" s="14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2"/>
      <c r="DA90" s="1"/>
      <c r="DS90" s="5"/>
      <c r="DT90" s="142"/>
      <c r="DU90" s="142"/>
      <c r="DV90" s="142"/>
      <c r="DW90" s="142"/>
      <c r="FZ90" s="142"/>
      <c r="JU90" s="142"/>
      <c r="JV90" s="142"/>
      <c r="JW90" s="142"/>
      <c r="JX90" s="142"/>
      <c r="PB90" s="142"/>
      <c r="PC90" s="142"/>
      <c r="PE90" s="142"/>
      <c r="PS90" s="145"/>
      <c r="PW90" s="142"/>
      <c r="RZ90" s="145"/>
      <c r="AHI90" s="141"/>
      <c r="AIX90" s="141"/>
      <c r="AIY90" s="141"/>
      <c r="AIZ90" s="141"/>
    </row>
    <row r="91" spans="2:936" hidden="1" x14ac:dyDescent="0.25">
      <c r="B91" s="731"/>
      <c r="C91" s="569" t="s">
        <v>34</v>
      </c>
      <c r="D91" s="476"/>
      <c r="E91" s="496" t="s">
        <v>33</v>
      </c>
      <c r="F91" s="439">
        <f>SUM(F85:F86)/500</f>
        <v>73.712000000000003</v>
      </c>
      <c r="G91" s="439" t="e">
        <f>SUM(G85:G86)/500</f>
        <v>#REF!</v>
      </c>
      <c r="H91" s="439">
        <f>SUM(H85:H86)/500</f>
        <v>0</v>
      </c>
      <c r="I91" s="439">
        <f t="shared" ref="I91:R91" si="9">SUM(I85:I86)/500</f>
        <v>0</v>
      </c>
      <c r="J91" s="439">
        <f t="shared" si="9"/>
        <v>0</v>
      </c>
      <c r="K91" s="439">
        <f t="shared" si="9"/>
        <v>0</v>
      </c>
      <c r="L91" s="439">
        <f t="shared" si="9"/>
        <v>0</v>
      </c>
      <c r="M91" s="439">
        <f t="shared" si="9"/>
        <v>0</v>
      </c>
      <c r="N91" s="439">
        <f t="shared" si="9"/>
        <v>0</v>
      </c>
      <c r="O91" s="439" t="e">
        <f>SUM(O85:O86)/500</f>
        <v>#REF!</v>
      </c>
      <c r="P91" s="439"/>
      <c r="Q91" s="439">
        <f t="shared" si="9"/>
        <v>0</v>
      </c>
      <c r="R91" s="439">
        <f t="shared" si="9"/>
        <v>0</v>
      </c>
      <c r="S91" s="719"/>
      <c r="T91" s="55" t="e">
        <f>SUM(F91:R91)</f>
        <v>#REF!</v>
      </c>
      <c r="U91" s="532">
        <f>SUM(U85:U86)/500</f>
        <v>5942.7340000000004</v>
      </c>
      <c r="V91" s="770" t="e">
        <f>(T91/U91)*100</f>
        <v>#REF!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2"/>
      <c r="BH91" s="14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2"/>
      <c r="DA91" s="1"/>
      <c r="DS91" s="5"/>
      <c r="DT91" s="142"/>
      <c r="DU91" s="142"/>
      <c r="DV91" s="142"/>
      <c r="DW91" s="142"/>
      <c r="FZ91" s="142"/>
      <c r="JU91" s="142"/>
      <c r="JV91" s="142"/>
      <c r="JW91" s="142"/>
      <c r="JX91" s="142"/>
      <c r="PB91" s="142"/>
      <c r="PC91" s="142"/>
      <c r="PE91" s="142"/>
      <c r="PS91" s="145"/>
      <c r="PW91" s="142"/>
      <c r="RZ91" s="145"/>
      <c r="AHI91" s="141"/>
      <c r="AIX91" s="141"/>
      <c r="AIY91" s="141"/>
      <c r="AIZ91" s="141"/>
    </row>
    <row r="92" spans="2:936" hidden="1" x14ac:dyDescent="0.25">
      <c r="B92" s="728"/>
      <c r="C92" s="419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3"/>
      <c r="T92" s="522" t="s">
        <v>131</v>
      </c>
      <c r="U92" s="677" t="s">
        <v>131</v>
      </c>
      <c r="V92" s="777" t="s">
        <v>131</v>
      </c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DA92" s="1"/>
    </row>
    <row r="93" spans="2:936" hidden="1" x14ac:dyDescent="0.25">
      <c r="B93" s="731"/>
      <c r="C93" s="569" t="s">
        <v>29</v>
      </c>
      <c r="D93" s="476"/>
      <c r="E93" s="464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719"/>
      <c r="T93" s="64" t="s">
        <v>29</v>
      </c>
      <c r="U93" s="688" t="s">
        <v>29</v>
      </c>
      <c r="V93" s="786" t="s">
        <v>29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2"/>
      <c r="BH93" s="142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2"/>
      <c r="DA93" s="1"/>
      <c r="DS93" s="5"/>
      <c r="DT93" s="142"/>
      <c r="DU93" s="142"/>
      <c r="DV93" s="142"/>
      <c r="DW93" s="142"/>
      <c r="FZ93" s="142"/>
      <c r="JU93" s="142"/>
      <c r="JV93" s="142"/>
      <c r="JW93" s="142"/>
      <c r="JX93" s="142"/>
      <c r="PB93" s="142"/>
      <c r="PC93" s="142"/>
      <c r="PE93" s="142"/>
      <c r="PS93" s="145"/>
      <c r="PW93" s="142"/>
      <c r="RZ93" s="145"/>
      <c r="AHI93" s="141"/>
      <c r="AIX93" s="141"/>
      <c r="AIY93" s="141"/>
      <c r="AIZ93" s="141"/>
    </row>
    <row r="94" spans="2:936" hidden="1" x14ac:dyDescent="0.25">
      <c r="B94" s="731"/>
      <c r="C94" s="462" t="s">
        <v>49</v>
      </c>
      <c r="D94" s="476"/>
      <c r="E94" s="496" t="s">
        <v>31</v>
      </c>
      <c r="F94" s="33">
        <f>'[20]Januari 24'!AL74</f>
        <v>17197</v>
      </c>
      <c r="G94" s="33" t="e">
        <f>'[20]Februari 24'!AI83</f>
        <v>#REF!</v>
      </c>
      <c r="H94" s="33">
        <f>'[20]Maret 24'!AL83</f>
        <v>0</v>
      </c>
      <c r="I94" s="33">
        <f>'[20]April 24'!AL83</f>
        <v>0</v>
      </c>
      <c r="J94" s="33">
        <f>'[20]Mei 24'!AL83</f>
        <v>0</v>
      </c>
      <c r="K94" s="33">
        <f>'[20]Juny 24'!AL83</f>
        <v>0</v>
      </c>
      <c r="L94" s="33">
        <f>'[20]July 24'!AL83</f>
        <v>0</v>
      </c>
      <c r="M94" s="33">
        <f>'[20]Agustus 24'!AL83</f>
        <v>0</v>
      </c>
      <c r="N94" s="33">
        <f>'[20]September 24'!AL83</f>
        <v>0</v>
      </c>
      <c r="O94" s="33" t="e">
        <f>'[20]September 24'!AM83</f>
        <v>#REF!</v>
      </c>
      <c r="P94" s="33"/>
      <c r="Q94" s="33">
        <f>'[20]November 24'!AL83</f>
        <v>0</v>
      </c>
      <c r="R94" s="33">
        <f>'[20]Desember 24'!AL83</f>
        <v>0</v>
      </c>
      <c r="S94" s="719"/>
      <c r="T94" s="55" t="e">
        <f t="shared" ref="T94:V95" si="10">SUM(F94:R94)</f>
        <v>#REF!</v>
      </c>
      <c r="U94" s="666" t="e">
        <f t="shared" si="10"/>
        <v>#REF!</v>
      </c>
      <c r="V94" s="787" t="e">
        <f t="shared" si="10"/>
        <v>#REF!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31"/>
      <c r="C95" s="462" t="s">
        <v>48</v>
      </c>
      <c r="D95" s="476"/>
      <c r="E95" s="496" t="s">
        <v>31</v>
      </c>
      <c r="F95" s="33">
        <f>'[20]Januari 24'!AL75</f>
        <v>19659</v>
      </c>
      <c r="G95" s="33" t="e">
        <f>'[20]Februari 24'!AI84</f>
        <v>#REF!</v>
      </c>
      <c r="H95" s="33">
        <f>'[20]Maret 24'!AL84</f>
        <v>0</v>
      </c>
      <c r="I95" s="33">
        <f>'[20]April 24'!AL84</f>
        <v>0</v>
      </c>
      <c r="J95" s="33">
        <f>'[20]Mei 24'!AL84</f>
        <v>0</v>
      </c>
      <c r="K95" s="33">
        <f>'[20]Juny 24'!AL84</f>
        <v>0</v>
      </c>
      <c r="L95" s="33">
        <f>'[20]July 24'!AL84</f>
        <v>0</v>
      </c>
      <c r="M95" s="33">
        <f>'[20]Agustus 24'!AL84</f>
        <v>0</v>
      </c>
      <c r="N95" s="33">
        <f>'[20]September 24'!AL84</f>
        <v>0</v>
      </c>
      <c r="O95" s="33" t="e">
        <f>'[20]September 24'!AM84</f>
        <v>#REF!</v>
      </c>
      <c r="P95" s="33"/>
      <c r="Q95" s="33">
        <f>'[20]November 24'!AL84</f>
        <v>0</v>
      </c>
      <c r="R95" s="33">
        <f>'[20]Desember 24'!AL84</f>
        <v>0</v>
      </c>
      <c r="S95" s="719"/>
      <c r="T95" s="55" t="e">
        <f t="shared" si="10"/>
        <v>#REF!</v>
      </c>
      <c r="U95" s="666" t="e">
        <f t="shared" si="10"/>
        <v>#REF!</v>
      </c>
      <c r="V95" s="787" t="e">
        <f t="shared" si="10"/>
        <v>#REF!</v>
      </c>
      <c r="X95" s="6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42"/>
      <c r="BH95" s="142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2"/>
      <c r="DA95" s="1"/>
      <c r="DS95" s="5"/>
      <c r="DT95" s="142"/>
      <c r="DU95" s="142"/>
      <c r="DV95" s="142"/>
      <c r="DW95" s="142"/>
      <c r="FZ95" s="142"/>
      <c r="JU95" s="142"/>
      <c r="JV95" s="142"/>
      <c r="JW95" s="142"/>
      <c r="JX95" s="142"/>
      <c r="PB95" s="142"/>
      <c r="PC95" s="142"/>
      <c r="PE95" s="142"/>
      <c r="PS95" s="145"/>
      <c r="PW95" s="142"/>
      <c r="RZ95" s="145"/>
      <c r="AHI95" s="141"/>
      <c r="AIX95" s="141"/>
      <c r="AIY95" s="141"/>
      <c r="AIZ95" s="141"/>
    </row>
    <row r="96" spans="2:936" hidden="1" x14ac:dyDescent="0.25">
      <c r="B96" s="731"/>
      <c r="C96" s="569" t="s">
        <v>28</v>
      </c>
      <c r="D96" s="476"/>
      <c r="E96" s="464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19"/>
      <c r="T96" s="64" t="s">
        <v>28</v>
      </c>
      <c r="U96" s="688" t="s">
        <v>28</v>
      </c>
      <c r="V96" s="786" t="s">
        <v>28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804"/>
      <c r="AK96" s="804"/>
      <c r="AL96" s="804"/>
      <c r="AM96" s="804"/>
      <c r="AN96" s="804"/>
      <c r="AO96" s="804"/>
      <c r="AP96" s="804"/>
      <c r="AQ96" s="804"/>
      <c r="AR96" s="804"/>
      <c r="AS96" s="804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31"/>
      <c r="C97" s="462" t="s">
        <v>49</v>
      </c>
      <c r="D97" s="476"/>
      <c r="E97" s="496" t="s">
        <v>28</v>
      </c>
      <c r="F97" s="577">
        <f>F94*12</f>
        <v>206364</v>
      </c>
      <c r="G97" s="577" t="e">
        <f>G94*12</f>
        <v>#REF!</v>
      </c>
      <c r="H97" s="577">
        <f>H94*12</f>
        <v>0</v>
      </c>
      <c r="I97" s="577">
        <f>I94*12</f>
        <v>0</v>
      </c>
      <c r="J97" s="577">
        <f t="shared" ref="J97:R97" si="11">J94*12</f>
        <v>0</v>
      </c>
      <c r="K97" s="577">
        <f t="shared" si="11"/>
        <v>0</v>
      </c>
      <c r="L97" s="577">
        <f t="shared" si="11"/>
        <v>0</v>
      </c>
      <c r="M97" s="577">
        <f t="shared" si="11"/>
        <v>0</v>
      </c>
      <c r="N97" s="577">
        <f t="shared" si="11"/>
        <v>0</v>
      </c>
      <c r="O97" s="577" t="e">
        <f>O94*12</f>
        <v>#REF!</v>
      </c>
      <c r="P97" s="577"/>
      <c r="Q97" s="577">
        <f t="shared" si="11"/>
        <v>0</v>
      </c>
      <c r="R97" s="577">
        <f t="shared" si="11"/>
        <v>0</v>
      </c>
      <c r="S97" s="719"/>
      <c r="T97" s="55" t="e">
        <f t="shared" ref="T97:V98" si="12">SUM(F97:R97)</f>
        <v>#REF!</v>
      </c>
      <c r="U97" s="666" t="e">
        <f t="shared" si="12"/>
        <v>#REF!</v>
      </c>
      <c r="V97" s="787" t="e">
        <f t="shared" si="12"/>
        <v>#REF!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815"/>
      <c r="AK97" s="804"/>
      <c r="AL97" s="804"/>
      <c r="AM97" s="804"/>
      <c r="AN97" s="816"/>
      <c r="AO97" s="804"/>
      <c r="AP97" s="804"/>
      <c r="AQ97" s="804"/>
      <c r="AR97" s="804"/>
      <c r="AS97" s="804"/>
      <c r="AX97" s="1"/>
      <c r="BG97" s="142"/>
      <c r="BH97" s="14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   <c r="FZ97" s="142"/>
      <c r="JU97" s="142"/>
      <c r="JV97" s="142"/>
      <c r="JW97" s="142"/>
      <c r="JX97" s="142"/>
      <c r="PB97" s="142"/>
      <c r="PC97" s="142"/>
      <c r="PE97" s="142"/>
      <c r="PS97" s="145"/>
      <c r="PW97" s="142"/>
      <c r="RZ97" s="145"/>
      <c r="AHI97" s="141"/>
      <c r="AIX97" s="141"/>
      <c r="AIY97" s="141"/>
      <c r="AIZ97" s="141"/>
    </row>
    <row r="98" spans="2:936" hidden="1" x14ac:dyDescent="0.25">
      <c r="B98" s="731"/>
      <c r="C98" s="462" t="s">
        <v>48</v>
      </c>
      <c r="D98" s="476"/>
      <c r="E98" s="496" t="s">
        <v>28</v>
      </c>
      <c r="F98" s="577">
        <f>F95*6</f>
        <v>117954</v>
      </c>
      <c r="G98" s="577" t="e">
        <f>G95*6</f>
        <v>#REF!</v>
      </c>
      <c r="H98" s="577">
        <f>H95*6</f>
        <v>0</v>
      </c>
      <c r="I98" s="577">
        <f>I95*6</f>
        <v>0</v>
      </c>
      <c r="J98" s="577">
        <f t="shared" ref="J98:R98" si="13">J95*6</f>
        <v>0</v>
      </c>
      <c r="K98" s="577">
        <f t="shared" si="13"/>
        <v>0</v>
      </c>
      <c r="L98" s="577">
        <f t="shared" si="13"/>
        <v>0</v>
      </c>
      <c r="M98" s="577">
        <f t="shared" si="13"/>
        <v>0</v>
      </c>
      <c r="N98" s="577">
        <f t="shared" si="13"/>
        <v>0</v>
      </c>
      <c r="O98" s="577" t="e">
        <f>O95*6</f>
        <v>#REF!</v>
      </c>
      <c r="P98" s="577"/>
      <c r="Q98" s="577">
        <f t="shared" si="13"/>
        <v>0</v>
      </c>
      <c r="R98" s="577">
        <f t="shared" si="13"/>
        <v>0</v>
      </c>
      <c r="S98" s="719"/>
      <c r="T98" s="55" t="e">
        <f t="shared" si="12"/>
        <v>#REF!</v>
      </c>
      <c r="U98" s="666" t="e">
        <f t="shared" si="12"/>
        <v>#REF!</v>
      </c>
      <c r="V98" s="787" t="e">
        <f t="shared" si="12"/>
        <v>#REF!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804"/>
      <c r="AK98" s="804"/>
      <c r="AL98" s="804"/>
      <c r="AM98" s="804"/>
      <c r="AN98" s="804"/>
      <c r="AO98" s="804"/>
      <c r="AP98" s="804"/>
      <c r="AQ98" s="804"/>
      <c r="AR98" s="804"/>
      <c r="AS98" s="804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28"/>
      <c r="C99" s="419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3"/>
      <c r="T99" s="522" t="s">
        <v>131</v>
      </c>
      <c r="U99" s="677" t="s">
        <v>131</v>
      </c>
      <c r="V99" s="777" t="s">
        <v>131</v>
      </c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4"/>
      <c r="AK99" s="804"/>
      <c r="AL99" s="804"/>
      <c r="AM99" s="804"/>
      <c r="AN99" s="804"/>
      <c r="AO99" s="804"/>
      <c r="AP99" s="804"/>
      <c r="AQ99" s="804"/>
      <c r="AR99" s="804"/>
      <c r="AS99" s="804"/>
      <c r="AX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DA99" s="1"/>
    </row>
    <row r="100" spans="2:936" hidden="1" x14ac:dyDescent="0.25">
      <c r="B100" s="731"/>
      <c r="C100" s="569" t="s">
        <v>29</v>
      </c>
      <c r="D100" s="476"/>
      <c r="E100" s="464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719"/>
      <c r="T100" s="64" t="s">
        <v>29</v>
      </c>
      <c r="U100" s="688" t="s">
        <v>29</v>
      </c>
      <c r="V100" s="786" t="s">
        <v>29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04"/>
      <c r="AK100" s="804"/>
      <c r="AL100" s="804"/>
      <c r="AM100" s="804"/>
      <c r="AN100" s="804"/>
      <c r="AO100" s="804"/>
      <c r="AP100" s="804"/>
      <c r="AQ100" s="804"/>
      <c r="AR100" s="804"/>
      <c r="AS100" s="804"/>
      <c r="AX100" s="1"/>
      <c r="BG100" s="142"/>
      <c r="BH100" s="14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2"/>
      <c r="DA100" s="1"/>
      <c r="DS100" s="5"/>
      <c r="DT100" s="142"/>
      <c r="DU100" s="142"/>
      <c r="DV100" s="142"/>
      <c r="DW100" s="142"/>
      <c r="FZ100" s="142"/>
      <c r="JU100" s="142"/>
      <c r="JV100" s="142"/>
      <c r="JW100" s="142"/>
      <c r="JX100" s="142"/>
      <c r="PB100" s="142"/>
      <c r="PC100" s="142"/>
      <c r="PE100" s="142"/>
      <c r="PS100" s="145"/>
      <c r="PW100" s="142"/>
      <c r="RZ100" s="145"/>
      <c r="AHI100" s="141"/>
      <c r="AIX100" s="141"/>
      <c r="AIY100" s="141"/>
      <c r="AIZ100" s="141"/>
    </row>
    <row r="101" spans="2:936" hidden="1" x14ac:dyDescent="0.25">
      <c r="B101" s="731"/>
      <c r="C101" s="462" t="s">
        <v>49</v>
      </c>
      <c r="D101" s="463">
        <v>0.3</v>
      </c>
      <c r="E101" s="496" t="s">
        <v>25</v>
      </c>
      <c r="F101" s="440">
        <f>F94/F85*100</f>
        <v>100</v>
      </c>
      <c r="G101" s="440" t="e">
        <f t="shared" ref="G101:R102" si="14">G94/G85*100</f>
        <v>#REF!</v>
      </c>
      <c r="H101" s="440" t="e">
        <f t="shared" si="14"/>
        <v>#DIV/0!</v>
      </c>
      <c r="I101" s="578" t="e">
        <f t="shared" si="14"/>
        <v>#DIV/0!</v>
      </c>
      <c r="J101" s="578" t="e">
        <f t="shared" si="14"/>
        <v>#DIV/0!</v>
      </c>
      <c r="K101" s="578" t="e">
        <f t="shared" si="14"/>
        <v>#DIV/0!</v>
      </c>
      <c r="L101" s="578" t="e">
        <f t="shared" si="14"/>
        <v>#DIV/0!</v>
      </c>
      <c r="M101" s="578" t="e">
        <f>M94/M85*100</f>
        <v>#DIV/0!</v>
      </c>
      <c r="N101" s="578" t="e">
        <f>N94/N85*100</f>
        <v>#DIV/0!</v>
      </c>
      <c r="O101" s="578" t="e">
        <f>O94/O85*100</f>
        <v>#REF!</v>
      </c>
      <c r="P101" s="578"/>
      <c r="Q101" s="578" t="e">
        <f>Q94/Q85*100</f>
        <v>#DIV/0!</v>
      </c>
      <c r="R101" s="578" t="e">
        <f t="shared" si="14"/>
        <v>#DIV/0!</v>
      </c>
      <c r="S101" s="719"/>
      <c r="T101" s="59" t="e">
        <f t="shared" ref="T101:V102" si="15">T94/T85*100</f>
        <v>#REF!</v>
      </c>
      <c r="U101" s="669" t="e">
        <f t="shared" si="15"/>
        <v>#REF!</v>
      </c>
      <c r="V101" s="770" t="e">
        <f t="shared" si="15"/>
        <v>#REF!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4"/>
      <c r="AK101" s="804"/>
      <c r="AL101" s="804"/>
      <c r="AM101" s="804"/>
      <c r="AN101" s="804"/>
      <c r="AO101" s="804"/>
      <c r="AP101" s="804"/>
      <c r="AQ101" s="804"/>
      <c r="AR101" s="804"/>
      <c r="AS101" s="804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31"/>
      <c r="C102" s="462" t="s">
        <v>48</v>
      </c>
      <c r="D102" s="463">
        <v>0.3</v>
      </c>
      <c r="E102" s="496" t="s">
        <v>25</v>
      </c>
      <c r="F102" s="440">
        <f>F95/F86*100</f>
        <v>100</v>
      </c>
      <c r="G102" s="440" t="e">
        <f t="shared" si="14"/>
        <v>#REF!</v>
      </c>
      <c r="H102" s="440" t="e">
        <f t="shared" si="14"/>
        <v>#DIV/0!</v>
      </c>
      <c r="I102" s="578" t="e">
        <f t="shared" si="14"/>
        <v>#DIV/0!</v>
      </c>
      <c r="J102" s="578" t="e">
        <f t="shared" si="14"/>
        <v>#DIV/0!</v>
      </c>
      <c r="K102" s="578" t="e">
        <f t="shared" si="14"/>
        <v>#DIV/0!</v>
      </c>
      <c r="L102" s="578" t="e">
        <f t="shared" si="14"/>
        <v>#DIV/0!</v>
      </c>
      <c r="M102" s="578" t="e">
        <f t="shared" si="14"/>
        <v>#DIV/0!</v>
      </c>
      <c r="N102" s="578" t="e">
        <f>N95/N86*100</f>
        <v>#DIV/0!</v>
      </c>
      <c r="O102" s="578" t="e">
        <f>O95/O86*100</f>
        <v>#REF!</v>
      </c>
      <c r="P102" s="578"/>
      <c r="Q102" s="578" t="e">
        <f t="shared" si="14"/>
        <v>#DIV/0!</v>
      </c>
      <c r="R102" s="578" t="e">
        <f t="shared" si="14"/>
        <v>#DIV/0!</v>
      </c>
      <c r="S102" s="719"/>
      <c r="T102" s="59" t="e">
        <f t="shared" si="15"/>
        <v>#REF!</v>
      </c>
      <c r="U102" s="669" t="e">
        <f t="shared" si="15"/>
        <v>#REF!</v>
      </c>
      <c r="V102" s="770" t="e">
        <f t="shared" si="15"/>
        <v>#REF!</v>
      </c>
      <c r="X102" s="6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4"/>
      <c r="AK102" s="804"/>
      <c r="AL102" s="804"/>
      <c r="AM102" s="804"/>
      <c r="AN102" s="804"/>
      <c r="AO102" s="804"/>
      <c r="AP102" s="804"/>
      <c r="AQ102" s="804"/>
      <c r="AR102" s="804"/>
      <c r="AS102" s="804"/>
      <c r="AX102" s="1"/>
      <c r="BG102" s="142"/>
      <c r="BH102" s="142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2"/>
      <c r="DA102" s="1"/>
      <c r="DS102" s="5"/>
      <c r="DT102" s="142"/>
      <c r="DU102" s="142"/>
      <c r="DV102" s="142"/>
      <c r="DW102" s="142"/>
      <c r="FZ102" s="142"/>
      <c r="JU102" s="142"/>
      <c r="JV102" s="142"/>
      <c r="JW102" s="142"/>
      <c r="JX102" s="142"/>
      <c r="PB102" s="142"/>
      <c r="PC102" s="142"/>
      <c r="PE102" s="142"/>
      <c r="PS102" s="145"/>
      <c r="PW102" s="142"/>
      <c r="RZ102" s="145"/>
      <c r="AHI102" s="141"/>
      <c r="AIX102" s="141"/>
      <c r="AIY102" s="141"/>
      <c r="AIZ102" s="141"/>
    </row>
    <row r="103" spans="2:936" hidden="1" x14ac:dyDescent="0.25">
      <c r="B103" s="731"/>
      <c r="C103" s="569" t="s">
        <v>28</v>
      </c>
      <c r="D103" s="463"/>
      <c r="E103" s="464"/>
      <c r="F103" s="440"/>
      <c r="G103" s="440"/>
      <c r="H103" s="440"/>
      <c r="I103" s="440"/>
      <c r="J103" s="440"/>
      <c r="K103" s="440"/>
      <c r="L103" s="440"/>
      <c r="M103" s="440"/>
      <c r="N103" s="440"/>
      <c r="O103" s="440"/>
      <c r="P103" s="440"/>
      <c r="Q103" s="440"/>
      <c r="R103" s="440"/>
      <c r="S103" s="719"/>
      <c r="T103" s="64" t="s">
        <v>28</v>
      </c>
      <c r="U103" s="688" t="s">
        <v>28</v>
      </c>
      <c r="V103" s="786" t="s">
        <v>28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4"/>
      <c r="AK103" s="804"/>
      <c r="AL103" s="804"/>
      <c r="AM103" s="804"/>
      <c r="AN103" s="804"/>
      <c r="AO103" s="804"/>
      <c r="AP103" s="804"/>
      <c r="AQ103" s="804"/>
      <c r="AR103" s="804"/>
      <c r="AS103" s="804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31"/>
      <c r="C104" s="462" t="s">
        <v>49</v>
      </c>
      <c r="D104" s="463">
        <v>0.5</v>
      </c>
      <c r="E104" s="496" t="s">
        <v>25</v>
      </c>
      <c r="F104" s="440">
        <f>F97/F88*100</f>
        <v>100</v>
      </c>
      <c r="G104" s="440" t="e">
        <f t="shared" ref="G104:R105" si="16">G97/G88*100</f>
        <v>#REF!</v>
      </c>
      <c r="H104" s="440" t="e">
        <f t="shared" si="16"/>
        <v>#DIV/0!</v>
      </c>
      <c r="I104" s="578" t="e">
        <f t="shared" si="16"/>
        <v>#DIV/0!</v>
      </c>
      <c r="J104" s="578" t="e">
        <f t="shared" si="16"/>
        <v>#DIV/0!</v>
      </c>
      <c r="K104" s="578" t="e">
        <f t="shared" si="16"/>
        <v>#DIV/0!</v>
      </c>
      <c r="L104" s="578" t="e">
        <f t="shared" si="16"/>
        <v>#DIV/0!</v>
      </c>
      <c r="M104" s="578" t="e">
        <f t="shared" si="16"/>
        <v>#DIV/0!</v>
      </c>
      <c r="N104" s="578" t="e">
        <f t="shared" si="16"/>
        <v>#DIV/0!</v>
      </c>
      <c r="O104" s="578" t="e">
        <f>O97/O88*100</f>
        <v>#REF!</v>
      </c>
      <c r="P104" s="578"/>
      <c r="Q104" s="578" t="e">
        <f t="shared" si="16"/>
        <v>#DIV/0!</v>
      </c>
      <c r="R104" s="578" t="e">
        <f t="shared" si="16"/>
        <v>#DIV/0!</v>
      </c>
      <c r="S104" s="719"/>
      <c r="T104" s="59" t="e">
        <f t="shared" ref="T104:V105" si="17">T97/T88*100</f>
        <v>#REF!</v>
      </c>
      <c r="U104" s="669" t="e">
        <f t="shared" si="17"/>
        <v>#REF!</v>
      </c>
      <c r="V104" s="770" t="e">
        <f t="shared" si="17"/>
        <v>#REF!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4"/>
      <c r="AK104" s="804"/>
      <c r="AL104" s="804"/>
      <c r="AM104" s="804"/>
      <c r="AN104" s="804"/>
      <c r="AO104" s="804"/>
      <c r="AP104" s="804"/>
      <c r="AQ104" s="804"/>
      <c r="AR104" s="804"/>
      <c r="AS104" s="804"/>
      <c r="AX104" s="1"/>
      <c r="BG104" s="142"/>
      <c r="BH104" s="14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2"/>
      <c r="DA104" s="1"/>
      <c r="DS104" s="5"/>
      <c r="DT104" s="142"/>
      <c r="DU104" s="142"/>
      <c r="DV104" s="142"/>
      <c r="DW104" s="142"/>
      <c r="FZ104" s="142"/>
      <c r="JU104" s="142"/>
      <c r="JV104" s="142"/>
      <c r="JW104" s="142"/>
      <c r="JX104" s="142"/>
      <c r="PB104" s="142"/>
      <c r="PC104" s="142"/>
      <c r="PE104" s="142"/>
      <c r="PS104" s="145"/>
      <c r="PW104" s="142"/>
      <c r="RZ104" s="145"/>
      <c r="AHI104" s="141"/>
      <c r="AIX104" s="141"/>
      <c r="AIY104" s="141"/>
      <c r="AIZ104" s="141"/>
    </row>
    <row r="105" spans="2:936" hidden="1" x14ac:dyDescent="0.25">
      <c r="B105" s="731"/>
      <c r="C105" s="462" t="s">
        <v>48</v>
      </c>
      <c r="D105" s="463">
        <v>0.5</v>
      </c>
      <c r="E105" s="496" t="s">
        <v>25</v>
      </c>
      <c r="F105" s="440">
        <f>F98/F89*100</f>
        <v>100</v>
      </c>
      <c r="G105" s="440" t="e">
        <f t="shared" si="16"/>
        <v>#REF!</v>
      </c>
      <c r="H105" s="440" t="e">
        <f t="shared" si="16"/>
        <v>#DIV/0!</v>
      </c>
      <c r="I105" s="578" t="e">
        <f t="shared" si="16"/>
        <v>#DIV/0!</v>
      </c>
      <c r="J105" s="578" t="e">
        <f t="shared" si="16"/>
        <v>#DIV/0!</v>
      </c>
      <c r="K105" s="578" t="e">
        <f t="shared" si="16"/>
        <v>#DIV/0!</v>
      </c>
      <c r="L105" s="578" t="e">
        <f t="shared" si="16"/>
        <v>#DIV/0!</v>
      </c>
      <c r="M105" s="578" t="e">
        <f t="shared" si="16"/>
        <v>#DIV/0!</v>
      </c>
      <c r="N105" s="578" t="e">
        <f t="shared" si="16"/>
        <v>#DIV/0!</v>
      </c>
      <c r="O105" s="578" t="e">
        <f>O98/O89*100</f>
        <v>#REF!</v>
      </c>
      <c r="P105" s="578"/>
      <c r="Q105" s="578" t="e">
        <f t="shared" si="16"/>
        <v>#DIV/0!</v>
      </c>
      <c r="R105" s="578" t="e">
        <f t="shared" si="16"/>
        <v>#DIV/0!</v>
      </c>
      <c r="S105" s="719"/>
      <c r="T105" s="59" t="e">
        <f t="shared" si="17"/>
        <v>#REF!</v>
      </c>
      <c r="U105" s="669" t="e">
        <f t="shared" si="17"/>
        <v>#REF!</v>
      </c>
      <c r="V105" s="770" t="e">
        <f t="shared" si="17"/>
        <v>#REF!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4"/>
      <c r="AK105" s="804"/>
      <c r="AL105" s="804"/>
      <c r="AM105" s="804"/>
      <c r="AN105" s="804"/>
      <c r="AO105" s="804"/>
      <c r="AP105" s="804"/>
      <c r="AQ105" s="804"/>
      <c r="AR105" s="804"/>
      <c r="AS105" s="804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27">
        <v>6</v>
      </c>
      <c r="C106" s="419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3"/>
      <c r="T106" s="522" t="s">
        <v>130</v>
      </c>
      <c r="U106" s="677" t="s">
        <v>130</v>
      </c>
      <c r="V106" s="777" t="s">
        <v>130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4"/>
      <c r="AK106" s="804"/>
      <c r="AL106" s="804"/>
      <c r="AM106" s="804"/>
      <c r="AN106" s="804"/>
      <c r="AO106" s="804"/>
      <c r="AP106" s="804"/>
      <c r="AQ106" s="804"/>
      <c r="AR106" s="804"/>
      <c r="AS106" s="804"/>
      <c r="AX106" s="1"/>
      <c r="BG106" s="141"/>
      <c r="BH106" s="14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1"/>
      <c r="DA106" s="1"/>
      <c r="DS106" s="5"/>
      <c r="DT106" s="141"/>
      <c r="DU106" s="141"/>
      <c r="DV106" s="141"/>
      <c r="DW106" s="141"/>
      <c r="FZ106" s="141"/>
      <c r="JU106" s="141"/>
      <c r="JV106" s="141"/>
      <c r="JW106" s="141"/>
      <c r="JX106" s="141"/>
      <c r="PB106" s="141"/>
      <c r="PC106" s="141"/>
      <c r="PE106" s="141"/>
      <c r="PS106" s="481"/>
      <c r="PW106" s="141"/>
      <c r="RZ106" s="481"/>
      <c r="AHI106" s="141"/>
      <c r="AIX106" s="141"/>
      <c r="AIY106" s="141"/>
      <c r="AIZ106" s="141"/>
    </row>
    <row r="107" spans="2:936" hidden="1" x14ac:dyDescent="0.25">
      <c r="B107" s="728"/>
      <c r="C107" s="579" t="s">
        <v>46</v>
      </c>
      <c r="D107" s="580"/>
      <c r="E107" s="20" t="s">
        <v>14</v>
      </c>
      <c r="F107" s="581">
        <f>'[20]Januari 24'!AL96</f>
        <v>461724.07999999996</v>
      </c>
      <c r="G107" s="582" t="e">
        <f>'[20]Februari 24'!AI96</f>
        <v>#REF!</v>
      </c>
      <c r="H107" s="581">
        <f>'[20]Maret 24'!AL96</f>
        <v>0</v>
      </c>
      <c r="I107" s="581">
        <f>'[20]April 24'!AL96</f>
        <v>0</v>
      </c>
      <c r="J107" s="581">
        <f>'[20]Mei 24'!AL96</f>
        <v>0</v>
      </c>
      <c r="K107" s="581">
        <f>'[20]Juny 24'!AL96</f>
        <v>0</v>
      </c>
      <c r="L107" s="581">
        <f>'[20]July 24'!AL96</f>
        <v>0</v>
      </c>
      <c r="M107" s="581">
        <f>'[20]Agustus 24'!AL96</f>
        <v>0</v>
      </c>
      <c r="N107" s="581">
        <f>'[20]September 24'!AL96</f>
        <v>0</v>
      </c>
      <c r="O107" s="581" t="e">
        <f>'[20]September 24'!AM96</f>
        <v>#REF!</v>
      </c>
      <c r="P107" s="581"/>
      <c r="Q107" s="581">
        <f>'[20]November 24'!AL96</f>
        <v>0</v>
      </c>
      <c r="R107" s="581">
        <f>'[20]Desember 24'!AL96</f>
        <v>0</v>
      </c>
      <c r="S107" s="733"/>
      <c r="T107" s="89" t="e">
        <f>SUM(T108:T109)</f>
        <v>#REF!</v>
      </c>
      <c r="U107" s="686" t="e">
        <f>SUM(U108:U109)</f>
        <v>#REF!</v>
      </c>
      <c r="V107" s="788" t="e">
        <f>SUM(V108:V109)</f>
        <v>#REF!</v>
      </c>
      <c r="X107" s="817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15"/>
      <c r="AK107" s="815"/>
      <c r="AL107" s="815"/>
      <c r="AM107" s="815"/>
      <c r="AN107" s="815"/>
      <c r="AO107" s="815"/>
      <c r="AP107" s="815"/>
      <c r="AQ107" s="815"/>
      <c r="AR107" s="815"/>
      <c r="AS107" s="815"/>
      <c r="AX107" s="1"/>
      <c r="BG107" s="146"/>
      <c r="BH107" s="146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6"/>
      <c r="DA107" s="1"/>
      <c r="DS107" s="435"/>
      <c r="DT107" s="146"/>
      <c r="DU107" s="146"/>
      <c r="DV107" s="146"/>
      <c r="DW107" s="146"/>
      <c r="FZ107" s="146"/>
      <c r="JU107" s="146"/>
      <c r="JV107" s="146"/>
      <c r="JW107" s="146"/>
      <c r="JX107" s="146"/>
      <c r="PB107" s="146"/>
      <c r="PC107" s="146"/>
      <c r="PE107" s="146"/>
      <c r="PS107" s="563"/>
      <c r="PW107" s="146"/>
      <c r="RZ107" s="563"/>
      <c r="AHI107" s="151"/>
      <c r="AIX107" s="151"/>
      <c r="AIY107" s="151"/>
      <c r="AIZ107" s="151"/>
    </row>
    <row r="108" spans="2:936" hidden="1" x14ac:dyDescent="0.25">
      <c r="B108" s="731"/>
      <c r="C108" s="569" t="s">
        <v>39</v>
      </c>
      <c r="D108" s="476"/>
      <c r="E108" s="496" t="s">
        <v>14</v>
      </c>
      <c r="F108" s="440">
        <f>SUM(F112:F113)*10.86</f>
        <v>463439.63999999996</v>
      </c>
      <c r="G108" s="526">
        <f>SUM(G112:G113)*10.86</f>
        <v>0</v>
      </c>
      <c r="H108" s="524">
        <f>'[20]Maret 24'!AL97</f>
        <v>0</v>
      </c>
      <c r="I108" s="440">
        <f t="shared" ref="I108:R108" si="18">SUM(I112:I113)*10.86</f>
        <v>0</v>
      </c>
      <c r="J108" s="526">
        <f>'[20]Mei 24'!AL97</f>
        <v>0</v>
      </c>
      <c r="K108" s="440">
        <f t="shared" si="18"/>
        <v>0</v>
      </c>
      <c r="L108" s="526">
        <f t="shared" si="18"/>
        <v>0</v>
      </c>
      <c r="M108" s="440">
        <f t="shared" si="18"/>
        <v>0</v>
      </c>
      <c r="N108" s="526">
        <f t="shared" si="18"/>
        <v>0</v>
      </c>
      <c r="O108" s="526" t="e">
        <f>SUM(O112:O113)*10.86</f>
        <v>#REF!</v>
      </c>
      <c r="P108" s="526"/>
      <c r="Q108" s="526">
        <f t="shared" si="18"/>
        <v>0</v>
      </c>
      <c r="R108" s="440">
        <f t="shared" si="18"/>
        <v>0</v>
      </c>
      <c r="S108" s="719"/>
      <c r="T108" s="59" t="e">
        <f t="shared" ref="T108:V109" si="19">SUM(F108:R108)</f>
        <v>#REF!</v>
      </c>
      <c r="U108" s="669" t="e">
        <f t="shared" si="19"/>
        <v>#REF!</v>
      </c>
      <c r="V108" s="770" t="e">
        <f t="shared" si="19"/>
        <v>#REF!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18"/>
      <c r="AK108" s="815"/>
      <c r="AL108" s="815"/>
      <c r="AM108" s="815"/>
      <c r="AN108" s="815"/>
      <c r="AO108" s="815"/>
      <c r="AP108" s="804"/>
      <c r="AQ108" s="804"/>
      <c r="AR108" s="804"/>
      <c r="AS108" s="804"/>
      <c r="AX108" s="1"/>
      <c r="BG108" s="142"/>
      <c r="BH108" s="142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2"/>
      <c r="DA108" s="1"/>
      <c r="DS108" s="5"/>
      <c r="DT108" s="142"/>
      <c r="DU108" s="142"/>
      <c r="DV108" s="142"/>
      <c r="DW108" s="142"/>
      <c r="FZ108" s="142"/>
      <c r="JU108" s="142"/>
      <c r="JV108" s="142"/>
      <c r="JW108" s="142"/>
      <c r="JX108" s="142"/>
      <c r="PB108" s="142"/>
      <c r="PC108" s="583"/>
      <c r="PE108" s="142"/>
      <c r="PS108" s="145"/>
      <c r="PW108" s="142"/>
      <c r="RZ108" s="145"/>
      <c r="AHI108" s="141"/>
      <c r="AIX108" s="141"/>
      <c r="AIY108" s="141"/>
      <c r="AIZ108" s="141"/>
    </row>
    <row r="109" spans="2:936" hidden="1" x14ac:dyDescent="0.25">
      <c r="B109" s="731"/>
      <c r="C109" s="569" t="s">
        <v>38</v>
      </c>
      <c r="D109" s="476"/>
      <c r="E109" s="496" t="s">
        <v>14</v>
      </c>
      <c r="F109" s="440">
        <f>F107-F108</f>
        <v>-1715.5599999999977</v>
      </c>
      <c r="G109" s="524" t="e">
        <f t="shared" ref="G109:R109" si="20">G107-G108</f>
        <v>#REF!</v>
      </c>
      <c r="H109" s="524">
        <f>'[20]Maret 24'!AL98</f>
        <v>0</v>
      </c>
      <c r="I109" s="440">
        <f t="shared" si="20"/>
        <v>0</v>
      </c>
      <c r="J109" s="526">
        <f t="shared" si="20"/>
        <v>0</v>
      </c>
      <c r="K109" s="440">
        <f t="shared" si="20"/>
        <v>0</v>
      </c>
      <c r="L109" s="526">
        <f t="shared" si="20"/>
        <v>0</v>
      </c>
      <c r="M109" s="440">
        <f t="shared" si="20"/>
        <v>0</v>
      </c>
      <c r="N109" s="526">
        <f t="shared" si="20"/>
        <v>0</v>
      </c>
      <c r="O109" s="526" t="e">
        <f>O107-O108</f>
        <v>#REF!</v>
      </c>
      <c r="P109" s="526"/>
      <c r="Q109" s="526">
        <f t="shared" si="20"/>
        <v>0</v>
      </c>
      <c r="R109" s="440">
        <f t="shared" si="20"/>
        <v>0</v>
      </c>
      <c r="S109" s="719"/>
      <c r="T109" s="59" t="e">
        <f t="shared" si="19"/>
        <v>#REF!</v>
      </c>
      <c r="U109" s="669" t="e">
        <f t="shared" si="19"/>
        <v>#REF!</v>
      </c>
      <c r="V109" s="770" t="e">
        <f t="shared" si="19"/>
        <v>#REF!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4"/>
      <c r="AK109" s="804"/>
      <c r="AL109" s="804"/>
      <c r="AM109" s="804"/>
      <c r="AN109" s="804"/>
      <c r="AO109" s="804"/>
      <c r="AP109" s="804"/>
      <c r="AQ109" s="804"/>
      <c r="AR109" s="804"/>
      <c r="AS109" s="804"/>
      <c r="AX109" s="1"/>
      <c r="BG109" s="142"/>
      <c r="BH109" s="14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2"/>
      <c r="DA109" s="1"/>
      <c r="DS109" s="5"/>
      <c r="DT109" s="142"/>
      <c r="DU109" s="142"/>
      <c r="DV109" s="142"/>
      <c r="DW109" s="142"/>
      <c r="FZ109" s="142"/>
      <c r="JU109" s="142"/>
      <c r="JV109" s="142"/>
      <c r="JW109" s="142"/>
      <c r="JX109" s="142"/>
      <c r="PB109" s="142"/>
      <c r="PC109" s="142"/>
      <c r="PE109" s="142"/>
      <c r="PS109" s="145"/>
      <c r="PW109" s="142"/>
      <c r="RZ109" s="145"/>
      <c r="AHI109" s="141"/>
      <c r="AIX109" s="141"/>
      <c r="AIY109" s="141"/>
      <c r="AIZ109" s="141"/>
    </row>
    <row r="110" spans="2:936" hidden="1" x14ac:dyDescent="0.25">
      <c r="B110" s="731"/>
      <c r="C110" s="569" t="s">
        <v>50</v>
      </c>
      <c r="D110" s="476"/>
      <c r="E110" s="496" t="s">
        <v>14</v>
      </c>
      <c r="F110" s="440"/>
      <c r="G110" s="524">
        <v>0</v>
      </c>
      <c r="H110" s="440">
        <f>'[20]Maret 24'!AL99</f>
        <v>0</v>
      </c>
      <c r="I110" s="440"/>
      <c r="J110" s="440"/>
      <c r="K110" s="440"/>
      <c r="L110" s="440"/>
      <c r="M110" s="440"/>
      <c r="N110" s="440"/>
      <c r="O110" s="440"/>
      <c r="P110" s="440"/>
      <c r="Q110" s="440"/>
      <c r="R110" s="440"/>
      <c r="S110" s="719"/>
      <c r="T110" s="59"/>
      <c r="U110" s="669"/>
      <c r="V110" s="770"/>
      <c r="X110" s="6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2"/>
      <c r="BH110" s="142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2"/>
      <c r="DA110" s="1"/>
      <c r="DS110" s="5"/>
      <c r="DT110" s="142"/>
      <c r="DU110" s="142"/>
      <c r="DV110" s="142"/>
      <c r="DW110" s="142"/>
      <c r="FZ110" s="142"/>
      <c r="JU110" s="142"/>
      <c r="JV110" s="142"/>
      <c r="JW110" s="142"/>
      <c r="JX110" s="142"/>
      <c r="PB110" s="142"/>
      <c r="PC110" s="142"/>
      <c r="PE110" s="142"/>
      <c r="PS110" s="145"/>
      <c r="PW110" s="142"/>
      <c r="RZ110" s="145"/>
      <c r="AHI110" s="141"/>
      <c r="AIX110" s="141"/>
      <c r="AIY110" s="141"/>
      <c r="AIZ110" s="141"/>
    </row>
    <row r="111" spans="2:936" hidden="1" x14ac:dyDescent="0.25">
      <c r="B111" s="731"/>
      <c r="C111" s="569" t="s">
        <v>29</v>
      </c>
      <c r="D111" s="476"/>
      <c r="E111" s="464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719"/>
      <c r="T111" s="64" t="s">
        <v>29</v>
      </c>
      <c r="U111" s="688" t="s">
        <v>29</v>
      </c>
      <c r="V111" s="786" t="s">
        <v>29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04"/>
      <c r="AK111" s="804"/>
      <c r="AL111" s="804"/>
      <c r="AM111" s="804"/>
      <c r="AN111" s="804"/>
      <c r="AO111" s="804"/>
      <c r="AP111" s="804"/>
      <c r="AQ111" s="804"/>
      <c r="AR111" s="804"/>
      <c r="AS111" s="804"/>
      <c r="AX111" s="1"/>
      <c r="BG111" s="142"/>
      <c r="BH111" s="14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2"/>
      <c r="DA111" s="1"/>
      <c r="DS111" s="5"/>
      <c r="DT111" s="142"/>
      <c r="DU111" s="142"/>
      <c r="DV111" s="142"/>
      <c r="DW111" s="142"/>
      <c r="FZ111" s="142"/>
      <c r="JU111" s="142"/>
      <c r="JV111" s="142"/>
      <c r="JW111" s="142"/>
      <c r="JX111" s="142"/>
      <c r="PB111" s="142"/>
      <c r="PC111" s="142"/>
      <c r="PE111" s="142"/>
      <c r="PS111" s="145"/>
      <c r="PW111" s="142"/>
      <c r="RZ111" s="145"/>
      <c r="AHI111" s="141"/>
      <c r="AIX111" s="141"/>
      <c r="AIY111" s="141"/>
      <c r="AIZ111" s="141"/>
    </row>
    <row r="112" spans="2:936" hidden="1" x14ac:dyDescent="0.25">
      <c r="B112" s="732"/>
      <c r="C112" s="436" t="s">
        <v>45</v>
      </c>
      <c r="D112" s="437"/>
      <c r="E112" s="573" t="s">
        <v>31</v>
      </c>
      <c r="F112" s="282">
        <f>'[20]Januari 24'!AL101</f>
        <v>7439</v>
      </c>
      <c r="G112" s="282">
        <f>'[20]Februari 24'!AI101</f>
        <v>0</v>
      </c>
      <c r="H112" s="282">
        <f>'[20]Maret 24'!AL101</f>
        <v>0</v>
      </c>
      <c r="I112" s="282">
        <f>'[20]April 24'!AL101</f>
        <v>0</v>
      </c>
      <c r="J112" s="282">
        <f>'[20]Mei 24'!AL101</f>
        <v>0</v>
      </c>
      <c r="K112" s="282">
        <f>'[20]Juny 24'!AL101</f>
        <v>0</v>
      </c>
      <c r="L112" s="282">
        <f>'[20]July 24'!AL101</f>
        <v>0</v>
      </c>
      <c r="M112" s="282">
        <f>'[20]Agustus 24'!AL101</f>
        <v>0</v>
      </c>
      <c r="N112" s="282">
        <f>'[20]September 24'!AL101</f>
        <v>0</v>
      </c>
      <c r="O112" s="282" t="e">
        <f>'[20]September 24'!AM101</f>
        <v>#REF!</v>
      </c>
      <c r="P112" s="282"/>
      <c r="Q112" s="282">
        <f>'[20]November 24'!AL101</f>
        <v>0</v>
      </c>
      <c r="R112" s="282">
        <f>'[20]Desember 24'!AL101</f>
        <v>0</v>
      </c>
      <c r="S112" s="721"/>
      <c r="T112" s="91" t="e">
        <f>SUM(F112:R112)</f>
        <v>#REF!</v>
      </c>
      <c r="U112" s="689">
        <v>1518699</v>
      </c>
      <c r="V112" s="770" t="e">
        <f>(T112/U112)*100</f>
        <v>#REF!</v>
      </c>
      <c r="X112" s="37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19"/>
      <c r="AK112" s="819"/>
      <c r="AL112" s="819"/>
      <c r="AM112" s="819"/>
      <c r="AN112" s="819"/>
      <c r="AO112" s="819"/>
      <c r="AP112" s="819"/>
      <c r="AQ112" s="819"/>
      <c r="AR112" s="819"/>
      <c r="AS112" s="819"/>
      <c r="AX112" s="16"/>
      <c r="BG112" s="148"/>
      <c r="BH112" s="148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8"/>
      <c r="DA112" s="1"/>
      <c r="DS112" s="517"/>
      <c r="DT112" s="148"/>
      <c r="DU112" s="148"/>
      <c r="DV112" s="148"/>
      <c r="DW112" s="148"/>
      <c r="FZ112" s="148"/>
      <c r="JU112" s="148"/>
      <c r="JV112" s="148"/>
      <c r="JW112" s="148"/>
      <c r="JX112" s="148"/>
      <c r="PB112" s="148"/>
      <c r="PC112" s="148"/>
      <c r="PE112" s="148"/>
      <c r="PS112" s="574"/>
      <c r="PW112" s="148"/>
      <c r="RZ112" s="574"/>
      <c r="AHI112" s="144"/>
      <c r="AIX112" s="144"/>
      <c r="AIY112" s="144"/>
      <c r="AIZ112" s="144"/>
    </row>
    <row r="113" spans="2:936" hidden="1" x14ac:dyDescent="0.25">
      <c r="B113" s="732"/>
      <c r="C113" s="436" t="s">
        <v>44</v>
      </c>
      <c r="D113" s="437"/>
      <c r="E113" s="573" t="s">
        <v>31</v>
      </c>
      <c r="F113" s="282">
        <f>'[20]Januari 24'!AL102</f>
        <v>35235</v>
      </c>
      <c r="G113" s="282">
        <f>'[20]Februari 24'!AI102</f>
        <v>0</v>
      </c>
      <c r="H113" s="282">
        <f>'[20]Maret 24'!AL102</f>
        <v>0</v>
      </c>
      <c r="I113" s="282">
        <f>'[20]April 24'!AL102</f>
        <v>0</v>
      </c>
      <c r="J113" s="282">
        <f>'[20]Mei 24'!AL102</f>
        <v>0</v>
      </c>
      <c r="K113" s="282">
        <f>'[20]Juny 24'!AL102</f>
        <v>0</v>
      </c>
      <c r="L113" s="282">
        <f>'[20]July 24'!AL102</f>
        <v>0</v>
      </c>
      <c r="M113" s="282">
        <f>'[20]Agustus 24'!AL102</f>
        <v>0</v>
      </c>
      <c r="N113" s="282">
        <f>'[20]September 24'!AL102</f>
        <v>0</v>
      </c>
      <c r="O113" s="282" t="e">
        <f>'[20]September 24'!AM102</f>
        <v>#REF!</v>
      </c>
      <c r="P113" s="282"/>
      <c r="Q113" s="282">
        <f>'[20]November 24'!AL102</f>
        <v>0</v>
      </c>
      <c r="R113" s="282">
        <f>'[20]Desember 24'!AL102</f>
        <v>0</v>
      </c>
      <c r="S113" s="721"/>
      <c r="T113" s="91" t="e">
        <f>SUM(F113:R113)</f>
        <v>#REF!</v>
      </c>
      <c r="U113" s="689">
        <v>2112972</v>
      </c>
      <c r="V113" s="770" t="e">
        <f>(T113/U113)*100</f>
        <v>#REF!</v>
      </c>
      <c r="X113" s="37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19"/>
      <c r="AK113" s="819"/>
      <c r="AL113" s="819"/>
      <c r="AM113" s="819"/>
      <c r="AN113" s="819"/>
      <c r="AO113" s="819"/>
      <c r="AP113" s="819"/>
      <c r="AQ113" s="819"/>
      <c r="AR113" s="819"/>
      <c r="AS113" s="819"/>
      <c r="AX113" s="16"/>
      <c r="BG113" s="148"/>
      <c r="BH113" s="148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8"/>
      <c r="DA113" s="1"/>
      <c r="DS113" s="517"/>
      <c r="DT113" s="148"/>
      <c r="DU113" s="148"/>
      <c r="DV113" s="148"/>
      <c r="DW113" s="148"/>
      <c r="FZ113" s="148"/>
      <c r="JU113" s="148"/>
      <c r="JV113" s="148"/>
      <c r="JW113" s="148"/>
      <c r="JX113" s="148"/>
      <c r="PB113" s="148"/>
      <c r="PC113" s="148"/>
      <c r="PE113" s="148"/>
      <c r="PS113" s="574"/>
      <c r="PW113" s="148"/>
      <c r="RZ113" s="574"/>
      <c r="AHI113" s="144"/>
      <c r="AIX113" s="144"/>
      <c r="AIY113" s="144"/>
      <c r="AIZ113" s="144"/>
    </row>
    <row r="114" spans="2:936" hidden="1" x14ac:dyDescent="0.25">
      <c r="B114" s="731"/>
      <c r="C114" s="569" t="s">
        <v>28</v>
      </c>
      <c r="D114" s="476"/>
      <c r="E114" s="464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719"/>
      <c r="T114" s="64" t="s">
        <v>28</v>
      </c>
      <c r="U114" s="688" t="s">
        <v>28</v>
      </c>
      <c r="V114" s="786" t="s">
        <v>28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4"/>
      <c r="AK114" s="804"/>
      <c r="AL114" s="804"/>
      <c r="AM114" s="804"/>
      <c r="AN114" s="804"/>
      <c r="AO114" s="804"/>
      <c r="AP114" s="804"/>
      <c r="AQ114" s="804"/>
      <c r="AR114" s="804"/>
      <c r="AS114" s="804"/>
      <c r="AX114" s="1"/>
      <c r="BG114" s="142"/>
      <c r="BH114" s="142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2"/>
      <c r="DA114" s="1"/>
      <c r="DS114" s="5"/>
      <c r="DT114" s="142"/>
      <c r="DU114" s="142"/>
      <c r="DV114" s="142"/>
      <c r="DW114" s="142"/>
      <c r="FZ114" s="142"/>
      <c r="JU114" s="142"/>
      <c r="JV114" s="142"/>
      <c r="JW114" s="142"/>
      <c r="JX114" s="142"/>
      <c r="PB114" s="142"/>
      <c r="PC114" s="142"/>
      <c r="PE114" s="142"/>
      <c r="PS114" s="145"/>
      <c r="PW114" s="142"/>
      <c r="RZ114" s="145"/>
      <c r="AHI114" s="141"/>
      <c r="AIX114" s="141"/>
      <c r="AIY114" s="141"/>
      <c r="AIZ114" s="141"/>
    </row>
    <row r="115" spans="2:936" hidden="1" x14ac:dyDescent="0.25">
      <c r="B115" s="731"/>
      <c r="C115" s="436" t="s">
        <v>45</v>
      </c>
      <c r="D115" s="476"/>
      <c r="E115" s="496" t="s">
        <v>28</v>
      </c>
      <c r="F115" s="439">
        <f>F112*12</f>
        <v>89268</v>
      </c>
      <c r="G115" s="439">
        <f>G112*12</f>
        <v>0</v>
      </c>
      <c r="H115" s="439">
        <f>H112*12</f>
        <v>0</v>
      </c>
      <c r="I115" s="439">
        <f>I112*12</f>
        <v>0</v>
      </c>
      <c r="J115" s="439">
        <f t="shared" ref="J115:R115" si="21">J112*12</f>
        <v>0</v>
      </c>
      <c r="K115" s="439">
        <f t="shared" si="21"/>
        <v>0</v>
      </c>
      <c r="L115" s="439">
        <f t="shared" si="21"/>
        <v>0</v>
      </c>
      <c r="M115" s="439">
        <f t="shared" si="21"/>
        <v>0</v>
      </c>
      <c r="N115" s="439">
        <f t="shared" si="21"/>
        <v>0</v>
      </c>
      <c r="O115" s="439" t="e">
        <f>O112*12</f>
        <v>#REF!</v>
      </c>
      <c r="P115" s="439"/>
      <c r="Q115" s="439">
        <f>Q112*12</f>
        <v>0</v>
      </c>
      <c r="R115" s="439">
        <f t="shared" si="21"/>
        <v>0</v>
      </c>
      <c r="S115" s="719"/>
      <c r="T115" s="55" t="e">
        <f>T112*12</f>
        <v>#REF!</v>
      </c>
      <c r="U115" s="666">
        <f>U112*12</f>
        <v>18224388</v>
      </c>
      <c r="V115" s="787" t="e">
        <f>V112*12</f>
        <v>#REF!</v>
      </c>
      <c r="X115" s="6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04"/>
      <c r="AK115" s="804"/>
      <c r="AL115" s="804"/>
      <c r="AM115" s="804"/>
      <c r="AN115" s="804"/>
      <c r="AO115" s="804"/>
      <c r="AP115" s="804"/>
      <c r="AQ115" s="804"/>
      <c r="AR115" s="804"/>
      <c r="AS115" s="804"/>
      <c r="AX115" s="1"/>
      <c r="BG115" s="142"/>
      <c r="BH115" s="142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2"/>
      <c r="DA115" s="1"/>
      <c r="DS115" s="5"/>
      <c r="DT115" s="142"/>
      <c r="DU115" s="142"/>
      <c r="DV115" s="142"/>
      <c r="DW115" s="142"/>
      <c r="FZ115" s="142"/>
      <c r="JU115" s="142"/>
      <c r="JV115" s="142"/>
      <c r="JW115" s="142"/>
      <c r="JX115" s="142"/>
      <c r="PB115" s="142"/>
      <c r="PC115" s="142"/>
      <c r="PE115" s="142"/>
      <c r="PS115" s="145"/>
      <c r="PW115" s="142"/>
      <c r="RZ115" s="145"/>
      <c r="AHI115" s="141"/>
      <c r="AIX115" s="141"/>
      <c r="AIY115" s="141"/>
      <c r="AIZ115" s="141"/>
    </row>
    <row r="116" spans="2:936" hidden="1" x14ac:dyDescent="0.25">
      <c r="B116" s="731"/>
      <c r="C116" s="436" t="s">
        <v>44</v>
      </c>
      <c r="D116" s="476"/>
      <c r="E116" s="496" t="s">
        <v>28</v>
      </c>
      <c r="F116" s="439">
        <f>F113*6</f>
        <v>211410</v>
      </c>
      <c r="G116" s="439">
        <f>G113*6</f>
        <v>0</v>
      </c>
      <c r="H116" s="439">
        <f>H113*6</f>
        <v>0</v>
      </c>
      <c r="I116" s="439">
        <f>I113*6</f>
        <v>0</v>
      </c>
      <c r="J116" s="439">
        <f t="shared" ref="J116:R116" si="22">J113*6</f>
        <v>0</v>
      </c>
      <c r="K116" s="439">
        <f t="shared" si="22"/>
        <v>0</v>
      </c>
      <c r="L116" s="439">
        <f t="shared" si="22"/>
        <v>0</v>
      </c>
      <c r="M116" s="439">
        <f t="shared" si="22"/>
        <v>0</v>
      </c>
      <c r="N116" s="439">
        <f t="shared" si="22"/>
        <v>0</v>
      </c>
      <c r="O116" s="439" t="e">
        <f>O113*6</f>
        <v>#REF!</v>
      </c>
      <c r="P116" s="439"/>
      <c r="Q116" s="439">
        <f t="shared" si="22"/>
        <v>0</v>
      </c>
      <c r="R116" s="439">
        <f t="shared" si="22"/>
        <v>0</v>
      </c>
      <c r="S116" s="719"/>
      <c r="T116" s="55" t="e">
        <f>T113*6</f>
        <v>#REF!</v>
      </c>
      <c r="U116" s="666">
        <f>U113*6</f>
        <v>12677832</v>
      </c>
      <c r="V116" s="787" t="e">
        <f>V113*6</f>
        <v>#REF!</v>
      </c>
      <c r="X116" s="6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04"/>
      <c r="AK116" s="804"/>
      <c r="AL116" s="804"/>
      <c r="AM116" s="804"/>
      <c r="AN116" s="804"/>
      <c r="AO116" s="804"/>
      <c r="AP116" s="804"/>
      <c r="AQ116" s="804"/>
      <c r="AR116" s="804"/>
      <c r="AS116" s="804"/>
      <c r="AX116" s="1"/>
      <c r="BG116" s="142"/>
      <c r="BH116" s="142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2"/>
      <c r="DA116" s="1"/>
      <c r="DS116" s="5"/>
      <c r="DT116" s="142"/>
      <c r="DU116" s="142"/>
      <c r="DV116" s="142"/>
      <c r="DW116" s="142"/>
      <c r="FZ116" s="142"/>
      <c r="JU116" s="142"/>
      <c r="JV116" s="142"/>
      <c r="JW116" s="142"/>
      <c r="JX116" s="142"/>
      <c r="PB116" s="142"/>
      <c r="PC116" s="142"/>
      <c r="PE116" s="142"/>
      <c r="PS116" s="145"/>
      <c r="PW116" s="142"/>
      <c r="RZ116" s="145"/>
      <c r="AHI116" s="141"/>
      <c r="AIX116" s="141"/>
      <c r="AIY116" s="141"/>
      <c r="AIZ116" s="141"/>
    </row>
    <row r="117" spans="2:936" hidden="1" x14ac:dyDescent="0.25">
      <c r="B117" s="731"/>
      <c r="C117" s="569" t="s">
        <v>36</v>
      </c>
      <c r="D117" s="476"/>
      <c r="E117" s="496" t="s">
        <v>35</v>
      </c>
      <c r="F117" s="439">
        <f>(F107*45)/1700</f>
        <v>12222.107999999998</v>
      </c>
      <c r="G117" s="439" t="e">
        <f>(G107*45)/1700</f>
        <v>#REF!</v>
      </c>
      <c r="H117" s="439">
        <f>(H107*45)/1700</f>
        <v>0</v>
      </c>
      <c r="I117" s="575">
        <f>(I107*45)/1700</f>
        <v>0</v>
      </c>
      <c r="J117" s="575">
        <f t="shared" ref="J117:R117" si="23">(J107*45)/1700</f>
        <v>0</v>
      </c>
      <c r="K117" s="575">
        <f t="shared" si="23"/>
        <v>0</v>
      </c>
      <c r="L117" s="575">
        <f t="shared" si="23"/>
        <v>0</v>
      </c>
      <c r="M117" s="575">
        <f t="shared" si="23"/>
        <v>0</v>
      </c>
      <c r="N117" s="575">
        <f t="shared" si="23"/>
        <v>0</v>
      </c>
      <c r="O117" s="575" t="e">
        <f>(O107*45)/1700</f>
        <v>#REF!</v>
      </c>
      <c r="P117" s="575"/>
      <c r="Q117" s="575">
        <f>(Q107*45)/1700</f>
        <v>0</v>
      </c>
      <c r="R117" s="575">
        <f t="shared" si="23"/>
        <v>0</v>
      </c>
      <c r="S117" s="719"/>
      <c r="T117" s="584" t="e">
        <f t="shared" ref="T117:V118" si="24">SUM(F117:R117)</f>
        <v>#REF!</v>
      </c>
      <c r="U117" s="690" t="e">
        <f t="shared" si="24"/>
        <v>#REF!</v>
      </c>
      <c r="V117" s="789" t="e">
        <f t="shared" si="24"/>
        <v>#REF!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4"/>
      <c r="AK117" s="804"/>
      <c r="AL117" s="804"/>
      <c r="AM117" s="804"/>
      <c r="AN117" s="804"/>
      <c r="AO117" s="804"/>
      <c r="AP117" s="804"/>
      <c r="AQ117" s="804"/>
      <c r="AR117" s="804"/>
      <c r="AS117" s="804"/>
      <c r="AX117" s="1"/>
      <c r="BG117" s="142"/>
      <c r="BH117" s="14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2"/>
      <c r="DA117" s="1"/>
      <c r="DS117" s="5"/>
      <c r="DT117" s="142"/>
      <c r="DU117" s="142"/>
      <c r="DV117" s="142"/>
      <c r="DW117" s="142"/>
      <c r="FZ117" s="142"/>
      <c r="JU117" s="142"/>
      <c r="JV117" s="142"/>
      <c r="JW117" s="142"/>
      <c r="JX117" s="142"/>
      <c r="PB117" s="142"/>
      <c r="PC117" s="142"/>
      <c r="PE117" s="142"/>
      <c r="PS117" s="145"/>
      <c r="PW117" s="142"/>
      <c r="RZ117" s="145"/>
      <c r="AHI117" s="141"/>
      <c r="AIX117" s="141"/>
      <c r="AIY117" s="141"/>
      <c r="AIZ117" s="141"/>
    </row>
    <row r="118" spans="2:936" hidden="1" x14ac:dyDescent="0.25">
      <c r="B118" s="731"/>
      <c r="C118" s="569" t="s">
        <v>34</v>
      </c>
      <c r="D118" s="476"/>
      <c r="E118" s="496" t="s">
        <v>33</v>
      </c>
      <c r="F118" s="439">
        <f t="shared" ref="F118:O118" si="25">SUM(F112:F113)/500</f>
        <v>85.347999999999999</v>
      </c>
      <c r="G118" s="439">
        <f t="shared" si="25"/>
        <v>0</v>
      </c>
      <c r="H118" s="439">
        <f t="shared" si="25"/>
        <v>0</v>
      </c>
      <c r="I118" s="439">
        <f t="shared" si="25"/>
        <v>0</v>
      </c>
      <c r="J118" s="439">
        <f t="shared" si="25"/>
        <v>0</v>
      </c>
      <c r="K118" s="439">
        <f t="shared" si="25"/>
        <v>0</v>
      </c>
      <c r="L118" s="439">
        <f t="shared" si="25"/>
        <v>0</v>
      </c>
      <c r="M118" s="439">
        <f t="shared" si="25"/>
        <v>0</v>
      </c>
      <c r="N118" s="439">
        <f t="shared" si="25"/>
        <v>0</v>
      </c>
      <c r="O118" s="439" t="e">
        <f t="shared" si="25"/>
        <v>#REF!</v>
      </c>
      <c r="P118" s="439"/>
      <c r="Q118" s="439">
        <f>SUM(Q112:Q113)/500</f>
        <v>0</v>
      </c>
      <c r="R118" s="439">
        <f>SUM(R112:R113)/500</f>
        <v>0</v>
      </c>
      <c r="S118" s="719"/>
      <c r="T118" s="584" t="e">
        <f t="shared" si="24"/>
        <v>#REF!</v>
      </c>
      <c r="U118" s="690" t="e">
        <f t="shared" si="24"/>
        <v>#REF!</v>
      </c>
      <c r="V118" s="789" t="e">
        <f t="shared" si="24"/>
        <v>#REF!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4"/>
      <c r="AK118" s="804"/>
      <c r="AL118" s="804"/>
      <c r="AM118" s="804"/>
      <c r="AN118" s="804"/>
      <c r="AO118" s="804"/>
      <c r="AP118" s="804"/>
      <c r="AQ118" s="804"/>
      <c r="AR118" s="804"/>
      <c r="AS118" s="804"/>
      <c r="AX118" s="1"/>
      <c r="BG118" s="142"/>
      <c r="BH118" s="14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2"/>
      <c r="DA118" s="1"/>
      <c r="DS118" s="5"/>
      <c r="DT118" s="142"/>
      <c r="DU118" s="142"/>
      <c r="DV118" s="142"/>
      <c r="DW118" s="142"/>
      <c r="FZ118" s="142"/>
      <c r="JU118" s="142"/>
      <c r="JV118" s="142"/>
      <c r="JW118" s="142"/>
      <c r="JX118" s="142"/>
      <c r="PB118" s="142"/>
      <c r="PC118" s="142"/>
      <c r="PE118" s="142"/>
      <c r="PS118" s="145"/>
      <c r="PW118" s="142"/>
      <c r="RZ118" s="145"/>
      <c r="AHI118" s="141"/>
      <c r="AIX118" s="141"/>
      <c r="AIY118" s="141"/>
      <c r="AIZ118" s="141"/>
    </row>
    <row r="119" spans="2:936" hidden="1" x14ac:dyDescent="0.25">
      <c r="B119" s="728"/>
      <c r="C119" s="419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3"/>
      <c r="T119" s="522" t="s">
        <v>131</v>
      </c>
      <c r="U119" s="677" t="s">
        <v>131</v>
      </c>
      <c r="V119" s="777" t="s">
        <v>131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4"/>
      <c r="AK119" s="804"/>
      <c r="AL119" s="804"/>
      <c r="AM119" s="804"/>
      <c r="AN119" s="804"/>
      <c r="AO119" s="804"/>
      <c r="AP119" s="804"/>
      <c r="AQ119" s="804"/>
      <c r="AR119" s="804"/>
      <c r="AS119" s="804"/>
      <c r="AX119" s="1"/>
      <c r="BG119" s="141"/>
      <c r="BH119" s="14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1"/>
      <c r="DA119" s="1"/>
      <c r="DS119" s="5"/>
      <c r="DT119" s="141"/>
      <c r="DU119" s="141"/>
      <c r="DV119" s="141"/>
      <c r="DW119" s="141"/>
      <c r="FZ119" s="141"/>
      <c r="JU119" s="141"/>
      <c r="JV119" s="141"/>
      <c r="JW119" s="141"/>
      <c r="JX119" s="141"/>
      <c r="PB119" s="141"/>
      <c r="PC119" s="141"/>
      <c r="PE119" s="141"/>
      <c r="PS119" s="481"/>
      <c r="PW119" s="141"/>
      <c r="RZ119" s="481"/>
      <c r="AHI119" s="141"/>
      <c r="AIX119" s="141"/>
      <c r="AIY119" s="141"/>
      <c r="AIZ119" s="141"/>
    </row>
    <row r="120" spans="2:936" hidden="1" x14ac:dyDescent="0.25">
      <c r="B120" s="731"/>
      <c r="C120" s="569" t="s">
        <v>29</v>
      </c>
      <c r="D120" s="476"/>
      <c r="E120" s="464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719"/>
      <c r="T120" s="64" t="s">
        <v>29</v>
      </c>
      <c r="U120" s="688" t="s">
        <v>29</v>
      </c>
      <c r="V120" s="786" t="s">
        <v>29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R120" s="63"/>
      <c r="AX120" s="1"/>
      <c r="BG120" s="142"/>
      <c r="BH120" s="142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2"/>
      <c r="DA120" s="1"/>
      <c r="DS120" s="5"/>
      <c r="DT120" s="142"/>
      <c r="DU120" s="142"/>
      <c r="DV120" s="142"/>
      <c r="DW120" s="142"/>
      <c r="FZ120" s="142"/>
      <c r="JU120" s="142"/>
      <c r="JV120" s="142"/>
      <c r="JW120" s="142"/>
      <c r="JX120" s="142"/>
      <c r="PB120" s="142"/>
      <c r="PC120" s="142"/>
      <c r="PE120" s="142"/>
      <c r="PS120" s="145"/>
      <c r="PW120" s="142"/>
      <c r="RZ120" s="145"/>
      <c r="AHI120" s="141"/>
      <c r="AIX120" s="141"/>
      <c r="AIY120" s="141"/>
      <c r="AIZ120" s="141"/>
    </row>
    <row r="121" spans="2:936" hidden="1" x14ac:dyDescent="0.25">
      <c r="B121" s="731"/>
      <c r="C121" s="436" t="s">
        <v>45</v>
      </c>
      <c r="D121" s="476"/>
      <c r="E121" s="496" t="s">
        <v>31</v>
      </c>
      <c r="F121" s="33">
        <f>'[20]Januari 24'!AL104</f>
        <v>89268</v>
      </c>
      <c r="G121" s="33">
        <f>'[20]Februari 24'!AI110</f>
        <v>0</v>
      </c>
      <c r="H121" s="33">
        <f>'[20]Maret 24'!AL101</f>
        <v>0</v>
      </c>
      <c r="I121" s="33">
        <f>'[20]April 24'!AL101</f>
        <v>0</v>
      </c>
      <c r="J121" s="33">
        <f>'[20]Mei 24'!AL110</f>
        <v>0</v>
      </c>
      <c r="K121" s="33">
        <f>'[20]Juny 24'!AL110</f>
        <v>0</v>
      </c>
      <c r="L121" s="33">
        <f>'[20]July 24'!AL110</f>
        <v>0</v>
      </c>
      <c r="M121" s="33">
        <f>'[20]Agustus 24'!AL83</f>
        <v>0</v>
      </c>
      <c r="N121" s="33">
        <f>'[20]September 24'!AL110</f>
        <v>0</v>
      </c>
      <c r="O121" s="33" t="e">
        <f>'[20]September 24'!AM110</f>
        <v>#REF!</v>
      </c>
      <c r="P121" s="33"/>
      <c r="Q121" s="33">
        <f>'[20]November 24'!AL110</f>
        <v>0</v>
      </c>
      <c r="R121" s="33">
        <f>'[20]Desember 24'!AL110</f>
        <v>0</v>
      </c>
      <c r="S121" s="719"/>
      <c r="T121" s="55" t="e">
        <f t="shared" ref="T121:V122" si="26">SUM(F121:R121)</f>
        <v>#REF!</v>
      </c>
      <c r="U121" s="666" t="e">
        <f t="shared" si="26"/>
        <v>#REF!</v>
      </c>
      <c r="V121" s="787" t="e">
        <f t="shared" si="26"/>
        <v>#REF!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R121" s="63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31"/>
      <c r="C122" s="436" t="s">
        <v>44</v>
      </c>
      <c r="D122" s="476"/>
      <c r="E122" s="496" t="s">
        <v>31</v>
      </c>
      <c r="F122" s="33">
        <f>'[20]Januari 24'!AL105</f>
        <v>211410</v>
      </c>
      <c r="G122" s="33">
        <f>'[20]Februari 24'!AI111</f>
        <v>0</v>
      </c>
      <c r="H122" s="33">
        <f>'[20]Maret 24'!AL102</f>
        <v>0</v>
      </c>
      <c r="I122" s="33">
        <f>'[20]April 24'!AL102</f>
        <v>0</v>
      </c>
      <c r="J122" s="33">
        <f>'[20]Mei 24'!AL111</f>
        <v>0</v>
      </c>
      <c r="K122" s="33">
        <f>'[20]Juny 24'!AL111</f>
        <v>0</v>
      </c>
      <c r="L122" s="33">
        <f>'[20]July 24'!AL111</f>
        <v>0</v>
      </c>
      <c r="M122" s="33">
        <f>'[20]Agustus 24'!AL84</f>
        <v>0</v>
      </c>
      <c r="N122" s="33">
        <f>'[20]September 24'!AL111</f>
        <v>0</v>
      </c>
      <c r="O122" s="33" t="e">
        <f>'[20]September 24'!AM111</f>
        <v>#REF!</v>
      </c>
      <c r="P122" s="33"/>
      <c r="Q122" s="33">
        <f>'[20]November 24'!AL111</f>
        <v>0</v>
      </c>
      <c r="R122" s="33">
        <f>'[20]Desember 24'!AL111</f>
        <v>0</v>
      </c>
      <c r="S122" s="719"/>
      <c r="T122" s="55" t="e">
        <f t="shared" si="26"/>
        <v>#REF!</v>
      </c>
      <c r="U122" s="666" t="e">
        <f t="shared" si="26"/>
        <v>#REF!</v>
      </c>
      <c r="V122" s="787" t="e">
        <f t="shared" si="26"/>
        <v>#REF!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R122" s="63"/>
      <c r="AX122" s="1"/>
      <c r="BG122" s="142"/>
      <c r="BH122" s="14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2"/>
      <c r="DA122" s="1"/>
      <c r="DS122" s="5"/>
      <c r="DT122" s="142"/>
      <c r="DU122" s="142"/>
      <c r="DV122" s="142"/>
      <c r="DW122" s="142"/>
      <c r="FZ122" s="142"/>
      <c r="JU122" s="142"/>
      <c r="JV122" s="142"/>
      <c r="JW122" s="142"/>
      <c r="JX122" s="142"/>
      <c r="PB122" s="142"/>
      <c r="PC122" s="142"/>
      <c r="PE122" s="142"/>
      <c r="PS122" s="145"/>
      <c r="PW122" s="142"/>
      <c r="RZ122" s="145"/>
      <c r="AHI122" s="141"/>
      <c r="AIX122" s="141"/>
      <c r="AIY122" s="141"/>
      <c r="AIZ122" s="141"/>
    </row>
    <row r="123" spans="2:936" hidden="1" x14ac:dyDescent="0.25">
      <c r="B123" s="731"/>
      <c r="C123" s="569" t="s">
        <v>28</v>
      </c>
      <c r="D123" s="476"/>
      <c r="E123" s="464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19"/>
      <c r="T123" s="64" t="s">
        <v>28</v>
      </c>
      <c r="U123" s="688" t="s">
        <v>28</v>
      </c>
      <c r="V123" s="786" t="s">
        <v>28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31"/>
      <c r="C124" s="436" t="s">
        <v>45</v>
      </c>
      <c r="D124" s="476"/>
      <c r="E124" s="496" t="s">
        <v>28</v>
      </c>
      <c r="F124" s="577">
        <f>F121*12</f>
        <v>1071216</v>
      </c>
      <c r="G124" s="577">
        <f>G121*12</f>
        <v>0</v>
      </c>
      <c r="H124" s="577">
        <f t="shared" ref="H124:R125" si="27">H121*12</f>
        <v>0</v>
      </c>
      <c r="I124" s="577" t="e">
        <f>'[20]April 24'!AK114</f>
        <v>#REF!</v>
      </c>
      <c r="J124" s="577">
        <f t="shared" si="27"/>
        <v>0</v>
      </c>
      <c r="K124" s="577">
        <f t="shared" si="27"/>
        <v>0</v>
      </c>
      <c r="L124" s="577">
        <f t="shared" si="27"/>
        <v>0</v>
      </c>
      <c r="M124" s="577">
        <f t="shared" si="27"/>
        <v>0</v>
      </c>
      <c r="N124" s="577">
        <f t="shared" si="27"/>
        <v>0</v>
      </c>
      <c r="O124" s="577" t="e">
        <f>O121*12</f>
        <v>#REF!</v>
      </c>
      <c r="P124" s="577"/>
      <c r="Q124" s="577">
        <f t="shared" si="27"/>
        <v>0</v>
      </c>
      <c r="R124" s="577">
        <f t="shared" si="27"/>
        <v>0</v>
      </c>
      <c r="S124" s="719"/>
      <c r="T124" s="55" t="e">
        <f t="shared" ref="T124:V125" si="28">SUM(F124:R124)</f>
        <v>#REF!</v>
      </c>
      <c r="U124" s="666" t="e">
        <f t="shared" si="28"/>
        <v>#REF!</v>
      </c>
      <c r="V124" s="787" t="e">
        <f t="shared" si="28"/>
        <v>#REF!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2"/>
      <c r="BH124" s="14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2"/>
      <c r="DA124" s="1"/>
      <c r="DS124" s="5"/>
      <c r="DT124" s="142"/>
      <c r="DU124" s="142"/>
      <c r="DV124" s="142"/>
      <c r="DW124" s="142"/>
      <c r="FZ124" s="142"/>
      <c r="JU124" s="142"/>
      <c r="JV124" s="142"/>
      <c r="JW124" s="142"/>
      <c r="JX124" s="142"/>
      <c r="PB124" s="142"/>
      <c r="PC124" s="142"/>
      <c r="PE124" s="142"/>
      <c r="PS124" s="145"/>
      <c r="PW124" s="142"/>
      <c r="RZ124" s="145"/>
      <c r="AHI124" s="141"/>
      <c r="AIX124" s="141"/>
      <c r="AIY124" s="141"/>
      <c r="AIZ124" s="141"/>
    </row>
    <row r="125" spans="2:936" hidden="1" x14ac:dyDescent="0.25">
      <c r="B125" s="731"/>
      <c r="C125" s="436" t="s">
        <v>44</v>
      </c>
      <c r="D125" s="476"/>
      <c r="E125" s="496" t="s">
        <v>28</v>
      </c>
      <c r="F125" s="577">
        <f>F122*6</f>
        <v>1268460</v>
      </c>
      <c r="G125" s="577">
        <f>G122*6</f>
        <v>0</v>
      </c>
      <c r="H125" s="577">
        <f>H122*6</f>
        <v>0</v>
      </c>
      <c r="I125" s="577" t="e">
        <f>'[20]April 24'!AK115</f>
        <v>#REF!</v>
      </c>
      <c r="J125" s="577">
        <f t="shared" si="27"/>
        <v>0</v>
      </c>
      <c r="K125" s="577">
        <f t="shared" si="27"/>
        <v>0</v>
      </c>
      <c r="L125" s="577">
        <f t="shared" si="27"/>
        <v>0</v>
      </c>
      <c r="M125" s="577">
        <f t="shared" si="27"/>
        <v>0</v>
      </c>
      <c r="N125" s="577">
        <f t="shared" si="27"/>
        <v>0</v>
      </c>
      <c r="O125" s="577" t="e">
        <f>O122*12</f>
        <v>#REF!</v>
      </c>
      <c r="P125" s="577"/>
      <c r="Q125" s="577">
        <f t="shared" si="27"/>
        <v>0</v>
      </c>
      <c r="R125" s="577">
        <f t="shared" si="27"/>
        <v>0</v>
      </c>
      <c r="S125" s="719"/>
      <c r="T125" s="55" t="e">
        <f t="shared" si="28"/>
        <v>#REF!</v>
      </c>
      <c r="U125" s="666" t="e">
        <f t="shared" si="28"/>
        <v>#REF!</v>
      </c>
      <c r="V125" s="787" t="e">
        <f t="shared" si="28"/>
        <v>#REF!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28"/>
      <c r="C126" s="419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3"/>
      <c r="T126" s="522" t="s">
        <v>131</v>
      </c>
      <c r="U126" s="677" t="s">
        <v>131</v>
      </c>
      <c r="V126" s="777" t="s">
        <v>131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1"/>
      <c r="BH126" s="14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1"/>
      <c r="DA126" s="1"/>
      <c r="DS126" s="5"/>
      <c r="DT126" s="141"/>
      <c r="DU126" s="141"/>
      <c r="DV126" s="141"/>
      <c r="DW126" s="141"/>
      <c r="FZ126" s="141"/>
      <c r="JU126" s="141"/>
      <c r="JV126" s="141"/>
      <c r="JW126" s="141"/>
      <c r="JX126" s="141"/>
      <c r="PB126" s="141"/>
      <c r="PC126" s="141"/>
      <c r="PE126" s="141"/>
      <c r="PS126" s="481"/>
      <c r="PW126" s="141"/>
      <c r="RZ126" s="481"/>
      <c r="AHI126" s="141"/>
      <c r="AIX126" s="141"/>
      <c r="AIY126" s="141"/>
      <c r="AIZ126" s="141"/>
    </row>
    <row r="127" spans="2:936" hidden="1" x14ac:dyDescent="0.25">
      <c r="B127" s="731"/>
      <c r="C127" s="569" t="s">
        <v>29</v>
      </c>
      <c r="D127" s="476"/>
      <c r="E127" s="464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719"/>
      <c r="T127" s="64" t="s">
        <v>29</v>
      </c>
      <c r="U127" s="688" t="s">
        <v>29</v>
      </c>
      <c r="V127" s="786" t="s">
        <v>29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2"/>
      <c r="BH127" s="142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2"/>
      <c r="DA127" s="1"/>
      <c r="DS127" s="5"/>
      <c r="DT127" s="142"/>
      <c r="DU127" s="142"/>
      <c r="DV127" s="142"/>
      <c r="DW127" s="142"/>
      <c r="FZ127" s="142"/>
      <c r="JU127" s="142"/>
      <c r="JV127" s="142"/>
      <c r="JW127" s="142"/>
      <c r="JX127" s="142"/>
      <c r="PB127" s="142"/>
      <c r="PC127" s="142"/>
      <c r="PE127" s="142"/>
      <c r="PS127" s="145"/>
      <c r="PW127" s="142"/>
      <c r="RZ127" s="145"/>
      <c r="AHI127" s="141"/>
      <c r="AIX127" s="141"/>
      <c r="AIY127" s="141"/>
      <c r="AIZ127" s="141"/>
    </row>
    <row r="128" spans="2:936" hidden="1" x14ac:dyDescent="0.25">
      <c r="B128" s="731"/>
      <c r="C128" s="436" t="s">
        <v>45</v>
      </c>
      <c r="D128" s="463">
        <v>0.3</v>
      </c>
      <c r="E128" s="496" t="s">
        <v>25</v>
      </c>
      <c r="F128" s="440">
        <f t="shared" ref="F128:H129" si="29">F121/F112*100</f>
        <v>1200</v>
      </c>
      <c r="G128" s="440" t="e">
        <f t="shared" si="29"/>
        <v>#DIV/0!</v>
      </c>
      <c r="H128" s="440" t="e">
        <f t="shared" si="29"/>
        <v>#DIV/0!</v>
      </c>
      <c r="I128" s="440" t="e">
        <f t="shared" ref="I128:R129" si="30">I121/I112*100</f>
        <v>#DIV/0!</v>
      </c>
      <c r="J128" s="440" t="e">
        <f>J121/J112*100</f>
        <v>#DIV/0!</v>
      </c>
      <c r="K128" s="440" t="e">
        <f t="shared" si="30"/>
        <v>#DIV/0!</v>
      </c>
      <c r="L128" s="440" t="e">
        <f>L121/L112*100</f>
        <v>#DIV/0!</v>
      </c>
      <c r="M128" s="440" t="e">
        <f>M121/M112*100</f>
        <v>#DIV/0!</v>
      </c>
      <c r="N128" s="440" t="e">
        <f t="shared" si="30"/>
        <v>#DIV/0!</v>
      </c>
      <c r="O128" s="440" t="e">
        <f>O121/O112*100</f>
        <v>#REF!</v>
      </c>
      <c r="P128" s="440"/>
      <c r="Q128" s="440" t="e">
        <f t="shared" si="30"/>
        <v>#DIV/0!</v>
      </c>
      <c r="R128" s="440" t="e">
        <f t="shared" si="30"/>
        <v>#DIV/0!</v>
      </c>
      <c r="S128" s="719"/>
      <c r="T128" s="59" t="e">
        <f t="shared" ref="T128:V129" si="31">T121/T112*100</f>
        <v>#REF!</v>
      </c>
      <c r="U128" s="669" t="e">
        <f t="shared" si="31"/>
        <v>#REF!</v>
      </c>
      <c r="V128" s="770" t="e">
        <f t="shared" si="31"/>
        <v>#REF!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31"/>
      <c r="C129" s="436" t="s">
        <v>44</v>
      </c>
      <c r="D129" s="463">
        <v>0.3</v>
      </c>
      <c r="E129" s="496" t="s">
        <v>25</v>
      </c>
      <c r="F129" s="440">
        <f t="shared" si="29"/>
        <v>600</v>
      </c>
      <c r="G129" s="440" t="e">
        <f t="shared" si="29"/>
        <v>#DIV/0!</v>
      </c>
      <c r="H129" s="440" t="e">
        <f t="shared" si="29"/>
        <v>#DIV/0!</v>
      </c>
      <c r="I129" s="440" t="e">
        <f t="shared" si="30"/>
        <v>#DIV/0!</v>
      </c>
      <c r="J129" s="440" t="e">
        <f>J122/J113*100</f>
        <v>#DIV/0!</v>
      </c>
      <c r="K129" s="440" t="e">
        <f t="shared" si="30"/>
        <v>#DIV/0!</v>
      </c>
      <c r="L129" s="440" t="e">
        <f>L122/L113*100</f>
        <v>#DIV/0!</v>
      </c>
      <c r="M129" s="440" t="e">
        <f>M122/M113*100</f>
        <v>#DIV/0!</v>
      </c>
      <c r="N129" s="440" t="e">
        <f t="shared" si="30"/>
        <v>#DIV/0!</v>
      </c>
      <c r="O129" s="440" t="e">
        <f>O122/O113*100</f>
        <v>#REF!</v>
      </c>
      <c r="P129" s="440"/>
      <c r="Q129" s="440" t="e">
        <f t="shared" si="30"/>
        <v>#DIV/0!</v>
      </c>
      <c r="R129" s="440" t="e">
        <f t="shared" si="30"/>
        <v>#DIV/0!</v>
      </c>
      <c r="S129" s="719"/>
      <c r="T129" s="59" t="e">
        <f t="shared" si="31"/>
        <v>#REF!</v>
      </c>
      <c r="U129" s="669" t="e">
        <f t="shared" si="31"/>
        <v>#REF!</v>
      </c>
      <c r="V129" s="770" t="e">
        <f t="shared" si="31"/>
        <v>#REF!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2"/>
      <c r="BH129" s="142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2"/>
      <c r="DA129" s="1"/>
      <c r="DS129" s="5"/>
      <c r="DT129" s="142"/>
      <c r="DU129" s="142"/>
      <c r="DV129" s="142"/>
      <c r="DW129" s="142"/>
      <c r="FZ129" s="142"/>
      <c r="JU129" s="142"/>
      <c r="JV129" s="142"/>
      <c r="JW129" s="142"/>
      <c r="JX129" s="142"/>
      <c r="PB129" s="142"/>
      <c r="PC129" s="142"/>
      <c r="PE129" s="142"/>
      <c r="PS129" s="145"/>
      <c r="PW129" s="142"/>
      <c r="RZ129" s="145"/>
      <c r="AHI129" s="141"/>
      <c r="AIX129" s="141"/>
      <c r="AIY129" s="141"/>
      <c r="AIZ129" s="141"/>
    </row>
    <row r="130" spans="2:936" hidden="1" x14ac:dyDescent="0.25">
      <c r="B130" s="731"/>
      <c r="C130" s="569" t="s">
        <v>28</v>
      </c>
      <c r="D130" s="463"/>
      <c r="E130" s="464"/>
      <c r="F130" s="440"/>
      <c r="G130" s="440"/>
      <c r="H130" s="440"/>
      <c r="I130" s="440"/>
      <c r="J130" s="440"/>
      <c r="K130" s="440"/>
      <c r="L130" s="440"/>
      <c r="M130" s="440"/>
      <c r="N130" s="440"/>
      <c r="O130" s="440"/>
      <c r="P130" s="440"/>
      <c r="Q130" s="440"/>
      <c r="R130" s="440"/>
      <c r="S130" s="719"/>
      <c r="T130" s="64" t="s">
        <v>28</v>
      </c>
      <c r="U130" s="688" t="s">
        <v>28</v>
      </c>
      <c r="V130" s="786" t="s">
        <v>28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31"/>
      <c r="C131" s="436" t="s">
        <v>45</v>
      </c>
      <c r="D131" s="463">
        <v>0.5</v>
      </c>
      <c r="E131" s="496" t="s">
        <v>25</v>
      </c>
      <c r="F131" s="440">
        <f>F124/F115*100</f>
        <v>1200</v>
      </c>
      <c r="G131" s="440" t="e">
        <f t="shared" ref="G131:R132" si="32">G124/G115*100</f>
        <v>#DIV/0!</v>
      </c>
      <c r="H131" s="440" t="e">
        <f t="shared" si="32"/>
        <v>#DIV/0!</v>
      </c>
      <c r="I131" s="440" t="e">
        <f t="shared" si="32"/>
        <v>#REF!</v>
      </c>
      <c r="J131" s="440" t="e">
        <f t="shared" si="32"/>
        <v>#DIV/0!</v>
      </c>
      <c r="K131" s="440" t="e">
        <f t="shared" si="32"/>
        <v>#DIV/0!</v>
      </c>
      <c r="L131" s="440" t="e">
        <f t="shared" si="32"/>
        <v>#DIV/0!</v>
      </c>
      <c r="M131" s="440" t="e">
        <f t="shared" si="32"/>
        <v>#DIV/0!</v>
      </c>
      <c r="N131" s="440" t="e">
        <f t="shared" si="32"/>
        <v>#DIV/0!</v>
      </c>
      <c r="O131" s="440" t="e">
        <f>O124/O115*100</f>
        <v>#REF!</v>
      </c>
      <c r="P131" s="440"/>
      <c r="Q131" s="440" t="e">
        <f t="shared" si="32"/>
        <v>#DIV/0!</v>
      </c>
      <c r="R131" s="440" t="e">
        <f t="shared" si="32"/>
        <v>#DIV/0!</v>
      </c>
      <c r="S131" s="719"/>
      <c r="T131" s="59" t="e">
        <f t="shared" ref="T131:V132" si="33">T124/T115*100</f>
        <v>#REF!</v>
      </c>
      <c r="U131" s="669" t="e">
        <f t="shared" si="33"/>
        <v>#REF!</v>
      </c>
      <c r="V131" s="770" t="e">
        <f t="shared" si="33"/>
        <v>#REF!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2"/>
      <c r="BH131" s="14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2"/>
      <c r="DA131" s="1"/>
      <c r="DS131" s="5"/>
      <c r="DT131" s="142"/>
      <c r="DU131" s="142"/>
      <c r="DV131" s="142"/>
      <c r="DW131" s="142"/>
      <c r="FZ131" s="142"/>
      <c r="JU131" s="142"/>
      <c r="JV131" s="142"/>
      <c r="JW131" s="142"/>
      <c r="JX131" s="142"/>
      <c r="PB131" s="142"/>
      <c r="PC131" s="142"/>
      <c r="PE131" s="142"/>
      <c r="PS131" s="145"/>
      <c r="PW131" s="142"/>
      <c r="RZ131" s="145"/>
      <c r="AHI131" s="141"/>
      <c r="AIX131" s="141"/>
      <c r="AIY131" s="141"/>
      <c r="AIZ131" s="141"/>
    </row>
    <row r="132" spans="2:936" hidden="1" x14ac:dyDescent="0.25">
      <c r="B132" s="731"/>
      <c r="C132" s="436" t="s">
        <v>44</v>
      </c>
      <c r="D132" s="463">
        <v>0.5</v>
      </c>
      <c r="E132" s="496" t="s">
        <v>25</v>
      </c>
      <c r="F132" s="440">
        <f>F125/F116*100</f>
        <v>600</v>
      </c>
      <c r="G132" s="440" t="e">
        <f t="shared" si="32"/>
        <v>#DIV/0!</v>
      </c>
      <c r="H132" s="440" t="e">
        <f t="shared" si="32"/>
        <v>#DIV/0!</v>
      </c>
      <c r="I132" s="440" t="e">
        <f t="shared" si="32"/>
        <v>#REF!</v>
      </c>
      <c r="J132" s="440" t="e">
        <f t="shared" si="32"/>
        <v>#DIV/0!</v>
      </c>
      <c r="K132" s="440" t="e">
        <f t="shared" si="32"/>
        <v>#DIV/0!</v>
      </c>
      <c r="L132" s="440" t="e">
        <f t="shared" si="32"/>
        <v>#DIV/0!</v>
      </c>
      <c r="M132" s="440" t="e">
        <f t="shared" si="32"/>
        <v>#DIV/0!</v>
      </c>
      <c r="N132" s="440" t="e">
        <f t="shared" si="32"/>
        <v>#DIV/0!</v>
      </c>
      <c r="O132" s="440" t="e">
        <f>O125/O116*100</f>
        <v>#REF!</v>
      </c>
      <c r="P132" s="440"/>
      <c r="Q132" s="440" t="e">
        <f t="shared" si="32"/>
        <v>#DIV/0!</v>
      </c>
      <c r="R132" s="440" t="e">
        <f t="shared" si="32"/>
        <v>#DIV/0!</v>
      </c>
      <c r="S132" s="719"/>
      <c r="T132" s="59" t="e">
        <f t="shared" si="33"/>
        <v>#REF!</v>
      </c>
      <c r="U132" s="669" t="e">
        <f t="shared" si="33"/>
        <v>#REF!</v>
      </c>
      <c r="V132" s="770" t="e">
        <f t="shared" si="33"/>
        <v>#REF!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27">
        <v>7</v>
      </c>
      <c r="C133" s="419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3"/>
      <c r="T133" s="522" t="s">
        <v>130</v>
      </c>
      <c r="U133" s="677" t="s">
        <v>130</v>
      </c>
      <c r="V133" s="777" t="s">
        <v>130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804"/>
      <c r="AK133" s="804"/>
      <c r="AL133" s="804"/>
      <c r="AM133" s="804"/>
      <c r="AN133" s="804"/>
      <c r="AO133" s="804"/>
      <c r="AP133" s="804"/>
      <c r="AQ133" s="804"/>
      <c r="AR133" s="804"/>
      <c r="AS133" s="804"/>
      <c r="AX133" s="1"/>
      <c r="BG133" s="141"/>
      <c r="BH133" s="14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1"/>
      <c r="DA133" s="1"/>
      <c r="DS133" s="5"/>
      <c r="DT133" s="141"/>
      <c r="DU133" s="141"/>
      <c r="DV133" s="141"/>
      <c r="DW133" s="141"/>
      <c r="FZ133" s="141"/>
      <c r="JU133" s="141"/>
      <c r="JV133" s="141"/>
      <c r="JW133" s="141"/>
      <c r="JX133" s="141"/>
      <c r="PB133" s="141"/>
      <c r="PC133" s="141"/>
      <c r="PE133" s="141"/>
      <c r="PS133" s="481"/>
      <c r="PW133" s="141"/>
      <c r="RZ133" s="481"/>
      <c r="AHI133" s="141"/>
      <c r="AIX133" s="141"/>
      <c r="AIY133" s="141"/>
      <c r="AIZ133" s="141"/>
    </row>
    <row r="134" spans="2:936" hidden="1" x14ac:dyDescent="0.25">
      <c r="B134" s="728"/>
      <c r="C134" s="579" t="s">
        <v>114</v>
      </c>
      <c r="D134" s="580"/>
      <c r="E134" s="20" t="s">
        <v>14</v>
      </c>
      <c r="F134" s="585">
        <f>'[20]Januari 24'!AL123</f>
        <v>534116</v>
      </c>
      <c r="G134" s="586" t="e">
        <f>'[20]Februari 24'!AI123</f>
        <v>#REF!</v>
      </c>
      <c r="H134" s="734">
        <f>'[20]Maret 24'!AL123</f>
        <v>0</v>
      </c>
      <c r="I134" s="581">
        <f>'[20]April 24'!AL123</f>
        <v>0</v>
      </c>
      <c r="J134" s="581">
        <f>'[20]Mei 24'!AL123</f>
        <v>0</v>
      </c>
      <c r="K134" s="581">
        <f>'[20]Juny 24'!AL123</f>
        <v>0</v>
      </c>
      <c r="L134" s="581">
        <f>'[20]July 24'!AL123</f>
        <v>0</v>
      </c>
      <c r="M134" s="735">
        <f>'[20]Agustus 24'!AL123</f>
        <v>0</v>
      </c>
      <c r="N134" s="581">
        <f>'[20]September 24'!AL123</f>
        <v>0</v>
      </c>
      <c r="O134" s="581" t="e">
        <f>'[20]September 24'!AM123</f>
        <v>#REF!</v>
      </c>
      <c r="P134" s="581"/>
      <c r="Q134" s="581">
        <f>'[20]November 24'!AL123</f>
        <v>0</v>
      </c>
      <c r="R134" s="581">
        <f>'[20]Desember 24'!AL123</f>
        <v>0</v>
      </c>
      <c r="S134" s="733"/>
      <c r="T134" s="89" t="e">
        <f>SUM(T136:T137)</f>
        <v>#REF!</v>
      </c>
      <c r="U134" s="686" t="e">
        <f>SUM(U136:U137)</f>
        <v>#REF!</v>
      </c>
      <c r="V134" s="788" t="e">
        <f>SUM(V136:V137)</f>
        <v>#REF!</v>
      </c>
      <c r="X134" s="817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X134" s="1"/>
      <c r="BG134" s="146"/>
      <c r="BH134" s="146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6"/>
      <c r="DA134" s="1"/>
      <c r="DS134" s="435"/>
      <c r="DT134" s="146"/>
      <c r="DU134" s="146"/>
      <c r="DV134" s="146"/>
      <c r="DW134" s="146"/>
      <c r="FZ134" s="146"/>
      <c r="JU134" s="146"/>
      <c r="JV134" s="146"/>
      <c r="JW134" s="146"/>
      <c r="JX134" s="146"/>
      <c r="PB134" s="146"/>
      <c r="PC134" s="146"/>
      <c r="PE134" s="146"/>
      <c r="PS134" s="563"/>
      <c r="PW134" s="146"/>
      <c r="RZ134" s="563"/>
      <c r="AHI134" s="151"/>
      <c r="AIX134" s="151"/>
      <c r="AIY134" s="151"/>
      <c r="AIZ134" s="151"/>
    </row>
    <row r="135" spans="2:936" hidden="1" x14ac:dyDescent="0.25">
      <c r="B135" s="728"/>
      <c r="C135" s="579" t="s">
        <v>115</v>
      </c>
      <c r="D135" s="580"/>
      <c r="E135" s="20" t="s">
        <v>14</v>
      </c>
      <c r="F135" s="581">
        <f>'[20]Januari 24'!AL124</f>
        <v>524483.80000000005</v>
      </c>
      <c r="G135" s="581" t="e">
        <f>'[20]Februari 24'!AI124</f>
        <v>#REF!</v>
      </c>
      <c r="H135" s="581">
        <f>'[20]Maret 24'!AL124</f>
        <v>0</v>
      </c>
      <c r="I135" s="581">
        <f>'[20]April 24'!AL124</f>
        <v>0</v>
      </c>
      <c r="J135" s="581">
        <f>'[20]Mei 24'!AL124</f>
        <v>0</v>
      </c>
      <c r="K135" s="581">
        <f>'[20]Juny 24'!AL124</f>
        <v>0</v>
      </c>
      <c r="L135" s="581">
        <f>'[20]July 24'!AL124</f>
        <v>0</v>
      </c>
      <c r="M135" s="581">
        <f>'[20]Agustus 24'!AL124</f>
        <v>0</v>
      </c>
      <c r="N135" s="581">
        <f>'[20]September 24'!AL124</f>
        <v>0</v>
      </c>
      <c r="O135" s="581" t="e">
        <f>'[20]September 24'!AM124</f>
        <v>#REF!</v>
      </c>
      <c r="P135" s="581"/>
      <c r="Q135" s="581">
        <f>'[20]November 24'!AL124</f>
        <v>0</v>
      </c>
      <c r="R135" s="282">
        <f>'[20]Desember 24'!AL124</f>
        <v>0</v>
      </c>
      <c r="S135" s="733"/>
      <c r="T135" s="89" t="e">
        <f>SUM(T136:T137)</f>
        <v>#REF!</v>
      </c>
      <c r="U135" s="686" t="e">
        <f>SUM(U136:U137)</f>
        <v>#REF!</v>
      </c>
      <c r="V135" s="788" t="e">
        <f>SUM(V136:V137)</f>
        <v>#REF!</v>
      </c>
      <c r="X135" s="817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815"/>
      <c r="AK135" s="815"/>
      <c r="AL135" s="815"/>
      <c r="AM135" s="815"/>
      <c r="AN135" s="815"/>
      <c r="AO135" s="815"/>
      <c r="AP135" s="815"/>
      <c r="AQ135" s="815"/>
      <c r="AR135" s="815"/>
      <c r="AS135" s="815"/>
      <c r="AX135" s="1"/>
      <c r="BG135" s="146"/>
      <c r="BH135" s="146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6"/>
      <c r="DA135" s="1"/>
      <c r="DS135" s="435"/>
      <c r="DT135" s="146"/>
      <c r="DU135" s="146"/>
      <c r="DV135" s="146"/>
      <c r="DW135" s="146"/>
      <c r="FZ135" s="146"/>
      <c r="JU135" s="146"/>
      <c r="JV135" s="146"/>
      <c r="JW135" s="146"/>
      <c r="JX135" s="146"/>
      <c r="PB135" s="146"/>
      <c r="PC135" s="146"/>
      <c r="PE135" s="146"/>
      <c r="PS135" s="563"/>
      <c r="PW135" s="146"/>
      <c r="RZ135" s="563"/>
      <c r="AHI135" s="151"/>
      <c r="AIX135" s="151"/>
      <c r="AIY135" s="151"/>
      <c r="AIZ135" s="151"/>
    </row>
    <row r="136" spans="2:936" hidden="1" x14ac:dyDescent="0.25">
      <c r="B136" s="731"/>
      <c r="C136" s="569" t="s">
        <v>39</v>
      </c>
      <c r="D136" s="476"/>
      <c r="E136" s="496" t="s">
        <v>14</v>
      </c>
      <c r="F136" s="440">
        <f>SUM(F139:F140)*9.75348</f>
        <v>525527.25587999995</v>
      </c>
      <c r="G136" s="440" t="e">
        <f t="shared" ref="G136:R136" si="34">SUM(G139:G140)*9.75348</f>
        <v>#REF!</v>
      </c>
      <c r="H136" s="440">
        <f t="shared" si="34"/>
        <v>0</v>
      </c>
      <c r="I136" s="440">
        <f t="shared" si="34"/>
        <v>0</v>
      </c>
      <c r="J136" s="440">
        <f t="shared" si="34"/>
        <v>0</v>
      </c>
      <c r="K136" s="440">
        <f t="shared" si="34"/>
        <v>0</v>
      </c>
      <c r="L136" s="440">
        <f t="shared" si="34"/>
        <v>0</v>
      </c>
      <c r="M136" s="440">
        <f t="shared" si="34"/>
        <v>0</v>
      </c>
      <c r="N136" s="440">
        <f t="shared" si="34"/>
        <v>0</v>
      </c>
      <c r="O136" s="440" t="e">
        <f>SUM(O139:O140)*9.75348</f>
        <v>#REF!</v>
      </c>
      <c r="P136" s="440"/>
      <c r="Q136" s="440">
        <f t="shared" si="34"/>
        <v>0</v>
      </c>
      <c r="R136" s="440">
        <f t="shared" si="34"/>
        <v>0</v>
      </c>
      <c r="S136" s="719"/>
      <c r="T136" s="59" t="e">
        <f t="shared" ref="T136:V137" si="35">SUM(F136:R136)</f>
        <v>#REF!</v>
      </c>
      <c r="U136" s="669" t="e">
        <f t="shared" si="35"/>
        <v>#REF!</v>
      </c>
      <c r="V136" s="770" t="e">
        <f t="shared" si="35"/>
        <v>#REF!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18"/>
      <c r="AK136" s="815"/>
      <c r="AL136" s="815"/>
      <c r="AM136" s="815"/>
      <c r="AN136" s="815"/>
      <c r="AO136" s="815"/>
      <c r="AP136" s="804"/>
      <c r="AQ136" s="804"/>
      <c r="AR136" s="804"/>
      <c r="AS136" s="804"/>
      <c r="AX136" s="1"/>
      <c r="BG136" s="142"/>
      <c r="BH136" s="142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2"/>
      <c r="DA136" s="1"/>
      <c r="DS136" s="5"/>
      <c r="DT136" s="142"/>
      <c r="DU136" s="142"/>
      <c r="DV136" s="142"/>
      <c r="DW136" s="142"/>
      <c r="FZ136" s="142"/>
      <c r="JU136" s="142"/>
      <c r="JV136" s="142"/>
      <c r="JW136" s="142"/>
      <c r="JX136" s="142"/>
      <c r="PB136" s="142"/>
      <c r="PC136" s="142"/>
      <c r="PE136" s="142"/>
      <c r="PS136" s="145"/>
      <c r="PW136" s="142"/>
      <c r="RZ136" s="145"/>
      <c r="AHI136" s="141"/>
      <c r="AIX136" s="141"/>
      <c r="AIY136" s="141"/>
      <c r="AIZ136" s="141"/>
    </row>
    <row r="137" spans="2:936" hidden="1" x14ac:dyDescent="0.25">
      <c r="B137" s="731"/>
      <c r="C137" s="569" t="s">
        <v>38</v>
      </c>
      <c r="D137" s="476"/>
      <c r="E137" s="496" t="s">
        <v>14</v>
      </c>
      <c r="F137" s="440">
        <f>F135-F136</f>
        <v>-1043.4558799999068</v>
      </c>
      <c r="G137" s="440" t="e">
        <f>G135-G136</f>
        <v>#REF!</v>
      </c>
      <c r="H137" s="440">
        <f>H135-H136</f>
        <v>0</v>
      </c>
      <c r="I137" s="440">
        <f>I135-I136</f>
        <v>0</v>
      </c>
      <c r="J137" s="440">
        <f>J135-J136</f>
        <v>0</v>
      </c>
      <c r="K137" s="440">
        <f t="shared" ref="K137:R137" si="36">K135-K136</f>
        <v>0</v>
      </c>
      <c r="L137" s="440">
        <f t="shared" si="36"/>
        <v>0</v>
      </c>
      <c r="M137" s="440">
        <f t="shared" si="36"/>
        <v>0</v>
      </c>
      <c r="N137" s="440">
        <f t="shared" si="36"/>
        <v>0</v>
      </c>
      <c r="O137" s="440" t="e">
        <f>O135-O136</f>
        <v>#REF!</v>
      </c>
      <c r="P137" s="440"/>
      <c r="Q137" s="440">
        <f t="shared" si="36"/>
        <v>0</v>
      </c>
      <c r="R137" s="440">
        <f t="shared" si="36"/>
        <v>0</v>
      </c>
      <c r="S137" s="719"/>
      <c r="T137" s="59" t="e">
        <f t="shared" si="35"/>
        <v>#REF!</v>
      </c>
      <c r="U137" s="669" t="e">
        <f t="shared" si="35"/>
        <v>#REF!</v>
      </c>
      <c r="V137" s="770" t="e">
        <f t="shared" si="35"/>
        <v>#REF!</v>
      </c>
      <c r="X137" s="6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2"/>
      <c r="BH137" s="142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2"/>
      <c r="DA137" s="1"/>
      <c r="DS137" s="5"/>
      <c r="DT137" s="142"/>
      <c r="DU137" s="142"/>
      <c r="DV137" s="142"/>
      <c r="DW137" s="142"/>
      <c r="FZ137" s="142"/>
      <c r="GA137" s="1">
        <f>0.9*12</f>
        <v>10.8</v>
      </c>
      <c r="JU137" s="142"/>
      <c r="JV137" s="142"/>
      <c r="JW137" s="142"/>
      <c r="JX137" s="142"/>
      <c r="PB137" s="142"/>
      <c r="PC137" s="142"/>
      <c r="PE137" s="142"/>
      <c r="PS137" s="145"/>
      <c r="PW137" s="142"/>
      <c r="RZ137" s="145"/>
      <c r="AHI137" s="141"/>
      <c r="AIX137" s="141"/>
      <c r="AIY137" s="141"/>
      <c r="AIZ137" s="141"/>
    </row>
    <row r="138" spans="2:936" hidden="1" x14ac:dyDescent="0.25">
      <c r="B138" s="731"/>
      <c r="C138" s="569" t="s">
        <v>29</v>
      </c>
      <c r="D138" s="476"/>
      <c r="E138" s="464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719"/>
      <c r="T138" s="64" t="s">
        <v>29</v>
      </c>
      <c r="U138" s="688" t="s">
        <v>29</v>
      </c>
      <c r="V138" s="786" t="s">
        <v>29</v>
      </c>
      <c r="X138" s="6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2"/>
      <c r="BH138" s="142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2"/>
      <c r="DA138" s="1"/>
      <c r="DS138" s="5"/>
      <c r="DT138" s="142"/>
      <c r="DU138" s="142"/>
      <c r="DV138" s="142"/>
      <c r="DW138" s="142"/>
      <c r="FZ138" s="142"/>
      <c r="JU138" s="142"/>
      <c r="JV138" s="142"/>
      <c r="JW138" s="142"/>
      <c r="JX138" s="142"/>
      <c r="PB138" s="142"/>
      <c r="PC138" s="142"/>
      <c r="PE138" s="142"/>
      <c r="PS138" s="145"/>
      <c r="PW138" s="142"/>
      <c r="RZ138" s="145"/>
      <c r="AHI138" s="141"/>
      <c r="AIX138" s="141"/>
      <c r="AIY138" s="141"/>
      <c r="AIZ138" s="141"/>
    </row>
    <row r="139" spans="2:936" hidden="1" x14ac:dyDescent="0.25">
      <c r="B139" s="732"/>
      <c r="C139" s="436" t="s">
        <v>42</v>
      </c>
      <c r="D139" s="437"/>
      <c r="E139" s="573" t="s">
        <v>31</v>
      </c>
      <c r="F139" s="282">
        <f>'[20]Januari 24'!AL128</f>
        <v>48858</v>
      </c>
      <c r="G139" s="282" t="e">
        <f>'[20]Februari 24'!AI128</f>
        <v>#REF!</v>
      </c>
      <c r="H139" s="282">
        <f>'[20]Maret 24'!AL128</f>
        <v>0</v>
      </c>
      <c r="I139" s="282">
        <f>'[20]April 24'!AL128</f>
        <v>0</v>
      </c>
      <c r="J139" s="282">
        <f>'[20]Mei 24'!AL128</f>
        <v>0</v>
      </c>
      <c r="K139" s="282">
        <f>'[20]Juny 24'!AL128</f>
        <v>0</v>
      </c>
      <c r="L139" s="282">
        <f>'[20]July 24'!AL128</f>
        <v>0</v>
      </c>
      <c r="M139" s="282">
        <f>'[20]Agustus 24'!AL128</f>
        <v>0</v>
      </c>
      <c r="N139" s="282">
        <f>'[20]September 24'!AL128</f>
        <v>0</v>
      </c>
      <c r="O139" s="282" t="e">
        <f>'[20]September 24'!AM128</f>
        <v>#REF!</v>
      </c>
      <c r="P139" s="282"/>
      <c r="Q139" s="282">
        <f>'[20]November 24'!AL128</f>
        <v>0</v>
      </c>
      <c r="R139" s="282">
        <f>'[20]Desember 24'!AL128</f>
        <v>0</v>
      </c>
      <c r="S139" s="721"/>
      <c r="T139" s="91" t="e">
        <f>SUM(F139:R139)</f>
        <v>#REF!</v>
      </c>
      <c r="U139" s="689">
        <v>296194</v>
      </c>
      <c r="V139" s="790" t="e">
        <f>SUM(H139:T139)</f>
        <v>#REF!</v>
      </c>
      <c r="X139" s="37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9"/>
      <c r="AK139" s="819"/>
      <c r="AL139" s="819"/>
      <c r="AM139" s="819"/>
      <c r="AN139" s="819"/>
      <c r="AO139" s="819"/>
      <c r="AP139" s="819"/>
      <c r="AQ139" s="819"/>
      <c r="AR139" s="819"/>
      <c r="AS139" s="819"/>
      <c r="AX139" s="1"/>
      <c r="BG139" s="148"/>
      <c r="BH139" s="148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8"/>
      <c r="DA139" s="1"/>
      <c r="DS139" s="517"/>
      <c r="DT139" s="148"/>
      <c r="DU139" s="148"/>
      <c r="DV139" s="148"/>
      <c r="DW139" s="148"/>
      <c r="FZ139" s="148"/>
      <c r="JU139" s="148"/>
      <c r="JV139" s="148"/>
      <c r="JW139" s="148"/>
      <c r="JX139" s="148"/>
      <c r="PB139" s="148"/>
      <c r="PC139" s="148"/>
      <c r="PE139" s="148"/>
      <c r="PS139" s="574"/>
      <c r="PW139" s="148"/>
      <c r="RZ139" s="574"/>
      <c r="AHI139" s="144"/>
      <c r="AIX139" s="144"/>
      <c r="AIY139" s="144"/>
      <c r="AIZ139" s="144"/>
    </row>
    <row r="140" spans="2:936" hidden="1" x14ac:dyDescent="0.25">
      <c r="B140" s="732"/>
      <c r="C140" s="436" t="s">
        <v>41</v>
      </c>
      <c r="D140" s="437"/>
      <c r="E140" s="573" t="s">
        <v>31</v>
      </c>
      <c r="F140" s="282">
        <f>'[20]Januari 24'!AL129</f>
        <v>5023</v>
      </c>
      <c r="G140" s="282" t="e">
        <f>'[20]Februari 24'!AI129</f>
        <v>#REF!</v>
      </c>
      <c r="H140" s="282">
        <f>'[20]Maret 24'!AL129</f>
        <v>0</v>
      </c>
      <c r="I140" s="282">
        <f>'[20]April 24'!AL129</f>
        <v>0</v>
      </c>
      <c r="J140" s="282">
        <f>'[20]Mei 24'!AL129</f>
        <v>0</v>
      </c>
      <c r="K140" s="2">
        <f>'[20]Juny 24'!AL129</f>
        <v>0</v>
      </c>
      <c r="L140" s="282">
        <f>'[20]July 24'!AL129</f>
        <v>0</v>
      </c>
      <c r="M140" s="282">
        <f>'[20]Agustus 24'!AL129</f>
        <v>0</v>
      </c>
      <c r="N140" s="282">
        <f>'[20]September 24'!AL129</f>
        <v>0</v>
      </c>
      <c r="O140" s="282" t="e">
        <f>'[20]September 24'!AM129</f>
        <v>#REF!</v>
      </c>
      <c r="P140" s="282"/>
      <c r="Q140" s="282">
        <f>'[20]November 24'!AL129</f>
        <v>0</v>
      </c>
      <c r="R140" s="282">
        <f>'[20]Desember 24'!AL129</f>
        <v>0</v>
      </c>
      <c r="S140" s="721"/>
      <c r="T140" s="91" t="e">
        <f>SUM(F140:R140)</f>
        <v>#REF!</v>
      </c>
      <c r="U140" s="689">
        <v>626151</v>
      </c>
      <c r="V140" s="790" t="e">
        <f>SUM(H140:T140)</f>
        <v>#REF!</v>
      </c>
      <c r="X140" s="37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19"/>
      <c r="AK140" s="819"/>
      <c r="AL140" s="819"/>
      <c r="AM140" s="819"/>
      <c r="AN140" s="819"/>
      <c r="AO140" s="819"/>
      <c r="AP140" s="819"/>
      <c r="AQ140" s="819"/>
      <c r="AR140" s="819"/>
      <c r="AS140" s="819"/>
      <c r="AX140" s="1"/>
      <c r="BG140" s="148"/>
      <c r="BH140" s="148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8"/>
      <c r="DA140" s="1"/>
      <c r="DS140" s="517"/>
      <c r="DT140" s="148"/>
      <c r="DU140" s="148"/>
      <c r="DV140" s="148"/>
      <c r="DW140" s="148"/>
      <c r="FZ140" s="148"/>
      <c r="JU140" s="148"/>
      <c r="JV140" s="148"/>
      <c r="JW140" s="148"/>
      <c r="JX140" s="148"/>
      <c r="PB140" s="148"/>
      <c r="PC140" s="148"/>
      <c r="PE140" s="148"/>
      <c r="PS140" s="574"/>
      <c r="PW140" s="148"/>
      <c r="RZ140" s="574"/>
      <c r="AHI140" s="144"/>
      <c r="AIX140" s="144"/>
      <c r="AIY140" s="144"/>
      <c r="AIZ140" s="144"/>
    </row>
    <row r="141" spans="2:936" hidden="1" x14ac:dyDescent="0.25">
      <c r="B141" s="731"/>
      <c r="C141" s="569" t="s">
        <v>28</v>
      </c>
      <c r="D141" s="476"/>
      <c r="E141" s="464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719"/>
      <c r="T141" s="64" t="s">
        <v>28</v>
      </c>
      <c r="U141" s="688" t="s">
        <v>28</v>
      </c>
      <c r="V141" s="786" t="s">
        <v>28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4"/>
      <c r="AK141" s="804"/>
      <c r="AL141" s="804"/>
      <c r="AM141" s="804"/>
      <c r="AN141" s="804"/>
      <c r="AO141" s="804"/>
      <c r="AP141" s="804"/>
      <c r="AQ141" s="804"/>
      <c r="AR141" s="804"/>
      <c r="AS141" s="804"/>
      <c r="AX141" s="1"/>
      <c r="BG141" s="142"/>
      <c r="BH141" s="142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2"/>
      <c r="DA141" s="1"/>
      <c r="DS141" s="5"/>
      <c r="DT141" s="142"/>
      <c r="DU141" s="142"/>
      <c r="DV141" s="142"/>
      <c r="DW141" s="142"/>
      <c r="FZ141" s="142"/>
      <c r="JU141" s="142"/>
      <c r="JV141" s="142"/>
      <c r="JW141" s="142"/>
      <c r="JX141" s="142"/>
      <c r="PB141" s="142"/>
      <c r="PC141" s="142"/>
      <c r="PE141" s="142"/>
      <c r="PS141" s="145"/>
      <c r="PW141" s="142"/>
      <c r="RZ141" s="145"/>
      <c r="AHI141" s="141"/>
      <c r="AIX141" s="141"/>
      <c r="AIY141" s="141"/>
      <c r="AIZ141" s="141"/>
    </row>
    <row r="142" spans="2:936" hidden="1" x14ac:dyDescent="0.25">
      <c r="B142" s="731"/>
      <c r="C142" s="436" t="s">
        <v>42</v>
      </c>
      <c r="D142" s="476"/>
      <c r="E142" s="496" t="s">
        <v>28</v>
      </c>
      <c r="F142" s="439">
        <f>F139*12</f>
        <v>586296</v>
      </c>
      <c r="G142" s="439" t="e">
        <f t="shared" ref="G142:R142" si="37">G139*12</f>
        <v>#REF!</v>
      </c>
      <c r="H142" s="439">
        <f t="shared" si="37"/>
        <v>0</v>
      </c>
      <c r="I142" s="439">
        <f t="shared" si="37"/>
        <v>0</v>
      </c>
      <c r="J142" s="439">
        <f t="shared" si="37"/>
        <v>0</v>
      </c>
      <c r="K142" s="439">
        <f t="shared" si="37"/>
        <v>0</v>
      </c>
      <c r="L142" s="439">
        <f t="shared" si="37"/>
        <v>0</v>
      </c>
      <c r="M142" s="439">
        <f t="shared" si="37"/>
        <v>0</v>
      </c>
      <c r="N142" s="439">
        <f t="shared" si="37"/>
        <v>0</v>
      </c>
      <c r="O142" s="439" t="e">
        <f>O139*12</f>
        <v>#REF!</v>
      </c>
      <c r="P142" s="439"/>
      <c r="Q142" s="439">
        <f t="shared" si="37"/>
        <v>0</v>
      </c>
      <c r="R142" s="439">
        <f t="shared" si="37"/>
        <v>0</v>
      </c>
      <c r="S142" s="719"/>
      <c r="T142" s="55" t="e">
        <f>T139*12</f>
        <v>#REF!</v>
      </c>
      <c r="U142" s="666">
        <f>U139*12</f>
        <v>3554328</v>
      </c>
      <c r="V142" s="787" t="e">
        <f>V139*12</f>
        <v>#REF!</v>
      </c>
      <c r="X142" s="6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04"/>
      <c r="AK142" s="804"/>
      <c r="AL142" s="804"/>
      <c r="AM142" s="804"/>
      <c r="AN142" s="804"/>
      <c r="AO142" s="804"/>
      <c r="AP142" s="804"/>
      <c r="AQ142" s="804"/>
      <c r="AR142" s="804"/>
      <c r="AS142" s="804"/>
      <c r="AX142" s="1"/>
      <c r="BG142" s="142"/>
      <c r="BH142" s="142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2"/>
      <c r="DA142" s="1"/>
      <c r="DS142" s="5"/>
      <c r="DT142" s="142"/>
      <c r="DU142" s="142"/>
      <c r="DV142" s="142"/>
      <c r="DW142" s="142"/>
      <c r="FZ142" s="142"/>
      <c r="JU142" s="142"/>
      <c r="JV142" s="142"/>
      <c r="JW142" s="142"/>
      <c r="JX142" s="142"/>
      <c r="PB142" s="142"/>
      <c r="PC142" s="142"/>
      <c r="PE142" s="142"/>
      <c r="PS142" s="145"/>
      <c r="PW142" s="142"/>
      <c r="RZ142" s="145"/>
      <c r="AHI142" s="141"/>
      <c r="AIX142" s="141"/>
      <c r="AIY142" s="141"/>
      <c r="AIZ142" s="141"/>
    </row>
    <row r="143" spans="2:936" hidden="1" x14ac:dyDescent="0.25">
      <c r="B143" s="731"/>
      <c r="C143" s="436" t="s">
        <v>41</v>
      </c>
      <c r="D143" s="476"/>
      <c r="E143" s="496" t="s">
        <v>28</v>
      </c>
      <c r="F143" s="439">
        <f>F140*6</f>
        <v>30138</v>
      </c>
      <c r="G143" s="439" t="e">
        <f t="shared" ref="G143:R143" si="38">G140*6</f>
        <v>#REF!</v>
      </c>
      <c r="H143" s="439">
        <f t="shared" si="38"/>
        <v>0</v>
      </c>
      <c r="I143" s="439">
        <f t="shared" si="38"/>
        <v>0</v>
      </c>
      <c r="J143" s="439">
        <f t="shared" si="38"/>
        <v>0</v>
      </c>
      <c r="K143" s="439">
        <f t="shared" si="38"/>
        <v>0</v>
      </c>
      <c r="L143" s="439">
        <f t="shared" si="38"/>
        <v>0</v>
      </c>
      <c r="M143" s="439">
        <f t="shared" si="38"/>
        <v>0</v>
      </c>
      <c r="N143" s="439">
        <f t="shared" si="38"/>
        <v>0</v>
      </c>
      <c r="O143" s="439" t="e">
        <f>O140*6</f>
        <v>#REF!</v>
      </c>
      <c r="P143" s="439"/>
      <c r="Q143" s="439">
        <f t="shared" si="38"/>
        <v>0</v>
      </c>
      <c r="R143" s="439">
        <f t="shared" si="38"/>
        <v>0</v>
      </c>
      <c r="S143" s="719"/>
      <c r="T143" s="55" t="e">
        <f>T140*6</f>
        <v>#REF!</v>
      </c>
      <c r="U143" s="666">
        <f>U140*6</f>
        <v>3756906</v>
      </c>
      <c r="V143" s="787" t="e">
        <f>V140*6</f>
        <v>#REF!</v>
      </c>
      <c r="X143" s="6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04"/>
      <c r="AK143" s="804"/>
      <c r="AL143" s="804"/>
      <c r="AM143" s="804"/>
      <c r="AN143" s="804"/>
      <c r="AO143" s="804"/>
      <c r="AP143" s="804"/>
      <c r="AQ143" s="804"/>
      <c r="AR143" s="804"/>
      <c r="AS143" s="804"/>
      <c r="AX143" s="1"/>
      <c r="BG143" s="142"/>
      <c r="BH143" s="142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2"/>
      <c r="DA143" s="1"/>
      <c r="DS143" s="5"/>
      <c r="DT143" s="142"/>
      <c r="DU143" s="142"/>
      <c r="DV143" s="142"/>
      <c r="DW143" s="142"/>
      <c r="FZ143" s="142"/>
      <c r="JU143" s="142"/>
      <c r="JV143" s="142"/>
      <c r="JW143" s="142"/>
      <c r="JX143" s="142"/>
      <c r="PB143" s="142"/>
      <c r="PC143" s="142"/>
      <c r="PE143" s="142"/>
      <c r="PS143" s="145"/>
      <c r="PW143" s="142"/>
      <c r="RZ143" s="145"/>
      <c r="AHI143" s="141"/>
      <c r="AIX143" s="141"/>
      <c r="AIY143" s="141"/>
      <c r="AIZ143" s="141"/>
    </row>
    <row r="144" spans="2:936" hidden="1" x14ac:dyDescent="0.25">
      <c r="B144" s="731"/>
      <c r="C144" s="569" t="s">
        <v>36</v>
      </c>
      <c r="D144" s="476"/>
      <c r="E144" s="496" t="s">
        <v>35</v>
      </c>
      <c r="F144" s="439">
        <f>(F135*45)/1700</f>
        <v>13883.394705882356</v>
      </c>
      <c r="G144" s="439" t="e">
        <f>(G135*45)/1700</f>
        <v>#REF!</v>
      </c>
      <c r="H144" s="439">
        <f>(H135*45)/1700</f>
        <v>0</v>
      </c>
      <c r="I144" s="439">
        <f>(I135*45)/1700</f>
        <v>0</v>
      </c>
      <c r="J144" s="439">
        <f>(J135*45)/1700</f>
        <v>0</v>
      </c>
      <c r="K144" s="439">
        <f>K135*45/1700</f>
        <v>0</v>
      </c>
      <c r="L144" s="439">
        <f t="shared" ref="L144:R144" si="39">L135*45/1700</f>
        <v>0</v>
      </c>
      <c r="M144" s="439">
        <f t="shared" si="39"/>
        <v>0</v>
      </c>
      <c r="N144" s="439">
        <f t="shared" si="39"/>
        <v>0</v>
      </c>
      <c r="O144" s="439" t="e">
        <f>O135*45/1700</f>
        <v>#REF!</v>
      </c>
      <c r="P144" s="439"/>
      <c r="Q144" s="439">
        <f t="shared" si="39"/>
        <v>0</v>
      </c>
      <c r="R144" s="439">
        <f t="shared" si="39"/>
        <v>0</v>
      </c>
      <c r="S144" s="719"/>
      <c r="T144" s="55" t="e">
        <f t="shared" ref="T144:V145" si="40">SUM(F144:R144)</f>
        <v>#REF!</v>
      </c>
      <c r="U144" s="666" t="e">
        <f t="shared" si="40"/>
        <v>#REF!</v>
      </c>
      <c r="V144" s="787" t="e">
        <f t="shared" si="40"/>
        <v>#REF!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4"/>
      <c r="AK144" s="804"/>
      <c r="AL144" s="804"/>
      <c r="AM144" s="804"/>
      <c r="AN144" s="804"/>
      <c r="AO144" s="804"/>
      <c r="AP144" s="804"/>
      <c r="AQ144" s="804"/>
      <c r="AR144" s="804"/>
      <c r="AS144" s="804"/>
      <c r="AX144" s="1"/>
      <c r="BG144" s="142"/>
      <c r="BH144" s="142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2"/>
      <c r="DA144" s="1"/>
      <c r="DS144" s="5"/>
      <c r="DT144" s="142"/>
      <c r="DU144" s="142"/>
      <c r="DV144" s="142"/>
      <c r="DW144" s="142"/>
      <c r="FZ144" s="142"/>
      <c r="JU144" s="142"/>
      <c r="JV144" s="142"/>
      <c r="JW144" s="142"/>
      <c r="JX144" s="142"/>
      <c r="PB144" s="142"/>
      <c r="PC144" s="142"/>
      <c r="PE144" s="142"/>
      <c r="PS144" s="145"/>
      <c r="PW144" s="142"/>
      <c r="RZ144" s="145"/>
      <c r="AHI144" s="141"/>
      <c r="AIX144" s="141"/>
      <c r="AIY144" s="141"/>
      <c r="AIZ144" s="141"/>
    </row>
    <row r="145" spans="2:936" hidden="1" x14ac:dyDescent="0.25">
      <c r="B145" s="731"/>
      <c r="C145" s="569" t="s">
        <v>34</v>
      </c>
      <c r="D145" s="476"/>
      <c r="E145" s="496" t="s">
        <v>33</v>
      </c>
      <c r="F145" s="439">
        <f>SUM(F139:F140)/500</f>
        <v>107.762</v>
      </c>
      <c r="G145" s="439" t="e">
        <f t="shared" ref="G145:L145" si="41">SUM(G139:G140)/500</f>
        <v>#REF!</v>
      </c>
      <c r="H145" s="439">
        <f t="shared" si="41"/>
        <v>0</v>
      </c>
      <c r="I145" s="439">
        <f t="shared" si="41"/>
        <v>0</v>
      </c>
      <c r="J145" s="439">
        <f t="shared" si="41"/>
        <v>0</v>
      </c>
      <c r="K145" s="587">
        <f t="shared" si="41"/>
        <v>0</v>
      </c>
      <c r="L145" s="587">
        <f t="shared" si="41"/>
        <v>0</v>
      </c>
      <c r="M145" s="587">
        <f>SUM(M139:M140)/500</f>
        <v>0</v>
      </c>
      <c r="N145" s="587">
        <f>SUM(N139:N140)/500</f>
        <v>0</v>
      </c>
      <c r="O145" s="587" t="e">
        <f>SUM(O139:O140)/500</f>
        <v>#REF!</v>
      </c>
      <c r="P145" s="587"/>
      <c r="Q145" s="587">
        <f>SUM(Q139:Q140)/500</f>
        <v>0</v>
      </c>
      <c r="R145" s="587">
        <f>SUM(R139:R140)/500</f>
        <v>0</v>
      </c>
      <c r="S145" s="719"/>
      <c r="T145" s="55" t="e">
        <f t="shared" si="40"/>
        <v>#REF!</v>
      </c>
      <c r="U145" s="666" t="e">
        <f t="shared" si="40"/>
        <v>#REF!</v>
      </c>
      <c r="V145" s="787" t="e">
        <f t="shared" si="40"/>
        <v>#REF!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4"/>
      <c r="AK145" s="804"/>
      <c r="AL145" s="804"/>
      <c r="AM145" s="804"/>
      <c r="AN145" s="804"/>
      <c r="AO145" s="804"/>
      <c r="AP145" s="804"/>
      <c r="AQ145" s="804"/>
      <c r="AR145" s="804"/>
      <c r="AS145" s="804"/>
      <c r="AX145" s="1"/>
      <c r="BG145" s="142"/>
      <c r="BH145" s="142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2"/>
      <c r="DA145" s="1"/>
      <c r="DS145" s="5"/>
      <c r="DT145" s="142"/>
      <c r="DU145" s="142"/>
      <c r="DV145" s="142"/>
      <c r="DW145" s="142"/>
      <c r="FZ145" s="142"/>
      <c r="JU145" s="142"/>
      <c r="JV145" s="142"/>
      <c r="JW145" s="142"/>
      <c r="JX145" s="142"/>
      <c r="PB145" s="142"/>
      <c r="PC145" s="142"/>
      <c r="PE145" s="142"/>
      <c r="PS145" s="145"/>
      <c r="PW145" s="142"/>
      <c r="RZ145" s="145"/>
      <c r="AHI145" s="141"/>
      <c r="AIX145" s="141"/>
      <c r="AIY145" s="141"/>
      <c r="AIZ145" s="141"/>
    </row>
    <row r="146" spans="2:936" hidden="1" x14ac:dyDescent="0.25">
      <c r="B146" s="728"/>
      <c r="C146" s="419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3"/>
      <c r="T146" s="522" t="s">
        <v>131</v>
      </c>
      <c r="U146" s="677" t="s">
        <v>131</v>
      </c>
      <c r="V146" s="777" t="s">
        <v>131</v>
      </c>
      <c r="X146" s="1"/>
      <c r="Y146" s="63"/>
      <c r="Z146" s="63"/>
      <c r="AA146" s="63"/>
      <c r="AB146" s="63"/>
      <c r="AC146" s="63"/>
      <c r="AD146" s="63"/>
      <c r="AE146" s="63"/>
      <c r="AF146" s="63"/>
      <c r="AG146" s="804"/>
      <c r="AH146" s="804"/>
      <c r="AI146" s="804"/>
      <c r="AJ146" s="804"/>
      <c r="AK146" s="804"/>
      <c r="AL146" s="804"/>
      <c r="AM146" s="804"/>
      <c r="AN146" s="804"/>
      <c r="AO146" s="804"/>
      <c r="AP146" s="804"/>
      <c r="AR146" s="63"/>
      <c r="AX146" s="1"/>
      <c r="BD146" s="141"/>
      <c r="BE146" s="14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1"/>
      <c r="DA146" s="1"/>
      <c r="DP146" s="5"/>
      <c r="DQ146" s="141"/>
      <c r="DR146" s="141"/>
      <c r="DS146" s="141"/>
      <c r="DT146" s="141"/>
      <c r="FW146" s="141"/>
      <c r="JR146" s="141"/>
      <c r="JS146" s="141"/>
      <c r="JT146" s="141"/>
      <c r="JU146" s="141"/>
      <c r="OY146" s="141"/>
      <c r="OZ146" s="141"/>
      <c r="PB146" s="141"/>
      <c r="PP146" s="481"/>
      <c r="PT146" s="141"/>
      <c r="RW146" s="481"/>
      <c r="AHF146" s="141"/>
      <c r="AIU146" s="141"/>
      <c r="AIV146" s="141"/>
      <c r="AIW146" s="141"/>
    </row>
    <row r="147" spans="2:936" hidden="1" x14ac:dyDescent="0.25">
      <c r="B147" s="731"/>
      <c r="C147" s="569" t="s">
        <v>29</v>
      </c>
      <c r="D147" s="476"/>
      <c r="E147" s="464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719"/>
      <c r="T147" s="64" t="s">
        <v>29</v>
      </c>
      <c r="U147" s="688" t="s">
        <v>29</v>
      </c>
      <c r="V147" s="786" t="s">
        <v>29</v>
      </c>
      <c r="X147" s="1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R147" s="63"/>
      <c r="AX147" s="1"/>
      <c r="BD147" s="142"/>
      <c r="BE147" s="142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2"/>
      <c r="DA147" s="1"/>
      <c r="DP147" s="5"/>
      <c r="DQ147" s="142"/>
      <c r="DR147" s="142"/>
      <c r="DS147" s="142"/>
      <c r="DT147" s="142"/>
      <c r="FW147" s="142"/>
      <c r="JR147" s="142"/>
      <c r="JS147" s="142"/>
      <c r="JT147" s="142"/>
      <c r="JU147" s="142"/>
      <c r="OY147" s="142"/>
      <c r="OZ147" s="142"/>
      <c r="PB147" s="142"/>
      <c r="PP147" s="145"/>
      <c r="PT147" s="142"/>
      <c r="RW147" s="145"/>
      <c r="AHF147" s="141"/>
      <c r="AIU147" s="141"/>
      <c r="AIV147" s="141"/>
      <c r="AIW147" s="141"/>
    </row>
    <row r="148" spans="2:936" hidden="1" x14ac:dyDescent="0.25">
      <c r="B148" s="731"/>
      <c r="C148" s="436" t="s">
        <v>42</v>
      </c>
      <c r="D148" s="476"/>
      <c r="E148" s="496" t="s">
        <v>31</v>
      </c>
      <c r="F148" s="33">
        <f>'[20]Januari 24'!AL131</f>
        <v>586296</v>
      </c>
      <c r="G148" s="33" t="e">
        <f>'[20]Februari 24'!AI137</f>
        <v>#REF!</v>
      </c>
      <c r="H148" s="33">
        <f>'[20]Maret 24'!AL137</f>
        <v>0</v>
      </c>
      <c r="I148" s="33">
        <f>'[20]April 24'!AL137</f>
        <v>0</v>
      </c>
      <c r="J148" s="33">
        <f>'[20]Mei 24'!AL137</f>
        <v>0</v>
      </c>
      <c r="K148" s="33">
        <f>'[20]Juny 24'!AL137</f>
        <v>0</v>
      </c>
      <c r="L148" s="33">
        <f>'[20]July 24'!AL137</f>
        <v>0</v>
      </c>
      <c r="M148" s="33">
        <f>'[20]Agustus 24'!AL110</f>
        <v>0</v>
      </c>
      <c r="N148" s="33">
        <f>'[20]September 24'!AL137</f>
        <v>0</v>
      </c>
      <c r="O148" s="33" t="e">
        <f>'[20]September 24'!AM137</f>
        <v>#REF!</v>
      </c>
      <c r="P148" s="33"/>
      <c r="Q148" s="33">
        <f>'[20]November 24'!AL137</f>
        <v>0</v>
      </c>
      <c r="R148" s="33">
        <f>'[20]Desember 24'!AL137</f>
        <v>0</v>
      </c>
      <c r="S148" s="719"/>
      <c r="T148" s="55" t="e">
        <f t="shared" ref="T148:V149" si="42">SUM(F148:R148)</f>
        <v>#REF!</v>
      </c>
      <c r="U148" s="666" t="e">
        <f t="shared" si="42"/>
        <v>#REF!</v>
      </c>
      <c r="V148" s="787" t="e">
        <f t="shared" si="42"/>
        <v>#REF!</v>
      </c>
      <c r="X148" s="1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R148" s="63"/>
      <c r="AX148" s="1"/>
      <c r="BD148" s="142"/>
      <c r="BE148" s="142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2"/>
      <c r="DA148" s="1"/>
      <c r="DP148" s="5"/>
      <c r="DQ148" s="142"/>
      <c r="DR148" s="142"/>
      <c r="DS148" s="142"/>
      <c r="DT148" s="142"/>
      <c r="FW148" s="142"/>
      <c r="JR148" s="142"/>
      <c r="JS148" s="142"/>
      <c r="JT148" s="142"/>
      <c r="JU148" s="142"/>
      <c r="OY148" s="142"/>
      <c r="OZ148" s="142"/>
      <c r="PB148" s="142"/>
      <c r="PP148" s="145"/>
      <c r="PT148" s="142"/>
      <c r="RW148" s="145"/>
      <c r="AHF148" s="141"/>
      <c r="AIU148" s="141"/>
      <c r="AIV148" s="141"/>
      <c r="AIW148" s="141"/>
    </row>
    <row r="149" spans="2:936" hidden="1" x14ac:dyDescent="0.25">
      <c r="B149" s="731"/>
      <c r="C149" s="436" t="s">
        <v>41</v>
      </c>
      <c r="D149" s="476"/>
      <c r="E149" s="496" t="s">
        <v>31</v>
      </c>
      <c r="F149" s="33">
        <f>'[20]Januari 24'!AL132</f>
        <v>30138</v>
      </c>
      <c r="G149" s="33" t="e">
        <f>'[20]Februari 24'!AI138</f>
        <v>#REF!</v>
      </c>
      <c r="H149" s="33">
        <f>'[20]Maret 24'!AL138</f>
        <v>0</v>
      </c>
      <c r="I149" s="33">
        <f>'[20]April 24'!AL138</f>
        <v>0</v>
      </c>
      <c r="J149" s="33">
        <f>'[20]Mei 24'!AL138</f>
        <v>0</v>
      </c>
      <c r="K149" s="33">
        <f>'[20]Juny 24'!AL129</f>
        <v>0</v>
      </c>
      <c r="L149" s="33">
        <f>'[20]July 24'!AL138</f>
        <v>0</v>
      </c>
      <c r="M149" s="33">
        <f>'[20]Agustus 24'!AL111</f>
        <v>0</v>
      </c>
      <c r="N149" s="33">
        <f>'[20]September 24'!AL138</f>
        <v>0</v>
      </c>
      <c r="O149" s="33" t="e">
        <f>'[20]September 24'!AM138</f>
        <v>#REF!</v>
      </c>
      <c r="P149" s="33"/>
      <c r="Q149" s="33">
        <f>'[20]November 24'!AL138</f>
        <v>0</v>
      </c>
      <c r="R149" s="33">
        <f>'[20]Desember 24'!AL138</f>
        <v>0</v>
      </c>
      <c r="S149" s="719"/>
      <c r="T149" s="55" t="e">
        <f t="shared" si="42"/>
        <v>#REF!</v>
      </c>
      <c r="U149" s="666" t="e">
        <f t="shared" si="42"/>
        <v>#REF!</v>
      </c>
      <c r="V149" s="787" t="e">
        <f t="shared" si="42"/>
        <v>#REF!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R149" s="63"/>
      <c r="AX149" s="1"/>
      <c r="BD149" s="142"/>
      <c r="BE149" s="14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2"/>
      <c r="DA149" s="1"/>
      <c r="DP149" s="5"/>
      <c r="DQ149" s="142"/>
      <c r="DR149" s="142"/>
      <c r="DS149" s="142"/>
      <c r="DT149" s="142"/>
      <c r="FW149" s="142"/>
      <c r="JR149" s="142"/>
      <c r="JS149" s="142"/>
      <c r="JT149" s="142"/>
      <c r="JU149" s="142"/>
      <c r="OY149" s="142"/>
      <c r="OZ149" s="142"/>
      <c r="PB149" s="142"/>
      <c r="PP149" s="145"/>
      <c r="PT149" s="142"/>
      <c r="RW149" s="145"/>
      <c r="AHF149" s="141"/>
      <c r="AIU149" s="141"/>
      <c r="AIV149" s="141"/>
      <c r="AIW149" s="141"/>
    </row>
    <row r="150" spans="2:936" hidden="1" x14ac:dyDescent="0.25">
      <c r="B150" s="731"/>
      <c r="C150" s="569" t="s">
        <v>28</v>
      </c>
      <c r="D150" s="476"/>
      <c r="E150" s="464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19"/>
      <c r="T150" s="64" t="s">
        <v>28</v>
      </c>
      <c r="U150" s="688" t="s">
        <v>28</v>
      </c>
      <c r="V150" s="786" t="s">
        <v>28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2"/>
      <c r="BE150" s="14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2"/>
      <c r="DA150" s="1"/>
      <c r="DP150" s="5"/>
      <c r="DQ150" s="142"/>
      <c r="DR150" s="142"/>
      <c r="DS150" s="142"/>
      <c r="DT150" s="142"/>
      <c r="FW150" s="142"/>
      <c r="JR150" s="142"/>
      <c r="JS150" s="142"/>
      <c r="JT150" s="142"/>
      <c r="JU150" s="142"/>
      <c r="OY150" s="142"/>
      <c r="OZ150" s="142"/>
      <c r="PB150" s="142"/>
      <c r="PP150" s="145"/>
      <c r="PT150" s="142"/>
      <c r="RW150" s="145"/>
      <c r="AHF150" s="141"/>
      <c r="AIU150" s="141"/>
      <c r="AIV150" s="141"/>
      <c r="AIW150" s="141"/>
    </row>
    <row r="151" spans="2:936" hidden="1" x14ac:dyDescent="0.25">
      <c r="B151" s="731"/>
      <c r="C151" s="436" t="str">
        <f>C148</f>
        <v xml:space="preserve">INL SP 900 mL  </v>
      </c>
      <c r="D151" s="476"/>
      <c r="E151" s="496" t="s">
        <v>28</v>
      </c>
      <c r="F151" s="33">
        <f>F148*12</f>
        <v>7035552</v>
      </c>
      <c r="G151" s="33" t="e">
        <f t="shared" ref="G151:L151" si="43">G148*12</f>
        <v>#REF!</v>
      </c>
      <c r="H151" s="33">
        <f t="shared" si="43"/>
        <v>0</v>
      </c>
      <c r="I151" s="33">
        <f t="shared" si="43"/>
        <v>0</v>
      </c>
      <c r="J151" s="33">
        <f t="shared" si="43"/>
        <v>0</v>
      </c>
      <c r="K151" s="33">
        <f t="shared" si="43"/>
        <v>0</v>
      </c>
      <c r="L151" s="33">
        <f t="shared" si="43"/>
        <v>0</v>
      </c>
      <c r="M151" s="33">
        <f>M148*12</f>
        <v>0</v>
      </c>
      <c r="N151" s="33">
        <f>N148*12</f>
        <v>0</v>
      </c>
      <c r="O151" s="33" t="e">
        <f>O148*12</f>
        <v>#REF!</v>
      </c>
      <c r="P151" s="33"/>
      <c r="Q151" s="33">
        <f>Q148*12</f>
        <v>0</v>
      </c>
      <c r="R151" s="33">
        <f>R148*12</f>
        <v>0</v>
      </c>
      <c r="S151" s="719"/>
      <c r="T151" s="55" t="e">
        <f t="shared" ref="T151:V152" si="44">SUM(F151:R151)</f>
        <v>#REF!</v>
      </c>
      <c r="U151" s="666" t="e">
        <f t="shared" si="44"/>
        <v>#REF!</v>
      </c>
      <c r="V151" s="787" t="e">
        <f t="shared" si="44"/>
        <v>#REF!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2"/>
      <c r="BE151" s="14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2"/>
      <c r="DA151" s="1"/>
      <c r="DP151" s="5"/>
      <c r="DQ151" s="142"/>
      <c r="DR151" s="142"/>
      <c r="DS151" s="142"/>
      <c r="DT151" s="142"/>
      <c r="FW151" s="142"/>
      <c r="JR151" s="142"/>
      <c r="JS151" s="142"/>
      <c r="JT151" s="142"/>
      <c r="JU151" s="142"/>
      <c r="OY151" s="142"/>
      <c r="OZ151" s="142"/>
      <c r="PB151" s="142"/>
      <c r="PP151" s="145"/>
      <c r="PT151" s="142"/>
      <c r="RW151" s="145"/>
      <c r="AHF151" s="141"/>
      <c r="AIU151" s="141"/>
      <c r="AIV151" s="141"/>
      <c r="AIW151" s="141"/>
    </row>
    <row r="152" spans="2:936" hidden="1" x14ac:dyDescent="0.25">
      <c r="B152" s="731"/>
      <c r="C152" s="436" t="str">
        <f>C149</f>
        <v>INL SP 1,8 L</v>
      </c>
      <c r="D152" s="476"/>
      <c r="E152" s="496" t="s">
        <v>28</v>
      </c>
      <c r="F152" s="33">
        <f>F149*6</f>
        <v>180828</v>
      </c>
      <c r="G152" s="33" t="e">
        <f t="shared" ref="G152:L152" si="45">G149*6</f>
        <v>#REF!</v>
      </c>
      <c r="H152" s="33">
        <f t="shared" si="45"/>
        <v>0</v>
      </c>
      <c r="I152" s="33">
        <f t="shared" si="45"/>
        <v>0</v>
      </c>
      <c r="J152" s="33">
        <f t="shared" si="45"/>
        <v>0</v>
      </c>
      <c r="K152" s="33">
        <f t="shared" si="45"/>
        <v>0</v>
      </c>
      <c r="L152" s="33">
        <f t="shared" si="45"/>
        <v>0</v>
      </c>
      <c r="M152" s="33">
        <f>M149*6</f>
        <v>0</v>
      </c>
      <c r="N152" s="33">
        <f>N149*6</f>
        <v>0</v>
      </c>
      <c r="O152" s="33" t="e">
        <f>O149*6</f>
        <v>#REF!</v>
      </c>
      <c r="P152" s="33"/>
      <c r="Q152" s="33">
        <f>Q149*6</f>
        <v>0</v>
      </c>
      <c r="R152" s="33">
        <f>R149*6</f>
        <v>0</v>
      </c>
      <c r="S152" s="719"/>
      <c r="T152" s="55" t="e">
        <f t="shared" si="44"/>
        <v>#REF!</v>
      </c>
      <c r="U152" s="666" t="e">
        <f t="shared" si="44"/>
        <v>#REF!</v>
      </c>
      <c r="V152" s="787" t="e">
        <f t="shared" si="44"/>
        <v>#REF!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31"/>
      <c r="C153" s="419" t="s">
        <v>30</v>
      </c>
      <c r="D153" s="77"/>
      <c r="E153" s="588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589"/>
      <c r="T153" s="95"/>
      <c r="U153" s="691"/>
      <c r="V153" s="791"/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31"/>
      <c r="C154" s="569" t="s">
        <v>29</v>
      </c>
      <c r="D154" s="476"/>
      <c r="E154" s="496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19"/>
      <c r="T154" s="55"/>
      <c r="U154" s="666"/>
      <c r="V154" s="787"/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31"/>
      <c r="C155" s="436" t="s">
        <v>42</v>
      </c>
      <c r="D155" s="476"/>
      <c r="E155" s="496" t="s">
        <v>25</v>
      </c>
      <c r="F155" s="440">
        <f>F148/F139*100</f>
        <v>1200</v>
      </c>
      <c r="G155" s="440" t="e">
        <f>G148/G139*100</f>
        <v>#REF!</v>
      </c>
      <c r="H155" s="440" t="e">
        <f t="shared" ref="H155:R156" si="46">H148/H139*100</f>
        <v>#DIV/0!</v>
      </c>
      <c r="I155" s="440" t="e">
        <f>I148/I139*100</f>
        <v>#DIV/0!</v>
      </c>
      <c r="J155" s="440" t="e">
        <f t="shared" si="46"/>
        <v>#DIV/0!</v>
      </c>
      <c r="K155" s="440" t="e">
        <f t="shared" si="46"/>
        <v>#DIV/0!</v>
      </c>
      <c r="L155" s="440" t="e">
        <f t="shared" si="46"/>
        <v>#DIV/0!</v>
      </c>
      <c r="M155" s="440" t="e">
        <f t="shared" si="46"/>
        <v>#DIV/0!</v>
      </c>
      <c r="N155" s="440" t="e">
        <f t="shared" si="46"/>
        <v>#DIV/0!</v>
      </c>
      <c r="O155" s="440" t="e">
        <f>O148/O139*100</f>
        <v>#REF!</v>
      </c>
      <c r="P155" s="440"/>
      <c r="Q155" s="440" t="e">
        <f t="shared" si="46"/>
        <v>#DIV/0!</v>
      </c>
      <c r="R155" s="440" t="e">
        <f t="shared" si="46"/>
        <v>#DIV/0!</v>
      </c>
      <c r="S155" s="719"/>
      <c r="T155" s="59" t="e">
        <f>T148/T139*100</f>
        <v>#REF!</v>
      </c>
      <c r="U155" s="666"/>
      <c r="V155" s="787"/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31"/>
      <c r="C156" s="436" t="s">
        <v>41</v>
      </c>
      <c r="D156" s="476"/>
      <c r="E156" s="496" t="s">
        <v>25</v>
      </c>
      <c r="F156" s="440">
        <f>F149/F140*100</f>
        <v>600</v>
      </c>
      <c r="G156" s="440" t="e">
        <f>G149/G140*100</f>
        <v>#REF!</v>
      </c>
      <c r="H156" s="440" t="e">
        <f t="shared" si="46"/>
        <v>#DIV/0!</v>
      </c>
      <c r="I156" s="440" t="e">
        <f t="shared" si="46"/>
        <v>#DIV/0!</v>
      </c>
      <c r="J156" s="440" t="e">
        <f t="shared" si="46"/>
        <v>#DIV/0!</v>
      </c>
      <c r="K156" s="440" t="e">
        <f t="shared" si="46"/>
        <v>#DIV/0!</v>
      </c>
      <c r="L156" s="440" t="e">
        <f t="shared" si="46"/>
        <v>#DIV/0!</v>
      </c>
      <c r="M156" s="440" t="e">
        <f t="shared" si="46"/>
        <v>#DIV/0!</v>
      </c>
      <c r="N156" s="440" t="e">
        <f t="shared" si="46"/>
        <v>#DIV/0!</v>
      </c>
      <c r="O156" s="440" t="e">
        <f>O149/O140*100</f>
        <v>#REF!</v>
      </c>
      <c r="P156" s="440"/>
      <c r="Q156" s="440" t="e">
        <f t="shared" si="46"/>
        <v>#DIV/0!</v>
      </c>
      <c r="R156" s="440" t="e">
        <f t="shared" si="46"/>
        <v>#DIV/0!</v>
      </c>
      <c r="S156" s="719"/>
      <c r="T156" s="59" t="e">
        <f>T149/T140*100</f>
        <v>#REF!</v>
      </c>
      <c r="U156" s="666"/>
      <c r="V156" s="787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31"/>
      <c r="C157" s="569" t="s">
        <v>28</v>
      </c>
      <c r="D157" s="476"/>
      <c r="E157" s="496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19"/>
      <c r="T157" s="55"/>
      <c r="U157" s="666"/>
      <c r="V157" s="787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31"/>
      <c r="C158" s="436" t="s">
        <v>42</v>
      </c>
      <c r="D158" s="476"/>
      <c r="E158" s="496" t="s">
        <v>25</v>
      </c>
      <c r="F158" s="440">
        <f>F151/F142*100</f>
        <v>1200</v>
      </c>
      <c r="G158" s="440" t="e">
        <f>G151/G142*100</f>
        <v>#REF!</v>
      </c>
      <c r="H158" s="440" t="e">
        <f t="shared" ref="H158:R159" si="47">H151/H142*100</f>
        <v>#DIV/0!</v>
      </c>
      <c r="I158" s="440" t="e">
        <f t="shared" si="47"/>
        <v>#DIV/0!</v>
      </c>
      <c r="J158" s="440" t="e">
        <f t="shared" si="47"/>
        <v>#DIV/0!</v>
      </c>
      <c r="K158" s="440" t="e">
        <f t="shared" si="47"/>
        <v>#DIV/0!</v>
      </c>
      <c r="L158" s="440" t="e">
        <f t="shared" si="47"/>
        <v>#DIV/0!</v>
      </c>
      <c r="M158" s="440" t="e">
        <f t="shared" si="47"/>
        <v>#DIV/0!</v>
      </c>
      <c r="N158" s="440" t="e">
        <f t="shared" si="47"/>
        <v>#DIV/0!</v>
      </c>
      <c r="O158" s="440" t="e">
        <f>O151/O142*100</f>
        <v>#REF!</v>
      </c>
      <c r="P158" s="440"/>
      <c r="Q158" s="440" t="e">
        <f t="shared" si="47"/>
        <v>#DIV/0!</v>
      </c>
      <c r="R158" s="440" t="e">
        <f t="shared" si="47"/>
        <v>#DIV/0!</v>
      </c>
      <c r="S158" s="719"/>
      <c r="T158" s="59" t="e">
        <f>T151/T142*100</f>
        <v>#REF!</v>
      </c>
      <c r="U158" s="666"/>
      <c r="V158" s="787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31"/>
      <c r="C159" s="436" t="s">
        <v>41</v>
      </c>
      <c r="D159" s="476"/>
      <c r="E159" s="496" t="s">
        <v>25</v>
      </c>
      <c r="F159" s="440">
        <f>F152/F143*100</f>
        <v>600</v>
      </c>
      <c r="G159" s="440" t="e">
        <f>G152/G143*100</f>
        <v>#REF!</v>
      </c>
      <c r="H159" s="440" t="e">
        <f t="shared" si="47"/>
        <v>#DIV/0!</v>
      </c>
      <c r="I159" s="440" t="e">
        <f t="shared" si="47"/>
        <v>#DIV/0!</v>
      </c>
      <c r="J159" s="440" t="e">
        <f t="shared" si="47"/>
        <v>#DIV/0!</v>
      </c>
      <c r="K159" s="440" t="e">
        <f t="shared" si="47"/>
        <v>#DIV/0!</v>
      </c>
      <c r="L159" s="440" t="e">
        <f t="shared" si="47"/>
        <v>#DIV/0!</v>
      </c>
      <c r="M159" s="440" t="e">
        <f t="shared" si="47"/>
        <v>#DIV/0!</v>
      </c>
      <c r="N159" s="440" t="e">
        <f t="shared" si="47"/>
        <v>#DIV/0!</v>
      </c>
      <c r="O159" s="440" t="e">
        <f>O152/O143*100</f>
        <v>#REF!</v>
      </c>
      <c r="P159" s="440"/>
      <c r="Q159" s="440" t="e">
        <f t="shared" si="47"/>
        <v>#DIV/0!</v>
      </c>
      <c r="R159" s="440" t="e">
        <f t="shared" si="47"/>
        <v>#DIV/0!</v>
      </c>
      <c r="S159" s="719"/>
      <c r="T159" s="59" t="e">
        <f>T152/T143*100</f>
        <v>#REF!</v>
      </c>
      <c r="U159" s="666"/>
      <c r="V159" s="787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27">
        <v>8</v>
      </c>
      <c r="C160" s="419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3"/>
      <c r="T160" s="522" t="s">
        <v>130</v>
      </c>
      <c r="U160" s="677" t="s">
        <v>130</v>
      </c>
      <c r="V160" s="777" t="s">
        <v>130</v>
      </c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1"/>
      <c r="BE160" s="14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1"/>
      <c r="DA160" s="1"/>
      <c r="DP160" s="5"/>
      <c r="DQ160" s="141"/>
      <c r="DR160" s="141"/>
      <c r="DS160" s="141"/>
      <c r="DT160" s="141"/>
      <c r="FW160" s="141"/>
      <c r="JR160" s="141"/>
      <c r="JS160" s="141"/>
      <c r="JT160" s="141"/>
      <c r="JU160" s="141"/>
      <c r="OY160" s="141"/>
      <c r="OZ160" s="141"/>
      <c r="PB160" s="141"/>
      <c r="PP160" s="481"/>
      <c r="PT160" s="141"/>
      <c r="RW160" s="481"/>
      <c r="AHF160" s="141"/>
      <c r="AIU160" s="141"/>
      <c r="AIV160" s="141"/>
      <c r="AIW160" s="141"/>
    </row>
    <row r="161" spans="2:933" hidden="1" x14ac:dyDescent="0.25">
      <c r="B161" s="731"/>
      <c r="C161" s="579" t="s">
        <v>115</v>
      </c>
      <c r="D161" s="580"/>
      <c r="E161" s="20" t="s">
        <v>14</v>
      </c>
      <c r="F161" s="590">
        <f>'[20]Januari 24'!AL150</f>
        <v>0</v>
      </c>
      <c r="G161" s="590" t="e">
        <f>'[20]Februari 24'!AI150</f>
        <v>#REF!</v>
      </c>
      <c r="H161" s="590">
        <f>'[20]Maret 24'!AL150</f>
        <v>0</v>
      </c>
      <c r="I161" s="590">
        <f>'[20]April 24'!AL150</f>
        <v>0</v>
      </c>
      <c r="J161" s="590">
        <f>'[20]Mei 24'!AL150</f>
        <v>0</v>
      </c>
      <c r="K161" s="590" t="e">
        <f>'[20]July 24'!AM107</f>
        <v>#REF!</v>
      </c>
      <c r="L161" s="590">
        <f>'[20]July 24'!AL150</f>
        <v>0</v>
      </c>
      <c r="M161" s="590">
        <f>'[20]Agustus 24'!AL150</f>
        <v>0</v>
      </c>
      <c r="N161" s="590">
        <f>'[20]September 24'!AL150</f>
        <v>0</v>
      </c>
      <c r="O161" s="590" t="e">
        <f>'[20]September 24'!AM150</f>
        <v>#REF!</v>
      </c>
      <c r="P161" s="590"/>
      <c r="Q161" s="590">
        <f>'[20]November 24'!AL150</f>
        <v>0</v>
      </c>
      <c r="R161" s="590">
        <f>'[20]Desember 24'!AL156</f>
        <v>0</v>
      </c>
      <c r="S161" s="733"/>
      <c r="T161" s="89" t="e">
        <f>SUM(T162:T163)</f>
        <v>#REF!</v>
      </c>
      <c r="U161" s="686" t="e">
        <f>SUM(U162:U163)</f>
        <v>#REF!</v>
      </c>
      <c r="V161" s="788" t="e">
        <f>SUM(V162:V163)</f>
        <v>#REF!</v>
      </c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2"/>
      <c r="BE161" s="142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2"/>
      <c r="DA161" s="1"/>
      <c r="DP161" s="5"/>
      <c r="DQ161" s="142"/>
      <c r="DR161" s="142"/>
      <c r="DS161" s="142"/>
      <c r="DT161" s="142"/>
      <c r="FW161" s="142"/>
      <c r="JR161" s="142"/>
      <c r="JS161" s="142"/>
      <c r="JT161" s="142"/>
      <c r="JU161" s="142"/>
      <c r="OY161" s="142"/>
      <c r="OZ161" s="142"/>
      <c r="PB161" s="142"/>
      <c r="PP161" s="145"/>
      <c r="PT161" s="142"/>
      <c r="RW161" s="145"/>
      <c r="AHF161" s="141"/>
      <c r="AIU161" s="141"/>
      <c r="AIV161" s="141"/>
      <c r="AIW161" s="141"/>
    </row>
    <row r="162" spans="2:933" hidden="1" x14ac:dyDescent="0.25">
      <c r="B162" s="731"/>
      <c r="C162" s="569" t="s">
        <v>39</v>
      </c>
      <c r="D162" s="476"/>
      <c r="E162" s="496" t="s">
        <v>14</v>
      </c>
      <c r="F162" s="440">
        <f>SUM(F166:F168)*9.75348</f>
        <v>0</v>
      </c>
      <c r="G162" s="440">
        <f t="shared" ref="G162:R162" si="48">SUM(G166:G168)*9.75348</f>
        <v>63348.852599999998</v>
      </c>
      <c r="H162" s="440">
        <f>'[20]Maret 24'!AL151</f>
        <v>0</v>
      </c>
      <c r="I162" s="440">
        <f>'[20]April 24'!AL151</f>
        <v>0</v>
      </c>
      <c r="J162" s="440">
        <f t="shared" si="48"/>
        <v>0</v>
      </c>
      <c r="K162" s="440">
        <f t="shared" si="48"/>
        <v>0</v>
      </c>
      <c r="L162" s="440">
        <f t="shared" si="48"/>
        <v>0</v>
      </c>
      <c r="M162" s="440">
        <f>'[20]Agustus 24'!AL124</f>
        <v>0</v>
      </c>
      <c r="N162" s="440">
        <f>SUM(N166:N168)*9.75348</f>
        <v>0</v>
      </c>
      <c r="O162" s="440" t="e">
        <f>SUM(O166:O168)*9.75348</f>
        <v>#REF!</v>
      </c>
      <c r="P162" s="440"/>
      <c r="Q162" s="440" t="e">
        <f t="shared" si="48"/>
        <v>#REF!</v>
      </c>
      <c r="R162" s="440">
        <f t="shared" si="48"/>
        <v>0</v>
      </c>
      <c r="S162" s="719"/>
      <c r="T162" s="59" t="e">
        <f t="shared" ref="T162:V163" si="49">SUM(F162:R162)</f>
        <v>#REF!</v>
      </c>
      <c r="U162" s="669" t="e">
        <f t="shared" si="49"/>
        <v>#REF!</v>
      </c>
      <c r="V162" s="770" t="e">
        <f t="shared" si="49"/>
        <v>#REF!</v>
      </c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31"/>
      <c r="C163" s="569" t="s">
        <v>38</v>
      </c>
      <c r="D163" s="476"/>
      <c r="E163" s="496" t="s">
        <v>14</v>
      </c>
      <c r="F163" s="440">
        <f>F161-F162</f>
        <v>0</v>
      </c>
      <c r="G163" s="440" t="e">
        <f>G161-G162</f>
        <v>#REF!</v>
      </c>
      <c r="H163" s="440">
        <f t="shared" ref="H163:R163" si="50">H161-H162</f>
        <v>0</v>
      </c>
      <c r="I163" s="440">
        <f t="shared" si="50"/>
        <v>0</v>
      </c>
      <c r="J163" s="440">
        <f t="shared" si="50"/>
        <v>0</v>
      </c>
      <c r="K163" s="440" t="e">
        <f t="shared" si="50"/>
        <v>#REF!</v>
      </c>
      <c r="L163" s="440">
        <f t="shared" si="50"/>
        <v>0</v>
      </c>
      <c r="M163" s="440">
        <f t="shared" si="50"/>
        <v>0</v>
      </c>
      <c r="N163" s="439">
        <f t="shared" si="50"/>
        <v>0</v>
      </c>
      <c r="O163" s="439" t="e">
        <f>O161-O162</f>
        <v>#REF!</v>
      </c>
      <c r="P163" s="439"/>
      <c r="Q163" s="440" t="e">
        <f t="shared" si="50"/>
        <v>#REF!</v>
      </c>
      <c r="R163" s="440">
        <f t="shared" si="50"/>
        <v>0</v>
      </c>
      <c r="S163" s="719"/>
      <c r="T163" s="59" t="e">
        <f t="shared" si="49"/>
        <v>#REF!</v>
      </c>
      <c r="U163" s="669" t="e">
        <f t="shared" si="49"/>
        <v>#REF!</v>
      </c>
      <c r="V163" s="770" t="e">
        <f t="shared" si="49"/>
        <v>#REF!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2"/>
      <c r="BE163" s="14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2"/>
      <c r="DA163" s="1"/>
      <c r="DP163" s="5"/>
      <c r="DQ163" s="142"/>
      <c r="DR163" s="142"/>
      <c r="DS163" s="142"/>
      <c r="DT163" s="142"/>
      <c r="FW163" s="142"/>
      <c r="JR163" s="142"/>
      <c r="JS163" s="142"/>
      <c r="JT163" s="142"/>
      <c r="JU163" s="142"/>
      <c r="OY163" s="142"/>
      <c r="OZ163" s="142"/>
      <c r="PB163" s="142"/>
      <c r="PP163" s="145"/>
      <c r="PT163" s="142"/>
      <c r="RW163" s="145"/>
      <c r="AHF163" s="141"/>
      <c r="AIU163" s="141"/>
      <c r="AIV163" s="141"/>
      <c r="AIW163" s="141"/>
    </row>
    <row r="164" spans="2:933" hidden="1" x14ac:dyDescent="0.25">
      <c r="B164" s="731"/>
      <c r="C164" s="569" t="s">
        <v>29</v>
      </c>
      <c r="D164" s="476"/>
      <c r="E164" s="464"/>
      <c r="F164" s="439"/>
      <c r="G164" s="439" t="s">
        <v>351</v>
      </c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719"/>
      <c r="T164" s="64" t="s">
        <v>29</v>
      </c>
      <c r="U164" s="688" t="s">
        <v>29</v>
      </c>
      <c r="V164" s="786" t="s">
        <v>29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31"/>
      <c r="C165" s="436" t="s">
        <v>116</v>
      </c>
      <c r="D165" s="476"/>
      <c r="E165" s="573" t="s">
        <v>31</v>
      </c>
      <c r="F165" s="439">
        <f>'[20]Januari 24'!AL154</f>
        <v>0</v>
      </c>
      <c r="G165" s="439">
        <f>'[20]Februari 24'!AL154</f>
        <v>202</v>
      </c>
      <c r="H165" s="439">
        <f>'[20]Maret 24'!AL154</f>
        <v>0</v>
      </c>
      <c r="I165" s="439">
        <f>'[20]April 24'!AL154</f>
        <v>0</v>
      </c>
      <c r="J165" s="439">
        <f>'[20]Mei 24'!AL154</f>
        <v>0</v>
      </c>
      <c r="K165" s="439">
        <f>'[20]Juny 24'!AL154</f>
        <v>0</v>
      </c>
      <c r="L165" s="439">
        <f>'[20]July 24'!AL154</f>
        <v>0</v>
      </c>
      <c r="M165" s="439">
        <f>'[20]Agustus 24'!AL154</f>
        <v>0</v>
      </c>
      <c r="N165" s="439">
        <f>'[20]September 24'!AL154</f>
        <v>0</v>
      </c>
      <c r="O165" s="439" t="e">
        <f>'[20]September 24'!AM154</f>
        <v>#REF!</v>
      </c>
      <c r="P165" s="439"/>
      <c r="Q165" s="439"/>
      <c r="R165" s="439"/>
      <c r="S165" s="719"/>
      <c r="T165" s="64"/>
      <c r="U165" s="688">
        <v>11326</v>
      </c>
      <c r="V165" s="786"/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2"/>
      <c r="BE165" s="14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2"/>
      <c r="DA165" s="1"/>
      <c r="DP165" s="5"/>
      <c r="DQ165" s="142"/>
      <c r="DR165" s="142"/>
      <c r="DS165" s="142"/>
      <c r="DT165" s="142"/>
      <c r="FW165" s="142"/>
      <c r="JR165" s="142"/>
      <c r="JS165" s="142"/>
      <c r="JT165" s="142"/>
      <c r="JU165" s="142"/>
      <c r="OY165" s="142"/>
      <c r="OZ165" s="142"/>
      <c r="PB165" s="142"/>
      <c r="PP165" s="145"/>
      <c r="PT165" s="142"/>
      <c r="RW165" s="145"/>
      <c r="AHF165" s="141"/>
      <c r="AIU165" s="141"/>
      <c r="AIV165" s="141"/>
      <c r="AIW165" s="141"/>
    </row>
    <row r="166" spans="2:933" hidden="1" x14ac:dyDescent="0.25">
      <c r="B166" s="732"/>
      <c r="C166" s="436" t="s">
        <v>27</v>
      </c>
      <c r="D166" s="437"/>
      <c r="E166" s="573" t="s">
        <v>31</v>
      </c>
      <c r="F166" s="282">
        <f>'[20]Januari 24'!AL155</f>
        <v>0</v>
      </c>
      <c r="G166" s="282">
        <f>'[20]Februari 24'!AL155</f>
        <v>1126</v>
      </c>
      <c r="H166" s="282">
        <f>'[20]Maret 24'!AL155</f>
        <v>0</v>
      </c>
      <c r="I166" s="282">
        <f>'[20]April 24'!AL155</f>
        <v>0</v>
      </c>
      <c r="J166" s="282">
        <f>'[20]Mei 24'!AL155</f>
        <v>0</v>
      </c>
      <c r="K166" s="282">
        <f>'[20]Juny 24'!AL155</f>
        <v>0</v>
      </c>
      <c r="L166" s="282">
        <f>'[20]July 24'!AL155</f>
        <v>0</v>
      </c>
      <c r="M166" s="282">
        <f>'[20]Agustus 24'!AL155</f>
        <v>0</v>
      </c>
      <c r="N166" s="282">
        <f>'[20]September 24'!AL155</f>
        <v>0</v>
      </c>
      <c r="O166" s="282" t="e">
        <f>'[20]September 24'!AM155</f>
        <v>#REF!</v>
      </c>
      <c r="P166" s="282"/>
      <c r="Q166" s="282" t="e">
        <f>'[20]November 24'!AK159</f>
        <v>#REF!</v>
      </c>
      <c r="R166" s="282">
        <f>'[20]Desember 24'!AL160</f>
        <v>0</v>
      </c>
      <c r="S166" s="721"/>
      <c r="T166" s="91" t="e">
        <f>SUM(F166:R166)</f>
        <v>#REF!</v>
      </c>
      <c r="U166" s="689">
        <v>62922</v>
      </c>
      <c r="V166" s="790" t="e">
        <f>SUM(H166:T166)</f>
        <v>#REF!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6"/>
      <c r="BD166" s="148"/>
      <c r="BE166" s="148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8"/>
      <c r="DA166" s="1"/>
      <c r="DP166" s="517"/>
      <c r="DQ166" s="148"/>
      <c r="DR166" s="148"/>
      <c r="DS166" s="148"/>
      <c r="DT166" s="148"/>
      <c r="FW166" s="148"/>
      <c r="JR166" s="148"/>
      <c r="JS166" s="148"/>
      <c r="JT166" s="148"/>
      <c r="JU166" s="148"/>
      <c r="OY166" s="148"/>
      <c r="OZ166" s="148"/>
      <c r="PB166" s="148"/>
      <c r="PP166" s="574"/>
      <c r="PT166" s="148"/>
      <c r="RW166" s="574"/>
      <c r="AHF166" s="144"/>
      <c r="AIU166" s="144"/>
      <c r="AIV166" s="144"/>
      <c r="AIW166" s="144"/>
    </row>
    <row r="167" spans="2:933" hidden="1" x14ac:dyDescent="0.25">
      <c r="B167" s="732"/>
      <c r="C167" s="436" t="s">
        <v>26</v>
      </c>
      <c r="D167" s="437"/>
      <c r="E167" s="573" t="s">
        <v>31</v>
      </c>
      <c r="F167" s="282">
        <f>'[20]Januari 24'!AL156</f>
        <v>0</v>
      </c>
      <c r="G167" s="282">
        <f>'[20]Februari 24'!AL156</f>
        <v>5369</v>
      </c>
      <c r="H167" s="282">
        <f>'[20]Maret 24'!AL156</f>
        <v>0</v>
      </c>
      <c r="I167" s="282">
        <f>'[20]April 24'!AL156</f>
        <v>0</v>
      </c>
      <c r="J167" s="282">
        <f>'[20]Mei 24'!AL156</f>
        <v>0</v>
      </c>
      <c r="K167" s="282">
        <f>'[20]Juny 24'!AL156</f>
        <v>0</v>
      </c>
      <c r="L167" s="282">
        <f>'[20]July 24'!AL156</f>
        <v>0</v>
      </c>
      <c r="M167" s="282">
        <f>'[20]Agustus 24'!AL156</f>
        <v>0</v>
      </c>
      <c r="N167" s="282">
        <f>'[20]September 24'!AL156</f>
        <v>0</v>
      </c>
      <c r="O167" s="282" t="e">
        <f>'[20]September 24'!AM156</f>
        <v>#REF!</v>
      </c>
      <c r="P167" s="282"/>
      <c r="Q167" s="282" t="e">
        <f>'[20]November 24'!AK160</f>
        <v>#REF!</v>
      </c>
      <c r="R167" s="282">
        <f>'[20]Desember 24'!AL161</f>
        <v>0</v>
      </c>
      <c r="S167" s="721"/>
      <c r="T167" s="91" t="e">
        <f>SUM(F167:R167)</f>
        <v>#REF!</v>
      </c>
      <c r="U167" s="689">
        <v>172089</v>
      </c>
      <c r="V167" s="790" t="e">
        <f>SUM(H167:T167)</f>
        <v>#REF!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6"/>
      <c r="BD167" s="148"/>
      <c r="BE167" s="148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8"/>
      <c r="DA167" s="1"/>
      <c r="DP167" s="517"/>
      <c r="DQ167" s="148"/>
      <c r="DR167" s="148"/>
      <c r="DS167" s="148"/>
      <c r="DT167" s="148"/>
      <c r="FW167" s="148"/>
      <c r="JR167" s="148"/>
      <c r="JS167" s="148"/>
      <c r="JT167" s="148"/>
      <c r="JU167" s="148"/>
      <c r="OY167" s="148"/>
      <c r="OZ167" s="148"/>
      <c r="PB167" s="148"/>
      <c r="PP167" s="574"/>
      <c r="PT167" s="148"/>
      <c r="RW167" s="574"/>
      <c r="AHF167" s="144"/>
      <c r="AIU167" s="144"/>
      <c r="AIV167" s="144"/>
      <c r="AIW167" s="144"/>
    </row>
    <row r="168" spans="2:933" hidden="1" x14ac:dyDescent="0.25">
      <c r="B168" s="732"/>
      <c r="C168" s="436" t="s">
        <v>37</v>
      </c>
      <c r="D168" s="437"/>
      <c r="E168" s="573" t="s">
        <v>31</v>
      </c>
      <c r="F168" s="282">
        <f>'[20]Januari 24'!AL157</f>
        <v>0</v>
      </c>
      <c r="G168" s="282">
        <f>'[20]Februari 24'!AL157</f>
        <v>0</v>
      </c>
      <c r="H168" s="282">
        <f>'[20]Maret 24'!AL157</f>
        <v>0</v>
      </c>
      <c r="I168" s="282">
        <f>'[20]April 24'!AL157</f>
        <v>0</v>
      </c>
      <c r="J168" s="282">
        <f>'[20]Mei 24'!AL157</f>
        <v>0</v>
      </c>
      <c r="K168" s="282">
        <f>'[20]Juny 24'!AL157</f>
        <v>0</v>
      </c>
      <c r="L168" s="282">
        <f>'[20]July 24'!AL157</f>
        <v>0</v>
      </c>
      <c r="M168" s="282">
        <f>'[20]Agustus 24'!AL157</f>
        <v>0</v>
      </c>
      <c r="N168" s="282">
        <f>'[20]September 24'!AL157</f>
        <v>0</v>
      </c>
      <c r="O168" s="282" t="e">
        <f>'[20]September 24'!AM157</f>
        <v>#REF!</v>
      </c>
      <c r="P168" s="282"/>
      <c r="Q168" s="282" t="e">
        <f>'[20]November 24'!AK161</f>
        <v>#REF!</v>
      </c>
      <c r="R168" s="282">
        <f>'[20]Desember 24'!AL162</f>
        <v>0</v>
      </c>
      <c r="S168" s="721"/>
      <c r="T168" s="91" t="e">
        <f>SUM(F168:R168)</f>
        <v>#REF!</v>
      </c>
      <c r="U168" s="689" t="e">
        <f>SUM(G168:S168)</f>
        <v>#REF!</v>
      </c>
      <c r="V168" s="790" t="e">
        <f>SUM(H168:T168)</f>
        <v>#REF!</v>
      </c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6"/>
      <c r="BD168" s="148"/>
      <c r="BE168" s="148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8"/>
      <c r="DA168" s="1"/>
      <c r="DP168" s="517"/>
      <c r="DQ168" s="148"/>
      <c r="DR168" s="148"/>
      <c r="DS168" s="148"/>
      <c r="DT168" s="148"/>
      <c r="FW168" s="148"/>
      <c r="JR168" s="148"/>
      <c r="JS168" s="148"/>
      <c r="JT168" s="148"/>
      <c r="JU168" s="148"/>
      <c r="OY168" s="148"/>
      <c r="OZ168" s="148"/>
      <c r="PB168" s="148"/>
      <c r="PP168" s="574"/>
      <c r="PT168" s="148"/>
      <c r="RW168" s="574"/>
      <c r="AHF168" s="144"/>
      <c r="AIU168" s="144"/>
      <c r="AIV168" s="144"/>
      <c r="AIW168" s="144"/>
    </row>
    <row r="169" spans="2:933" hidden="1" x14ac:dyDescent="0.25">
      <c r="B169" s="731"/>
      <c r="C169" s="569" t="s">
        <v>28</v>
      </c>
      <c r="D169" s="476"/>
      <c r="E169" s="464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719"/>
      <c r="T169" s="64" t="s">
        <v>28</v>
      </c>
      <c r="U169" s="688" t="s">
        <v>28</v>
      </c>
      <c r="V169" s="786" t="s">
        <v>28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"/>
      <c r="BD169" s="142"/>
      <c r="BE169" s="142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2"/>
      <c r="DA169" s="1"/>
      <c r="DP169" s="5"/>
      <c r="DQ169" s="142"/>
      <c r="DR169" s="142"/>
      <c r="DS169" s="142"/>
      <c r="DT169" s="142"/>
      <c r="FW169" s="142"/>
      <c r="JR169" s="142"/>
      <c r="JS169" s="142"/>
      <c r="JT169" s="142"/>
      <c r="JU169" s="142"/>
      <c r="OY169" s="142"/>
      <c r="OZ169" s="142"/>
      <c r="PB169" s="142"/>
      <c r="PP169" s="145"/>
      <c r="PT169" s="142"/>
      <c r="RW169" s="145"/>
      <c r="AHF169" s="141"/>
      <c r="AIU169" s="141"/>
      <c r="AIV169" s="141"/>
      <c r="AIW169" s="141"/>
    </row>
    <row r="170" spans="2:933" hidden="1" x14ac:dyDescent="0.25">
      <c r="B170" s="731"/>
      <c r="C170" s="436" t="s">
        <v>27</v>
      </c>
      <c r="D170" s="476"/>
      <c r="E170" s="496" t="s">
        <v>28</v>
      </c>
      <c r="F170" s="439">
        <f>F166*24</f>
        <v>0</v>
      </c>
      <c r="G170" s="439">
        <f>G166*24</f>
        <v>27024</v>
      </c>
      <c r="H170" s="439">
        <f t="shared" ref="H170:R170" si="51">H166*24</f>
        <v>0</v>
      </c>
      <c r="I170" s="439">
        <f t="shared" si="51"/>
        <v>0</v>
      </c>
      <c r="J170" s="439">
        <f t="shared" si="51"/>
        <v>0</v>
      </c>
      <c r="K170" s="439">
        <f t="shared" si="51"/>
        <v>0</v>
      </c>
      <c r="L170" s="439">
        <f t="shared" si="51"/>
        <v>0</v>
      </c>
      <c r="M170" s="439">
        <f t="shared" si="51"/>
        <v>0</v>
      </c>
      <c r="N170" s="439">
        <f t="shared" si="51"/>
        <v>0</v>
      </c>
      <c r="O170" s="439" t="e">
        <f>O166*24</f>
        <v>#REF!</v>
      </c>
      <c r="P170" s="439"/>
      <c r="Q170" s="439" t="e">
        <f t="shared" si="51"/>
        <v>#REF!</v>
      </c>
      <c r="R170" s="439">
        <f t="shared" si="51"/>
        <v>0</v>
      </c>
      <c r="S170" s="719"/>
      <c r="T170" s="55" t="e">
        <f>T166*24</f>
        <v>#REF!</v>
      </c>
      <c r="U170" s="666">
        <f>U166*24</f>
        <v>1510128</v>
      </c>
      <c r="V170" s="787" t="e">
        <f>V166*24</f>
        <v>#REF!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"/>
      <c r="BD170" s="142"/>
      <c r="BE170" s="142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2"/>
      <c r="DA170" s="1"/>
      <c r="DP170" s="5"/>
      <c r="DQ170" s="142"/>
      <c r="DR170" s="142"/>
      <c r="DS170" s="142"/>
      <c r="DT170" s="142"/>
      <c r="FW170" s="142"/>
      <c r="JR170" s="142"/>
      <c r="JS170" s="142"/>
      <c r="JT170" s="142"/>
      <c r="JU170" s="142"/>
      <c r="OY170" s="142"/>
      <c r="OZ170" s="142"/>
      <c r="PB170" s="142"/>
      <c r="PP170" s="145"/>
      <c r="PT170" s="142"/>
      <c r="RW170" s="145"/>
      <c r="AHF170" s="141"/>
      <c r="AIU170" s="141"/>
      <c r="AIV170" s="141"/>
      <c r="AIW170" s="141"/>
    </row>
    <row r="171" spans="2:933" hidden="1" x14ac:dyDescent="0.25">
      <c r="B171" s="731"/>
      <c r="C171" s="436" t="s">
        <v>26</v>
      </c>
      <c r="D171" s="476"/>
      <c r="E171" s="496" t="s">
        <v>28</v>
      </c>
      <c r="F171" s="439">
        <f>F167*12</f>
        <v>0</v>
      </c>
      <c r="G171" s="439">
        <f>G167*12</f>
        <v>64428</v>
      </c>
      <c r="H171" s="439">
        <f t="shared" ref="H171:R171" si="52">H167*12</f>
        <v>0</v>
      </c>
      <c r="I171" s="439">
        <f t="shared" si="52"/>
        <v>0</v>
      </c>
      <c r="J171" s="439">
        <f t="shared" si="52"/>
        <v>0</v>
      </c>
      <c r="K171" s="439">
        <f t="shared" si="52"/>
        <v>0</v>
      </c>
      <c r="L171" s="439">
        <f t="shared" si="52"/>
        <v>0</v>
      </c>
      <c r="M171" s="439">
        <f t="shared" si="52"/>
        <v>0</v>
      </c>
      <c r="N171" s="439">
        <f t="shared" si="52"/>
        <v>0</v>
      </c>
      <c r="O171" s="439" t="e">
        <f>O167*12</f>
        <v>#REF!</v>
      </c>
      <c r="P171" s="439"/>
      <c r="Q171" s="439" t="e">
        <f t="shared" si="52"/>
        <v>#REF!</v>
      </c>
      <c r="R171" s="439">
        <f t="shared" si="52"/>
        <v>0</v>
      </c>
      <c r="S171" s="719"/>
      <c r="T171" s="55" t="e">
        <f>T167*12</f>
        <v>#REF!</v>
      </c>
      <c r="U171" s="666">
        <f>U167*12</f>
        <v>2065068</v>
      </c>
      <c r="V171" s="787" t="e">
        <f>V167*12</f>
        <v>#REF!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"/>
      <c r="BD171" s="142"/>
      <c r="BE171" s="142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2"/>
      <c r="DA171" s="1"/>
      <c r="DP171" s="5"/>
      <c r="DQ171" s="142"/>
      <c r="DR171" s="142"/>
      <c r="DS171" s="142"/>
      <c r="DT171" s="142"/>
      <c r="FW171" s="142"/>
      <c r="JR171" s="142"/>
      <c r="JS171" s="142"/>
      <c r="JT171" s="142"/>
      <c r="JU171" s="142"/>
      <c r="OY171" s="142"/>
      <c r="OZ171" s="142"/>
      <c r="PB171" s="142"/>
      <c r="PP171" s="145"/>
      <c r="PT171" s="142"/>
      <c r="RW171" s="145"/>
      <c r="AHF171" s="141"/>
      <c r="AIU171" s="141"/>
      <c r="AIV171" s="141"/>
      <c r="AIW171" s="141"/>
    </row>
    <row r="172" spans="2:933" hidden="1" x14ac:dyDescent="0.25">
      <c r="B172" s="731"/>
      <c r="C172" s="436" t="s">
        <v>37</v>
      </c>
      <c r="D172" s="476"/>
      <c r="E172" s="496" t="s">
        <v>28</v>
      </c>
      <c r="F172" s="439">
        <f>F168*6</f>
        <v>0</v>
      </c>
      <c r="G172" s="439">
        <f>G168*6</f>
        <v>0</v>
      </c>
      <c r="H172" s="439">
        <f t="shared" ref="H172:R172" si="53">H168*6</f>
        <v>0</v>
      </c>
      <c r="I172" s="439">
        <f t="shared" si="53"/>
        <v>0</v>
      </c>
      <c r="J172" s="439">
        <f t="shared" si="53"/>
        <v>0</v>
      </c>
      <c r="K172" s="439">
        <f t="shared" si="53"/>
        <v>0</v>
      </c>
      <c r="L172" s="439">
        <f t="shared" si="53"/>
        <v>0</v>
      </c>
      <c r="M172" s="439">
        <f t="shared" si="53"/>
        <v>0</v>
      </c>
      <c r="N172" s="439">
        <f t="shared" si="53"/>
        <v>0</v>
      </c>
      <c r="O172" s="439" t="e">
        <f>O168*6</f>
        <v>#REF!</v>
      </c>
      <c r="P172" s="439"/>
      <c r="Q172" s="439" t="e">
        <f t="shared" si="53"/>
        <v>#REF!</v>
      </c>
      <c r="R172" s="439">
        <f t="shared" si="53"/>
        <v>0</v>
      </c>
      <c r="S172" s="719"/>
      <c r="T172" s="55" t="e">
        <f>T168*6</f>
        <v>#REF!</v>
      </c>
      <c r="U172" s="666" t="e">
        <f>U168*6</f>
        <v>#REF!</v>
      </c>
      <c r="V172" s="787" t="e">
        <f>V168*6</f>
        <v>#REF!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2"/>
      <c r="BE172" s="14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2"/>
      <c r="DA172" s="1"/>
      <c r="DP172" s="5"/>
      <c r="DQ172" s="142"/>
      <c r="DR172" s="142"/>
      <c r="DS172" s="142"/>
      <c r="DT172" s="142"/>
      <c r="FW172" s="142"/>
      <c r="JR172" s="142"/>
      <c r="JS172" s="142"/>
      <c r="JT172" s="142"/>
      <c r="JU172" s="142"/>
      <c r="OY172" s="142"/>
      <c r="OZ172" s="142"/>
      <c r="PB172" s="142"/>
      <c r="PP172" s="145"/>
      <c r="PT172" s="142"/>
      <c r="RW172" s="145"/>
      <c r="AHF172" s="141"/>
      <c r="AIU172" s="141"/>
      <c r="AIV172" s="141"/>
      <c r="AIW172" s="141"/>
    </row>
    <row r="173" spans="2:933" hidden="1" x14ac:dyDescent="0.25">
      <c r="B173" s="731"/>
      <c r="C173" s="569" t="s">
        <v>36</v>
      </c>
      <c r="D173" s="476"/>
      <c r="E173" s="496" t="s">
        <v>35</v>
      </c>
      <c r="F173" s="439">
        <f>F161*45/1700</f>
        <v>0</v>
      </c>
      <c r="G173" s="439" t="e">
        <f t="shared" ref="G173:R173" si="54">G161*45/1700</f>
        <v>#REF!</v>
      </c>
      <c r="H173" s="439">
        <f t="shared" si="54"/>
        <v>0</v>
      </c>
      <c r="I173" s="439">
        <f t="shared" si="54"/>
        <v>0</v>
      </c>
      <c r="J173" s="439">
        <f t="shared" si="54"/>
        <v>0</v>
      </c>
      <c r="K173" s="439" t="e">
        <f t="shared" si="54"/>
        <v>#REF!</v>
      </c>
      <c r="L173" s="439">
        <f t="shared" si="54"/>
        <v>0</v>
      </c>
      <c r="M173" s="439">
        <f t="shared" si="54"/>
        <v>0</v>
      </c>
      <c r="N173" s="439">
        <f t="shared" si="54"/>
        <v>0</v>
      </c>
      <c r="O173" s="439" t="e">
        <f>O161*45/1700</f>
        <v>#REF!</v>
      </c>
      <c r="P173" s="439"/>
      <c r="Q173" s="439">
        <f t="shared" si="54"/>
        <v>0</v>
      </c>
      <c r="R173" s="439">
        <f t="shared" si="54"/>
        <v>0</v>
      </c>
      <c r="S173" s="719"/>
      <c r="T173" s="55" t="e">
        <f t="shared" ref="T173:V174" si="55">SUM(F173:R173)</f>
        <v>#REF!</v>
      </c>
      <c r="U173" s="666" t="e">
        <f t="shared" si="55"/>
        <v>#REF!</v>
      </c>
      <c r="V173" s="787" t="e">
        <f t="shared" si="55"/>
        <v>#REF!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2"/>
      <c r="BE173" s="14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2"/>
      <c r="DA173" s="1"/>
      <c r="DP173" s="5"/>
      <c r="DQ173" s="142"/>
      <c r="DR173" s="142"/>
      <c r="DS173" s="142"/>
      <c r="DT173" s="142"/>
      <c r="FW173" s="142"/>
      <c r="JR173" s="142"/>
      <c r="JS173" s="142"/>
      <c r="JT173" s="142"/>
      <c r="JU173" s="142"/>
      <c r="OY173" s="142"/>
      <c r="OZ173" s="142"/>
      <c r="PB173" s="142"/>
      <c r="PP173" s="145"/>
      <c r="PT173" s="142"/>
      <c r="RW173" s="145"/>
      <c r="AHF173" s="141"/>
      <c r="AIU173" s="141"/>
      <c r="AIV173" s="141"/>
      <c r="AIW173" s="141"/>
    </row>
    <row r="174" spans="2:933" hidden="1" x14ac:dyDescent="0.25">
      <c r="B174" s="731"/>
      <c r="C174" s="569" t="s">
        <v>34</v>
      </c>
      <c r="D174" s="476"/>
      <c r="E174" s="496" t="s">
        <v>33</v>
      </c>
      <c r="F174" s="439">
        <f>SUM(F166:F168)/500</f>
        <v>0</v>
      </c>
      <c r="G174" s="439">
        <f t="shared" ref="G174:R174" si="56">SUM(G166:G168)/500</f>
        <v>12.99</v>
      </c>
      <c r="H174" s="439">
        <f t="shared" si="56"/>
        <v>0</v>
      </c>
      <c r="I174" s="439">
        <f t="shared" si="56"/>
        <v>0</v>
      </c>
      <c r="J174" s="439">
        <f t="shared" si="56"/>
        <v>0</v>
      </c>
      <c r="K174" s="439">
        <f t="shared" si="56"/>
        <v>0</v>
      </c>
      <c r="L174" s="439">
        <f t="shared" si="56"/>
        <v>0</v>
      </c>
      <c r="M174" s="439">
        <f t="shared" si="56"/>
        <v>0</v>
      </c>
      <c r="N174" s="439">
        <f t="shared" si="56"/>
        <v>0</v>
      </c>
      <c r="O174" s="439" t="e">
        <f>SUM(O166:O168)/500</f>
        <v>#REF!</v>
      </c>
      <c r="P174" s="439"/>
      <c r="Q174" s="439" t="e">
        <f t="shared" si="56"/>
        <v>#REF!</v>
      </c>
      <c r="R174" s="439">
        <f t="shared" si="56"/>
        <v>0</v>
      </c>
      <c r="S174" s="719"/>
      <c r="T174" s="55" t="e">
        <f t="shared" si="55"/>
        <v>#REF!</v>
      </c>
      <c r="U174" s="666" t="e">
        <f t="shared" si="55"/>
        <v>#REF!</v>
      </c>
      <c r="V174" s="787" t="e">
        <f t="shared" si="55"/>
        <v>#REF!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28"/>
      <c r="C175" s="419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3"/>
      <c r="T175" s="522" t="s">
        <v>131</v>
      </c>
      <c r="U175" s="677" t="s">
        <v>131</v>
      </c>
      <c r="V175" s="777" t="s">
        <v>131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1"/>
      <c r="BE175" s="14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1"/>
      <c r="DA175" s="1"/>
      <c r="DP175" s="5"/>
      <c r="DQ175" s="141"/>
      <c r="DR175" s="141"/>
      <c r="DS175" s="141"/>
      <c r="DT175" s="141"/>
      <c r="FW175" s="141"/>
      <c r="JR175" s="141"/>
      <c r="JS175" s="141"/>
      <c r="JT175" s="141"/>
      <c r="JU175" s="141"/>
      <c r="OY175" s="141"/>
      <c r="OZ175" s="141"/>
      <c r="PB175" s="141"/>
      <c r="PP175" s="481"/>
      <c r="PT175" s="141"/>
      <c r="RW175" s="481"/>
      <c r="AHF175" s="141"/>
      <c r="AIU175" s="141"/>
      <c r="AIV175" s="141"/>
      <c r="AIW175" s="141"/>
    </row>
    <row r="176" spans="2:933" hidden="1" x14ac:dyDescent="0.25">
      <c r="B176" s="731"/>
      <c r="C176" s="569" t="s">
        <v>29</v>
      </c>
      <c r="D176" s="476"/>
      <c r="E176" s="464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719"/>
      <c r="T176" s="64" t="s">
        <v>29</v>
      </c>
      <c r="U176" s="688" t="s">
        <v>29</v>
      </c>
      <c r="V176" s="786" t="s">
        <v>29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2"/>
      <c r="BE176" s="142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2"/>
      <c r="DA176" s="1"/>
      <c r="DP176" s="5"/>
      <c r="DQ176" s="142"/>
      <c r="DR176" s="142"/>
      <c r="DS176" s="142"/>
      <c r="DT176" s="142"/>
      <c r="FW176" s="142"/>
      <c r="JR176" s="142"/>
      <c r="JS176" s="142"/>
      <c r="JT176" s="142"/>
      <c r="JU176" s="142"/>
      <c r="OY176" s="142"/>
      <c r="OZ176" s="142"/>
      <c r="PB176" s="142"/>
      <c r="PP176" s="145"/>
      <c r="PT176" s="142"/>
      <c r="RW176" s="145"/>
      <c r="AHF176" s="141"/>
      <c r="AIU176" s="141"/>
      <c r="AIV176" s="141"/>
      <c r="AIW176" s="141"/>
    </row>
    <row r="177" spans="2:933" hidden="1" x14ac:dyDescent="0.25">
      <c r="B177" s="731"/>
      <c r="C177" s="436" t="s">
        <v>116</v>
      </c>
      <c r="D177" s="476"/>
      <c r="E177" s="496" t="s">
        <v>31</v>
      </c>
      <c r="F177" s="439"/>
      <c r="G177" s="439" t="e">
        <f>'[20]Februari 24'!AL167</f>
        <v>#REF!</v>
      </c>
      <c r="H177" s="439" t="e">
        <f>'[20]Maret 24'!AL167</f>
        <v>#REF!</v>
      </c>
      <c r="I177" s="439" t="e">
        <f>'[20]April 24'!AL167</f>
        <v>#REF!</v>
      </c>
      <c r="J177" s="439" t="e">
        <f>'[20]Mei 24'!AL167</f>
        <v>#REF!</v>
      </c>
      <c r="K177" s="439" t="e">
        <f>'[20]Juny 24'!AL167</f>
        <v>#REF!</v>
      </c>
      <c r="L177" s="439" t="e">
        <f>'[20]July 24'!AL167</f>
        <v>#REF!</v>
      </c>
      <c r="M177" s="439" t="e">
        <f>'[20]Agustus 24'!AL167</f>
        <v>#REF!</v>
      </c>
      <c r="N177" s="439" t="e">
        <f>'[20]September 24'!AL167</f>
        <v>#REF!</v>
      </c>
      <c r="O177" s="439" t="e">
        <f>'[20]September 24'!AM167</f>
        <v>#REF!</v>
      </c>
      <c r="P177" s="439"/>
      <c r="Q177" s="439"/>
      <c r="R177" s="439"/>
      <c r="S177" s="719"/>
      <c r="T177" s="64"/>
      <c r="U177" s="688"/>
      <c r="V177" s="786"/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31"/>
      <c r="C178" s="436" t="s">
        <v>27</v>
      </c>
      <c r="D178" s="476"/>
      <c r="E178" s="496" t="s">
        <v>31</v>
      </c>
      <c r="F178" s="439">
        <v>0</v>
      </c>
      <c r="G178" s="439">
        <f>'[20]Februari 24'!AL168</f>
        <v>9</v>
      </c>
      <c r="H178" s="439">
        <f>'[20]Maret 24'!AL168</f>
        <v>0</v>
      </c>
      <c r="I178" s="439">
        <f>'[20]April 24'!AL168</f>
        <v>0</v>
      </c>
      <c r="J178" s="439">
        <f>'[20]Mei 24'!AL168</f>
        <v>0</v>
      </c>
      <c r="K178" s="439">
        <f>'[20]Juny 24'!AL168</f>
        <v>0</v>
      </c>
      <c r="L178" s="439">
        <f>'[20]July 24'!AL168</f>
        <v>0</v>
      </c>
      <c r="M178" s="439">
        <f>'[20]Agustus 24'!AL168</f>
        <v>0</v>
      </c>
      <c r="N178" s="439">
        <f>'[20]September 24'!AL168</f>
        <v>0</v>
      </c>
      <c r="O178" s="439" t="e">
        <f>'[20]September 24'!AM168</f>
        <v>#REF!</v>
      </c>
      <c r="P178" s="439"/>
      <c r="Q178" s="439" t="e">
        <f>'[20]November 24'!AK159</f>
        <v>#REF!</v>
      </c>
      <c r="R178" s="439" t="e">
        <f>'[20]Desember 24'!AL171</f>
        <v>#REF!</v>
      </c>
      <c r="S178" s="719"/>
      <c r="T178" s="55" t="e">
        <f t="shared" ref="T178:V179" si="57">SUM(F178:R178)</f>
        <v>#REF!</v>
      </c>
      <c r="U178" s="666" t="e">
        <f t="shared" si="57"/>
        <v>#REF!</v>
      </c>
      <c r="V178" s="787" t="e">
        <f t="shared" si="57"/>
        <v>#REF!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2"/>
      <c r="BE178" s="14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2"/>
      <c r="DA178" s="1"/>
      <c r="DP178" s="5"/>
      <c r="DQ178" s="142"/>
      <c r="DR178" s="142"/>
      <c r="DS178" s="142"/>
      <c r="DT178" s="142"/>
      <c r="FW178" s="142"/>
      <c r="JR178" s="142"/>
      <c r="JS178" s="142"/>
      <c r="JT178" s="142"/>
      <c r="JU178" s="142"/>
      <c r="OY178" s="142"/>
      <c r="OZ178" s="142"/>
      <c r="PB178" s="142"/>
      <c r="PP178" s="145"/>
      <c r="PT178" s="142"/>
      <c r="RW178" s="145"/>
      <c r="AHF178" s="141"/>
      <c r="AIU178" s="141"/>
      <c r="AIV178" s="141"/>
      <c r="AIW178" s="141"/>
    </row>
    <row r="179" spans="2:933" hidden="1" x14ac:dyDescent="0.25">
      <c r="B179" s="731"/>
      <c r="C179" s="436" t="s">
        <v>26</v>
      </c>
      <c r="D179" s="476"/>
      <c r="E179" s="496" t="s">
        <v>31</v>
      </c>
      <c r="F179" s="439">
        <v>0</v>
      </c>
      <c r="G179" s="439">
        <f>'[20]Februari 24'!AL169</f>
        <v>86</v>
      </c>
      <c r="H179" s="439">
        <f>'[20]Maret 24'!AL169</f>
        <v>0</v>
      </c>
      <c r="I179" s="439">
        <f>'[20]April 24'!AL169</f>
        <v>0</v>
      </c>
      <c r="J179" s="439">
        <f>'[20]Mei 24'!AL169</f>
        <v>0</v>
      </c>
      <c r="K179" s="439">
        <f>'[20]Juny 24'!AL169</f>
        <v>0</v>
      </c>
      <c r="L179" s="439">
        <f>'[20]July 24'!AL169</f>
        <v>0</v>
      </c>
      <c r="M179" s="439">
        <f>'[20]Agustus 24'!AL169</f>
        <v>0</v>
      </c>
      <c r="N179" s="439">
        <f>'[20]September 24'!AL169</f>
        <v>0</v>
      </c>
      <c r="O179" s="439" t="e">
        <f>'[20]September 24'!AM169</f>
        <v>#REF!</v>
      </c>
      <c r="P179" s="439"/>
      <c r="Q179" s="439" t="e">
        <f>'[20]November 24'!AK160</f>
        <v>#REF!</v>
      </c>
      <c r="R179" s="439" t="e">
        <f>'[20]Desember 24'!AL172</f>
        <v>#DIV/0!</v>
      </c>
      <c r="S179" s="719"/>
      <c r="T179" s="55" t="e">
        <f t="shared" si="57"/>
        <v>#REF!</v>
      </c>
      <c r="U179" s="666" t="e">
        <f t="shared" si="57"/>
        <v>#REF!</v>
      </c>
      <c r="V179" s="787" t="e">
        <f t="shared" si="57"/>
        <v>#REF!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31"/>
      <c r="C180" s="436" t="s">
        <v>37</v>
      </c>
      <c r="D180" s="476"/>
      <c r="E180" s="573" t="s">
        <v>31</v>
      </c>
      <c r="F180" s="439"/>
      <c r="G180" s="439"/>
      <c r="H180" s="439"/>
      <c r="I180" s="439"/>
      <c r="J180" s="439"/>
      <c r="K180" s="439"/>
      <c r="L180" s="439"/>
      <c r="M180" s="439">
        <f>'[20]Agustus 24'!AL129</f>
        <v>0</v>
      </c>
      <c r="N180" s="439"/>
      <c r="O180" s="439"/>
      <c r="P180" s="439"/>
      <c r="Q180" s="439" t="e">
        <f>'[20]November 24'!AK161</f>
        <v>#REF!</v>
      </c>
      <c r="R180" s="439" t="e">
        <f>'[20]Desember 24'!AL173</f>
        <v>#DIV/0!</v>
      </c>
      <c r="S180" s="719"/>
      <c r="T180" s="55"/>
      <c r="U180" s="666"/>
      <c r="V180" s="787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2"/>
      <c r="BE180" s="142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2"/>
      <c r="DA180" s="1"/>
      <c r="DP180" s="5"/>
      <c r="DQ180" s="142"/>
      <c r="DR180" s="142"/>
      <c r="DS180" s="142"/>
      <c r="DT180" s="142"/>
      <c r="FW180" s="142"/>
      <c r="JR180" s="142"/>
      <c r="JS180" s="142"/>
      <c r="JT180" s="142"/>
      <c r="JU180" s="142"/>
      <c r="OY180" s="142"/>
      <c r="OZ180" s="142"/>
      <c r="PB180" s="142"/>
      <c r="PP180" s="145"/>
      <c r="PT180" s="142"/>
      <c r="RW180" s="145"/>
      <c r="AHF180" s="141"/>
      <c r="AIU180" s="141"/>
      <c r="AIV180" s="141"/>
      <c r="AIW180" s="141"/>
    </row>
    <row r="181" spans="2:933" hidden="1" x14ac:dyDescent="0.25">
      <c r="B181" s="731"/>
      <c r="C181" s="569" t="s">
        <v>28</v>
      </c>
      <c r="D181" s="476"/>
      <c r="E181" s="464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719"/>
      <c r="T181" s="64" t="s">
        <v>28</v>
      </c>
      <c r="U181" s="688" t="s">
        <v>28</v>
      </c>
      <c r="V181" s="786" t="s">
        <v>28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31"/>
      <c r="C182" s="436" t="s">
        <v>27</v>
      </c>
      <c r="D182" s="476"/>
      <c r="E182" s="496" t="s">
        <v>28</v>
      </c>
      <c r="F182" s="439">
        <v>0</v>
      </c>
      <c r="G182" s="439">
        <v>0</v>
      </c>
      <c r="H182" s="439">
        <v>0</v>
      </c>
      <c r="I182" s="439">
        <v>0</v>
      </c>
      <c r="J182" s="439">
        <v>0</v>
      </c>
      <c r="K182" s="439">
        <f t="shared" ref="K182:R182" si="58">K178*24</f>
        <v>0</v>
      </c>
      <c r="L182" s="439">
        <f t="shared" si="58"/>
        <v>0</v>
      </c>
      <c r="M182" s="439">
        <f t="shared" si="58"/>
        <v>0</v>
      </c>
      <c r="N182" s="439">
        <f t="shared" si="58"/>
        <v>0</v>
      </c>
      <c r="O182" s="439" t="e">
        <f>O178*24</f>
        <v>#REF!</v>
      </c>
      <c r="P182" s="439"/>
      <c r="Q182" s="439" t="e">
        <f t="shared" si="58"/>
        <v>#REF!</v>
      </c>
      <c r="R182" s="439" t="e">
        <f t="shared" si="58"/>
        <v>#REF!</v>
      </c>
      <c r="S182" s="719"/>
      <c r="T182" s="55" t="e">
        <f t="shared" ref="T182:V184" si="59">SUM(F182:R182)</f>
        <v>#REF!</v>
      </c>
      <c r="U182" s="666" t="e">
        <f t="shared" si="59"/>
        <v>#REF!</v>
      </c>
      <c r="V182" s="787" t="e">
        <f t="shared" si="59"/>
        <v>#REF!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31"/>
      <c r="C183" s="436" t="s">
        <v>26</v>
      </c>
      <c r="D183" s="476"/>
      <c r="E183" s="496" t="s">
        <v>28</v>
      </c>
      <c r="F183" s="439">
        <v>0</v>
      </c>
      <c r="G183" s="439">
        <v>0</v>
      </c>
      <c r="H183" s="439">
        <v>0</v>
      </c>
      <c r="I183" s="439">
        <v>0</v>
      </c>
      <c r="J183" s="439">
        <v>0</v>
      </c>
      <c r="K183" s="439">
        <f t="shared" ref="K183:R183" si="60">K179*12</f>
        <v>0</v>
      </c>
      <c r="L183" s="439">
        <f t="shared" si="60"/>
        <v>0</v>
      </c>
      <c r="M183" s="439">
        <f t="shared" si="60"/>
        <v>0</v>
      </c>
      <c r="N183" s="439">
        <f t="shared" si="60"/>
        <v>0</v>
      </c>
      <c r="O183" s="439" t="e">
        <f>O179*12</f>
        <v>#REF!</v>
      </c>
      <c r="P183" s="439"/>
      <c r="Q183" s="439" t="e">
        <f t="shared" si="60"/>
        <v>#REF!</v>
      </c>
      <c r="R183" s="439" t="e">
        <f t="shared" si="60"/>
        <v>#DIV/0!</v>
      </c>
      <c r="S183" s="719"/>
      <c r="T183" s="55" t="e">
        <f t="shared" si="59"/>
        <v>#REF!</v>
      </c>
      <c r="U183" s="666" t="e">
        <f t="shared" si="59"/>
        <v>#REF!</v>
      </c>
      <c r="V183" s="787" t="e">
        <f t="shared" si="59"/>
        <v>#REF!</v>
      </c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31"/>
      <c r="C184" s="436" t="s">
        <v>37</v>
      </c>
      <c r="D184" s="476"/>
      <c r="E184" s="496" t="s">
        <v>28</v>
      </c>
      <c r="F184" s="439"/>
      <c r="G184" s="439"/>
      <c r="H184" s="439"/>
      <c r="I184" s="439"/>
      <c r="J184" s="439"/>
      <c r="K184" s="439">
        <f t="shared" ref="K184:R184" si="61">K180*6</f>
        <v>0</v>
      </c>
      <c r="L184" s="439">
        <f t="shared" si="61"/>
        <v>0</v>
      </c>
      <c r="M184" s="439">
        <f t="shared" si="61"/>
        <v>0</v>
      </c>
      <c r="N184" s="439">
        <f t="shared" si="61"/>
        <v>0</v>
      </c>
      <c r="O184" s="439">
        <f>O180*6</f>
        <v>0</v>
      </c>
      <c r="P184" s="439"/>
      <c r="Q184" s="439" t="e">
        <f t="shared" si="61"/>
        <v>#REF!</v>
      </c>
      <c r="R184" s="439" t="e">
        <f t="shared" si="61"/>
        <v>#DIV/0!</v>
      </c>
      <c r="S184" s="719"/>
      <c r="T184" s="55" t="e">
        <f t="shared" si="59"/>
        <v>#REF!</v>
      </c>
      <c r="U184" s="666" t="e">
        <f t="shared" si="59"/>
        <v>#REF!</v>
      </c>
      <c r="V184" s="787" t="e">
        <f t="shared" si="59"/>
        <v>#REF!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28"/>
      <c r="C185" s="419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3"/>
      <c r="T185" s="522" t="s">
        <v>131</v>
      </c>
      <c r="U185" s="677" t="s">
        <v>131</v>
      </c>
      <c r="V185" s="777" t="s">
        <v>131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1"/>
      <c r="BE185" s="14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1"/>
      <c r="DA185" s="1"/>
      <c r="DP185" s="5"/>
      <c r="DQ185" s="141"/>
      <c r="DR185" s="141"/>
      <c r="DS185" s="141"/>
      <c r="DT185" s="141"/>
      <c r="FW185" s="141"/>
      <c r="JR185" s="141"/>
      <c r="JS185" s="141"/>
      <c r="JT185" s="141"/>
      <c r="JU185" s="141"/>
      <c r="OY185" s="141"/>
      <c r="OZ185" s="141"/>
      <c r="PB185" s="141"/>
      <c r="PP185" s="481"/>
      <c r="PT185" s="141"/>
      <c r="RW185" s="481"/>
      <c r="AHF185" s="141"/>
      <c r="AIU185" s="141"/>
      <c r="AIV185" s="141"/>
      <c r="AIW185" s="141"/>
    </row>
    <row r="186" spans="2:933" hidden="1" x14ac:dyDescent="0.25">
      <c r="B186" s="731"/>
      <c r="C186" s="569" t="s">
        <v>29</v>
      </c>
      <c r="D186" s="476"/>
      <c r="E186" s="464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719"/>
      <c r="T186" s="64" t="s">
        <v>29</v>
      </c>
      <c r="U186" s="688" t="s">
        <v>29</v>
      </c>
      <c r="V186" s="786" t="s">
        <v>29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2"/>
      <c r="BE186" s="142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2"/>
      <c r="DA186" s="1"/>
      <c r="DP186" s="5"/>
      <c r="DQ186" s="142"/>
      <c r="DR186" s="142"/>
      <c r="DS186" s="142"/>
      <c r="DT186" s="142"/>
      <c r="FW186" s="142"/>
      <c r="JR186" s="142"/>
      <c r="JS186" s="142"/>
      <c r="JT186" s="142"/>
      <c r="JU186" s="142"/>
      <c r="OY186" s="142"/>
      <c r="OZ186" s="142"/>
      <c r="PB186" s="142"/>
      <c r="PP186" s="145"/>
      <c r="PT186" s="142"/>
      <c r="RW186" s="145"/>
      <c r="AHF186" s="141"/>
      <c r="AIU186" s="141"/>
      <c r="AIV186" s="141"/>
      <c r="AIW186" s="141"/>
    </row>
    <row r="187" spans="2:933" hidden="1" x14ac:dyDescent="0.25">
      <c r="B187" s="731"/>
      <c r="C187" s="436" t="s">
        <v>27</v>
      </c>
      <c r="D187" s="463">
        <v>0.3</v>
      </c>
      <c r="E187" s="496" t="s">
        <v>25</v>
      </c>
      <c r="F187" s="440" t="e">
        <f>F178/F166*100</f>
        <v>#DIV/0!</v>
      </c>
      <c r="G187" s="440">
        <f>G178/G166*100</f>
        <v>0.79928952042628776</v>
      </c>
      <c r="H187" s="440" t="e">
        <f>H178/H166*100</f>
        <v>#DIV/0!</v>
      </c>
      <c r="I187" s="440" t="e">
        <f t="shared" ref="H187:R189" si="62">I178/I166*100</f>
        <v>#DIV/0!</v>
      </c>
      <c r="J187" s="440" t="e">
        <f t="shared" si="62"/>
        <v>#DIV/0!</v>
      </c>
      <c r="K187" s="440" t="e">
        <f t="shared" si="62"/>
        <v>#DIV/0!</v>
      </c>
      <c r="L187" s="440" t="e">
        <f t="shared" si="62"/>
        <v>#DIV/0!</v>
      </c>
      <c r="M187" s="440" t="e">
        <f t="shared" si="62"/>
        <v>#DIV/0!</v>
      </c>
      <c r="N187" s="440" t="e">
        <f t="shared" si="62"/>
        <v>#DIV/0!</v>
      </c>
      <c r="O187" s="440" t="e">
        <f>O178/O166*100</f>
        <v>#REF!</v>
      </c>
      <c r="P187" s="440"/>
      <c r="Q187" s="440" t="e">
        <f t="shared" si="62"/>
        <v>#REF!</v>
      </c>
      <c r="R187" s="440" t="e">
        <f t="shared" si="62"/>
        <v>#REF!</v>
      </c>
      <c r="S187" s="719"/>
      <c r="T187" s="59" t="e">
        <f>T178/T166*100</f>
        <v>#REF!</v>
      </c>
      <c r="U187" s="669" t="e">
        <f>U178/U166*100</f>
        <v>#REF!</v>
      </c>
      <c r="V187" s="770" t="e">
        <f>V178/V166*100</f>
        <v>#REF!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31"/>
      <c r="C188" s="436" t="s">
        <v>26</v>
      </c>
      <c r="D188" s="463">
        <v>0.3</v>
      </c>
      <c r="E188" s="496" t="s">
        <v>25</v>
      </c>
      <c r="F188" s="440" t="e">
        <f>F179/F167*100</f>
        <v>#DIV/0!</v>
      </c>
      <c r="G188" s="440">
        <f>G179/G167*100</f>
        <v>1.6017880424660087</v>
      </c>
      <c r="H188" s="440" t="e">
        <f t="shared" si="62"/>
        <v>#DIV/0!</v>
      </c>
      <c r="I188" s="440" t="e">
        <f t="shared" si="62"/>
        <v>#DIV/0!</v>
      </c>
      <c r="J188" s="440" t="e">
        <f>J179/J167*100</f>
        <v>#DIV/0!</v>
      </c>
      <c r="K188" s="440" t="e">
        <f t="shared" si="62"/>
        <v>#DIV/0!</v>
      </c>
      <c r="L188" s="440" t="e">
        <f t="shared" si="62"/>
        <v>#DIV/0!</v>
      </c>
      <c r="M188" s="440" t="e">
        <f t="shared" si="62"/>
        <v>#DIV/0!</v>
      </c>
      <c r="N188" s="440" t="e">
        <f t="shared" si="62"/>
        <v>#DIV/0!</v>
      </c>
      <c r="O188" s="440" t="e">
        <f>O179/O167*100</f>
        <v>#REF!</v>
      </c>
      <c r="P188" s="440"/>
      <c r="Q188" s="440" t="e">
        <f t="shared" si="62"/>
        <v>#REF!</v>
      </c>
      <c r="R188" s="440" t="e">
        <f t="shared" si="62"/>
        <v>#DIV/0!</v>
      </c>
      <c r="S188" s="719"/>
      <c r="T188" s="59" t="e">
        <f>T179/T168*100</f>
        <v>#REF!</v>
      </c>
      <c r="U188" s="669" t="e">
        <f>U179/U168*100</f>
        <v>#REF!</v>
      </c>
      <c r="V188" s="770" t="e">
        <f>V179/V168*100</f>
        <v>#REF!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2"/>
      <c r="BE188" s="14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2"/>
      <c r="DA188" s="1"/>
      <c r="DP188" s="5"/>
      <c r="DQ188" s="142"/>
      <c r="DR188" s="142"/>
      <c r="DS188" s="142"/>
      <c r="DT188" s="142"/>
      <c r="FW188" s="142"/>
      <c r="JR188" s="142"/>
      <c r="JS188" s="142"/>
      <c r="JT188" s="142"/>
      <c r="JU188" s="142"/>
      <c r="OY188" s="142"/>
      <c r="OZ188" s="142"/>
      <c r="PB188" s="142"/>
      <c r="PP188" s="145"/>
      <c r="PT188" s="142"/>
      <c r="RW188" s="145"/>
      <c r="AHF188" s="141"/>
      <c r="AIU188" s="141"/>
      <c r="AIV188" s="141"/>
      <c r="AIW188" s="141"/>
    </row>
    <row r="189" spans="2:933" hidden="1" x14ac:dyDescent="0.25">
      <c r="B189" s="731"/>
      <c r="C189" s="436" t="s">
        <v>37</v>
      </c>
      <c r="D189" s="463">
        <v>0.3</v>
      </c>
      <c r="E189" s="496" t="s">
        <v>25</v>
      </c>
      <c r="F189" s="440" t="e">
        <f>F180/F168*100</f>
        <v>#DIV/0!</v>
      </c>
      <c r="G189" s="440" t="e">
        <f>G180/G168*100</f>
        <v>#DIV/0!</v>
      </c>
      <c r="H189" s="440" t="e">
        <f t="shared" si="62"/>
        <v>#DIV/0!</v>
      </c>
      <c r="I189" s="440" t="e">
        <f t="shared" si="62"/>
        <v>#DIV/0!</v>
      </c>
      <c r="J189" s="440" t="e">
        <f t="shared" si="62"/>
        <v>#DIV/0!</v>
      </c>
      <c r="K189" s="440" t="e">
        <f t="shared" si="62"/>
        <v>#DIV/0!</v>
      </c>
      <c r="L189" s="440" t="e">
        <f t="shared" si="62"/>
        <v>#DIV/0!</v>
      </c>
      <c r="M189" s="440" t="e">
        <f t="shared" si="62"/>
        <v>#DIV/0!</v>
      </c>
      <c r="N189" s="440" t="e">
        <f t="shared" si="62"/>
        <v>#DIV/0!</v>
      </c>
      <c r="O189" s="440" t="e">
        <f>O180/O168*100</f>
        <v>#REF!</v>
      </c>
      <c r="P189" s="440"/>
      <c r="Q189" s="440" t="e">
        <f t="shared" si="62"/>
        <v>#REF!</v>
      </c>
      <c r="R189" s="440" t="e">
        <f t="shared" si="62"/>
        <v>#DIV/0!</v>
      </c>
      <c r="S189" s="719"/>
      <c r="T189" s="59"/>
      <c r="U189" s="669"/>
      <c r="V189" s="770"/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31"/>
      <c r="C190" s="569" t="s">
        <v>28</v>
      </c>
      <c r="D190" s="463"/>
      <c r="E190" s="464"/>
      <c r="F190" s="440"/>
      <c r="G190" s="440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719"/>
      <c r="T190" s="64" t="s">
        <v>28</v>
      </c>
      <c r="U190" s="688" t="s">
        <v>28</v>
      </c>
      <c r="V190" s="786" t="s">
        <v>28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2"/>
      <c r="BE190" s="14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2"/>
      <c r="DA190" s="1"/>
      <c r="DP190" s="5"/>
      <c r="DQ190" s="142"/>
      <c r="DR190" s="142"/>
      <c r="DS190" s="142"/>
      <c r="DT190" s="142"/>
      <c r="FW190" s="142"/>
      <c r="JR190" s="142"/>
      <c r="JS190" s="142"/>
      <c r="JT190" s="142"/>
      <c r="JU190" s="142"/>
      <c r="OY190" s="142"/>
      <c r="OZ190" s="142"/>
      <c r="PB190" s="142"/>
      <c r="PP190" s="145"/>
      <c r="PT190" s="142"/>
      <c r="RW190" s="145"/>
      <c r="AHF190" s="141"/>
      <c r="AIU190" s="141"/>
      <c r="AIV190" s="141"/>
      <c r="AIW190" s="141"/>
    </row>
    <row r="191" spans="2:933" hidden="1" x14ac:dyDescent="0.25">
      <c r="B191" s="731"/>
      <c r="C191" s="436" t="s">
        <v>27</v>
      </c>
      <c r="D191" s="463">
        <v>0.5</v>
      </c>
      <c r="E191" s="496" t="s">
        <v>25</v>
      </c>
      <c r="F191" s="440" t="e">
        <f t="shared" ref="F191:G193" si="63">F182/F170*100</f>
        <v>#DIV/0!</v>
      </c>
      <c r="G191" s="440">
        <f t="shared" si="63"/>
        <v>0</v>
      </c>
      <c r="H191" s="440" t="e">
        <f t="shared" ref="H191:R193" si="64">H182/H170*100</f>
        <v>#DIV/0!</v>
      </c>
      <c r="I191" s="440" t="e">
        <f t="shared" si="64"/>
        <v>#DIV/0!</v>
      </c>
      <c r="J191" s="440" t="e">
        <f t="shared" si="64"/>
        <v>#DIV/0!</v>
      </c>
      <c r="K191" s="440" t="e">
        <f t="shared" si="64"/>
        <v>#DIV/0!</v>
      </c>
      <c r="L191" s="440" t="e">
        <f t="shared" si="64"/>
        <v>#DIV/0!</v>
      </c>
      <c r="M191" s="440" t="e">
        <f t="shared" si="64"/>
        <v>#DIV/0!</v>
      </c>
      <c r="N191" s="440" t="e">
        <f t="shared" si="64"/>
        <v>#DIV/0!</v>
      </c>
      <c r="O191" s="440" t="e">
        <f>O182/O170*100</f>
        <v>#REF!</v>
      </c>
      <c r="P191" s="440"/>
      <c r="Q191" s="440" t="e">
        <f t="shared" si="64"/>
        <v>#REF!</v>
      </c>
      <c r="R191" s="440" t="e">
        <f t="shared" si="64"/>
        <v>#REF!</v>
      </c>
      <c r="S191" s="719"/>
      <c r="T191" s="59" t="e">
        <f>T182/T170*100</f>
        <v>#REF!</v>
      </c>
      <c r="U191" s="669" t="e">
        <f>U182/U170*100</f>
        <v>#REF!</v>
      </c>
      <c r="V191" s="770" t="e">
        <f>V182/V170*100</f>
        <v>#REF!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31"/>
      <c r="C192" s="436" t="s">
        <v>26</v>
      </c>
      <c r="D192" s="463">
        <v>0.5</v>
      </c>
      <c r="E192" s="496" t="s">
        <v>25</v>
      </c>
      <c r="F192" s="440" t="e">
        <f t="shared" si="63"/>
        <v>#DIV/0!</v>
      </c>
      <c r="G192" s="440">
        <f t="shared" si="63"/>
        <v>0</v>
      </c>
      <c r="H192" s="440" t="e">
        <f t="shared" si="64"/>
        <v>#DIV/0!</v>
      </c>
      <c r="I192" s="440" t="e">
        <f t="shared" si="64"/>
        <v>#DIV/0!</v>
      </c>
      <c r="J192" s="440" t="e">
        <f t="shared" si="64"/>
        <v>#DIV/0!</v>
      </c>
      <c r="K192" s="440" t="e">
        <f t="shared" si="64"/>
        <v>#DIV/0!</v>
      </c>
      <c r="L192" s="440" t="e">
        <f t="shared" si="64"/>
        <v>#DIV/0!</v>
      </c>
      <c r="M192" s="440" t="e">
        <f t="shared" si="64"/>
        <v>#DIV/0!</v>
      </c>
      <c r="N192" s="440" t="e">
        <f t="shared" si="64"/>
        <v>#DIV/0!</v>
      </c>
      <c r="O192" s="440" t="e">
        <f>O183/O171*100</f>
        <v>#REF!</v>
      </c>
      <c r="P192" s="440"/>
      <c r="Q192" s="440" t="e">
        <f t="shared" si="64"/>
        <v>#REF!</v>
      </c>
      <c r="R192" s="440" t="e">
        <f t="shared" si="64"/>
        <v>#DIV/0!</v>
      </c>
      <c r="S192" s="719"/>
      <c r="T192" s="59" t="e">
        <f>T183/T172*100</f>
        <v>#REF!</v>
      </c>
      <c r="U192" s="669" t="e">
        <f>U183/U172*100</f>
        <v>#REF!</v>
      </c>
      <c r="V192" s="770" t="e">
        <f>V183/V172*100</f>
        <v>#REF!</v>
      </c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31"/>
      <c r="C193" s="436" t="s">
        <v>37</v>
      </c>
      <c r="D193" s="463">
        <v>0.5</v>
      </c>
      <c r="E193" s="496" t="s">
        <v>25</v>
      </c>
      <c r="F193" s="440" t="e">
        <f t="shared" si="63"/>
        <v>#DIV/0!</v>
      </c>
      <c r="G193" s="440" t="e">
        <f t="shared" si="63"/>
        <v>#DIV/0!</v>
      </c>
      <c r="H193" s="440" t="e">
        <f t="shared" si="64"/>
        <v>#DIV/0!</v>
      </c>
      <c r="I193" s="440" t="e">
        <f t="shared" si="64"/>
        <v>#DIV/0!</v>
      </c>
      <c r="J193" s="440" t="e">
        <f t="shared" si="64"/>
        <v>#DIV/0!</v>
      </c>
      <c r="K193" s="440" t="e">
        <f t="shared" si="64"/>
        <v>#DIV/0!</v>
      </c>
      <c r="L193" s="440" t="e">
        <f t="shared" si="64"/>
        <v>#DIV/0!</v>
      </c>
      <c r="M193" s="440" t="e">
        <f t="shared" si="64"/>
        <v>#DIV/0!</v>
      </c>
      <c r="N193" s="440" t="e">
        <f t="shared" si="64"/>
        <v>#DIV/0!</v>
      </c>
      <c r="O193" s="440" t="e">
        <f>O184/O172*100</f>
        <v>#REF!</v>
      </c>
      <c r="P193" s="440"/>
      <c r="Q193" s="440" t="e">
        <f t="shared" si="64"/>
        <v>#REF!</v>
      </c>
      <c r="R193" s="440" t="e">
        <f t="shared" si="64"/>
        <v>#DIV/0!</v>
      </c>
      <c r="S193" s="719"/>
      <c r="T193" s="59"/>
      <c r="U193" s="669"/>
      <c r="V193" s="770"/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31"/>
      <c r="C194" s="591" t="s">
        <v>87</v>
      </c>
      <c r="D194" s="592"/>
      <c r="E194" s="588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  <c r="P194" s="593"/>
      <c r="Q194" s="593"/>
      <c r="R194" s="593"/>
      <c r="S194" s="719"/>
      <c r="T194" s="522" t="s">
        <v>130</v>
      </c>
      <c r="U194" s="677" t="s">
        <v>130</v>
      </c>
      <c r="V194" s="777" t="s">
        <v>130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31"/>
      <c r="C195" s="594" t="s">
        <v>92</v>
      </c>
      <c r="D195" s="463"/>
      <c r="E195" s="20" t="s">
        <v>14</v>
      </c>
      <c r="F195" s="590">
        <f>'[20]Januari 24'!AL184</f>
        <v>356139</v>
      </c>
      <c r="G195" s="590">
        <f>'[20]Februari 24'!AL184</f>
        <v>0</v>
      </c>
      <c r="H195" s="590">
        <f>'[20]Maret 24'!AL184</f>
        <v>0</v>
      </c>
      <c r="I195" s="590">
        <f>'[20]April 24'!AL184</f>
        <v>0</v>
      </c>
      <c r="J195" s="590">
        <f>'[20]Mei 24'!AL184</f>
        <v>0</v>
      </c>
      <c r="K195" s="590">
        <f>'[20]Juny 24'!AL184</f>
        <v>0</v>
      </c>
      <c r="L195" s="590">
        <f>'[20]July 24'!AL184</f>
        <v>0</v>
      </c>
      <c r="M195" s="590">
        <f>'[20]Agustus 24'!AL184</f>
        <v>0</v>
      </c>
      <c r="N195" s="590">
        <f>'[20]September 24'!AL184</f>
        <v>0</v>
      </c>
      <c r="O195" s="590" t="e">
        <f>'[20]September 24'!AM184</f>
        <v>#REF!</v>
      </c>
      <c r="P195" s="590"/>
      <c r="Q195" s="590">
        <f>'[20]November 24'!AL184</f>
        <v>0</v>
      </c>
      <c r="R195" s="590">
        <f>'[20]Desember 24'!AL184</f>
        <v>0</v>
      </c>
      <c r="S195" s="719"/>
      <c r="T195" s="89" t="e">
        <f>SUM(F195:R195)</f>
        <v>#REF!</v>
      </c>
      <c r="U195" s="686" t="e">
        <f>SUM(G195:S195)</f>
        <v>#REF!</v>
      </c>
      <c r="V195" s="788" t="e">
        <f>SUM(H195:T195)</f>
        <v>#REF!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31"/>
      <c r="C196" s="594" t="s">
        <v>93</v>
      </c>
      <c r="D196" s="463"/>
      <c r="E196" s="20" t="s">
        <v>14</v>
      </c>
      <c r="F196" s="590">
        <f>'[20]Januari 24'!AL185</f>
        <v>364427.63</v>
      </c>
      <c r="G196" s="590" t="e">
        <f>'[20]Februari 24'!AI179</f>
        <v>#REF!</v>
      </c>
      <c r="H196" s="590">
        <f>'[20]Maret 24'!AL185</f>
        <v>0</v>
      </c>
      <c r="I196" s="590">
        <f>'[20]April 24'!AL185</f>
        <v>0</v>
      </c>
      <c r="J196" s="590">
        <f>'[20]Mei 24'!AL185</f>
        <v>0</v>
      </c>
      <c r="K196" s="590">
        <f>'[20]Juny 24'!AL185</f>
        <v>0</v>
      </c>
      <c r="L196" s="590">
        <f>'[20]July 24'!AL185</f>
        <v>0</v>
      </c>
      <c r="M196" s="590">
        <f>'[20]Agustus 24'!AL185</f>
        <v>0</v>
      </c>
      <c r="N196" s="590">
        <f>'[20]September 24'!AL185</f>
        <v>0</v>
      </c>
      <c r="O196" s="590" t="e">
        <f>'[20]September 24'!AM185</f>
        <v>#REF!</v>
      </c>
      <c r="P196" s="590"/>
      <c r="Q196" s="590">
        <f>'[20]November 24'!AL185</f>
        <v>0</v>
      </c>
      <c r="R196" s="590">
        <f>'[20]Desember 24'!AL185</f>
        <v>0</v>
      </c>
      <c r="S196" s="719"/>
      <c r="T196" s="89" t="e">
        <f>SUM(T197:T198)</f>
        <v>#REF!</v>
      </c>
      <c r="U196" s="686" t="e">
        <f>SUM(U197:U198)</f>
        <v>#REF!</v>
      </c>
      <c r="V196" s="788" t="e">
        <f>SUM(V197:V198)</f>
        <v>#REF!</v>
      </c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31"/>
      <c r="C197" s="595" t="s">
        <v>39</v>
      </c>
      <c r="D197" s="463"/>
      <c r="E197" s="496" t="s">
        <v>14</v>
      </c>
      <c r="F197" s="578">
        <f>SUM(F201:F202)*10.83</f>
        <v>364007.13</v>
      </c>
      <c r="G197" s="578">
        <f>SUM(G201:G202)*10.83</f>
        <v>162.44999999999999</v>
      </c>
      <c r="H197" s="578">
        <f>'[20]Maret 24'!AL186</f>
        <v>0</v>
      </c>
      <c r="I197" s="578">
        <f t="shared" ref="I197:R197" si="65">SUM(I201:I202)*10.83</f>
        <v>0</v>
      </c>
      <c r="J197" s="578">
        <f t="shared" si="65"/>
        <v>0</v>
      </c>
      <c r="K197" s="578">
        <f t="shared" si="65"/>
        <v>0</v>
      </c>
      <c r="L197" s="578">
        <f t="shared" si="65"/>
        <v>0</v>
      </c>
      <c r="M197" s="578">
        <f t="shared" si="65"/>
        <v>0</v>
      </c>
      <c r="N197" s="578">
        <f t="shared" si="65"/>
        <v>0</v>
      </c>
      <c r="O197" s="578" t="e">
        <f>SUM(O201:O202)*10.83</f>
        <v>#REF!</v>
      </c>
      <c r="P197" s="578"/>
      <c r="Q197" s="578">
        <f t="shared" si="65"/>
        <v>0</v>
      </c>
      <c r="R197" s="578">
        <f t="shared" si="65"/>
        <v>0</v>
      </c>
      <c r="S197" s="719"/>
      <c r="T197" s="59" t="e">
        <f t="shared" ref="T197:V198" si="66">SUM(F197:R197)</f>
        <v>#REF!</v>
      </c>
      <c r="U197" s="669" t="e">
        <f t="shared" si="66"/>
        <v>#REF!</v>
      </c>
      <c r="V197" s="770" t="e">
        <f t="shared" si="66"/>
        <v>#REF!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31"/>
      <c r="C198" s="595" t="s">
        <v>38</v>
      </c>
      <c r="D198" s="463"/>
      <c r="E198" s="496" t="s">
        <v>14</v>
      </c>
      <c r="F198" s="578">
        <f>F196-F197</f>
        <v>420.5</v>
      </c>
      <c r="G198" s="578" t="e">
        <f>G196-G197</f>
        <v>#REF!</v>
      </c>
      <c r="H198" s="578">
        <f>'[20]Maret 24'!AL187</f>
        <v>0</v>
      </c>
      <c r="I198" s="578">
        <f t="shared" ref="I198:R198" si="67">I196-I197</f>
        <v>0</v>
      </c>
      <c r="J198" s="578">
        <f t="shared" si="67"/>
        <v>0</v>
      </c>
      <c r="K198" s="578">
        <f t="shared" si="67"/>
        <v>0</v>
      </c>
      <c r="L198" s="578">
        <f t="shared" si="67"/>
        <v>0</v>
      </c>
      <c r="M198" s="578">
        <f>M196-M197</f>
        <v>0</v>
      </c>
      <c r="N198" s="578">
        <f>N196-N197</f>
        <v>0</v>
      </c>
      <c r="O198" s="578" t="e">
        <f>O196-O197</f>
        <v>#REF!</v>
      </c>
      <c r="P198" s="578"/>
      <c r="Q198" s="578">
        <f t="shared" si="67"/>
        <v>0</v>
      </c>
      <c r="R198" s="578">
        <f t="shared" si="67"/>
        <v>0</v>
      </c>
      <c r="S198" s="719"/>
      <c r="T198" s="59" t="e">
        <f t="shared" si="66"/>
        <v>#REF!</v>
      </c>
      <c r="U198" s="669" t="e">
        <f t="shared" si="66"/>
        <v>#REF!</v>
      </c>
      <c r="V198" s="770" t="e">
        <f t="shared" si="66"/>
        <v>#REF!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31"/>
      <c r="C199" s="596" t="s">
        <v>50</v>
      </c>
      <c r="D199" s="463"/>
      <c r="E199" s="496" t="s">
        <v>14</v>
      </c>
      <c r="F199" s="578"/>
      <c r="G199" s="578"/>
      <c r="H199" s="578">
        <f>'[20]Maret 24'!AL188</f>
        <v>0</v>
      </c>
      <c r="I199" s="578"/>
      <c r="J199" s="578"/>
      <c r="K199" s="578"/>
      <c r="L199" s="578"/>
      <c r="M199" s="578"/>
      <c r="N199" s="578"/>
      <c r="O199" s="578"/>
      <c r="P199" s="578"/>
      <c r="Q199" s="578"/>
      <c r="R199" s="578"/>
      <c r="S199" s="719"/>
      <c r="T199" s="59"/>
      <c r="U199" s="669"/>
      <c r="V199" s="770"/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31"/>
      <c r="C200" s="595" t="s">
        <v>29</v>
      </c>
      <c r="D200" s="463"/>
      <c r="E200" s="496"/>
      <c r="F200" s="440"/>
      <c r="G200" s="440"/>
      <c r="H200" s="440"/>
      <c r="I200" s="440"/>
      <c r="J200" s="440"/>
      <c r="K200" s="440"/>
      <c r="L200" s="440"/>
      <c r="M200" s="440"/>
      <c r="N200" s="440"/>
      <c r="O200" s="440"/>
      <c r="P200" s="440"/>
      <c r="Q200" s="440"/>
      <c r="R200" s="440"/>
      <c r="S200" s="719"/>
      <c r="T200" s="59"/>
      <c r="U200" s="669"/>
      <c r="V200" s="770"/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31"/>
      <c r="C201" s="595" t="s">
        <v>88</v>
      </c>
      <c r="D201" s="463"/>
      <c r="E201" s="496" t="s">
        <v>31</v>
      </c>
      <c r="F201" s="597">
        <f>'[20]Januari 24'!AL190</f>
        <v>25527</v>
      </c>
      <c r="G201" s="597">
        <f>'[20]Februari 24'!AL190</f>
        <v>15</v>
      </c>
      <c r="H201" s="597">
        <f>'[20]Maret 24'!AL190</f>
        <v>0</v>
      </c>
      <c r="I201" s="597">
        <f>'[20]April 24'!AL190</f>
        <v>0</v>
      </c>
      <c r="J201" s="597">
        <f>'[20]Mei 24'!AL190</f>
        <v>0</v>
      </c>
      <c r="K201" s="597">
        <f>'[20]Juny 24'!AL190</f>
        <v>0</v>
      </c>
      <c r="L201" s="597">
        <f>'[20]July 24'!AL190</f>
        <v>0</v>
      </c>
      <c r="M201" s="597">
        <f>'[20]Agustus 24'!AL190</f>
        <v>0</v>
      </c>
      <c r="N201" s="597">
        <f>'[20]September 24'!AL190</f>
        <v>0</v>
      </c>
      <c r="O201" s="597" t="e">
        <f>'[20]September 24'!AM190</f>
        <v>#REF!</v>
      </c>
      <c r="P201" s="597"/>
      <c r="Q201" s="597">
        <f>'[20]November 24'!AL190</f>
        <v>0</v>
      </c>
      <c r="R201" s="597">
        <f>'[20]Desember 24'!AL190</f>
        <v>0</v>
      </c>
      <c r="S201" s="719"/>
      <c r="T201" s="91" t="e">
        <f>SUM(F201:R201)</f>
        <v>#REF!</v>
      </c>
      <c r="U201" s="669">
        <v>2048803</v>
      </c>
      <c r="V201" s="770"/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31"/>
      <c r="C202" s="595" t="s">
        <v>117</v>
      </c>
      <c r="D202" s="463"/>
      <c r="E202" s="496" t="s">
        <v>31</v>
      </c>
      <c r="F202" s="597">
        <f>'[20]Januari 24'!AL191</f>
        <v>8084</v>
      </c>
      <c r="G202" s="597">
        <f>'[20]Februari 24'!AL191</f>
        <v>0</v>
      </c>
      <c r="H202" s="597">
        <f>'[20]Maret 24'!AL191</f>
        <v>0</v>
      </c>
      <c r="I202" s="597">
        <f>'[20]April 24'!AL191</f>
        <v>0</v>
      </c>
      <c r="J202" s="597">
        <f>'[20]Mei 24'!AL191</f>
        <v>0</v>
      </c>
      <c r="K202" s="597">
        <f>'[20]Juny 24'!AL191</f>
        <v>0</v>
      </c>
      <c r="L202" s="597">
        <f>'[20]July 24'!AL191</f>
        <v>0</v>
      </c>
      <c r="M202" s="597">
        <f>'[20]Agustus 24'!AL191</f>
        <v>0</v>
      </c>
      <c r="N202" s="597">
        <f>'[20]September 24'!AL191</f>
        <v>0</v>
      </c>
      <c r="O202" s="597" t="e">
        <f>'[20]September 24'!AM191</f>
        <v>#REF!</v>
      </c>
      <c r="P202" s="597"/>
      <c r="Q202" s="597">
        <f>'[20]November 24'!AL191</f>
        <v>0</v>
      </c>
      <c r="R202" s="597">
        <f>'[20]Desember 24'!AL191</f>
        <v>0</v>
      </c>
      <c r="S202" s="719"/>
      <c r="T202" s="91" t="e">
        <f>SUM(F202:R202)</f>
        <v>#REF!</v>
      </c>
      <c r="U202" s="669"/>
      <c r="V202" s="770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31"/>
      <c r="C203" s="595" t="s">
        <v>28</v>
      </c>
      <c r="D203" s="463"/>
      <c r="E203" s="496"/>
      <c r="F203" s="440"/>
      <c r="G203" s="440"/>
      <c r="H203" s="440"/>
      <c r="I203" s="440"/>
      <c r="J203" s="440"/>
      <c r="K203" s="440"/>
      <c r="L203" s="440"/>
      <c r="M203" s="440"/>
      <c r="N203" s="440"/>
      <c r="O203" s="440"/>
      <c r="P203" s="440"/>
      <c r="Q203" s="440"/>
      <c r="R203" s="440"/>
      <c r="S203" s="719"/>
      <c r="T203" s="59"/>
      <c r="U203" s="669"/>
      <c r="V203" s="770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31"/>
      <c r="C204" s="595" t="s">
        <v>117</v>
      </c>
      <c r="D204" s="463"/>
      <c r="E204" s="496" t="s">
        <v>28</v>
      </c>
      <c r="F204" s="598">
        <f>F201*12</f>
        <v>306324</v>
      </c>
      <c r="G204" s="598">
        <f t="shared" ref="G204:R205" si="68">G201*12</f>
        <v>180</v>
      </c>
      <c r="H204" s="598">
        <f t="shared" si="68"/>
        <v>0</v>
      </c>
      <c r="I204" s="598">
        <f t="shared" si="68"/>
        <v>0</v>
      </c>
      <c r="J204" s="598">
        <f t="shared" si="68"/>
        <v>0</v>
      </c>
      <c r="K204" s="598">
        <f t="shared" si="68"/>
        <v>0</v>
      </c>
      <c r="L204" s="598">
        <f t="shared" si="68"/>
        <v>0</v>
      </c>
      <c r="M204" s="598">
        <f t="shared" si="68"/>
        <v>0</v>
      </c>
      <c r="N204" s="598">
        <f t="shared" si="68"/>
        <v>0</v>
      </c>
      <c r="O204" s="598" t="e">
        <f>O201*12</f>
        <v>#REF!</v>
      </c>
      <c r="P204" s="598"/>
      <c r="Q204" s="598">
        <f t="shared" si="68"/>
        <v>0</v>
      </c>
      <c r="R204" s="598">
        <f t="shared" si="68"/>
        <v>0</v>
      </c>
      <c r="S204" s="719"/>
      <c r="T204" s="91" t="e">
        <f>SUM(F204:R204)</f>
        <v>#REF!</v>
      </c>
      <c r="U204" s="669"/>
      <c r="V204" s="770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31"/>
      <c r="C205" s="595" t="s">
        <v>88</v>
      </c>
      <c r="D205" s="463"/>
      <c r="E205" s="496" t="s">
        <v>28</v>
      </c>
      <c r="F205" s="598"/>
      <c r="G205" s="598">
        <f>G202*12</f>
        <v>0</v>
      </c>
      <c r="H205" s="598">
        <f t="shared" si="68"/>
        <v>0</v>
      </c>
      <c r="I205" s="598">
        <f t="shared" si="68"/>
        <v>0</v>
      </c>
      <c r="J205" s="598">
        <f t="shared" si="68"/>
        <v>0</v>
      </c>
      <c r="K205" s="598">
        <f t="shared" si="68"/>
        <v>0</v>
      </c>
      <c r="L205" s="598">
        <f t="shared" si="68"/>
        <v>0</v>
      </c>
      <c r="M205" s="598">
        <f t="shared" si="68"/>
        <v>0</v>
      </c>
      <c r="N205" s="598">
        <f t="shared" si="68"/>
        <v>0</v>
      </c>
      <c r="O205" s="598" t="e">
        <f>O202*12</f>
        <v>#REF!</v>
      </c>
      <c r="P205" s="598"/>
      <c r="Q205" s="598">
        <f t="shared" si="68"/>
        <v>0</v>
      </c>
      <c r="R205" s="598">
        <f t="shared" si="68"/>
        <v>0</v>
      </c>
      <c r="S205" s="719"/>
      <c r="T205" s="91" t="e">
        <f>SUM(F205:R205)</f>
        <v>#REF!</v>
      </c>
      <c r="U205" s="669"/>
      <c r="V205" s="770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31"/>
      <c r="C206" s="595" t="s">
        <v>36</v>
      </c>
      <c r="D206" s="463"/>
      <c r="E206" s="496"/>
      <c r="F206" s="598">
        <f>F201*45/1700</f>
        <v>675.71470588235297</v>
      </c>
      <c r="G206" s="598">
        <f t="shared" ref="G206:R206" si="69">G201*45/1700</f>
        <v>0.39705882352941174</v>
      </c>
      <c r="H206" s="598">
        <f t="shared" si="69"/>
        <v>0</v>
      </c>
      <c r="I206" s="598">
        <f t="shared" si="69"/>
        <v>0</v>
      </c>
      <c r="J206" s="598">
        <f t="shared" si="69"/>
        <v>0</v>
      </c>
      <c r="K206" s="598">
        <f t="shared" si="69"/>
        <v>0</v>
      </c>
      <c r="L206" s="598">
        <f t="shared" si="69"/>
        <v>0</v>
      </c>
      <c r="M206" s="598">
        <f t="shared" si="69"/>
        <v>0</v>
      </c>
      <c r="N206" s="598">
        <f t="shared" si="69"/>
        <v>0</v>
      </c>
      <c r="O206" s="598" t="e">
        <f>O201*45/1700</f>
        <v>#REF!</v>
      </c>
      <c r="P206" s="598"/>
      <c r="Q206" s="598">
        <f t="shared" si="69"/>
        <v>0</v>
      </c>
      <c r="R206" s="598">
        <f t="shared" si="69"/>
        <v>0</v>
      </c>
      <c r="S206" s="719"/>
      <c r="T206" s="91" t="e">
        <f>SUM(F206:R206)</f>
        <v>#REF!</v>
      </c>
      <c r="U206" s="669"/>
      <c r="V206" s="770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31"/>
      <c r="C207" s="595" t="s">
        <v>34</v>
      </c>
      <c r="D207" s="463"/>
      <c r="E207" s="496"/>
      <c r="F207" s="598">
        <f>SUM(F201)/500</f>
        <v>51.054000000000002</v>
      </c>
      <c r="G207" s="598">
        <f t="shared" ref="G207:R207" si="70">SUM(G201)/500</f>
        <v>0.03</v>
      </c>
      <c r="H207" s="598">
        <f t="shared" si="70"/>
        <v>0</v>
      </c>
      <c r="I207" s="598">
        <f t="shared" si="70"/>
        <v>0</v>
      </c>
      <c r="J207" s="598">
        <f t="shared" si="70"/>
        <v>0</v>
      </c>
      <c r="K207" s="598">
        <f t="shared" si="70"/>
        <v>0</v>
      </c>
      <c r="L207" s="598">
        <f t="shared" si="70"/>
        <v>0</v>
      </c>
      <c r="M207" s="598">
        <f t="shared" si="70"/>
        <v>0</v>
      </c>
      <c r="N207" s="598">
        <f t="shared" si="70"/>
        <v>0</v>
      </c>
      <c r="O207" s="598" t="e">
        <f>SUM(O201)/500</f>
        <v>#REF!</v>
      </c>
      <c r="P207" s="598"/>
      <c r="Q207" s="598">
        <f t="shared" si="70"/>
        <v>0</v>
      </c>
      <c r="R207" s="598">
        <f t="shared" si="70"/>
        <v>0</v>
      </c>
      <c r="S207" s="719"/>
      <c r="T207" s="91" t="e">
        <f>SUM(F207:R207)</f>
        <v>#REF!</v>
      </c>
      <c r="U207" s="669"/>
      <c r="V207" s="770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31"/>
      <c r="C208" s="591" t="s">
        <v>32</v>
      </c>
      <c r="D208" s="592"/>
      <c r="E208" s="588"/>
      <c r="F208" s="593"/>
      <c r="G208" s="593"/>
      <c r="H208" s="593"/>
      <c r="I208" s="593"/>
      <c r="J208" s="593"/>
      <c r="K208" s="593"/>
      <c r="L208" s="593"/>
      <c r="M208" s="593"/>
      <c r="N208" s="593"/>
      <c r="O208" s="593"/>
      <c r="P208" s="593"/>
      <c r="Q208" s="593"/>
      <c r="R208" s="593"/>
      <c r="S208" s="719"/>
      <c r="T208" s="522" t="s">
        <v>131</v>
      </c>
      <c r="U208" s="677" t="s">
        <v>131</v>
      </c>
      <c r="V208" s="777" t="s">
        <v>131</v>
      </c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31"/>
      <c r="C209" s="595" t="s">
        <v>29</v>
      </c>
      <c r="D209" s="463"/>
      <c r="E209" s="496"/>
      <c r="F209" s="440"/>
      <c r="G209" s="440"/>
      <c r="H209" s="440"/>
      <c r="I209" s="440"/>
      <c r="J209" s="440"/>
      <c r="K209" s="440"/>
      <c r="L209" s="440"/>
      <c r="M209" s="440"/>
      <c r="N209" s="440"/>
      <c r="O209" s="440"/>
      <c r="P209" s="440"/>
      <c r="Q209" s="440"/>
      <c r="R209" s="440"/>
      <c r="S209" s="719"/>
      <c r="T209" s="59"/>
      <c r="U209" s="669"/>
      <c r="V209" s="770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31"/>
      <c r="C210" s="595" t="s">
        <v>88</v>
      </c>
      <c r="D210" s="463"/>
      <c r="E210" s="496" t="s">
        <v>31</v>
      </c>
      <c r="F210" s="440">
        <f>'[20]Januari 24'!AL185</f>
        <v>364427.63</v>
      </c>
      <c r="G210" s="439">
        <f>'[20]Februari 24'!AL199</f>
        <v>0</v>
      </c>
      <c r="H210" s="439">
        <f>'[20]Maret 24'!AL199</f>
        <v>0</v>
      </c>
      <c r="I210" s="439">
        <f>'[20]April 24'!AL199</f>
        <v>0</v>
      </c>
      <c r="J210" s="439">
        <f>'[20]Mei 24'!AL199</f>
        <v>0</v>
      </c>
      <c r="K210" s="439">
        <f>'[20]Juny 24'!AL190</f>
        <v>0</v>
      </c>
      <c r="L210" s="439">
        <f>'[20]July 24'!AL199</f>
        <v>0</v>
      </c>
      <c r="M210" s="440">
        <f>'[20]Agustus 24'!AL199</f>
        <v>0</v>
      </c>
      <c r="N210" s="440">
        <f>'[20]September 24'!AL199</f>
        <v>0</v>
      </c>
      <c r="O210" s="440" t="e">
        <f>'[20]September 24'!AM199</f>
        <v>#REF!</v>
      </c>
      <c r="P210" s="440"/>
      <c r="Q210" s="440">
        <f>'[20]November 24'!AL199</f>
        <v>0</v>
      </c>
      <c r="R210" s="440">
        <f>'[20]Desember 24'!AL199</f>
        <v>0</v>
      </c>
      <c r="S210" s="719"/>
      <c r="T210" s="91" t="e">
        <f>SUM(F210:R210)</f>
        <v>#REF!</v>
      </c>
      <c r="U210" s="689"/>
      <c r="V210" s="770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31"/>
      <c r="C211" s="595" t="s">
        <v>117</v>
      </c>
      <c r="D211" s="463"/>
      <c r="E211" s="496" t="s">
        <v>31</v>
      </c>
      <c r="F211" s="440"/>
      <c r="G211" s="439">
        <f>'[20]Februari 24'!AL200</f>
        <v>0</v>
      </c>
      <c r="H211" s="439">
        <f>'[20]Maret 24'!AL200</f>
        <v>0</v>
      </c>
      <c r="I211" s="440">
        <f>'[20]April 24'!AL200</f>
        <v>0</v>
      </c>
      <c r="J211" s="440">
        <f>'[20]Mei 24'!AL200</f>
        <v>0</v>
      </c>
      <c r="K211" s="439">
        <f>'[20]Juny 24'!AL191</f>
        <v>0</v>
      </c>
      <c r="L211" s="439">
        <f>'[20]July 24'!AL200</f>
        <v>0</v>
      </c>
      <c r="M211" s="440">
        <f>'[20]Agustus 24'!AL200</f>
        <v>0</v>
      </c>
      <c r="N211" s="440">
        <f>'[20]September 24'!AL200</f>
        <v>0</v>
      </c>
      <c r="O211" s="440" t="e">
        <f>'[20]September 24'!AM200</f>
        <v>#REF!</v>
      </c>
      <c r="P211" s="440"/>
      <c r="Q211" s="440">
        <f>'[20]November 24'!AL200</f>
        <v>0</v>
      </c>
      <c r="R211" s="440">
        <f>'[20]Desember 24'!AL200</f>
        <v>0</v>
      </c>
      <c r="S211" s="719"/>
      <c r="T211" s="91" t="e">
        <f>SUM(F211:R211)</f>
        <v>#REF!</v>
      </c>
      <c r="U211" s="689"/>
      <c r="V211" s="770"/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31"/>
      <c r="C212" s="595" t="s">
        <v>28</v>
      </c>
      <c r="D212" s="463"/>
      <c r="E212" s="496"/>
      <c r="F212" s="440"/>
      <c r="G212" s="440"/>
      <c r="H212" s="439"/>
      <c r="I212" s="440"/>
      <c r="J212" s="440"/>
      <c r="K212" s="440"/>
      <c r="L212" s="440"/>
      <c r="M212" s="440"/>
      <c r="N212" s="440"/>
      <c r="O212" s="440"/>
      <c r="P212" s="440"/>
      <c r="Q212" s="440"/>
      <c r="R212" s="440"/>
      <c r="S212" s="719"/>
      <c r="T212" s="91">
        <f>SUM(F212:R212)</f>
        <v>0</v>
      </c>
      <c r="U212" s="669"/>
      <c r="V212" s="770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31"/>
      <c r="C213" s="595" t="s">
        <v>88</v>
      </c>
      <c r="D213" s="463"/>
      <c r="E213" s="496" t="s">
        <v>28</v>
      </c>
      <c r="F213" s="439">
        <f>F210*12</f>
        <v>4373131.5600000005</v>
      </c>
      <c r="G213" s="439">
        <f t="shared" ref="G213:R213" si="71">G210*12</f>
        <v>0</v>
      </c>
      <c r="H213" s="439">
        <f t="shared" si="71"/>
        <v>0</v>
      </c>
      <c r="I213" s="439">
        <f t="shared" si="71"/>
        <v>0</v>
      </c>
      <c r="J213" s="439">
        <f t="shared" si="71"/>
        <v>0</v>
      </c>
      <c r="K213" s="439">
        <f t="shared" si="71"/>
        <v>0</v>
      </c>
      <c r="L213" s="439">
        <f t="shared" si="71"/>
        <v>0</v>
      </c>
      <c r="M213" s="439">
        <f t="shared" si="71"/>
        <v>0</v>
      </c>
      <c r="N213" s="439">
        <f t="shared" si="71"/>
        <v>0</v>
      </c>
      <c r="O213" s="439" t="e">
        <f>O210*12</f>
        <v>#REF!</v>
      </c>
      <c r="P213" s="439"/>
      <c r="Q213" s="439">
        <f t="shared" si="71"/>
        <v>0</v>
      </c>
      <c r="R213" s="439">
        <f t="shared" si="71"/>
        <v>0</v>
      </c>
      <c r="S213" s="719"/>
      <c r="T213" s="91" t="e">
        <f>SUM(F213:R213)</f>
        <v>#REF!</v>
      </c>
      <c r="U213" s="669"/>
      <c r="V213" s="792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31"/>
      <c r="C214" s="595" t="s">
        <v>117</v>
      </c>
      <c r="D214" s="599"/>
      <c r="E214" s="496" t="s">
        <v>28</v>
      </c>
      <c r="F214" s="439">
        <f>F211*6</f>
        <v>0</v>
      </c>
      <c r="G214" s="439">
        <f t="shared" ref="G214:R214" si="72">G211*6</f>
        <v>0</v>
      </c>
      <c r="H214" s="439">
        <f t="shared" si="72"/>
        <v>0</v>
      </c>
      <c r="I214" s="439">
        <f t="shared" si="72"/>
        <v>0</v>
      </c>
      <c r="J214" s="439">
        <f t="shared" si="72"/>
        <v>0</v>
      </c>
      <c r="K214" s="439">
        <f t="shared" si="72"/>
        <v>0</v>
      </c>
      <c r="L214" s="439">
        <f t="shared" si="72"/>
        <v>0</v>
      </c>
      <c r="M214" s="439">
        <f t="shared" si="72"/>
        <v>0</v>
      </c>
      <c r="N214" s="439">
        <f t="shared" si="72"/>
        <v>0</v>
      </c>
      <c r="O214" s="439" t="e">
        <f>O211*6</f>
        <v>#REF!</v>
      </c>
      <c r="P214" s="439"/>
      <c r="Q214" s="439">
        <f t="shared" si="72"/>
        <v>0</v>
      </c>
      <c r="R214" s="439">
        <f t="shared" si="72"/>
        <v>0</v>
      </c>
      <c r="S214" s="719"/>
      <c r="T214" s="91" t="e">
        <f>SUM(F214:R214)</f>
        <v>#REF!</v>
      </c>
      <c r="U214" s="669"/>
      <c r="V214" s="770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31"/>
      <c r="C215" s="419" t="s">
        <v>30</v>
      </c>
      <c r="D215" s="600"/>
      <c r="E215" s="588"/>
      <c r="F215" s="593"/>
      <c r="G215" s="593"/>
      <c r="H215" s="593"/>
      <c r="I215" s="593"/>
      <c r="J215" s="593"/>
      <c r="K215" s="593"/>
      <c r="L215" s="593"/>
      <c r="M215" s="593"/>
      <c r="N215" s="593"/>
      <c r="O215" s="593"/>
      <c r="P215" s="593"/>
      <c r="Q215" s="593"/>
      <c r="R215" s="593"/>
      <c r="S215" s="719"/>
      <c r="T215" s="601" t="s">
        <v>30</v>
      </c>
      <c r="U215" s="692" t="s">
        <v>30</v>
      </c>
      <c r="V215" s="793" t="s">
        <v>30</v>
      </c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31"/>
      <c r="C216" s="569" t="s">
        <v>29</v>
      </c>
      <c r="D216" s="599"/>
      <c r="E216" s="496"/>
      <c r="F216" s="440"/>
      <c r="G216" s="440"/>
      <c r="H216" s="440"/>
      <c r="I216" s="440"/>
      <c r="J216" s="440"/>
      <c r="K216" s="440"/>
      <c r="L216" s="440"/>
      <c r="M216" s="440"/>
      <c r="N216" s="440"/>
      <c r="O216" s="440"/>
      <c r="P216" s="440"/>
      <c r="Q216" s="440"/>
      <c r="R216" s="440"/>
      <c r="S216" s="719"/>
      <c r="T216" s="59"/>
      <c r="U216" s="669"/>
      <c r="V216" s="77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31"/>
      <c r="C217" s="595" t="s">
        <v>88</v>
      </c>
      <c r="D217" s="527">
        <v>0.3</v>
      </c>
      <c r="E217" s="496" t="s">
        <v>25</v>
      </c>
      <c r="F217" s="440">
        <f>F210/F201*100</f>
        <v>1427.6163669839777</v>
      </c>
      <c r="G217" s="440">
        <f>G210/G201*100</f>
        <v>0</v>
      </c>
      <c r="H217" s="440" t="e">
        <f t="shared" ref="H217:R218" si="73">H210/H201*100</f>
        <v>#DIV/0!</v>
      </c>
      <c r="I217" s="440" t="e">
        <f t="shared" si="73"/>
        <v>#DIV/0!</v>
      </c>
      <c r="J217" s="440" t="e">
        <f t="shared" si="73"/>
        <v>#DIV/0!</v>
      </c>
      <c r="K217" s="440" t="e">
        <f t="shared" si="73"/>
        <v>#DIV/0!</v>
      </c>
      <c r="L217" s="440" t="e">
        <f t="shared" si="73"/>
        <v>#DIV/0!</v>
      </c>
      <c r="M217" s="440" t="e">
        <f t="shared" si="73"/>
        <v>#DIV/0!</v>
      </c>
      <c r="N217" s="440" t="e">
        <f t="shared" si="73"/>
        <v>#DIV/0!</v>
      </c>
      <c r="O217" s="440" t="e">
        <f>O210/O201*100</f>
        <v>#REF!</v>
      </c>
      <c r="P217" s="440"/>
      <c r="Q217" s="440" t="e">
        <f t="shared" si="73"/>
        <v>#DIV/0!</v>
      </c>
      <c r="R217" s="440" t="e">
        <f t="shared" si="73"/>
        <v>#DIV/0!</v>
      </c>
      <c r="S217" s="719"/>
      <c r="T217" s="525" t="e">
        <f>T210/T201*100</f>
        <v>#REF!</v>
      </c>
      <c r="U217" s="669"/>
      <c r="V217" s="770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31"/>
      <c r="C218" s="595" t="s">
        <v>117</v>
      </c>
      <c r="D218" s="527">
        <v>0.3</v>
      </c>
      <c r="E218" s="496" t="s">
        <v>25</v>
      </c>
      <c r="F218" s="440">
        <f>F211/F202*100</f>
        <v>0</v>
      </c>
      <c r="G218" s="440" t="e">
        <f>G211/G202*100</f>
        <v>#DIV/0!</v>
      </c>
      <c r="H218" s="440" t="e">
        <f t="shared" si="73"/>
        <v>#DIV/0!</v>
      </c>
      <c r="I218" s="440" t="e">
        <f t="shared" si="73"/>
        <v>#DIV/0!</v>
      </c>
      <c r="J218" s="440" t="e">
        <f t="shared" si="73"/>
        <v>#DIV/0!</v>
      </c>
      <c r="K218" s="440" t="e">
        <f>K211/K202*100</f>
        <v>#DIV/0!</v>
      </c>
      <c r="L218" s="440" t="e">
        <f t="shared" si="73"/>
        <v>#DIV/0!</v>
      </c>
      <c r="M218" s="440" t="e">
        <f t="shared" si="73"/>
        <v>#DIV/0!</v>
      </c>
      <c r="N218" s="440" t="e">
        <f t="shared" si="73"/>
        <v>#DIV/0!</v>
      </c>
      <c r="O218" s="440" t="e">
        <f>O211/O202*100</f>
        <v>#REF!</v>
      </c>
      <c r="P218" s="440"/>
      <c r="Q218" s="440" t="e">
        <f t="shared" si="73"/>
        <v>#DIV/0!</v>
      </c>
      <c r="R218" s="440" t="e">
        <f t="shared" si="73"/>
        <v>#DIV/0!</v>
      </c>
      <c r="S218" s="719"/>
      <c r="T218" s="525" t="e">
        <f>T211/T202*100</f>
        <v>#REF!</v>
      </c>
      <c r="U218" s="669"/>
      <c r="V218" s="770"/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31"/>
      <c r="C219" s="569" t="s">
        <v>28</v>
      </c>
      <c r="D219" s="527"/>
      <c r="E219" s="496"/>
      <c r="F219" s="440"/>
      <c r="G219" s="440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719"/>
      <c r="T219" s="525"/>
      <c r="U219" s="669"/>
      <c r="V219" s="770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31"/>
      <c r="C220" s="595" t="s">
        <v>88</v>
      </c>
      <c r="D220" s="527">
        <v>0.5</v>
      </c>
      <c r="E220" s="496" t="s">
        <v>25</v>
      </c>
      <c r="F220" s="440">
        <f>F213/F201*100</f>
        <v>17131.396403807736</v>
      </c>
      <c r="G220" s="440">
        <f t="shared" ref="G220:R221" si="74">G213/G201*100</f>
        <v>0</v>
      </c>
      <c r="H220" s="440" t="e">
        <f t="shared" si="74"/>
        <v>#DIV/0!</v>
      </c>
      <c r="I220" s="440" t="e">
        <f t="shared" si="74"/>
        <v>#DIV/0!</v>
      </c>
      <c r="J220" s="440" t="e">
        <f t="shared" si="74"/>
        <v>#DIV/0!</v>
      </c>
      <c r="K220" s="440" t="e">
        <f t="shared" si="74"/>
        <v>#DIV/0!</v>
      </c>
      <c r="L220" s="440" t="e">
        <f t="shared" si="74"/>
        <v>#DIV/0!</v>
      </c>
      <c r="M220" s="440" t="e">
        <f t="shared" si="74"/>
        <v>#DIV/0!</v>
      </c>
      <c r="N220" s="440" t="e">
        <f t="shared" si="74"/>
        <v>#DIV/0!</v>
      </c>
      <c r="O220" s="440" t="e">
        <f>O213/O201*100</f>
        <v>#REF!</v>
      </c>
      <c r="P220" s="440"/>
      <c r="Q220" s="440" t="e">
        <f t="shared" si="74"/>
        <v>#DIV/0!</v>
      </c>
      <c r="R220" s="440" t="e">
        <f t="shared" si="74"/>
        <v>#DIV/0!</v>
      </c>
      <c r="S220" s="719"/>
      <c r="T220" s="525" t="e">
        <f>T213/T201*100</f>
        <v>#REF!</v>
      </c>
      <c r="U220" s="669"/>
      <c r="V220" s="792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31"/>
      <c r="C221" s="595" t="s">
        <v>117</v>
      </c>
      <c r="D221" s="527">
        <v>0.5</v>
      </c>
      <c r="E221" s="496" t="s">
        <v>25</v>
      </c>
      <c r="F221" s="440">
        <f>F214/F202*100</f>
        <v>0</v>
      </c>
      <c r="G221" s="440" t="e">
        <f t="shared" si="74"/>
        <v>#DIV/0!</v>
      </c>
      <c r="H221" s="440" t="e">
        <f t="shared" si="74"/>
        <v>#DIV/0!</v>
      </c>
      <c r="I221" s="440" t="e">
        <f t="shared" si="74"/>
        <v>#DIV/0!</v>
      </c>
      <c r="J221" s="440" t="e">
        <f t="shared" si="74"/>
        <v>#DIV/0!</v>
      </c>
      <c r="K221" s="440" t="e">
        <f t="shared" si="74"/>
        <v>#DIV/0!</v>
      </c>
      <c r="L221" s="440" t="e">
        <f t="shared" si="74"/>
        <v>#DIV/0!</v>
      </c>
      <c r="M221" s="440" t="e">
        <f t="shared" si="74"/>
        <v>#DIV/0!</v>
      </c>
      <c r="N221" s="440" t="e">
        <f t="shared" si="74"/>
        <v>#DIV/0!</v>
      </c>
      <c r="O221" s="440" t="e">
        <f>O214/O202*100</f>
        <v>#REF!</v>
      </c>
      <c r="P221" s="440"/>
      <c r="Q221" s="440" t="e">
        <f t="shared" si="74"/>
        <v>#DIV/0!</v>
      </c>
      <c r="R221" s="440" t="e">
        <f t="shared" si="74"/>
        <v>#DIV/0!</v>
      </c>
      <c r="S221" s="719"/>
      <c r="T221" s="528" t="e">
        <f>T214/T202*100</f>
        <v>#REF!</v>
      </c>
      <c r="U221" s="669"/>
      <c r="V221" s="792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31"/>
      <c r="C222" s="602" t="s">
        <v>94</v>
      </c>
      <c r="D222" s="603"/>
      <c r="E222" s="604"/>
      <c r="F222" s="605">
        <f>'[20]Januari 24'!AL211</f>
        <v>356139</v>
      </c>
      <c r="G222" s="605">
        <f>'[20]Februari 24'!AL211</f>
        <v>0</v>
      </c>
      <c r="H222" s="605">
        <f>'[20]Maret 24'!AL211</f>
        <v>0</v>
      </c>
      <c r="I222" s="605">
        <f>'[20]April 24'!AL211</f>
        <v>0</v>
      </c>
      <c r="J222" s="605">
        <f>'[20]Mei 24'!AL211</f>
        <v>0</v>
      </c>
      <c r="K222" s="605">
        <f>'[20]Juny 24'!AL211</f>
        <v>0</v>
      </c>
      <c r="L222" s="605">
        <f>'[20]July 24'!AL211</f>
        <v>0</v>
      </c>
      <c r="M222" s="605">
        <f>'[20]Agustus 24'!AL211</f>
        <v>0</v>
      </c>
      <c r="N222" s="605">
        <f>'[20]September 24'!AL211</f>
        <v>0</v>
      </c>
      <c r="O222" s="605" t="e">
        <f>'[20]September 24'!AM211</f>
        <v>#REF!</v>
      </c>
      <c r="P222" s="605"/>
      <c r="Q222" s="605">
        <f>'[20]November 24'!AL211</f>
        <v>0</v>
      </c>
      <c r="R222" s="605">
        <f>'[20]Desember 24'!AL211</f>
        <v>0</v>
      </c>
      <c r="S222" s="720"/>
      <c r="T222" s="606" t="e">
        <f>SUM(F222:R222)</f>
        <v>#REF!</v>
      </c>
      <c r="U222" s="693">
        <v>22250000</v>
      </c>
      <c r="V222" s="794" t="e">
        <f>T222/U222*100</f>
        <v>#REF!</v>
      </c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31"/>
      <c r="C223" s="602" t="s">
        <v>118</v>
      </c>
      <c r="D223" s="603"/>
      <c r="E223" s="604"/>
      <c r="F223" s="605">
        <f>'[20]Januari 24'!AL212</f>
        <v>534116</v>
      </c>
      <c r="G223" s="605">
        <f>'[20]Februari 24'!AL212</f>
        <v>542142</v>
      </c>
      <c r="H223" s="605">
        <f>'[20]Maret 24'!AL212</f>
        <v>0</v>
      </c>
      <c r="I223" s="605">
        <f>'[20]April 24'!AL212</f>
        <v>0</v>
      </c>
      <c r="J223" s="607">
        <f>'[20]Mei 24'!AL212</f>
        <v>0</v>
      </c>
      <c r="K223" s="607">
        <f>'[20]Juny 24'!AL212</f>
        <v>0</v>
      </c>
      <c r="L223" s="607">
        <f>'[20]July 24'!AL212</f>
        <v>0</v>
      </c>
      <c r="M223" s="608">
        <f>'[20]Agustus 24'!AL212</f>
        <v>0</v>
      </c>
      <c r="N223" s="607">
        <f>'[20]September 24'!AL212</f>
        <v>0</v>
      </c>
      <c r="O223" s="607" t="e">
        <f>'[20]September 24'!AM212</f>
        <v>#REF!</v>
      </c>
      <c r="P223" s="607"/>
      <c r="Q223" s="607">
        <f>'[20]November 24'!AL212</f>
        <v>0</v>
      </c>
      <c r="R223" s="607">
        <f>'[20]Desember 24'!AL212</f>
        <v>0</v>
      </c>
      <c r="S223" s="720"/>
      <c r="T223" s="606" t="e">
        <f>SUM(F223:R223)</f>
        <v>#REF!</v>
      </c>
      <c r="U223" s="693">
        <v>11435000</v>
      </c>
      <c r="V223" s="794" t="e">
        <f>T223/U223*100</f>
        <v>#REF!</v>
      </c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31"/>
      <c r="C224" s="609" t="s">
        <v>89</v>
      </c>
      <c r="D224" s="603"/>
      <c r="E224" s="604"/>
      <c r="F224" s="605">
        <f>'[20]Januari 24'!AL213</f>
        <v>845858</v>
      </c>
      <c r="G224" s="605">
        <f>'[20]Februari 24'!AL213</f>
        <v>192009</v>
      </c>
      <c r="H224" s="605">
        <f>'[20]Maret 24'!AL213</f>
        <v>0</v>
      </c>
      <c r="I224" s="605">
        <f>'[20]April 24'!AL213</f>
        <v>0</v>
      </c>
      <c r="J224" s="605">
        <f>'[20]Mei 24'!AL213</f>
        <v>0</v>
      </c>
      <c r="K224" s="605">
        <f>'[20]Juny 24'!AL213</f>
        <v>0</v>
      </c>
      <c r="L224" s="605">
        <f>'[20]July 24'!AL213</f>
        <v>0</v>
      </c>
      <c r="M224" s="608">
        <f>'[20]Agustus 24'!AL213</f>
        <v>0</v>
      </c>
      <c r="N224" s="605">
        <f>'[20]September 24'!AL213</f>
        <v>0</v>
      </c>
      <c r="O224" s="605" t="e">
        <f>'[20]September 24'!AM213</f>
        <v>#REF!</v>
      </c>
      <c r="P224" s="608"/>
      <c r="Q224" s="608">
        <f>'[20]November 24'!AL213</f>
        <v>0</v>
      </c>
      <c r="R224" s="608">
        <f>'[20]Desember 24'!AL213</f>
        <v>0</v>
      </c>
      <c r="S224" s="720"/>
      <c r="T224" s="606" t="e">
        <f>SUM(F224:R224)</f>
        <v>#REF!</v>
      </c>
      <c r="U224" s="694">
        <v>71709000</v>
      </c>
      <c r="V224" s="794" t="e">
        <f>T224/U224*100</f>
        <v>#REF!</v>
      </c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s="615" customFormat="1" hidden="1" x14ac:dyDescent="0.25">
      <c r="B225" s="728"/>
      <c r="C225" s="610" t="s">
        <v>90</v>
      </c>
      <c r="D225" s="611"/>
      <c r="E225" s="108"/>
      <c r="F225" s="612">
        <f>'[20]Januari 24'!AL214</f>
        <v>1736113</v>
      </c>
      <c r="G225" s="612">
        <f>'[20]Februari 24'!AL214</f>
        <v>734151</v>
      </c>
      <c r="H225" s="612">
        <f>'[20]Maret 24'!AL214</f>
        <v>0</v>
      </c>
      <c r="I225" s="612">
        <f>'[20]April 24'!AL214</f>
        <v>0</v>
      </c>
      <c r="J225" s="613">
        <f>'[20]Mei 24'!AL214</f>
        <v>0</v>
      </c>
      <c r="K225" s="613">
        <f>'[20]Juny 24'!AL214</f>
        <v>0</v>
      </c>
      <c r="L225" s="613">
        <f>'[20]July 24'!AL214</f>
        <v>0</v>
      </c>
      <c r="M225" s="612">
        <f>'[20]Agustus 24'!AL214</f>
        <v>0</v>
      </c>
      <c r="N225" s="614">
        <f>'[20]September 24'!AL214</f>
        <v>0</v>
      </c>
      <c r="O225" s="614" t="e">
        <f>'[20]September 24'!AM214</f>
        <v>#REF!</v>
      </c>
      <c r="P225" s="614"/>
      <c r="Q225" s="612">
        <f>'[20]November 24'!AL214</f>
        <v>0</v>
      </c>
      <c r="R225" s="612">
        <f>'[20]Desember 24'!AL214</f>
        <v>0</v>
      </c>
      <c r="S225" s="736"/>
      <c r="T225" s="606" t="e">
        <f>SUM(F225:R225)</f>
        <v>#REF!</v>
      </c>
      <c r="U225" s="685">
        <f>SUM(U222:U224)</f>
        <v>105394000</v>
      </c>
      <c r="V225" s="794" t="e">
        <f>T225/U225*100</f>
        <v>#REF!</v>
      </c>
      <c r="X225" s="2"/>
      <c r="Y225" s="809"/>
      <c r="Z225" s="809"/>
      <c r="AA225" s="809"/>
      <c r="AB225" s="809"/>
      <c r="AC225" s="809"/>
      <c r="AD225" s="809"/>
      <c r="AE225" s="809"/>
      <c r="AF225" s="809"/>
      <c r="AG225" s="809"/>
      <c r="AH225" s="809"/>
      <c r="AI225" s="809"/>
      <c r="AJ225" s="809"/>
      <c r="AK225" s="809"/>
      <c r="AL225" s="809"/>
      <c r="AM225" s="809"/>
      <c r="AN225" s="809"/>
      <c r="AO225" s="809"/>
      <c r="AP225" s="809"/>
      <c r="AR225" s="809"/>
      <c r="AX225" s="1"/>
      <c r="BD225" s="146"/>
      <c r="BE225" s="146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CH225" s="146"/>
      <c r="DA225" s="2"/>
      <c r="DP225" s="435"/>
      <c r="DQ225" s="146"/>
      <c r="DR225" s="146"/>
      <c r="DS225" s="146"/>
      <c r="DT225" s="146"/>
      <c r="FW225" s="146"/>
      <c r="JR225" s="146"/>
      <c r="JS225" s="146"/>
      <c r="JT225" s="146"/>
      <c r="JU225" s="146"/>
      <c r="OY225" s="146"/>
      <c r="OZ225" s="146"/>
      <c r="PB225" s="146"/>
      <c r="PP225" s="563"/>
      <c r="PT225" s="146"/>
      <c r="RW225" s="563"/>
      <c r="AHF225" s="151"/>
      <c r="AIU225" s="151"/>
      <c r="AIV225" s="151"/>
      <c r="AIW225" s="151"/>
    </row>
    <row r="226" spans="2:933" s="615" customFormat="1" hidden="1" x14ac:dyDescent="0.25">
      <c r="B226" s="728"/>
      <c r="C226" s="610" t="s">
        <v>95</v>
      </c>
      <c r="D226" s="611"/>
      <c r="E226" s="108"/>
      <c r="F226" s="612">
        <f>'[20]Januari 24'!AL215</f>
        <v>1749656.7900000003</v>
      </c>
      <c r="G226" s="612">
        <f>'[20]Februari 24'!AL215</f>
        <v>649233.52999999991</v>
      </c>
      <c r="H226" s="612">
        <f>'[20]Maret 24'!AL215</f>
        <v>0</v>
      </c>
      <c r="I226" s="612">
        <f>'[20]April 24'!AL215</f>
        <v>0</v>
      </c>
      <c r="J226" s="612">
        <f>'[20]Mei 24'!AL215</f>
        <v>0</v>
      </c>
      <c r="K226" s="612">
        <f>'[20]Juny 24'!AL215</f>
        <v>0</v>
      </c>
      <c r="L226" s="612">
        <f>'[20]July 24'!AL215</f>
        <v>0</v>
      </c>
      <c r="M226" s="612">
        <f>'[20]Agustus 24'!AL215</f>
        <v>0</v>
      </c>
      <c r="N226" s="612">
        <f>'[20]September 24'!AL215</f>
        <v>0</v>
      </c>
      <c r="O226" s="612" t="e">
        <f>'[20]September 24'!AM215</f>
        <v>#REF!</v>
      </c>
      <c r="P226" s="612"/>
      <c r="Q226" s="612">
        <f>SUM(Q80+Q107+Q135+Q196+Q161)</f>
        <v>0</v>
      </c>
      <c r="R226" s="612">
        <f>SUM(R80+R107+R135+R196+R161)</f>
        <v>0</v>
      </c>
      <c r="S226" s="736"/>
      <c r="T226" s="616" t="e">
        <f>SUM(F226:R226)</f>
        <v>#REF!</v>
      </c>
      <c r="U226" s="695">
        <f>SUM(U222:U224)</f>
        <v>105394000</v>
      </c>
      <c r="V226" s="794" t="e">
        <f>T226/U226*100</f>
        <v>#REF!</v>
      </c>
      <c r="X226" s="2"/>
      <c r="Y226" s="809"/>
      <c r="Z226" s="809"/>
      <c r="AA226" s="809"/>
      <c r="AB226" s="809"/>
      <c r="AC226" s="809"/>
      <c r="AD226" s="809"/>
      <c r="AE226" s="809"/>
      <c r="AF226" s="809"/>
      <c r="AG226" s="809"/>
      <c r="AH226" s="809"/>
      <c r="AI226" s="809"/>
      <c r="AJ226" s="809"/>
      <c r="AK226" s="809"/>
      <c r="AL226" s="809"/>
      <c r="AM226" s="809"/>
      <c r="AN226" s="809"/>
      <c r="AO226" s="809"/>
      <c r="AP226" s="809"/>
      <c r="AR226" s="809"/>
      <c r="AX226" s="1"/>
      <c r="BD226" s="146"/>
      <c r="BE226" s="146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6"/>
      <c r="DA226" s="2"/>
      <c r="DP226" s="435"/>
      <c r="DQ226" s="146"/>
      <c r="DR226" s="146"/>
      <c r="DS226" s="146"/>
      <c r="DT226" s="146"/>
      <c r="FW226" s="146"/>
      <c r="JR226" s="146"/>
      <c r="JS226" s="146"/>
      <c r="JT226" s="146"/>
      <c r="JU226" s="146"/>
      <c r="OY226" s="146"/>
      <c r="OZ226" s="146"/>
      <c r="PB226" s="146"/>
      <c r="PP226" s="563"/>
      <c r="PT226" s="146"/>
      <c r="RW226" s="563"/>
      <c r="AHF226" s="151"/>
      <c r="AIU226" s="151"/>
      <c r="AIV226" s="151"/>
      <c r="AIW226" s="151"/>
    </row>
    <row r="227" spans="2:933" x14ac:dyDescent="0.25">
      <c r="B227" s="727">
        <v>9</v>
      </c>
      <c r="C227" s="521" t="s">
        <v>24</v>
      </c>
      <c r="D227" s="617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719"/>
      <c r="T227" s="601" t="s">
        <v>132</v>
      </c>
      <c r="U227" s="678" t="s">
        <v>132</v>
      </c>
      <c r="V227" s="780" t="s">
        <v>132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</row>
    <row r="228" spans="2:933" x14ac:dyDescent="0.25">
      <c r="B228" s="728"/>
      <c r="C228" s="462" t="s">
        <v>23</v>
      </c>
      <c r="D228" s="618"/>
      <c r="E228" s="496" t="s">
        <v>19</v>
      </c>
      <c r="F228" s="619">
        <v>27426.645100000005</v>
      </c>
      <c r="G228" s="619">
        <v>17654.447900000003</v>
      </c>
      <c r="H228" s="619">
        <v>31335.9908</v>
      </c>
      <c r="I228" s="619">
        <v>27225.973499999996</v>
      </c>
      <c r="J228" s="619">
        <v>29235.983699999993</v>
      </c>
      <c r="K228" s="619">
        <v>21557.354200000002</v>
      </c>
      <c r="L228" s="619">
        <v>27875.589599999996</v>
      </c>
      <c r="M228" s="619">
        <v>36219.398400000005</v>
      </c>
      <c r="N228" s="619">
        <v>33097.489999999991</v>
      </c>
      <c r="O228" s="619">
        <v>34477.87769999999</v>
      </c>
      <c r="P228" s="115">
        <v>28780.462200000002</v>
      </c>
      <c r="Q228" s="619">
        <f>'Desember 2024'!AM240</f>
        <v>25913.808400000002</v>
      </c>
      <c r="R228" s="619">
        <f>'[20]Desember 24'!AL217</f>
        <v>0</v>
      </c>
      <c r="T228" s="620">
        <f>SUM(F228:Q228)</f>
        <v>340801.02149999997</v>
      </c>
      <c r="U228" s="696">
        <v>316731.03000000003</v>
      </c>
      <c r="V228" s="772">
        <f>T228/U228*100</f>
        <v>107.5995053279118</v>
      </c>
      <c r="X228" s="1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R228" s="63"/>
      <c r="AX228" s="1"/>
      <c r="BD228" s="142"/>
      <c r="BE228" s="142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2"/>
      <c r="DA228" s="1"/>
      <c r="DP228" s="5"/>
      <c r="DQ228" s="142"/>
      <c r="DR228" s="142"/>
      <c r="DS228" s="142"/>
      <c r="DT228" s="142"/>
      <c r="FW228" s="142"/>
      <c r="JR228" s="142"/>
      <c r="JS228" s="142"/>
      <c r="JT228" s="142"/>
      <c r="JU228" s="142"/>
      <c r="OY228" s="142"/>
      <c r="OZ228" s="142"/>
      <c r="PB228" s="142"/>
      <c r="PP228" s="145"/>
      <c r="PT228" s="142"/>
      <c r="RW228" s="145"/>
      <c r="AGG228" s="39"/>
      <c r="AHF228" s="141"/>
      <c r="AIU228" s="141"/>
      <c r="AIV228" s="141"/>
      <c r="AIW228" s="141"/>
    </row>
    <row r="229" spans="2:933" x14ac:dyDescent="0.25">
      <c r="B229" s="725"/>
      <c r="C229" s="523" t="s">
        <v>22</v>
      </c>
      <c r="D229" s="621">
        <f>D233</f>
        <v>1460.001</v>
      </c>
      <c r="E229" s="514" t="s">
        <v>19</v>
      </c>
      <c r="F229" s="619">
        <v>23450.754799999995</v>
      </c>
      <c r="G229" s="619">
        <v>14868.589600000001</v>
      </c>
      <c r="H229" s="622">
        <v>30743.296870000009</v>
      </c>
      <c r="I229" s="622">
        <v>24322.772879999997</v>
      </c>
      <c r="J229" s="622">
        <v>28477.075499999995</v>
      </c>
      <c r="K229" s="622">
        <v>19672.000200000002</v>
      </c>
      <c r="L229" s="622">
        <v>26610.053000000004</v>
      </c>
      <c r="M229" s="619">
        <v>35308.592700000008</v>
      </c>
      <c r="N229" s="619">
        <v>32134.349099999996</v>
      </c>
      <c r="O229" s="619">
        <v>33350.421499999997</v>
      </c>
      <c r="P229" s="115">
        <v>30948.411</v>
      </c>
      <c r="Q229" s="619">
        <f>'Desember 2024'!AM238</f>
        <v>25790.068899999998</v>
      </c>
      <c r="R229" s="623">
        <f>'[20]Desember 24'!AL218</f>
        <v>0</v>
      </c>
      <c r="T229" s="624">
        <f>SUM(F229:Q229)</f>
        <v>325676.38605000003</v>
      </c>
      <c r="U229" s="697">
        <v>316731.03000000003</v>
      </c>
      <c r="V229" s="785">
        <f>T229/U229*100</f>
        <v>102.82427523757303</v>
      </c>
      <c r="W229" s="820"/>
      <c r="X229" s="1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R229" s="63"/>
      <c r="AX229" s="172" t="e">
        <f>AW229/AW10</f>
        <v>#DIV/0!</v>
      </c>
      <c r="BD229" s="143"/>
      <c r="BE229" s="143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3"/>
      <c r="DA229" s="1"/>
      <c r="DP229" s="516"/>
      <c r="DQ229" s="143"/>
      <c r="DR229" s="143"/>
      <c r="DS229" s="143"/>
      <c r="DT229" s="143"/>
      <c r="FW229" s="143"/>
      <c r="JR229" s="143"/>
      <c r="JS229" s="143"/>
      <c r="JT229" s="143"/>
      <c r="JU229" s="143"/>
      <c r="OY229" s="143"/>
      <c r="OZ229" s="143"/>
      <c r="PB229" s="143"/>
      <c r="PP229" s="152"/>
      <c r="PT229" s="143"/>
      <c r="RW229" s="152"/>
      <c r="AHF229" s="143"/>
      <c r="AIU229" s="143"/>
      <c r="AIV229" s="143"/>
      <c r="AIW229" s="143"/>
    </row>
    <row r="230" spans="2:933" x14ac:dyDescent="0.25">
      <c r="B230" s="731"/>
      <c r="C230" s="579" t="s">
        <v>11</v>
      </c>
      <c r="D230" s="618"/>
      <c r="E230" s="464"/>
      <c r="F230" s="619"/>
      <c r="G230" s="625"/>
      <c r="H230" s="625"/>
      <c r="I230" s="439"/>
      <c r="J230" s="625"/>
      <c r="K230" s="626"/>
      <c r="L230" s="626"/>
      <c r="M230" s="439"/>
      <c r="N230" s="439"/>
      <c r="O230" s="439"/>
      <c r="P230" s="439"/>
      <c r="Q230" s="439"/>
      <c r="R230" s="627"/>
      <c r="S230" s="719"/>
      <c r="T230" s="713" t="s">
        <v>11</v>
      </c>
      <c r="U230" s="698" t="s">
        <v>11</v>
      </c>
      <c r="V230" s="795" t="s">
        <v>11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 x14ac:dyDescent="0.25">
      <c r="B231" s="731"/>
      <c r="C231" s="462" t="s">
        <v>21</v>
      </c>
      <c r="D231" s="628">
        <v>292</v>
      </c>
      <c r="E231" s="496" t="s">
        <v>19</v>
      </c>
      <c r="F231" s="619">
        <v>2299.1853999999998</v>
      </c>
      <c r="G231" s="619">
        <v>1937.1727999999998</v>
      </c>
      <c r="H231" s="619">
        <v>2934.3270999999995</v>
      </c>
      <c r="I231" s="629">
        <v>2457.4009000000001</v>
      </c>
      <c r="J231" s="619">
        <v>3705.9210000000003</v>
      </c>
      <c r="K231" s="1555">
        <v>2593.8142000000003</v>
      </c>
      <c r="L231" s="619">
        <v>4776.3290292795864</v>
      </c>
      <c r="M231" s="619">
        <v>7265.8266911540595</v>
      </c>
      <c r="N231" s="619">
        <v>5868.6339215841053</v>
      </c>
      <c r="O231" s="619">
        <v>5155.2056013928332</v>
      </c>
      <c r="P231" s="115">
        <v>4004.6777830398901</v>
      </c>
      <c r="Q231" s="619">
        <f>'Desember 2024'!AM242</f>
        <v>76486.023962086474</v>
      </c>
      <c r="R231" s="619">
        <f>'[20]Desember 24'!AL220</f>
        <v>0</v>
      </c>
      <c r="S231" s="719"/>
      <c r="T231" s="630">
        <f>SUM(F231:Q231)</f>
        <v>119484.51838853695</v>
      </c>
      <c r="U231" s="699">
        <v>47509.77</v>
      </c>
      <c r="V231" s="796">
        <f>T231/U231*100</f>
        <v>251.49462602857676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  <c r="XA231" s="39"/>
      <c r="AFR231" s="39"/>
    </row>
    <row r="232" spans="2:933" x14ac:dyDescent="0.25">
      <c r="B232" s="731"/>
      <c r="C232" s="462" t="s">
        <v>20</v>
      </c>
      <c r="D232" s="628">
        <v>1168.001</v>
      </c>
      <c r="E232" s="496" t="s">
        <v>19</v>
      </c>
      <c r="F232" s="619">
        <v>21151.569399999997</v>
      </c>
      <c r="G232" s="619">
        <v>12931.416799999999</v>
      </c>
      <c r="H232" s="619">
        <v>27808.969770000003</v>
      </c>
      <c r="I232" s="619">
        <v>21865.37198</v>
      </c>
      <c r="J232" s="619">
        <v>24771.154500000001</v>
      </c>
      <c r="K232" s="619">
        <v>17078.186000000002</v>
      </c>
      <c r="L232" s="619">
        <v>21833.72397072041</v>
      </c>
      <c r="M232" s="619">
        <v>28042.766008845945</v>
      </c>
      <c r="N232" s="619">
        <v>26265.7151784159</v>
      </c>
      <c r="O232" s="619">
        <v>28195.215898607166</v>
      </c>
      <c r="P232" s="115">
        <v>24775.784416960109</v>
      </c>
      <c r="Q232" s="619">
        <f>'Desember 2024'!AM244</f>
        <v>-50695.955062086468</v>
      </c>
      <c r="R232" s="619">
        <f>'[20]Desember 24'!AL221</f>
        <v>0</v>
      </c>
      <c r="S232" s="719"/>
      <c r="T232" s="630">
        <f>SUM(F232:Q232)</f>
        <v>204023.91886146308</v>
      </c>
      <c r="U232" s="699">
        <v>269221.26</v>
      </c>
      <c r="V232" s="796">
        <f>T232/U232*100</f>
        <v>75.782989375156731</v>
      </c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WZ232" s="39"/>
    </row>
    <row r="233" spans="2:933" x14ac:dyDescent="0.25">
      <c r="B233" s="737"/>
      <c r="C233" s="631" t="s">
        <v>1</v>
      </c>
      <c r="D233" s="632">
        <f>SUM(D231:D232)</f>
        <v>1460.001</v>
      </c>
      <c r="E233" s="25" t="s">
        <v>19</v>
      </c>
      <c r="F233" s="633">
        <v>23450.754799999995</v>
      </c>
      <c r="G233" s="633">
        <v>14868.589599999999</v>
      </c>
      <c r="H233" s="633">
        <v>30743.296870000002</v>
      </c>
      <c r="I233" s="633">
        <v>24322.77288</v>
      </c>
      <c r="J233" s="633">
        <v>28477.075499999999</v>
      </c>
      <c r="K233" s="633">
        <v>19672.000200000002</v>
      </c>
      <c r="L233" s="633">
        <v>26610.053000000004</v>
      </c>
      <c r="M233" s="633">
        <v>35308.592700000001</v>
      </c>
      <c r="N233" s="633">
        <v>32134.349099999996</v>
      </c>
      <c r="O233" s="633">
        <f>O229</f>
        <v>33350.421499999997</v>
      </c>
      <c r="P233" s="117">
        <v>28780.462200000002</v>
      </c>
      <c r="Q233" s="633">
        <f>'Desember 2024'!AM245</f>
        <v>25790.068899999998</v>
      </c>
      <c r="R233" s="633">
        <f>R229</f>
        <v>0</v>
      </c>
      <c r="S233" s="733"/>
      <c r="T233" s="117">
        <f>SUM(T231:T232)</f>
        <v>323508.43725000002</v>
      </c>
      <c r="U233" s="700">
        <f>SUM(U231:U232)</f>
        <v>316731.03000000003</v>
      </c>
      <c r="V233" s="796">
        <f>T233/U233*100</f>
        <v>102.13979894865368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2"/>
      <c r="BD233" s="151"/>
      <c r="BE233" s="15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51"/>
      <c r="DA233" s="1"/>
      <c r="DP233" s="435"/>
      <c r="DQ233" s="151"/>
      <c r="DR233" s="151"/>
      <c r="DS233" s="151"/>
      <c r="DT233" s="151"/>
      <c r="FW233" s="151"/>
      <c r="JR233" s="151"/>
      <c r="JS233" s="151"/>
      <c r="JT233" s="151"/>
      <c r="JU233" s="151"/>
      <c r="OY233" s="151"/>
      <c r="OZ233" s="151"/>
      <c r="PB233" s="151"/>
      <c r="PP233" s="634"/>
      <c r="PT233" s="151"/>
      <c r="RW233" s="634"/>
      <c r="AHF233" s="151"/>
      <c r="AIU233" s="151"/>
      <c r="AIV233" s="151"/>
      <c r="AIW233" s="151"/>
    </row>
    <row r="234" spans="2:933" x14ac:dyDescent="0.25">
      <c r="B234" s="728">
        <v>10</v>
      </c>
      <c r="C234" s="635" t="s">
        <v>18</v>
      </c>
      <c r="D234" s="636"/>
      <c r="E234" s="119"/>
      <c r="F234" s="637"/>
      <c r="G234" s="637"/>
      <c r="H234" s="637"/>
      <c r="I234" s="637"/>
      <c r="J234" s="637"/>
      <c r="K234" s="637"/>
      <c r="L234" s="637"/>
      <c r="M234" s="637"/>
      <c r="N234" s="637"/>
      <c r="O234" s="637"/>
      <c r="P234" s="637"/>
      <c r="Q234" s="637"/>
      <c r="R234" s="637"/>
      <c r="S234" s="733"/>
      <c r="T234" s="715" t="s">
        <v>133</v>
      </c>
      <c r="U234" s="701" t="s">
        <v>133</v>
      </c>
      <c r="V234" s="797" t="s">
        <v>133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2"/>
      <c r="BD234" s="151"/>
      <c r="BE234" s="15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1"/>
      <c r="DA234" s="1"/>
      <c r="DP234" s="435"/>
      <c r="DQ234" s="151"/>
      <c r="DR234" s="151"/>
      <c r="DS234" s="151"/>
      <c r="DT234" s="151"/>
      <c r="FW234" s="151"/>
      <c r="JR234" s="151"/>
      <c r="JS234" s="151"/>
      <c r="JT234" s="151"/>
      <c r="JU234" s="151"/>
      <c r="OY234" s="151"/>
      <c r="OZ234" s="151"/>
      <c r="PB234" s="151"/>
      <c r="PP234" s="634"/>
      <c r="PT234" s="151"/>
      <c r="RW234" s="634"/>
      <c r="AHF234" s="151"/>
      <c r="AIU234" s="151"/>
      <c r="AIV234" s="151"/>
      <c r="AIW234" s="151"/>
    </row>
    <row r="235" spans="2:933" x14ac:dyDescent="0.25">
      <c r="B235" s="731"/>
      <c r="C235" s="462" t="s">
        <v>4</v>
      </c>
      <c r="D235" s="639">
        <f>17000*24</f>
        <v>408000</v>
      </c>
      <c r="E235" s="496" t="s">
        <v>14</v>
      </c>
      <c r="F235" s="282">
        <v>4927889</v>
      </c>
      <c r="G235" s="282">
        <v>3183848</v>
      </c>
      <c r="H235" s="282">
        <v>6755918.0020000003</v>
      </c>
      <c r="I235" s="282">
        <v>4958690</v>
      </c>
      <c r="J235" s="282">
        <v>5029875</v>
      </c>
      <c r="K235" s="282">
        <v>3827086</v>
      </c>
      <c r="L235" s="282">
        <v>4916977</v>
      </c>
      <c r="M235" s="282">
        <v>6506822</v>
      </c>
      <c r="N235" s="597">
        <v>5670273</v>
      </c>
      <c r="O235" s="597">
        <v>5945824</v>
      </c>
      <c r="P235" s="1793">
        <v>5582656</v>
      </c>
      <c r="Q235" s="640">
        <f>'Desember 2024'!AM247</f>
        <v>2568027.324</v>
      </c>
      <c r="R235" s="597">
        <f>'[20]Desember 24'!AL224</f>
        <v>0</v>
      </c>
      <c r="S235" s="719"/>
      <c r="T235" s="641">
        <f>SUM(F235:Q235)</f>
        <v>59873885.326000005</v>
      </c>
      <c r="U235" s="702">
        <v>110880000</v>
      </c>
      <c r="V235" s="785">
        <f>T235/U235*100</f>
        <v>53.998814327200584</v>
      </c>
      <c r="W235" s="3"/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2"/>
      <c r="BD235" s="141"/>
      <c r="BE235" s="14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41"/>
      <c r="DA235" s="1"/>
      <c r="DP235" s="5"/>
      <c r="DQ235" s="141"/>
      <c r="DR235" s="141"/>
      <c r="DS235" s="141"/>
      <c r="DT235" s="141"/>
      <c r="FW235" s="141"/>
      <c r="JR235" s="141"/>
      <c r="JS235" s="141"/>
      <c r="JT235" s="141"/>
      <c r="JU235" s="141"/>
      <c r="OY235" s="141"/>
      <c r="OZ235" s="141"/>
      <c r="PB235" s="141"/>
      <c r="PP235" s="481"/>
      <c r="PT235" s="141"/>
      <c r="RW235" s="481"/>
      <c r="AHF235" s="141"/>
      <c r="AIU235" s="141"/>
      <c r="AIV235" s="141"/>
      <c r="AIW235" s="141"/>
    </row>
    <row r="236" spans="2:933" x14ac:dyDescent="0.25">
      <c r="B236" s="728"/>
      <c r="C236" s="569" t="s">
        <v>17</v>
      </c>
      <c r="D236" s="642"/>
      <c r="E236" s="13"/>
      <c r="F236" s="597"/>
      <c r="G236" s="597"/>
      <c r="H236" s="597"/>
      <c r="I236" s="597"/>
      <c r="J236" s="597"/>
      <c r="K236" s="597"/>
      <c r="L236" s="597"/>
      <c r="M236" s="597"/>
      <c r="N236" s="597"/>
      <c r="O236" s="597"/>
      <c r="P236" s="597"/>
      <c r="Q236" s="597"/>
      <c r="R236" s="597"/>
      <c r="S236" s="733"/>
      <c r="T236" s="716" t="s">
        <v>17</v>
      </c>
      <c r="U236" s="703" t="s">
        <v>17</v>
      </c>
      <c r="V236" s="798" t="s">
        <v>17</v>
      </c>
      <c r="W236" s="27"/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1"/>
      <c r="BE236" s="15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1"/>
      <c r="DA236" s="1"/>
      <c r="DP236" s="435"/>
      <c r="DQ236" s="151"/>
      <c r="DR236" s="151"/>
      <c r="DS236" s="151"/>
      <c r="DT236" s="151"/>
      <c r="FW236" s="151"/>
      <c r="JR236" s="151"/>
      <c r="JS236" s="151"/>
      <c r="JT236" s="151"/>
      <c r="JU236" s="151"/>
      <c r="OY236" s="151"/>
      <c r="OZ236" s="151"/>
      <c r="PB236" s="151"/>
      <c r="PP236" s="634"/>
      <c r="PT236" s="151"/>
      <c r="RW236" s="634"/>
      <c r="AHF236" s="151"/>
      <c r="AIU236" s="151"/>
      <c r="AIV236" s="151"/>
      <c r="AIW236" s="151"/>
    </row>
    <row r="237" spans="2:933" x14ac:dyDescent="0.25">
      <c r="B237" s="731"/>
      <c r="C237" s="462" t="s">
        <v>16</v>
      </c>
      <c r="D237" s="639">
        <v>180000</v>
      </c>
      <c r="E237" s="496" t="s">
        <v>14</v>
      </c>
      <c r="F237" s="33">
        <v>2995400</v>
      </c>
      <c r="G237" s="33">
        <v>2048300</v>
      </c>
      <c r="H237" s="33">
        <v>4321700</v>
      </c>
      <c r="I237" s="33">
        <v>3303100</v>
      </c>
      <c r="J237" s="33">
        <v>3575904</v>
      </c>
      <c r="K237" s="33">
        <v>2489600</v>
      </c>
      <c r="L237" s="33">
        <v>3311110</v>
      </c>
      <c r="M237" s="33">
        <v>4286800</v>
      </c>
      <c r="N237" s="33">
        <v>3927994</v>
      </c>
      <c r="O237" s="33">
        <v>4324900</v>
      </c>
      <c r="P237" s="520">
        <v>3611900</v>
      </c>
      <c r="Q237" s="439">
        <f>'Desember 2024'!AM249</f>
        <v>876420.07000000007</v>
      </c>
      <c r="R237" s="439">
        <f>'[20]Desember 24'!AL226</f>
        <v>0</v>
      </c>
      <c r="S237" s="719"/>
      <c r="T237" s="55">
        <f>SUM(F237:Q237)</f>
        <v>39073128.07</v>
      </c>
      <c r="U237" s="666">
        <v>41580000</v>
      </c>
      <c r="V237" s="770">
        <f>T237/U237*100</f>
        <v>93.970966979316984</v>
      </c>
      <c r="W237" s="497"/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</row>
    <row r="238" spans="2:933" x14ac:dyDescent="0.25">
      <c r="B238" s="731"/>
      <c r="C238" s="462" t="s">
        <v>15</v>
      </c>
      <c r="D238" s="639">
        <v>122000</v>
      </c>
      <c r="E238" s="496" t="s">
        <v>14</v>
      </c>
      <c r="F238" s="33">
        <v>1282600</v>
      </c>
      <c r="G238" s="33">
        <v>818400</v>
      </c>
      <c r="H238" s="33">
        <v>1751370</v>
      </c>
      <c r="I238" s="33">
        <v>924800</v>
      </c>
      <c r="J238" s="33">
        <v>1308500.1000000001</v>
      </c>
      <c r="K238" s="33">
        <v>850000</v>
      </c>
      <c r="L238" s="33">
        <v>1238750</v>
      </c>
      <c r="M238" s="33">
        <v>1951280</v>
      </c>
      <c r="N238" s="33">
        <v>1632200</v>
      </c>
      <c r="O238" s="33">
        <v>1794300</v>
      </c>
      <c r="P238" s="520">
        <v>1796900</v>
      </c>
      <c r="Q238" s="439">
        <f>'Desember 2024'!AM251</f>
        <v>1425446.7000000002</v>
      </c>
      <c r="R238" s="439">
        <f>'[20]Desember 24'!AL227</f>
        <v>0</v>
      </c>
      <c r="S238" s="719"/>
      <c r="T238" s="55">
        <f>SUM(F238:Q238)</f>
        <v>16774546.800000001</v>
      </c>
      <c r="U238" s="666">
        <v>28182000</v>
      </c>
      <c r="V238" s="770">
        <f>T238/U238*100</f>
        <v>59.522201405152231</v>
      </c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 x14ac:dyDescent="0.25">
      <c r="B239" s="731"/>
      <c r="C239" s="462" t="s">
        <v>7</v>
      </c>
      <c r="D239" s="639">
        <f>D235-D237-D238</f>
        <v>106000</v>
      </c>
      <c r="E239" s="496" t="s">
        <v>14</v>
      </c>
      <c r="F239" s="439">
        <v>649889</v>
      </c>
      <c r="G239" s="439">
        <v>317148</v>
      </c>
      <c r="H239" s="439">
        <v>682848.00199999998</v>
      </c>
      <c r="I239" s="439">
        <v>730790</v>
      </c>
      <c r="J239" s="439">
        <v>145470.9</v>
      </c>
      <c r="K239" s="439">
        <v>487486</v>
      </c>
      <c r="L239" s="33">
        <v>367117</v>
      </c>
      <c r="M239" s="439">
        <v>268742</v>
      </c>
      <c r="N239" s="439">
        <v>110079</v>
      </c>
      <c r="O239" s="439">
        <v>-173376</v>
      </c>
      <c r="P239" s="1190">
        <v>173856</v>
      </c>
      <c r="Q239" s="439">
        <f>'Desember 2024'!AM253</f>
        <v>460412.00500000006</v>
      </c>
      <c r="R239" s="439">
        <f>'[20]Desember 24'!AL228</f>
        <v>0</v>
      </c>
      <c r="S239" s="719"/>
      <c r="T239" s="55">
        <f>SUM(F239:Q239)</f>
        <v>4220461.9069999997</v>
      </c>
      <c r="U239" s="666">
        <v>41118000</v>
      </c>
      <c r="V239" s="770">
        <f>T239/U239*100</f>
        <v>10.264268463933069</v>
      </c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 x14ac:dyDescent="0.25">
      <c r="B240" s="728"/>
      <c r="C240" s="579" t="s">
        <v>1</v>
      </c>
      <c r="D240" s="643">
        <f>SUM(D237:D239)</f>
        <v>408000</v>
      </c>
      <c r="E240" s="496" t="s">
        <v>14</v>
      </c>
      <c r="F240" s="597">
        <v>4927889</v>
      </c>
      <c r="G240" s="597">
        <v>3183848</v>
      </c>
      <c r="H240" s="597">
        <v>6755918.0020000003</v>
      </c>
      <c r="I240" s="597">
        <v>4958690</v>
      </c>
      <c r="J240" s="597">
        <v>5029875</v>
      </c>
      <c r="K240" s="597">
        <v>3827086</v>
      </c>
      <c r="L240" s="597">
        <v>4916977</v>
      </c>
      <c r="M240" s="597">
        <f>SUM(M237:M239)</f>
        <v>6506822</v>
      </c>
      <c r="N240" s="597">
        <f>SUM(N237:N239)</f>
        <v>5670273</v>
      </c>
      <c r="O240" s="597">
        <f>SUM(O237:O239)</f>
        <v>5945824</v>
      </c>
      <c r="P240" s="55">
        <v>5582656</v>
      </c>
      <c r="Q240" s="597">
        <f>'Desember 2024'!AM255</f>
        <v>2762278.7749999999</v>
      </c>
      <c r="R240" s="597">
        <f>SUM(R237:R239)</f>
        <v>0</v>
      </c>
      <c r="S240" s="733"/>
      <c r="T240" s="644">
        <f>SUM(T237:T239)</f>
        <v>60068136.777000003</v>
      </c>
      <c r="U240" s="704">
        <f>SUM(U237:U239)</f>
        <v>110880000</v>
      </c>
      <c r="V240" s="770">
        <f>T240/U240*100</f>
        <v>54.174005029761908</v>
      </c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2"/>
      <c r="BD240" s="151"/>
      <c r="BE240" s="15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1"/>
      <c r="DA240" s="1"/>
      <c r="DP240" s="435"/>
      <c r="DQ240" s="151"/>
      <c r="DR240" s="151"/>
      <c r="DS240" s="151"/>
      <c r="DT240" s="151"/>
      <c r="FW240" s="151"/>
      <c r="JR240" s="151"/>
      <c r="JS240" s="151"/>
      <c r="JT240" s="151"/>
      <c r="JU240" s="151"/>
      <c r="OY240" s="151"/>
      <c r="OZ240" s="151"/>
      <c r="PB240" s="151"/>
      <c r="PP240" s="634"/>
      <c r="PT240" s="151"/>
      <c r="RW240" s="634"/>
      <c r="AHF240" s="151"/>
      <c r="AIU240" s="151"/>
      <c r="AIV240" s="151"/>
      <c r="AIW240" s="151"/>
    </row>
    <row r="241" spans="2:933" x14ac:dyDescent="0.25">
      <c r="B241" s="727">
        <v>11</v>
      </c>
      <c r="C241" s="521" t="s">
        <v>13</v>
      </c>
      <c r="D241" s="645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719"/>
      <c r="T241" s="638" t="s">
        <v>134</v>
      </c>
      <c r="U241" s="701" t="s">
        <v>134</v>
      </c>
      <c r="V241" s="797" t="s">
        <v>134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ht="16.5" x14ac:dyDescent="0.25">
      <c r="B242" s="732"/>
      <c r="C242" s="572" t="s">
        <v>12</v>
      </c>
      <c r="D242" s="646">
        <v>750</v>
      </c>
      <c r="E242" s="573" t="s">
        <v>352</v>
      </c>
      <c r="F242" s="581">
        <v>17554</v>
      </c>
      <c r="G242" s="581">
        <v>16703</v>
      </c>
      <c r="H242" s="581">
        <v>19273</v>
      </c>
      <c r="I242" s="581">
        <v>16670</v>
      </c>
      <c r="J242" s="581">
        <v>17932</v>
      </c>
      <c r="K242" s="581">
        <v>16314</v>
      </c>
      <c r="L242" s="581">
        <v>18760</v>
      </c>
      <c r="M242" s="581">
        <v>22551</v>
      </c>
      <c r="N242" s="581">
        <v>18965</v>
      </c>
      <c r="O242" s="581">
        <v>21080</v>
      </c>
      <c r="P242" s="1793">
        <v>17740</v>
      </c>
      <c r="Q242" s="647">
        <f>'Desember 2024'!AM257</f>
        <v>18001</v>
      </c>
      <c r="R242" s="647">
        <f>'[20]Desember 24'!AL231</f>
        <v>0</v>
      </c>
      <c r="T242" s="648">
        <f>SUM(F242:Q242)</f>
        <v>221543</v>
      </c>
      <c r="U242" s="705">
        <v>232503.81</v>
      </c>
      <c r="V242" s="785">
        <f>T242/U242*100</f>
        <v>95.285750371144459</v>
      </c>
      <c r="W242" s="821"/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72">
        <f>AW242/4</f>
        <v>0</v>
      </c>
      <c r="BD242" s="144"/>
      <c r="BE242" s="144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4"/>
      <c r="DA242" s="1"/>
      <c r="DP242" s="517"/>
      <c r="DQ242" s="144"/>
      <c r="DR242" s="144"/>
      <c r="DS242" s="144"/>
      <c r="DT242" s="144"/>
      <c r="FW242" s="144"/>
      <c r="JR242" s="144"/>
      <c r="JS242" s="144"/>
      <c r="JT242" s="144"/>
      <c r="JU242" s="144"/>
      <c r="OY242" s="144"/>
      <c r="OZ242" s="144"/>
      <c r="PB242" s="144"/>
      <c r="PP242" s="510"/>
      <c r="PT242" s="144"/>
      <c r="RW242" s="510"/>
      <c r="AHF242" s="144"/>
      <c r="AIU242" s="144"/>
      <c r="AIV242" s="144"/>
      <c r="AIW242" s="144"/>
    </row>
    <row r="243" spans="2:933" x14ac:dyDescent="0.25">
      <c r="B243" s="732"/>
      <c r="C243" s="649" t="s">
        <v>11</v>
      </c>
      <c r="D243" s="650"/>
      <c r="E243" s="438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T243" s="711" t="s">
        <v>11</v>
      </c>
      <c r="U243" s="706" t="s">
        <v>11</v>
      </c>
      <c r="V243" s="799" t="s">
        <v>11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16"/>
      <c r="BD243" s="144"/>
      <c r="BE243" s="144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4"/>
      <c r="DA243" s="1"/>
      <c r="DP243" s="517"/>
      <c r="DQ243" s="144"/>
      <c r="DR243" s="144"/>
      <c r="DS243" s="144"/>
      <c r="DT243" s="144"/>
      <c r="FW243" s="144"/>
      <c r="JR243" s="144"/>
      <c r="JS243" s="144"/>
      <c r="JT243" s="144"/>
      <c r="JU243" s="144"/>
      <c r="OY243" s="144"/>
      <c r="OZ243" s="144"/>
      <c r="PB243" s="144"/>
      <c r="PP243" s="510"/>
      <c r="PT243" s="144"/>
      <c r="RW243" s="510"/>
      <c r="AHF243" s="144"/>
      <c r="AIU243" s="144"/>
      <c r="AIV243" s="144"/>
      <c r="AIW243" s="144"/>
    </row>
    <row r="244" spans="2:933" ht="16.5" x14ac:dyDescent="0.25">
      <c r="B244" s="732"/>
      <c r="C244" s="572" t="s">
        <v>10</v>
      </c>
      <c r="D244" s="651">
        <v>91.5</v>
      </c>
      <c r="E244" s="573" t="s">
        <v>352</v>
      </c>
      <c r="F244" s="29">
        <v>2013</v>
      </c>
      <c r="G244" s="29">
        <v>1500</v>
      </c>
      <c r="H244" s="29">
        <v>2452</v>
      </c>
      <c r="I244" s="29">
        <v>1635</v>
      </c>
      <c r="J244" s="29">
        <v>1633</v>
      </c>
      <c r="K244" s="29">
        <v>1749</v>
      </c>
      <c r="L244" s="29">
        <v>3095</v>
      </c>
      <c r="M244" s="29">
        <v>3108</v>
      </c>
      <c r="N244" s="29">
        <v>2699</v>
      </c>
      <c r="O244" s="29">
        <v>3023</v>
      </c>
      <c r="P244" s="520">
        <v>2042</v>
      </c>
      <c r="Q244" s="274">
        <f>'Desember 2024'!AM259</f>
        <v>1008</v>
      </c>
      <c r="R244" s="274">
        <f>'[20]Desember 24'!AL233</f>
        <v>0</v>
      </c>
      <c r="T244" s="652">
        <f>SUM(F244:Q244)</f>
        <v>25957</v>
      </c>
      <c r="U244" s="707">
        <v>18496.169999999998</v>
      </c>
      <c r="V244" s="800">
        <f>T244/U244*100</f>
        <v>140.33716169347494</v>
      </c>
      <c r="W244" s="653"/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6"/>
      <c r="BD244" s="144"/>
      <c r="BE244" s="144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4"/>
      <c r="DA244" s="1"/>
      <c r="DP244" s="517"/>
      <c r="DQ244" s="144"/>
      <c r="DR244" s="144"/>
      <c r="DS244" s="144"/>
      <c r="DT244" s="144"/>
      <c r="FW244" s="144"/>
      <c r="JR244" s="144"/>
      <c r="JS244" s="144"/>
      <c r="JT244" s="144"/>
      <c r="JU244" s="144"/>
      <c r="OY244" s="144"/>
      <c r="OZ244" s="144"/>
      <c r="PB244" s="144"/>
      <c r="PP244" s="510"/>
      <c r="PT244" s="144"/>
      <c r="RW244" s="510"/>
      <c r="AFR244" s="654" t="e">
        <f>#REF!-T244</f>
        <v>#REF!</v>
      </c>
      <c r="AHF244" s="144"/>
      <c r="AIU244" s="144"/>
      <c r="AIV244" s="144"/>
      <c r="AIW244" s="144"/>
    </row>
    <row r="245" spans="2:933" ht="16.5" x14ac:dyDescent="0.25">
      <c r="B245" s="732"/>
      <c r="C245" s="572" t="s">
        <v>9</v>
      </c>
      <c r="D245" s="651">
        <v>179.63</v>
      </c>
      <c r="E245" s="573" t="s">
        <v>352</v>
      </c>
      <c r="F245" s="29">
        <v>1344</v>
      </c>
      <c r="G245" s="29">
        <v>1063</v>
      </c>
      <c r="H245" s="29">
        <v>1981</v>
      </c>
      <c r="I245" s="29">
        <v>908</v>
      </c>
      <c r="J245" s="29">
        <v>1598</v>
      </c>
      <c r="K245" s="29">
        <v>993</v>
      </c>
      <c r="L245" s="29">
        <v>1579</v>
      </c>
      <c r="M245" s="29">
        <v>2405</v>
      </c>
      <c r="N245" s="29">
        <v>2060</v>
      </c>
      <c r="O245" s="29">
        <v>2042</v>
      </c>
      <c r="P245" s="520">
        <v>2158</v>
      </c>
      <c r="Q245" s="274">
        <f>'Desember 2024'!AM261</f>
        <v>1116</v>
      </c>
      <c r="R245" s="274">
        <f>'[20]Desember 24'!AL234</f>
        <v>0</v>
      </c>
      <c r="T245" s="652">
        <f>SUM(F245:Q245)</f>
        <v>19247</v>
      </c>
      <c r="U245" s="707">
        <v>31949.61</v>
      </c>
      <c r="V245" s="800">
        <f>T245/U245*100</f>
        <v>60.241736910090601</v>
      </c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6"/>
      <c r="BD245" s="144"/>
      <c r="BE245" s="144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4"/>
      <c r="DA245" s="1"/>
      <c r="DP245" s="517"/>
      <c r="DQ245" s="144"/>
      <c r="DR245" s="144"/>
      <c r="DS245" s="144"/>
      <c r="DT245" s="144"/>
      <c r="FW245" s="144"/>
      <c r="JR245" s="144"/>
      <c r="JS245" s="144"/>
      <c r="JT245" s="144"/>
      <c r="JU245" s="144"/>
      <c r="OY245" s="144"/>
      <c r="OZ245" s="144"/>
      <c r="PB245" s="144"/>
      <c r="PP245" s="510"/>
      <c r="PT245" s="144"/>
      <c r="RW245" s="510"/>
      <c r="AFR245" s="654" t="e">
        <f>#REF!-T245</f>
        <v>#REF!</v>
      </c>
      <c r="AHF245" s="144"/>
      <c r="AIU245" s="144"/>
      <c r="AIV245" s="144"/>
      <c r="AIW245" s="144"/>
    </row>
    <row r="246" spans="2:933" ht="16.5" x14ac:dyDescent="0.25">
      <c r="B246" s="732"/>
      <c r="C246" s="572" t="s">
        <v>8</v>
      </c>
      <c r="D246" s="646">
        <f>44.69%*D242</f>
        <v>335.17499999999995</v>
      </c>
      <c r="E246" s="573" t="s">
        <v>352</v>
      </c>
      <c r="F246" s="274">
        <v>7297.1</v>
      </c>
      <c r="G246" s="274">
        <v>3910.2999999999997</v>
      </c>
      <c r="H246" s="274">
        <v>9003.7999999999993</v>
      </c>
      <c r="I246" s="274">
        <v>7284.6999999999989</v>
      </c>
      <c r="J246" s="274">
        <v>8540.2000000000007</v>
      </c>
      <c r="K246" s="274">
        <v>6781.7999999999984</v>
      </c>
      <c r="L246" s="274">
        <v>8167.3000000000011</v>
      </c>
      <c r="M246" s="274">
        <v>10010.5</v>
      </c>
      <c r="N246" s="274">
        <v>9920.2999999999993</v>
      </c>
      <c r="O246" s="274">
        <v>9517.1</v>
      </c>
      <c r="P246" s="520">
        <v>8222</v>
      </c>
      <c r="Q246" s="274">
        <f>'Desember 2024'!AM263</f>
        <v>7710</v>
      </c>
      <c r="R246" s="274">
        <f>'[20]Desember 24'!AL235</f>
        <v>0</v>
      </c>
      <c r="T246" s="652">
        <f>SUM(F246:Q246)</f>
        <v>96365.099999999991</v>
      </c>
      <c r="U246" s="707">
        <v>134857.79999999999</v>
      </c>
      <c r="V246" s="800">
        <f>T246/U246*100</f>
        <v>71.456823409546942</v>
      </c>
      <c r="W246" s="654"/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4"/>
      <c r="BE246" s="144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4"/>
      <c r="DA246" s="1"/>
      <c r="DP246" s="517"/>
      <c r="DQ246" s="144"/>
      <c r="DR246" s="144"/>
      <c r="DS246" s="144"/>
      <c r="DT246" s="144"/>
      <c r="FW246" s="144"/>
      <c r="JR246" s="144"/>
      <c r="JS246" s="144"/>
      <c r="JT246" s="144"/>
      <c r="JU246" s="144"/>
      <c r="OY246" s="144"/>
      <c r="OZ246" s="144"/>
      <c r="PB246" s="144"/>
      <c r="PP246" s="510"/>
      <c r="PT246" s="144"/>
      <c r="RW246" s="510"/>
      <c r="AHF246" s="144"/>
      <c r="AIU246" s="144"/>
      <c r="AIV246" s="144"/>
      <c r="AIW246" s="144"/>
    </row>
    <row r="247" spans="2:933" ht="16.5" x14ac:dyDescent="0.25">
      <c r="B247" s="732"/>
      <c r="C247" s="572" t="s">
        <v>7</v>
      </c>
      <c r="D247" s="646">
        <f>D242-SUM(D244:D246)</f>
        <v>143.69500000000005</v>
      </c>
      <c r="E247" s="573" t="s">
        <v>352</v>
      </c>
      <c r="F247" s="274">
        <v>6899.9000000000005</v>
      </c>
      <c r="G247" s="274">
        <v>10229.699999999997</v>
      </c>
      <c r="H247" s="274">
        <v>5836.2000000000007</v>
      </c>
      <c r="I247" s="274">
        <v>6842.3000000000011</v>
      </c>
      <c r="J247" s="274">
        <v>6160.7999999999993</v>
      </c>
      <c r="K247" s="274">
        <v>6790.2000000000016</v>
      </c>
      <c r="L247" s="274">
        <v>6264.6999999999989</v>
      </c>
      <c r="M247" s="274">
        <v>7027.5</v>
      </c>
      <c r="N247" s="274">
        <v>4285.7</v>
      </c>
      <c r="O247" s="274">
        <v>6497.9</v>
      </c>
      <c r="P247" s="520">
        <v>5318</v>
      </c>
      <c r="Q247" s="274">
        <f>'Desember 2024'!AM264</f>
        <v>8361</v>
      </c>
      <c r="R247" s="274">
        <f>R242-(SUM(R244:R246))</f>
        <v>0</v>
      </c>
      <c r="T247" s="652">
        <f>SUM(F247:Q247)</f>
        <v>80513.899999999994</v>
      </c>
      <c r="U247" s="707">
        <f>143.7*231</f>
        <v>33194.699999999997</v>
      </c>
      <c r="V247" s="800">
        <f>T247/U247*100</f>
        <v>242.55046739389118</v>
      </c>
      <c r="W247" s="822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7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10"/>
      <c r="PT247" s="144"/>
      <c r="RW247" s="510"/>
      <c r="AHF247" s="144"/>
      <c r="AIU247" s="144"/>
      <c r="AIV247" s="144"/>
      <c r="AIW247" s="144"/>
    </row>
    <row r="248" spans="2:933" ht="16.5" x14ac:dyDescent="0.25">
      <c r="B248" s="732"/>
      <c r="C248" s="572" t="s">
        <v>6</v>
      </c>
      <c r="D248" s="646">
        <f>30%*D242</f>
        <v>225</v>
      </c>
      <c r="E248" s="573" t="s">
        <v>352</v>
      </c>
      <c r="F248" s="274">
        <v>4438</v>
      </c>
      <c r="G248" s="274">
        <v>2566</v>
      </c>
      <c r="H248" s="274">
        <v>5700</v>
      </c>
      <c r="I248" s="274">
        <v>4231</v>
      </c>
      <c r="J248" s="274">
        <v>4498</v>
      </c>
      <c r="K248" s="274">
        <v>3544</v>
      </c>
      <c r="L248" s="274">
        <v>5782</v>
      </c>
      <c r="M248" s="274">
        <v>6129</v>
      </c>
      <c r="N248" s="274">
        <v>5237</v>
      </c>
      <c r="O248" s="274">
        <v>5839</v>
      </c>
      <c r="P248" s="1802">
        <v>6111</v>
      </c>
      <c r="Q248" s="274">
        <f>'Desember 2024'!AM265</f>
        <v>3816</v>
      </c>
      <c r="R248" s="274">
        <f>'[20]Desember 24'!AL237</f>
        <v>0</v>
      </c>
      <c r="T248" s="652">
        <f>SUM(F248:Q248)</f>
        <v>57891</v>
      </c>
      <c r="U248" s="707">
        <v>47200.23</v>
      </c>
      <c r="V248" s="800">
        <f>T248/U248*100</f>
        <v>122.64982607076278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7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10"/>
      <c r="PT248" s="144"/>
      <c r="RW248" s="510"/>
      <c r="AHF248" s="144"/>
      <c r="AIU248" s="144"/>
      <c r="AIV248" s="144"/>
      <c r="AIW248" s="144"/>
    </row>
    <row r="249" spans="2:933" x14ac:dyDescent="0.25">
      <c r="B249" s="2200">
        <v>12</v>
      </c>
      <c r="C249" s="521" t="s">
        <v>5</v>
      </c>
      <c r="D249" s="645"/>
      <c r="E249" s="77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719"/>
      <c r="T249" s="655" t="s">
        <v>135</v>
      </c>
      <c r="U249" s="708" t="s">
        <v>135</v>
      </c>
      <c r="V249" s="801" t="s">
        <v>135</v>
      </c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 x14ac:dyDescent="0.25">
      <c r="B250" s="2201"/>
      <c r="C250" s="656" t="s">
        <v>4</v>
      </c>
      <c r="D250" s="657"/>
      <c r="E250" s="658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719"/>
      <c r="T250" s="713" t="s">
        <v>4</v>
      </c>
      <c r="U250" s="698" t="s">
        <v>4</v>
      </c>
      <c r="V250" s="795" t="s">
        <v>4</v>
      </c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 x14ac:dyDescent="0.25">
      <c r="B251" s="2201"/>
      <c r="C251" s="523" t="s">
        <v>3</v>
      </c>
      <c r="D251" s="639">
        <v>28770</v>
      </c>
      <c r="E251" s="477" t="s">
        <v>2</v>
      </c>
      <c r="F251" s="439">
        <v>520700</v>
      </c>
      <c r="G251" s="439">
        <v>417100</v>
      </c>
      <c r="H251" s="598">
        <v>654200</v>
      </c>
      <c r="I251" s="598">
        <v>505900</v>
      </c>
      <c r="J251" s="439">
        <v>583000</v>
      </c>
      <c r="K251" s="598">
        <v>407800</v>
      </c>
      <c r="L251" s="439">
        <v>538900</v>
      </c>
      <c r="M251" s="598">
        <v>684700</v>
      </c>
      <c r="N251" s="439">
        <v>640500</v>
      </c>
      <c r="O251" s="439">
        <v>658300</v>
      </c>
      <c r="P251" s="1803">
        <v>556600</v>
      </c>
      <c r="Q251" s="1788">
        <f>'Desember 2024'!AM269</f>
        <v>504.23999999999995</v>
      </c>
      <c r="R251" s="439">
        <f>'[20]Desember 24'!AL240</f>
        <v>0</v>
      </c>
      <c r="S251" s="719"/>
      <c r="T251" s="450">
        <f>SUM(F251:Q251)</f>
        <v>6168204.2400000002</v>
      </c>
      <c r="U251" s="668">
        <v>6906893</v>
      </c>
      <c r="V251" s="772">
        <f>T251/U251*100</f>
        <v>89.305049897254818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72">
        <f>AW251/4</f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ht="15.75" thickBot="1" x14ac:dyDescent="0.3">
      <c r="B252" s="2201"/>
      <c r="C252" s="656" t="s">
        <v>1</v>
      </c>
      <c r="D252" s="642"/>
      <c r="E252" s="70" t="s">
        <v>0</v>
      </c>
      <c r="F252" s="597">
        <v>520700</v>
      </c>
      <c r="G252" s="597">
        <v>417100</v>
      </c>
      <c r="H252" s="597">
        <v>654200</v>
      </c>
      <c r="I252" s="597">
        <v>505900</v>
      </c>
      <c r="J252" s="597">
        <v>583000</v>
      </c>
      <c r="K252" s="597">
        <v>407800</v>
      </c>
      <c r="L252" s="597">
        <v>538900</v>
      </c>
      <c r="M252" s="597">
        <v>684700</v>
      </c>
      <c r="N252" s="597">
        <f>SUM(N251:N251)</f>
        <v>640500</v>
      </c>
      <c r="O252" s="597">
        <f>SUM(O251:O251)</f>
        <v>658300</v>
      </c>
      <c r="P252" s="597">
        <f>SUM(P251:P251)</f>
        <v>556600</v>
      </c>
      <c r="Q252" s="1789">
        <f>SUM(Q251:Q251)</f>
        <v>504.23999999999995</v>
      </c>
      <c r="R252" s="597">
        <f>SUM(R251:R251)</f>
        <v>0</v>
      </c>
      <c r="S252" s="720"/>
      <c r="T252" s="644">
        <f>SUM(F252:Q252)</f>
        <v>6168204.2400000002</v>
      </c>
      <c r="U252" s="661">
        <v>9666771</v>
      </c>
      <c r="V252" s="802">
        <f>T252/U252*100</f>
        <v>63.808320689504285</v>
      </c>
      <c r="W252" s="415"/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x14ac:dyDescent="0.25">
      <c r="B253" s="2201"/>
      <c r="C253" s="745" t="s">
        <v>16</v>
      </c>
      <c r="D253" s="751"/>
      <c r="E253" s="751"/>
      <c r="F253" s="752"/>
      <c r="G253" s="752"/>
      <c r="H253" s="752"/>
      <c r="I253" s="533"/>
      <c r="J253" s="752"/>
      <c r="K253" s="752"/>
      <c r="L253" s="533"/>
      <c r="M253" s="533"/>
      <c r="N253" s="752"/>
      <c r="O253" s="752"/>
      <c r="P253" s="752"/>
      <c r="Q253" s="752"/>
      <c r="R253" s="659"/>
      <c r="S253" s="751"/>
      <c r="T253" s="124" t="s">
        <v>16</v>
      </c>
      <c r="AO253" s="63"/>
      <c r="AP253" s="803"/>
      <c r="AQ253" s="63"/>
      <c r="AS253" s="63"/>
      <c r="BX253" s="1"/>
      <c r="BY253" s="1"/>
      <c r="BZ253" s="1"/>
      <c r="DB253" s="1"/>
    </row>
    <row r="254" spans="2:933" ht="15.75" thickBot="1" x14ac:dyDescent="0.3">
      <c r="B254" s="2201"/>
      <c r="C254" s="746" t="s">
        <v>119</v>
      </c>
      <c r="D254" s="749">
        <v>5404.17</v>
      </c>
      <c r="E254" s="750" t="s">
        <v>2</v>
      </c>
      <c r="F254" s="827">
        <v>50550</v>
      </c>
      <c r="G254" s="533">
        <v>40300</v>
      </c>
      <c r="H254" s="533">
        <v>73100</v>
      </c>
      <c r="I254" s="533">
        <v>56400</v>
      </c>
      <c r="J254" s="533">
        <v>72601</v>
      </c>
      <c r="K254" s="533">
        <v>45800</v>
      </c>
      <c r="L254" s="827">
        <v>69700</v>
      </c>
      <c r="M254" s="827">
        <v>104910</v>
      </c>
      <c r="N254" s="829">
        <v>98200</v>
      </c>
      <c r="O254" s="829">
        <v>98290</v>
      </c>
      <c r="P254" s="1804">
        <v>73300</v>
      </c>
      <c r="Q254" s="533">
        <f>'Desember 2024'!AM274</f>
        <v>179728.37999999998</v>
      </c>
      <c r="R254" s="659"/>
      <c r="S254" s="751"/>
      <c r="T254" s="644">
        <f>SUM(E254:Q254)</f>
        <v>962879.38</v>
      </c>
      <c r="U254" s="660">
        <f>SUM(F254:S254)</f>
        <v>962879.38</v>
      </c>
    </row>
    <row r="255" spans="2:933" ht="15.75" thickBot="1" x14ac:dyDescent="0.3">
      <c r="B255" s="2201"/>
      <c r="C255" s="746" t="s">
        <v>120</v>
      </c>
      <c r="D255" s="749">
        <v>3850.42</v>
      </c>
      <c r="E255" s="750" t="s">
        <v>2</v>
      </c>
      <c r="F255" s="827">
        <v>55218.06</v>
      </c>
      <c r="G255" s="533">
        <v>32780</v>
      </c>
      <c r="H255" s="533">
        <v>77964</v>
      </c>
      <c r="I255" s="533">
        <v>69190</v>
      </c>
      <c r="J255" s="533">
        <v>77270</v>
      </c>
      <c r="K255" s="533">
        <v>53030</v>
      </c>
      <c r="L255" s="827">
        <v>65890</v>
      </c>
      <c r="M255" s="827">
        <v>80954</v>
      </c>
      <c r="N255" s="829">
        <v>81760</v>
      </c>
      <c r="O255" s="829">
        <v>85330</v>
      </c>
      <c r="P255" s="829">
        <v>63690</v>
      </c>
      <c r="Q255" s="533">
        <f>'Desember 2024'!AM272</f>
        <v>752103.89</v>
      </c>
      <c r="R255" s="659"/>
      <c r="S255" s="751"/>
      <c r="T255" s="644">
        <f>SUM(E255:Q255)</f>
        <v>1495179.9500000002</v>
      </c>
      <c r="U255" s="661">
        <f>SUM(F255:S255)</f>
        <v>1495179.9500000002</v>
      </c>
    </row>
    <row r="256" spans="2:933" ht="15.75" thickBot="1" x14ac:dyDescent="0.3">
      <c r="B256" s="2201"/>
      <c r="C256" s="747" t="s">
        <v>15</v>
      </c>
      <c r="D256" s="749"/>
      <c r="E256" s="751"/>
      <c r="F256" s="827"/>
      <c r="G256" s="533"/>
      <c r="H256" s="533"/>
      <c r="I256" s="533"/>
      <c r="J256" s="533"/>
      <c r="K256" s="533"/>
      <c r="L256" s="827"/>
      <c r="M256" s="827"/>
      <c r="N256" s="829"/>
      <c r="O256" s="829"/>
      <c r="P256" s="829"/>
      <c r="Q256" s="533"/>
      <c r="R256" s="659"/>
      <c r="S256" s="751"/>
      <c r="T256" s="125" t="s">
        <v>15</v>
      </c>
    </row>
    <row r="257" spans="2:40" ht="15.75" thickBot="1" x14ac:dyDescent="0.3">
      <c r="B257" s="2201"/>
      <c r="C257" s="746" t="s">
        <v>121</v>
      </c>
      <c r="D257" s="749">
        <v>5759.67</v>
      </c>
      <c r="E257" s="750" t="s">
        <v>2</v>
      </c>
      <c r="F257" s="827">
        <v>71240</v>
      </c>
      <c r="G257" s="533">
        <v>47300</v>
      </c>
      <c r="H257" s="533">
        <v>108500</v>
      </c>
      <c r="I257" s="533">
        <v>64100</v>
      </c>
      <c r="J257" s="533">
        <v>88604</v>
      </c>
      <c r="K257" s="533">
        <v>44100</v>
      </c>
      <c r="L257" s="827">
        <v>71800</v>
      </c>
      <c r="M257" s="827">
        <v>107500</v>
      </c>
      <c r="N257" s="829">
        <v>94200</v>
      </c>
      <c r="O257" s="829">
        <v>93700</v>
      </c>
      <c r="P257" s="829">
        <v>96300</v>
      </c>
      <c r="Q257" s="533">
        <f>'Desember 2024'!AM279</f>
        <v>164706.76</v>
      </c>
      <c r="R257" s="659"/>
      <c r="S257" s="751"/>
      <c r="T257" s="644">
        <f>SUM(E257:Q257)</f>
        <v>1052050.76</v>
      </c>
      <c r="U257" s="662">
        <f>SUM(F257:S257)</f>
        <v>1052050.76</v>
      </c>
    </row>
    <row r="258" spans="2:40" ht="15.75" thickBot="1" x14ac:dyDescent="0.3">
      <c r="B258" s="2201"/>
      <c r="C258" s="746" t="s">
        <v>120</v>
      </c>
      <c r="D258" s="749">
        <v>1308.96</v>
      </c>
      <c r="E258" s="750" t="s">
        <v>2</v>
      </c>
      <c r="F258" s="827">
        <v>17274.73</v>
      </c>
      <c r="G258" s="533">
        <v>11872</v>
      </c>
      <c r="H258" s="533">
        <v>30465</v>
      </c>
      <c r="I258" s="533">
        <v>21703</v>
      </c>
      <c r="J258" s="533">
        <v>23401</v>
      </c>
      <c r="K258" s="533">
        <v>11453</v>
      </c>
      <c r="L258" s="827">
        <v>19517</v>
      </c>
      <c r="M258" s="827">
        <v>26800</v>
      </c>
      <c r="N258" s="829">
        <v>22645</v>
      </c>
      <c r="O258" s="829">
        <v>26223</v>
      </c>
      <c r="P258" s="829">
        <v>23460</v>
      </c>
      <c r="Q258" s="533">
        <f>'Desember 2024'!AM277</f>
        <v>164688</v>
      </c>
      <c r="R258" s="659"/>
      <c r="S258" s="751"/>
      <c r="T258" s="644">
        <f>SUM(E258:Q258)</f>
        <v>399501.73</v>
      </c>
      <c r="U258" s="661">
        <f>SUM(F258:S258)</f>
        <v>399501.73</v>
      </c>
    </row>
    <row r="259" spans="2:40" ht="15.75" thickBot="1" x14ac:dyDescent="0.3">
      <c r="B259" s="2201"/>
      <c r="C259" s="747" t="s">
        <v>7</v>
      </c>
      <c r="D259" s="749"/>
      <c r="E259" s="751"/>
      <c r="F259" s="827"/>
      <c r="G259" s="533"/>
      <c r="H259" s="533"/>
      <c r="I259" s="533"/>
      <c r="J259" s="533"/>
      <c r="K259" s="533"/>
      <c r="L259" s="827"/>
      <c r="M259" s="827"/>
      <c r="N259" s="829"/>
      <c r="O259" s="829"/>
      <c r="P259" s="829"/>
      <c r="Q259" s="533"/>
      <c r="R259" s="659"/>
      <c r="S259" s="751"/>
      <c r="T259" s="125" t="s">
        <v>7</v>
      </c>
      <c r="AL259" s="433"/>
      <c r="AM259" s="433"/>
      <c r="AN259" s="433"/>
    </row>
    <row r="260" spans="2:40" ht="15.75" thickBot="1" x14ac:dyDescent="0.3">
      <c r="B260" s="2201"/>
      <c r="C260" s="746" t="s">
        <v>122</v>
      </c>
      <c r="D260" s="749">
        <v>11.81</v>
      </c>
      <c r="E260" s="750" t="s">
        <v>2</v>
      </c>
      <c r="F260" s="827">
        <v>179.88</v>
      </c>
      <c r="G260" s="533">
        <v>385.94</v>
      </c>
      <c r="H260" s="533">
        <v>78.749999999999986</v>
      </c>
      <c r="I260" s="533">
        <v>331.3</v>
      </c>
      <c r="J260" s="533">
        <v>346.49999999999994</v>
      </c>
      <c r="K260" s="533">
        <v>363.73</v>
      </c>
      <c r="L260" s="827">
        <v>748.31</v>
      </c>
      <c r="M260" s="827">
        <v>600.55000000000007</v>
      </c>
      <c r="N260" s="829">
        <v>444.36</v>
      </c>
      <c r="O260" s="829">
        <v>20.329999999999998</v>
      </c>
      <c r="P260" s="829">
        <v>19</v>
      </c>
      <c r="Q260" s="533">
        <f>'Desember 2024'!AM282</f>
        <v>0</v>
      </c>
      <c r="R260" s="659"/>
      <c r="S260" s="751"/>
      <c r="T260" s="644">
        <f>SUM(E260:Q260)</f>
        <v>3518.65</v>
      </c>
      <c r="U260" s="662">
        <f>SUM(F260:S260)</f>
        <v>3518.65</v>
      </c>
      <c r="AL260" s="433"/>
      <c r="AM260" s="433"/>
      <c r="AN260" s="433"/>
    </row>
    <row r="261" spans="2:40" ht="15.75" thickBot="1" x14ac:dyDescent="0.3">
      <c r="B261" s="2202"/>
      <c r="C261" s="748" t="s">
        <v>123</v>
      </c>
      <c r="D261" s="755">
        <v>241.12</v>
      </c>
      <c r="E261" s="756" t="s">
        <v>2</v>
      </c>
      <c r="F261" s="828"/>
      <c r="G261" s="738">
        <v>6737.7999999999993</v>
      </c>
      <c r="H261" s="738">
        <v>7270.92</v>
      </c>
      <c r="I261" s="738">
        <v>7484.5999999999985</v>
      </c>
      <c r="J261" s="738">
        <v>8317.4</v>
      </c>
      <c r="K261" s="738">
        <v>7110.2000000000016</v>
      </c>
      <c r="L261" s="828">
        <v>7628.8</v>
      </c>
      <c r="M261" s="828">
        <v>7864.6</v>
      </c>
      <c r="N261" s="830">
        <v>7791.4999999999982</v>
      </c>
      <c r="O261" s="830">
        <v>6912.0999999999985</v>
      </c>
      <c r="P261" s="830">
        <v>5869</v>
      </c>
      <c r="Q261" s="738">
        <f>'Desember 2024'!AM283</f>
        <v>0</v>
      </c>
      <c r="R261" s="739"/>
      <c r="S261" s="753"/>
      <c r="T261" s="754">
        <f>SUM(E261:Q261)</f>
        <v>72986.920000000013</v>
      </c>
      <c r="U261" s="661">
        <f>SUM(F261:S261)</f>
        <v>72986.920000000013</v>
      </c>
      <c r="AL261" s="433"/>
      <c r="AM261" s="433"/>
      <c r="AN261" s="433"/>
    </row>
    <row r="262" spans="2:40" x14ac:dyDescent="0.25">
      <c r="I262" s="1"/>
      <c r="AK262" s="4"/>
      <c r="AL262" s="4"/>
    </row>
    <row r="263" spans="2:40" x14ac:dyDescent="0.25">
      <c r="I263" s="1"/>
      <c r="P263" s="415"/>
      <c r="AK263" s="4"/>
      <c r="AL263" s="4"/>
    </row>
    <row r="264" spans="2:40" x14ac:dyDescent="0.25">
      <c r="I264" s="1"/>
      <c r="P264" s="415"/>
    </row>
  </sheetData>
  <mergeCells count="12">
    <mergeCell ref="F4:R4"/>
    <mergeCell ref="B6:B67"/>
    <mergeCell ref="B249:B261"/>
    <mergeCell ref="B4:B5"/>
    <mergeCell ref="C4:C5"/>
    <mergeCell ref="D4:D5"/>
    <mergeCell ref="E4:E5"/>
    <mergeCell ref="AF32:AG32"/>
    <mergeCell ref="AF34:AG34"/>
    <mergeCell ref="AF35:AG35"/>
    <mergeCell ref="AH35:AL35"/>
    <mergeCell ref="B68:B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H16" sqref="H16"/>
    </sheetView>
  </sheetViews>
  <sheetFormatPr defaultColWidth="8.5703125" defaultRowHeight="15" x14ac:dyDescent="0.25"/>
  <cols>
    <col min="1" max="1" width="4.42578125" style="917" customWidth="1"/>
    <col min="2" max="2" width="38.42578125" style="917" customWidth="1"/>
    <col min="3" max="3" width="17.42578125" style="917" bestFit="1" customWidth="1"/>
    <col min="4" max="4" width="13.5703125" style="917" customWidth="1"/>
    <col min="5" max="5" width="22" style="917" customWidth="1"/>
    <col min="6" max="6" width="10" style="917" customWidth="1"/>
    <col min="7" max="7" width="16.42578125" style="917" customWidth="1"/>
    <col min="8" max="8" width="17.42578125" style="917" customWidth="1"/>
    <col min="9" max="9" width="16.42578125" style="917" bestFit="1" customWidth="1"/>
    <col min="10" max="10" width="12.42578125" style="917" customWidth="1"/>
    <col min="11" max="11" width="17.42578125" style="917" bestFit="1" customWidth="1"/>
    <col min="12" max="12" width="12.42578125" style="917" customWidth="1"/>
    <col min="13" max="13" width="10.5703125" style="917" bestFit="1" customWidth="1"/>
    <col min="14" max="14" width="20.42578125" style="917" bestFit="1" customWidth="1"/>
    <col min="15" max="15" width="14.42578125" style="917" customWidth="1"/>
    <col min="16" max="28" width="7.5703125" style="917" customWidth="1"/>
    <col min="29" max="29" width="11" style="917" customWidth="1"/>
    <col min="30" max="41" width="13.42578125" style="917" hidden="1" customWidth="1"/>
    <col min="42" max="42" width="15.5703125" style="917" customWidth="1"/>
    <col min="43" max="16384" width="8.5703125" style="917"/>
  </cols>
  <sheetData>
    <row r="2" spans="2:13" ht="20.85" customHeight="1" x14ac:dyDescent="0.25">
      <c r="B2" s="1079" t="s">
        <v>563</v>
      </c>
      <c r="C2" s="1080"/>
      <c r="E2" s="1080"/>
      <c r="F2" s="1080"/>
      <c r="G2" s="917" t="s">
        <v>564</v>
      </c>
      <c r="H2" s="1186">
        <f>'SUMMARY HPP '!I9</f>
        <v>15546</v>
      </c>
    </row>
    <row r="3" spans="2:13" ht="23.85" customHeight="1" x14ac:dyDescent="0.25">
      <c r="B3" s="1081" t="s">
        <v>386</v>
      </c>
      <c r="C3" s="2209" t="s">
        <v>219</v>
      </c>
      <c r="D3" s="2210"/>
      <c r="E3" s="1082" t="s">
        <v>565</v>
      </c>
      <c r="F3" s="2211" t="s">
        <v>566</v>
      </c>
      <c r="G3" s="2212"/>
      <c r="H3" s="1083" t="s">
        <v>567</v>
      </c>
    </row>
    <row r="4" spans="2:13" ht="21" customHeight="1" x14ac:dyDescent="0.25">
      <c r="B4" s="1084" t="s">
        <v>568</v>
      </c>
      <c r="C4" s="1085">
        <f>408/24</f>
        <v>17</v>
      </c>
      <c r="D4" s="1086" t="s">
        <v>569</v>
      </c>
      <c r="E4" s="1191">
        <f>'Desember 2024'!AM248</f>
        <v>112.01280479202001</v>
      </c>
      <c r="F4" s="2213"/>
      <c r="G4" s="2214"/>
      <c r="H4" s="1087" t="s">
        <v>271</v>
      </c>
    </row>
    <row r="5" spans="2:13" x14ac:dyDescent="0.25">
      <c r="B5" s="1088" t="s">
        <v>570</v>
      </c>
      <c r="C5" s="1089">
        <v>1000</v>
      </c>
      <c r="D5" s="1090" t="s">
        <v>241</v>
      </c>
      <c r="E5" s="1091">
        <f>'Desember 2024'!$AM$239</f>
        <v>1121.3073434782607</v>
      </c>
      <c r="F5" s="1092">
        <v>11.5</v>
      </c>
      <c r="G5" s="1090" t="s">
        <v>571</v>
      </c>
      <c r="H5" s="1093">
        <f>E5*H2*F5</f>
        <v>200466205.55969998</v>
      </c>
      <c r="I5" s="1094" t="s">
        <v>572</v>
      </c>
      <c r="J5" s="1094"/>
    </row>
    <row r="6" spans="2:13" x14ac:dyDescent="0.25">
      <c r="B6" s="1095" t="s">
        <v>573</v>
      </c>
      <c r="C6" s="1096"/>
      <c r="D6" s="1097"/>
      <c r="E6" s="1098"/>
      <c r="F6" s="1096"/>
      <c r="G6" s="1097"/>
      <c r="H6" s="1099"/>
    </row>
    <row r="7" spans="2:13" x14ac:dyDescent="0.25">
      <c r="B7" s="1100" t="s">
        <v>574</v>
      </c>
      <c r="C7" s="1101">
        <v>7.3</v>
      </c>
      <c r="D7" s="1097" t="s">
        <v>575</v>
      </c>
      <c r="E7" s="1102">
        <f t="shared" ref="E7:E12" si="0">C7</f>
        <v>7.3</v>
      </c>
      <c r="F7" s="1096">
        <v>25340</v>
      </c>
      <c r="G7" s="1097" t="s">
        <v>576</v>
      </c>
      <c r="H7" s="1099">
        <f t="shared" ref="H7:H12" si="1">E7*F7</f>
        <v>184982</v>
      </c>
      <c r="K7" s="1103"/>
    </row>
    <row r="8" spans="2:13" x14ac:dyDescent="0.25">
      <c r="B8" s="1100" t="s">
        <v>577</v>
      </c>
      <c r="C8" s="1101">
        <v>2.4</v>
      </c>
      <c r="D8" s="1097" t="s">
        <v>575</v>
      </c>
      <c r="E8" s="1102">
        <f t="shared" si="0"/>
        <v>2.4</v>
      </c>
      <c r="F8" s="1096">
        <v>110000</v>
      </c>
      <c r="G8" s="1097" t="s">
        <v>576</v>
      </c>
      <c r="H8" s="1099">
        <f t="shared" si="1"/>
        <v>264000</v>
      </c>
      <c r="K8" s="1103"/>
    </row>
    <row r="9" spans="2:13" x14ac:dyDescent="0.25">
      <c r="B9" s="1100" t="s">
        <v>578</v>
      </c>
      <c r="C9" s="1101">
        <v>2.4</v>
      </c>
      <c r="D9" s="1097" t="s">
        <v>575</v>
      </c>
      <c r="E9" s="1102">
        <f t="shared" si="0"/>
        <v>2.4</v>
      </c>
      <c r="F9" s="1096">
        <v>20160</v>
      </c>
      <c r="G9" s="1097" t="s">
        <v>576</v>
      </c>
      <c r="H9" s="1099">
        <f t="shared" si="1"/>
        <v>48384</v>
      </c>
      <c r="K9" s="1103"/>
    </row>
    <row r="10" spans="2:13" x14ac:dyDescent="0.25">
      <c r="B10" s="1100" t="s">
        <v>579</v>
      </c>
      <c r="C10" s="1101">
        <v>5.8</v>
      </c>
      <c r="D10" s="1097" t="s">
        <v>575</v>
      </c>
      <c r="E10" s="1102">
        <f t="shared" si="0"/>
        <v>5.8</v>
      </c>
      <c r="F10" s="1096">
        <v>31800</v>
      </c>
      <c r="G10" s="1097" t="s">
        <v>576</v>
      </c>
      <c r="H10" s="1099">
        <f t="shared" si="1"/>
        <v>184440</v>
      </c>
      <c r="K10" s="1103"/>
    </row>
    <row r="11" spans="2:13" x14ac:dyDescent="0.25">
      <c r="B11" s="1100" t="s">
        <v>580</v>
      </c>
      <c r="C11" s="1101">
        <v>1.4</v>
      </c>
      <c r="D11" s="1097" t="s">
        <v>575</v>
      </c>
      <c r="E11" s="1102">
        <f t="shared" si="0"/>
        <v>1.4</v>
      </c>
      <c r="F11" s="1096">
        <v>39320</v>
      </c>
      <c r="G11" s="1097" t="s">
        <v>576</v>
      </c>
      <c r="H11" s="1099">
        <f>E11*F11</f>
        <v>55048</v>
      </c>
      <c r="K11" s="1103"/>
    </row>
    <row r="12" spans="2:13" x14ac:dyDescent="0.25">
      <c r="B12" s="1095" t="s">
        <v>581</v>
      </c>
      <c r="C12" s="1104">
        <f>[28]L.Water!C12*83%</f>
        <v>408.01969999999994</v>
      </c>
      <c r="D12" s="1097" t="s">
        <v>254</v>
      </c>
      <c r="E12" s="1098">
        <f t="shared" si="0"/>
        <v>408.01969999999994</v>
      </c>
      <c r="F12" s="1096">
        <f>[28]L.Water!F12</f>
        <v>10162</v>
      </c>
      <c r="G12" s="1097" t="s">
        <v>582</v>
      </c>
      <c r="H12" s="1099">
        <f t="shared" si="1"/>
        <v>4146296.1913999994</v>
      </c>
      <c r="K12" s="1103"/>
    </row>
    <row r="13" spans="2:13" x14ac:dyDescent="0.25">
      <c r="B13" s="1095" t="s">
        <v>583</v>
      </c>
      <c r="C13" s="1096"/>
      <c r="D13" s="1097" t="s">
        <v>271</v>
      </c>
      <c r="E13" s="1098"/>
      <c r="F13" s="1096"/>
      <c r="G13" s="1097"/>
      <c r="H13" s="1099">
        <f>C13</f>
        <v>0</v>
      </c>
      <c r="J13" s="1094"/>
    </row>
    <row r="14" spans="2:13" x14ac:dyDescent="0.25">
      <c r="B14" s="1105" t="s">
        <v>584</v>
      </c>
      <c r="C14" s="1106"/>
      <c r="D14" s="1107"/>
      <c r="E14" s="1106"/>
      <c r="F14" s="1106"/>
      <c r="G14" s="1107"/>
      <c r="H14" s="1108">
        <f>IFERROR(SUM(H5:H13),"")</f>
        <v>205349355.75109997</v>
      </c>
    </row>
    <row r="15" spans="2:13" ht="21" customHeight="1" x14ac:dyDescent="0.25">
      <c r="C15" s="1080"/>
      <c r="E15" s="1080"/>
      <c r="F15" s="2215" t="s">
        <v>585</v>
      </c>
      <c r="G15" s="2216"/>
      <c r="H15" s="1109">
        <f>H14/E4/10</f>
        <v>183326.67959916082</v>
      </c>
    </row>
    <row r="16" spans="2:13" x14ac:dyDescent="0.25">
      <c r="M16" s="1103"/>
    </row>
    <row r="17" spans="2:41" x14ac:dyDescent="0.25">
      <c r="B17" s="917" t="s">
        <v>586</v>
      </c>
      <c r="M17" s="1103"/>
      <c r="O17" s="1103"/>
      <c r="P17" s="1103"/>
      <c r="Q17" s="1103"/>
      <c r="R17" s="1103"/>
      <c r="S17" s="1103"/>
      <c r="T17" s="1103"/>
      <c r="U17" s="1103"/>
      <c r="V17" s="1103"/>
      <c r="W17" s="1103"/>
      <c r="X17" s="1103"/>
      <c r="Y17" s="1103"/>
      <c r="Z17" s="1103"/>
      <c r="AA17" s="1103"/>
      <c r="AB17" s="1103"/>
      <c r="AC17" s="1103"/>
      <c r="AD17" s="1103"/>
      <c r="AE17" s="1103"/>
      <c r="AF17" s="1103"/>
      <c r="AG17" s="1103"/>
      <c r="AH17" s="1103"/>
      <c r="AI17" s="1103"/>
      <c r="AJ17" s="1103"/>
      <c r="AK17" s="1103"/>
      <c r="AL17" s="1103"/>
      <c r="AM17" s="1103"/>
      <c r="AN17" s="1103"/>
      <c r="AO17" s="1103"/>
    </row>
    <row r="18" spans="2:41" x14ac:dyDescent="0.25">
      <c r="B18" s="917" t="s">
        <v>587</v>
      </c>
      <c r="M18" s="1103"/>
      <c r="O18" s="1103"/>
      <c r="P18" s="1103"/>
      <c r="Q18" s="1103"/>
      <c r="R18" s="1103"/>
      <c r="S18" s="1103"/>
      <c r="T18" s="1103"/>
      <c r="U18" s="1103"/>
      <c r="V18" s="1103"/>
      <c r="W18" s="1103"/>
      <c r="X18" s="1103"/>
      <c r="Y18" s="1103"/>
      <c r="Z18" s="1103"/>
      <c r="AA18" s="1103"/>
      <c r="AB18" s="1103"/>
      <c r="AC18" s="1103"/>
      <c r="AD18" s="1103"/>
      <c r="AE18" s="1103"/>
      <c r="AF18" s="1103"/>
      <c r="AG18" s="1103"/>
      <c r="AH18" s="1103"/>
      <c r="AI18" s="1103"/>
      <c r="AJ18" s="1103"/>
      <c r="AK18" s="1103"/>
      <c r="AL18" s="1103"/>
      <c r="AM18" s="1103"/>
      <c r="AN18" s="1103"/>
      <c r="AO18" s="1103"/>
    </row>
    <row r="19" spans="2:41" x14ac:dyDescent="0.25">
      <c r="M19" s="1103"/>
      <c r="N19" s="1103"/>
    </row>
    <row r="20" spans="2:41" x14ac:dyDescent="0.25">
      <c r="M20" s="1103"/>
      <c r="N20" s="1103"/>
    </row>
    <row r="21" spans="2:41" x14ac:dyDescent="0.25">
      <c r="M21" s="1103"/>
    </row>
    <row r="22" spans="2:41" x14ac:dyDescent="0.25">
      <c r="M22" s="1103"/>
    </row>
    <row r="26" spans="2:41" x14ac:dyDescent="0.25">
      <c r="C26" s="917" t="s">
        <v>588</v>
      </c>
    </row>
    <row r="29" spans="2:41" x14ac:dyDescent="0.25">
      <c r="AB29" s="1103"/>
      <c r="AC29" s="1103"/>
      <c r="AD29" s="1103"/>
      <c r="AE29" s="1103"/>
      <c r="AF29" s="1103"/>
      <c r="AG29" s="1103"/>
      <c r="AH29" s="1103"/>
      <c r="AI29" s="1103"/>
      <c r="AJ29" s="1103"/>
      <c r="AK29" s="1103"/>
      <c r="AL29" s="1103"/>
      <c r="AM29" s="1103"/>
      <c r="AN29" s="1103"/>
      <c r="AO29" s="1110"/>
    </row>
    <row r="30" spans="2:41" x14ac:dyDescent="0.25">
      <c r="AB30" s="1103"/>
      <c r="AC30" s="1103"/>
      <c r="AD30" s="1103"/>
      <c r="AE30" s="1103"/>
      <c r="AF30" s="1103"/>
      <c r="AG30" s="1103"/>
      <c r="AH30" s="1103"/>
      <c r="AI30" s="1103"/>
      <c r="AJ30" s="1103"/>
      <c r="AK30" s="1103"/>
      <c r="AL30" s="1103"/>
      <c r="AM30" s="1103"/>
      <c r="AN30" s="1103"/>
      <c r="AO30" s="1110"/>
    </row>
    <row r="31" spans="2:41" x14ac:dyDescent="0.25">
      <c r="AB31" s="1103"/>
      <c r="AC31" s="1103"/>
      <c r="AD31" s="1103"/>
      <c r="AE31" s="1103"/>
      <c r="AF31" s="1103"/>
      <c r="AG31" s="1103"/>
      <c r="AH31" s="1103"/>
      <c r="AI31" s="1103"/>
      <c r="AJ31" s="1103"/>
      <c r="AK31" s="1103"/>
      <c r="AL31" s="1103"/>
      <c r="AM31" s="1103"/>
      <c r="AN31" s="1103"/>
      <c r="AO31" s="1110"/>
    </row>
    <row r="32" spans="2:41" x14ac:dyDescent="0.25">
      <c r="AB32" s="1103"/>
      <c r="AC32" s="1103"/>
      <c r="AD32" s="1103"/>
      <c r="AE32" s="1103"/>
      <c r="AF32" s="1103"/>
      <c r="AG32" s="1103"/>
      <c r="AH32" s="1103"/>
      <c r="AI32" s="1103"/>
      <c r="AJ32" s="1103"/>
      <c r="AK32" s="1103"/>
      <c r="AL32" s="1103"/>
      <c r="AM32" s="1103"/>
      <c r="AN32" s="1103"/>
      <c r="AO32" s="1110"/>
    </row>
    <row r="33" spans="28:41" x14ac:dyDescent="0.25">
      <c r="AB33" s="1103"/>
      <c r="AC33" s="1103"/>
      <c r="AD33" s="1103"/>
      <c r="AE33" s="1103"/>
      <c r="AF33" s="1103"/>
      <c r="AG33" s="1103"/>
      <c r="AH33" s="1103"/>
      <c r="AI33" s="1103"/>
      <c r="AJ33" s="1103"/>
      <c r="AK33" s="1103"/>
      <c r="AL33" s="1103"/>
      <c r="AM33" s="1103"/>
      <c r="AN33" s="1103"/>
      <c r="AO33" s="1110"/>
    </row>
    <row r="34" spans="28:41" x14ac:dyDescent="0.25">
      <c r="AB34" s="1103"/>
      <c r="AC34" s="1103"/>
      <c r="AD34" s="1103"/>
      <c r="AE34" s="1103"/>
      <c r="AF34" s="1103"/>
      <c r="AG34" s="1103"/>
      <c r="AH34" s="1103"/>
      <c r="AI34" s="1103"/>
      <c r="AJ34" s="1103"/>
      <c r="AK34" s="1103"/>
      <c r="AL34" s="1103"/>
      <c r="AM34" s="1103"/>
      <c r="AN34" s="1103"/>
      <c r="AO34" s="1110"/>
    </row>
    <row r="35" spans="28:41" x14ac:dyDescent="0.25">
      <c r="AB35" s="1103"/>
      <c r="AC35" s="1103"/>
      <c r="AD35" s="1103"/>
      <c r="AE35" s="1103"/>
      <c r="AF35" s="1103"/>
      <c r="AG35" s="1103"/>
      <c r="AH35" s="1103"/>
      <c r="AI35" s="1103"/>
      <c r="AJ35" s="1103"/>
      <c r="AK35" s="1103"/>
      <c r="AL35" s="1103"/>
      <c r="AM35" s="1103"/>
      <c r="AN35" s="1103"/>
      <c r="AO35" s="1110"/>
    </row>
    <row r="36" spans="28:41" x14ac:dyDescent="0.25">
      <c r="AB36" s="1103"/>
      <c r="AC36" s="1103"/>
      <c r="AD36" s="1103"/>
      <c r="AE36" s="1103"/>
      <c r="AF36" s="1103"/>
      <c r="AG36" s="1103"/>
      <c r="AH36" s="1103"/>
      <c r="AI36" s="1103"/>
      <c r="AJ36" s="1103"/>
      <c r="AK36" s="1103"/>
      <c r="AL36" s="1103"/>
      <c r="AM36" s="1103"/>
      <c r="AN36" s="1103"/>
      <c r="AO36" s="1110"/>
    </row>
    <row r="37" spans="28:41" x14ac:dyDescent="0.25">
      <c r="AB37" s="1103"/>
      <c r="AC37" s="1103"/>
      <c r="AD37" s="1103"/>
      <c r="AE37" s="1103"/>
      <c r="AF37" s="1103"/>
      <c r="AG37" s="1103"/>
      <c r="AH37" s="1103"/>
      <c r="AI37" s="1103"/>
      <c r="AJ37" s="1103"/>
      <c r="AK37" s="1103"/>
      <c r="AL37" s="1103"/>
      <c r="AM37" s="1103"/>
      <c r="AN37" s="1103"/>
      <c r="AO37" s="1110"/>
    </row>
    <row r="38" spans="28:41" x14ac:dyDescent="0.25">
      <c r="AB38" s="1103"/>
      <c r="AC38" s="1103"/>
      <c r="AD38" s="1103"/>
      <c r="AE38" s="1103"/>
      <c r="AF38" s="1103"/>
      <c r="AG38" s="1103"/>
      <c r="AH38" s="1103"/>
      <c r="AI38" s="1103"/>
      <c r="AJ38" s="1103"/>
      <c r="AK38" s="1103"/>
      <c r="AL38" s="1103"/>
      <c r="AM38" s="1103"/>
      <c r="AN38" s="1103"/>
      <c r="AO38" s="1110"/>
    </row>
    <row r="39" spans="28:41" x14ac:dyDescent="0.25">
      <c r="AB39" s="1103"/>
      <c r="AC39" s="1103"/>
      <c r="AD39" s="1103"/>
      <c r="AE39" s="1103"/>
      <c r="AF39" s="1103"/>
      <c r="AG39" s="1103"/>
      <c r="AH39" s="1103"/>
      <c r="AI39" s="1103"/>
      <c r="AJ39" s="1103"/>
      <c r="AK39" s="1103"/>
      <c r="AL39" s="1103"/>
      <c r="AM39" s="1103"/>
      <c r="AN39" s="1103"/>
      <c r="AO39" s="1110"/>
    </row>
    <row r="40" spans="28:41" x14ac:dyDescent="0.25">
      <c r="AB40" s="1103"/>
      <c r="AC40" s="1103"/>
      <c r="AD40" s="1103"/>
      <c r="AE40" s="1103"/>
      <c r="AF40" s="1103"/>
      <c r="AG40" s="1103"/>
      <c r="AH40" s="1103"/>
      <c r="AI40" s="1103"/>
      <c r="AJ40" s="1103"/>
      <c r="AK40" s="1103"/>
      <c r="AL40" s="1103"/>
      <c r="AM40" s="1103"/>
      <c r="AN40" s="1103"/>
      <c r="AO40" s="1110"/>
    </row>
    <row r="41" spans="28:41" x14ac:dyDescent="0.25">
      <c r="AB41" s="1103"/>
      <c r="AC41" s="1103"/>
      <c r="AD41" s="1103"/>
      <c r="AE41" s="1103"/>
      <c r="AF41" s="1103"/>
      <c r="AG41" s="1103"/>
      <c r="AH41" s="1103"/>
      <c r="AI41" s="1103"/>
      <c r="AJ41" s="1103"/>
      <c r="AK41" s="1103"/>
      <c r="AL41" s="1103"/>
      <c r="AM41" s="1103"/>
      <c r="AN41" s="1103"/>
      <c r="AO41" s="1110"/>
    </row>
    <row r="119" spans="29:42" x14ac:dyDescent="0.25"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  <c r="AM119" s="1103"/>
      <c r="AN119" s="1103"/>
      <c r="AO119" s="1103"/>
      <c r="AP119" s="1110"/>
    </row>
    <row r="120" spans="29:42" x14ac:dyDescent="0.25">
      <c r="AC120" s="1103"/>
      <c r="AD120" s="1103"/>
      <c r="AE120" s="1103"/>
      <c r="AF120" s="1103"/>
      <c r="AG120" s="1103"/>
      <c r="AH120" s="1103"/>
      <c r="AI120" s="1103"/>
      <c r="AJ120" s="1103"/>
      <c r="AK120" s="1103"/>
      <c r="AL120" s="1103"/>
      <c r="AM120" s="1103"/>
      <c r="AN120" s="1103"/>
      <c r="AO120" s="1103"/>
      <c r="AP120" s="1110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H10" sqref="H10"/>
    </sheetView>
  </sheetViews>
  <sheetFormatPr defaultColWidth="8.5703125" defaultRowHeight="15" x14ac:dyDescent="0.25"/>
  <cols>
    <col min="1" max="1" width="4.42578125" style="917" customWidth="1"/>
    <col min="2" max="2" width="38.42578125" style="917" customWidth="1"/>
    <col min="3" max="4" width="13.5703125" style="917" customWidth="1"/>
    <col min="5" max="5" width="21" style="917" customWidth="1"/>
    <col min="6" max="6" width="10" style="917" customWidth="1"/>
    <col min="7" max="7" width="16.42578125" style="917" customWidth="1"/>
    <col min="8" max="8" width="19.42578125" style="917" customWidth="1"/>
    <col min="9" max="9" width="16.42578125" style="917" bestFit="1" customWidth="1"/>
    <col min="10" max="10" width="12.42578125" style="917" customWidth="1"/>
    <col min="11" max="11" width="17.42578125" style="917" bestFit="1" customWidth="1"/>
    <col min="12" max="12" width="12.42578125" style="917" customWidth="1"/>
    <col min="13" max="13" width="10.5703125" style="917" bestFit="1" customWidth="1"/>
    <col min="14" max="14" width="20.42578125" style="917" bestFit="1" customWidth="1"/>
    <col min="15" max="15" width="14.42578125" style="917" customWidth="1"/>
    <col min="16" max="28" width="7.5703125" style="917" customWidth="1"/>
    <col min="29" max="29" width="11" style="917" customWidth="1"/>
    <col min="30" max="41" width="13.42578125" style="917" hidden="1" customWidth="1"/>
    <col min="42" max="42" width="15.5703125" style="917" customWidth="1"/>
    <col min="43" max="16384" width="8.5703125" style="917"/>
  </cols>
  <sheetData>
    <row r="2" spans="2:10" ht="20.85" customHeight="1" x14ac:dyDescent="0.25">
      <c r="B2" s="1111" t="s">
        <v>589</v>
      </c>
      <c r="C2" s="1080"/>
      <c r="E2" s="1080"/>
      <c r="F2" s="1080"/>
      <c r="G2" s="917" t="s">
        <v>564</v>
      </c>
      <c r="H2" s="1186">
        <f>'SUMMARY HPP '!I9</f>
        <v>15546</v>
      </c>
    </row>
    <row r="3" spans="2:10" x14ac:dyDescent="0.25">
      <c r="B3" s="1081" t="s">
        <v>386</v>
      </c>
      <c r="C3" s="2209" t="s">
        <v>219</v>
      </c>
      <c r="D3" s="2210"/>
      <c r="E3" s="1082" t="s">
        <v>590</v>
      </c>
      <c r="F3" s="2211" t="s">
        <v>566</v>
      </c>
      <c r="G3" s="2212"/>
      <c r="H3" s="1083" t="s">
        <v>567</v>
      </c>
    </row>
    <row r="4" spans="2:10" x14ac:dyDescent="0.25">
      <c r="B4" s="1084" t="s">
        <v>591</v>
      </c>
      <c r="C4" s="1085">
        <f>200/24</f>
        <v>8.3333333333333339</v>
      </c>
      <c r="D4" s="1086" t="s">
        <v>592</v>
      </c>
      <c r="E4" s="1191">
        <f>'Desember 2024'!AM266</f>
        <v>165.91304347826087</v>
      </c>
      <c r="F4" s="2217"/>
      <c r="G4" s="2218"/>
      <c r="H4" s="1083" t="s">
        <v>271</v>
      </c>
    </row>
    <row r="5" spans="2:10" s="1118" customFormat="1" x14ac:dyDescent="0.25">
      <c r="B5" s="1113" t="s">
        <v>593</v>
      </c>
      <c r="C5" s="1114"/>
      <c r="D5" s="1115"/>
      <c r="E5" s="1116"/>
      <c r="F5" s="1096">
        <v>0</v>
      </c>
      <c r="G5" s="1117" t="s">
        <v>582</v>
      </c>
      <c r="H5" s="1099">
        <v>8700</v>
      </c>
    </row>
    <row r="6" spans="2:10" x14ac:dyDescent="0.25">
      <c r="B6" s="1095" t="s">
        <v>573</v>
      </c>
      <c r="C6" s="1096"/>
      <c r="D6" s="1097"/>
      <c r="E6" s="1098"/>
      <c r="F6" s="1096"/>
      <c r="G6" s="1097"/>
      <c r="H6" s="1099"/>
    </row>
    <row r="7" spans="2:10" x14ac:dyDescent="0.25">
      <c r="B7" s="1100" t="s">
        <v>594</v>
      </c>
      <c r="C7" s="1101">
        <v>0</v>
      </c>
      <c r="D7" s="1097" t="s">
        <v>237</v>
      </c>
      <c r="E7" s="1102">
        <f>C7</f>
        <v>0</v>
      </c>
      <c r="F7" s="1096">
        <v>24890</v>
      </c>
      <c r="G7" s="1097" t="s">
        <v>595</v>
      </c>
      <c r="H7" s="1099">
        <f t="shared" ref="H7:H15" si="0">E7*F7</f>
        <v>0</v>
      </c>
    </row>
    <row r="8" spans="2:10" x14ac:dyDescent="0.25">
      <c r="B8" s="1100" t="s">
        <v>596</v>
      </c>
      <c r="C8" s="1101">
        <f>E8*C4</f>
        <v>0.62305295950155759</v>
      </c>
      <c r="D8" s="1097" t="s">
        <v>237</v>
      </c>
      <c r="E8" s="1102">
        <v>7.476635514018691E-2</v>
      </c>
      <c r="F8" s="1096">
        <v>65340</v>
      </c>
      <c r="G8" s="1097" t="s">
        <v>595</v>
      </c>
      <c r="H8" s="1099">
        <f t="shared" si="0"/>
        <v>4885.2336448598126</v>
      </c>
    </row>
    <row r="9" spans="2:10" x14ac:dyDescent="0.25">
      <c r="B9" s="1100" t="s">
        <v>597</v>
      </c>
      <c r="C9" s="1101">
        <f>E9*C4</f>
        <v>46.728971962616825</v>
      </c>
      <c r="D9" s="1097" t="s">
        <v>237</v>
      </c>
      <c r="E9" s="1102">
        <v>5.6074766355140184</v>
      </c>
      <c r="F9" s="1096">
        <v>7702</v>
      </c>
      <c r="G9" s="1097" t="s">
        <v>595</v>
      </c>
      <c r="H9" s="1099">
        <f t="shared" si="0"/>
        <v>43188.785046728968</v>
      </c>
    </row>
    <row r="10" spans="2:10" x14ac:dyDescent="0.25">
      <c r="B10" s="1100" t="s">
        <v>598</v>
      </c>
      <c r="C10" s="1101">
        <f>E10*C4</f>
        <v>6.230529595015577</v>
      </c>
      <c r="D10" s="1097" t="s">
        <v>237</v>
      </c>
      <c r="E10" s="1102">
        <v>0.74766355140186924</v>
      </c>
      <c r="F10" s="1096">
        <v>18634</v>
      </c>
      <c r="G10" s="1097" t="s">
        <v>595</v>
      </c>
      <c r="H10" s="1099">
        <f t="shared" si="0"/>
        <v>13931.962616822431</v>
      </c>
    </row>
    <row r="11" spans="2:10" x14ac:dyDescent="0.25">
      <c r="B11" s="1100" t="s">
        <v>599</v>
      </c>
      <c r="C11" s="1101">
        <f>E11*C4</f>
        <v>1.2461059190031152</v>
      </c>
      <c r="D11" s="1097" t="s">
        <v>237</v>
      </c>
      <c r="E11" s="1102">
        <v>0.14953271028037382</v>
      </c>
      <c r="F11" s="1096">
        <v>44722</v>
      </c>
      <c r="G11" s="1097" t="s">
        <v>595</v>
      </c>
      <c r="H11" s="1099">
        <f t="shared" si="0"/>
        <v>6687.4018691588781</v>
      </c>
    </row>
    <row r="12" spans="2:10" x14ac:dyDescent="0.25">
      <c r="B12" s="1100" t="s">
        <v>600</v>
      </c>
      <c r="C12" s="1101">
        <v>0</v>
      </c>
      <c r="D12" s="1097" t="s">
        <v>237</v>
      </c>
      <c r="E12" s="1102">
        <f>C12</f>
        <v>0</v>
      </c>
      <c r="F12" s="1096">
        <v>5700</v>
      </c>
      <c r="G12" s="1097" t="s">
        <v>595</v>
      </c>
      <c r="H12" s="1099">
        <f t="shared" si="0"/>
        <v>0</v>
      </c>
    </row>
    <row r="13" spans="2:10" x14ac:dyDescent="0.25">
      <c r="B13" s="1100" t="s">
        <v>601</v>
      </c>
      <c r="C13" s="1101">
        <v>0</v>
      </c>
      <c r="D13" s="1097" t="s">
        <v>237</v>
      </c>
      <c r="E13" s="1102">
        <f>C13</f>
        <v>0</v>
      </c>
      <c r="F13" s="1096">
        <v>15700</v>
      </c>
      <c r="G13" s="1097" t="s">
        <v>595</v>
      </c>
      <c r="H13" s="1099">
        <f t="shared" si="0"/>
        <v>0</v>
      </c>
    </row>
    <row r="14" spans="2:10" x14ac:dyDescent="0.25">
      <c r="B14" s="1095" t="s">
        <v>135</v>
      </c>
      <c r="C14" s="1119">
        <v>2675</v>
      </c>
      <c r="D14" s="1097" t="s">
        <v>249</v>
      </c>
      <c r="E14" s="1102">
        <f>C14</f>
        <v>2675</v>
      </c>
      <c r="F14" s="1096">
        <f>[29]UP.E!C28</f>
        <v>1550</v>
      </c>
      <c r="G14" s="1097" t="s">
        <v>602</v>
      </c>
      <c r="H14" s="1099">
        <f t="shared" si="0"/>
        <v>4146250</v>
      </c>
    </row>
    <row r="15" spans="2:10" x14ac:dyDescent="0.25">
      <c r="B15" s="1095" t="s">
        <v>583</v>
      </c>
      <c r="C15" s="1096"/>
      <c r="D15" s="1097" t="s">
        <v>271</v>
      </c>
      <c r="E15" s="1098"/>
      <c r="F15" s="1096"/>
      <c r="G15" s="1097"/>
      <c r="H15" s="1099">
        <f t="shared" si="0"/>
        <v>0</v>
      </c>
      <c r="I15" s="1120"/>
      <c r="J15" s="1094"/>
    </row>
    <row r="16" spans="2:10" x14ac:dyDescent="0.25">
      <c r="B16" s="1105"/>
      <c r="C16" s="1106"/>
      <c r="D16" s="1107"/>
      <c r="E16" s="1106"/>
      <c r="F16" s="1106"/>
      <c r="G16" s="1107"/>
      <c r="H16" s="1121">
        <f>IFERROR(SUM(H5:H15),"")</f>
        <v>4223643.3831775701</v>
      </c>
      <c r="I16" s="1122"/>
      <c r="J16" s="1103"/>
    </row>
    <row r="17" spans="3:41" x14ac:dyDescent="0.25">
      <c r="C17" s="1080"/>
      <c r="E17" s="1080"/>
      <c r="F17" s="2215" t="s">
        <v>603</v>
      </c>
      <c r="G17" s="2216"/>
      <c r="H17" s="1109">
        <f>H16/E4</f>
        <v>25456.970076804013</v>
      </c>
    </row>
    <row r="18" spans="3:41" x14ac:dyDescent="0.25">
      <c r="M18" s="1103"/>
    </row>
    <row r="19" spans="3:41" x14ac:dyDescent="0.25">
      <c r="M19" s="1103"/>
      <c r="O19" s="1103"/>
      <c r="P19" s="1103"/>
      <c r="Q19" s="1103"/>
      <c r="R19" s="1103"/>
      <c r="S19" s="1103"/>
      <c r="T19" s="1103"/>
      <c r="U19" s="1103"/>
      <c r="V19" s="1103"/>
      <c r="W19" s="1103"/>
      <c r="X19" s="1103"/>
      <c r="Y19" s="1103"/>
      <c r="Z19" s="1103"/>
      <c r="AA19" s="1103"/>
      <c r="AB19" s="1103"/>
      <c r="AC19" s="1103"/>
      <c r="AD19" s="1103"/>
      <c r="AE19" s="1103"/>
      <c r="AF19" s="1103"/>
      <c r="AG19" s="1103"/>
      <c r="AH19" s="1103"/>
      <c r="AI19" s="1103"/>
      <c r="AJ19" s="1103"/>
      <c r="AK19" s="1103"/>
      <c r="AL19" s="1103"/>
      <c r="AM19" s="1103"/>
      <c r="AN19" s="1103"/>
      <c r="AO19" s="1103"/>
    </row>
    <row r="20" spans="3:41" x14ac:dyDescent="0.25">
      <c r="M20" s="1103"/>
      <c r="O20" s="1103"/>
      <c r="P20" s="1103"/>
      <c r="Q20" s="1103"/>
      <c r="R20" s="1103"/>
      <c r="S20" s="1103"/>
      <c r="T20" s="1103"/>
      <c r="U20" s="1103"/>
      <c r="V20" s="1103"/>
      <c r="W20" s="1103"/>
      <c r="X20" s="1103"/>
      <c r="Y20" s="1103"/>
      <c r="Z20" s="1103"/>
      <c r="AA20" s="1103"/>
      <c r="AB20" s="1103"/>
      <c r="AC20" s="1103"/>
      <c r="AD20" s="1103"/>
      <c r="AE20" s="1103"/>
      <c r="AF20" s="1103"/>
      <c r="AG20" s="1103"/>
      <c r="AH20" s="1103"/>
      <c r="AI20" s="1103"/>
      <c r="AJ20" s="1103"/>
      <c r="AK20" s="1103"/>
      <c r="AL20" s="1103"/>
      <c r="AM20" s="1103"/>
      <c r="AN20" s="1103"/>
      <c r="AO20" s="1103"/>
    </row>
    <row r="21" spans="3:41" x14ac:dyDescent="0.25">
      <c r="M21" s="1103"/>
    </row>
    <row r="22" spans="3:41" x14ac:dyDescent="0.25">
      <c r="M22" s="1103"/>
      <c r="N22" s="1103"/>
    </row>
    <row r="23" spans="3:41" x14ac:dyDescent="0.25">
      <c r="M23" s="1103"/>
      <c r="N23" s="1103"/>
    </row>
    <row r="24" spans="3:41" x14ac:dyDescent="0.25">
      <c r="M24" s="1103"/>
    </row>
    <row r="25" spans="3:41" x14ac:dyDescent="0.25">
      <c r="M25" s="1103"/>
    </row>
    <row r="29" spans="3:41" x14ac:dyDescent="0.25">
      <c r="C29" s="917" t="s">
        <v>588</v>
      </c>
    </row>
    <row r="32" spans="3:41" x14ac:dyDescent="0.25">
      <c r="AB32" s="1103"/>
      <c r="AC32" s="1103"/>
      <c r="AD32" s="1103"/>
      <c r="AE32" s="1103"/>
      <c r="AF32" s="1103"/>
      <c r="AG32" s="1103"/>
      <c r="AH32" s="1103"/>
      <c r="AI32" s="1103"/>
      <c r="AJ32" s="1103"/>
      <c r="AK32" s="1103"/>
      <c r="AL32" s="1103"/>
      <c r="AM32" s="1103"/>
      <c r="AN32" s="1103"/>
      <c r="AO32" s="1110"/>
    </row>
    <row r="33" spans="28:41" x14ac:dyDescent="0.25">
      <c r="AB33" s="1103"/>
      <c r="AC33" s="1103"/>
      <c r="AD33" s="1103"/>
      <c r="AE33" s="1103"/>
      <c r="AF33" s="1103"/>
      <c r="AG33" s="1103"/>
      <c r="AH33" s="1103"/>
      <c r="AI33" s="1103"/>
      <c r="AJ33" s="1103"/>
      <c r="AK33" s="1103"/>
      <c r="AL33" s="1103"/>
      <c r="AM33" s="1103"/>
      <c r="AN33" s="1103"/>
      <c r="AO33" s="1110"/>
    </row>
    <row r="34" spans="28:41" x14ac:dyDescent="0.25">
      <c r="AB34" s="1103"/>
      <c r="AC34" s="1103"/>
      <c r="AD34" s="1103"/>
      <c r="AE34" s="1103"/>
      <c r="AF34" s="1103"/>
      <c r="AG34" s="1103"/>
      <c r="AH34" s="1103"/>
      <c r="AI34" s="1103"/>
      <c r="AJ34" s="1103"/>
      <c r="AK34" s="1103"/>
      <c r="AL34" s="1103"/>
      <c r="AM34" s="1103"/>
      <c r="AN34" s="1103"/>
      <c r="AO34" s="1110"/>
    </row>
    <row r="35" spans="28:41" x14ac:dyDescent="0.25">
      <c r="AB35" s="1103"/>
      <c r="AC35" s="1103"/>
      <c r="AD35" s="1103"/>
      <c r="AE35" s="1103"/>
      <c r="AF35" s="1103"/>
      <c r="AG35" s="1103"/>
      <c r="AH35" s="1103"/>
      <c r="AI35" s="1103"/>
      <c r="AJ35" s="1103"/>
      <c r="AK35" s="1103"/>
      <c r="AL35" s="1103"/>
      <c r="AM35" s="1103"/>
      <c r="AN35" s="1103"/>
      <c r="AO35" s="1110"/>
    </row>
    <row r="36" spans="28:41" x14ac:dyDescent="0.25">
      <c r="AB36" s="1103"/>
      <c r="AC36" s="1103"/>
      <c r="AD36" s="1103"/>
      <c r="AE36" s="1103"/>
      <c r="AF36" s="1103"/>
      <c r="AG36" s="1103"/>
      <c r="AH36" s="1103"/>
      <c r="AI36" s="1103"/>
      <c r="AJ36" s="1103"/>
      <c r="AK36" s="1103"/>
      <c r="AL36" s="1103"/>
      <c r="AM36" s="1103"/>
      <c r="AN36" s="1103"/>
      <c r="AO36" s="1110"/>
    </row>
    <row r="37" spans="28:41" x14ac:dyDescent="0.25">
      <c r="AB37" s="1103"/>
      <c r="AC37" s="1103"/>
      <c r="AD37" s="1103"/>
      <c r="AE37" s="1103"/>
      <c r="AF37" s="1103"/>
      <c r="AG37" s="1103"/>
      <c r="AH37" s="1103"/>
      <c r="AI37" s="1103"/>
      <c r="AJ37" s="1103"/>
      <c r="AK37" s="1103"/>
      <c r="AL37" s="1103"/>
      <c r="AM37" s="1103"/>
      <c r="AN37" s="1103"/>
      <c r="AO37" s="1110"/>
    </row>
    <row r="38" spans="28:41" x14ac:dyDescent="0.25">
      <c r="AB38" s="1103"/>
      <c r="AC38" s="1103"/>
      <c r="AD38" s="1103"/>
      <c r="AE38" s="1103"/>
      <c r="AF38" s="1103"/>
      <c r="AG38" s="1103"/>
      <c r="AH38" s="1103"/>
      <c r="AI38" s="1103"/>
      <c r="AJ38" s="1103"/>
      <c r="AK38" s="1103"/>
      <c r="AL38" s="1103"/>
      <c r="AM38" s="1103"/>
      <c r="AN38" s="1103"/>
      <c r="AO38" s="1110"/>
    </row>
    <row r="39" spans="28:41" x14ac:dyDescent="0.25">
      <c r="AB39" s="1103"/>
      <c r="AC39" s="1103"/>
      <c r="AD39" s="1103"/>
      <c r="AE39" s="1103"/>
      <c r="AF39" s="1103"/>
      <c r="AG39" s="1103"/>
      <c r="AH39" s="1103"/>
      <c r="AI39" s="1103"/>
      <c r="AJ39" s="1103"/>
      <c r="AK39" s="1103"/>
      <c r="AL39" s="1103"/>
      <c r="AM39" s="1103"/>
      <c r="AN39" s="1103"/>
      <c r="AO39" s="1110"/>
    </row>
    <row r="40" spans="28:41" x14ac:dyDescent="0.25">
      <c r="AB40" s="1103"/>
      <c r="AC40" s="1103"/>
      <c r="AD40" s="1103"/>
      <c r="AE40" s="1103"/>
      <c r="AF40" s="1103"/>
      <c r="AG40" s="1103"/>
      <c r="AH40" s="1103"/>
      <c r="AI40" s="1103"/>
      <c r="AJ40" s="1103"/>
      <c r="AK40" s="1103"/>
      <c r="AL40" s="1103"/>
      <c r="AM40" s="1103"/>
      <c r="AN40" s="1103"/>
      <c r="AO40" s="1110"/>
    </row>
    <row r="41" spans="28:41" x14ac:dyDescent="0.25">
      <c r="AB41" s="1103"/>
      <c r="AC41" s="1103"/>
      <c r="AD41" s="1103"/>
      <c r="AE41" s="1103"/>
      <c r="AF41" s="1103"/>
      <c r="AG41" s="1103"/>
      <c r="AH41" s="1103"/>
      <c r="AI41" s="1103"/>
      <c r="AJ41" s="1103"/>
      <c r="AK41" s="1103"/>
      <c r="AL41" s="1103"/>
      <c r="AM41" s="1103"/>
      <c r="AN41" s="1103"/>
      <c r="AO41" s="1110"/>
    </row>
    <row r="42" spans="28:41" x14ac:dyDescent="0.25">
      <c r="AB42" s="1103"/>
      <c r="AC42" s="1103"/>
      <c r="AD42" s="1103"/>
      <c r="AE42" s="1103"/>
      <c r="AF42" s="1103"/>
      <c r="AG42" s="1103"/>
      <c r="AH42" s="1103"/>
      <c r="AI42" s="1103"/>
      <c r="AJ42" s="1103"/>
      <c r="AK42" s="1103"/>
      <c r="AL42" s="1103"/>
      <c r="AM42" s="1103"/>
      <c r="AN42" s="1103"/>
      <c r="AO42" s="1110"/>
    </row>
    <row r="43" spans="28:41" x14ac:dyDescent="0.25">
      <c r="AB43" s="1103"/>
      <c r="AC43" s="1103"/>
      <c r="AD43" s="1103"/>
      <c r="AE43" s="1103"/>
      <c r="AF43" s="1103"/>
      <c r="AG43" s="1103"/>
      <c r="AH43" s="1103"/>
      <c r="AI43" s="1103"/>
      <c r="AJ43" s="1103"/>
      <c r="AK43" s="1103"/>
      <c r="AL43" s="1103"/>
      <c r="AM43" s="1103"/>
      <c r="AN43" s="1103"/>
      <c r="AO43" s="1110"/>
    </row>
    <row r="44" spans="28:41" x14ac:dyDescent="0.25">
      <c r="AB44" s="1103"/>
      <c r="AC44" s="1103"/>
      <c r="AD44" s="1103"/>
      <c r="AE44" s="1103"/>
      <c r="AF44" s="1103"/>
      <c r="AG44" s="1103"/>
      <c r="AH44" s="1103"/>
      <c r="AI44" s="1103"/>
      <c r="AJ44" s="1103"/>
      <c r="AK44" s="1103"/>
      <c r="AL44" s="1103"/>
      <c r="AM44" s="1103"/>
      <c r="AN44" s="1103"/>
      <c r="AO44" s="1110"/>
    </row>
    <row r="122" spans="29:42" x14ac:dyDescent="0.25">
      <c r="AC122" s="1103"/>
      <c r="AD122" s="1103"/>
      <c r="AE122" s="1103"/>
      <c r="AF122" s="1103"/>
      <c r="AG122" s="1103"/>
      <c r="AH122" s="1103"/>
      <c r="AI122" s="1103"/>
      <c r="AJ122" s="1103"/>
      <c r="AK122" s="1103"/>
      <c r="AL122" s="1103"/>
      <c r="AM122" s="1103"/>
      <c r="AN122" s="1103"/>
      <c r="AO122" s="1103"/>
      <c r="AP122" s="1110"/>
    </row>
    <row r="123" spans="29:42" x14ac:dyDescent="0.25">
      <c r="AC123" s="1103"/>
      <c r="AD123" s="1103"/>
      <c r="AE123" s="1103"/>
      <c r="AF123" s="1103"/>
      <c r="AG123" s="1103"/>
      <c r="AH123" s="1103"/>
      <c r="AI123" s="1103"/>
      <c r="AJ123" s="1103"/>
      <c r="AK123" s="1103"/>
      <c r="AL123" s="1103"/>
      <c r="AM123" s="1103"/>
      <c r="AN123" s="1103"/>
      <c r="AO123" s="1103"/>
      <c r="AP123" s="1110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E17" sqref="E17"/>
    </sheetView>
  </sheetViews>
  <sheetFormatPr defaultColWidth="8.5703125" defaultRowHeight="15" x14ac:dyDescent="0.25"/>
  <cols>
    <col min="1" max="1" width="4.42578125" style="917" customWidth="1"/>
    <col min="2" max="2" width="38.42578125" style="917" customWidth="1"/>
    <col min="3" max="4" width="13.5703125" style="917" customWidth="1"/>
    <col min="5" max="5" width="21" style="917" customWidth="1"/>
    <col min="6" max="6" width="10" style="917" customWidth="1"/>
    <col min="7" max="7" width="16.42578125" style="917" customWidth="1"/>
    <col min="8" max="8" width="19.42578125" style="917" customWidth="1"/>
    <col min="9" max="9" width="16.42578125" style="917" bestFit="1" customWidth="1"/>
    <col min="10" max="10" width="12.42578125" style="917" customWidth="1"/>
    <col min="11" max="11" width="17.42578125" style="917" bestFit="1" customWidth="1"/>
    <col min="12" max="12" width="12.42578125" style="917" customWidth="1"/>
    <col min="13" max="13" width="10.5703125" style="917" bestFit="1" customWidth="1"/>
    <col min="14" max="14" width="20.42578125" style="917" bestFit="1" customWidth="1"/>
    <col min="15" max="15" width="14.42578125" style="917" customWidth="1"/>
    <col min="16" max="28" width="7.5703125" style="917" customWidth="1"/>
    <col min="29" max="29" width="11" style="917" customWidth="1"/>
    <col min="30" max="41" width="13.42578125" style="917" hidden="1" customWidth="1"/>
    <col min="42" max="42" width="15.5703125" style="917" customWidth="1"/>
    <col min="43" max="16384" width="8.5703125" style="917"/>
  </cols>
  <sheetData>
    <row r="2" spans="2:41" ht="20.85" customHeight="1" x14ac:dyDescent="0.25">
      <c r="B2" s="1111" t="s">
        <v>604</v>
      </c>
      <c r="C2" s="1080"/>
      <c r="E2" s="1080"/>
      <c r="F2" s="1080"/>
      <c r="G2" s="917" t="s">
        <v>564</v>
      </c>
      <c r="H2" s="1186">
        <f>'SUMMARY HPP '!I9</f>
        <v>15546</v>
      </c>
    </row>
    <row r="3" spans="2:41" x14ac:dyDescent="0.25">
      <c r="B3" s="1081" t="s">
        <v>386</v>
      </c>
      <c r="C3" s="2209" t="s">
        <v>219</v>
      </c>
      <c r="D3" s="2210"/>
      <c r="E3" s="1082" t="s">
        <v>590</v>
      </c>
      <c r="F3" s="2211" t="s">
        <v>566</v>
      </c>
      <c r="G3" s="2212"/>
      <c r="H3" s="1083" t="s">
        <v>567</v>
      </c>
    </row>
    <row r="4" spans="2:41" x14ac:dyDescent="0.25">
      <c r="B4" s="1084" t="s">
        <v>604</v>
      </c>
      <c r="C4" s="1085">
        <f>1000/24</f>
        <v>41.666666666666664</v>
      </c>
      <c r="D4" s="1086" t="s">
        <v>592</v>
      </c>
      <c r="E4" s="1191">
        <f>'Desember 2024'!AM258</f>
        <v>1800.1</v>
      </c>
      <c r="F4" s="2217"/>
      <c r="G4" s="2218"/>
      <c r="H4" s="1083" t="s">
        <v>271</v>
      </c>
    </row>
    <row r="5" spans="2:41" x14ac:dyDescent="0.25">
      <c r="B5" s="1095" t="s">
        <v>605</v>
      </c>
      <c r="C5" s="1096"/>
      <c r="D5" s="1097"/>
      <c r="E5" s="1098"/>
      <c r="F5" s="1096">
        <v>8700</v>
      </c>
      <c r="G5" s="1097" t="s">
        <v>582</v>
      </c>
      <c r="H5" s="1099">
        <f>F5*E4</f>
        <v>15660870</v>
      </c>
    </row>
    <row r="6" spans="2:41" x14ac:dyDescent="0.25">
      <c r="B6" s="1100" t="s">
        <v>606</v>
      </c>
      <c r="C6" s="1101">
        <v>0.1</v>
      </c>
      <c r="D6" s="1097" t="s">
        <v>237</v>
      </c>
      <c r="E6" s="1102">
        <f>C6</f>
        <v>0.1</v>
      </c>
      <c r="F6" s="1096">
        <v>44500</v>
      </c>
      <c r="G6" s="1097" t="s">
        <v>595</v>
      </c>
      <c r="H6" s="1099">
        <f t="shared" ref="H6:H11" si="0">E6*F6</f>
        <v>4450</v>
      </c>
    </row>
    <row r="7" spans="2:41" x14ac:dyDescent="0.25">
      <c r="B7" s="1100" t="s">
        <v>607</v>
      </c>
      <c r="C7" s="1101">
        <v>0.1</v>
      </c>
      <c r="D7" s="1097" t="s">
        <v>237</v>
      </c>
      <c r="E7" s="1102">
        <f>C7</f>
        <v>0.1</v>
      </c>
      <c r="F7" s="1096">
        <v>65340</v>
      </c>
      <c r="G7" s="1097" t="s">
        <v>595</v>
      </c>
      <c r="H7" s="1099">
        <f t="shared" si="0"/>
        <v>6534</v>
      </c>
    </row>
    <row r="8" spans="2:41" x14ac:dyDescent="0.25">
      <c r="B8" s="1100" t="s">
        <v>608</v>
      </c>
      <c r="C8" s="1101">
        <v>0.1</v>
      </c>
      <c r="D8" s="1097" t="s">
        <v>237</v>
      </c>
      <c r="E8" s="1102">
        <f>C8</f>
        <v>0.1</v>
      </c>
      <c r="F8" s="1096">
        <v>33275</v>
      </c>
      <c r="G8" s="1097" t="s">
        <v>595</v>
      </c>
      <c r="H8" s="1099">
        <f t="shared" si="0"/>
        <v>3327.5</v>
      </c>
    </row>
    <row r="9" spans="2:41" x14ac:dyDescent="0.25">
      <c r="B9" s="1100" t="s">
        <v>609</v>
      </c>
      <c r="C9" s="1101">
        <v>0.1</v>
      </c>
      <c r="D9" s="1097" t="s">
        <v>237</v>
      </c>
      <c r="E9" s="1102">
        <f>C9</f>
        <v>0.1</v>
      </c>
      <c r="F9" s="1096">
        <v>47450</v>
      </c>
      <c r="G9" s="1097" t="s">
        <v>595</v>
      </c>
      <c r="H9" s="1099">
        <f t="shared" si="0"/>
        <v>4745</v>
      </c>
    </row>
    <row r="10" spans="2:41" x14ac:dyDescent="0.25">
      <c r="B10" s="1095" t="s">
        <v>135</v>
      </c>
      <c r="C10" s="1119">
        <v>8896</v>
      </c>
      <c r="D10" s="1097" t="s">
        <v>249</v>
      </c>
      <c r="E10" s="1102">
        <f>C10</f>
        <v>8896</v>
      </c>
      <c r="F10" s="1096">
        <f>[29]UP.E!C28</f>
        <v>1550</v>
      </c>
      <c r="G10" s="1097" t="s">
        <v>602</v>
      </c>
      <c r="H10" s="1099">
        <f t="shared" si="0"/>
        <v>13788800</v>
      </c>
    </row>
    <row r="11" spans="2:41" x14ac:dyDescent="0.25">
      <c r="B11" s="1095" t="s">
        <v>583</v>
      </c>
      <c r="C11" s="1096"/>
      <c r="D11" s="1097" t="s">
        <v>271</v>
      </c>
      <c r="E11" s="1098"/>
      <c r="F11" s="1096"/>
      <c r="G11" s="1097"/>
      <c r="H11" s="1123">
        <f t="shared" si="0"/>
        <v>0</v>
      </c>
      <c r="I11" s="1120"/>
      <c r="J11" s="1094"/>
    </row>
    <row r="12" spans="2:41" x14ac:dyDescent="0.25">
      <c r="B12" s="1105"/>
      <c r="C12" s="1106"/>
      <c r="D12" s="1107"/>
      <c r="E12" s="1106"/>
      <c r="F12" s="1106"/>
      <c r="G12" s="1107"/>
      <c r="H12" s="1121">
        <f>IFERROR(SUM(H5:H11),"")</f>
        <v>29468726.5</v>
      </c>
      <c r="I12" s="1122"/>
      <c r="J12" s="1103"/>
    </row>
    <row r="13" spans="2:41" x14ac:dyDescent="0.25">
      <c r="C13" s="1080"/>
      <c r="E13" s="1080"/>
      <c r="F13" s="2215" t="s">
        <v>603</v>
      </c>
      <c r="G13" s="2216"/>
      <c r="H13" s="1109">
        <f>H12/E4</f>
        <v>16370.605244153103</v>
      </c>
    </row>
    <row r="14" spans="2:41" x14ac:dyDescent="0.25">
      <c r="M14" s="1103"/>
    </row>
    <row r="15" spans="2:41" x14ac:dyDescent="0.25">
      <c r="M15" s="1103"/>
      <c r="O15" s="1103"/>
      <c r="P15" s="1103"/>
      <c r="Q15" s="1103"/>
      <c r="R15" s="1103"/>
      <c r="S15" s="1103"/>
      <c r="T15" s="1103"/>
      <c r="U15" s="1103"/>
      <c r="V15" s="1103"/>
      <c r="W15" s="1103"/>
      <c r="X15" s="1103"/>
      <c r="Y15" s="1103"/>
      <c r="Z15" s="1103"/>
      <c r="AA15" s="1103"/>
      <c r="AB15" s="1103"/>
      <c r="AC15" s="1103"/>
      <c r="AD15" s="1103"/>
      <c r="AE15" s="1103"/>
      <c r="AF15" s="1103"/>
      <c r="AG15" s="1103"/>
      <c r="AH15" s="1103"/>
      <c r="AI15" s="1103"/>
      <c r="AJ15" s="1103"/>
      <c r="AK15" s="1103"/>
      <c r="AL15" s="1103"/>
      <c r="AM15" s="1103"/>
      <c r="AN15" s="1103"/>
      <c r="AO15" s="1103"/>
    </row>
    <row r="16" spans="2:41" x14ac:dyDescent="0.25">
      <c r="M16" s="1103"/>
      <c r="O16" s="1103"/>
      <c r="P16" s="1103"/>
      <c r="Q16" s="1103"/>
      <c r="R16" s="1103"/>
      <c r="S16" s="1103"/>
      <c r="T16" s="1103"/>
      <c r="U16" s="1103"/>
      <c r="V16" s="1103"/>
      <c r="W16" s="1103"/>
      <c r="X16" s="1103"/>
      <c r="Y16" s="1103"/>
      <c r="Z16" s="1103"/>
      <c r="AA16" s="1103"/>
      <c r="AB16" s="1103"/>
      <c r="AC16" s="1103"/>
      <c r="AD16" s="1103"/>
      <c r="AE16" s="1103"/>
      <c r="AF16" s="1103"/>
      <c r="AG16" s="1103"/>
      <c r="AH16" s="1103"/>
      <c r="AI16" s="1103"/>
      <c r="AJ16" s="1103"/>
      <c r="AK16" s="1103"/>
      <c r="AL16" s="1103"/>
      <c r="AM16" s="1103"/>
      <c r="AN16" s="1103"/>
      <c r="AO16" s="1103"/>
    </row>
    <row r="17" spans="3:41" x14ac:dyDescent="0.25">
      <c r="M17" s="1103"/>
    </row>
    <row r="18" spans="3:41" x14ac:dyDescent="0.25">
      <c r="M18" s="1103"/>
      <c r="N18" s="1103"/>
    </row>
    <row r="19" spans="3:41" x14ac:dyDescent="0.25">
      <c r="M19" s="1103"/>
      <c r="N19" s="1103"/>
    </row>
    <row r="20" spans="3:41" x14ac:dyDescent="0.25">
      <c r="M20" s="1103"/>
    </row>
    <row r="21" spans="3:41" x14ac:dyDescent="0.25">
      <c r="M21" s="1103"/>
    </row>
    <row r="25" spans="3:41" x14ac:dyDescent="0.25">
      <c r="C25" s="917" t="s">
        <v>588</v>
      </c>
    </row>
    <row r="28" spans="3:41" x14ac:dyDescent="0.25">
      <c r="AB28" s="1103"/>
      <c r="AC28" s="1103"/>
      <c r="AD28" s="1103"/>
      <c r="AE28" s="1103"/>
      <c r="AF28" s="1103"/>
      <c r="AG28" s="1103"/>
      <c r="AH28" s="1103"/>
      <c r="AI28" s="1103"/>
      <c r="AJ28" s="1103"/>
      <c r="AK28" s="1103"/>
      <c r="AL28" s="1103"/>
      <c r="AM28" s="1103"/>
      <c r="AN28" s="1103"/>
      <c r="AO28" s="1110"/>
    </row>
    <row r="29" spans="3:41" x14ac:dyDescent="0.25">
      <c r="AB29" s="1103"/>
      <c r="AC29" s="1103"/>
      <c r="AD29" s="1103"/>
      <c r="AE29" s="1103"/>
      <c r="AF29" s="1103"/>
      <c r="AG29" s="1103"/>
      <c r="AH29" s="1103"/>
      <c r="AI29" s="1103"/>
      <c r="AJ29" s="1103"/>
      <c r="AK29" s="1103"/>
      <c r="AL29" s="1103"/>
      <c r="AM29" s="1103"/>
      <c r="AN29" s="1103"/>
      <c r="AO29" s="1110"/>
    </row>
    <row r="30" spans="3:41" x14ac:dyDescent="0.25">
      <c r="AB30" s="1103"/>
      <c r="AC30" s="1103"/>
      <c r="AD30" s="1103"/>
      <c r="AE30" s="1103"/>
      <c r="AF30" s="1103"/>
      <c r="AG30" s="1103"/>
      <c r="AH30" s="1103"/>
      <c r="AI30" s="1103"/>
      <c r="AJ30" s="1103"/>
      <c r="AK30" s="1103"/>
      <c r="AL30" s="1103"/>
      <c r="AM30" s="1103"/>
      <c r="AN30" s="1103"/>
      <c r="AO30" s="1110"/>
    </row>
    <row r="31" spans="3:41" x14ac:dyDescent="0.25">
      <c r="AB31" s="1103"/>
      <c r="AC31" s="1103"/>
      <c r="AD31" s="1103"/>
      <c r="AE31" s="1103"/>
      <c r="AF31" s="1103"/>
      <c r="AG31" s="1103"/>
      <c r="AH31" s="1103"/>
      <c r="AI31" s="1103"/>
      <c r="AJ31" s="1103"/>
      <c r="AK31" s="1103"/>
      <c r="AL31" s="1103"/>
      <c r="AM31" s="1103"/>
      <c r="AN31" s="1103"/>
      <c r="AO31" s="1110"/>
    </row>
    <row r="32" spans="3:41" x14ac:dyDescent="0.25">
      <c r="AB32" s="1103"/>
      <c r="AC32" s="1103"/>
      <c r="AD32" s="1103"/>
      <c r="AE32" s="1103"/>
      <c r="AF32" s="1103"/>
      <c r="AG32" s="1103"/>
      <c r="AH32" s="1103"/>
      <c r="AI32" s="1103"/>
      <c r="AJ32" s="1103"/>
      <c r="AK32" s="1103"/>
      <c r="AL32" s="1103"/>
      <c r="AM32" s="1103"/>
      <c r="AN32" s="1103"/>
      <c r="AO32" s="1110"/>
    </row>
    <row r="33" spans="28:41" x14ac:dyDescent="0.25">
      <c r="AB33" s="1103"/>
      <c r="AC33" s="1103"/>
      <c r="AD33" s="1103"/>
      <c r="AE33" s="1103"/>
      <c r="AF33" s="1103"/>
      <c r="AG33" s="1103"/>
      <c r="AH33" s="1103"/>
      <c r="AI33" s="1103"/>
      <c r="AJ33" s="1103"/>
      <c r="AK33" s="1103"/>
      <c r="AL33" s="1103"/>
      <c r="AM33" s="1103"/>
      <c r="AN33" s="1103"/>
      <c r="AO33" s="1110"/>
    </row>
    <row r="34" spans="28:41" x14ac:dyDescent="0.25">
      <c r="AB34" s="1103"/>
      <c r="AC34" s="1103"/>
      <c r="AD34" s="1103"/>
      <c r="AE34" s="1103"/>
      <c r="AF34" s="1103"/>
      <c r="AG34" s="1103"/>
      <c r="AH34" s="1103"/>
      <c r="AI34" s="1103"/>
      <c r="AJ34" s="1103"/>
      <c r="AK34" s="1103"/>
      <c r="AL34" s="1103"/>
      <c r="AM34" s="1103"/>
      <c r="AN34" s="1103"/>
      <c r="AO34" s="1110"/>
    </row>
    <row r="35" spans="28:41" x14ac:dyDescent="0.25">
      <c r="AB35" s="1103"/>
      <c r="AC35" s="1103"/>
      <c r="AD35" s="1103"/>
      <c r="AE35" s="1103"/>
      <c r="AF35" s="1103"/>
      <c r="AG35" s="1103"/>
      <c r="AH35" s="1103"/>
      <c r="AI35" s="1103"/>
      <c r="AJ35" s="1103"/>
      <c r="AK35" s="1103"/>
      <c r="AL35" s="1103"/>
      <c r="AM35" s="1103"/>
      <c r="AN35" s="1103"/>
      <c r="AO35" s="1110"/>
    </row>
    <row r="36" spans="28:41" x14ac:dyDescent="0.25">
      <c r="AB36" s="1103"/>
      <c r="AC36" s="1103"/>
      <c r="AD36" s="1103"/>
      <c r="AE36" s="1103"/>
      <c r="AF36" s="1103"/>
      <c r="AG36" s="1103"/>
      <c r="AH36" s="1103"/>
      <c r="AI36" s="1103"/>
      <c r="AJ36" s="1103"/>
      <c r="AK36" s="1103"/>
      <c r="AL36" s="1103"/>
      <c r="AM36" s="1103"/>
      <c r="AN36" s="1103"/>
      <c r="AO36" s="1110"/>
    </row>
    <row r="37" spans="28:41" x14ac:dyDescent="0.25">
      <c r="AB37" s="1103"/>
      <c r="AC37" s="1103"/>
      <c r="AD37" s="1103"/>
      <c r="AE37" s="1103"/>
      <c r="AF37" s="1103"/>
      <c r="AG37" s="1103"/>
      <c r="AH37" s="1103"/>
      <c r="AI37" s="1103"/>
      <c r="AJ37" s="1103"/>
      <c r="AK37" s="1103"/>
      <c r="AL37" s="1103"/>
      <c r="AM37" s="1103"/>
      <c r="AN37" s="1103"/>
      <c r="AO37" s="1110"/>
    </row>
    <row r="38" spans="28:41" x14ac:dyDescent="0.25">
      <c r="AB38" s="1103"/>
      <c r="AC38" s="1103"/>
      <c r="AD38" s="1103"/>
      <c r="AE38" s="1103"/>
      <c r="AF38" s="1103"/>
      <c r="AG38" s="1103"/>
      <c r="AH38" s="1103"/>
      <c r="AI38" s="1103"/>
      <c r="AJ38" s="1103"/>
      <c r="AK38" s="1103"/>
      <c r="AL38" s="1103"/>
      <c r="AM38" s="1103"/>
      <c r="AN38" s="1103"/>
      <c r="AO38" s="1110"/>
    </row>
    <row r="39" spans="28:41" x14ac:dyDescent="0.25">
      <c r="AB39" s="1103"/>
      <c r="AC39" s="1103"/>
      <c r="AD39" s="1103"/>
      <c r="AE39" s="1103"/>
      <c r="AF39" s="1103"/>
      <c r="AG39" s="1103"/>
      <c r="AH39" s="1103"/>
      <c r="AI39" s="1103"/>
      <c r="AJ39" s="1103"/>
      <c r="AK39" s="1103"/>
      <c r="AL39" s="1103"/>
      <c r="AM39" s="1103"/>
      <c r="AN39" s="1103"/>
      <c r="AO39" s="1110"/>
    </row>
    <row r="40" spans="28:41" x14ac:dyDescent="0.25">
      <c r="AB40" s="1103"/>
      <c r="AC40" s="1103"/>
      <c r="AD40" s="1103"/>
      <c r="AE40" s="1103"/>
      <c r="AF40" s="1103"/>
      <c r="AG40" s="1103"/>
      <c r="AH40" s="1103"/>
      <c r="AI40" s="1103"/>
      <c r="AJ40" s="1103"/>
      <c r="AK40" s="1103"/>
      <c r="AL40" s="1103"/>
      <c r="AM40" s="1103"/>
      <c r="AN40" s="1103"/>
      <c r="AO40" s="1110"/>
    </row>
    <row r="118" spans="29:42" x14ac:dyDescent="0.25">
      <c r="AC118" s="1103"/>
      <c r="AD118" s="1103"/>
      <c r="AE118" s="1103"/>
      <c r="AF118" s="1103"/>
      <c r="AG118" s="1103"/>
      <c r="AH118" s="1103"/>
      <c r="AI118" s="1103"/>
      <c r="AJ118" s="1103"/>
      <c r="AK118" s="1103"/>
      <c r="AL118" s="1103"/>
      <c r="AM118" s="1103"/>
      <c r="AN118" s="1103"/>
      <c r="AO118" s="1103"/>
      <c r="AP118" s="1110"/>
    </row>
    <row r="119" spans="29:42" x14ac:dyDescent="0.25"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  <c r="AM119" s="1103"/>
      <c r="AN119" s="1103"/>
      <c r="AO119" s="1103"/>
      <c r="AP119" s="1110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64" workbookViewId="0">
      <selection activeCell="I115" sqref="I115"/>
    </sheetView>
  </sheetViews>
  <sheetFormatPr defaultColWidth="8.5703125" defaultRowHeight="15" x14ac:dyDescent="0.25"/>
  <cols>
    <col min="1" max="1" width="11" style="917" customWidth="1"/>
    <col min="2" max="2" width="63.7109375" style="917" customWidth="1"/>
    <col min="3" max="3" width="13.7109375" style="1080" customWidth="1"/>
    <col min="4" max="4" width="7.42578125" style="917" customWidth="1"/>
    <col min="5" max="5" width="18.42578125" style="917" customWidth="1"/>
    <col min="6" max="6" width="14.5703125" style="917" customWidth="1"/>
    <col min="7" max="7" width="11.42578125" style="917" customWidth="1"/>
    <col min="8" max="8" width="15.5703125" style="917" customWidth="1"/>
    <col min="9" max="9" width="13.5703125" style="917" customWidth="1"/>
    <col min="10" max="10" width="24.42578125" style="917" customWidth="1"/>
    <col min="11" max="11" width="12.42578125" style="917" customWidth="1"/>
    <col min="12" max="12" width="22.42578125" style="917" customWidth="1"/>
    <col min="13" max="16384" width="8.5703125" style="917"/>
  </cols>
  <sheetData>
    <row r="2" spans="2:12" ht="21.6" customHeight="1" x14ac:dyDescent="0.25">
      <c r="B2" s="1124" t="s">
        <v>610</v>
      </c>
      <c r="J2" s="1125"/>
      <c r="K2" s="1125"/>
    </row>
    <row r="3" spans="2:12" ht="18.600000000000001" customHeight="1" x14ac:dyDescent="0.25">
      <c r="B3" s="2222" t="s">
        <v>386</v>
      </c>
      <c r="C3" s="2222" t="s">
        <v>219</v>
      </c>
      <c r="D3" s="2222"/>
      <c r="E3" s="2224" t="s">
        <v>611</v>
      </c>
      <c r="F3" s="2222" t="s">
        <v>566</v>
      </c>
      <c r="G3" s="2222"/>
      <c r="H3" s="1126" t="s">
        <v>224</v>
      </c>
      <c r="K3" s="1103"/>
      <c r="L3" s="1127"/>
    </row>
    <row r="4" spans="2:12" ht="18.600000000000001" customHeight="1" x14ac:dyDescent="0.25">
      <c r="B4" s="2223"/>
      <c r="C4" s="2223"/>
      <c r="D4" s="2223"/>
      <c r="E4" s="2225"/>
      <c r="F4" s="2223"/>
      <c r="G4" s="2223"/>
      <c r="H4" s="1126" t="s">
        <v>612</v>
      </c>
      <c r="K4" s="1103"/>
    </row>
    <row r="5" spans="2:12" ht="18.600000000000001" customHeight="1" x14ac:dyDescent="0.25">
      <c r="B5" s="1128" t="s">
        <v>613</v>
      </c>
      <c r="C5" s="1129"/>
      <c r="D5" s="1129"/>
      <c r="E5" s="1130"/>
      <c r="F5" s="1131"/>
      <c r="G5" s="1129"/>
      <c r="H5" s="1131"/>
      <c r="K5" s="1103"/>
    </row>
    <row r="6" spans="2:12" x14ac:dyDescent="0.25">
      <c r="B6" s="1095" t="s">
        <v>614</v>
      </c>
      <c r="C6" s="408">
        <v>50</v>
      </c>
      <c r="D6" s="1132" t="s">
        <v>615</v>
      </c>
      <c r="E6" s="408">
        <f>C6</f>
        <v>50</v>
      </c>
      <c r="F6" s="1096">
        <v>374</v>
      </c>
      <c r="G6" s="1096" t="s">
        <v>615</v>
      </c>
      <c r="H6" s="1133">
        <f>E6*F6</f>
        <v>18700</v>
      </c>
      <c r="I6" s="1134"/>
      <c r="K6" s="1103"/>
    </row>
    <row r="7" spans="2:12" x14ac:dyDescent="0.25">
      <c r="B7" s="1095" t="s">
        <v>616</v>
      </c>
      <c r="C7" s="408">
        <v>2</v>
      </c>
      <c r="D7" s="1132" t="s">
        <v>617</v>
      </c>
      <c r="E7" s="408">
        <f>C7</f>
        <v>2</v>
      </c>
      <c r="F7" s="1096">
        <v>7250</v>
      </c>
      <c r="G7" s="1096" t="s">
        <v>617</v>
      </c>
      <c r="H7" s="1133">
        <f t="shared" ref="H7:H32" si="0">E7*F7</f>
        <v>14500</v>
      </c>
    </row>
    <row r="8" spans="2:12" x14ac:dyDescent="0.25">
      <c r="B8" s="1095" t="s">
        <v>618</v>
      </c>
      <c r="C8" s="408">
        <v>0.5</v>
      </c>
      <c r="D8" s="1132" t="s">
        <v>615</v>
      </c>
      <c r="E8" s="408">
        <f t="shared" ref="E8:E32" si="1">C8</f>
        <v>0.5</v>
      </c>
      <c r="F8" s="1096">
        <v>500</v>
      </c>
      <c r="G8" s="1096" t="s">
        <v>615</v>
      </c>
      <c r="H8" s="1133">
        <f t="shared" si="0"/>
        <v>250</v>
      </c>
    </row>
    <row r="9" spans="2:12" x14ac:dyDescent="0.25">
      <c r="B9" s="1095" t="s">
        <v>619</v>
      </c>
      <c r="C9" s="408">
        <v>70</v>
      </c>
      <c r="D9" s="1132" t="s">
        <v>615</v>
      </c>
      <c r="E9" s="408">
        <f t="shared" si="1"/>
        <v>70</v>
      </c>
      <c r="F9" s="1096">
        <v>388</v>
      </c>
      <c r="G9" s="1096" t="s">
        <v>615</v>
      </c>
      <c r="H9" s="1133">
        <f t="shared" si="0"/>
        <v>27160</v>
      </c>
    </row>
    <row r="10" spans="2:12" x14ac:dyDescent="0.25">
      <c r="B10" s="1095" t="s">
        <v>620</v>
      </c>
      <c r="C10" s="408">
        <v>70</v>
      </c>
      <c r="D10" s="1132" t="s">
        <v>615</v>
      </c>
      <c r="E10" s="408">
        <f t="shared" si="1"/>
        <v>70</v>
      </c>
      <c r="F10" s="1096">
        <v>612</v>
      </c>
      <c r="G10" s="1096" t="s">
        <v>615</v>
      </c>
      <c r="H10" s="1133">
        <f t="shared" si="0"/>
        <v>42840</v>
      </c>
    </row>
    <row r="11" spans="2:12" x14ac:dyDescent="0.25">
      <c r="B11" s="1095" t="s">
        <v>621</v>
      </c>
      <c r="C11" s="408">
        <v>0.05</v>
      </c>
      <c r="D11" s="1132" t="s">
        <v>622</v>
      </c>
      <c r="E11" s="408">
        <f t="shared" si="1"/>
        <v>0.05</v>
      </c>
      <c r="F11" s="1096">
        <v>21000</v>
      </c>
      <c r="G11" s="1096" t="s">
        <v>622</v>
      </c>
      <c r="H11" s="1133">
        <f t="shared" si="0"/>
        <v>1050</v>
      </c>
    </row>
    <row r="12" spans="2:12" x14ac:dyDescent="0.25">
      <c r="B12" s="1095" t="s">
        <v>623</v>
      </c>
      <c r="C12" s="408">
        <v>2.6</v>
      </c>
      <c r="D12" s="1132" t="s">
        <v>615</v>
      </c>
      <c r="E12" s="408">
        <f t="shared" si="1"/>
        <v>2.6</v>
      </c>
      <c r="F12" s="1096">
        <v>236</v>
      </c>
      <c r="G12" s="1096" t="s">
        <v>615</v>
      </c>
      <c r="H12" s="1133">
        <f t="shared" si="0"/>
        <v>613.6</v>
      </c>
    </row>
    <row r="13" spans="2:12" x14ac:dyDescent="0.25">
      <c r="B13" s="1095" t="s">
        <v>624</v>
      </c>
      <c r="C13" s="408">
        <v>5.5</v>
      </c>
      <c r="D13" s="1132" t="s">
        <v>617</v>
      </c>
      <c r="E13" s="408">
        <f t="shared" si="1"/>
        <v>5.5</v>
      </c>
      <c r="F13" s="1096">
        <v>35000</v>
      </c>
      <c r="G13" s="1096" t="s">
        <v>617</v>
      </c>
      <c r="H13" s="1133">
        <f t="shared" si="0"/>
        <v>192500</v>
      </c>
    </row>
    <row r="14" spans="2:12" x14ac:dyDescent="0.25">
      <c r="B14" s="1095" t="s">
        <v>625</v>
      </c>
      <c r="C14" s="408">
        <v>150</v>
      </c>
      <c r="D14" s="1132" t="s">
        <v>615</v>
      </c>
      <c r="E14" s="408">
        <f t="shared" si="1"/>
        <v>150</v>
      </c>
      <c r="F14" s="1096">
        <v>480</v>
      </c>
      <c r="G14" s="1096" t="s">
        <v>615</v>
      </c>
      <c r="H14" s="1133">
        <f t="shared" si="0"/>
        <v>72000</v>
      </c>
    </row>
    <row r="15" spans="2:12" x14ac:dyDescent="0.25">
      <c r="B15" s="1095" t="s">
        <v>626</v>
      </c>
      <c r="C15" s="408">
        <v>0.3</v>
      </c>
      <c r="D15" s="1132" t="s">
        <v>622</v>
      </c>
      <c r="E15" s="408">
        <f t="shared" si="1"/>
        <v>0.3</v>
      </c>
      <c r="F15" s="1096">
        <v>6750</v>
      </c>
      <c r="G15" s="1096" t="s">
        <v>622</v>
      </c>
      <c r="H15" s="1133">
        <f t="shared" si="0"/>
        <v>2025</v>
      </c>
    </row>
    <row r="16" spans="2:12" x14ac:dyDescent="0.25">
      <c r="B16" s="1095" t="s">
        <v>627</v>
      </c>
      <c r="C16" s="408">
        <f>36/357</f>
        <v>0.10084033613445378</v>
      </c>
      <c r="D16" s="1132" t="s">
        <v>622</v>
      </c>
      <c r="E16" s="408">
        <f t="shared" si="1"/>
        <v>0.10084033613445378</v>
      </c>
      <c r="F16" s="1096">
        <v>90000</v>
      </c>
      <c r="G16" s="1096" t="s">
        <v>622</v>
      </c>
      <c r="H16" s="1133">
        <f t="shared" si="0"/>
        <v>9075.6302521008402</v>
      </c>
    </row>
    <row r="17" spans="2:8" x14ac:dyDescent="0.25">
      <c r="B17" s="1095" t="s">
        <v>628</v>
      </c>
      <c r="C17" s="408">
        <f>107/357</f>
        <v>0.29971988795518206</v>
      </c>
      <c r="D17" s="1132" t="s">
        <v>622</v>
      </c>
      <c r="E17" s="408">
        <f t="shared" si="1"/>
        <v>0.29971988795518206</v>
      </c>
      <c r="F17" s="1096">
        <v>3000</v>
      </c>
      <c r="G17" s="1096" t="s">
        <v>622</v>
      </c>
      <c r="H17" s="1133">
        <f t="shared" si="0"/>
        <v>899.15966386554624</v>
      </c>
    </row>
    <row r="18" spans="2:8" x14ac:dyDescent="0.25">
      <c r="B18" s="1095" t="s">
        <v>629</v>
      </c>
      <c r="C18" s="408">
        <v>0.1</v>
      </c>
      <c r="D18" s="1132" t="s">
        <v>615</v>
      </c>
      <c r="E18" s="408">
        <f t="shared" si="1"/>
        <v>0.1</v>
      </c>
      <c r="F18" s="1096">
        <v>70000</v>
      </c>
      <c r="G18" s="1096" t="s">
        <v>615</v>
      </c>
      <c r="H18" s="1133">
        <f t="shared" si="0"/>
        <v>7000</v>
      </c>
    </row>
    <row r="19" spans="2:8" x14ac:dyDescent="0.25">
      <c r="B19" s="1095" t="s">
        <v>630</v>
      </c>
      <c r="C19" s="408">
        <v>0.1</v>
      </c>
      <c r="D19" s="1132" t="s">
        <v>615</v>
      </c>
      <c r="E19" s="408">
        <f t="shared" si="1"/>
        <v>0.1</v>
      </c>
      <c r="F19" s="1096">
        <v>70000</v>
      </c>
      <c r="G19" s="1096" t="s">
        <v>615</v>
      </c>
      <c r="H19" s="1133">
        <f t="shared" si="0"/>
        <v>7000</v>
      </c>
    </row>
    <row r="20" spans="2:8" x14ac:dyDescent="0.25">
      <c r="B20" s="1095" t="s">
        <v>631</v>
      </c>
      <c r="C20" s="408">
        <v>0.5</v>
      </c>
      <c r="D20" s="1132" t="s">
        <v>617</v>
      </c>
      <c r="E20" s="408">
        <f t="shared" si="1"/>
        <v>0.5</v>
      </c>
      <c r="F20" s="1096">
        <v>19300</v>
      </c>
      <c r="G20" s="1096" t="s">
        <v>617</v>
      </c>
      <c r="H20" s="1133">
        <f t="shared" si="0"/>
        <v>9650</v>
      </c>
    </row>
    <row r="21" spans="2:8" x14ac:dyDescent="0.25">
      <c r="B21" s="1095" t="s">
        <v>632</v>
      </c>
      <c r="C21" s="408">
        <f>48/357</f>
        <v>0.13445378151260504</v>
      </c>
      <c r="D21" s="1132" t="s">
        <v>622</v>
      </c>
      <c r="E21" s="408">
        <f t="shared" si="1"/>
        <v>0.13445378151260504</v>
      </c>
      <c r="F21" s="1096">
        <v>7600</v>
      </c>
      <c r="G21" s="1096" t="s">
        <v>622</v>
      </c>
      <c r="H21" s="1133">
        <f t="shared" si="0"/>
        <v>1021.8487394957983</v>
      </c>
    </row>
    <row r="22" spans="2:8" x14ac:dyDescent="0.25">
      <c r="B22" s="1095" t="s">
        <v>633</v>
      </c>
      <c r="C22" s="408">
        <v>120</v>
      </c>
      <c r="D22" s="1132" t="s">
        <v>615</v>
      </c>
      <c r="E22" s="408">
        <f t="shared" si="1"/>
        <v>120</v>
      </c>
      <c r="F22" s="1096">
        <v>502</v>
      </c>
      <c r="G22" s="1096" t="s">
        <v>615</v>
      </c>
      <c r="H22" s="1133">
        <f t="shared" si="0"/>
        <v>60240</v>
      </c>
    </row>
    <row r="23" spans="2:8" x14ac:dyDescent="0.25">
      <c r="B23" s="1095" t="s">
        <v>634</v>
      </c>
      <c r="C23" s="1135">
        <v>0.02</v>
      </c>
      <c r="D23" s="1132" t="s">
        <v>635</v>
      </c>
      <c r="E23" s="1135">
        <f t="shared" si="1"/>
        <v>0.02</v>
      </c>
      <c r="F23" s="1096">
        <v>5000000</v>
      </c>
      <c r="G23" s="1096" t="s">
        <v>635</v>
      </c>
      <c r="H23" s="1133">
        <f t="shared" si="0"/>
        <v>100000</v>
      </c>
    </row>
    <row r="24" spans="2:8" x14ac:dyDescent="0.25">
      <c r="B24" s="1095" t="s">
        <v>636</v>
      </c>
      <c r="C24" s="1135">
        <v>0.03</v>
      </c>
      <c r="D24" s="1132" t="s">
        <v>635</v>
      </c>
      <c r="E24" s="1135">
        <f t="shared" si="1"/>
        <v>0.03</v>
      </c>
      <c r="F24" s="1096">
        <v>2500000</v>
      </c>
      <c r="G24" s="1096" t="s">
        <v>635</v>
      </c>
      <c r="H24" s="1133">
        <f t="shared" si="0"/>
        <v>75000</v>
      </c>
    </row>
    <row r="25" spans="2:8" x14ac:dyDescent="0.25">
      <c r="B25" s="1095" t="s">
        <v>637</v>
      </c>
      <c r="C25" s="1135">
        <v>0.03</v>
      </c>
      <c r="D25" s="1132" t="s">
        <v>635</v>
      </c>
      <c r="E25" s="1135">
        <f t="shared" si="1"/>
        <v>0.03</v>
      </c>
      <c r="F25" s="1096">
        <v>1250000</v>
      </c>
      <c r="G25" s="1096" t="s">
        <v>635</v>
      </c>
      <c r="H25" s="1133">
        <f t="shared" si="0"/>
        <v>37500</v>
      </c>
    </row>
    <row r="26" spans="2:8" x14ac:dyDescent="0.25">
      <c r="B26" s="1095" t="s">
        <v>638</v>
      </c>
      <c r="C26" s="408">
        <f>179/357</f>
        <v>0.50140056022408963</v>
      </c>
      <c r="D26" s="1132" t="s">
        <v>622</v>
      </c>
      <c r="E26" s="408">
        <f t="shared" si="1"/>
        <v>0.50140056022408963</v>
      </c>
      <c r="F26" s="1096">
        <v>2000</v>
      </c>
      <c r="G26" s="1096" t="s">
        <v>622</v>
      </c>
      <c r="H26" s="1133">
        <f t="shared" si="0"/>
        <v>1002.8011204481793</v>
      </c>
    </row>
    <row r="27" spans="2:8" x14ac:dyDescent="0.25">
      <c r="B27" s="1095" t="s">
        <v>639</v>
      </c>
      <c r="C27" s="408">
        <f>250/357</f>
        <v>0.70028011204481788</v>
      </c>
      <c r="D27" s="1132" t="s">
        <v>622</v>
      </c>
      <c r="E27" s="408">
        <f t="shared" si="1"/>
        <v>0.70028011204481788</v>
      </c>
      <c r="F27" s="1096">
        <v>765</v>
      </c>
      <c r="G27" s="1096" t="s">
        <v>622</v>
      </c>
      <c r="H27" s="1133">
        <f t="shared" si="0"/>
        <v>535.71428571428567</v>
      </c>
    </row>
    <row r="28" spans="2:8" x14ac:dyDescent="0.25">
      <c r="B28" s="1095" t="s">
        <v>640</v>
      </c>
      <c r="C28" s="408">
        <f>250/357</f>
        <v>0.70028011204481788</v>
      </c>
      <c r="D28" s="1132" t="s">
        <v>622</v>
      </c>
      <c r="E28" s="408">
        <f t="shared" si="1"/>
        <v>0.70028011204481788</v>
      </c>
      <c r="F28" s="1096">
        <v>5200</v>
      </c>
      <c r="G28" s="1096" t="s">
        <v>622</v>
      </c>
      <c r="H28" s="1133">
        <f t="shared" si="0"/>
        <v>3641.4565826330531</v>
      </c>
    </row>
    <row r="29" spans="2:8" x14ac:dyDescent="0.25">
      <c r="B29" s="1095" t="s">
        <v>641</v>
      </c>
      <c r="C29" s="408">
        <f>6069/357</f>
        <v>17</v>
      </c>
      <c r="D29" s="1132" t="s">
        <v>622</v>
      </c>
      <c r="E29" s="408">
        <f t="shared" si="1"/>
        <v>17</v>
      </c>
      <c r="F29" s="1096">
        <v>950</v>
      </c>
      <c r="G29" s="1096" t="s">
        <v>622</v>
      </c>
      <c r="H29" s="1133">
        <f t="shared" si="0"/>
        <v>16150</v>
      </c>
    </row>
    <row r="30" spans="2:8" x14ac:dyDescent="0.25">
      <c r="B30" s="1095" t="s">
        <v>642</v>
      </c>
      <c r="C30" s="408">
        <v>12</v>
      </c>
      <c r="D30" s="1132" t="s">
        <v>622</v>
      </c>
      <c r="E30" s="408">
        <f t="shared" si="1"/>
        <v>12</v>
      </c>
      <c r="F30" s="1096">
        <v>2400</v>
      </c>
      <c r="G30" s="1096" t="s">
        <v>622</v>
      </c>
      <c r="H30" s="1133">
        <f t="shared" si="0"/>
        <v>28800</v>
      </c>
    </row>
    <row r="31" spans="2:8" x14ac:dyDescent="0.25">
      <c r="B31" s="1095" t="s">
        <v>643</v>
      </c>
      <c r="C31" s="408">
        <f>357/357</f>
        <v>1</v>
      </c>
      <c r="D31" s="1132" t="s">
        <v>622</v>
      </c>
      <c r="E31" s="408">
        <f t="shared" si="1"/>
        <v>1</v>
      </c>
      <c r="F31" s="1096">
        <v>4200</v>
      </c>
      <c r="G31" s="1096" t="s">
        <v>622</v>
      </c>
      <c r="H31" s="1133">
        <f t="shared" si="0"/>
        <v>4200</v>
      </c>
    </row>
    <row r="32" spans="2:8" ht="15.75" thickBot="1" x14ac:dyDescent="0.3">
      <c r="B32" s="1095" t="s">
        <v>644</v>
      </c>
      <c r="C32" s="408">
        <f>6069/357</f>
        <v>17</v>
      </c>
      <c r="D32" s="1132" t="s">
        <v>622</v>
      </c>
      <c r="E32" s="408">
        <f t="shared" si="1"/>
        <v>17</v>
      </c>
      <c r="F32" s="1096">
        <v>700</v>
      </c>
      <c r="G32" s="1096" t="s">
        <v>622</v>
      </c>
      <c r="H32" s="1133">
        <f t="shared" si="0"/>
        <v>11900</v>
      </c>
    </row>
    <row r="33" spans="2:12" ht="21" customHeight="1" thickTop="1" thickBot="1" x14ac:dyDescent="0.3">
      <c r="B33" s="2219" t="s">
        <v>645</v>
      </c>
      <c r="C33" s="2220"/>
      <c r="D33" s="2220"/>
      <c r="E33" s="2220"/>
      <c r="F33" s="2220"/>
      <c r="G33" s="2221"/>
      <c r="H33" s="1136">
        <f>SUM(H6:H32)</f>
        <v>745255.21064425772</v>
      </c>
    </row>
    <row r="34" spans="2:12" x14ac:dyDescent="0.25">
      <c r="B34" s="343"/>
      <c r="C34" s="343"/>
      <c r="D34" s="343"/>
      <c r="E34" s="343"/>
      <c r="F34" s="343"/>
      <c r="G34" s="343"/>
      <c r="H34" s="343"/>
    </row>
    <row r="35" spans="2:12" ht="18.600000000000001" customHeight="1" x14ac:dyDescent="0.25">
      <c r="B35" s="2222" t="s">
        <v>386</v>
      </c>
      <c r="C35" s="2222" t="s">
        <v>219</v>
      </c>
      <c r="D35" s="2222"/>
      <c r="E35" s="2224" t="s">
        <v>646</v>
      </c>
      <c r="F35" s="2222" t="s">
        <v>566</v>
      </c>
      <c r="G35" s="2222"/>
      <c r="H35" s="1126" t="s">
        <v>387</v>
      </c>
      <c r="K35" s="1103"/>
      <c r="L35" s="1127"/>
    </row>
    <row r="36" spans="2:12" ht="18.600000000000001" customHeight="1" x14ac:dyDescent="0.25">
      <c r="B36" s="2223"/>
      <c r="C36" s="2223"/>
      <c r="D36" s="2223"/>
      <c r="E36" s="2225"/>
      <c r="F36" s="2223"/>
      <c r="G36" s="2223"/>
      <c r="H36" s="1126" t="s">
        <v>388</v>
      </c>
      <c r="K36" s="1103"/>
    </row>
    <row r="37" spans="2:12" ht="18.600000000000001" customHeight="1" x14ac:dyDescent="0.25">
      <c r="B37" s="1128" t="s">
        <v>647</v>
      </c>
      <c r="C37" s="1129"/>
      <c r="D37" s="1129"/>
      <c r="E37" s="1130"/>
      <c r="F37" s="1129"/>
      <c r="G37" s="1129"/>
      <c r="H37" s="1129"/>
      <c r="K37" s="1103"/>
    </row>
    <row r="38" spans="2:12" x14ac:dyDescent="0.25">
      <c r="B38" s="1095" t="s">
        <v>648</v>
      </c>
      <c r="C38" s="408">
        <f>286/357</f>
        <v>0.80112044817927175</v>
      </c>
      <c r="D38" s="1132" t="s">
        <v>622</v>
      </c>
      <c r="E38" s="408">
        <f t="shared" ref="E38:E53" si="2">C38</f>
        <v>0.80112044817927175</v>
      </c>
      <c r="F38" s="1096">
        <v>4000</v>
      </c>
      <c r="G38" s="1096" t="s">
        <v>622</v>
      </c>
      <c r="H38" s="1137">
        <f t="shared" ref="H38:H53" si="3">E38*F38</f>
        <v>3204.481792717087</v>
      </c>
    </row>
    <row r="39" spans="2:12" x14ac:dyDescent="0.25">
      <c r="B39" s="1095" t="s">
        <v>649</v>
      </c>
      <c r="C39" s="408">
        <f>1785/357</f>
        <v>5</v>
      </c>
      <c r="D39" s="1132" t="s">
        <v>650</v>
      </c>
      <c r="E39" s="408">
        <f t="shared" si="2"/>
        <v>5</v>
      </c>
      <c r="F39" s="1096">
        <v>10100</v>
      </c>
      <c r="G39" s="1096" t="s">
        <v>650</v>
      </c>
      <c r="H39" s="1137">
        <f t="shared" si="3"/>
        <v>50500</v>
      </c>
    </row>
    <row r="40" spans="2:12" x14ac:dyDescent="0.25">
      <c r="B40" s="1095" t="s">
        <v>651</v>
      </c>
      <c r="C40" s="408">
        <f>714/357</f>
        <v>2</v>
      </c>
      <c r="D40" s="1132" t="s">
        <v>652</v>
      </c>
      <c r="E40" s="408">
        <f t="shared" si="2"/>
        <v>2</v>
      </c>
      <c r="F40" s="1096">
        <v>8160</v>
      </c>
      <c r="G40" s="1096" t="s">
        <v>652</v>
      </c>
      <c r="H40" s="1137">
        <f t="shared" si="3"/>
        <v>16320</v>
      </c>
    </row>
    <row r="41" spans="2:12" x14ac:dyDescent="0.25">
      <c r="B41" s="1095" t="s">
        <v>653</v>
      </c>
      <c r="C41" s="408">
        <f>360/357</f>
        <v>1.0084033613445378</v>
      </c>
      <c r="D41" s="1132" t="s">
        <v>654</v>
      </c>
      <c r="E41" s="408">
        <f t="shared" si="2"/>
        <v>1.0084033613445378</v>
      </c>
      <c r="F41" s="1096">
        <v>26550</v>
      </c>
      <c r="G41" s="1096" t="s">
        <v>654</v>
      </c>
      <c r="H41" s="1137">
        <f t="shared" si="3"/>
        <v>26773.10924369748</v>
      </c>
    </row>
    <row r="42" spans="2:12" x14ac:dyDescent="0.25">
      <c r="B42" s="1095" t="s">
        <v>655</v>
      </c>
      <c r="C42" s="408">
        <f>714/357</f>
        <v>2</v>
      </c>
      <c r="D42" s="1132" t="s">
        <v>652</v>
      </c>
      <c r="E42" s="408">
        <f t="shared" si="2"/>
        <v>2</v>
      </c>
      <c r="F42" s="1096">
        <v>31700</v>
      </c>
      <c r="G42" s="1096" t="s">
        <v>652</v>
      </c>
      <c r="H42" s="1137">
        <f t="shared" si="3"/>
        <v>63400</v>
      </c>
    </row>
    <row r="43" spans="2:12" x14ac:dyDescent="0.25">
      <c r="B43" s="1095" t="s">
        <v>656</v>
      </c>
      <c r="C43" s="408">
        <v>2.5</v>
      </c>
      <c r="D43" s="1132" t="s">
        <v>652</v>
      </c>
      <c r="E43" s="408">
        <f t="shared" si="2"/>
        <v>2.5</v>
      </c>
      <c r="F43" s="1096">
        <v>31006</v>
      </c>
      <c r="G43" s="1096" t="s">
        <v>652</v>
      </c>
      <c r="H43" s="1137">
        <f t="shared" si="3"/>
        <v>77515</v>
      </c>
    </row>
    <row r="44" spans="2:12" x14ac:dyDescent="0.25">
      <c r="B44" s="1095" t="s">
        <v>657</v>
      </c>
      <c r="C44" s="408">
        <f>179/357</f>
        <v>0.50140056022408963</v>
      </c>
      <c r="D44" s="1132" t="s">
        <v>622</v>
      </c>
      <c r="E44" s="408">
        <f t="shared" si="2"/>
        <v>0.50140056022408963</v>
      </c>
      <c r="F44" s="1096">
        <v>11950</v>
      </c>
      <c r="G44" s="1096" t="s">
        <v>622</v>
      </c>
      <c r="H44" s="1137">
        <f t="shared" si="3"/>
        <v>5991.7366946778711</v>
      </c>
    </row>
    <row r="45" spans="2:12" x14ac:dyDescent="0.25">
      <c r="B45" s="1095" t="s">
        <v>658</v>
      </c>
      <c r="C45" s="408">
        <f>214/357</f>
        <v>0.59943977591036413</v>
      </c>
      <c r="D45" s="1132" t="s">
        <v>622</v>
      </c>
      <c r="E45" s="408">
        <f t="shared" si="2"/>
        <v>0.59943977591036413</v>
      </c>
      <c r="F45" s="1096">
        <v>2545</v>
      </c>
      <c r="G45" s="1096" t="s">
        <v>622</v>
      </c>
      <c r="H45" s="1137">
        <f t="shared" si="3"/>
        <v>1525.5742296918768</v>
      </c>
    </row>
    <row r="46" spans="2:12" x14ac:dyDescent="0.25">
      <c r="B46" s="1095" t="s">
        <v>659</v>
      </c>
      <c r="C46" s="408">
        <f>1714/357</f>
        <v>4.8011204481792715</v>
      </c>
      <c r="D46" s="1132" t="s">
        <v>660</v>
      </c>
      <c r="E46" s="408">
        <f t="shared" si="2"/>
        <v>4.8011204481792715</v>
      </c>
      <c r="F46" s="1096">
        <v>930</v>
      </c>
      <c r="G46" s="1096" t="s">
        <v>660</v>
      </c>
      <c r="H46" s="1137">
        <f t="shared" si="3"/>
        <v>4465.0420168067221</v>
      </c>
    </row>
    <row r="47" spans="2:12" x14ac:dyDescent="0.25">
      <c r="B47" s="1095" t="s">
        <v>661</v>
      </c>
      <c r="C47" s="408">
        <f>71/357</f>
        <v>0.19887955182072828</v>
      </c>
      <c r="D47" s="1132" t="s">
        <v>622</v>
      </c>
      <c r="E47" s="408">
        <f t="shared" si="2"/>
        <v>0.19887955182072828</v>
      </c>
      <c r="F47" s="1096">
        <v>21050</v>
      </c>
      <c r="G47" s="1096" t="s">
        <v>622</v>
      </c>
      <c r="H47" s="1137">
        <f t="shared" si="3"/>
        <v>4186.4145658263305</v>
      </c>
    </row>
    <row r="48" spans="2:12" x14ac:dyDescent="0.25">
      <c r="B48" s="1095" t="s">
        <v>662</v>
      </c>
      <c r="C48" s="408">
        <f>12/357</f>
        <v>3.3613445378151259E-2</v>
      </c>
      <c r="D48" s="1132" t="s">
        <v>622</v>
      </c>
      <c r="E48" s="408">
        <f t="shared" si="2"/>
        <v>3.3613445378151259E-2</v>
      </c>
      <c r="F48" s="1096">
        <v>12500</v>
      </c>
      <c r="G48" s="1096" t="s">
        <v>622</v>
      </c>
      <c r="H48" s="1137">
        <f t="shared" si="3"/>
        <v>420.16806722689074</v>
      </c>
    </row>
    <row r="49" spans="1:12" x14ac:dyDescent="0.25">
      <c r="B49" s="1095" t="s">
        <v>663</v>
      </c>
      <c r="C49" s="408">
        <v>0.08</v>
      </c>
      <c r="D49" s="1132" t="s">
        <v>660</v>
      </c>
      <c r="E49" s="408">
        <f t="shared" si="2"/>
        <v>0.08</v>
      </c>
      <c r="F49" s="1096">
        <v>8160</v>
      </c>
      <c r="G49" s="1096" t="s">
        <v>660</v>
      </c>
      <c r="H49" s="1137">
        <f t="shared" si="3"/>
        <v>652.80000000000007</v>
      </c>
    </row>
    <row r="50" spans="1:12" x14ac:dyDescent="0.25">
      <c r="B50" s="1095" t="s">
        <v>664</v>
      </c>
      <c r="C50" s="408">
        <f>12/357</f>
        <v>3.3613445378151259E-2</v>
      </c>
      <c r="D50" s="1132" t="s">
        <v>622</v>
      </c>
      <c r="E50" s="408">
        <f t="shared" si="2"/>
        <v>3.3613445378151259E-2</v>
      </c>
      <c r="F50" s="1096">
        <v>23400</v>
      </c>
      <c r="G50" s="1096" t="s">
        <v>622</v>
      </c>
      <c r="H50" s="1137">
        <f t="shared" si="3"/>
        <v>786.55462184873943</v>
      </c>
    </row>
    <row r="51" spans="1:12" x14ac:dyDescent="0.25">
      <c r="B51" s="1095" t="s">
        <v>665</v>
      </c>
      <c r="C51" s="408">
        <f>12/357</f>
        <v>3.3613445378151259E-2</v>
      </c>
      <c r="D51" s="1132" t="s">
        <v>622</v>
      </c>
      <c r="E51" s="408">
        <f t="shared" si="2"/>
        <v>3.3613445378151259E-2</v>
      </c>
      <c r="F51" s="1096">
        <v>50800</v>
      </c>
      <c r="G51" s="1096" t="s">
        <v>622</v>
      </c>
      <c r="H51" s="1137">
        <f t="shared" si="3"/>
        <v>1707.5630252100839</v>
      </c>
    </row>
    <row r="52" spans="1:12" x14ac:dyDescent="0.25">
      <c r="B52" s="1095" t="s">
        <v>666</v>
      </c>
      <c r="C52" s="408">
        <v>0.08</v>
      </c>
      <c r="D52" s="1132" t="s">
        <v>622</v>
      </c>
      <c r="E52" s="408">
        <f t="shared" si="2"/>
        <v>0.08</v>
      </c>
      <c r="F52" s="1096">
        <v>6250</v>
      </c>
      <c r="G52" s="1096" t="s">
        <v>622</v>
      </c>
      <c r="H52" s="1137">
        <f t="shared" si="3"/>
        <v>500</v>
      </c>
    </row>
    <row r="53" spans="1:12" ht="15.75" thickBot="1" x14ac:dyDescent="0.3">
      <c r="B53" s="1095" t="s">
        <v>667</v>
      </c>
      <c r="C53" s="408">
        <v>0.05</v>
      </c>
      <c r="D53" s="1132" t="s">
        <v>622</v>
      </c>
      <c r="E53" s="408">
        <f t="shared" si="2"/>
        <v>0.05</v>
      </c>
      <c r="F53" s="1096">
        <v>24260</v>
      </c>
      <c r="G53" s="1096" t="s">
        <v>622</v>
      </c>
      <c r="H53" s="1137">
        <f t="shared" si="3"/>
        <v>1213</v>
      </c>
    </row>
    <row r="54" spans="1:12" ht="16.5" thickTop="1" thickBot="1" x14ac:dyDescent="0.3">
      <c r="B54" s="2219" t="s">
        <v>645</v>
      </c>
      <c r="C54" s="2220"/>
      <c r="D54" s="2220"/>
      <c r="E54" s="2220"/>
      <c r="F54" s="2220"/>
      <c r="G54" s="2221"/>
      <c r="H54" s="1136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222" t="s">
        <v>386</v>
      </c>
      <c r="C56" s="2222" t="s">
        <v>219</v>
      </c>
      <c r="D56" s="2222"/>
      <c r="E56" s="2224" t="s">
        <v>646</v>
      </c>
      <c r="F56" s="2222" t="s">
        <v>566</v>
      </c>
      <c r="G56" s="2222"/>
      <c r="H56" s="1126" t="s">
        <v>387</v>
      </c>
      <c r="K56" s="1103"/>
      <c r="L56" s="1127"/>
    </row>
    <row r="57" spans="1:12" ht="18.600000000000001" customHeight="1" x14ac:dyDescent="0.25">
      <c r="B57" s="2223"/>
      <c r="C57" s="2223"/>
      <c r="D57" s="2223"/>
      <c r="E57" s="2225"/>
      <c r="F57" s="2223"/>
      <c r="G57" s="2223"/>
      <c r="H57" s="1126" t="s">
        <v>388</v>
      </c>
      <c r="K57" s="1103"/>
    </row>
    <row r="58" spans="1:12" ht="18.600000000000001" customHeight="1" x14ac:dyDescent="0.25">
      <c r="B58" s="1128" t="s">
        <v>368</v>
      </c>
      <c r="C58" s="1129"/>
      <c r="D58" s="1129"/>
      <c r="E58" s="1130"/>
      <c r="F58" s="1129"/>
      <c r="G58" s="1129"/>
      <c r="H58" s="1138"/>
      <c r="K58" s="1103"/>
    </row>
    <row r="59" spans="1:12" x14ac:dyDescent="0.25">
      <c r="B59" s="1095" t="s">
        <v>668</v>
      </c>
      <c r="C59" s="408">
        <f>59/357</f>
        <v>0.16526610644257703</v>
      </c>
      <c r="D59" s="1132" t="s">
        <v>652</v>
      </c>
      <c r="E59" s="408">
        <f>C59</f>
        <v>0.16526610644257703</v>
      </c>
      <c r="F59" s="1096">
        <v>82000</v>
      </c>
      <c r="G59" s="1096" t="s">
        <v>652</v>
      </c>
      <c r="H59" s="1137">
        <f>E59*F59</f>
        <v>13551.820728291315</v>
      </c>
    </row>
    <row r="60" spans="1:12" ht="15.75" thickBot="1" x14ac:dyDescent="0.3">
      <c r="B60" s="1095" t="s">
        <v>669</v>
      </c>
      <c r="C60" s="408">
        <f>59/357</f>
        <v>0.16526610644257703</v>
      </c>
      <c r="D60" s="1132" t="s">
        <v>652</v>
      </c>
      <c r="E60" s="408">
        <f>C60</f>
        <v>0.16526610644257703</v>
      </c>
      <c r="F60" s="1096">
        <v>82000</v>
      </c>
      <c r="G60" s="1096" t="s">
        <v>652</v>
      </c>
      <c r="H60" s="1137">
        <f>E60*F60</f>
        <v>13551.820728291315</v>
      </c>
    </row>
    <row r="61" spans="1:12" ht="16.5" thickTop="1" thickBot="1" x14ac:dyDescent="0.3">
      <c r="B61" s="2219" t="s">
        <v>645</v>
      </c>
      <c r="C61" s="2220"/>
      <c r="D61" s="2220"/>
      <c r="E61" s="2220"/>
      <c r="F61" s="2220"/>
      <c r="G61" s="2221"/>
      <c r="H61" s="1136">
        <f>SUM(H59:H60)</f>
        <v>27103.641456582631</v>
      </c>
    </row>
    <row r="62" spans="1:12" ht="16.5" thickTop="1" thickBot="1" x14ac:dyDescent="0.3">
      <c r="B62" s="1139"/>
      <c r="C62" s="1139"/>
      <c r="D62" s="1139"/>
      <c r="E62" s="1139"/>
      <c r="F62" s="1139"/>
      <c r="G62" s="1139"/>
      <c r="H62" s="1140"/>
    </row>
    <row r="63" spans="1:12" ht="15.75" thickTop="1" x14ac:dyDescent="0.25">
      <c r="B63" s="2228" t="s">
        <v>670</v>
      </c>
      <c r="C63" s="2229"/>
      <c r="D63" s="2229"/>
      <c r="E63" s="2229"/>
      <c r="F63" s="2229"/>
      <c r="G63" s="2229"/>
      <c r="H63" s="2232">
        <f>H61+H54+H33</f>
        <v>1031520.2963585434</v>
      </c>
    </row>
    <row r="64" spans="1:12" ht="6.6" customHeight="1" thickBot="1" x14ac:dyDescent="0.3">
      <c r="B64" s="2230"/>
      <c r="C64" s="2231"/>
      <c r="D64" s="2231"/>
      <c r="E64" s="2231"/>
      <c r="F64" s="2231"/>
      <c r="G64" s="2231"/>
      <c r="H64" s="2233"/>
    </row>
    <row r="65" spans="2:9" ht="15.75" thickTop="1" x14ac:dyDescent="0.25"/>
    <row r="67" spans="2:9" ht="21" x14ac:dyDescent="0.25">
      <c r="B67" s="974"/>
      <c r="C67" s="1124" t="s">
        <v>671</v>
      </c>
      <c r="D67" s="974"/>
      <c r="E67" s="974"/>
      <c r="F67" s="343"/>
      <c r="G67" s="974"/>
      <c r="H67" s="974"/>
      <c r="I67" s="974"/>
    </row>
    <row r="68" spans="2:9" x14ac:dyDescent="0.25">
      <c r="B68" s="2222" t="s">
        <v>99</v>
      </c>
      <c r="C68" s="2222" t="s">
        <v>386</v>
      </c>
      <c r="D68" s="2222" t="s">
        <v>219</v>
      </c>
      <c r="E68" s="2222"/>
      <c r="F68" s="2224" t="s">
        <v>646</v>
      </c>
      <c r="G68" s="2222" t="s">
        <v>566</v>
      </c>
      <c r="H68" s="2222"/>
      <c r="I68" s="1141" t="s">
        <v>387</v>
      </c>
    </row>
    <row r="69" spans="2:9" ht="15.75" thickBot="1" x14ac:dyDescent="0.3">
      <c r="B69" s="2223"/>
      <c r="C69" s="2223"/>
      <c r="D69" s="2223"/>
      <c r="E69" s="2223"/>
      <c r="F69" s="2225"/>
      <c r="G69" s="2223"/>
      <c r="H69" s="2223"/>
      <c r="I69" s="1141" t="s">
        <v>388</v>
      </c>
    </row>
    <row r="70" spans="2:9" ht="15.75" thickTop="1" x14ac:dyDescent="0.25">
      <c r="B70" s="1142">
        <v>1</v>
      </c>
      <c r="C70" s="1143" t="s">
        <v>672</v>
      </c>
      <c r="D70" s="1144">
        <v>12</v>
      </c>
      <c r="E70" s="1144" t="s">
        <v>673</v>
      </c>
      <c r="F70" s="1145">
        <f>D70/357</f>
        <v>3.3613445378151259E-2</v>
      </c>
      <c r="G70" s="1146">
        <v>35000</v>
      </c>
      <c r="H70" s="1146" t="s">
        <v>674</v>
      </c>
      <c r="I70" s="1147">
        <f>F70*G70</f>
        <v>1176.4705882352941</v>
      </c>
    </row>
    <row r="71" spans="2:9" x14ac:dyDescent="0.25">
      <c r="B71" s="1148">
        <f>B70+1</f>
        <v>2</v>
      </c>
      <c r="C71" s="1149" t="s">
        <v>675</v>
      </c>
      <c r="D71" s="1150">
        <v>72</v>
      </c>
      <c r="E71" s="1150" t="s">
        <v>673</v>
      </c>
      <c r="F71" s="1151">
        <f t="shared" ref="F71:F110" si="4">D71/357</f>
        <v>0.20168067226890757</v>
      </c>
      <c r="G71" s="1152">
        <v>48000</v>
      </c>
      <c r="H71" s="1152" t="s">
        <v>674</v>
      </c>
      <c r="I71" s="1153">
        <f t="shared" ref="I71:I110" si="5">F71*G71</f>
        <v>9680.6722689075632</v>
      </c>
    </row>
    <row r="72" spans="2:9" x14ac:dyDescent="0.25">
      <c r="B72" s="1148">
        <f t="shared" ref="B72:B110" si="6">B71+1</f>
        <v>3</v>
      </c>
      <c r="C72" s="1149" t="s">
        <v>676</v>
      </c>
      <c r="D72" s="1150">
        <v>12</v>
      </c>
      <c r="E72" s="1150" t="s">
        <v>673</v>
      </c>
      <c r="F72" s="1151">
        <f t="shared" si="4"/>
        <v>3.3613445378151259E-2</v>
      </c>
      <c r="G72" s="1152">
        <v>100000</v>
      </c>
      <c r="H72" s="1152" t="s">
        <v>674</v>
      </c>
      <c r="I72" s="1153">
        <f t="shared" si="5"/>
        <v>3361.3445378151259</v>
      </c>
    </row>
    <row r="73" spans="2:9" x14ac:dyDescent="0.25">
      <c r="B73" s="1148">
        <f t="shared" si="6"/>
        <v>4</v>
      </c>
      <c r="C73" s="1149" t="s">
        <v>677</v>
      </c>
      <c r="D73" s="1150">
        <v>6</v>
      </c>
      <c r="E73" s="1150" t="s">
        <v>673</v>
      </c>
      <c r="F73" s="1151">
        <f t="shared" si="4"/>
        <v>1.680672268907563E-2</v>
      </c>
      <c r="G73" s="1152">
        <v>120000</v>
      </c>
      <c r="H73" s="1152" t="s">
        <v>674</v>
      </c>
      <c r="I73" s="1153">
        <f t="shared" si="5"/>
        <v>2016.8067226890755</v>
      </c>
    </row>
    <row r="74" spans="2:9" x14ac:dyDescent="0.25">
      <c r="B74" s="1148">
        <f t="shared" si="6"/>
        <v>5</v>
      </c>
      <c r="C74" s="1149" t="s">
        <v>678</v>
      </c>
      <c r="D74" s="1150">
        <v>6</v>
      </c>
      <c r="E74" s="1150" t="s">
        <v>673</v>
      </c>
      <c r="F74" s="1151">
        <f t="shared" si="4"/>
        <v>1.680672268907563E-2</v>
      </c>
      <c r="G74" s="1152">
        <v>142000</v>
      </c>
      <c r="H74" s="1152" t="s">
        <v>674</v>
      </c>
      <c r="I74" s="1153">
        <f t="shared" si="5"/>
        <v>2386.5546218487393</v>
      </c>
    </row>
    <row r="75" spans="2:9" x14ac:dyDescent="0.25">
      <c r="B75" s="1148">
        <f t="shared" si="6"/>
        <v>6</v>
      </c>
      <c r="C75" s="1149" t="s">
        <v>679</v>
      </c>
      <c r="D75" s="1150">
        <v>6</v>
      </c>
      <c r="E75" s="1150" t="s">
        <v>673</v>
      </c>
      <c r="F75" s="1151">
        <f t="shared" si="4"/>
        <v>1.680672268907563E-2</v>
      </c>
      <c r="G75" s="1152">
        <v>70000</v>
      </c>
      <c r="H75" s="1152" t="s">
        <v>674</v>
      </c>
      <c r="I75" s="1153">
        <f t="shared" si="5"/>
        <v>1176.4705882352941</v>
      </c>
    </row>
    <row r="76" spans="2:9" x14ac:dyDescent="0.25">
      <c r="B76" s="1148">
        <f t="shared" si="6"/>
        <v>7</v>
      </c>
      <c r="C76" s="1149" t="s">
        <v>680</v>
      </c>
      <c r="D76" s="1150">
        <v>6</v>
      </c>
      <c r="E76" s="1150" t="s">
        <v>673</v>
      </c>
      <c r="F76" s="1151">
        <f t="shared" si="4"/>
        <v>1.680672268907563E-2</v>
      </c>
      <c r="G76" s="1152">
        <v>180000</v>
      </c>
      <c r="H76" s="1152" t="s">
        <v>674</v>
      </c>
      <c r="I76" s="1153">
        <f t="shared" si="5"/>
        <v>3025.2100840336134</v>
      </c>
    </row>
    <row r="77" spans="2:9" x14ac:dyDescent="0.25">
      <c r="B77" s="1148">
        <f t="shared" si="6"/>
        <v>8</v>
      </c>
      <c r="C77" s="1149" t="s">
        <v>681</v>
      </c>
      <c r="D77" s="1150">
        <v>2</v>
      </c>
      <c r="E77" s="1150" t="s">
        <v>673</v>
      </c>
      <c r="F77" s="1151">
        <f t="shared" si="4"/>
        <v>5.6022408963585435E-3</v>
      </c>
      <c r="G77" s="1152">
        <v>350000</v>
      </c>
      <c r="H77" s="1152" t="s">
        <v>674</v>
      </c>
      <c r="I77" s="1153">
        <f t="shared" si="5"/>
        <v>1960.7843137254902</v>
      </c>
    </row>
    <row r="78" spans="2:9" x14ac:dyDescent="0.25">
      <c r="B78" s="1148">
        <f t="shared" si="6"/>
        <v>9</v>
      </c>
      <c r="C78" s="1149" t="s">
        <v>682</v>
      </c>
      <c r="D78" s="1150">
        <v>2</v>
      </c>
      <c r="E78" s="1150" t="s">
        <v>673</v>
      </c>
      <c r="F78" s="1151">
        <f t="shared" si="4"/>
        <v>5.6022408963585435E-3</v>
      </c>
      <c r="G78" s="1152">
        <v>350000</v>
      </c>
      <c r="H78" s="1152" t="s">
        <v>674</v>
      </c>
      <c r="I78" s="1153">
        <f t="shared" si="5"/>
        <v>1960.7843137254902</v>
      </c>
    </row>
    <row r="79" spans="2:9" x14ac:dyDescent="0.25">
      <c r="B79" s="1148">
        <f t="shared" si="6"/>
        <v>10</v>
      </c>
      <c r="C79" s="1149" t="s">
        <v>683</v>
      </c>
      <c r="D79" s="1150">
        <v>6</v>
      </c>
      <c r="E79" s="1150" t="s">
        <v>673</v>
      </c>
      <c r="F79" s="1151">
        <f t="shared" si="4"/>
        <v>1.680672268907563E-2</v>
      </c>
      <c r="G79" s="1152">
        <v>75000</v>
      </c>
      <c r="H79" s="1152" t="s">
        <v>674</v>
      </c>
      <c r="I79" s="1153">
        <f t="shared" si="5"/>
        <v>1260.5042016806722</v>
      </c>
    </row>
    <row r="80" spans="2:9" x14ac:dyDescent="0.25">
      <c r="B80" s="1148">
        <f t="shared" si="6"/>
        <v>11</v>
      </c>
      <c r="C80" s="1149" t="s">
        <v>684</v>
      </c>
      <c r="D80" s="1150">
        <v>72</v>
      </c>
      <c r="E80" s="1150" t="s">
        <v>673</v>
      </c>
      <c r="F80" s="1151">
        <f t="shared" si="4"/>
        <v>0.20168067226890757</v>
      </c>
      <c r="G80" s="1152">
        <v>90000</v>
      </c>
      <c r="H80" s="1152" t="s">
        <v>674</v>
      </c>
      <c r="I80" s="1153">
        <f t="shared" si="5"/>
        <v>18151.26050420168</v>
      </c>
    </row>
    <row r="81" spans="2:9" x14ac:dyDescent="0.25">
      <c r="B81" s="1148">
        <f t="shared" si="6"/>
        <v>12</v>
      </c>
      <c r="C81" s="1149" t="s">
        <v>685</v>
      </c>
      <c r="D81" s="1150">
        <v>2</v>
      </c>
      <c r="E81" s="1150" t="s">
        <v>673</v>
      </c>
      <c r="F81" s="1151">
        <f t="shared" si="4"/>
        <v>5.6022408963585435E-3</v>
      </c>
      <c r="G81" s="1152">
        <v>400000</v>
      </c>
      <c r="H81" s="1152" t="s">
        <v>674</v>
      </c>
      <c r="I81" s="1153">
        <f t="shared" si="5"/>
        <v>2240.8963585434176</v>
      </c>
    </row>
    <row r="82" spans="2:9" x14ac:dyDescent="0.25">
      <c r="B82" s="1148">
        <f t="shared" si="6"/>
        <v>13</v>
      </c>
      <c r="C82" s="1149" t="s">
        <v>686</v>
      </c>
      <c r="D82" s="1150">
        <v>2</v>
      </c>
      <c r="E82" s="1150" t="s">
        <v>673</v>
      </c>
      <c r="F82" s="1151">
        <f t="shared" si="4"/>
        <v>5.6022408963585435E-3</v>
      </c>
      <c r="G82" s="1152">
        <v>85000</v>
      </c>
      <c r="H82" s="1152" t="s">
        <v>674</v>
      </c>
      <c r="I82" s="1153">
        <f t="shared" si="5"/>
        <v>476.1904761904762</v>
      </c>
    </row>
    <row r="83" spans="2:9" x14ac:dyDescent="0.25">
      <c r="B83" s="1148">
        <f t="shared" si="6"/>
        <v>14</v>
      </c>
      <c r="C83" s="1149" t="s">
        <v>687</v>
      </c>
      <c r="D83" s="1150">
        <v>2</v>
      </c>
      <c r="E83" s="1150" t="s">
        <v>673</v>
      </c>
      <c r="F83" s="1151">
        <f t="shared" si="4"/>
        <v>5.6022408963585435E-3</v>
      </c>
      <c r="G83" s="1152">
        <v>550000</v>
      </c>
      <c r="H83" s="1152" t="s">
        <v>674</v>
      </c>
      <c r="I83" s="1153">
        <f t="shared" si="5"/>
        <v>3081.2324929971987</v>
      </c>
    </row>
    <row r="84" spans="2:9" x14ac:dyDescent="0.25">
      <c r="B84" s="1148">
        <f t="shared" si="6"/>
        <v>15</v>
      </c>
      <c r="C84" s="1149" t="s">
        <v>688</v>
      </c>
      <c r="D84" s="1150">
        <v>2</v>
      </c>
      <c r="E84" s="1150" t="s">
        <v>673</v>
      </c>
      <c r="F84" s="1151">
        <f t="shared" si="4"/>
        <v>5.6022408963585435E-3</v>
      </c>
      <c r="G84" s="1152">
        <v>600000</v>
      </c>
      <c r="H84" s="1152" t="s">
        <v>674</v>
      </c>
      <c r="I84" s="1153">
        <f t="shared" si="5"/>
        <v>3361.3445378151259</v>
      </c>
    </row>
    <row r="85" spans="2:9" x14ac:dyDescent="0.25">
      <c r="B85" s="1148">
        <f t="shared" si="6"/>
        <v>16</v>
      </c>
      <c r="C85" s="1149" t="s">
        <v>689</v>
      </c>
      <c r="D85" s="1150">
        <v>48</v>
      </c>
      <c r="E85" s="1150" t="s">
        <v>673</v>
      </c>
      <c r="F85" s="1151">
        <f t="shared" si="4"/>
        <v>0.13445378151260504</v>
      </c>
      <c r="G85" s="1152">
        <v>60000</v>
      </c>
      <c r="H85" s="1152" t="s">
        <v>674</v>
      </c>
      <c r="I85" s="1153">
        <f t="shared" si="5"/>
        <v>8067.2268907563021</v>
      </c>
    </row>
    <row r="86" spans="2:9" x14ac:dyDescent="0.25">
      <c r="B86" s="1148">
        <f t="shared" si="6"/>
        <v>17</v>
      </c>
      <c r="C86" s="1149" t="s">
        <v>690</v>
      </c>
      <c r="D86" s="1150">
        <v>2</v>
      </c>
      <c r="E86" s="1150" t="s">
        <v>673</v>
      </c>
      <c r="F86" s="1151">
        <f t="shared" si="4"/>
        <v>5.6022408963585435E-3</v>
      </c>
      <c r="G86" s="1152">
        <v>710000</v>
      </c>
      <c r="H86" s="1152" t="s">
        <v>674</v>
      </c>
      <c r="I86" s="1153">
        <f t="shared" si="5"/>
        <v>3977.5910364145657</v>
      </c>
    </row>
    <row r="87" spans="2:9" x14ac:dyDescent="0.25">
      <c r="B87" s="1148">
        <f t="shared" si="6"/>
        <v>18</v>
      </c>
      <c r="C87" s="1149" t="s">
        <v>691</v>
      </c>
      <c r="D87" s="1150">
        <v>2</v>
      </c>
      <c r="E87" s="1150" t="s">
        <v>673</v>
      </c>
      <c r="F87" s="1151">
        <f t="shared" si="4"/>
        <v>5.6022408963585435E-3</v>
      </c>
      <c r="G87" s="1152">
        <v>135000</v>
      </c>
      <c r="H87" s="1152" t="s">
        <v>674</v>
      </c>
      <c r="I87" s="1153">
        <f t="shared" si="5"/>
        <v>756.30252100840335</v>
      </c>
    </row>
    <row r="88" spans="2:9" x14ac:dyDescent="0.25">
      <c r="B88" s="1148">
        <f t="shared" si="6"/>
        <v>19</v>
      </c>
      <c r="C88" s="1149" t="s">
        <v>692</v>
      </c>
      <c r="D88" s="1150">
        <v>2</v>
      </c>
      <c r="E88" s="1150" t="s">
        <v>673</v>
      </c>
      <c r="F88" s="1151">
        <f t="shared" si="4"/>
        <v>5.6022408963585435E-3</v>
      </c>
      <c r="G88" s="1152">
        <v>520000</v>
      </c>
      <c r="H88" s="1152" t="s">
        <v>674</v>
      </c>
      <c r="I88" s="1153">
        <f t="shared" si="5"/>
        <v>2913.1652661064427</v>
      </c>
    </row>
    <row r="89" spans="2:9" x14ac:dyDescent="0.25">
      <c r="B89" s="1148">
        <f t="shared" si="6"/>
        <v>20</v>
      </c>
      <c r="C89" s="1149" t="s">
        <v>693</v>
      </c>
      <c r="D89" s="1150">
        <v>6</v>
      </c>
      <c r="E89" s="1150" t="s">
        <v>673</v>
      </c>
      <c r="F89" s="1151">
        <f t="shared" si="4"/>
        <v>1.680672268907563E-2</v>
      </c>
      <c r="G89" s="1152">
        <v>60000</v>
      </c>
      <c r="H89" s="1152" t="s">
        <v>674</v>
      </c>
      <c r="I89" s="1153">
        <f t="shared" si="5"/>
        <v>1008.4033613445378</v>
      </c>
    </row>
    <row r="90" spans="2:9" x14ac:dyDescent="0.25">
      <c r="B90" s="1148">
        <f t="shared" si="6"/>
        <v>21</v>
      </c>
      <c r="C90" s="1149" t="s">
        <v>694</v>
      </c>
      <c r="D90" s="1150">
        <v>6</v>
      </c>
      <c r="E90" s="1150" t="s">
        <v>673</v>
      </c>
      <c r="F90" s="1151">
        <f t="shared" si="4"/>
        <v>1.680672268907563E-2</v>
      </c>
      <c r="G90" s="1152">
        <v>65000</v>
      </c>
      <c r="H90" s="1152" t="s">
        <v>674</v>
      </c>
      <c r="I90" s="1153">
        <f t="shared" si="5"/>
        <v>1092.4369747899159</v>
      </c>
    </row>
    <row r="91" spans="2:9" x14ac:dyDescent="0.25">
      <c r="B91" s="1148">
        <f t="shared" si="6"/>
        <v>22</v>
      </c>
      <c r="C91" s="1149" t="s">
        <v>695</v>
      </c>
      <c r="D91" s="1150">
        <v>6</v>
      </c>
      <c r="E91" s="1150" t="s">
        <v>673</v>
      </c>
      <c r="F91" s="1151">
        <f t="shared" si="4"/>
        <v>1.680672268907563E-2</v>
      </c>
      <c r="G91" s="1152">
        <v>80000</v>
      </c>
      <c r="H91" s="1152" t="s">
        <v>674</v>
      </c>
      <c r="I91" s="1153">
        <f t="shared" si="5"/>
        <v>1344.5378151260504</v>
      </c>
    </row>
    <row r="92" spans="2:9" x14ac:dyDescent="0.25">
      <c r="B92" s="1148">
        <f t="shared" si="6"/>
        <v>23</v>
      </c>
      <c r="C92" s="1149" t="s">
        <v>696</v>
      </c>
      <c r="D92" s="1150">
        <v>6</v>
      </c>
      <c r="E92" s="1150" t="s">
        <v>673</v>
      </c>
      <c r="F92" s="1151">
        <f t="shared" si="4"/>
        <v>1.680672268907563E-2</v>
      </c>
      <c r="G92" s="1152">
        <v>130000</v>
      </c>
      <c r="H92" s="1152" t="s">
        <v>674</v>
      </c>
      <c r="I92" s="1153">
        <f t="shared" si="5"/>
        <v>2184.8739495798318</v>
      </c>
    </row>
    <row r="93" spans="2:9" x14ac:dyDescent="0.25">
      <c r="B93" s="1148">
        <f t="shared" si="6"/>
        <v>24</v>
      </c>
      <c r="C93" s="1149" t="s">
        <v>697</v>
      </c>
      <c r="D93" s="1150">
        <v>24</v>
      </c>
      <c r="E93" s="1150" t="s">
        <v>673</v>
      </c>
      <c r="F93" s="1151">
        <f t="shared" si="4"/>
        <v>6.7226890756302518E-2</v>
      </c>
      <c r="G93" s="1152">
        <v>130000</v>
      </c>
      <c r="H93" s="1152" t="s">
        <v>674</v>
      </c>
      <c r="I93" s="1153">
        <f t="shared" si="5"/>
        <v>8739.4957983193272</v>
      </c>
    </row>
    <row r="94" spans="2:9" x14ac:dyDescent="0.25">
      <c r="B94" s="1148">
        <f t="shared" si="6"/>
        <v>25</v>
      </c>
      <c r="C94" s="1149" t="s">
        <v>698</v>
      </c>
      <c r="D94" s="1150">
        <v>6</v>
      </c>
      <c r="E94" s="1150" t="s">
        <v>673</v>
      </c>
      <c r="F94" s="1151">
        <f t="shared" si="4"/>
        <v>1.680672268907563E-2</v>
      </c>
      <c r="G94" s="1152">
        <v>150000</v>
      </c>
      <c r="H94" s="1152" t="s">
        <v>674</v>
      </c>
      <c r="I94" s="1153">
        <f t="shared" si="5"/>
        <v>2521.0084033613443</v>
      </c>
    </row>
    <row r="95" spans="2:9" x14ac:dyDescent="0.25">
      <c r="B95" s="1148">
        <f t="shared" si="6"/>
        <v>26</v>
      </c>
      <c r="C95" s="1149" t="s">
        <v>699</v>
      </c>
      <c r="D95" s="1150">
        <v>6</v>
      </c>
      <c r="E95" s="1150" t="s">
        <v>673</v>
      </c>
      <c r="F95" s="1151">
        <f t="shared" si="4"/>
        <v>1.680672268907563E-2</v>
      </c>
      <c r="G95" s="1152">
        <v>180000</v>
      </c>
      <c r="H95" s="1152" t="s">
        <v>674</v>
      </c>
      <c r="I95" s="1153">
        <f t="shared" si="5"/>
        <v>3025.2100840336134</v>
      </c>
    </row>
    <row r="96" spans="2:9" x14ac:dyDescent="0.25">
      <c r="B96" s="1148">
        <f t="shared" si="6"/>
        <v>27</v>
      </c>
      <c r="C96" s="1149" t="s">
        <v>700</v>
      </c>
      <c r="D96" s="1150">
        <v>3</v>
      </c>
      <c r="E96" s="1150" t="s">
        <v>673</v>
      </c>
      <c r="F96" s="1151">
        <f t="shared" si="4"/>
        <v>8.4033613445378148E-3</v>
      </c>
      <c r="G96" s="1152">
        <v>210000</v>
      </c>
      <c r="H96" s="1152" t="s">
        <v>674</v>
      </c>
      <c r="I96" s="1153">
        <f t="shared" si="5"/>
        <v>1764.705882352941</v>
      </c>
    </row>
    <row r="97" spans="2:9" x14ac:dyDescent="0.25">
      <c r="B97" s="1148">
        <f t="shared" si="6"/>
        <v>28</v>
      </c>
      <c r="C97" s="1149" t="s">
        <v>701</v>
      </c>
      <c r="D97" s="1150">
        <v>3</v>
      </c>
      <c r="E97" s="1150" t="s">
        <v>673</v>
      </c>
      <c r="F97" s="1151">
        <f t="shared" si="4"/>
        <v>8.4033613445378148E-3</v>
      </c>
      <c r="G97" s="1152">
        <v>580000</v>
      </c>
      <c r="H97" s="1152" t="s">
        <v>674</v>
      </c>
      <c r="I97" s="1153">
        <f t="shared" si="5"/>
        <v>4873.9495798319322</v>
      </c>
    </row>
    <row r="98" spans="2:9" x14ac:dyDescent="0.25">
      <c r="B98" s="1148">
        <f t="shared" si="6"/>
        <v>29</v>
      </c>
      <c r="C98" s="1149" t="s">
        <v>702</v>
      </c>
      <c r="D98" s="1150">
        <v>3</v>
      </c>
      <c r="E98" s="1150" t="s">
        <v>673</v>
      </c>
      <c r="F98" s="1151">
        <f t="shared" si="4"/>
        <v>8.4033613445378148E-3</v>
      </c>
      <c r="G98" s="1152">
        <v>580000</v>
      </c>
      <c r="H98" s="1152" t="s">
        <v>674</v>
      </c>
      <c r="I98" s="1153">
        <f t="shared" si="5"/>
        <v>4873.9495798319322</v>
      </c>
    </row>
    <row r="99" spans="2:9" x14ac:dyDescent="0.25">
      <c r="B99" s="1148">
        <f t="shared" si="6"/>
        <v>30</v>
      </c>
      <c r="C99" s="1149" t="s">
        <v>703</v>
      </c>
      <c r="D99" s="1150">
        <v>500</v>
      </c>
      <c r="E99" s="1150" t="s">
        <v>673</v>
      </c>
      <c r="F99" s="1151">
        <f t="shared" si="4"/>
        <v>1.4005602240896358</v>
      </c>
      <c r="G99" s="1152">
        <v>10000</v>
      </c>
      <c r="H99" s="1152" t="s">
        <v>674</v>
      </c>
      <c r="I99" s="1153">
        <f t="shared" si="5"/>
        <v>14005.602240896358</v>
      </c>
    </row>
    <row r="100" spans="2:9" x14ac:dyDescent="0.25">
      <c r="B100" s="1148">
        <f t="shared" si="6"/>
        <v>31</v>
      </c>
      <c r="C100" s="1149" t="s">
        <v>704</v>
      </c>
      <c r="D100" s="1150">
        <v>12</v>
      </c>
      <c r="E100" s="1150" t="s">
        <v>673</v>
      </c>
      <c r="F100" s="1151">
        <f t="shared" si="4"/>
        <v>3.3613445378151259E-2</v>
      </c>
      <c r="G100" s="1152">
        <v>75000</v>
      </c>
      <c r="H100" s="1152" t="s">
        <v>674</v>
      </c>
      <c r="I100" s="1153">
        <f t="shared" si="5"/>
        <v>2521.0084033613443</v>
      </c>
    </row>
    <row r="101" spans="2:9" x14ac:dyDescent="0.25">
      <c r="B101" s="1148">
        <f t="shared" si="6"/>
        <v>32</v>
      </c>
      <c r="C101" s="1149" t="s">
        <v>705</v>
      </c>
      <c r="D101" s="1150">
        <v>4</v>
      </c>
      <c r="E101" s="1150" t="s">
        <v>673</v>
      </c>
      <c r="F101" s="1151">
        <f t="shared" si="4"/>
        <v>1.1204481792717087E-2</v>
      </c>
      <c r="G101" s="1152">
        <v>138000</v>
      </c>
      <c r="H101" s="1152" t="s">
        <v>674</v>
      </c>
      <c r="I101" s="1153">
        <f t="shared" si="5"/>
        <v>1546.2184873949579</v>
      </c>
    </row>
    <row r="102" spans="2:9" x14ac:dyDescent="0.25">
      <c r="B102" s="1148">
        <f t="shared" si="6"/>
        <v>33</v>
      </c>
      <c r="C102" s="1149" t="s">
        <v>706</v>
      </c>
      <c r="D102" s="1150">
        <v>2</v>
      </c>
      <c r="E102" s="1150" t="s">
        <v>673</v>
      </c>
      <c r="F102" s="1151">
        <f t="shared" si="4"/>
        <v>5.6022408963585435E-3</v>
      </c>
      <c r="G102" s="1152">
        <v>110000</v>
      </c>
      <c r="H102" s="1152" t="s">
        <v>674</v>
      </c>
      <c r="I102" s="1153">
        <f t="shared" si="5"/>
        <v>616.24649859943975</v>
      </c>
    </row>
    <row r="103" spans="2:9" x14ac:dyDescent="0.25">
      <c r="B103" s="1148">
        <f t="shared" si="6"/>
        <v>34</v>
      </c>
      <c r="C103" s="1149" t="s">
        <v>707</v>
      </c>
      <c r="D103" s="1150">
        <v>2</v>
      </c>
      <c r="E103" s="1150" t="s">
        <v>673</v>
      </c>
      <c r="F103" s="1151">
        <f t="shared" si="4"/>
        <v>5.6022408963585435E-3</v>
      </c>
      <c r="G103" s="1152">
        <v>125000</v>
      </c>
      <c r="H103" s="1152" t="s">
        <v>674</v>
      </c>
      <c r="I103" s="1153">
        <f t="shared" si="5"/>
        <v>700.28011204481788</v>
      </c>
    </row>
    <row r="104" spans="2:9" x14ac:dyDescent="0.25">
      <c r="B104" s="1148">
        <f t="shared" si="6"/>
        <v>35</v>
      </c>
      <c r="C104" s="1149" t="s">
        <v>708</v>
      </c>
      <c r="D104" s="1150">
        <v>2</v>
      </c>
      <c r="E104" s="1150" t="s">
        <v>673</v>
      </c>
      <c r="F104" s="1151">
        <f t="shared" si="4"/>
        <v>5.6022408963585435E-3</v>
      </c>
      <c r="G104" s="1152">
        <v>70000</v>
      </c>
      <c r="H104" s="1152" t="s">
        <v>674</v>
      </c>
      <c r="I104" s="1153">
        <f t="shared" si="5"/>
        <v>392.15686274509807</v>
      </c>
    </row>
    <row r="105" spans="2:9" x14ac:dyDescent="0.25">
      <c r="B105" s="1148">
        <f t="shared" si="6"/>
        <v>36</v>
      </c>
      <c r="C105" s="1149" t="s">
        <v>709</v>
      </c>
      <c r="D105" s="1150">
        <v>2</v>
      </c>
      <c r="E105" s="1150" t="s">
        <v>673</v>
      </c>
      <c r="F105" s="1151">
        <f t="shared" si="4"/>
        <v>5.6022408963585435E-3</v>
      </c>
      <c r="G105" s="1152">
        <v>210000</v>
      </c>
      <c r="H105" s="1152" t="s">
        <v>674</v>
      </c>
      <c r="I105" s="1153">
        <f t="shared" si="5"/>
        <v>1176.4705882352941</v>
      </c>
    </row>
    <row r="106" spans="2:9" x14ac:dyDescent="0.25">
      <c r="B106" s="1148">
        <f t="shared" si="6"/>
        <v>37</v>
      </c>
      <c r="C106" s="1149" t="s">
        <v>710</v>
      </c>
      <c r="D106" s="1150">
        <v>2</v>
      </c>
      <c r="E106" s="1150" t="s">
        <v>673</v>
      </c>
      <c r="F106" s="1151">
        <f t="shared" si="4"/>
        <v>5.6022408963585435E-3</v>
      </c>
      <c r="G106" s="1152">
        <v>325000</v>
      </c>
      <c r="H106" s="1152" t="s">
        <v>674</v>
      </c>
      <c r="I106" s="1153">
        <f t="shared" si="5"/>
        <v>1820.7282913165266</v>
      </c>
    </row>
    <row r="107" spans="2:9" x14ac:dyDescent="0.25">
      <c r="B107" s="1148">
        <f t="shared" si="6"/>
        <v>38</v>
      </c>
      <c r="C107" s="1149" t="s">
        <v>711</v>
      </c>
      <c r="D107" s="1150">
        <v>2</v>
      </c>
      <c r="E107" s="1150" t="s">
        <v>673</v>
      </c>
      <c r="F107" s="1151">
        <f t="shared" si="4"/>
        <v>5.6022408963585435E-3</v>
      </c>
      <c r="G107" s="1152">
        <v>400000</v>
      </c>
      <c r="H107" s="1152" t="s">
        <v>674</v>
      </c>
      <c r="I107" s="1153">
        <f t="shared" si="5"/>
        <v>2240.8963585434176</v>
      </c>
    </row>
    <row r="108" spans="2:9" x14ac:dyDescent="0.25">
      <c r="B108" s="1148">
        <f t="shared" si="6"/>
        <v>39</v>
      </c>
      <c r="C108" s="1149" t="s">
        <v>712</v>
      </c>
      <c r="D108" s="1150">
        <v>2</v>
      </c>
      <c r="E108" s="1150" t="s">
        <v>673</v>
      </c>
      <c r="F108" s="1151">
        <f t="shared" si="4"/>
        <v>5.6022408963585435E-3</v>
      </c>
      <c r="G108" s="1152">
        <v>520000</v>
      </c>
      <c r="H108" s="1152" t="s">
        <v>674</v>
      </c>
      <c r="I108" s="1153">
        <f t="shared" si="5"/>
        <v>2913.1652661064427</v>
      </c>
    </row>
    <row r="109" spans="2:9" x14ac:dyDescent="0.25">
      <c r="B109" s="1148">
        <f t="shared" si="6"/>
        <v>40</v>
      </c>
      <c r="C109" s="1149" t="s">
        <v>713</v>
      </c>
      <c r="D109" s="1150">
        <v>12</v>
      </c>
      <c r="E109" s="1150" t="s">
        <v>673</v>
      </c>
      <c r="F109" s="1151">
        <f t="shared" si="4"/>
        <v>3.3613445378151259E-2</v>
      </c>
      <c r="G109" s="1152">
        <v>75000</v>
      </c>
      <c r="H109" s="1152" t="s">
        <v>674</v>
      </c>
      <c r="I109" s="1153">
        <f t="shared" si="5"/>
        <v>2521.0084033613443</v>
      </c>
    </row>
    <row r="110" spans="2:9" ht="15.75" thickBot="1" x14ac:dyDescent="0.3">
      <c r="B110" s="1154">
        <f t="shared" si="6"/>
        <v>41</v>
      </c>
      <c r="C110" s="1155" t="s">
        <v>714</v>
      </c>
      <c r="D110" s="1156">
        <v>12</v>
      </c>
      <c r="E110" s="1156" t="s">
        <v>673</v>
      </c>
      <c r="F110" s="1157">
        <f t="shared" si="4"/>
        <v>3.3613445378151259E-2</v>
      </c>
      <c r="G110" s="1158">
        <v>85000</v>
      </c>
      <c r="H110" s="1158" t="s">
        <v>674</v>
      </c>
      <c r="I110" s="1159">
        <f t="shared" si="5"/>
        <v>2857.1428571428569</v>
      </c>
    </row>
    <row r="111" spans="2:9" ht="15.75" x14ac:dyDescent="0.25">
      <c r="B111" s="974"/>
      <c r="C111" s="917"/>
      <c r="D111" s="1080"/>
      <c r="E111" s="1080"/>
      <c r="G111" s="2226" t="s">
        <v>715</v>
      </c>
      <c r="H111" s="2227"/>
      <c r="I111" s="1160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28515625" customWidth="1"/>
    <col min="8" max="8" width="16.285156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79" t="s">
        <v>716</v>
      </c>
    </row>
    <row r="3" spans="2:13" x14ac:dyDescent="0.25">
      <c r="B3" s="1081" t="s">
        <v>386</v>
      </c>
      <c r="C3" s="2209" t="s">
        <v>219</v>
      </c>
      <c r="D3" s="2210"/>
      <c r="E3" s="1161" t="s">
        <v>646</v>
      </c>
      <c r="F3" s="2211" t="s">
        <v>566</v>
      </c>
      <c r="G3" s="2212"/>
      <c r="H3" s="1087" t="s">
        <v>567</v>
      </c>
      <c r="K3" s="1127" t="s">
        <v>717</v>
      </c>
    </row>
    <row r="4" spans="2:13" ht="21.6" customHeight="1" x14ac:dyDescent="0.25">
      <c r="B4" s="1162" t="s">
        <v>718</v>
      </c>
      <c r="C4" s="1163"/>
      <c r="D4" s="1112" t="s">
        <v>719</v>
      </c>
      <c r="E4" s="1164">
        <v>0</v>
      </c>
      <c r="F4" s="2217"/>
      <c r="G4" s="2218"/>
      <c r="H4" s="1083" t="s">
        <v>271</v>
      </c>
      <c r="K4" s="1165" t="s">
        <v>386</v>
      </c>
      <c r="L4" s="2209" t="s">
        <v>566</v>
      </c>
      <c r="M4" s="2210"/>
    </row>
    <row r="5" spans="2:13" ht="17.649999999999999" customHeight="1" x14ac:dyDescent="0.25">
      <c r="B5" s="1088" t="s">
        <v>274</v>
      </c>
      <c r="C5" s="1092"/>
      <c r="D5" s="1166"/>
      <c r="E5" s="1167"/>
      <c r="F5" s="1089"/>
      <c r="G5" s="1166"/>
      <c r="H5" s="1168">
        <v>0</v>
      </c>
      <c r="K5" s="1169" t="s">
        <v>720</v>
      </c>
      <c r="L5" s="1170">
        <v>1550</v>
      </c>
      <c r="M5" s="1171" t="s">
        <v>721</v>
      </c>
    </row>
    <row r="6" spans="2:13" x14ac:dyDescent="0.25">
      <c r="B6" s="1095" t="s">
        <v>722</v>
      </c>
      <c r="C6" s="1096">
        <v>100</v>
      </c>
      <c r="D6" s="1132" t="s">
        <v>723</v>
      </c>
      <c r="E6" s="408">
        <f>(C6*25%*4)/30</f>
        <v>3.3333333333333335</v>
      </c>
      <c r="F6" s="1096">
        <v>14500</v>
      </c>
      <c r="G6" s="1132" t="s">
        <v>724</v>
      </c>
      <c r="H6" s="1172">
        <f>F6*E6</f>
        <v>48333.333333333336</v>
      </c>
    </row>
    <row r="7" spans="2:13" x14ac:dyDescent="0.25">
      <c r="B7" s="1095" t="s">
        <v>725</v>
      </c>
      <c r="C7" s="1096">
        <v>100</v>
      </c>
      <c r="D7" s="1132" t="s">
        <v>723</v>
      </c>
      <c r="E7" s="408">
        <f>(C7*25%*4)/30</f>
        <v>3.3333333333333335</v>
      </c>
      <c r="F7" s="1096">
        <v>14500</v>
      </c>
      <c r="G7" s="1132" t="s">
        <v>724</v>
      </c>
      <c r="H7" s="1172">
        <f>F7*E7</f>
        <v>48333.333333333336</v>
      </c>
    </row>
    <row r="8" spans="2:13" x14ac:dyDescent="0.25">
      <c r="B8" s="1095" t="s">
        <v>726</v>
      </c>
      <c r="C8" s="1096">
        <v>100</v>
      </c>
      <c r="D8" s="1132" t="s">
        <v>723</v>
      </c>
      <c r="E8" s="408">
        <f>(C8*25%*4)/30</f>
        <v>3.3333333333333335</v>
      </c>
      <c r="F8" s="1096">
        <v>14500</v>
      </c>
      <c r="G8" s="1132" t="s">
        <v>724</v>
      </c>
      <c r="H8" s="1172">
        <f>F8*E8</f>
        <v>48333.333333333336</v>
      </c>
    </row>
    <row r="9" spans="2:13" x14ac:dyDescent="0.25">
      <c r="B9" s="1095" t="s">
        <v>583</v>
      </c>
      <c r="C9" s="1096"/>
      <c r="D9" s="1132" t="s">
        <v>271</v>
      </c>
      <c r="E9" s="1096"/>
      <c r="F9" s="1096"/>
      <c r="G9" s="1132"/>
      <c r="H9" s="1172">
        <v>0</v>
      </c>
      <c r="I9" s="1173"/>
    </row>
    <row r="10" spans="2:13" x14ac:dyDescent="0.25">
      <c r="B10" s="1105" t="s">
        <v>727</v>
      </c>
      <c r="C10" s="1106"/>
      <c r="D10" s="1107"/>
      <c r="E10" s="1106"/>
      <c r="F10" s="1106"/>
      <c r="G10" s="1107"/>
      <c r="H10" s="1174">
        <f>SUM(H5:H9)</f>
        <v>145000</v>
      </c>
    </row>
    <row r="11" spans="2:13" x14ac:dyDescent="0.25">
      <c r="H11" s="1175" t="s">
        <v>728</v>
      </c>
    </row>
    <row r="12" spans="2:13" x14ac:dyDescent="0.25">
      <c r="B12" s="1127" t="s">
        <v>729</v>
      </c>
    </row>
    <row r="13" spans="2:13" ht="23.1" customHeight="1" x14ac:dyDescent="0.25">
      <c r="B13" s="1081" t="s">
        <v>386</v>
      </c>
      <c r="C13" s="2209" t="s">
        <v>219</v>
      </c>
      <c r="D13" s="2210"/>
      <c r="E13" s="1083" t="s">
        <v>730</v>
      </c>
      <c r="F13" s="2211" t="s">
        <v>566</v>
      </c>
      <c r="G13" s="2212"/>
      <c r="H13" s="1087" t="s">
        <v>567</v>
      </c>
    </row>
    <row r="14" spans="2:13" ht="21" customHeight="1" x14ac:dyDescent="0.25">
      <c r="B14" s="1162" t="s">
        <v>731</v>
      </c>
      <c r="C14" s="1163">
        <v>2088</v>
      </c>
      <c r="D14" s="1083" t="s">
        <v>719</v>
      </c>
      <c r="E14" s="1164">
        <f>C14*24</f>
        <v>50112</v>
      </c>
      <c r="F14" s="2217"/>
      <c r="G14" s="2218"/>
      <c r="H14" s="1083" t="s">
        <v>271</v>
      </c>
    </row>
    <row r="15" spans="2:13" x14ac:dyDescent="0.25">
      <c r="B15" s="1088" t="s">
        <v>274</v>
      </c>
      <c r="C15" s="1176"/>
      <c r="D15" s="1090"/>
      <c r="E15" s="1167"/>
      <c r="F15" s="1177"/>
      <c r="G15" s="1090"/>
      <c r="H15" s="1178">
        <v>0</v>
      </c>
    </row>
    <row r="16" spans="2:13" x14ac:dyDescent="0.25">
      <c r="B16" s="1095" t="s">
        <v>722</v>
      </c>
      <c r="C16" s="1096">
        <v>800</v>
      </c>
      <c r="D16" s="1132" t="s">
        <v>723</v>
      </c>
      <c r="E16" s="408">
        <f>C16*24</f>
        <v>19200</v>
      </c>
      <c r="F16" s="1096">
        <v>14500</v>
      </c>
      <c r="G16" s="1132" t="s">
        <v>724</v>
      </c>
      <c r="H16" s="1172">
        <f>F16*E16</f>
        <v>278400000</v>
      </c>
    </row>
    <row r="17" spans="2:9" x14ac:dyDescent="0.25">
      <c r="B17" s="1095" t="s">
        <v>725</v>
      </c>
      <c r="C17" s="1096">
        <v>800</v>
      </c>
      <c r="D17" s="1132" t="s">
        <v>723</v>
      </c>
      <c r="E17" s="408">
        <f>C17*24</f>
        <v>19200</v>
      </c>
      <c r="F17" s="1096">
        <v>14500</v>
      </c>
      <c r="G17" s="1132" t="s">
        <v>724</v>
      </c>
      <c r="H17" s="1172">
        <f>F17*E17</f>
        <v>278400000</v>
      </c>
    </row>
    <row r="18" spans="2:9" x14ac:dyDescent="0.25">
      <c r="B18" s="1095" t="s">
        <v>726</v>
      </c>
      <c r="C18" s="1096"/>
      <c r="D18" s="1132" t="s">
        <v>723</v>
      </c>
      <c r="E18" s="408">
        <v>0</v>
      </c>
      <c r="F18" s="1096">
        <v>14500</v>
      </c>
      <c r="G18" s="1132" t="s">
        <v>724</v>
      </c>
      <c r="H18" s="1172">
        <f>F18*E18</f>
        <v>0</v>
      </c>
    </row>
    <row r="19" spans="2:9" x14ac:dyDescent="0.25">
      <c r="B19" s="1095" t="s">
        <v>583</v>
      </c>
      <c r="C19" s="1096"/>
      <c r="D19" s="1132" t="s">
        <v>271</v>
      </c>
      <c r="E19" s="1096"/>
      <c r="F19" s="1096"/>
      <c r="G19" s="1132"/>
      <c r="H19" s="1179">
        <v>0</v>
      </c>
      <c r="I19" s="1173"/>
    </row>
    <row r="20" spans="2:9" x14ac:dyDescent="0.25">
      <c r="B20" s="1105" t="s">
        <v>727</v>
      </c>
      <c r="C20" s="1106"/>
      <c r="D20" s="1107"/>
      <c r="E20" s="1106"/>
      <c r="F20" s="1106"/>
      <c r="G20" s="1107"/>
      <c r="H20" s="1174">
        <f>SUM(H15:H19)</f>
        <v>556800000</v>
      </c>
    </row>
    <row r="21" spans="2:9" x14ac:dyDescent="0.25">
      <c r="B21" s="1180"/>
      <c r="C21" s="1080"/>
      <c r="E21" s="1080"/>
      <c r="F21" s="2234" t="s">
        <v>732</v>
      </c>
      <c r="G21" s="2235"/>
      <c r="H21" s="1181">
        <f>H20/E14</f>
        <v>11111.111111111111</v>
      </c>
      <c r="I21" s="1127" t="s">
        <v>733</v>
      </c>
    </row>
    <row r="22" spans="2:9" x14ac:dyDescent="0.25">
      <c r="H22" s="1182"/>
    </row>
    <row r="23" spans="2:9" x14ac:dyDescent="0.25">
      <c r="B23" s="917" t="s">
        <v>586</v>
      </c>
      <c r="E23" s="1125"/>
    </row>
    <row r="24" spans="2:9" x14ac:dyDescent="0.25">
      <c r="B24" s="917" t="s">
        <v>734</v>
      </c>
      <c r="E24" s="1183"/>
    </row>
    <row r="25" spans="2:9" x14ac:dyDescent="0.25">
      <c r="E25" s="917"/>
      <c r="G25" s="1184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7109375" defaultRowHeight="12.75" x14ac:dyDescent="0.25"/>
  <cols>
    <col min="1" max="1" width="8.7109375" style="991"/>
    <col min="2" max="2" width="5.5703125" style="990" customWidth="1"/>
    <col min="3" max="3" width="63.5703125" style="991" customWidth="1"/>
    <col min="4" max="4" width="15.5703125" style="991" customWidth="1"/>
    <col min="5" max="5" width="15" style="991" customWidth="1"/>
    <col min="6" max="6" width="15.28515625" style="991" customWidth="1"/>
    <col min="7" max="7" width="14.5703125" style="991" customWidth="1"/>
    <col min="8" max="8" width="11.42578125" style="991" customWidth="1"/>
    <col min="9" max="9" width="12.42578125" style="991" customWidth="1"/>
    <col min="10" max="10" width="11" style="991" bestFit="1" customWidth="1"/>
    <col min="11" max="16384" width="8.7109375" style="991"/>
  </cols>
  <sheetData>
    <row r="2" spans="2:10" ht="19.5" thickBot="1" x14ac:dyDescent="0.3">
      <c r="B2" s="992" t="s">
        <v>545</v>
      </c>
    </row>
    <row r="3" spans="2:10" x14ac:dyDescent="0.25">
      <c r="B3" s="2240" t="s">
        <v>361</v>
      </c>
      <c r="C3" s="2241"/>
      <c r="D3" s="993"/>
      <c r="E3" s="993"/>
      <c r="F3" s="993"/>
      <c r="G3" s="993"/>
      <c r="H3" s="995" t="s">
        <v>381</v>
      </c>
      <c r="I3" s="996">
        <f>'HPP REF '!N3</f>
        <v>1098.8155217391304</v>
      </c>
    </row>
    <row r="4" spans="2:10" x14ac:dyDescent="0.25">
      <c r="B4" s="2242" t="s">
        <v>414</v>
      </c>
      <c r="C4" s="2243"/>
      <c r="H4" s="997" t="s">
        <v>83</v>
      </c>
      <c r="I4" s="998">
        <f>'HPP REF '!N4</f>
        <v>23</v>
      </c>
    </row>
    <row r="5" spans="2:10" x14ac:dyDescent="0.25">
      <c r="B5" s="2242" t="s">
        <v>415</v>
      </c>
      <c r="C5" s="2243"/>
      <c r="H5" s="997" t="s">
        <v>416</v>
      </c>
      <c r="I5" s="998">
        <f>I4*I3</f>
        <v>25272.756999999998</v>
      </c>
    </row>
    <row r="6" spans="2:10" ht="13.5" thickBot="1" x14ac:dyDescent="0.3">
      <c r="B6" s="969" t="s">
        <v>417</v>
      </c>
      <c r="C6" s="970"/>
      <c r="D6" s="999"/>
      <c r="E6" s="999"/>
      <c r="F6" s="999"/>
      <c r="G6" s="999"/>
      <c r="H6" s="1001"/>
      <c r="I6" s="1188">
        <f>'SUMMARY HPP '!I9</f>
        <v>15546</v>
      </c>
    </row>
    <row r="7" spans="2:10" ht="15" x14ac:dyDescent="0.25">
      <c r="B7" s="2244" t="s">
        <v>99</v>
      </c>
      <c r="C7" s="2246" t="s">
        <v>285</v>
      </c>
      <c r="D7" s="2236" t="s">
        <v>546</v>
      </c>
      <c r="E7" s="2248"/>
      <c r="F7" s="2236" t="s">
        <v>442</v>
      </c>
      <c r="G7" s="2236"/>
      <c r="H7" s="2236"/>
      <c r="I7" s="2237"/>
    </row>
    <row r="8" spans="2:10" ht="15.75" thickBot="1" x14ac:dyDescent="0.3">
      <c r="B8" s="2245"/>
      <c r="C8" s="2247"/>
      <c r="D8" s="1045" t="s">
        <v>443</v>
      </c>
      <c r="E8" s="1045" t="s">
        <v>444</v>
      </c>
      <c r="F8" s="1045" t="s">
        <v>443</v>
      </c>
      <c r="G8" s="1045" t="s">
        <v>444</v>
      </c>
      <c r="H8" s="1046" t="s">
        <v>419</v>
      </c>
      <c r="I8" s="1057" t="s">
        <v>226</v>
      </c>
    </row>
    <row r="9" spans="2:10" ht="13.5" thickTop="1" x14ac:dyDescent="0.25">
      <c r="B9" s="1047">
        <v>1</v>
      </c>
      <c r="C9" s="1067" t="s">
        <v>547</v>
      </c>
      <c r="D9" s="1063">
        <v>962709313.75999999</v>
      </c>
      <c r="E9" s="1063">
        <f t="shared" ref="E9:E15" si="0">D9/12</f>
        <v>80225776.146666661</v>
      </c>
      <c r="F9" s="1063">
        <f>G9*12</f>
        <v>531927347.99999374</v>
      </c>
      <c r="G9" s="1063">
        <v>44327278.999999478</v>
      </c>
      <c r="H9" s="1064">
        <f>$G$9/($I$5*1000)</f>
        <v>1.7539550196284277</v>
      </c>
      <c r="I9" s="1064">
        <f>($G$9/$I$6)/$I$5</f>
        <v>0.11282355716122654</v>
      </c>
      <c r="J9" s="991">
        <f>D9/12</f>
        <v>80225776.146666661</v>
      </c>
    </row>
    <row r="10" spans="2:10" x14ac:dyDescent="0.25">
      <c r="B10" s="1012">
        <f t="shared" ref="B10:B15" si="1">B9+1</f>
        <v>2</v>
      </c>
      <c r="C10" s="1067" t="s">
        <v>548</v>
      </c>
      <c r="D10" s="1017">
        <v>269614444.44</v>
      </c>
      <c r="E10" s="1017">
        <f t="shared" si="0"/>
        <v>22467870.370000001</v>
      </c>
      <c r="F10" s="1017">
        <v>0</v>
      </c>
      <c r="G10" s="1017">
        <v>0</v>
      </c>
      <c r="H10" s="1018">
        <f>$G$10/($I$5*1000)</f>
        <v>0</v>
      </c>
      <c r="I10" s="1018">
        <f>($G$10/$I$6)/$I$5</f>
        <v>0</v>
      </c>
    </row>
    <row r="11" spans="2:10" x14ac:dyDescent="0.25">
      <c r="B11" s="1012">
        <f t="shared" si="1"/>
        <v>3</v>
      </c>
      <c r="C11" s="1067" t="s">
        <v>549</v>
      </c>
      <c r="D11" s="1017">
        <v>0</v>
      </c>
      <c r="E11" s="1017">
        <f t="shared" si="0"/>
        <v>0</v>
      </c>
      <c r="F11" s="1017">
        <v>0</v>
      </c>
      <c r="G11" s="1017">
        <v>0</v>
      </c>
      <c r="H11" s="1018">
        <f>$G$11/($I$5*1000)</f>
        <v>0</v>
      </c>
      <c r="I11" s="1018">
        <f>($G$11/$I$6)/$I$5</f>
        <v>0</v>
      </c>
    </row>
    <row r="12" spans="2:10" x14ac:dyDescent="0.25">
      <c r="B12" s="1012">
        <f t="shared" si="1"/>
        <v>4</v>
      </c>
      <c r="C12" s="1067" t="s">
        <v>550</v>
      </c>
      <c r="D12" s="1017">
        <v>0</v>
      </c>
      <c r="E12" s="1017">
        <f t="shared" si="0"/>
        <v>0</v>
      </c>
      <c r="F12" s="1017">
        <v>0</v>
      </c>
      <c r="G12" s="1017">
        <v>0</v>
      </c>
      <c r="H12" s="1018">
        <f>$G$12/($I$5*1000)</f>
        <v>0</v>
      </c>
      <c r="I12" s="1018">
        <f>($G$12/$I$6)/$I$5</f>
        <v>0</v>
      </c>
    </row>
    <row r="13" spans="2:10" x14ac:dyDescent="0.25">
      <c r="B13" s="1012">
        <f t="shared" si="1"/>
        <v>5</v>
      </c>
      <c r="C13" s="1067" t="s">
        <v>551</v>
      </c>
      <c r="D13" s="1017">
        <v>0</v>
      </c>
      <c r="E13" s="1017">
        <f t="shared" si="0"/>
        <v>0</v>
      </c>
      <c r="F13" s="1017">
        <v>0</v>
      </c>
      <c r="G13" s="1017">
        <v>0</v>
      </c>
      <c r="H13" s="1018">
        <f>$G$13/($I$5*1000)</f>
        <v>0</v>
      </c>
      <c r="I13" s="1018">
        <f>($G$13/$I$6)/$I$5</f>
        <v>0</v>
      </c>
    </row>
    <row r="14" spans="2:10" x14ac:dyDescent="0.25">
      <c r="B14" s="1012">
        <f t="shared" si="1"/>
        <v>6</v>
      </c>
      <c r="C14" s="1067" t="s">
        <v>552</v>
      </c>
      <c r="D14" s="1017">
        <v>0</v>
      </c>
      <c r="E14" s="1017">
        <f t="shared" si="0"/>
        <v>0</v>
      </c>
      <c r="F14" s="1068">
        <v>0</v>
      </c>
      <c r="G14" s="1017">
        <v>0</v>
      </c>
      <c r="H14" s="1018">
        <f>$G$14/($I$5*1000)</f>
        <v>0</v>
      </c>
      <c r="I14" s="1018">
        <f>($G$14/$I$6)/$I$5</f>
        <v>0</v>
      </c>
    </row>
    <row r="15" spans="2:10" x14ac:dyDescent="0.25">
      <c r="B15" s="1012">
        <f t="shared" si="1"/>
        <v>7</v>
      </c>
      <c r="C15" s="1067" t="s">
        <v>553</v>
      </c>
      <c r="D15" s="1017">
        <v>12576902836.549999</v>
      </c>
      <c r="E15" s="1017">
        <f t="shared" si="0"/>
        <v>1048075236.3791666</v>
      </c>
      <c r="F15" s="1009">
        <f>G15*12</f>
        <v>12048990312</v>
      </c>
      <c r="G15" s="1017">
        <v>1004082526</v>
      </c>
      <c r="H15" s="1018">
        <f>$G$15/($I$5*1000)</f>
        <v>39.729837389723649</v>
      </c>
      <c r="I15" s="1018">
        <f>($G$15/$I$6)/$I$5</f>
        <v>2.555630862583536</v>
      </c>
    </row>
    <row r="16" spans="2:10" x14ac:dyDescent="0.25">
      <c r="B16" s="1012"/>
      <c r="C16" s="1019"/>
      <c r="D16" s="1017"/>
      <c r="E16" s="1017"/>
      <c r="F16" s="1017"/>
      <c r="G16" s="1017"/>
      <c r="H16" s="1018"/>
      <c r="I16" s="1018"/>
    </row>
    <row r="17" spans="2:9" x14ac:dyDescent="0.25">
      <c r="B17" s="1012"/>
      <c r="C17" s="1019"/>
      <c r="D17" s="1017"/>
      <c r="E17" s="1017"/>
      <c r="F17" s="1017"/>
      <c r="G17" s="1017"/>
      <c r="H17" s="1018"/>
      <c r="I17" s="1018"/>
    </row>
    <row r="18" spans="2:9" x14ac:dyDescent="0.25">
      <c r="B18" s="1012"/>
      <c r="C18" s="1019"/>
      <c r="D18" s="1017"/>
      <c r="E18" s="1017"/>
      <c r="F18" s="1017"/>
      <c r="G18" s="1017"/>
      <c r="H18" s="1018"/>
      <c r="I18" s="1018"/>
    </row>
    <row r="19" spans="2:9" ht="13.5" thickBot="1" x14ac:dyDescent="0.3">
      <c r="B19" s="1050"/>
      <c r="C19" s="1051"/>
      <c r="D19" s="1052"/>
      <c r="E19" s="1052"/>
      <c r="F19" s="1052"/>
      <c r="G19" s="1052"/>
      <c r="H19" s="1066"/>
      <c r="I19" s="1066"/>
    </row>
    <row r="20" spans="2:9" ht="16.5" thickTop="1" thickBot="1" x14ac:dyDescent="0.3">
      <c r="B20" s="2238" t="s">
        <v>489</v>
      </c>
      <c r="C20" s="2239"/>
      <c r="D20" s="1058">
        <f t="shared" ref="D20:I20" si="2">SUM(D9:D19)</f>
        <v>13809226594.75</v>
      </c>
      <c r="E20" s="1058">
        <f t="shared" si="2"/>
        <v>1150768882.8958333</v>
      </c>
      <c r="F20" s="1059">
        <f t="shared" si="2"/>
        <v>12580917659.999994</v>
      </c>
      <c r="G20" s="1059">
        <f t="shared" si="2"/>
        <v>1048409804.9999995</v>
      </c>
      <c r="H20" s="1060">
        <f t="shared" si="2"/>
        <v>41.483792409352077</v>
      </c>
      <c r="I20" s="1060">
        <f t="shared" si="2"/>
        <v>2.6684544197447626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35" activePane="bottomLeft" state="frozen"/>
      <selection activeCell="K11" sqref="K11"/>
      <selection pane="bottomLeft" activeCell="K11" sqref="K11"/>
    </sheetView>
  </sheetViews>
  <sheetFormatPr defaultColWidth="8.7109375" defaultRowHeight="12.75" x14ac:dyDescent="0.25"/>
  <cols>
    <col min="1" max="1" width="8.7109375" style="991"/>
    <col min="2" max="2" width="5.5703125" style="990" customWidth="1"/>
    <col min="3" max="3" width="49.28515625" style="991" customWidth="1"/>
    <col min="4" max="4" width="16.5703125" style="991" customWidth="1"/>
    <col min="5" max="5" width="15.5703125" style="991" customWidth="1"/>
    <col min="6" max="7" width="15" style="991" customWidth="1"/>
    <col min="8" max="8" width="15.28515625" style="991" customWidth="1"/>
    <col min="9" max="9" width="14.5703125" style="991" customWidth="1"/>
    <col min="10" max="10" width="11.42578125" style="991" customWidth="1"/>
    <col min="11" max="11" width="12.42578125" style="991" customWidth="1"/>
    <col min="12" max="12" width="17.5703125" style="991" customWidth="1"/>
    <col min="13" max="16384" width="8.7109375" style="991"/>
  </cols>
  <sheetData>
    <row r="1" spans="2:11" ht="5.0999999999999996" customHeight="1" x14ac:dyDescent="0.25"/>
    <row r="2" spans="2:11" ht="23.65" customHeight="1" thickBot="1" x14ac:dyDescent="0.3">
      <c r="B2" s="992" t="s">
        <v>487</v>
      </c>
    </row>
    <row r="3" spans="2:11" ht="14.65" customHeight="1" x14ac:dyDescent="0.25">
      <c r="B3" s="2240" t="s">
        <v>361</v>
      </c>
      <c r="C3" s="2241"/>
      <c r="D3" s="891"/>
      <c r="E3" s="993"/>
      <c r="F3" s="993"/>
      <c r="G3" s="993"/>
      <c r="H3" s="993"/>
      <c r="I3" s="993"/>
      <c r="J3" s="995" t="s">
        <v>381</v>
      </c>
      <c r="K3" s="996">
        <f>'HPP REF '!N3</f>
        <v>1098.8155217391304</v>
      </c>
    </row>
    <row r="4" spans="2:11" ht="14.65" customHeight="1" x14ac:dyDescent="0.25">
      <c r="B4" s="2242" t="s">
        <v>414</v>
      </c>
      <c r="C4" s="2243"/>
      <c r="D4" s="896"/>
      <c r="J4" s="997" t="s">
        <v>83</v>
      </c>
      <c r="K4" s="998">
        <f>'HPP REF '!N4</f>
        <v>23</v>
      </c>
    </row>
    <row r="5" spans="2:11" ht="14.65" customHeight="1" x14ac:dyDescent="0.25">
      <c r="B5" s="2242" t="s">
        <v>415</v>
      </c>
      <c r="C5" s="2243"/>
      <c r="D5" s="896"/>
      <c r="J5" s="997" t="s">
        <v>416</v>
      </c>
      <c r="K5" s="998">
        <f>K4*K3</f>
        <v>25272.756999999998</v>
      </c>
    </row>
    <row r="6" spans="2:11" ht="14.65" customHeight="1" thickBot="1" x14ac:dyDescent="0.3">
      <c r="B6" s="969" t="s">
        <v>417</v>
      </c>
      <c r="C6" s="970"/>
      <c r="D6" s="970"/>
      <c r="E6" s="999"/>
      <c r="F6" s="999"/>
      <c r="G6" s="999"/>
      <c r="H6" s="999"/>
      <c r="I6" s="999"/>
      <c r="J6" s="1001"/>
      <c r="K6" s="1188">
        <f>'SUMMARY HPP '!I9</f>
        <v>15546</v>
      </c>
    </row>
    <row r="7" spans="2:11" ht="15.6" customHeight="1" x14ac:dyDescent="0.25">
      <c r="B7" s="2244" t="s">
        <v>99</v>
      </c>
      <c r="C7" s="2246" t="s">
        <v>285</v>
      </c>
      <c r="D7" s="2249" t="s">
        <v>441</v>
      </c>
      <c r="E7" s="2236"/>
      <c r="F7" s="2248"/>
      <c r="G7" s="2249" t="s">
        <v>442</v>
      </c>
      <c r="H7" s="2236"/>
      <c r="I7" s="2236"/>
      <c r="J7" s="2236"/>
      <c r="K7" s="2237"/>
    </row>
    <row r="8" spans="2:11" ht="15" customHeight="1" thickBot="1" x14ac:dyDescent="0.3">
      <c r="B8" s="2245"/>
      <c r="C8" s="2247"/>
      <c r="D8" s="1044" t="s">
        <v>488</v>
      </c>
      <c r="E8" s="1045" t="s">
        <v>443</v>
      </c>
      <c r="F8" s="1045" t="s">
        <v>444</v>
      </c>
      <c r="G8" s="1044" t="s">
        <v>488</v>
      </c>
      <c r="H8" s="1045" t="s">
        <v>443</v>
      </c>
      <c r="I8" s="1045" t="s">
        <v>444</v>
      </c>
      <c r="J8" s="1046" t="s">
        <v>419</v>
      </c>
      <c r="K8" s="1057" t="s">
        <v>226</v>
      </c>
    </row>
    <row r="9" spans="2:11" ht="23.65" customHeight="1" thickTop="1" thickBot="1" x14ac:dyDescent="0.3">
      <c r="B9" s="2238" t="s">
        <v>489</v>
      </c>
      <c r="C9" s="2239"/>
      <c r="D9" s="1058">
        <f t="shared" ref="D9:K9" si="0">SUM(D10:D75)</f>
        <v>679712126808.7334</v>
      </c>
      <c r="E9" s="1058">
        <f t="shared" si="0"/>
        <v>41807174181.37001</v>
      </c>
      <c r="F9" s="1058">
        <f t="shared" si="0"/>
        <v>3483931181.7808337</v>
      </c>
      <c r="G9" s="1059">
        <f t="shared" si="0"/>
        <v>775031394297.89551</v>
      </c>
      <c r="H9" s="1059">
        <f t="shared" si="0"/>
        <v>50174217449.730003</v>
      </c>
      <c r="I9" s="1059">
        <f t="shared" si="0"/>
        <v>4181184787.4775009</v>
      </c>
      <c r="J9" s="1060">
        <f t="shared" si="0"/>
        <v>165.44236893020818</v>
      </c>
      <c r="K9" s="1060">
        <f t="shared" si="0"/>
        <v>10.642118160955112</v>
      </c>
    </row>
    <row r="10" spans="2:11" ht="13.5" thickTop="1" x14ac:dyDescent="0.25">
      <c r="B10" s="1047">
        <v>1</v>
      </c>
      <c r="C10" s="1061" t="s">
        <v>490</v>
      </c>
      <c r="D10" s="1062">
        <v>3844320790</v>
      </c>
      <c r="E10" s="1063">
        <v>192216039.49999997</v>
      </c>
      <c r="F10" s="1063">
        <v>16018003.291666664</v>
      </c>
      <c r="G10" s="1063">
        <v>3844320789.5999999</v>
      </c>
      <c r="H10" s="1063">
        <f>I10*12</f>
        <v>192216039.48000002</v>
      </c>
      <c r="I10" s="1063">
        <v>16018003.290000001</v>
      </c>
      <c r="J10" s="1064">
        <f>$I$10/($K$5*1000)</f>
        <v>0.63380514005654398</v>
      </c>
      <c r="K10" s="1064">
        <f>($I$10/$K$6)/$K$5</f>
        <v>4.0769660366431495E-2</v>
      </c>
    </row>
    <row r="11" spans="2:11" x14ac:dyDescent="0.25">
      <c r="B11" s="1012">
        <f>B10+1</f>
        <v>2</v>
      </c>
      <c r="C11" s="1065" t="s">
        <v>491</v>
      </c>
      <c r="D11" s="1015">
        <v>247144032</v>
      </c>
      <c r="E11" s="1017">
        <v>12357201.600000001</v>
      </c>
      <c r="F11" s="1017">
        <v>1029766.8000000002</v>
      </c>
      <c r="G11" s="1017">
        <v>247144031.75</v>
      </c>
      <c r="H11" s="1017">
        <f>I11*12</f>
        <v>12357201.5875</v>
      </c>
      <c r="I11" s="1017">
        <v>1029766.7989583333</v>
      </c>
      <c r="J11" s="1018">
        <f>$I$11/($K$5*1000)</f>
        <v>4.0746120376116204E-2</v>
      </c>
      <c r="K11" s="1018">
        <f>($I$11/$K$6)/$K$5</f>
        <v>2.6210034977560918E-3</v>
      </c>
    </row>
    <row r="12" spans="2:11" x14ac:dyDescent="0.25">
      <c r="B12" s="1012">
        <f t="shared" ref="B12:B71" si="1">B11+1</f>
        <v>3</v>
      </c>
      <c r="C12" s="1065" t="s">
        <v>492</v>
      </c>
      <c r="D12" s="1015">
        <v>199088248</v>
      </c>
      <c r="E12" s="1017">
        <v>12429395.071824417</v>
      </c>
      <c r="F12" s="1017">
        <v>1035782.9226520347</v>
      </c>
      <c r="G12" s="1017">
        <v>397086862.12595332</v>
      </c>
      <c r="H12" s="1017">
        <f t="shared" ref="H12:H71" si="2">I12*12</f>
        <v>19854343.106297664</v>
      </c>
      <c r="I12" s="1017">
        <v>1654528.5921914722</v>
      </c>
      <c r="J12" s="1018">
        <f>$I$12/($K$5*1000)</f>
        <v>6.5466881677826938E-2</v>
      </c>
      <c r="K12" s="1018">
        <f>($I$12/$K$6)/$K$5</f>
        <v>4.2111721135872204E-3</v>
      </c>
    </row>
    <row r="13" spans="2:11" x14ac:dyDescent="0.25">
      <c r="B13" s="1012">
        <f t="shared" si="1"/>
        <v>4</v>
      </c>
      <c r="C13" s="1065" t="s">
        <v>493</v>
      </c>
      <c r="D13" s="1015">
        <v>53111657402</v>
      </c>
      <c r="E13" s="1017">
        <v>2655582870.099999</v>
      </c>
      <c r="F13" s="1017">
        <v>221298572.50833324</v>
      </c>
      <c r="G13" s="1017">
        <v>53111657403.529999</v>
      </c>
      <c r="H13" s="1017">
        <f t="shared" si="2"/>
        <v>2655582870.1764994</v>
      </c>
      <c r="I13" s="1017">
        <v>221298572.51470828</v>
      </c>
      <c r="J13" s="1018">
        <f>$I$13/($K$5*1000)</f>
        <v>8.756408037109221</v>
      </c>
      <c r="K13" s="1018">
        <f>($I$13/$K$6)/$K$5</f>
        <v>0.56325794655276085</v>
      </c>
    </row>
    <row r="14" spans="2:11" x14ac:dyDescent="0.25">
      <c r="B14" s="1012">
        <f t="shared" si="1"/>
        <v>5</v>
      </c>
      <c r="C14" s="1065" t="s">
        <v>494</v>
      </c>
      <c r="D14" s="1015">
        <v>1392076443.1299996</v>
      </c>
      <c r="E14" s="1017">
        <v>70956821.50959149</v>
      </c>
      <c r="F14" s="1017">
        <v>5913068.4591326239</v>
      </c>
      <c r="G14" s="1017">
        <v>1500316391.3773193</v>
      </c>
      <c r="H14" s="1017">
        <f t="shared" si="2"/>
        <v>75015819.56886597</v>
      </c>
      <c r="I14" s="1017">
        <v>6251318.2974054972</v>
      </c>
      <c r="J14" s="1018">
        <f>$I$14/($K$5*1000)</f>
        <v>0.24735403016795904</v>
      </c>
      <c r="K14" s="1018">
        <f>($I$14/$K$6)/$K$5</f>
        <v>1.591110447497485E-2</v>
      </c>
    </row>
    <row r="15" spans="2:11" x14ac:dyDescent="0.25">
      <c r="B15" s="1012">
        <f t="shared" si="1"/>
        <v>6</v>
      </c>
      <c r="C15" s="1065" t="s">
        <v>495</v>
      </c>
      <c r="D15" s="1015">
        <v>22378266872</v>
      </c>
      <c r="E15" s="1017">
        <v>1118913343.5999999</v>
      </c>
      <c r="F15" s="1017">
        <v>93242778.633333325</v>
      </c>
      <c r="G15" s="1017">
        <v>22378266872.27499</v>
      </c>
      <c r="H15" s="1017">
        <f t="shared" si="2"/>
        <v>1118913343.6137495</v>
      </c>
      <c r="I15" s="1017">
        <v>93242778.63447912</v>
      </c>
      <c r="J15" s="1018">
        <f>$I$15/($K$5*1000)</f>
        <v>3.6894581241959132</v>
      </c>
      <c r="K15" s="1018">
        <f>($I$15/$K$6)/$K$5</f>
        <v>0.23732523634349112</v>
      </c>
    </row>
    <row r="16" spans="2:11" x14ac:dyDescent="0.25">
      <c r="B16" s="1012">
        <f t="shared" si="1"/>
        <v>7</v>
      </c>
      <c r="C16" s="1065" t="s">
        <v>496</v>
      </c>
      <c r="D16" s="1015">
        <v>22378266872</v>
      </c>
      <c r="E16" s="1017">
        <v>1118913343.5999999</v>
      </c>
      <c r="F16" s="1017">
        <v>93242778.633333325</v>
      </c>
      <c r="G16" s="1017">
        <v>22378266872.274998</v>
      </c>
      <c r="H16" s="1017">
        <f t="shared" si="2"/>
        <v>1118913343.61375</v>
      </c>
      <c r="I16" s="1017">
        <v>93242778.634479165</v>
      </c>
      <c r="J16" s="1018">
        <f>$I$16/($K$5*1000)</f>
        <v>3.689458124195915</v>
      </c>
      <c r="K16" s="1018">
        <f>($I$16/$K$6)/$K$5</f>
        <v>0.23732523634349123</v>
      </c>
    </row>
    <row r="17" spans="2:11" x14ac:dyDescent="0.25">
      <c r="B17" s="1012">
        <f t="shared" si="1"/>
        <v>8</v>
      </c>
      <c r="C17" s="1065" t="s">
        <v>497</v>
      </c>
      <c r="D17" s="1015">
        <v>22548996820</v>
      </c>
      <c r="E17" s="1017">
        <v>1127449840.9999998</v>
      </c>
      <c r="F17" s="1017">
        <v>93954153.416666642</v>
      </c>
      <c r="G17" s="1017">
        <v>22548996819.889999</v>
      </c>
      <c r="H17" s="1017">
        <f t="shared" si="2"/>
        <v>1127449840.9944999</v>
      </c>
      <c r="I17" s="1017">
        <v>93954153.416208327</v>
      </c>
      <c r="J17" s="1018">
        <f>$I$17/($K$5*1000)</f>
        <v>3.7176060141047667</v>
      </c>
      <c r="K17" s="1018">
        <f>($I$17/$K$6)/$K$5</f>
        <v>0.23913585578957716</v>
      </c>
    </row>
    <row r="18" spans="2:11" x14ac:dyDescent="0.25">
      <c r="B18" s="1012">
        <f t="shared" si="1"/>
        <v>9</v>
      </c>
      <c r="C18" s="1065" t="s">
        <v>498</v>
      </c>
      <c r="D18" s="1015">
        <v>3242778116</v>
      </c>
      <c r="E18" s="1017">
        <v>166633458.44554368</v>
      </c>
      <c r="F18" s="1017">
        <v>13886121.53712864</v>
      </c>
      <c r="G18" s="1017">
        <v>3602342327.2934937</v>
      </c>
      <c r="H18" s="1017">
        <f t="shared" si="2"/>
        <v>180117116.36467469</v>
      </c>
      <c r="I18" s="1017">
        <v>15009759.697056225</v>
      </c>
      <c r="J18" s="1018">
        <f>$I$18/($K$5*1000)</f>
        <v>0.59391065632674056</v>
      </c>
      <c r="K18" s="1018">
        <f>($I$18/$K$6)/$K$5</f>
        <v>3.8203438590424584E-2</v>
      </c>
    </row>
    <row r="19" spans="2:11" x14ac:dyDescent="0.25">
      <c r="B19" s="1012">
        <f t="shared" si="1"/>
        <v>10</v>
      </c>
      <c r="C19" s="1065" t="s">
        <v>499</v>
      </c>
      <c r="D19" s="1015">
        <v>3088358215.0299997</v>
      </c>
      <c r="E19" s="1017">
        <v>167987620.50608689</v>
      </c>
      <c r="F19" s="1017">
        <v>13998968.375507241</v>
      </c>
      <c r="G19" s="1017">
        <v>4173934995.3969541</v>
      </c>
      <c r="H19" s="1017">
        <f t="shared" si="2"/>
        <v>208696749.76984769</v>
      </c>
      <c r="I19" s="1017">
        <v>17391395.814153973</v>
      </c>
      <c r="J19" s="1018">
        <f>$I$19/($K$5*1000)</f>
        <v>0.68814794579609873</v>
      </c>
      <c r="K19" s="1018">
        <f>($I$19/$K$6)/$K$5</f>
        <v>4.426527375505588E-2</v>
      </c>
    </row>
    <row r="20" spans="2:11" x14ac:dyDescent="0.25">
      <c r="B20" s="1012">
        <f t="shared" si="1"/>
        <v>11</v>
      </c>
      <c r="C20" s="1065" t="s">
        <v>500</v>
      </c>
      <c r="D20" s="1015">
        <v>1306714556.04</v>
      </c>
      <c r="E20" s="1017">
        <v>65335727.801999979</v>
      </c>
      <c r="F20" s="1017">
        <v>5444643.9834999982</v>
      </c>
      <c r="G20" s="1017">
        <v>1306714556.04</v>
      </c>
      <c r="H20" s="1017">
        <f t="shared" si="2"/>
        <v>65335727.801999986</v>
      </c>
      <c r="I20" s="1017">
        <v>5444643.9834999992</v>
      </c>
      <c r="J20" s="1018">
        <f>$I$20/($K$5*1000)</f>
        <v>0.21543529989624796</v>
      </c>
      <c r="K20" s="1018">
        <f>($I$20/$K$6)/$K$5</f>
        <v>1.3857924861459406E-2</v>
      </c>
    </row>
    <row r="21" spans="2:11" x14ac:dyDescent="0.25">
      <c r="B21" s="1012">
        <f t="shared" si="1"/>
        <v>12</v>
      </c>
      <c r="C21" s="1065" t="s">
        <v>493</v>
      </c>
      <c r="D21" s="1015">
        <v>0</v>
      </c>
      <c r="E21" s="1017">
        <v>0</v>
      </c>
      <c r="F21" s="1017">
        <v>0</v>
      </c>
      <c r="G21" s="1017">
        <v>0</v>
      </c>
      <c r="H21" s="1017">
        <f t="shared" si="2"/>
        <v>0</v>
      </c>
      <c r="I21" s="1017">
        <v>0</v>
      </c>
      <c r="J21" s="1018">
        <f>$I$21/($K$5*1000)</f>
        <v>0</v>
      </c>
      <c r="K21" s="1018">
        <f>($I$21/$K$6)/$K$5</f>
        <v>0</v>
      </c>
    </row>
    <row r="22" spans="2:11" x14ac:dyDescent="0.25">
      <c r="B22" s="1012">
        <f t="shared" si="1"/>
        <v>13</v>
      </c>
      <c r="C22" s="1065" t="s">
        <v>501</v>
      </c>
      <c r="D22" s="1015">
        <v>26865966199</v>
      </c>
      <c r="E22" s="1017">
        <v>1343298309.95</v>
      </c>
      <c r="F22" s="1017">
        <v>111941525.82916667</v>
      </c>
      <c r="G22" s="1017">
        <v>26865966198.669998</v>
      </c>
      <c r="H22" s="1017">
        <f t="shared" si="2"/>
        <v>1895783032.6504397</v>
      </c>
      <c r="I22" s="1017">
        <v>157981919.38753664</v>
      </c>
      <c r="J22" s="1018">
        <f>$I$22/($K$5*1000)</f>
        <v>6.2510757883493548</v>
      </c>
      <c r="K22" s="1018">
        <f>($I$22/$K$6)/$K$5</f>
        <v>0.40210187754723747</v>
      </c>
    </row>
    <row r="23" spans="2:11" x14ac:dyDescent="0.25">
      <c r="B23" s="1012">
        <f t="shared" si="1"/>
        <v>14</v>
      </c>
      <c r="C23" s="1065" t="s">
        <v>502</v>
      </c>
      <c r="D23" s="1015">
        <v>808088751</v>
      </c>
      <c r="E23" s="1017">
        <v>52164852.670642003</v>
      </c>
      <c r="F23" s="1017">
        <v>4347071.0558868339</v>
      </c>
      <c r="G23" s="1017">
        <v>1748921960.5313604</v>
      </c>
      <c r="H23" s="1017">
        <f t="shared" si="2"/>
        <v>87446098.026568025</v>
      </c>
      <c r="I23" s="1017">
        <v>7287174.8355473354</v>
      </c>
      <c r="J23" s="1018">
        <f>$I$23/($K$5*1000)</f>
        <v>0.28834111116358757</v>
      </c>
      <c r="K23" s="1018">
        <f>($I$23/$K$6)/$K$5</f>
        <v>1.854760781960553E-2</v>
      </c>
    </row>
    <row r="24" spans="2:11" x14ac:dyDescent="0.25">
      <c r="B24" s="1012">
        <f t="shared" si="1"/>
        <v>15</v>
      </c>
      <c r="C24" s="1065" t="s">
        <v>503</v>
      </c>
      <c r="D24" s="1015">
        <v>669445527</v>
      </c>
      <c r="E24" s="1017">
        <v>33472276.350000005</v>
      </c>
      <c r="F24" s="1017">
        <v>2789356.3625000003</v>
      </c>
      <c r="G24" s="1017">
        <v>669445526.98000002</v>
      </c>
      <c r="H24" s="1017">
        <f t="shared" si="2"/>
        <v>33472276.348999999</v>
      </c>
      <c r="I24" s="1017">
        <v>2789356.3624166665</v>
      </c>
      <c r="J24" s="1018">
        <f>$I$24/($K$5*1000)</f>
        <v>0.11037008595527061</v>
      </c>
      <c r="K24" s="1018">
        <f>($I$24/$K$6)/$K$5</f>
        <v>7.0995809825852695E-3</v>
      </c>
    </row>
    <row r="25" spans="2:11" x14ac:dyDescent="0.25">
      <c r="B25" s="1012">
        <f t="shared" si="1"/>
        <v>16</v>
      </c>
      <c r="C25" s="1065" t="s">
        <v>493</v>
      </c>
      <c r="D25" s="1015">
        <v>0</v>
      </c>
      <c r="E25" s="1017">
        <v>0</v>
      </c>
      <c r="F25" s="1017">
        <v>0</v>
      </c>
      <c r="G25" s="1017">
        <v>0</v>
      </c>
      <c r="H25" s="1017">
        <f t="shared" si="2"/>
        <v>0</v>
      </c>
      <c r="I25" s="1017">
        <v>0</v>
      </c>
      <c r="J25" s="1018">
        <f>$I$25/($K$5*1000)</f>
        <v>0</v>
      </c>
      <c r="K25" s="1018">
        <f>($I$25/$K$6)/$K$5</f>
        <v>0</v>
      </c>
    </row>
    <row r="26" spans="2:11" x14ac:dyDescent="0.25">
      <c r="B26" s="1012">
        <f t="shared" si="1"/>
        <v>17</v>
      </c>
      <c r="C26" s="1065" t="s">
        <v>504</v>
      </c>
      <c r="D26" s="1015">
        <v>35739000</v>
      </c>
      <c r="E26" s="1017">
        <v>3573900</v>
      </c>
      <c r="F26" s="1017">
        <v>297825</v>
      </c>
      <c r="G26" s="1017">
        <v>35739000</v>
      </c>
      <c r="H26" s="1017">
        <f t="shared" si="2"/>
        <v>3573900</v>
      </c>
      <c r="I26" s="1017">
        <v>297825</v>
      </c>
      <c r="J26" s="1018">
        <f>$I$26/($K$5*1000)</f>
        <v>1.1784428584503069E-2</v>
      </c>
      <c r="K26" s="1018">
        <f>($I$26/$K$6)/$K$5</f>
        <v>7.5803605972617194E-4</v>
      </c>
    </row>
    <row r="27" spans="2:11" x14ac:dyDescent="0.25">
      <c r="B27" s="1012">
        <f t="shared" si="1"/>
        <v>18</v>
      </c>
      <c r="C27" s="1065" t="s">
        <v>505</v>
      </c>
      <c r="D27" s="1015">
        <v>537402145</v>
      </c>
      <c r="E27" s="1017">
        <v>26870107.250000004</v>
      </c>
      <c r="F27" s="1017">
        <v>2239175.604166667</v>
      </c>
      <c r="G27" s="1017">
        <v>537402145</v>
      </c>
      <c r="H27" s="1017">
        <f t="shared" si="2"/>
        <v>26870107.25</v>
      </c>
      <c r="I27" s="1017">
        <v>2239175.6041666665</v>
      </c>
      <c r="J27" s="1018">
        <f>$I$27/($K$5*1000)</f>
        <v>8.8600369329181888E-2</v>
      </c>
      <c r="K27" s="1018">
        <f>($I$27/$K$6)/$K$5</f>
        <v>5.6992389893980372E-3</v>
      </c>
    </row>
    <row r="28" spans="2:11" x14ac:dyDescent="0.25">
      <c r="B28" s="1012">
        <f t="shared" si="1"/>
        <v>19</v>
      </c>
      <c r="C28" s="1065" t="s">
        <v>506</v>
      </c>
      <c r="D28" s="1015">
        <v>1071796228</v>
      </c>
      <c r="E28" s="1017">
        <v>26794905.699999999</v>
      </c>
      <c r="F28" s="1017">
        <v>2232908.8083333331</v>
      </c>
      <c r="G28" s="1017">
        <v>1071796228</v>
      </c>
      <c r="H28" s="1017">
        <f t="shared" si="2"/>
        <v>53589811.399999991</v>
      </c>
      <c r="I28" s="1017">
        <v>4465817.6166666662</v>
      </c>
      <c r="J28" s="1018">
        <f>$I$28/($K$5*1000)</f>
        <v>0.17670480575849587</v>
      </c>
      <c r="K28" s="1018">
        <f>($I$28/$K$6)/$K$5</f>
        <v>1.1366576981763531E-2</v>
      </c>
    </row>
    <row r="29" spans="2:11" x14ac:dyDescent="0.25">
      <c r="B29" s="1012">
        <f t="shared" si="1"/>
        <v>20</v>
      </c>
      <c r="C29" s="1065" t="s">
        <v>507</v>
      </c>
      <c r="D29" s="1015">
        <v>236594750</v>
      </c>
      <c r="E29" s="1017">
        <v>67601093.483989701</v>
      </c>
      <c r="F29" s="1017">
        <v>5633424.4569991417</v>
      </c>
      <c r="G29" s="1017">
        <v>3751924228.7191768</v>
      </c>
      <c r="H29" s="1017">
        <f t="shared" si="2"/>
        <v>199425948.93595883</v>
      </c>
      <c r="I29" s="1017">
        <v>16618829.077996569</v>
      </c>
      <c r="J29" s="1018">
        <f>$I$29/($K$5*1000)</f>
        <v>0.65757879435142641</v>
      </c>
      <c r="K29" s="1018">
        <f>($I$29/$K$6)/$K$5</f>
        <v>4.2298906107772177E-2</v>
      </c>
    </row>
    <row r="30" spans="2:11" x14ac:dyDescent="0.25">
      <c r="B30" s="1012">
        <f t="shared" si="1"/>
        <v>21</v>
      </c>
      <c r="C30" s="1065" t="s">
        <v>508</v>
      </c>
      <c r="D30" s="1015">
        <v>30414179484</v>
      </c>
      <c r="E30" s="1017">
        <v>1612030479.5500002</v>
      </c>
      <c r="F30" s="1017">
        <v>134335873.29583335</v>
      </c>
      <c r="G30" s="1017">
        <v>30414179484.479996</v>
      </c>
      <c r="H30" s="1017">
        <f t="shared" si="2"/>
        <v>1710615892.4508348</v>
      </c>
      <c r="I30" s="1017">
        <v>142551324.3709029</v>
      </c>
      <c r="J30" s="1018">
        <f>$I$30/($K$5*1000)</f>
        <v>5.6405133943598997</v>
      </c>
      <c r="K30" s="1018">
        <f>($I$30/$K$6)/$K$5</f>
        <v>0.36282731212915859</v>
      </c>
    </row>
    <row r="31" spans="2:11" x14ac:dyDescent="0.25">
      <c r="B31" s="1012">
        <f t="shared" si="1"/>
        <v>22</v>
      </c>
      <c r="C31" s="1065" t="s">
        <v>509</v>
      </c>
      <c r="D31" s="1015">
        <v>15714477178</v>
      </c>
      <c r="E31" s="1017">
        <v>1590698081.0625</v>
      </c>
      <c r="F31" s="1017">
        <v>132558173.421875</v>
      </c>
      <c r="G31" s="1017">
        <v>15714477178.919996</v>
      </c>
      <c r="H31" s="1017">
        <f t="shared" si="2"/>
        <v>1689283494.0092032</v>
      </c>
      <c r="I31" s="1017">
        <v>140773624.50076693</v>
      </c>
      <c r="J31" s="1018">
        <f>$I$31/($K$5*1000)</f>
        <v>5.5701728347551063</v>
      </c>
      <c r="K31" s="1018">
        <f>($I$31/$K$6)/$K$5</f>
        <v>0.3583026395699927</v>
      </c>
    </row>
    <row r="32" spans="2:11" x14ac:dyDescent="0.25">
      <c r="B32" s="1012">
        <f t="shared" si="1"/>
        <v>23</v>
      </c>
      <c r="C32" s="1065" t="s">
        <v>510</v>
      </c>
      <c r="D32" s="1015">
        <v>39160256164.880692</v>
      </c>
      <c r="E32" s="1017">
        <v>1815696823.0725431</v>
      </c>
      <c r="F32" s="1017">
        <v>151308068.5893786</v>
      </c>
      <c r="G32" s="1017">
        <v>39160256163.939995</v>
      </c>
      <c r="H32" s="1017">
        <f t="shared" si="2"/>
        <v>1914282235.9513264</v>
      </c>
      <c r="I32" s="1017">
        <v>159523519.66261053</v>
      </c>
      <c r="J32" s="1018">
        <f>$I$32/($K$5*1000)</f>
        <v>6.3120742886346175</v>
      </c>
      <c r="K32" s="1018">
        <f>($I$32/$K$6)/$K$5</f>
        <v>0.4060256200073728</v>
      </c>
    </row>
    <row r="33" spans="2:12" x14ac:dyDescent="0.25">
      <c r="B33" s="1012">
        <f t="shared" si="1"/>
        <v>24</v>
      </c>
      <c r="C33" s="1065" t="s">
        <v>511</v>
      </c>
      <c r="D33" s="1015">
        <v>26158484525</v>
      </c>
      <c r="E33" s="1017">
        <v>1546139031.6360409</v>
      </c>
      <c r="F33" s="1017">
        <v>128844919.30300342</v>
      </c>
      <c r="G33" s="1017">
        <v>26158484522.87001</v>
      </c>
      <c r="H33" s="1017">
        <f t="shared" si="2"/>
        <v>2104335894.8711185</v>
      </c>
      <c r="I33" s="1017">
        <v>175361324.57259321</v>
      </c>
      <c r="J33" s="1018">
        <f>$I$33/($K$5*1000)</f>
        <v>6.9387492853507533</v>
      </c>
      <c r="K33" s="1018">
        <f>($I$33/$K$6)/$K$5</f>
        <v>0.44633663227523174</v>
      </c>
    </row>
    <row r="34" spans="2:12" x14ac:dyDescent="0.25">
      <c r="B34" s="1012">
        <f t="shared" si="1"/>
        <v>25</v>
      </c>
      <c r="C34" s="1065" t="s">
        <v>512</v>
      </c>
      <c r="D34" s="1015">
        <v>44700543389</v>
      </c>
      <c r="E34" s="1017">
        <v>2525781268.3374996</v>
      </c>
      <c r="F34" s="1017">
        <v>210481772.3614583</v>
      </c>
      <c r="G34" s="1017">
        <v>44700543388.480034</v>
      </c>
      <c r="H34" s="1017">
        <f t="shared" si="2"/>
        <v>2624366681.1205378</v>
      </c>
      <c r="I34" s="1017">
        <v>218697223.4267115</v>
      </c>
      <c r="J34" s="1018">
        <f>$I$34/($K$5*1000)</f>
        <v>8.6534770791612292</v>
      </c>
      <c r="K34" s="1018">
        <f>($I$34/$K$6)/$K$5</f>
        <v>0.55663688917800269</v>
      </c>
    </row>
    <row r="35" spans="2:12" x14ac:dyDescent="0.25">
      <c r="B35" s="1012">
        <f t="shared" si="1"/>
        <v>26</v>
      </c>
      <c r="C35" s="1065" t="s">
        <v>513</v>
      </c>
      <c r="D35" s="1015">
        <v>12406716786</v>
      </c>
      <c r="E35" s="1017">
        <v>697263539.22500026</v>
      </c>
      <c r="F35" s="1017">
        <v>58105294.935416691</v>
      </c>
      <c r="G35" s="1017">
        <v>12406716785.500004</v>
      </c>
      <c r="H35" s="1017">
        <f t="shared" si="2"/>
        <v>697263539.18067789</v>
      </c>
      <c r="I35" s="1017">
        <v>58105294.931723163</v>
      </c>
      <c r="J35" s="1018">
        <f>$I$35/($K$5*1000)</f>
        <v>2.2991276706266426</v>
      </c>
      <c r="K35" s="1018">
        <f>($I$35/$K$6)/$K$5</f>
        <v>0.14789191242934788</v>
      </c>
    </row>
    <row r="36" spans="2:12" x14ac:dyDescent="0.25">
      <c r="B36" s="1012">
        <f t="shared" si="1"/>
        <v>27</v>
      </c>
      <c r="C36" s="1065" t="s">
        <v>514</v>
      </c>
      <c r="D36" s="1015">
        <v>2279256408</v>
      </c>
      <c r="E36" s="1017">
        <v>168443707.171875</v>
      </c>
      <c r="F36" s="1017">
        <v>14036975.59765625</v>
      </c>
      <c r="G36" s="1017">
        <v>2279256406.4351387</v>
      </c>
      <c r="H36" s="1017">
        <f t="shared" si="2"/>
        <v>203668384.116157</v>
      </c>
      <c r="I36" s="1017">
        <v>16972365.343013082</v>
      </c>
      <c r="J36" s="1018">
        <f>$I$36/($K$5*1000)</f>
        <v>0.67156762291557992</v>
      </c>
      <c r="K36" s="1018">
        <f>($I$36/$K$6)/$K$5</f>
        <v>4.3198740699574162E-2</v>
      </c>
    </row>
    <row r="37" spans="2:12" x14ac:dyDescent="0.25">
      <c r="B37" s="1012">
        <f t="shared" si="1"/>
        <v>28</v>
      </c>
      <c r="C37" s="1065" t="s">
        <v>515</v>
      </c>
      <c r="D37" s="1015">
        <v>8173671310</v>
      </c>
      <c r="E37" s="1017">
        <v>501654825.27499992</v>
      </c>
      <c r="F37" s="1017">
        <v>41804568.77291666</v>
      </c>
      <c r="G37" s="1017">
        <v>8173671308.9999981</v>
      </c>
      <c r="H37" s="1017">
        <f t="shared" si="2"/>
        <v>518407225.14050961</v>
      </c>
      <c r="I37" s="1017">
        <v>43200602.095042467</v>
      </c>
      <c r="J37" s="1018">
        <f>$I$37/($K$5*1000)</f>
        <v>1.7093743312232406</v>
      </c>
      <c r="K37" s="1018">
        <f>($I$37/$K$6)/$K$5</f>
        <v>0.10995589419935935</v>
      </c>
    </row>
    <row r="38" spans="2:12" x14ac:dyDescent="0.25">
      <c r="B38" s="1012">
        <f t="shared" si="1"/>
        <v>29</v>
      </c>
      <c r="C38" s="1065" t="s">
        <v>516</v>
      </c>
      <c r="D38" s="1015">
        <v>8136945794.652689</v>
      </c>
      <c r="E38" s="1017">
        <v>469788395.43263459</v>
      </c>
      <c r="F38" s="1017">
        <v>39149032.952719547</v>
      </c>
      <c r="G38" s="1017">
        <v>8136945802.1199989</v>
      </c>
      <c r="H38" s="1017">
        <f t="shared" si="2"/>
        <v>469788395.77994156</v>
      </c>
      <c r="I38" s="1017">
        <v>39149032.981661797</v>
      </c>
      <c r="J38" s="1018">
        <f>$I$38/($K$5*1000)</f>
        <v>1.5490606340124191</v>
      </c>
      <c r="K38" s="1018">
        <f>($I$38/$K$6)/$K$5</f>
        <v>9.9643679017909367E-2</v>
      </c>
    </row>
    <row r="39" spans="2:12" x14ac:dyDescent="0.25">
      <c r="B39" s="1012">
        <f t="shared" si="1"/>
        <v>30</v>
      </c>
      <c r="C39" s="1065" t="s">
        <v>517</v>
      </c>
      <c r="D39" s="1015">
        <v>5554219736</v>
      </c>
      <c r="E39" s="1017">
        <v>370213728.22500008</v>
      </c>
      <c r="F39" s="1017">
        <v>30851144.018750008</v>
      </c>
      <c r="G39" s="1017">
        <v>5554219736.7600012</v>
      </c>
      <c r="H39" s="1017">
        <f t="shared" si="2"/>
        <v>370213728.37244105</v>
      </c>
      <c r="I39" s="1017">
        <v>30851144.031036757</v>
      </c>
      <c r="J39" s="1018">
        <f>$I$39/($K$5*1000)</f>
        <v>1.2207272847610873</v>
      </c>
      <c r="K39" s="1018">
        <f>($I$39/$K$6)/$K$5</f>
        <v>7.8523561350899732E-2</v>
      </c>
    </row>
    <row r="40" spans="2:12" x14ac:dyDescent="0.25">
      <c r="B40" s="1012">
        <f t="shared" si="1"/>
        <v>31</v>
      </c>
      <c r="C40" s="1065" t="s">
        <v>518</v>
      </c>
      <c r="D40" s="1015">
        <v>28411905935</v>
      </c>
      <c r="E40" s="1017">
        <v>1600990284.1625001</v>
      </c>
      <c r="F40" s="1017">
        <v>133415857.01354168</v>
      </c>
      <c r="G40" s="1017">
        <v>28411905934.010002</v>
      </c>
      <c r="H40" s="1017">
        <f t="shared" si="2"/>
        <v>1600990284.0066733</v>
      </c>
      <c r="I40" s="1017">
        <v>133415857.00055611</v>
      </c>
      <c r="J40" s="1018">
        <f>$I$40/($K$5*1000)</f>
        <v>5.2790384919443545</v>
      </c>
      <c r="K40" s="1018">
        <f>($I$40/$K$6)/$K$5</f>
        <v>0.33957535648683612</v>
      </c>
      <c r="L40" s="991">
        <f>H40/12</f>
        <v>133415857.00055611</v>
      </c>
    </row>
    <row r="41" spans="2:12" x14ac:dyDescent="0.25">
      <c r="B41" s="1012">
        <f t="shared" si="1"/>
        <v>32</v>
      </c>
      <c r="C41" s="1065" t="s">
        <v>519</v>
      </c>
      <c r="D41" s="1015">
        <v>8813632097</v>
      </c>
      <c r="E41" s="1017">
        <v>557196884.82499993</v>
      </c>
      <c r="F41" s="1017">
        <v>46433073.735416658</v>
      </c>
      <c r="G41" s="1017">
        <v>8813632095.9899998</v>
      </c>
      <c r="H41" s="1017">
        <f t="shared" si="2"/>
        <v>557196884.7227875</v>
      </c>
      <c r="I41" s="1017">
        <v>46433073.726898961</v>
      </c>
      <c r="J41" s="1018">
        <f>$I$41/($K$5*1000)</f>
        <v>1.8372777345542066</v>
      </c>
      <c r="K41" s="1018">
        <f>($I$41/$K$6)/$K$5</f>
        <v>0.11818330982594921</v>
      </c>
    </row>
    <row r="42" spans="2:12" x14ac:dyDescent="0.25">
      <c r="B42" s="1012">
        <f t="shared" si="1"/>
        <v>33</v>
      </c>
      <c r="C42" s="1065" t="s">
        <v>520</v>
      </c>
      <c r="D42" s="1015">
        <v>4990631887</v>
      </c>
      <c r="E42" s="1017">
        <v>359915737.76250005</v>
      </c>
      <c r="F42" s="1017">
        <v>29992978.146875005</v>
      </c>
      <c r="G42" s="1017">
        <v>4990631885.8800001</v>
      </c>
      <c r="H42" s="1017">
        <f t="shared" si="2"/>
        <v>359915737.56721592</v>
      </c>
      <c r="I42" s="1017">
        <v>29992978.130601324</v>
      </c>
      <c r="J42" s="1018">
        <f>$I$42/($K$5*1000)</f>
        <v>1.1867711200088431</v>
      </c>
      <c r="K42" s="1018">
        <f>($I$42/$K$6)/$K$5</f>
        <v>7.6339323299166539E-2</v>
      </c>
    </row>
    <row r="43" spans="2:12" x14ac:dyDescent="0.25">
      <c r="B43" s="1012">
        <f t="shared" si="1"/>
        <v>34</v>
      </c>
      <c r="C43" s="1065" t="s">
        <v>521</v>
      </c>
      <c r="D43" s="1015">
        <v>11752092639</v>
      </c>
      <c r="E43" s="1017">
        <v>611861933.47500002</v>
      </c>
      <c r="F43" s="1017">
        <v>50988494.456250004</v>
      </c>
      <c r="G43" s="1017">
        <v>11752092638.839998</v>
      </c>
      <c r="H43" s="1017">
        <f t="shared" si="2"/>
        <v>611861933.53528774</v>
      </c>
      <c r="I43" s="1017">
        <v>50988494.461273976</v>
      </c>
      <c r="J43" s="1018">
        <f>$I$43/($K$5*1000)</f>
        <v>2.0175279832459112</v>
      </c>
      <c r="K43" s="1018">
        <f>($I$43/$K$6)/$K$5</f>
        <v>0.12977794823400945</v>
      </c>
    </row>
    <row r="44" spans="2:12" x14ac:dyDescent="0.25">
      <c r="B44" s="1012">
        <f t="shared" si="1"/>
        <v>35</v>
      </c>
      <c r="C44" s="1065" t="s">
        <v>522</v>
      </c>
      <c r="D44" s="1015">
        <v>9891619567</v>
      </c>
      <c r="E44" s="1017">
        <v>899876594.18749964</v>
      </c>
      <c r="F44" s="1017">
        <v>74989716.182291642</v>
      </c>
      <c r="G44" s="1017">
        <v>9891619567.5300026</v>
      </c>
      <c r="H44" s="1017">
        <f t="shared" si="2"/>
        <v>899876594.12820303</v>
      </c>
      <c r="I44" s="1017">
        <v>74989716.177350253</v>
      </c>
      <c r="J44" s="1018">
        <f>$I$44/($K$5*1000)</f>
        <v>2.9672154952208127</v>
      </c>
      <c r="K44" s="1018">
        <f>($I$44/$K$6)/$K$5</f>
        <v>0.19086681430726957</v>
      </c>
    </row>
    <row r="45" spans="2:12" x14ac:dyDescent="0.25">
      <c r="B45" s="1012">
        <f t="shared" si="1"/>
        <v>36</v>
      </c>
      <c r="C45" s="1065" t="s">
        <v>523</v>
      </c>
      <c r="D45" s="1015">
        <v>4518985787</v>
      </c>
      <c r="E45" s="1017">
        <v>244637940.60000005</v>
      </c>
      <c r="F45" s="1017">
        <v>20386495.050000004</v>
      </c>
      <c r="G45" s="1017">
        <v>4518985787.3899994</v>
      </c>
      <c r="H45" s="1017">
        <f t="shared" si="2"/>
        <v>244637940.5848676</v>
      </c>
      <c r="I45" s="1017">
        <v>20386495.048738968</v>
      </c>
      <c r="J45" s="1018">
        <f>$I$45/($K$5*1000)</f>
        <v>0.80665892718942256</v>
      </c>
      <c r="K45" s="1018">
        <f>($I$45/$K$6)/$K$5</f>
        <v>5.1888519695704523E-2</v>
      </c>
    </row>
    <row r="46" spans="2:12" x14ac:dyDescent="0.25">
      <c r="B46" s="1012">
        <f t="shared" si="1"/>
        <v>37</v>
      </c>
      <c r="C46" s="1065" t="s">
        <v>524</v>
      </c>
      <c r="D46" s="1015">
        <v>34206697993</v>
      </c>
      <c r="E46" s="1017">
        <v>3139434562.2500439</v>
      </c>
      <c r="F46" s="1017">
        <v>261619546.85417032</v>
      </c>
      <c r="G46" s="1017">
        <v>121634364373.43024</v>
      </c>
      <c r="H46" s="1017">
        <f t="shared" si="2"/>
        <v>7874623587.8125553</v>
      </c>
      <c r="I46" s="1017">
        <v>656218632.3177129</v>
      </c>
      <c r="J46" s="1018">
        <f>$I$46/($K$5*1000)</f>
        <v>25.96545490932046</v>
      </c>
      <c r="K46" s="1018">
        <f>($I$46/$K$6)/$K$5</f>
        <v>1.6702338163720867</v>
      </c>
    </row>
    <row r="47" spans="2:12" x14ac:dyDescent="0.25">
      <c r="B47" s="1012">
        <f t="shared" si="1"/>
        <v>38</v>
      </c>
      <c r="C47" s="1065" t="s">
        <v>525</v>
      </c>
      <c r="D47" s="1015">
        <v>93804025615</v>
      </c>
      <c r="E47" s="1017">
        <v>6310838834.0541668</v>
      </c>
      <c r="F47" s="1017">
        <v>525903236.17118055</v>
      </c>
      <c r="G47" s="1017">
        <v>93804025613.289978</v>
      </c>
      <c r="H47" s="1017">
        <f t="shared" si="2"/>
        <v>6332772167.2313156</v>
      </c>
      <c r="I47" s="1017">
        <v>527731013.93594301</v>
      </c>
      <c r="J47" s="1018">
        <f>$I$47/($K$5*1000)</f>
        <v>20.881418435509158</v>
      </c>
      <c r="K47" s="1018">
        <f>($I$47/$K$6)/$K$5</f>
        <v>1.3432020092312591</v>
      </c>
    </row>
    <row r="48" spans="2:12" x14ac:dyDescent="0.25">
      <c r="B48" s="1012">
        <f t="shared" si="1"/>
        <v>39</v>
      </c>
      <c r="C48" s="1065" t="s">
        <v>526</v>
      </c>
      <c r="D48" s="1015">
        <v>69305898501</v>
      </c>
      <c r="E48" s="1017">
        <v>4714142216.8125</v>
      </c>
      <c r="F48" s="1017">
        <v>392845184.734375</v>
      </c>
      <c r="G48" s="1017">
        <v>69305898500.289993</v>
      </c>
      <c r="H48" s="1017">
        <f t="shared" si="2"/>
        <v>4714142216.7859001</v>
      </c>
      <c r="I48" s="1017">
        <v>392845184.7321583</v>
      </c>
      <c r="J48" s="1018">
        <f>$I$48/($K$5*1000)</f>
        <v>15.544215644227434</v>
      </c>
      <c r="K48" s="1018">
        <f>($I$48/$K$6)/$K$5</f>
        <v>0.99988522090746368</v>
      </c>
    </row>
    <row r="49" spans="2:11" x14ac:dyDescent="0.25">
      <c r="B49" s="1012">
        <f t="shared" si="1"/>
        <v>40</v>
      </c>
      <c r="C49" s="1065" t="s">
        <v>527</v>
      </c>
      <c r="D49" s="1015">
        <v>1222833568</v>
      </c>
      <c r="E49" s="1017">
        <v>76427098</v>
      </c>
      <c r="F49" s="1017">
        <v>6368924.833333333</v>
      </c>
      <c r="G49" s="1017">
        <v>1222833567.6900001</v>
      </c>
      <c r="H49" s="1017">
        <f t="shared" si="2"/>
        <v>76427097.980625004</v>
      </c>
      <c r="I49" s="1017">
        <v>6368924.8317187503</v>
      </c>
      <c r="J49" s="1018">
        <f>$I$49/($K$5*1000)</f>
        <v>0.25200752065628418</v>
      </c>
      <c r="K49" s="1018">
        <f>($I$49/$K$6)/$K$5</f>
        <v>1.6210441313282142E-2</v>
      </c>
    </row>
    <row r="50" spans="2:11" x14ac:dyDescent="0.25">
      <c r="B50" s="1012">
        <f t="shared" si="1"/>
        <v>41</v>
      </c>
      <c r="C50" s="1065" t="s">
        <v>528</v>
      </c>
      <c r="D50" s="1015">
        <v>2557397646</v>
      </c>
      <c r="E50" s="1017">
        <v>127869882.30000001</v>
      </c>
      <c r="F50" s="1017">
        <v>10655823.525</v>
      </c>
      <c r="G50" s="1017">
        <v>2557397645.6100001</v>
      </c>
      <c r="H50" s="1017">
        <f t="shared" si="2"/>
        <v>127869882.28050001</v>
      </c>
      <c r="I50" s="1017">
        <v>10655823.523375001</v>
      </c>
      <c r="J50" s="1018">
        <f>$I$50/($K$5*1000)</f>
        <v>0.42163280893236155</v>
      </c>
      <c r="K50" s="1018">
        <f>($I$50/$K$6)/$K$5</f>
        <v>2.7121626716348997E-2</v>
      </c>
    </row>
    <row r="51" spans="2:11" x14ac:dyDescent="0.25">
      <c r="B51" s="1012">
        <f t="shared" si="1"/>
        <v>42</v>
      </c>
      <c r="C51" s="1065" t="s">
        <v>529</v>
      </c>
      <c r="D51" s="1015">
        <v>30580769059</v>
      </c>
      <c r="E51" s="1017">
        <v>1658149317.4009175</v>
      </c>
      <c r="F51" s="1017">
        <v>138179109.7834098</v>
      </c>
      <c r="G51" s="1017">
        <v>30797884415.073391</v>
      </c>
      <c r="H51" s="1017">
        <f t="shared" si="2"/>
        <v>2888992764.2857904</v>
      </c>
      <c r="I51" s="1017">
        <v>240749397.02381587</v>
      </c>
      <c r="J51" s="1018">
        <f>$I$51/($K$5*1000)</f>
        <v>9.5260440728257674</v>
      </c>
      <c r="K51" s="1018">
        <f>($I$51/$K$6)/$K$5</f>
        <v>0.6127649603001265</v>
      </c>
    </row>
    <row r="52" spans="2:11" x14ac:dyDescent="0.25">
      <c r="B52" s="1012">
        <f t="shared" si="1"/>
        <v>43</v>
      </c>
      <c r="C52" s="1065" t="s">
        <v>530</v>
      </c>
      <c r="D52" s="1015">
        <v>2460303143</v>
      </c>
      <c r="E52" s="1017">
        <v>153768946.4375</v>
      </c>
      <c r="F52" s="1017">
        <v>12814078.869791666</v>
      </c>
      <c r="G52" s="1017">
        <v>2460303143</v>
      </c>
      <c r="H52" s="1017">
        <f t="shared" si="2"/>
        <v>153768946.4375</v>
      </c>
      <c r="I52" s="1017">
        <v>12814078.869791666</v>
      </c>
      <c r="J52" s="1018">
        <f>$I$52/($K$5*1000)</f>
        <v>0.50703130132544183</v>
      </c>
      <c r="K52" s="1018">
        <f>($I$52/$K$6)/$K$5</f>
        <v>3.2614904240669096E-2</v>
      </c>
    </row>
    <row r="53" spans="2:11" x14ac:dyDescent="0.25">
      <c r="B53" s="1012">
        <f t="shared" si="1"/>
        <v>44</v>
      </c>
      <c r="C53" s="1065" t="s">
        <v>529</v>
      </c>
      <c r="D53" s="1015">
        <v>0</v>
      </c>
      <c r="E53" s="1017">
        <v>0</v>
      </c>
      <c r="F53" s="1017">
        <v>0</v>
      </c>
      <c r="G53" s="1017">
        <v>0</v>
      </c>
      <c r="H53" s="1017">
        <f t="shared" si="2"/>
        <v>0</v>
      </c>
      <c r="I53" s="1017">
        <v>0</v>
      </c>
      <c r="J53" s="1018">
        <f>$I$53/($K$5*1000)</f>
        <v>0</v>
      </c>
      <c r="K53" s="1018">
        <f>($I$53/$K$6)/$K$5</f>
        <v>0</v>
      </c>
    </row>
    <row r="54" spans="2:11" x14ac:dyDescent="0.25">
      <c r="B54" s="1012">
        <f t="shared" si="1"/>
        <v>45</v>
      </c>
      <c r="C54" s="1065" t="s">
        <v>529</v>
      </c>
      <c r="D54" s="1015">
        <v>0</v>
      </c>
      <c r="E54" s="1017">
        <v>0</v>
      </c>
      <c r="F54" s="1017">
        <v>0</v>
      </c>
      <c r="G54" s="1017">
        <v>0</v>
      </c>
      <c r="H54" s="1017">
        <f t="shared" si="2"/>
        <v>0</v>
      </c>
      <c r="I54" s="1017">
        <v>0</v>
      </c>
      <c r="J54" s="1018">
        <f>$I$54/($K$5*1000)</f>
        <v>0</v>
      </c>
      <c r="K54" s="1018">
        <f>($I$54/$K$6)/$K$5</f>
        <v>0</v>
      </c>
    </row>
    <row r="55" spans="2:11" x14ac:dyDescent="0.25">
      <c r="B55" s="1012">
        <f t="shared" si="1"/>
        <v>46</v>
      </c>
      <c r="C55" s="1065" t="s">
        <v>511</v>
      </c>
      <c r="D55" s="1015">
        <v>0</v>
      </c>
      <c r="E55" s="1017">
        <v>0</v>
      </c>
      <c r="F55" s="1017">
        <v>0</v>
      </c>
      <c r="G55" s="1017">
        <v>0</v>
      </c>
      <c r="H55" s="1017">
        <f t="shared" si="2"/>
        <v>0</v>
      </c>
      <c r="I55" s="1017">
        <v>0</v>
      </c>
      <c r="J55" s="1018">
        <f>$I$55/($K$5*1000)</f>
        <v>0</v>
      </c>
      <c r="K55" s="1018">
        <f>($I$55/$K$6)/$K$5</f>
        <v>0</v>
      </c>
    </row>
    <row r="56" spans="2:11" x14ac:dyDescent="0.25">
      <c r="B56" s="1012">
        <f t="shared" si="1"/>
        <v>47</v>
      </c>
      <c r="C56" s="1065" t="s">
        <v>531</v>
      </c>
      <c r="D56" s="1015">
        <v>814629325</v>
      </c>
      <c r="E56" s="1017">
        <v>138420459.72499999</v>
      </c>
      <c r="F56" s="1017">
        <v>11535038.310416667</v>
      </c>
      <c r="G56" s="1017">
        <v>814629325</v>
      </c>
      <c r="H56" s="1017">
        <f t="shared" si="2"/>
        <v>138420459.72499999</v>
      </c>
      <c r="I56" s="1017">
        <v>11535038.310416667</v>
      </c>
      <c r="J56" s="1018">
        <f>$I$56/($K$5*1000)</f>
        <v>0.45642184231885219</v>
      </c>
      <c r="K56" s="1018">
        <f>($I$56/$K$6)/$K$5</f>
        <v>2.9359439233169447E-2</v>
      </c>
    </row>
    <row r="57" spans="2:11" x14ac:dyDescent="0.25">
      <c r="B57" s="1012">
        <f t="shared" si="1"/>
        <v>48</v>
      </c>
      <c r="C57" s="1065" t="s">
        <v>493</v>
      </c>
      <c r="D57" s="1015">
        <v>0</v>
      </c>
      <c r="E57" s="1017">
        <v>0</v>
      </c>
      <c r="F57" s="1017">
        <v>0</v>
      </c>
      <c r="G57" s="1017">
        <v>0</v>
      </c>
      <c r="H57" s="1017">
        <f t="shared" si="2"/>
        <v>0</v>
      </c>
      <c r="I57" s="1017">
        <v>0</v>
      </c>
      <c r="J57" s="1018">
        <f>$I$57/($K$5*1000)</f>
        <v>0</v>
      </c>
      <c r="K57" s="1018">
        <f>($I$57/$K$6)/$K$5</f>
        <v>0</v>
      </c>
    </row>
    <row r="58" spans="2:11" x14ac:dyDescent="0.25">
      <c r="B58" s="1012">
        <f t="shared" si="1"/>
        <v>49</v>
      </c>
      <c r="C58" s="1065" t="s">
        <v>532</v>
      </c>
      <c r="D58" s="1015">
        <v>3324550757</v>
      </c>
      <c r="E58" s="1017">
        <v>166227537.84999993</v>
      </c>
      <c r="F58" s="1017">
        <v>13852294.820833327</v>
      </c>
      <c r="G58" s="1017">
        <v>3324550757.3499999</v>
      </c>
      <c r="H58" s="1017">
        <f t="shared" si="2"/>
        <v>166227537.86750001</v>
      </c>
      <c r="I58" s="1017">
        <v>13852294.822291667</v>
      </c>
      <c r="J58" s="1018">
        <f>$I$58/($K$5*1000)</f>
        <v>0.54811174033334265</v>
      </c>
      <c r="K58" s="1018">
        <f>($I$58/$K$6)/$K$5</f>
        <v>3.5257412860757925E-2</v>
      </c>
    </row>
    <row r="59" spans="2:11" x14ac:dyDescent="0.25">
      <c r="B59" s="1012">
        <f t="shared" si="1"/>
        <v>50</v>
      </c>
      <c r="C59" s="1065" t="s">
        <v>533</v>
      </c>
      <c r="D59" s="1015">
        <v>1457273906</v>
      </c>
      <c r="E59" s="1017">
        <v>72863695.299999997</v>
      </c>
      <c r="F59" s="1017">
        <v>6071974.6083333334</v>
      </c>
      <c r="G59" s="1017">
        <v>1457273906</v>
      </c>
      <c r="H59" s="1017">
        <f t="shared" si="2"/>
        <v>72863695.299999997</v>
      </c>
      <c r="I59" s="1017">
        <v>6071974.6083333334</v>
      </c>
      <c r="J59" s="1018">
        <f>$I$59/($K$5*1000)</f>
        <v>0.24025770549423375</v>
      </c>
      <c r="K59" s="1018">
        <f>($I$59/$K$6)/$K$5</f>
        <v>1.5454631769859367E-2</v>
      </c>
    </row>
    <row r="60" spans="2:11" x14ac:dyDescent="0.25">
      <c r="B60" s="1012">
        <f t="shared" si="1"/>
        <v>51</v>
      </c>
      <c r="C60" s="1065" t="s">
        <v>493</v>
      </c>
      <c r="D60" s="1015">
        <v>0</v>
      </c>
      <c r="E60" s="1017">
        <v>0</v>
      </c>
      <c r="F60" s="1017">
        <v>0</v>
      </c>
      <c r="G60" s="1017">
        <v>0</v>
      </c>
      <c r="H60" s="1017">
        <f t="shared" si="2"/>
        <v>0</v>
      </c>
      <c r="I60" s="1017">
        <v>0</v>
      </c>
      <c r="J60" s="1018">
        <f>$I$60/($K$5*1000)</f>
        <v>0</v>
      </c>
      <c r="K60" s="1018">
        <f>($I$60/$K$6)/$K$5</f>
        <v>0</v>
      </c>
    </row>
    <row r="61" spans="2:11" x14ac:dyDescent="0.25">
      <c r="B61" s="1012">
        <f t="shared" si="1"/>
        <v>52</v>
      </c>
      <c r="C61" s="1065" t="s">
        <v>534</v>
      </c>
      <c r="D61" s="1015">
        <v>702420000</v>
      </c>
      <c r="E61" s="1017">
        <v>58515250</v>
      </c>
      <c r="F61" s="1017">
        <v>4876270.833333333</v>
      </c>
      <c r="G61" s="1017">
        <v>702420000</v>
      </c>
      <c r="H61" s="1017">
        <f t="shared" si="2"/>
        <v>92109000</v>
      </c>
      <c r="I61" s="1017">
        <v>7675750</v>
      </c>
      <c r="J61" s="1018">
        <f>$I$61/($K$5*1000)</f>
        <v>0.30371636936959434</v>
      </c>
      <c r="K61" s="1018">
        <f>($I$61/$K$6)/$K$5</f>
        <v>1.9536624814717247E-2</v>
      </c>
    </row>
    <row r="62" spans="2:11" x14ac:dyDescent="0.25">
      <c r="B62" s="1012">
        <f t="shared" si="1"/>
        <v>53</v>
      </c>
      <c r="C62" s="1065" t="s">
        <v>535</v>
      </c>
      <c r="D62" s="1015">
        <v>2093240354</v>
      </c>
      <c r="E62" s="1017">
        <v>287495712.54999989</v>
      </c>
      <c r="F62" s="1017">
        <v>23957976.045833323</v>
      </c>
      <c r="G62" s="1017">
        <v>2093240354</v>
      </c>
      <c r="H62" s="1017">
        <f t="shared" si="2"/>
        <v>287495712.54999995</v>
      </c>
      <c r="I62" s="1017">
        <v>23957976.045833331</v>
      </c>
      <c r="J62" s="1018">
        <f>$I$62/($K$5*1000)</f>
        <v>0.94797635437373662</v>
      </c>
      <c r="K62" s="1018">
        <f>($I$62/$K$6)/$K$5</f>
        <v>6.0978795469814523E-2</v>
      </c>
    </row>
    <row r="63" spans="2:11" x14ac:dyDescent="0.25">
      <c r="B63" s="1012">
        <f t="shared" si="1"/>
        <v>54</v>
      </c>
      <c r="C63" s="1065" t="s">
        <v>536</v>
      </c>
      <c r="D63" s="1015">
        <v>0</v>
      </c>
      <c r="E63" s="1017">
        <v>0</v>
      </c>
      <c r="F63" s="1017">
        <v>0</v>
      </c>
      <c r="G63" s="1017">
        <v>0</v>
      </c>
      <c r="H63" s="1017">
        <f t="shared" si="2"/>
        <v>0</v>
      </c>
      <c r="I63" s="1017">
        <v>0</v>
      </c>
      <c r="J63" s="1018">
        <f>$I$63/($K$5*1000)</f>
        <v>0</v>
      </c>
      <c r="K63" s="1018">
        <f>($I$63/$K$6)/$K$5</f>
        <v>0</v>
      </c>
    </row>
    <row r="64" spans="2:11" x14ac:dyDescent="0.25">
      <c r="B64" s="1012">
        <f t="shared" si="1"/>
        <v>55</v>
      </c>
      <c r="C64" s="1065" t="s">
        <v>537</v>
      </c>
      <c r="D64" s="1015">
        <v>68073000</v>
      </c>
      <c r="E64" s="1017">
        <v>13614600</v>
      </c>
      <c r="F64" s="1017">
        <v>1134550</v>
      </c>
      <c r="G64" s="1017">
        <v>68073000</v>
      </c>
      <c r="H64" s="1017">
        <f t="shared" si="2"/>
        <v>13614600</v>
      </c>
      <c r="I64" s="1017">
        <v>1134550</v>
      </c>
      <c r="J64" s="1018">
        <f>$I$64/($K$5*1000)</f>
        <v>4.4892213382180669E-2</v>
      </c>
      <c r="K64" s="1018">
        <f>($I$64/$K$6)/$K$5</f>
        <v>2.8877018771504351E-3</v>
      </c>
    </row>
    <row r="65" spans="2:11" x14ac:dyDescent="0.25">
      <c r="B65" s="1012">
        <f t="shared" si="1"/>
        <v>56</v>
      </c>
      <c r="C65" s="1065" t="s">
        <v>538</v>
      </c>
      <c r="D65" s="1015">
        <v>140550000</v>
      </c>
      <c r="E65" s="1017">
        <v>28110000</v>
      </c>
      <c r="F65" s="1017">
        <v>2342500</v>
      </c>
      <c r="G65" s="1017">
        <v>140550000</v>
      </c>
      <c r="H65" s="1017">
        <f t="shared" si="2"/>
        <v>28110000</v>
      </c>
      <c r="I65" s="1017">
        <v>2342500</v>
      </c>
      <c r="J65" s="1018">
        <f>$I$65/($K$5*1000)</f>
        <v>9.2688739894899494E-2</v>
      </c>
      <c r="K65" s="1018">
        <f>($I$65/$K$6)/$K$5</f>
        <v>5.9622243596358857E-3</v>
      </c>
    </row>
    <row r="66" spans="2:11" x14ac:dyDescent="0.25">
      <c r="B66" s="1012">
        <f t="shared" si="1"/>
        <v>57</v>
      </c>
      <c r="C66" s="1065" t="s">
        <v>539</v>
      </c>
      <c r="D66" s="1015">
        <v>3453064640</v>
      </c>
      <c r="E66" s="1017">
        <v>373988923.72499996</v>
      </c>
      <c r="F66" s="1017">
        <v>31165743.643749997</v>
      </c>
      <c r="G66" s="1017">
        <v>4405170868</v>
      </c>
      <c r="H66" s="1017">
        <f t="shared" si="2"/>
        <v>896034173.60000002</v>
      </c>
      <c r="I66" s="1017">
        <v>74669514.466666669</v>
      </c>
      <c r="J66" s="1018">
        <f>$I$66/($K$5*1000)</f>
        <v>2.954545658262242</v>
      </c>
      <c r="K66" s="1018">
        <f>($I$66/$K$6)/$K$5</f>
        <v>0.19005182415169444</v>
      </c>
    </row>
    <row r="67" spans="2:11" x14ac:dyDescent="0.25">
      <c r="B67" s="1012">
        <f t="shared" si="1"/>
        <v>58</v>
      </c>
      <c r="C67" s="1065" t="s">
        <v>540</v>
      </c>
      <c r="D67" s="1015">
        <v>1542535419</v>
      </c>
      <c r="E67" s="1017">
        <v>294442763.82414317</v>
      </c>
      <c r="F67" s="1017">
        <v>24536896.985345263</v>
      </c>
      <c r="G67" s="1017">
        <v>1976060354.2647929</v>
      </c>
      <c r="H67" s="1017">
        <f t="shared" si="2"/>
        <v>298253959.59197366</v>
      </c>
      <c r="I67" s="1017">
        <v>24854496.632664472</v>
      </c>
      <c r="J67" s="1018">
        <f>$I$67/($K$5*1000)</f>
        <v>0.98345014881694448</v>
      </c>
      <c r="K67" s="1018">
        <f>($I$67/$K$6)/$K$5</f>
        <v>6.3260655397976623E-2</v>
      </c>
    </row>
    <row r="68" spans="2:11" x14ac:dyDescent="0.25">
      <c r="B68" s="1012">
        <f t="shared" si="1"/>
        <v>59</v>
      </c>
      <c r="C68" s="1065" t="s">
        <v>541</v>
      </c>
      <c r="D68" s="1015">
        <v>11270000</v>
      </c>
      <c r="E68" s="1017">
        <v>2253999.9999999995</v>
      </c>
      <c r="F68" s="1017">
        <v>187833.33333333328</v>
      </c>
      <c r="G68" s="1017">
        <v>11270000</v>
      </c>
      <c r="H68" s="1017">
        <f t="shared" si="2"/>
        <v>2254000</v>
      </c>
      <c r="I68" s="1017">
        <v>187833.33333333334</v>
      </c>
      <c r="J68" s="1018">
        <f>$I$68/($K$5*1000)</f>
        <v>7.432245454397135E-3</v>
      </c>
      <c r="K68" s="1018">
        <f>($I$68/$K$6)/$K$5</f>
        <v>4.7808088604124111E-4</v>
      </c>
    </row>
    <row r="69" spans="2:11" x14ac:dyDescent="0.25">
      <c r="B69" s="1012">
        <f t="shared" si="1"/>
        <v>60</v>
      </c>
      <c r="C69" s="1065" t="s">
        <v>542</v>
      </c>
      <c r="D69" s="1015">
        <v>26932688</v>
      </c>
      <c r="E69" s="1017">
        <v>5386537.5999999996</v>
      </c>
      <c r="F69" s="1017">
        <v>448878.1333333333</v>
      </c>
      <c r="G69" s="1017">
        <v>26932688</v>
      </c>
      <c r="H69" s="1017">
        <f t="shared" si="2"/>
        <v>5386537.5380002018</v>
      </c>
      <c r="I69" s="1017">
        <v>448878.12816668348</v>
      </c>
      <c r="J69" s="1018">
        <f>$I$69/($K$5*1000)</f>
        <v>1.7761343891633332E-2</v>
      </c>
      <c r="K69" s="1018">
        <f>($I$69/$K$6)/$K$5</f>
        <v>1.1425025017131952E-3</v>
      </c>
    </row>
    <row r="70" spans="2:11" x14ac:dyDescent="0.25">
      <c r="B70" s="1012">
        <f t="shared" si="1"/>
        <v>61</v>
      </c>
      <c r="C70" s="1065" t="s">
        <v>543</v>
      </c>
      <c r="D70" s="1015">
        <v>30000000</v>
      </c>
      <c r="E70" s="1017">
        <v>6000000</v>
      </c>
      <c r="F70" s="1017">
        <v>500000</v>
      </c>
      <c r="G70" s="1017">
        <v>30000000.340209961</v>
      </c>
      <c r="H70" s="1017">
        <f t="shared" si="2"/>
        <v>6000000.0680419924</v>
      </c>
      <c r="I70" s="1017">
        <v>500000.00567016605</v>
      </c>
      <c r="J70" s="1018">
        <f>$I$70/($K$5*1000)</f>
        <v>1.9784149614945696E-2</v>
      </c>
      <c r="K70" s="1018">
        <f>($I$70/$K$6)/$K$5</f>
        <v>1.272619941782175E-3</v>
      </c>
    </row>
    <row r="71" spans="2:11" x14ac:dyDescent="0.25">
      <c r="B71" s="1012">
        <f t="shared" si="1"/>
        <v>62</v>
      </c>
      <c r="C71" s="1065" t="s">
        <v>544</v>
      </c>
      <c r="D71" s="1015">
        <v>6869341541</v>
      </c>
      <c r="E71" s="1017">
        <v>344483481.40046716</v>
      </c>
      <c r="F71" s="1017">
        <v>28706956.783372264</v>
      </c>
      <c r="G71" s="1017">
        <v>6950653888.9573593</v>
      </c>
      <c r="H71" s="1017">
        <f t="shared" si="2"/>
        <v>347532694.44786799</v>
      </c>
      <c r="I71" s="1017">
        <v>28961057.870655663</v>
      </c>
      <c r="J71" s="1018">
        <f>$I$71/($K$5*1000)</f>
        <v>1.1459397908449667</v>
      </c>
      <c r="K71" s="1018">
        <f>($I$71/$K$6)/$K$5</f>
        <v>7.3712838726679955E-2</v>
      </c>
    </row>
    <row r="72" spans="2:11" x14ac:dyDescent="0.25">
      <c r="B72" s="1012"/>
      <c r="C72" s="1019"/>
      <c r="D72" s="1019"/>
      <c r="E72" s="1017"/>
      <c r="F72" s="1017"/>
      <c r="G72" s="1017"/>
      <c r="H72" s="1017"/>
      <c r="I72" s="1017"/>
      <c r="J72" s="1018"/>
      <c r="K72" s="1018"/>
    </row>
    <row r="73" spans="2:11" x14ac:dyDescent="0.25">
      <c r="B73" s="1012"/>
      <c r="C73" s="1019"/>
      <c r="D73" s="1019"/>
      <c r="E73" s="1017"/>
      <c r="F73" s="1017"/>
      <c r="G73" s="1017"/>
      <c r="H73" s="1017"/>
      <c r="I73" s="1017"/>
      <c r="J73" s="1018"/>
      <c r="K73" s="1018"/>
    </row>
    <row r="74" spans="2:11" x14ac:dyDescent="0.25">
      <c r="B74" s="1012"/>
      <c r="C74" s="1019"/>
      <c r="D74" s="1019"/>
      <c r="E74" s="1017"/>
      <c r="F74" s="1017"/>
      <c r="G74" s="1017"/>
      <c r="H74" s="1017"/>
      <c r="I74" s="1017"/>
      <c r="J74" s="1018"/>
      <c r="K74" s="1018"/>
    </row>
    <row r="75" spans="2:11" ht="13.5" thickBot="1" x14ac:dyDescent="0.3">
      <c r="B75" s="1050"/>
      <c r="C75" s="1051"/>
      <c r="D75" s="1051"/>
      <c r="E75" s="1052"/>
      <c r="F75" s="1052"/>
      <c r="G75" s="1052"/>
      <c r="H75" s="1052"/>
      <c r="I75" s="1052"/>
      <c r="J75" s="1066"/>
      <c r="K75" s="1066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G9" sqref="G9"/>
    </sheetView>
  </sheetViews>
  <sheetFormatPr defaultColWidth="8.7109375" defaultRowHeight="15" x14ac:dyDescent="0.25"/>
  <cols>
    <col min="1" max="1" width="8.7109375" style="343"/>
    <col min="2" max="2" width="52.7109375" style="343" customWidth="1"/>
    <col min="3" max="4" width="17.5703125" style="974" customWidth="1"/>
    <col min="5" max="5" width="55.42578125" style="343" customWidth="1"/>
    <col min="6" max="6" width="17.5703125" style="974" customWidth="1"/>
    <col min="7" max="16384" width="8.7109375" style="343"/>
  </cols>
  <sheetData>
    <row r="1" spans="2:6" x14ac:dyDescent="0.25">
      <c r="C1" s="974" t="s">
        <v>410</v>
      </c>
      <c r="F1" s="974" t="s">
        <v>410</v>
      </c>
    </row>
    <row r="2" spans="2:6" ht="19.5" thickBot="1" x14ac:dyDescent="0.3">
      <c r="B2" s="973" t="s">
        <v>384</v>
      </c>
      <c r="C2" s="1043">
        <f>'Desember 2024'!AM6</f>
        <v>23</v>
      </c>
      <c r="E2" s="973" t="s">
        <v>385</v>
      </c>
      <c r="F2" s="1043">
        <f>'Desember 2024'!AM6</f>
        <v>23</v>
      </c>
    </row>
    <row r="3" spans="2:6" x14ac:dyDescent="0.25">
      <c r="B3" s="2250" t="s">
        <v>386</v>
      </c>
      <c r="C3" s="975" t="s">
        <v>387</v>
      </c>
      <c r="E3" s="2250" t="s">
        <v>386</v>
      </c>
      <c r="F3" s="975" t="s">
        <v>387</v>
      </c>
    </row>
    <row r="4" spans="2:6" ht="15.75" thickBot="1" x14ac:dyDescent="0.3">
      <c r="B4" s="2251"/>
      <c r="C4" s="976" t="s">
        <v>388</v>
      </c>
      <c r="E4" s="2251"/>
      <c r="F4" s="976" t="s">
        <v>388</v>
      </c>
    </row>
    <row r="5" spans="2:6" ht="15.75" thickTop="1" x14ac:dyDescent="0.25">
      <c r="B5" s="977" t="s">
        <v>389</v>
      </c>
      <c r="C5" s="978">
        <v>1648879.5518207287</v>
      </c>
      <c r="E5" s="979" t="s">
        <v>390</v>
      </c>
      <c r="F5" s="980">
        <v>4911824.2689075638</v>
      </c>
    </row>
    <row r="6" spans="2:6" x14ac:dyDescent="0.25">
      <c r="B6" s="977" t="s">
        <v>148</v>
      </c>
      <c r="C6" s="978">
        <v>2678431.3725490198</v>
      </c>
      <c r="E6" s="977" t="s">
        <v>391</v>
      </c>
      <c r="F6" s="978">
        <v>1230672.2689075631</v>
      </c>
    </row>
    <row r="7" spans="2:6" x14ac:dyDescent="0.25">
      <c r="B7" s="977" t="s">
        <v>392</v>
      </c>
      <c r="C7" s="978">
        <v>288459.3837535014</v>
      </c>
      <c r="E7" s="977" t="s">
        <v>393</v>
      </c>
      <c r="F7" s="978">
        <v>1084733.893557423</v>
      </c>
    </row>
    <row r="8" spans="2:6" x14ac:dyDescent="0.25">
      <c r="B8" s="977" t="s">
        <v>394</v>
      </c>
      <c r="C8" s="978">
        <v>404271.70868347352</v>
      </c>
      <c r="E8" s="977" t="s">
        <v>395</v>
      </c>
      <c r="F8" s="978">
        <v>833815.51820728299</v>
      </c>
    </row>
    <row r="9" spans="2:6" x14ac:dyDescent="0.25">
      <c r="B9" s="977" t="s">
        <v>396</v>
      </c>
      <c r="C9" s="978">
        <v>150891.40056022411</v>
      </c>
      <c r="E9" s="977" t="s">
        <v>397</v>
      </c>
      <c r="F9" s="978">
        <v>949299.71988795535</v>
      </c>
    </row>
    <row r="10" spans="2:6" x14ac:dyDescent="0.25">
      <c r="B10" s="977" t="s">
        <v>398</v>
      </c>
      <c r="C10" s="978">
        <v>58543.417366946771</v>
      </c>
      <c r="E10" s="977" t="s">
        <v>399</v>
      </c>
      <c r="F10" s="978">
        <v>1106022.4089635855</v>
      </c>
    </row>
    <row r="11" spans="2:6" x14ac:dyDescent="0.25">
      <c r="B11" s="977" t="s">
        <v>400</v>
      </c>
      <c r="C11" s="978">
        <v>87425.770308123247</v>
      </c>
      <c r="E11" s="977" t="s">
        <v>401</v>
      </c>
      <c r="F11" s="978">
        <v>5634698.8795518195</v>
      </c>
    </row>
    <row r="12" spans="2:6" ht="15.75" thickBot="1" x14ac:dyDescent="0.3">
      <c r="B12" s="977" t="s">
        <v>402</v>
      </c>
      <c r="C12" s="978">
        <v>254341.73669467788</v>
      </c>
      <c r="E12" s="981"/>
      <c r="F12" s="982"/>
    </row>
    <row r="13" spans="2:6" x14ac:dyDescent="0.25">
      <c r="B13" s="977" t="s">
        <v>403</v>
      </c>
      <c r="C13" s="978">
        <v>114733.89355742298</v>
      </c>
      <c r="E13" s="983" t="s">
        <v>1</v>
      </c>
      <c r="F13" s="984">
        <f>SUM(F5:F12)</f>
        <v>15751066.957983192</v>
      </c>
    </row>
    <row r="14" spans="2:6" x14ac:dyDescent="0.25">
      <c r="B14" s="977" t="s">
        <v>404</v>
      </c>
      <c r="C14" s="978">
        <v>203159.6638655462</v>
      </c>
      <c r="E14" s="985" t="s">
        <v>405</v>
      </c>
      <c r="F14" s="986">
        <f>F13*F2</f>
        <v>362274540.03361344</v>
      </c>
    </row>
    <row r="15" spans="2:6" ht="15.75" thickBot="1" x14ac:dyDescent="0.3">
      <c r="B15" s="977" t="s">
        <v>406</v>
      </c>
      <c r="C15" s="978">
        <v>580672.26890756306</v>
      </c>
      <c r="E15" s="987" t="s">
        <v>407</v>
      </c>
      <c r="F15" s="988">
        <f>F14*12</f>
        <v>4347294480.4033613</v>
      </c>
    </row>
    <row r="16" spans="2:6" ht="15.75" thickBot="1" x14ac:dyDescent="0.3">
      <c r="B16" s="981" t="s">
        <v>408</v>
      </c>
      <c r="C16" s="982">
        <v>4089635.8543417375</v>
      </c>
    </row>
    <row r="17" spans="2:6" x14ac:dyDescent="0.25">
      <c r="B17" s="983" t="s">
        <v>409</v>
      </c>
      <c r="C17" s="984">
        <f>SUM(C5:C16)</f>
        <v>10559446.022408964</v>
      </c>
      <c r="E17" s="343" t="s">
        <v>412</v>
      </c>
    </row>
    <row r="18" spans="2:6" x14ac:dyDescent="0.25">
      <c r="B18" s="985" t="s">
        <v>405</v>
      </c>
      <c r="C18" s="986">
        <f>C17*C2</f>
        <v>242867258.51540616</v>
      </c>
      <c r="E18" s="343" t="s">
        <v>411</v>
      </c>
      <c r="F18" s="989">
        <f>F14+C18</f>
        <v>605141798.54901958</v>
      </c>
    </row>
    <row r="19" spans="2:6" ht="15.75" thickBot="1" x14ac:dyDescent="0.3">
      <c r="B19" s="987" t="s">
        <v>407</v>
      </c>
      <c r="C19" s="988">
        <f>C18*12</f>
        <v>2914407102.1848741</v>
      </c>
      <c r="E19" s="343" t="s">
        <v>188</v>
      </c>
      <c r="F19" s="989">
        <f>F18*12</f>
        <v>7261701582.5882349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F36" sqref="F36"/>
    </sheetView>
  </sheetViews>
  <sheetFormatPr defaultColWidth="8.7109375" defaultRowHeight="12.75" x14ac:dyDescent="0.25"/>
  <cols>
    <col min="1" max="1" width="8.7109375" style="991"/>
    <col min="2" max="2" width="6.42578125" style="990" customWidth="1"/>
    <col min="3" max="3" width="48.42578125" style="991" customWidth="1"/>
    <col min="4" max="4" width="4.5703125" style="990" customWidth="1"/>
    <col min="5" max="5" width="23.7109375" style="991" customWidth="1"/>
    <col min="6" max="6" width="9.5703125" style="990" customWidth="1"/>
    <col min="7" max="7" width="9.42578125" style="991" customWidth="1"/>
    <col min="8" max="8" width="9.5703125" style="990" customWidth="1"/>
    <col min="9" max="9" width="16.5703125" style="991" customWidth="1"/>
    <col min="10" max="10" width="16.42578125" style="990" customWidth="1"/>
    <col min="11" max="11" width="13.7109375" style="990" customWidth="1"/>
    <col min="12" max="12" width="18.5703125" style="990" customWidth="1"/>
    <col min="13" max="16384" width="8.7109375" style="991"/>
  </cols>
  <sheetData>
    <row r="2" spans="2:12" ht="19.5" thickBot="1" x14ac:dyDescent="0.3">
      <c r="B2" s="992" t="s">
        <v>413</v>
      </c>
    </row>
    <row r="3" spans="2:12" x14ac:dyDescent="0.25">
      <c r="B3" s="2240" t="s">
        <v>361</v>
      </c>
      <c r="C3" s="2241"/>
      <c r="D3" s="893"/>
      <c r="E3" s="993"/>
      <c r="F3" s="994"/>
      <c r="G3" s="993"/>
      <c r="H3" s="994"/>
      <c r="I3" s="993"/>
      <c r="J3" s="995" t="s">
        <v>381</v>
      </c>
      <c r="K3" s="996">
        <f>'HPP REF '!N3</f>
        <v>1098.8155217391304</v>
      </c>
    </row>
    <row r="4" spans="2:12" x14ac:dyDescent="0.25">
      <c r="B4" s="2242" t="s">
        <v>414</v>
      </c>
      <c r="C4" s="2243"/>
      <c r="D4" s="897"/>
      <c r="J4" s="997" t="s">
        <v>83</v>
      </c>
      <c r="K4" s="998">
        <f>'HPP REF '!N4</f>
        <v>23</v>
      </c>
    </row>
    <row r="5" spans="2:12" x14ac:dyDescent="0.25">
      <c r="B5" s="2242" t="s">
        <v>415</v>
      </c>
      <c r="C5" s="2243"/>
      <c r="D5" s="897"/>
      <c r="J5" s="997" t="s">
        <v>416</v>
      </c>
      <c r="K5" s="998">
        <f>K4*K3</f>
        <v>25272.756999999998</v>
      </c>
    </row>
    <row r="6" spans="2:12" ht="13.5" thickBot="1" x14ac:dyDescent="0.3">
      <c r="B6" s="969" t="s">
        <v>417</v>
      </c>
      <c r="C6" s="970"/>
      <c r="D6" s="971"/>
      <c r="E6" s="999"/>
      <c r="F6" s="1000"/>
      <c r="G6" s="999"/>
      <c r="H6" s="1000"/>
      <c r="I6" s="999"/>
      <c r="J6" s="1001"/>
      <c r="K6" s="1188">
        <f>'SUMMARY HPP '!I9</f>
        <v>15546</v>
      </c>
    </row>
    <row r="7" spans="2:12" ht="13.5" thickBot="1" x14ac:dyDescent="0.3">
      <c r="B7" s="1002" t="s">
        <v>99</v>
      </c>
      <c r="C7" s="2253" t="s">
        <v>285</v>
      </c>
      <c r="D7" s="2253"/>
      <c r="E7" s="2253"/>
      <c r="F7" s="2253"/>
      <c r="G7" s="2254" t="s">
        <v>219</v>
      </c>
      <c r="H7" s="2255"/>
      <c r="I7" s="1002" t="s">
        <v>418</v>
      </c>
      <c r="J7" s="1002" t="s">
        <v>419</v>
      </c>
      <c r="K7" s="1002" t="s">
        <v>226</v>
      </c>
    </row>
    <row r="8" spans="2:12" ht="13.5" thickTop="1" x14ac:dyDescent="0.25">
      <c r="B8" s="1003">
        <v>1</v>
      </c>
      <c r="C8" s="1004" t="s">
        <v>373</v>
      </c>
      <c r="D8" s="1005"/>
      <c r="E8" s="1006" t="s">
        <v>420</v>
      </c>
      <c r="F8" s="1007">
        <f>(100%-0.8%-1.1*5%)*80%*K5</f>
        <v>18944.458647200001</v>
      </c>
      <c r="G8" s="1008" t="s">
        <v>286</v>
      </c>
      <c r="H8" s="1008">
        <v>90</v>
      </c>
      <c r="I8" s="1009">
        <f>H8*F8*1000</f>
        <v>1705001278.2480001</v>
      </c>
      <c r="J8" s="1010">
        <f>I8/($K$5*1000)</f>
        <v>67.464000000000013</v>
      </c>
      <c r="K8" s="1010">
        <f t="shared" ref="K8:K21" si="0">(I8/$K$6)/$K$5</f>
        <v>4.3396372057120809</v>
      </c>
      <c r="L8" s="1011"/>
    </row>
    <row r="9" spans="2:12" x14ac:dyDescent="0.25">
      <c r="B9" s="1012"/>
      <c r="C9" s="1013"/>
      <c r="D9" s="405"/>
      <c r="E9" s="1014" t="s">
        <v>421</v>
      </c>
      <c r="F9" s="1015">
        <f>(100%-0.8%-1.1*5%)*20%*K5</f>
        <v>4736.1146618000002</v>
      </c>
      <c r="G9" s="1016" t="s">
        <v>286</v>
      </c>
      <c r="H9" s="1016">
        <v>150</v>
      </c>
      <c r="I9" s="1017">
        <f>H9*F9*1000</f>
        <v>710417199.26999998</v>
      </c>
      <c r="J9" s="1018">
        <f t="shared" ref="J9:J21" si="1">I9/($K$5*1000)</f>
        <v>28.110000000000003</v>
      </c>
      <c r="K9" s="1018">
        <f t="shared" si="0"/>
        <v>1.8081821690467001</v>
      </c>
      <c r="L9" s="1011"/>
    </row>
    <row r="10" spans="2:12" x14ac:dyDescent="0.25">
      <c r="B10" s="1019"/>
      <c r="C10" s="1020"/>
      <c r="D10" s="1021"/>
      <c r="E10" s="1022" t="s">
        <v>422</v>
      </c>
      <c r="F10" s="1023">
        <f>1.1*5%*K5</f>
        <v>1390.0016350000001</v>
      </c>
      <c r="G10" s="1016" t="s">
        <v>286</v>
      </c>
      <c r="H10" s="1012">
        <v>150</v>
      </c>
      <c r="I10" s="1017">
        <f>H10*F10*1000</f>
        <v>208500245.25</v>
      </c>
      <c r="J10" s="1018">
        <f t="shared" si="1"/>
        <v>8.2500000000000018</v>
      </c>
      <c r="K10" s="1018">
        <f t="shared" si="0"/>
        <v>0.53068313392512545</v>
      </c>
      <c r="L10" s="1011"/>
    </row>
    <row r="11" spans="2:12" x14ac:dyDescent="0.25">
      <c r="B11" s="1012">
        <v>2</v>
      </c>
      <c r="C11" s="1024" t="s">
        <v>374</v>
      </c>
      <c r="D11" s="1025"/>
      <c r="E11" s="1022" t="s">
        <v>423</v>
      </c>
      <c r="F11" s="1023">
        <v>1</v>
      </c>
      <c r="G11" s="1023" t="s">
        <v>286</v>
      </c>
      <c r="H11" s="1012">
        <v>77</v>
      </c>
      <c r="I11" s="1017">
        <f>H11*8000*F11*1000</f>
        <v>616000000</v>
      </c>
      <c r="J11" s="1018">
        <f t="shared" si="1"/>
        <v>24.374072049203026</v>
      </c>
      <c r="K11" s="1018">
        <f t="shared" si="0"/>
        <v>1.5678677504954988</v>
      </c>
      <c r="L11" s="1011"/>
    </row>
    <row r="12" spans="2:12" x14ac:dyDescent="0.25">
      <c r="B12" s="1012"/>
      <c r="C12" s="1020"/>
      <c r="D12" s="1021"/>
      <c r="E12" s="1022" t="s">
        <v>424</v>
      </c>
      <c r="F12" s="1012">
        <v>2</v>
      </c>
      <c r="G12" s="1023" t="s">
        <v>286</v>
      </c>
      <c r="H12" s="1012">
        <v>79</v>
      </c>
      <c r="I12" s="1017">
        <f>H12*5000*F12*1000</f>
        <v>790000000</v>
      </c>
      <c r="J12" s="1018">
        <f t="shared" si="1"/>
        <v>31.258956037127255</v>
      </c>
      <c r="K12" s="1018">
        <f t="shared" si="0"/>
        <v>2.0107394852133833</v>
      </c>
      <c r="L12" s="1011"/>
    </row>
    <row r="13" spans="2:12" x14ac:dyDescent="0.25">
      <c r="B13" s="1012"/>
      <c r="C13" s="1020"/>
      <c r="D13" s="1021"/>
      <c r="E13" s="1022" t="s">
        <v>425</v>
      </c>
      <c r="F13" s="1012">
        <v>1</v>
      </c>
      <c r="G13" s="1023" t="s">
        <v>286</v>
      </c>
      <c r="H13" s="1012">
        <v>77</v>
      </c>
      <c r="I13" s="1017">
        <f>H13*3000*F13*1000</f>
        <v>231000000</v>
      </c>
      <c r="J13" s="1018">
        <f t="shared" si="1"/>
        <v>9.140277018451135</v>
      </c>
      <c r="K13" s="1018">
        <f t="shared" si="0"/>
        <v>0.58795040643581198</v>
      </c>
      <c r="L13" s="1011"/>
    </row>
    <row r="14" spans="2:12" x14ac:dyDescent="0.25">
      <c r="B14" s="1012"/>
      <c r="C14" s="1020"/>
      <c r="D14" s="1021"/>
      <c r="E14" s="1022" t="s">
        <v>426</v>
      </c>
      <c r="F14" s="1012">
        <v>1</v>
      </c>
      <c r="G14" s="1023" t="s">
        <v>286</v>
      </c>
      <c r="H14" s="1012">
        <v>83</v>
      </c>
      <c r="I14" s="1017">
        <f>H14*3000*F14*1000</f>
        <v>249000000</v>
      </c>
      <c r="J14" s="1018">
        <f t="shared" si="1"/>
        <v>9.8525063965122612</v>
      </c>
      <c r="K14" s="1018">
        <f t="shared" si="0"/>
        <v>0.63376472382042082</v>
      </c>
      <c r="L14" s="1011"/>
    </row>
    <row r="15" spans="2:12" x14ac:dyDescent="0.25">
      <c r="B15" s="1012">
        <v>3</v>
      </c>
      <c r="C15" s="1020" t="s">
        <v>427</v>
      </c>
      <c r="D15" s="1021">
        <v>0</v>
      </c>
      <c r="E15" s="1022" t="s">
        <v>428</v>
      </c>
      <c r="F15" s="1017">
        <f>F8-(8000*D15)</f>
        <v>18944.458647200001</v>
      </c>
      <c r="G15" s="1023" t="s">
        <v>286</v>
      </c>
      <c r="H15" s="1026">
        <v>43</v>
      </c>
      <c r="I15" s="1017">
        <f>H15*F15*1000</f>
        <v>814611721.8296001</v>
      </c>
      <c r="J15" s="1018">
        <f>I15/($K$5*1000)</f>
        <v>32.232800000000012</v>
      </c>
      <c r="K15" s="1018">
        <f>(I15/$K$6)/$K$5</f>
        <v>2.073382220506883</v>
      </c>
      <c r="L15" s="1011"/>
    </row>
    <row r="16" spans="2:12" x14ac:dyDescent="0.25">
      <c r="B16" s="1012"/>
      <c r="C16" s="1020"/>
      <c r="D16" s="1021">
        <v>0</v>
      </c>
      <c r="E16" s="1022" t="s">
        <v>429</v>
      </c>
      <c r="F16" s="1017">
        <f>F9-(10000*D16)</f>
        <v>4736.1146618000002</v>
      </c>
      <c r="G16" s="1023" t="s">
        <v>286</v>
      </c>
      <c r="H16" s="1026">
        <v>43</v>
      </c>
      <c r="I16" s="1017">
        <f>H16*F16*1000</f>
        <v>203652930.45740002</v>
      </c>
      <c r="J16" s="1018">
        <f>I16/($K$5*1000)</f>
        <v>8.0582000000000029</v>
      </c>
      <c r="K16" s="1018">
        <f>(I16/$K$6)/$K$5</f>
        <v>0.51834555512672076</v>
      </c>
      <c r="L16" s="1011"/>
    </row>
    <row r="17" spans="2:12" x14ac:dyDescent="0.25">
      <c r="B17" s="1012"/>
      <c r="C17" s="1020"/>
      <c r="D17" s="1021">
        <v>0</v>
      </c>
      <c r="E17" s="1022" t="s">
        <v>430</v>
      </c>
      <c r="F17" s="1017">
        <f>F10-(3000*D17)</f>
        <v>1390.0016350000001</v>
      </c>
      <c r="G17" s="1023" t="s">
        <v>286</v>
      </c>
      <c r="H17" s="1026">
        <v>43</v>
      </c>
      <c r="I17" s="1017">
        <f>H17*F17*1000</f>
        <v>59770070.305</v>
      </c>
      <c r="J17" s="1018">
        <f>I17/($K$5*1000)</f>
        <v>2.3650000000000002</v>
      </c>
      <c r="K17" s="1018">
        <f>(I17/$K$6)/$K$5</f>
        <v>0.15212916505853596</v>
      </c>
      <c r="L17" s="1011"/>
    </row>
    <row r="18" spans="2:12" x14ac:dyDescent="0.25">
      <c r="B18" s="1012">
        <v>3</v>
      </c>
      <c r="C18" s="1024" t="s">
        <v>431</v>
      </c>
      <c r="D18" s="1025"/>
      <c r="E18" s="1022" t="s">
        <v>432</v>
      </c>
      <c r="F18" s="1023">
        <f>SUM(F8:F10)</f>
        <v>25070.574944</v>
      </c>
      <c r="G18" s="1023" t="s">
        <v>286</v>
      </c>
      <c r="H18" s="1012">
        <v>22</v>
      </c>
      <c r="I18" s="1017">
        <f>H18*F18*1000</f>
        <v>551552648.76800001</v>
      </c>
      <c r="J18" s="1018">
        <f t="shared" si="1"/>
        <v>21.824000000000005</v>
      </c>
      <c r="K18" s="1018">
        <f t="shared" si="0"/>
        <v>1.4038337836099319</v>
      </c>
      <c r="L18" s="1011"/>
    </row>
    <row r="19" spans="2:12" x14ac:dyDescent="0.25">
      <c r="B19" s="1012">
        <f t="shared" ref="B19:B24" si="2">B18+1</f>
        <v>4</v>
      </c>
      <c r="C19" s="1024" t="s">
        <v>433</v>
      </c>
      <c r="D19" s="1025"/>
      <c r="E19" s="1022" t="s">
        <v>432</v>
      </c>
      <c r="F19" s="1017">
        <f>F18</f>
        <v>25070.574944</v>
      </c>
      <c r="G19" s="1023" t="s">
        <v>286</v>
      </c>
      <c r="H19" s="1012">
        <v>26</v>
      </c>
      <c r="I19" s="1017">
        <f>H19*F18*1000</f>
        <v>651834948.54400003</v>
      </c>
      <c r="J19" s="1018">
        <f t="shared" si="1"/>
        <v>25.792000000000005</v>
      </c>
      <c r="K19" s="1018">
        <f t="shared" si="0"/>
        <v>1.6590762897208287</v>
      </c>
    </row>
    <row r="20" spans="2:12" x14ac:dyDescent="0.25">
      <c r="B20" s="1012">
        <f t="shared" si="2"/>
        <v>5</v>
      </c>
      <c r="C20" s="1024" t="s">
        <v>434</v>
      </c>
      <c r="D20" s="1025"/>
      <c r="E20" s="1022" t="s">
        <v>432</v>
      </c>
      <c r="F20" s="1023">
        <f>F18</f>
        <v>25070.574944</v>
      </c>
      <c r="G20" s="1023" t="s">
        <v>286</v>
      </c>
      <c r="H20" s="1012">
        <v>3</v>
      </c>
      <c r="I20" s="1017">
        <f>H20*F20*1000</f>
        <v>75211724.832000002</v>
      </c>
      <c r="J20" s="1018">
        <f t="shared" si="1"/>
        <v>2.9760000000000004</v>
      </c>
      <c r="K20" s="1018">
        <f t="shared" si="0"/>
        <v>0.19143187958317254</v>
      </c>
    </row>
    <row r="21" spans="2:12" x14ac:dyDescent="0.25">
      <c r="B21" s="1012">
        <f t="shared" si="2"/>
        <v>6</v>
      </c>
      <c r="C21" s="1024" t="s">
        <v>435</v>
      </c>
      <c r="D21" s="1025"/>
      <c r="E21" s="1022" t="s">
        <v>432</v>
      </c>
      <c r="F21" s="1023">
        <f>F20</f>
        <v>25070.574944</v>
      </c>
      <c r="G21" s="1023" t="s">
        <v>286</v>
      </c>
      <c r="H21" s="1012">
        <v>3</v>
      </c>
      <c r="I21" s="1017">
        <f>H21*F21*1000</f>
        <v>75211724.832000002</v>
      </c>
      <c r="J21" s="1018">
        <f t="shared" si="1"/>
        <v>2.9760000000000004</v>
      </c>
      <c r="K21" s="1018">
        <f t="shared" si="0"/>
        <v>0.19143187958317254</v>
      </c>
    </row>
    <row r="22" spans="2:12" x14ac:dyDescent="0.25">
      <c r="B22" s="1012">
        <f t="shared" si="2"/>
        <v>7</v>
      </c>
      <c r="C22" s="1024" t="s">
        <v>436</v>
      </c>
      <c r="D22" s="1025"/>
      <c r="E22" s="1019"/>
      <c r="F22" s="1019"/>
      <c r="G22" s="1019"/>
      <c r="H22" s="1019"/>
      <c r="I22" s="1017"/>
      <c r="J22" s="1018"/>
      <c r="K22" s="1018"/>
    </row>
    <row r="23" spans="2:12" x14ac:dyDescent="0.25">
      <c r="B23" s="1012">
        <f t="shared" si="2"/>
        <v>8</v>
      </c>
      <c r="C23" s="1024" t="s">
        <v>437</v>
      </c>
      <c r="D23" s="1025"/>
      <c r="E23" s="1019"/>
      <c r="F23" s="1019"/>
      <c r="G23" s="1019"/>
      <c r="H23" s="1012"/>
      <c r="I23" s="1017"/>
      <c r="J23" s="1018"/>
      <c r="K23" s="1018"/>
    </row>
    <row r="24" spans="2:12" ht="13.5" thickBot="1" x14ac:dyDescent="0.3">
      <c r="B24" s="1027">
        <f t="shared" si="2"/>
        <v>9</v>
      </c>
      <c r="C24" s="1028" t="s">
        <v>438</v>
      </c>
      <c r="D24" s="1029"/>
      <c r="E24" s="1030"/>
      <c r="F24" s="1031"/>
      <c r="G24" s="1032"/>
      <c r="H24" s="1027"/>
      <c r="I24" s="1033"/>
      <c r="J24" s="1034"/>
      <c r="K24" s="1027"/>
    </row>
    <row r="25" spans="2:12" ht="14.25" thickTop="1" thickBot="1" x14ac:dyDescent="0.3">
      <c r="B25" s="2252" t="s">
        <v>439</v>
      </c>
      <c r="C25" s="2252"/>
      <c r="D25" s="2252"/>
      <c r="E25" s="2252"/>
      <c r="F25" s="2252"/>
      <c r="G25" s="2252"/>
      <c r="H25" s="2252"/>
      <c r="I25" s="1035">
        <f>SUM(I8:I24)</f>
        <v>6941764492.3359995</v>
      </c>
      <c r="J25" s="1036">
        <f>SUM(J8:J24)</f>
        <v>274.67381150129376</v>
      </c>
      <c r="K25" s="1036">
        <f>SUM(K8:K24)</f>
        <v>17.668455647838268</v>
      </c>
      <c r="L25" s="1037"/>
    </row>
    <row r="26" spans="2:12" x14ac:dyDescent="0.25">
      <c r="C26" s="934"/>
      <c r="D26" s="1038"/>
      <c r="E26" s="934"/>
      <c r="F26" s="1038"/>
      <c r="G26" s="1039"/>
      <c r="J26" s="1038"/>
    </row>
    <row r="27" spans="2:12" x14ac:dyDescent="0.25">
      <c r="C27" s="934"/>
      <c r="D27" s="1038"/>
      <c r="E27" s="934"/>
      <c r="F27" s="1038"/>
      <c r="G27" s="1039"/>
      <c r="J27" s="1038"/>
    </row>
    <row r="28" spans="2:12" x14ac:dyDescent="0.25">
      <c r="C28" s="934"/>
      <c r="D28" s="1038"/>
      <c r="E28" s="934"/>
      <c r="F28" s="1040"/>
      <c r="G28" s="1041"/>
      <c r="J28" s="1038"/>
    </row>
    <row r="29" spans="2:12" x14ac:dyDescent="0.25">
      <c r="C29" s="1042"/>
      <c r="D29" s="1040"/>
      <c r="E29" s="1042"/>
      <c r="F29" s="1038"/>
      <c r="G29" s="1039"/>
      <c r="J29" s="1038"/>
    </row>
    <row r="30" spans="2:12" x14ac:dyDescent="0.25">
      <c r="E30" s="934"/>
      <c r="F30" s="1038"/>
      <c r="G30" s="1039"/>
      <c r="J30" s="1038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topLeftCell="A31" workbookViewId="0">
      <selection activeCell="J37" sqref="J37"/>
    </sheetView>
  </sheetViews>
  <sheetFormatPr defaultColWidth="8.7109375" defaultRowHeight="12.75" x14ac:dyDescent="0.25"/>
  <cols>
    <col min="1" max="1" width="8.7109375" style="991"/>
    <col min="2" max="2" width="5.5703125" style="990" customWidth="1"/>
    <col min="3" max="3" width="64.42578125" style="991" customWidth="1"/>
    <col min="4" max="4" width="15.5703125" style="991" customWidth="1"/>
    <col min="5" max="5" width="15" style="991" customWidth="1"/>
    <col min="6" max="6" width="15.28515625" style="991" customWidth="1"/>
    <col min="7" max="7" width="14.5703125" style="991" customWidth="1"/>
    <col min="8" max="8" width="11.42578125" style="991" customWidth="1"/>
    <col min="9" max="9" width="12.42578125" style="991" customWidth="1"/>
    <col min="10" max="16384" width="8.7109375" style="991"/>
  </cols>
  <sheetData>
    <row r="1" spans="2:9" ht="5.0999999999999996" customHeight="1" x14ac:dyDescent="0.25"/>
    <row r="2" spans="2:9" ht="26.65" customHeight="1" thickBot="1" x14ac:dyDescent="0.3">
      <c r="B2" s="992" t="s">
        <v>440</v>
      </c>
    </row>
    <row r="3" spans="2:9" ht="14.65" customHeight="1" x14ac:dyDescent="0.25">
      <c r="B3" s="2240" t="s">
        <v>361</v>
      </c>
      <c r="C3" s="2241"/>
      <c r="D3" s="993"/>
      <c r="E3" s="993"/>
      <c r="F3" s="993"/>
      <c r="G3" s="993"/>
      <c r="H3" s="995" t="s">
        <v>381</v>
      </c>
      <c r="I3" s="996">
        <f>'HPP REF '!N3</f>
        <v>1098.8155217391304</v>
      </c>
    </row>
    <row r="4" spans="2:9" ht="14.65" customHeight="1" x14ac:dyDescent="0.25">
      <c r="B4" s="2242" t="s">
        <v>414</v>
      </c>
      <c r="C4" s="2243"/>
      <c r="H4" s="997" t="s">
        <v>83</v>
      </c>
      <c r="I4" s="998">
        <f>'SUMMARY HPP '!I4</f>
        <v>23</v>
      </c>
    </row>
    <row r="5" spans="2:9" ht="14.65" customHeight="1" x14ac:dyDescent="0.25">
      <c r="B5" s="2242" t="s">
        <v>415</v>
      </c>
      <c r="C5" s="2243"/>
      <c r="H5" s="997" t="s">
        <v>416</v>
      </c>
      <c r="I5" s="998">
        <f>I4*I3</f>
        <v>25272.756999999998</v>
      </c>
    </row>
    <row r="6" spans="2:9" ht="14.65" customHeight="1" thickBot="1" x14ac:dyDescent="0.3">
      <c r="B6" s="969" t="s">
        <v>417</v>
      </c>
      <c r="C6" s="970"/>
      <c r="D6" s="999"/>
      <c r="E6" s="999"/>
      <c r="F6" s="999"/>
      <c r="G6" s="999"/>
      <c r="H6" s="1001"/>
      <c r="I6" s="1188">
        <f>'SUMMARY HPP '!I9</f>
        <v>15546</v>
      </c>
    </row>
    <row r="7" spans="2:9" ht="15.6" customHeight="1" x14ac:dyDescent="0.25">
      <c r="B7" s="2246" t="s">
        <v>99</v>
      </c>
      <c r="C7" s="2246" t="s">
        <v>285</v>
      </c>
      <c r="D7" s="2256" t="s">
        <v>441</v>
      </c>
      <c r="E7" s="2256"/>
      <c r="F7" s="2256" t="s">
        <v>442</v>
      </c>
      <c r="G7" s="2256"/>
      <c r="H7" s="2256"/>
      <c r="I7" s="2256"/>
    </row>
    <row r="8" spans="2:9" ht="15" customHeight="1" thickBot="1" x14ac:dyDescent="0.3">
      <c r="B8" s="2247"/>
      <c r="C8" s="2247"/>
      <c r="D8" s="1045" t="s">
        <v>443</v>
      </c>
      <c r="E8" s="1045" t="s">
        <v>444</v>
      </c>
      <c r="F8" s="1045" t="s">
        <v>443</v>
      </c>
      <c r="G8" s="1045" t="s">
        <v>444</v>
      </c>
      <c r="H8" s="1046" t="s">
        <v>419</v>
      </c>
      <c r="I8" s="1046" t="s">
        <v>226</v>
      </c>
    </row>
    <row r="9" spans="2:9" ht="13.5" thickTop="1" x14ac:dyDescent="0.25">
      <c r="B9" s="1047">
        <v>1</v>
      </c>
      <c r="C9" s="1048" t="s">
        <v>445</v>
      </c>
      <c r="D9" s="1009">
        <v>305458258</v>
      </c>
      <c r="E9" s="1009">
        <f>IFERROR(D9/12,0)</f>
        <v>25454854.833333332</v>
      </c>
      <c r="F9" s="1049">
        <f>G9*12</f>
        <v>366549909.59999996</v>
      </c>
      <c r="G9" s="1049">
        <v>30545825.799999997</v>
      </c>
      <c r="H9" s="1010">
        <f>G9/($I$5*1000)</f>
        <v>1.2086463617720853</v>
      </c>
      <c r="I9" s="1010">
        <f>(G9/$I$6)/$I$5</f>
        <v>7.7746453220898307E-2</v>
      </c>
    </row>
    <row r="10" spans="2:9" x14ac:dyDescent="0.25">
      <c r="B10" s="1012">
        <f>B9+1</f>
        <v>2</v>
      </c>
      <c r="C10" s="1019" t="s">
        <v>446</v>
      </c>
      <c r="D10" s="1017">
        <v>2628729528.8000002</v>
      </c>
      <c r="E10" s="1017">
        <f t="shared" ref="E10:E50" si="0">IFERROR(D10/12,0)</f>
        <v>219060794.06666669</v>
      </c>
      <c r="F10" s="1049">
        <f>G10*12</f>
        <v>3548784863.8800001</v>
      </c>
      <c r="G10" s="1049">
        <v>295732071.99000001</v>
      </c>
      <c r="H10" s="1010">
        <f t="shared" ref="H10:H50" si="1">G10/($I$5*1000)</f>
        <v>11.701614983675903</v>
      </c>
      <c r="I10" s="1010">
        <f t="shared" ref="I10:I50" si="2">(G10/$I$6)/$I$5</f>
        <v>0.75270905594210102</v>
      </c>
    </row>
    <row r="11" spans="2:9" x14ac:dyDescent="0.25">
      <c r="B11" s="1012">
        <f t="shared" ref="B11:B50" si="3">B10+1</f>
        <v>3</v>
      </c>
      <c r="C11" s="1019" t="s">
        <v>447</v>
      </c>
      <c r="D11" s="1017">
        <v>720175678</v>
      </c>
      <c r="E11" s="1017">
        <f t="shared" si="0"/>
        <v>60014639.833333336</v>
      </c>
      <c r="F11" s="1049">
        <f t="shared" ref="F11:F49" si="4">G11*12</f>
        <v>756184461.9000001</v>
      </c>
      <c r="G11" s="1049">
        <v>63015371.825000003</v>
      </c>
      <c r="H11" s="1010">
        <f t="shared" si="1"/>
        <v>2.4934110601783579</v>
      </c>
      <c r="I11" s="1010">
        <f t="shared" si="2"/>
        <v>0.16038923582776005</v>
      </c>
    </row>
    <row r="12" spans="2:9" x14ac:dyDescent="0.25">
      <c r="B12" s="1012">
        <f t="shared" si="3"/>
        <v>4</v>
      </c>
      <c r="C12" s="1019" t="s">
        <v>448</v>
      </c>
      <c r="D12" s="1017">
        <v>2428347903</v>
      </c>
      <c r="E12" s="1017">
        <f t="shared" si="0"/>
        <v>202362325.25</v>
      </c>
      <c r="F12" s="1049">
        <f t="shared" si="4"/>
        <v>2220000000</v>
      </c>
      <c r="G12" s="1049">
        <v>185000000</v>
      </c>
      <c r="H12" s="1010">
        <f t="shared" si="1"/>
        <v>7.320135274517142</v>
      </c>
      <c r="I12" s="1010">
        <f t="shared" si="2"/>
        <v>0.47086937311958976</v>
      </c>
    </row>
    <row r="13" spans="2:9" x14ac:dyDescent="0.25">
      <c r="B13" s="1012">
        <f t="shared" si="3"/>
        <v>5</v>
      </c>
      <c r="C13" s="1019" t="s">
        <v>449</v>
      </c>
      <c r="D13" s="1017">
        <v>110862850</v>
      </c>
      <c r="E13" s="1017">
        <f t="shared" si="0"/>
        <v>9238570.833333334</v>
      </c>
      <c r="F13" s="1049">
        <f t="shared" si="4"/>
        <v>110862850</v>
      </c>
      <c r="G13" s="1049">
        <v>9238570.833333334</v>
      </c>
      <c r="H13" s="1010">
        <f t="shared" si="1"/>
        <v>0.36555453104437063</v>
      </c>
      <c r="I13" s="1010">
        <f t="shared" si="2"/>
        <v>2.3514378685473476E-2</v>
      </c>
    </row>
    <row r="14" spans="2:9" x14ac:dyDescent="0.25">
      <c r="B14" s="1012">
        <f t="shared" si="3"/>
        <v>6</v>
      </c>
      <c r="C14" s="1019" t="s">
        <v>450</v>
      </c>
      <c r="D14" s="1017">
        <v>126990400</v>
      </c>
      <c r="E14" s="1017">
        <f t="shared" si="0"/>
        <v>10582533.333333334</v>
      </c>
      <c r="F14" s="1049">
        <f t="shared" si="4"/>
        <v>110000400</v>
      </c>
      <c r="G14" s="1049">
        <v>9166700</v>
      </c>
      <c r="H14" s="1010">
        <f t="shared" si="1"/>
        <v>0.36271072443738533</v>
      </c>
      <c r="I14" s="1010">
        <f t="shared" si="2"/>
        <v>2.3331450176082937E-2</v>
      </c>
    </row>
    <row r="15" spans="2:9" x14ac:dyDescent="0.25">
      <c r="B15" s="1012">
        <f t="shared" si="3"/>
        <v>7</v>
      </c>
      <c r="C15" s="1019" t="s">
        <v>451</v>
      </c>
      <c r="D15" s="1017">
        <v>108868060</v>
      </c>
      <c r="E15" s="1017">
        <f t="shared" si="0"/>
        <v>9072338.333333334</v>
      </c>
      <c r="F15" s="1049">
        <f t="shared" si="4"/>
        <v>100000000</v>
      </c>
      <c r="G15" s="1049">
        <v>8333333.333333333</v>
      </c>
      <c r="H15" s="1010">
        <f t="shared" si="1"/>
        <v>0.32973582317644784</v>
      </c>
      <c r="I15" s="1010">
        <f t="shared" si="2"/>
        <v>2.121033212250404E-2</v>
      </c>
    </row>
    <row r="16" spans="2:9" x14ac:dyDescent="0.25">
      <c r="B16" s="1012">
        <f t="shared" si="3"/>
        <v>8</v>
      </c>
      <c r="C16" s="1019" t="s">
        <v>452</v>
      </c>
      <c r="D16" s="1017">
        <v>203000</v>
      </c>
      <c r="E16" s="1017">
        <f t="shared" si="0"/>
        <v>16916.666666666668</v>
      </c>
      <c r="F16" s="1049">
        <f t="shared" si="4"/>
        <v>0</v>
      </c>
      <c r="G16" s="1049">
        <v>0</v>
      </c>
      <c r="H16" s="1010">
        <f t="shared" si="1"/>
        <v>0</v>
      </c>
      <c r="I16" s="1010">
        <f t="shared" si="2"/>
        <v>0</v>
      </c>
    </row>
    <row r="17" spans="2:9" x14ac:dyDescent="0.25">
      <c r="B17" s="1012">
        <f t="shared" si="3"/>
        <v>9</v>
      </c>
      <c r="C17" s="1019" t="s">
        <v>453</v>
      </c>
      <c r="D17" s="1017">
        <v>108952486</v>
      </c>
      <c r="E17" s="1017">
        <f t="shared" si="0"/>
        <v>9079373.833333334</v>
      </c>
      <c r="F17" s="1049">
        <f t="shared" si="4"/>
        <v>114400110.30000001</v>
      </c>
      <c r="G17" s="1049">
        <v>9533342.5250000004</v>
      </c>
      <c r="H17" s="1010">
        <f t="shared" si="1"/>
        <v>0.37721814541246934</v>
      </c>
      <c r="I17" s="1010">
        <f t="shared" si="2"/>
        <v>2.4264643343140952E-2</v>
      </c>
    </row>
    <row r="18" spans="2:9" x14ac:dyDescent="0.25">
      <c r="B18" s="1012">
        <f t="shared" si="3"/>
        <v>10</v>
      </c>
      <c r="C18" s="1019" t="s">
        <v>454</v>
      </c>
      <c r="D18" s="1017">
        <v>32369030</v>
      </c>
      <c r="E18" s="1017">
        <f t="shared" si="0"/>
        <v>2697419.1666666665</v>
      </c>
      <c r="F18" s="1049">
        <f t="shared" si="4"/>
        <v>33987481.5</v>
      </c>
      <c r="G18" s="1049">
        <v>2832290.125</v>
      </c>
      <c r="H18" s="1010">
        <f t="shared" si="1"/>
        <v>0.11206890190096792</v>
      </c>
      <c r="I18" s="1010">
        <f t="shared" si="2"/>
        <v>7.2088577062246187E-3</v>
      </c>
    </row>
    <row r="19" spans="2:9" x14ac:dyDescent="0.25">
      <c r="B19" s="1012">
        <f t="shared" si="3"/>
        <v>11</v>
      </c>
      <c r="C19" s="1019" t="s">
        <v>455</v>
      </c>
      <c r="D19" s="1017">
        <v>179265600</v>
      </c>
      <c r="E19" s="1017">
        <f t="shared" si="0"/>
        <v>14938800</v>
      </c>
      <c r="F19" s="1049">
        <f t="shared" si="4"/>
        <v>188228880</v>
      </c>
      <c r="G19" s="1049">
        <v>15685740</v>
      </c>
      <c r="H19" s="1010">
        <f t="shared" si="1"/>
        <v>0.62065804692380822</v>
      </c>
      <c r="I19" s="1010">
        <f t="shared" si="2"/>
        <v>3.9923970598469583E-2</v>
      </c>
    </row>
    <row r="20" spans="2:9" x14ac:dyDescent="0.25">
      <c r="B20" s="1012">
        <f t="shared" si="3"/>
        <v>12</v>
      </c>
      <c r="C20" s="1019" t="s">
        <v>456</v>
      </c>
      <c r="D20" s="1017">
        <v>253700695</v>
      </c>
      <c r="E20" s="1017">
        <f t="shared" si="0"/>
        <v>21141724.583333332</v>
      </c>
      <c r="F20" s="1049">
        <f t="shared" si="4"/>
        <v>266385729.75</v>
      </c>
      <c r="G20" s="1049">
        <v>22198810.8125</v>
      </c>
      <c r="H20" s="1010">
        <f t="shared" si="1"/>
        <v>0.87836917881575027</v>
      </c>
      <c r="I20" s="1010">
        <f t="shared" si="2"/>
        <v>5.6501298006931051E-2</v>
      </c>
    </row>
    <row r="21" spans="2:9" x14ac:dyDescent="0.25">
      <c r="B21" s="1012">
        <f t="shared" si="3"/>
        <v>13</v>
      </c>
      <c r="C21" s="1019" t="s">
        <v>457</v>
      </c>
      <c r="D21" s="1017">
        <v>1859843066</v>
      </c>
      <c r="E21" s="1017">
        <f t="shared" si="0"/>
        <v>154986922.16666666</v>
      </c>
      <c r="F21" s="1049">
        <f t="shared" si="4"/>
        <v>335473201</v>
      </c>
      <c r="G21" s="1049">
        <v>27956100.083333332</v>
      </c>
      <c r="H21" s="1010">
        <f t="shared" si="1"/>
        <v>1.1061753208537295</v>
      </c>
      <c r="I21" s="1010">
        <f t="shared" si="2"/>
        <v>7.1154980114095545E-2</v>
      </c>
    </row>
    <row r="22" spans="2:9" x14ac:dyDescent="0.25">
      <c r="B22" s="1012">
        <f t="shared" si="3"/>
        <v>14</v>
      </c>
      <c r="C22" s="1019" t="s">
        <v>458</v>
      </c>
      <c r="D22" s="1017">
        <v>694460474</v>
      </c>
      <c r="E22" s="1017">
        <f t="shared" si="0"/>
        <v>57871706.166666664</v>
      </c>
      <c r="F22" s="1049">
        <f t="shared" si="4"/>
        <v>268391053.16000003</v>
      </c>
      <c r="G22" s="1049">
        <v>22365921.096666668</v>
      </c>
      <c r="H22" s="1010">
        <f t="shared" si="1"/>
        <v>0.88498144846906379</v>
      </c>
      <c r="I22" s="1010">
        <f t="shared" si="2"/>
        <v>5.6926633762322376E-2</v>
      </c>
    </row>
    <row r="23" spans="2:9" x14ac:dyDescent="0.25">
      <c r="B23" s="1012">
        <f t="shared" si="3"/>
        <v>15</v>
      </c>
      <c r="C23" s="1019" t="s">
        <v>459</v>
      </c>
      <c r="D23" s="1017"/>
      <c r="E23" s="1017">
        <f t="shared" si="0"/>
        <v>0</v>
      </c>
      <c r="F23" s="1049">
        <f t="shared" si="4"/>
        <v>60000000</v>
      </c>
      <c r="G23" s="1049">
        <v>5000000</v>
      </c>
      <c r="H23" s="1010">
        <f t="shared" si="1"/>
        <v>0.19784149390586872</v>
      </c>
      <c r="I23" s="1010">
        <f t="shared" si="2"/>
        <v>1.2726199273502424E-2</v>
      </c>
    </row>
    <row r="24" spans="2:9" x14ac:dyDescent="0.25">
      <c r="B24" s="1012">
        <f t="shared" si="3"/>
        <v>16</v>
      </c>
      <c r="C24" s="1019" t="s">
        <v>460</v>
      </c>
      <c r="D24" s="1017">
        <v>659276883</v>
      </c>
      <c r="E24" s="1017">
        <f t="shared" si="0"/>
        <v>54939740.25</v>
      </c>
      <c r="F24" s="1049">
        <f t="shared" si="4"/>
        <v>1518332400</v>
      </c>
      <c r="G24" s="1049">
        <v>126527700</v>
      </c>
      <c r="H24" s="1010">
        <f t="shared" si="1"/>
        <v>5.0064858376947168</v>
      </c>
      <c r="I24" s="1010">
        <f t="shared" si="2"/>
        <v>0.32204334476358654</v>
      </c>
    </row>
    <row r="25" spans="2:9" x14ac:dyDescent="0.25">
      <c r="B25" s="1012">
        <f t="shared" si="3"/>
        <v>17</v>
      </c>
      <c r="C25" s="1019" t="s">
        <v>461</v>
      </c>
      <c r="D25" s="1017"/>
      <c r="E25" s="1017">
        <f t="shared" si="0"/>
        <v>0</v>
      </c>
      <c r="F25" s="1049">
        <f t="shared" si="4"/>
        <v>197000000</v>
      </c>
      <c r="G25" s="1049">
        <v>16416666.666666666</v>
      </c>
      <c r="H25" s="1010">
        <f t="shared" si="1"/>
        <v>0.64957957165760227</v>
      </c>
      <c r="I25" s="1010">
        <f t="shared" si="2"/>
        <v>4.1784354281332967E-2</v>
      </c>
    </row>
    <row r="26" spans="2:9" x14ac:dyDescent="0.25">
      <c r="B26" s="1012">
        <f t="shared" si="3"/>
        <v>18</v>
      </c>
      <c r="C26" s="1019" t="s">
        <v>462</v>
      </c>
      <c r="D26" s="1017">
        <v>62716328</v>
      </c>
      <c r="E26" s="1017">
        <f t="shared" si="0"/>
        <v>5226360.666666667</v>
      </c>
      <c r="F26" s="1049">
        <f t="shared" si="4"/>
        <v>80400000</v>
      </c>
      <c r="G26" s="1049">
        <v>6700000</v>
      </c>
      <c r="H26" s="1010">
        <f t="shared" si="1"/>
        <v>0.26510760183386406</v>
      </c>
      <c r="I26" s="1010">
        <f t="shared" si="2"/>
        <v>1.705310702649325E-2</v>
      </c>
    </row>
    <row r="27" spans="2:9" x14ac:dyDescent="0.25">
      <c r="B27" s="1012">
        <f t="shared" si="3"/>
        <v>19</v>
      </c>
      <c r="C27" s="1019" t="s">
        <v>463</v>
      </c>
      <c r="D27" s="1017">
        <v>1756590</v>
      </c>
      <c r="E27" s="1017">
        <f t="shared" si="0"/>
        <v>146382.5</v>
      </c>
      <c r="F27" s="1049">
        <f t="shared" si="4"/>
        <v>6840000</v>
      </c>
      <c r="G27" s="1049">
        <v>570000</v>
      </c>
      <c r="H27" s="1010">
        <f t="shared" si="1"/>
        <v>2.2553930305269032E-2</v>
      </c>
      <c r="I27" s="1010">
        <f t="shared" si="2"/>
        <v>1.4507867171792764E-3</v>
      </c>
    </row>
    <row r="28" spans="2:9" x14ac:dyDescent="0.25">
      <c r="B28" s="1012">
        <f t="shared" si="3"/>
        <v>20</v>
      </c>
      <c r="C28" s="1019" t="s">
        <v>464</v>
      </c>
      <c r="D28" s="1017">
        <v>1193620819.1700001</v>
      </c>
      <c r="E28" s="1017">
        <f t="shared" si="0"/>
        <v>99468401.597500011</v>
      </c>
      <c r="F28" s="1049">
        <f t="shared" si="4"/>
        <v>1193620819.1700001</v>
      </c>
      <c r="G28" s="1049">
        <v>99468401.597500011</v>
      </c>
      <c r="H28" s="1010">
        <f t="shared" si="1"/>
        <v>3.93579543369566</v>
      </c>
      <c r="I28" s="1010">
        <f t="shared" si="2"/>
        <v>0.25317094002931045</v>
      </c>
    </row>
    <row r="29" spans="2:9" x14ac:dyDescent="0.25">
      <c r="B29" s="1012">
        <f t="shared" si="3"/>
        <v>21</v>
      </c>
      <c r="C29" s="1019" t="s">
        <v>465</v>
      </c>
      <c r="D29" s="1017">
        <v>488020500</v>
      </c>
      <c r="E29" s="1017">
        <f t="shared" si="0"/>
        <v>40668375</v>
      </c>
      <c r="F29" s="1049">
        <f t="shared" si="4"/>
        <v>264000000</v>
      </c>
      <c r="G29" s="1049">
        <v>22000000</v>
      </c>
      <c r="H29" s="1010">
        <f t="shared" si="1"/>
        <v>0.87050257318582236</v>
      </c>
      <c r="I29" s="1010">
        <f t="shared" si="2"/>
        <v>5.5995276803410668E-2</v>
      </c>
    </row>
    <row r="30" spans="2:9" x14ac:dyDescent="0.25">
      <c r="B30" s="1012">
        <f t="shared" si="3"/>
        <v>22</v>
      </c>
      <c r="C30" s="1019" t="s">
        <v>466</v>
      </c>
      <c r="D30" s="1017">
        <v>68171900</v>
      </c>
      <c r="E30" s="1017">
        <f t="shared" si="0"/>
        <v>5680991.666666667</v>
      </c>
      <c r="F30" s="1049">
        <f t="shared" si="4"/>
        <v>258000000</v>
      </c>
      <c r="G30" s="1049">
        <v>21500000</v>
      </c>
      <c r="H30" s="1010">
        <f t="shared" si="1"/>
        <v>0.85071842379523543</v>
      </c>
      <c r="I30" s="1010">
        <f t="shared" si="2"/>
        <v>5.472265687606042E-2</v>
      </c>
    </row>
    <row r="31" spans="2:9" x14ac:dyDescent="0.25">
      <c r="B31" s="1012">
        <f t="shared" si="3"/>
        <v>23</v>
      </c>
      <c r="C31" s="1019" t="s">
        <v>467</v>
      </c>
      <c r="D31" s="1017">
        <v>1186354647</v>
      </c>
      <c r="E31" s="1017">
        <f t="shared" si="0"/>
        <v>98862887.25</v>
      </c>
      <c r="F31" s="1049">
        <f t="shared" si="4"/>
        <v>10000000</v>
      </c>
      <c r="G31" s="1049">
        <v>833333.33333333337</v>
      </c>
      <c r="H31" s="1010">
        <f t="shared" si="1"/>
        <v>3.2973582317644787E-2</v>
      </c>
      <c r="I31" s="1010">
        <f t="shared" si="2"/>
        <v>2.1210332122504044E-3</v>
      </c>
    </row>
    <row r="32" spans="2:9" x14ac:dyDescent="0.25">
      <c r="B32" s="1012">
        <f t="shared" si="3"/>
        <v>24</v>
      </c>
      <c r="C32" s="1019" t="s">
        <v>468</v>
      </c>
      <c r="D32" s="1017">
        <v>847778298.30999994</v>
      </c>
      <c r="E32" s="1017">
        <f t="shared" si="0"/>
        <v>70648191.525833324</v>
      </c>
      <c r="F32" s="1049">
        <f t="shared" si="4"/>
        <v>907122779.19169986</v>
      </c>
      <c r="G32" s="1049">
        <v>75593564.932641655</v>
      </c>
      <c r="H32" s="1010">
        <f t="shared" si="1"/>
        <v>2.9911087631888229</v>
      </c>
      <c r="I32" s="1010">
        <f t="shared" si="2"/>
        <v>0.1924037542254485</v>
      </c>
    </row>
    <row r="33" spans="2:9" x14ac:dyDescent="0.25">
      <c r="B33" s="1012">
        <f t="shared" si="3"/>
        <v>25</v>
      </c>
      <c r="C33" s="1019" t="s">
        <v>469</v>
      </c>
      <c r="D33" s="1017">
        <v>245454645</v>
      </c>
      <c r="E33" s="1017">
        <f t="shared" si="0"/>
        <v>20454553.75</v>
      </c>
      <c r="F33" s="1049">
        <f t="shared" si="4"/>
        <v>270000109.5</v>
      </c>
      <c r="G33" s="1049">
        <v>22500009.125</v>
      </c>
      <c r="H33" s="1010">
        <f t="shared" si="1"/>
        <v>0.8902870836371356</v>
      </c>
      <c r="I33" s="1010">
        <f t="shared" si="2"/>
        <v>5.7267919956074588E-2</v>
      </c>
    </row>
    <row r="34" spans="2:9" x14ac:dyDescent="0.25">
      <c r="B34" s="1012">
        <f t="shared" si="3"/>
        <v>26</v>
      </c>
      <c r="C34" s="1019" t="s">
        <v>470</v>
      </c>
      <c r="D34" s="1017"/>
      <c r="E34" s="1017">
        <f t="shared" si="0"/>
        <v>0</v>
      </c>
      <c r="F34" s="1049">
        <f t="shared" si="4"/>
        <v>0</v>
      </c>
      <c r="G34" s="1049">
        <v>0</v>
      </c>
      <c r="H34" s="1010">
        <f t="shared" si="1"/>
        <v>0</v>
      </c>
      <c r="I34" s="1010">
        <f t="shared" si="2"/>
        <v>0</v>
      </c>
    </row>
    <row r="35" spans="2:9" x14ac:dyDescent="0.25">
      <c r="B35" s="1012">
        <f t="shared" si="3"/>
        <v>27</v>
      </c>
      <c r="C35" s="1019" t="s">
        <v>471</v>
      </c>
      <c r="D35" s="1017"/>
      <c r="E35" s="1017">
        <f t="shared" si="0"/>
        <v>0</v>
      </c>
      <c r="F35" s="1049">
        <f t="shared" si="4"/>
        <v>0</v>
      </c>
      <c r="G35" s="1049">
        <v>0</v>
      </c>
      <c r="H35" s="1010">
        <f t="shared" si="1"/>
        <v>0</v>
      </c>
      <c r="I35" s="1010">
        <f t="shared" si="2"/>
        <v>0</v>
      </c>
    </row>
    <row r="36" spans="2:9" x14ac:dyDescent="0.25">
      <c r="B36" s="1012">
        <f t="shared" si="3"/>
        <v>28</v>
      </c>
      <c r="C36" s="1019" t="s">
        <v>472</v>
      </c>
      <c r="D36" s="1017">
        <v>188207400</v>
      </c>
      <c r="E36" s="1017">
        <f t="shared" si="0"/>
        <v>15683950</v>
      </c>
      <c r="F36" s="1049">
        <f t="shared" si="4"/>
        <v>207028140</v>
      </c>
      <c r="G36" s="1049">
        <v>17252345</v>
      </c>
      <c r="H36" s="1010">
        <f t="shared" si="1"/>
        <v>0.68264594163588888</v>
      </c>
      <c r="I36" s="1010">
        <f t="shared" si="2"/>
        <v>4.3911356081042636E-2</v>
      </c>
    </row>
    <row r="37" spans="2:9" x14ac:dyDescent="0.25">
      <c r="B37" s="1012">
        <f t="shared" si="3"/>
        <v>29</v>
      </c>
      <c r="C37" s="1019" t="s">
        <v>473</v>
      </c>
      <c r="D37" s="1017">
        <v>4384212523</v>
      </c>
      <c r="E37" s="1017">
        <f t="shared" si="0"/>
        <v>365351043.58333331</v>
      </c>
      <c r="F37" s="1049">
        <f t="shared" si="4"/>
        <v>666345107</v>
      </c>
      <c r="G37" s="1049">
        <v>55528758.916666664</v>
      </c>
      <c r="H37" s="1010">
        <f t="shared" si="1"/>
        <v>2.1971785237624322</v>
      </c>
      <c r="I37" s="1010">
        <f t="shared" si="2"/>
        <v>0.14133401027675493</v>
      </c>
    </row>
    <row r="38" spans="2:9" x14ac:dyDescent="0.25">
      <c r="B38" s="1012">
        <f t="shared" si="3"/>
        <v>30</v>
      </c>
      <c r="C38" s="1019" t="s">
        <v>474</v>
      </c>
      <c r="D38" s="1017">
        <v>108648500</v>
      </c>
      <c r="E38" s="1017">
        <f t="shared" si="0"/>
        <v>9054041.666666666</v>
      </c>
      <c r="F38" s="1049">
        <f t="shared" si="4"/>
        <v>114080925</v>
      </c>
      <c r="G38" s="1049">
        <v>9506743.75</v>
      </c>
      <c r="H38" s="1010">
        <f t="shared" si="1"/>
        <v>0.37616567713605609</v>
      </c>
      <c r="I38" s="1010">
        <f t="shared" si="2"/>
        <v>2.4196943080924745E-2</v>
      </c>
    </row>
    <row r="39" spans="2:9" x14ac:dyDescent="0.25">
      <c r="B39" s="1012">
        <f t="shared" si="3"/>
        <v>31</v>
      </c>
      <c r="C39" s="1019" t="s">
        <v>475</v>
      </c>
      <c r="D39" s="1017">
        <v>80056015</v>
      </c>
      <c r="E39" s="1017">
        <f t="shared" si="0"/>
        <v>6671334.583333333</v>
      </c>
      <c r="F39" s="1049">
        <f t="shared" si="4"/>
        <v>0</v>
      </c>
      <c r="G39" s="1049">
        <v>0</v>
      </c>
      <c r="H39" s="1010">
        <f t="shared" si="1"/>
        <v>0</v>
      </c>
      <c r="I39" s="1010">
        <f t="shared" si="2"/>
        <v>0</v>
      </c>
    </row>
    <row r="40" spans="2:9" x14ac:dyDescent="0.25">
      <c r="B40" s="1012">
        <f t="shared" si="3"/>
        <v>32</v>
      </c>
      <c r="C40" s="1019" t="s">
        <v>476</v>
      </c>
      <c r="D40" s="1017">
        <v>84564877</v>
      </c>
      <c r="E40" s="1017">
        <f t="shared" si="0"/>
        <v>7047073.083333333</v>
      </c>
      <c r="F40" s="1049">
        <f t="shared" si="4"/>
        <v>88793120.849999994</v>
      </c>
      <c r="G40" s="1049">
        <v>7399426.7374999998</v>
      </c>
      <c r="H40" s="1010">
        <f t="shared" si="1"/>
        <v>0.29278272795880561</v>
      </c>
      <c r="I40" s="1010">
        <f t="shared" si="2"/>
        <v>1.8833315834221383E-2</v>
      </c>
    </row>
    <row r="41" spans="2:9" x14ac:dyDescent="0.25">
      <c r="B41" s="1012">
        <f t="shared" si="3"/>
        <v>33</v>
      </c>
      <c r="C41" s="1019" t="s">
        <v>477</v>
      </c>
      <c r="D41" s="1017"/>
      <c r="E41" s="1017">
        <f t="shared" si="0"/>
        <v>0</v>
      </c>
      <c r="F41" s="1049">
        <f t="shared" si="4"/>
        <v>0</v>
      </c>
      <c r="G41" s="1049">
        <v>0</v>
      </c>
      <c r="H41" s="1010">
        <f t="shared" si="1"/>
        <v>0</v>
      </c>
      <c r="I41" s="1010">
        <f t="shared" si="2"/>
        <v>0</v>
      </c>
    </row>
    <row r="42" spans="2:9" x14ac:dyDescent="0.25">
      <c r="B42" s="1012">
        <f t="shared" si="3"/>
        <v>34</v>
      </c>
      <c r="C42" s="1019" t="s">
        <v>478</v>
      </c>
      <c r="D42" s="1017"/>
      <c r="E42" s="1017">
        <f t="shared" si="0"/>
        <v>0</v>
      </c>
      <c r="F42" s="1049">
        <f t="shared" si="4"/>
        <v>0</v>
      </c>
      <c r="G42" s="1049">
        <v>0</v>
      </c>
      <c r="H42" s="1010">
        <f t="shared" si="1"/>
        <v>0</v>
      </c>
      <c r="I42" s="1010">
        <f t="shared" si="2"/>
        <v>0</v>
      </c>
    </row>
    <row r="43" spans="2:9" x14ac:dyDescent="0.25">
      <c r="B43" s="1012">
        <f t="shared" si="3"/>
        <v>35</v>
      </c>
      <c r="C43" s="1019" t="s">
        <v>479</v>
      </c>
      <c r="D43" s="1017">
        <v>3864122096</v>
      </c>
      <c r="E43" s="1017">
        <f t="shared" si="0"/>
        <v>322010174.66666669</v>
      </c>
      <c r="F43" s="1049">
        <f t="shared" si="4"/>
        <v>2223000000</v>
      </c>
      <c r="G43" s="1049">
        <v>185250000</v>
      </c>
      <c r="H43" s="1010">
        <f t="shared" si="1"/>
        <v>7.3300273492124353</v>
      </c>
      <c r="I43" s="1010">
        <f t="shared" si="2"/>
        <v>0.47150568308326485</v>
      </c>
    </row>
    <row r="44" spans="2:9" x14ac:dyDescent="0.25">
      <c r="B44" s="1012">
        <f t="shared" si="3"/>
        <v>36</v>
      </c>
      <c r="C44" s="1019" t="s">
        <v>480</v>
      </c>
      <c r="D44" s="1017">
        <v>810000</v>
      </c>
      <c r="E44" s="1017">
        <f t="shared" si="0"/>
        <v>67500</v>
      </c>
      <c r="F44" s="1049">
        <f t="shared" si="4"/>
        <v>0</v>
      </c>
      <c r="G44" s="1049">
        <v>0</v>
      </c>
      <c r="H44" s="1010">
        <f t="shared" si="1"/>
        <v>0</v>
      </c>
      <c r="I44" s="1010">
        <f t="shared" si="2"/>
        <v>0</v>
      </c>
    </row>
    <row r="45" spans="2:9" x14ac:dyDescent="0.25">
      <c r="B45" s="1012">
        <f t="shared" si="3"/>
        <v>37</v>
      </c>
      <c r="C45" s="1019" t="s">
        <v>481</v>
      </c>
      <c r="D45" s="1017">
        <v>185612516</v>
      </c>
      <c r="E45" s="1017">
        <f t="shared" si="0"/>
        <v>15467709.666666666</v>
      </c>
      <c r="F45" s="1049">
        <f t="shared" si="4"/>
        <v>41405668</v>
      </c>
      <c r="G45" s="1049">
        <v>3450472.3333333335</v>
      </c>
      <c r="H45" s="1010">
        <f t="shared" si="1"/>
        <v>0.13652932022150704</v>
      </c>
      <c r="I45" s="1010">
        <f t="shared" si="2"/>
        <v>8.7822797003413774E-3</v>
      </c>
    </row>
    <row r="46" spans="2:9" x14ac:dyDescent="0.25">
      <c r="B46" s="1012">
        <f t="shared" si="3"/>
        <v>38</v>
      </c>
      <c r="C46" s="1019" t="s">
        <v>482</v>
      </c>
      <c r="D46" s="1017">
        <v>300000</v>
      </c>
      <c r="E46" s="1017">
        <f t="shared" si="0"/>
        <v>25000</v>
      </c>
      <c r="F46" s="1049">
        <f t="shared" si="4"/>
        <v>25000000</v>
      </c>
      <c r="G46" s="1049">
        <v>2083333.3333333333</v>
      </c>
      <c r="H46" s="1010">
        <f t="shared" si="1"/>
        <v>8.243395579411196E-2</v>
      </c>
      <c r="I46" s="1010">
        <f t="shared" si="2"/>
        <v>5.30258303062601E-3</v>
      </c>
    </row>
    <row r="47" spans="2:9" x14ac:dyDescent="0.25">
      <c r="B47" s="1012">
        <f t="shared" si="3"/>
        <v>39</v>
      </c>
      <c r="C47" s="1019" t="s">
        <v>483</v>
      </c>
      <c r="D47" s="1017">
        <v>497881607</v>
      </c>
      <c r="E47" s="1017">
        <f t="shared" si="0"/>
        <v>41490133.916666664</v>
      </c>
      <c r="F47" s="1049">
        <f t="shared" si="4"/>
        <v>420000000</v>
      </c>
      <c r="G47" s="1049">
        <v>35000000</v>
      </c>
      <c r="H47" s="1010">
        <f t="shared" si="1"/>
        <v>1.384890457341081</v>
      </c>
      <c r="I47" s="1010">
        <f t="shared" si="2"/>
        <v>8.9083394914516972E-2</v>
      </c>
    </row>
    <row r="48" spans="2:9" x14ac:dyDescent="0.25">
      <c r="B48" s="1012">
        <f t="shared" si="3"/>
        <v>40</v>
      </c>
      <c r="C48" s="1019" t="s">
        <v>484</v>
      </c>
      <c r="D48" s="1017">
        <v>79298165</v>
      </c>
      <c r="E48" s="1017">
        <f t="shared" si="0"/>
        <v>6608180.416666667</v>
      </c>
      <c r="F48" s="1049">
        <f t="shared" si="4"/>
        <v>12458700</v>
      </c>
      <c r="G48" s="1049">
        <v>1038225</v>
      </c>
      <c r="H48" s="1010">
        <f t="shared" si="1"/>
        <v>4.1080797002084106E-2</v>
      </c>
      <c r="I48" s="1010">
        <f t="shared" si="2"/>
        <v>2.6425316481464107E-3</v>
      </c>
    </row>
    <row r="49" spans="2:9" x14ac:dyDescent="0.25">
      <c r="B49" s="1012">
        <f t="shared" si="3"/>
        <v>41</v>
      </c>
      <c r="C49" s="1019" t="s">
        <v>485</v>
      </c>
      <c r="D49" s="1017"/>
      <c r="E49" s="1017">
        <f t="shared" si="0"/>
        <v>0</v>
      </c>
      <c r="F49" s="1049">
        <f t="shared" si="4"/>
        <v>250000000</v>
      </c>
      <c r="G49" s="1049">
        <v>20833333.333333332</v>
      </c>
      <c r="H49" s="1010">
        <f t="shared" si="1"/>
        <v>0.82433955794111957</v>
      </c>
      <c r="I49" s="1010">
        <f t="shared" si="2"/>
        <v>5.3025830306260104E-2</v>
      </c>
    </row>
    <row r="50" spans="2:9" ht="13.5" thickBot="1" x14ac:dyDescent="0.3">
      <c r="B50" s="1050">
        <f t="shared" si="3"/>
        <v>42</v>
      </c>
      <c r="C50" s="1051" t="s">
        <v>486</v>
      </c>
      <c r="D50" s="1052">
        <v>11059767</v>
      </c>
      <c r="E50" s="1052">
        <f t="shared" si="0"/>
        <v>921647.25</v>
      </c>
      <c r="F50" s="1053">
        <f>G50*12</f>
        <v>0</v>
      </c>
      <c r="G50" s="1053">
        <v>0</v>
      </c>
      <c r="H50" s="1010">
        <f t="shared" si="1"/>
        <v>0</v>
      </c>
      <c r="I50" s="1010">
        <f t="shared" si="2"/>
        <v>0</v>
      </c>
    </row>
    <row r="51" spans="2:9" ht="19.350000000000001" customHeight="1" thickBot="1" x14ac:dyDescent="0.3">
      <c r="D51" s="1054">
        <f t="shared" ref="D51:I51" si="5">SUM(D9:D50)</f>
        <v>23796151105.279999</v>
      </c>
      <c r="E51" s="1054">
        <f t="shared" si="5"/>
        <v>1983012592.1066668</v>
      </c>
      <c r="F51" s="1055">
        <f t="shared" si="5"/>
        <v>17232676709.801701</v>
      </c>
      <c r="G51" s="1055">
        <f t="shared" si="5"/>
        <v>1436056392.483475</v>
      </c>
      <c r="H51" s="1056">
        <f t="shared" si="5"/>
        <v>56.822308404400644</v>
      </c>
      <c r="I51" s="1056">
        <f t="shared" si="5"/>
        <v>3.6551079637463419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74" bestFit="1" customWidth="1"/>
    <col min="2" max="2" width="13.28515625" style="974" customWidth="1"/>
    <col min="3" max="3" width="49.5703125" style="974" bestFit="1" customWidth="1"/>
    <col min="4" max="4" width="39.28515625" style="974" bestFit="1" customWidth="1"/>
    <col min="5" max="5" width="9.28515625" style="974"/>
  </cols>
  <sheetData>
    <row r="1" spans="1:5" ht="24" customHeight="1" x14ac:dyDescent="0.25">
      <c r="A1" s="2257" t="s">
        <v>556</v>
      </c>
      <c r="B1" s="2257" t="s">
        <v>169</v>
      </c>
      <c r="C1" s="2257" t="s">
        <v>557</v>
      </c>
      <c r="D1" s="2257"/>
      <c r="E1" s="1078"/>
    </row>
    <row r="2" spans="1:5" ht="21" customHeight="1" x14ac:dyDescent="0.25">
      <c r="A2" s="2257"/>
      <c r="B2" s="2257"/>
      <c r="C2" s="1078" t="s">
        <v>16</v>
      </c>
      <c r="D2" s="1078" t="s">
        <v>558</v>
      </c>
      <c r="E2" s="1078"/>
    </row>
    <row r="3" spans="1:5" x14ac:dyDescent="0.25">
      <c r="A3" s="1072">
        <v>1</v>
      </c>
      <c r="B3" s="1073">
        <v>45536</v>
      </c>
      <c r="C3" s="1072"/>
      <c r="D3" s="1072"/>
      <c r="E3" s="308"/>
    </row>
    <row r="4" spans="1:5" x14ac:dyDescent="0.25">
      <c r="A4" s="1072">
        <v>2</v>
      </c>
      <c r="B4" s="1073">
        <v>45537</v>
      </c>
      <c r="C4" s="1072"/>
      <c r="D4" s="1072"/>
      <c r="E4" s="308"/>
    </row>
    <row r="5" spans="1:5" x14ac:dyDescent="0.25">
      <c r="A5" s="1072">
        <v>3</v>
      </c>
      <c r="B5" s="1073">
        <v>45538</v>
      </c>
      <c r="C5" s="1072"/>
      <c r="D5" s="1072"/>
      <c r="E5" s="308"/>
    </row>
    <row r="6" spans="1:5" x14ac:dyDescent="0.25">
      <c r="A6" s="1072">
        <v>4</v>
      </c>
      <c r="B6" s="1073">
        <v>45539</v>
      </c>
      <c r="C6" s="1072"/>
      <c r="D6" s="1072"/>
      <c r="E6" s="308"/>
    </row>
    <row r="7" spans="1:5" x14ac:dyDescent="0.25">
      <c r="A7" s="1072">
        <v>5</v>
      </c>
      <c r="B7" s="1073">
        <v>45540</v>
      </c>
      <c r="C7" s="1072"/>
      <c r="D7" s="1072"/>
      <c r="E7" s="308"/>
    </row>
    <row r="8" spans="1:5" x14ac:dyDescent="0.25">
      <c r="A8" s="1072">
        <v>6</v>
      </c>
      <c r="B8" s="1073">
        <v>45541</v>
      </c>
      <c r="C8" s="1072"/>
      <c r="D8" s="1072"/>
      <c r="E8" s="308"/>
    </row>
    <row r="9" spans="1:5" x14ac:dyDescent="0.25">
      <c r="A9" s="1072">
        <v>7</v>
      </c>
      <c r="B9" s="1073">
        <v>45542</v>
      </c>
      <c r="C9" s="1072"/>
      <c r="D9" s="1072"/>
      <c r="E9" s="308"/>
    </row>
    <row r="10" spans="1:5" x14ac:dyDescent="0.25">
      <c r="A10" s="1072">
        <v>8</v>
      </c>
      <c r="B10" s="1073">
        <v>45543</v>
      </c>
      <c r="C10" s="1072"/>
      <c r="D10" s="1072"/>
      <c r="E10" s="308"/>
    </row>
    <row r="11" spans="1:5" x14ac:dyDescent="0.25">
      <c r="A11" s="1072">
        <v>9</v>
      </c>
      <c r="B11" s="1073">
        <v>45544</v>
      </c>
      <c r="C11" s="1072"/>
      <c r="D11" s="1072"/>
      <c r="E11" s="308"/>
    </row>
    <row r="12" spans="1:5" x14ac:dyDescent="0.25">
      <c r="A12" s="1072">
        <v>10</v>
      </c>
      <c r="B12" s="1073">
        <v>45545</v>
      </c>
      <c r="C12" s="1072"/>
      <c r="D12" s="1072"/>
      <c r="E12" s="308"/>
    </row>
    <row r="13" spans="1:5" x14ac:dyDescent="0.25">
      <c r="A13" s="1072">
        <v>11</v>
      </c>
      <c r="B13" s="1073">
        <v>45546</v>
      </c>
      <c r="C13" s="1072"/>
      <c r="D13" s="1072"/>
      <c r="E13" s="308"/>
    </row>
    <row r="14" spans="1:5" x14ac:dyDescent="0.25">
      <c r="A14" s="1072">
        <v>12</v>
      </c>
      <c r="B14" s="1073">
        <v>45547</v>
      </c>
      <c r="C14" s="1072"/>
      <c r="D14" s="1072"/>
      <c r="E14" s="308"/>
    </row>
    <row r="15" spans="1:5" x14ac:dyDescent="0.25">
      <c r="A15" s="1072">
        <v>13</v>
      </c>
      <c r="B15" s="1073">
        <v>45548</v>
      </c>
      <c r="C15" s="1072"/>
      <c r="D15" s="1072"/>
      <c r="E15" s="308"/>
    </row>
    <row r="16" spans="1:5" x14ac:dyDescent="0.25">
      <c r="A16" s="1072">
        <v>14</v>
      </c>
      <c r="B16" s="1073">
        <v>45549</v>
      </c>
      <c r="C16" s="1072"/>
      <c r="D16" s="1072"/>
      <c r="E16" s="308"/>
    </row>
    <row r="17" spans="1:5" x14ac:dyDescent="0.25">
      <c r="A17" s="1072">
        <v>15</v>
      </c>
      <c r="B17" s="1073">
        <v>45550</v>
      </c>
      <c r="C17" s="1072"/>
      <c r="D17" s="1072"/>
      <c r="E17" s="308"/>
    </row>
    <row r="18" spans="1:5" x14ac:dyDescent="0.25">
      <c r="A18" s="1072">
        <v>16</v>
      </c>
      <c r="B18" s="1073">
        <v>45551</v>
      </c>
      <c r="C18" s="1072"/>
      <c r="D18" s="1072"/>
      <c r="E18" s="308"/>
    </row>
    <row r="19" spans="1:5" x14ac:dyDescent="0.25">
      <c r="A19" s="1072">
        <v>17</v>
      </c>
      <c r="B19" s="1073">
        <v>45552</v>
      </c>
      <c r="C19" s="1072"/>
      <c r="D19" s="1072"/>
      <c r="E19" s="308"/>
    </row>
    <row r="20" spans="1:5" x14ac:dyDescent="0.25">
      <c r="A20" s="1072">
        <v>18</v>
      </c>
      <c r="B20" s="1073">
        <v>45553</v>
      </c>
      <c r="C20" s="1072"/>
      <c r="D20" s="1072"/>
      <c r="E20" s="308"/>
    </row>
    <row r="21" spans="1:5" x14ac:dyDescent="0.25">
      <c r="A21" s="1072">
        <v>19</v>
      </c>
      <c r="B21" s="1073">
        <v>45554</v>
      </c>
      <c r="C21" s="1072"/>
      <c r="D21" s="1072"/>
      <c r="E21" s="308"/>
    </row>
    <row r="22" spans="1:5" x14ac:dyDescent="0.25">
      <c r="A22" s="1072">
        <v>20</v>
      </c>
      <c r="B22" s="1073">
        <v>45555</v>
      </c>
      <c r="C22" s="1072"/>
      <c r="D22" s="1072"/>
      <c r="E22" s="308"/>
    </row>
    <row r="23" spans="1:5" x14ac:dyDescent="0.25">
      <c r="A23" s="1072">
        <v>21</v>
      </c>
      <c r="B23" s="1073">
        <v>45556</v>
      </c>
      <c r="C23" s="1072"/>
      <c r="D23" s="1072"/>
      <c r="E23" s="308"/>
    </row>
    <row r="24" spans="1:5" x14ac:dyDescent="0.25">
      <c r="A24" s="1072">
        <v>22</v>
      </c>
      <c r="B24" s="1073">
        <v>45557</v>
      </c>
      <c r="C24" s="1072"/>
      <c r="D24" s="1072"/>
      <c r="E24" s="308"/>
    </row>
    <row r="25" spans="1:5" x14ac:dyDescent="0.25">
      <c r="A25" s="1072">
        <v>23</v>
      </c>
      <c r="B25" s="1073">
        <v>45558</v>
      </c>
      <c r="C25" s="1072"/>
      <c r="D25" s="1072"/>
      <c r="E25" s="308"/>
    </row>
    <row r="26" spans="1:5" ht="120" x14ac:dyDescent="0.25">
      <c r="A26" s="1072">
        <v>24</v>
      </c>
      <c r="B26" s="1073">
        <v>45559</v>
      </c>
      <c r="C26" s="1074" t="s">
        <v>562</v>
      </c>
      <c r="D26" s="1075" t="s">
        <v>559</v>
      </c>
      <c r="E26" s="308"/>
    </row>
    <row r="27" spans="1:5" ht="45" x14ac:dyDescent="0.25">
      <c r="A27" s="1072">
        <v>25</v>
      </c>
      <c r="B27" s="1073">
        <v>45560</v>
      </c>
      <c r="C27" s="1074" t="s">
        <v>560</v>
      </c>
      <c r="D27" s="1076" t="s">
        <v>561</v>
      </c>
      <c r="E27" s="308"/>
    </row>
    <row r="28" spans="1:5" x14ac:dyDescent="0.25">
      <c r="A28" s="1072">
        <v>26</v>
      </c>
      <c r="B28" s="1073">
        <v>45561</v>
      </c>
      <c r="C28" s="1077"/>
      <c r="D28" s="1072"/>
      <c r="E28" s="308"/>
    </row>
    <row r="29" spans="1:5" x14ac:dyDescent="0.25">
      <c r="A29" s="1072">
        <v>27</v>
      </c>
      <c r="B29" s="1073">
        <v>45562</v>
      </c>
      <c r="C29" s="1077"/>
      <c r="D29" s="1072"/>
      <c r="E29" s="308"/>
    </row>
    <row r="30" spans="1:5" x14ac:dyDescent="0.25">
      <c r="A30" s="1072">
        <v>28</v>
      </c>
      <c r="B30" s="1073">
        <v>45563</v>
      </c>
      <c r="C30" s="1077"/>
      <c r="D30" s="1072"/>
      <c r="E30" s="308"/>
    </row>
    <row r="31" spans="1:5" x14ac:dyDescent="0.25">
      <c r="A31" s="1072">
        <v>29</v>
      </c>
      <c r="B31" s="1073">
        <v>45564</v>
      </c>
      <c r="C31" s="1077"/>
      <c r="D31" s="1072"/>
      <c r="E31" s="308"/>
    </row>
    <row r="32" spans="1:5" x14ac:dyDescent="0.25">
      <c r="A32" s="1072">
        <v>30</v>
      </c>
      <c r="B32" s="1073">
        <v>45565</v>
      </c>
      <c r="C32" s="1077"/>
      <c r="D32" s="1072"/>
      <c r="E32" s="308"/>
    </row>
    <row r="33" spans="3:3" x14ac:dyDescent="0.25">
      <c r="C33" s="325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7109375" bestFit="1" customWidth="1"/>
    <col min="20" max="20" width="10.5703125" customWidth="1"/>
    <col min="23" max="23" width="10.5703125" hidden="1" customWidth="1"/>
  </cols>
  <sheetData>
    <row r="2" spans="1:23" ht="19.5" x14ac:dyDescent="0.3">
      <c r="A2" s="2261" t="s">
        <v>172</v>
      </c>
      <c r="B2" s="2261"/>
      <c r="C2" s="2261"/>
      <c r="D2" s="2261"/>
      <c r="E2" s="2261"/>
      <c r="F2" s="2261"/>
      <c r="G2" s="2261"/>
      <c r="H2" s="2261"/>
      <c r="I2" s="2261"/>
      <c r="J2" s="2261"/>
      <c r="K2" s="2261"/>
      <c r="L2" s="2261"/>
      <c r="M2" s="2261"/>
      <c r="N2" s="2261"/>
      <c r="O2" s="2261"/>
      <c r="P2" s="2261"/>
      <c r="Q2" s="2261"/>
      <c r="R2" s="2261"/>
      <c r="S2" s="2261"/>
      <c r="T2" s="2261"/>
    </row>
    <row r="3" spans="1:23" ht="19.5" x14ac:dyDescent="0.3">
      <c r="A3" s="2261" t="s">
        <v>173</v>
      </c>
      <c r="B3" s="2261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</row>
    <row r="4" spans="1:23" x14ac:dyDescent="0.25">
      <c r="A4" s="350"/>
      <c r="B4" s="351"/>
      <c r="C4" s="352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4"/>
      <c r="S4" s="355"/>
      <c r="T4" s="356"/>
      <c r="U4" s="356"/>
    </row>
    <row r="5" spans="1:23" ht="15.75" x14ac:dyDescent="0.25">
      <c r="A5" s="2263" t="s">
        <v>212</v>
      </c>
      <c r="B5" s="2264"/>
      <c r="C5" s="2264"/>
      <c r="D5" s="2264"/>
      <c r="E5" s="2264"/>
      <c r="F5" s="2264"/>
      <c r="G5" s="2264"/>
      <c r="H5" s="2264"/>
      <c r="I5" s="2264"/>
      <c r="J5" s="2264"/>
      <c r="K5" s="2264"/>
      <c r="L5" s="2264"/>
      <c r="M5" s="2264"/>
      <c r="N5" s="2264"/>
      <c r="O5" s="2264"/>
      <c r="P5" s="2264"/>
      <c r="Q5" s="2264"/>
      <c r="R5" s="2264"/>
      <c r="S5" s="2264"/>
      <c r="T5" s="2264"/>
      <c r="U5" s="2264"/>
    </row>
    <row r="6" spans="1:23" s="318" customFormat="1" ht="38.65" customHeight="1" x14ac:dyDescent="0.25">
      <c r="A6" s="316" t="s">
        <v>175</v>
      </c>
      <c r="B6" s="316" t="s">
        <v>176</v>
      </c>
      <c r="C6" s="316" t="s">
        <v>177</v>
      </c>
      <c r="D6" s="316" t="s">
        <v>178</v>
      </c>
      <c r="E6" s="316" t="s">
        <v>179</v>
      </c>
      <c r="F6" s="316" t="s">
        <v>180</v>
      </c>
      <c r="G6" s="316" t="s">
        <v>181</v>
      </c>
      <c r="H6" s="316" t="s">
        <v>182</v>
      </c>
      <c r="I6" s="316" t="s">
        <v>183</v>
      </c>
      <c r="J6" s="316" t="s">
        <v>184</v>
      </c>
      <c r="K6" s="316" t="s">
        <v>185</v>
      </c>
      <c r="L6" s="316" t="s">
        <v>186</v>
      </c>
      <c r="M6" s="316" t="s">
        <v>187</v>
      </c>
      <c r="N6" s="339" t="s">
        <v>197</v>
      </c>
      <c r="O6" s="339" t="s">
        <v>198</v>
      </c>
      <c r="P6" s="339" t="s">
        <v>199</v>
      </c>
      <c r="Q6" s="316" t="s">
        <v>200</v>
      </c>
      <c r="R6" s="317" t="s">
        <v>188</v>
      </c>
      <c r="S6" s="316" t="s">
        <v>189</v>
      </c>
      <c r="T6" s="316" t="s">
        <v>190</v>
      </c>
      <c r="U6" s="316" t="s">
        <v>191</v>
      </c>
    </row>
    <row r="7" spans="1:23" x14ac:dyDescent="0.25">
      <c r="A7" s="319">
        <v>1</v>
      </c>
      <c r="B7" s="319" t="s">
        <v>192</v>
      </c>
      <c r="C7" s="320">
        <f>'[30]01 '!$Q$14</f>
        <v>744924</v>
      </c>
      <c r="D7" s="321">
        <f>'[30]02'!$Q$14</f>
        <v>743972</v>
      </c>
      <c r="E7" s="321">
        <f>'[30]03'!$Q$14</f>
        <v>1048435</v>
      </c>
      <c r="F7" s="321">
        <f>'[30]04'!$Q$14</f>
        <v>1114821</v>
      </c>
      <c r="G7" s="321">
        <v>248126</v>
      </c>
      <c r="H7" s="349">
        <v>389481</v>
      </c>
      <c r="I7" s="349">
        <v>104168</v>
      </c>
      <c r="J7" s="349">
        <v>320907</v>
      </c>
      <c r="K7" s="349">
        <v>100743</v>
      </c>
      <c r="L7" s="321">
        <v>512647</v>
      </c>
      <c r="M7" s="349">
        <v>441064</v>
      </c>
      <c r="N7" s="357">
        <v>524002</v>
      </c>
      <c r="O7" s="321">
        <v>568358</v>
      </c>
      <c r="P7" s="321">
        <v>430750</v>
      </c>
      <c r="Q7" s="321"/>
      <c r="R7" s="322">
        <f>SUM(C7:Q7)</f>
        <v>7292398</v>
      </c>
      <c r="S7" s="348"/>
      <c r="T7" s="2262"/>
      <c r="U7" s="2262"/>
    </row>
    <row r="8" spans="1:23" x14ac:dyDescent="0.25">
      <c r="A8" s="319">
        <v>2</v>
      </c>
      <c r="B8" s="319" t="s">
        <v>193</v>
      </c>
      <c r="C8" s="358">
        <v>713300</v>
      </c>
      <c r="D8" s="349">
        <v>708000</v>
      </c>
      <c r="E8" s="349">
        <v>993100</v>
      </c>
      <c r="F8" s="321">
        <v>1056000</v>
      </c>
      <c r="G8" s="349">
        <v>237021</v>
      </c>
      <c r="H8" s="349">
        <v>365100</v>
      </c>
      <c r="I8" s="349">
        <v>44001</v>
      </c>
      <c r="J8" s="349">
        <v>300010</v>
      </c>
      <c r="K8" s="359">
        <v>94507</v>
      </c>
      <c r="L8" s="360">
        <v>488153</v>
      </c>
      <c r="M8" s="359">
        <v>414337</v>
      </c>
      <c r="N8" s="321">
        <v>492952</v>
      </c>
      <c r="O8" s="321">
        <v>532902</v>
      </c>
      <c r="P8" s="321">
        <v>497845</v>
      </c>
      <c r="Q8" s="321"/>
      <c r="R8" s="322">
        <f>SUM(C8:Q8)</f>
        <v>6937228</v>
      </c>
      <c r="S8" s="349"/>
      <c r="T8" s="323">
        <f>R8/R7</f>
        <v>0.95129585631502833</v>
      </c>
      <c r="U8" s="323" t="e">
        <f>S8/S7</f>
        <v>#DIV/0!</v>
      </c>
      <c r="W8" s="321" t="e">
        <f>4984655+#REF!</f>
        <v>#REF!</v>
      </c>
    </row>
    <row r="9" spans="1:23" x14ac:dyDescent="0.25">
      <c r="A9" s="319">
        <v>3</v>
      </c>
      <c r="B9" s="319" t="s">
        <v>64</v>
      </c>
      <c r="C9" s="320">
        <f>'[30]01 '!$P$25</f>
        <v>25659</v>
      </c>
      <c r="D9" s="349">
        <v>28786</v>
      </c>
      <c r="E9" s="321">
        <f>'[30]03'!$P$25</f>
        <v>46938</v>
      </c>
      <c r="F9" s="321">
        <f>'[30]04'!$P$24</f>
        <v>48667</v>
      </c>
      <c r="G9" s="349">
        <v>8070</v>
      </c>
      <c r="H9" s="349">
        <v>19280</v>
      </c>
      <c r="I9" s="349">
        <v>3234</v>
      </c>
      <c r="J9" s="349">
        <v>18283</v>
      </c>
      <c r="K9" s="349">
        <v>5131</v>
      </c>
      <c r="L9" s="321">
        <v>20426</v>
      </c>
      <c r="M9" s="321">
        <v>23275</v>
      </c>
      <c r="N9" s="321">
        <v>27655</v>
      </c>
      <c r="O9" s="321">
        <v>25803</v>
      </c>
      <c r="P9" s="321">
        <v>20173</v>
      </c>
      <c r="Q9" s="321"/>
      <c r="R9" s="322">
        <f>SUM(C9:Q9)</f>
        <v>321380</v>
      </c>
      <c r="S9" s="349"/>
      <c r="T9" s="323">
        <f>R9/R7</f>
        <v>4.4070551278194085E-2</v>
      </c>
      <c r="U9" s="323" t="e">
        <f>S9/S7</f>
        <v>#DIV/0!</v>
      </c>
    </row>
    <row r="10" spans="1:23" x14ac:dyDescent="0.25">
      <c r="A10" s="350"/>
      <c r="B10" s="351"/>
      <c r="C10" s="347">
        <f>C8/C7</f>
        <v>0.95754734711192013</v>
      </c>
      <c r="D10" s="347">
        <f t="shared" ref="D10:P10" si="0">D8/D7</f>
        <v>0.95164871796250394</v>
      </c>
      <c r="E10" s="347">
        <f t="shared" si="0"/>
        <v>0.94722133465593961</v>
      </c>
      <c r="F10" s="347">
        <f t="shared" si="0"/>
        <v>0.94723726948093012</v>
      </c>
      <c r="G10" s="347">
        <f t="shared" si="0"/>
        <v>0.95524451286846201</v>
      </c>
      <c r="H10" s="347">
        <f t="shared" si="0"/>
        <v>0.93740131097537494</v>
      </c>
      <c r="I10" s="347">
        <f t="shared" si="0"/>
        <v>0.42240419322632672</v>
      </c>
      <c r="J10" s="347">
        <f t="shared" si="0"/>
        <v>0.9348814454031853</v>
      </c>
      <c r="K10" s="347">
        <f t="shared" si="0"/>
        <v>0.93809991761214173</v>
      </c>
      <c r="L10" s="347">
        <f t="shared" si="0"/>
        <v>0.95222053381761718</v>
      </c>
      <c r="M10" s="347">
        <f t="shared" si="0"/>
        <v>0.93940335189450963</v>
      </c>
      <c r="N10" s="347">
        <f t="shared" si="0"/>
        <v>0.94074450097518714</v>
      </c>
      <c r="O10" s="347">
        <f t="shared" si="0"/>
        <v>0.93761678378768309</v>
      </c>
      <c r="P10" s="347">
        <f t="shared" si="0"/>
        <v>1.1557632037144516</v>
      </c>
      <c r="Q10" s="353"/>
      <c r="R10" s="354"/>
      <c r="S10" s="355"/>
      <c r="T10" s="356"/>
      <c r="U10" s="356"/>
    </row>
    <row r="11" spans="1:23" x14ac:dyDescent="0.25">
      <c r="A11" s="350"/>
      <c r="B11" s="351"/>
      <c r="C11" s="347">
        <f>C9/C7*1</f>
        <v>3.4445124603315239E-2</v>
      </c>
      <c r="D11" s="347">
        <f t="shared" ref="D11:P11" si="1">D9/D7*1</f>
        <v>3.8692316377498079E-2</v>
      </c>
      <c r="E11" s="347">
        <f t="shared" si="1"/>
        <v>4.4769585143571135E-2</v>
      </c>
      <c r="F11" s="347">
        <f t="shared" si="1"/>
        <v>4.3654541850216312E-2</v>
      </c>
      <c r="G11" s="347">
        <f t="shared" si="1"/>
        <v>3.2523798392752067E-2</v>
      </c>
      <c r="H11" s="347">
        <f t="shared" si="1"/>
        <v>4.9501772872104159E-2</v>
      </c>
      <c r="I11" s="347">
        <f t="shared" si="1"/>
        <v>3.1046002611166579E-2</v>
      </c>
      <c r="J11" s="347">
        <f t="shared" si="1"/>
        <v>5.6972892457939531E-2</v>
      </c>
      <c r="K11" s="347">
        <f t="shared" si="1"/>
        <v>5.0931578372690904E-2</v>
      </c>
      <c r="L11" s="347">
        <f t="shared" si="1"/>
        <v>3.9844181278735659E-2</v>
      </c>
      <c r="M11" s="347">
        <f t="shared" si="1"/>
        <v>5.2770119529138626E-2</v>
      </c>
      <c r="N11" s="347">
        <f t="shared" si="1"/>
        <v>5.2776516120167483E-2</v>
      </c>
      <c r="O11" s="347">
        <f t="shared" si="1"/>
        <v>4.5399202615253063E-2</v>
      </c>
      <c r="P11" s="347">
        <f t="shared" si="1"/>
        <v>4.6832269297736505E-2</v>
      </c>
      <c r="Q11" s="353"/>
      <c r="R11" s="354"/>
      <c r="S11" s="355"/>
      <c r="T11" s="356"/>
      <c r="U11" s="356"/>
    </row>
    <row r="12" spans="1:23" x14ac:dyDescent="0.25">
      <c r="A12" s="350"/>
      <c r="B12" s="351" t="s">
        <v>213</v>
      </c>
      <c r="C12" s="347">
        <f>(C7-C8-C9)/C7</f>
        <v>8.0075282847646197E-3</v>
      </c>
      <c r="D12" s="347">
        <f t="shared" ref="D12:P12" si="2">(D7-D8-D9)/D7</f>
        <v>9.6589656599979576E-3</v>
      </c>
      <c r="E12" s="347">
        <f t="shared" si="2"/>
        <v>8.0090802004893005E-3</v>
      </c>
      <c r="F12" s="347">
        <f t="shared" si="2"/>
        <v>9.1081886688535642E-3</v>
      </c>
      <c r="G12" s="347">
        <f t="shared" si="2"/>
        <v>1.223168873878594E-2</v>
      </c>
      <c r="H12" s="347">
        <f t="shared" si="2"/>
        <v>1.309691615252092E-2</v>
      </c>
      <c r="I12" s="347">
        <f>(I7-I8-I9)/I7</f>
        <v>0.54654980416250676</v>
      </c>
      <c r="J12" s="347">
        <f t="shared" si="2"/>
        <v>8.1456621388751264E-3</v>
      </c>
      <c r="K12" s="347">
        <f t="shared" si="2"/>
        <v>1.0968504015167307E-2</v>
      </c>
      <c r="L12" s="347">
        <f t="shared" si="2"/>
        <v>7.9352849036471492E-3</v>
      </c>
      <c r="M12" s="347">
        <f t="shared" si="2"/>
        <v>7.8265285763517312E-3</v>
      </c>
      <c r="N12" s="347">
        <f t="shared" si="2"/>
        <v>6.4789829046454023E-3</v>
      </c>
      <c r="O12" s="347">
        <f t="shared" si="2"/>
        <v>1.6984013597063821E-2</v>
      </c>
      <c r="P12" s="347">
        <f t="shared" si="2"/>
        <v>-0.20259547301218805</v>
      </c>
      <c r="Q12" s="353"/>
      <c r="R12" s="354"/>
      <c r="S12" s="355"/>
      <c r="T12" s="356"/>
      <c r="U12" s="356"/>
    </row>
    <row r="13" spans="1:23" x14ac:dyDescent="0.25">
      <c r="A13" s="350"/>
      <c r="B13" s="351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53"/>
      <c r="R13" s="354"/>
      <c r="S13" s="355"/>
      <c r="T13" s="356"/>
      <c r="U13" s="356"/>
    </row>
    <row r="14" spans="1:23" ht="15.75" x14ac:dyDescent="0.25">
      <c r="A14" s="2263" t="s">
        <v>214</v>
      </c>
      <c r="B14" s="2264"/>
      <c r="C14" s="2264"/>
      <c r="D14" s="2264"/>
      <c r="E14" s="2264"/>
      <c r="F14" s="2264"/>
      <c r="G14" s="2264"/>
      <c r="H14" s="2264"/>
      <c r="I14" s="2264"/>
      <c r="J14" s="2264"/>
      <c r="K14" s="2264"/>
      <c r="L14" s="2264"/>
      <c r="M14" s="2264"/>
      <c r="N14" s="2264"/>
      <c r="O14" s="2264"/>
      <c r="P14" s="2264"/>
      <c r="Q14" s="2264"/>
      <c r="R14" s="2264"/>
      <c r="S14" s="2264"/>
      <c r="T14" s="2264"/>
      <c r="U14" s="2264"/>
    </row>
    <row r="15" spans="1:23" s="318" customFormat="1" ht="38.65" customHeight="1" x14ac:dyDescent="0.25">
      <c r="A15" s="316" t="s">
        <v>175</v>
      </c>
      <c r="B15" s="316" t="s">
        <v>176</v>
      </c>
      <c r="C15" s="316" t="s">
        <v>177</v>
      </c>
      <c r="D15" s="316" t="s">
        <v>178</v>
      </c>
      <c r="E15" s="316" t="s">
        <v>179</v>
      </c>
      <c r="F15" s="316" t="s">
        <v>180</v>
      </c>
      <c r="G15" s="316" t="s">
        <v>181</v>
      </c>
      <c r="H15" s="316" t="s">
        <v>182</v>
      </c>
      <c r="I15" s="316" t="s">
        <v>183</v>
      </c>
      <c r="J15" s="316" t="s">
        <v>184</v>
      </c>
      <c r="K15" s="316" t="s">
        <v>185</v>
      </c>
      <c r="L15" s="316" t="s">
        <v>186</v>
      </c>
      <c r="M15" s="316" t="s">
        <v>187</v>
      </c>
      <c r="N15" s="339" t="s">
        <v>197</v>
      </c>
      <c r="O15" s="339" t="s">
        <v>198</v>
      </c>
      <c r="P15" s="339" t="s">
        <v>199</v>
      </c>
      <c r="Q15" s="316" t="s">
        <v>200</v>
      </c>
      <c r="R15" s="317" t="s">
        <v>188</v>
      </c>
      <c r="S15" s="316" t="s">
        <v>189</v>
      </c>
      <c r="T15" s="316" t="s">
        <v>190</v>
      </c>
      <c r="U15" s="316" t="s">
        <v>191</v>
      </c>
    </row>
    <row r="16" spans="1:23" x14ac:dyDescent="0.25">
      <c r="A16" s="319">
        <v>1</v>
      </c>
      <c r="B16" s="319" t="s">
        <v>192</v>
      </c>
      <c r="C16" s="320">
        <v>680800</v>
      </c>
      <c r="D16" s="321">
        <v>806400</v>
      </c>
      <c r="E16" s="321">
        <v>858600</v>
      </c>
      <c r="F16" s="321">
        <v>898100</v>
      </c>
      <c r="G16" s="321">
        <v>26100</v>
      </c>
      <c r="H16" s="321">
        <v>513200</v>
      </c>
      <c r="I16" s="321">
        <v>119200</v>
      </c>
      <c r="J16" s="321">
        <v>208900</v>
      </c>
      <c r="K16" s="321">
        <v>147700</v>
      </c>
      <c r="L16" s="321">
        <v>425800</v>
      </c>
      <c r="M16" s="321">
        <v>347900</v>
      </c>
      <c r="N16" s="321">
        <v>459100</v>
      </c>
      <c r="O16" s="321">
        <v>509200</v>
      </c>
      <c r="P16" s="321">
        <v>396700</v>
      </c>
      <c r="Q16" s="321">
        <v>20200</v>
      </c>
      <c r="R16" s="322">
        <f>SUM(C16:Q16)</f>
        <v>6417900</v>
      </c>
      <c r="S16" s="348">
        <f>5745000+14073+R19</f>
        <v>7292813</v>
      </c>
      <c r="T16" s="2262"/>
      <c r="U16" s="2262"/>
    </row>
    <row r="17" spans="1:23" x14ac:dyDescent="0.25">
      <c r="A17" s="319">
        <v>2</v>
      </c>
      <c r="B17" s="319" t="s">
        <v>193</v>
      </c>
      <c r="C17" s="320">
        <v>722400</v>
      </c>
      <c r="D17" s="321">
        <v>826700</v>
      </c>
      <c r="E17" s="321">
        <v>980700</v>
      </c>
      <c r="F17" s="321">
        <v>980600</v>
      </c>
      <c r="G17" s="321">
        <v>19900</v>
      </c>
      <c r="H17" s="321">
        <v>582000</v>
      </c>
      <c r="I17" s="321">
        <v>150500</v>
      </c>
      <c r="J17" s="321">
        <v>215300</v>
      </c>
      <c r="K17" s="344">
        <v>70837</v>
      </c>
      <c r="L17" s="344">
        <v>488153</v>
      </c>
      <c r="M17" s="344">
        <v>379337</v>
      </c>
      <c r="N17" s="321">
        <v>502200</v>
      </c>
      <c r="O17" s="321">
        <v>535800</v>
      </c>
      <c r="P17" s="321">
        <v>412600</v>
      </c>
      <c r="Q17" s="321">
        <v>92100</v>
      </c>
      <c r="R17" s="322">
        <f>SUM(C17:Q17)</f>
        <v>6959127</v>
      </c>
      <c r="S17" s="349">
        <f>SUM(C17:M17)+R20</f>
        <v>6940126</v>
      </c>
      <c r="T17" s="323">
        <f>R17/R16</f>
        <v>1.0843308558874398</v>
      </c>
      <c r="U17" s="323">
        <f>S17/S16</f>
        <v>0.95163910002902863</v>
      </c>
      <c r="W17" s="321">
        <f>4984655+R20</f>
        <v>6508354</v>
      </c>
    </row>
    <row r="18" spans="1:23" x14ac:dyDescent="0.25">
      <c r="A18" s="319">
        <v>3</v>
      </c>
      <c r="B18" s="319" t="s">
        <v>64</v>
      </c>
      <c r="C18" s="320">
        <v>37300</v>
      </c>
      <c r="D18" s="321">
        <v>38700</v>
      </c>
      <c r="E18" s="321">
        <v>49500</v>
      </c>
      <c r="F18" s="321">
        <v>47100</v>
      </c>
      <c r="G18" s="321">
        <v>3800</v>
      </c>
      <c r="H18" s="321">
        <v>30300</v>
      </c>
      <c r="I18" s="321">
        <v>9300</v>
      </c>
      <c r="J18" s="321">
        <v>14000</v>
      </c>
      <c r="K18" s="321">
        <v>14800</v>
      </c>
      <c r="L18" s="321">
        <v>25100</v>
      </c>
      <c r="M18" s="321">
        <v>23400</v>
      </c>
      <c r="N18" s="321">
        <v>23900</v>
      </c>
      <c r="O18" s="321">
        <v>26800</v>
      </c>
      <c r="P18" s="321">
        <v>22200</v>
      </c>
      <c r="Q18" s="321">
        <v>5900</v>
      </c>
      <c r="R18" s="322">
        <f>SUM(C18:Q18)</f>
        <v>372100</v>
      </c>
      <c r="S18" s="349">
        <f>248746+R21</f>
        <v>322377</v>
      </c>
      <c r="T18" s="323">
        <f>R18/R16</f>
        <v>5.7978466476573336E-2</v>
      </c>
      <c r="U18" s="323">
        <f>S18/S16</f>
        <v>4.4204753364716742E-2</v>
      </c>
    </row>
    <row r="19" spans="1:23" x14ac:dyDescent="0.25">
      <c r="A19" s="324"/>
      <c r="B19" s="324"/>
      <c r="C19" s="347">
        <f>C17/C16</f>
        <v>1.0611045828437133</v>
      </c>
      <c r="D19" s="347">
        <f t="shared" ref="D19:K19" si="3">D17/D16</f>
        <v>1.0251736111111112</v>
      </c>
      <c r="E19" s="347">
        <f t="shared" si="3"/>
        <v>1.1422082459818308</v>
      </c>
      <c r="F19" s="347">
        <f t="shared" si="3"/>
        <v>1.091860594588576</v>
      </c>
      <c r="G19" s="347">
        <f t="shared" si="3"/>
        <v>0.76245210727969348</v>
      </c>
      <c r="H19" s="347">
        <f t="shared" si="3"/>
        <v>1.1340607950116914</v>
      </c>
      <c r="I19" s="347">
        <f t="shared" si="3"/>
        <v>1.2625838926174497</v>
      </c>
      <c r="J19" s="347">
        <f t="shared" si="3"/>
        <v>1.0306366682623265</v>
      </c>
      <c r="K19" s="347">
        <f t="shared" si="3"/>
        <v>0.47960054163845633</v>
      </c>
      <c r="L19" s="335">
        <v>269515</v>
      </c>
      <c r="M19" s="325" t="s">
        <v>201</v>
      </c>
      <c r="N19" s="336">
        <v>534002</v>
      </c>
      <c r="O19" s="337">
        <v>568773</v>
      </c>
      <c r="P19" s="337">
        <v>430750</v>
      </c>
      <c r="Q19" s="337">
        <v>269300</v>
      </c>
      <c r="R19" s="326">
        <f>L19+N19+O19+P19-Q19</f>
        <v>1533740</v>
      </c>
      <c r="S19" s="326"/>
      <c r="U19" s="327">
        <f>100%-U17-U18</f>
        <v>4.1561466062546293E-3</v>
      </c>
      <c r="V19" t="s">
        <v>194</v>
      </c>
    </row>
    <row r="20" spans="1:23" x14ac:dyDescent="0.25">
      <c r="A20" s="324"/>
      <c r="B20" s="324"/>
      <c r="C20" s="325"/>
      <c r="M20" s="325" t="s">
        <v>193</v>
      </c>
      <c r="N20" s="336">
        <v>492952</v>
      </c>
      <c r="O20" s="337">
        <v>532902</v>
      </c>
      <c r="P20" s="337">
        <v>497845</v>
      </c>
      <c r="Q20" s="337"/>
      <c r="R20" s="326">
        <f>SUM(N20:P20)</f>
        <v>1523699</v>
      </c>
    </row>
    <row r="21" spans="1:23" x14ac:dyDescent="0.25">
      <c r="A21" s="324"/>
      <c r="B21" s="324"/>
      <c r="C21" s="325"/>
      <c r="M21" s="325"/>
      <c r="N21" s="363">
        <v>27655</v>
      </c>
      <c r="O21" s="337">
        <v>25803</v>
      </c>
      <c r="P21" s="337">
        <v>20173</v>
      </c>
      <c r="Q21" s="337"/>
      <c r="R21" s="326">
        <f>SUM(N21:P21)</f>
        <v>73631</v>
      </c>
    </row>
    <row r="22" spans="1:23" ht="19.5" x14ac:dyDescent="0.3">
      <c r="A22" s="314"/>
      <c r="B22" s="346" t="s">
        <v>208</v>
      </c>
      <c r="C22" s="2260" t="s">
        <v>209</v>
      </c>
      <c r="D22" s="2260"/>
      <c r="E22" s="2260"/>
      <c r="F22" s="2260"/>
      <c r="G22" s="2260"/>
      <c r="H22" s="2260"/>
      <c r="I22" s="2260"/>
      <c r="J22" s="2260"/>
      <c r="K22" s="2260"/>
      <c r="L22" s="2260"/>
      <c r="M22" s="325"/>
      <c r="N22" s="345"/>
      <c r="O22" s="345"/>
      <c r="P22" s="338"/>
      <c r="Q22" s="338"/>
      <c r="R22" s="326"/>
    </row>
    <row r="23" spans="1:23" ht="19.5" x14ac:dyDescent="0.3">
      <c r="A23" s="314"/>
      <c r="B23" s="314"/>
      <c r="C23" s="2258" t="s">
        <v>210</v>
      </c>
      <c r="D23" s="2258"/>
      <c r="E23" s="2258"/>
      <c r="F23" s="2258"/>
      <c r="G23" s="2258"/>
      <c r="H23" s="2258"/>
      <c r="I23" s="2258"/>
      <c r="J23" s="2258"/>
      <c r="K23" s="2258"/>
      <c r="L23" s="2258"/>
      <c r="M23" s="325"/>
      <c r="N23" s="345"/>
      <c r="O23" s="345"/>
      <c r="P23" s="338"/>
      <c r="Q23" s="338"/>
      <c r="R23" s="326"/>
    </row>
    <row r="24" spans="1:23" ht="19.5" x14ac:dyDescent="0.3">
      <c r="A24" s="314"/>
      <c r="B24" s="314"/>
      <c r="C24" s="2258" t="s">
        <v>211</v>
      </c>
      <c r="D24" s="2258"/>
      <c r="E24" s="2258"/>
      <c r="F24" s="2258"/>
      <c r="G24" s="2258"/>
      <c r="H24" s="2258"/>
      <c r="I24" s="2258"/>
      <c r="J24" s="2258"/>
      <c r="K24" s="324"/>
      <c r="L24" s="324"/>
      <c r="M24" s="325"/>
      <c r="N24" s="345"/>
      <c r="O24" s="345"/>
      <c r="P24" s="338"/>
      <c r="Q24" s="338"/>
      <c r="R24" s="326"/>
    </row>
    <row r="25" spans="1:23" ht="19.5" x14ac:dyDescent="0.3">
      <c r="A25" s="2261" t="s">
        <v>195</v>
      </c>
      <c r="B25" s="2261"/>
      <c r="C25" s="315"/>
      <c r="D25" s="315"/>
      <c r="E25" s="315"/>
      <c r="F25" s="315"/>
      <c r="G25" s="315"/>
      <c r="H25" s="314"/>
      <c r="I25" s="315"/>
      <c r="J25" s="315"/>
      <c r="K25" s="315"/>
      <c r="L25" s="315"/>
      <c r="M25" s="325"/>
      <c r="N25" s="338"/>
      <c r="O25" s="338"/>
      <c r="P25" s="338"/>
      <c r="Q25" s="338"/>
      <c r="R25" s="326"/>
    </row>
    <row r="26" spans="1:23" ht="15.75" x14ac:dyDescent="0.25">
      <c r="A26" s="2082" t="s">
        <v>174</v>
      </c>
      <c r="B26" s="2082"/>
      <c r="C26" s="2082"/>
      <c r="D26" s="2082"/>
      <c r="E26" s="2082"/>
      <c r="F26" s="2082"/>
      <c r="G26" s="2082"/>
      <c r="H26" s="2082"/>
      <c r="I26" s="2082"/>
      <c r="J26" s="2082"/>
      <c r="K26" s="2082"/>
      <c r="L26" s="2082"/>
      <c r="M26" s="2082"/>
      <c r="N26" s="2082"/>
      <c r="O26" s="2082"/>
      <c r="P26" s="2082"/>
      <c r="Q26" s="2082"/>
      <c r="R26" s="2082"/>
      <c r="S26" s="2082"/>
      <c r="T26" s="2082"/>
    </row>
    <row r="27" spans="1:23" s="318" customFormat="1" ht="38.65" customHeight="1" x14ac:dyDescent="0.25">
      <c r="A27" s="316" t="s">
        <v>175</v>
      </c>
      <c r="B27" s="316" t="s">
        <v>176</v>
      </c>
      <c r="C27" s="316" t="s">
        <v>177</v>
      </c>
      <c r="D27" s="316" t="s">
        <v>178</v>
      </c>
      <c r="E27" s="316" t="s">
        <v>179</v>
      </c>
      <c r="F27" s="316" t="s">
        <v>180</v>
      </c>
      <c r="G27" s="316" t="s">
        <v>181</v>
      </c>
      <c r="H27" s="316" t="s">
        <v>182</v>
      </c>
      <c r="I27" s="316" t="s">
        <v>183</v>
      </c>
      <c r="J27" s="316" t="s">
        <v>184</v>
      </c>
      <c r="K27" s="316" t="s">
        <v>185</v>
      </c>
      <c r="L27" s="316" t="s">
        <v>186</v>
      </c>
      <c r="M27" s="316" t="s">
        <v>187</v>
      </c>
      <c r="N27" s="316" t="s">
        <v>197</v>
      </c>
      <c r="O27" s="316" t="s">
        <v>198</v>
      </c>
      <c r="P27" s="316" t="s">
        <v>199</v>
      </c>
      <c r="Q27" s="316" t="s">
        <v>200</v>
      </c>
      <c r="R27" s="317" t="s">
        <v>188</v>
      </c>
      <c r="S27" s="316" t="s">
        <v>189</v>
      </c>
      <c r="T27" s="316" t="s">
        <v>128</v>
      </c>
    </row>
    <row r="28" spans="1:23" s="332" customFormat="1" ht="15" customHeight="1" x14ac:dyDescent="0.25">
      <c r="A28" s="316">
        <v>1</v>
      </c>
      <c r="B28" s="328" t="s">
        <v>193</v>
      </c>
      <c r="C28" s="329">
        <v>667300</v>
      </c>
      <c r="D28" s="329">
        <v>695000</v>
      </c>
      <c r="E28" s="329">
        <v>814100</v>
      </c>
      <c r="F28" s="329">
        <v>760000</v>
      </c>
      <c r="G28" s="329">
        <v>620300</v>
      </c>
      <c r="H28" s="329">
        <v>587100</v>
      </c>
      <c r="I28" s="329">
        <v>118500</v>
      </c>
      <c r="J28" s="329">
        <v>0</v>
      </c>
      <c r="K28" s="329">
        <v>253000</v>
      </c>
      <c r="L28" s="329">
        <v>0</v>
      </c>
      <c r="M28" s="329">
        <v>466900</v>
      </c>
      <c r="N28" s="329">
        <v>258400</v>
      </c>
      <c r="O28" s="329">
        <v>584400</v>
      </c>
      <c r="P28" s="329">
        <v>680200</v>
      </c>
      <c r="Q28" s="329"/>
      <c r="R28" s="330">
        <f>SUM(C28:Q28)</f>
        <v>6505200</v>
      </c>
      <c r="S28" s="330"/>
      <c r="T28" s="331"/>
    </row>
    <row r="29" spans="1:23" x14ac:dyDescent="0.25">
      <c r="A29" s="316">
        <v>2</v>
      </c>
      <c r="B29" s="319" t="s">
        <v>196</v>
      </c>
      <c r="C29" s="320">
        <v>518400</v>
      </c>
      <c r="D29" s="333">
        <v>487200</v>
      </c>
      <c r="E29" s="333">
        <v>539100</v>
      </c>
      <c r="F29" s="333">
        <v>571900</v>
      </c>
      <c r="G29" s="333">
        <v>554300</v>
      </c>
      <c r="H29" s="333">
        <v>449900</v>
      </c>
      <c r="I29" s="333">
        <v>209900</v>
      </c>
      <c r="J29" s="333">
        <v>0</v>
      </c>
      <c r="K29" s="333">
        <v>297100</v>
      </c>
      <c r="L29" s="333">
        <v>0</v>
      </c>
      <c r="M29" s="320">
        <v>472500</v>
      </c>
      <c r="N29" s="320">
        <v>207400</v>
      </c>
      <c r="O29" s="320">
        <v>239100</v>
      </c>
      <c r="P29" s="320">
        <v>414100</v>
      </c>
      <c r="Q29" s="320"/>
      <c r="R29" s="330">
        <f>SUM(C29:Q29)</f>
        <v>4960900</v>
      </c>
      <c r="S29" s="334"/>
      <c r="T29" s="334"/>
    </row>
    <row r="30" spans="1:23" x14ac:dyDescent="0.25">
      <c r="A30" s="316">
        <v>3</v>
      </c>
      <c r="B30" s="319" t="s">
        <v>73</v>
      </c>
      <c r="C30" s="320">
        <v>207500</v>
      </c>
      <c r="D30" s="333">
        <v>202900</v>
      </c>
      <c r="E30" s="333">
        <v>215500</v>
      </c>
      <c r="F30" s="333">
        <f>27400+151100+55600</f>
        <v>234100</v>
      </c>
      <c r="G30" s="333">
        <v>213300</v>
      </c>
      <c r="H30" s="333">
        <v>183700</v>
      </c>
      <c r="I30" s="333">
        <v>104800</v>
      </c>
      <c r="J30" s="333">
        <v>0</v>
      </c>
      <c r="K30" s="333">
        <v>93900</v>
      </c>
      <c r="L30" s="333">
        <v>0</v>
      </c>
      <c r="M30" s="320">
        <v>172400</v>
      </c>
      <c r="N30" s="320">
        <v>111100</v>
      </c>
      <c r="O30" s="320">
        <v>81200</v>
      </c>
      <c r="P30" s="320">
        <v>193200</v>
      </c>
      <c r="Q30" s="320"/>
      <c r="R30" s="330">
        <f>SUM(C30:Q30)</f>
        <v>2013600</v>
      </c>
      <c r="S30" s="334"/>
      <c r="T30" s="334"/>
    </row>
    <row r="31" spans="1:23" x14ac:dyDescent="0.25">
      <c r="A31" s="318"/>
      <c r="B31" s="324"/>
      <c r="C31" s="340"/>
      <c r="D31" s="341"/>
      <c r="E31" s="341"/>
      <c r="F31" s="341"/>
      <c r="G31" s="341"/>
      <c r="H31" s="341"/>
      <c r="I31" s="341"/>
      <c r="J31" s="341"/>
      <c r="K31" s="341"/>
      <c r="L31" s="341"/>
      <c r="M31" s="340"/>
      <c r="N31" s="340"/>
      <c r="O31" s="340"/>
      <c r="P31" s="340"/>
      <c r="Q31" s="340"/>
      <c r="R31" s="342"/>
      <c r="S31" s="343"/>
      <c r="T31" s="343"/>
    </row>
    <row r="32" spans="1:23" x14ac:dyDescent="0.25">
      <c r="O32" s="2259" t="s">
        <v>202</v>
      </c>
      <c r="P32" s="2259"/>
      <c r="Q32" s="2259"/>
      <c r="R32" s="335">
        <f>1311190</f>
        <v>1311190</v>
      </c>
      <c r="S32" s="335"/>
    </row>
    <row r="33" spans="2:19" x14ac:dyDescent="0.25">
      <c r="B33" s="319"/>
      <c r="O33" s="2259" t="s">
        <v>203</v>
      </c>
      <c r="P33" s="2259"/>
      <c r="Q33" s="2259"/>
      <c r="R33" s="335">
        <v>3865830</v>
      </c>
      <c r="S33" s="335"/>
    </row>
    <row r="34" spans="2:19" x14ac:dyDescent="0.25">
      <c r="O34" s="2259" t="s">
        <v>204</v>
      </c>
      <c r="P34" s="2259"/>
      <c r="Q34" s="2259"/>
      <c r="R34" s="335">
        <v>1888995</v>
      </c>
      <c r="S34" s="335"/>
    </row>
    <row r="35" spans="2:19" x14ac:dyDescent="0.25">
      <c r="O35" s="2259" t="s">
        <v>205</v>
      </c>
      <c r="P35" s="2259"/>
      <c r="Q35" s="2259"/>
      <c r="R35" s="335">
        <v>1320540.5602713902</v>
      </c>
      <c r="S35" s="335"/>
    </row>
    <row r="36" spans="2:19" x14ac:dyDescent="0.25">
      <c r="O36" s="361"/>
      <c r="P36" s="361"/>
      <c r="Q36" s="361"/>
      <c r="R36" s="335">
        <f>R32+R33+R34-R35</f>
        <v>5745474.4397286102</v>
      </c>
      <c r="S36" s="335"/>
    </row>
    <row r="37" spans="2:19" x14ac:dyDescent="0.25">
      <c r="O37" s="361"/>
      <c r="P37" s="361"/>
      <c r="Q37" s="361"/>
      <c r="R37" s="335"/>
      <c r="S37" s="335"/>
    </row>
    <row r="38" spans="2:19" x14ac:dyDescent="0.25">
      <c r="O38" s="2258" t="s">
        <v>206</v>
      </c>
      <c r="P38" s="2258"/>
      <c r="Q38" s="2258"/>
      <c r="R38" s="335">
        <v>178489.21760545607</v>
      </c>
      <c r="S38" s="335"/>
    </row>
    <row r="39" spans="2:19" x14ac:dyDescent="0.25">
      <c r="O39" s="2258" t="s">
        <v>207</v>
      </c>
      <c r="P39" s="2258"/>
      <c r="Q39" s="2258"/>
      <c r="R39" s="335">
        <f>SUM(C28:M28)</f>
        <v>4982200</v>
      </c>
      <c r="S39" s="335"/>
    </row>
    <row r="40" spans="2:19" x14ac:dyDescent="0.25">
      <c r="O40" s="2258" t="s">
        <v>205</v>
      </c>
      <c r="P40" s="2258"/>
      <c r="Q40" s="2258"/>
      <c r="R40" s="335"/>
      <c r="S40" s="335"/>
    </row>
    <row r="41" spans="2:19" x14ac:dyDescent="0.25">
      <c r="R41" s="335"/>
      <c r="S41" s="335"/>
    </row>
    <row r="42" spans="2:19" x14ac:dyDescent="0.25">
      <c r="R42" s="335"/>
      <c r="S42" s="335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28</vt:i4>
      </vt:variant>
      <vt:variant>
        <vt:lpstr>Rentang Bernama</vt:lpstr>
      </vt:variant>
      <vt:variant>
        <vt:i4>6</vt:i4>
      </vt:variant>
    </vt:vector>
  </HeadingPairs>
  <TitlesOfParts>
    <vt:vector size="34" baseType="lpstr">
      <vt:lpstr>Desember 2024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Qty cons analysis</vt:lpstr>
      <vt:lpstr>Utility</vt:lpstr>
      <vt:lpstr>Prod</vt:lpstr>
      <vt:lpstr>OIP Refinery </vt:lpstr>
      <vt:lpstr>Oip Fract .</vt:lpstr>
      <vt:lpstr>Downtime Ref Des</vt:lpstr>
      <vt:lpstr>Downtime Fract Des</vt:lpstr>
      <vt:lpstr>2024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'Desember 2024'!Print_Area</vt:lpstr>
      <vt:lpstr>'Downtime Fract Des'!Print_Area</vt:lpstr>
      <vt:lpstr>'Downtime Ref Des'!Print_Area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2025-01-31T08:02:15Z</cp:lastPrinted>
  <dcterms:created xsi:type="dcterms:W3CDTF">2022-09-06T08:59:53Z</dcterms:created>
  <dcterms:modified xsi:type="dcterms:W3CDTF">2025-06-03T08:16:23Z</dcterms:modified>
</cp:coreProperties>
</file>