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PEKERJAAN\LAPORAN PRODUKSI\Production Report 2023\"/>
    </mc:Choice>
  </mc:AlternateContent>
  <xr:revisionPtr revIDLastSave="0" documentId="13_ncr:1_{1D659259-D579-4FF8-8252-A1F2A30C7C9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Agustus - 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43" i="1" l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AL242" i="1"/>
  <c r="AL241" i="1"/>
  <c r="AL240" i="1"/>
  <c r="AL239" i="1"/>
  <c r="AL238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AL235" i="1"/>
  <c r="AL234" i="1"/>
  <c r="AL233" i="1"/>
  <c r="AL232" i="1"/>
  <c r="AL231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AL228" i="1"/>
  <c r="AL225" i="1"/>
  <c r="D225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D224" i="1"/>
  <c r="AL223" i="1"/>
  <c r="D223" i="1"/>
  <c r="AL222" i="1"/>
  <c r="AL221" i="1"/>
  <c r="AL219" i="1"/>
  <c r="U217" i="1"/>
  <c r="I217" i="1"/>
  <c r="AJ216" i="1"/>
  <c r="AJ217" i="1" s="1"/>
  <c r="AI216" i="1"/>
  <c r="AI217" i="1" s="1"/>
  <c r="AH216" i="1"/>
  <c r="AH217" i="1" s="1"/>
  <c r="AG216" i="1"/>
  <c r="AG217" i="1" s="1"/>
  <c r="AF216" i="1"/>
  <c r="AF217" i="1" s="1"/>
  <c r="AE216" i="1"/>
  <c r="AE217" i="1" s="1"/>
  <c r="AD216" i="1"/>
  <c r="AD217" i="1" s="1"/>
  <c r="AC216" i="1"/>
  <c r="AC217" i="1" s="1"/>
  <c r="AB216" i="1"/>
  <c r="AB217" i="1" s="1"/>
  <c r="AA216" i="1"/>
  <c r="AA217" i="1" s="1"/>
  <c r="Z216" i="1"/>
  <c r="Z217" i="1" s="1"/>
  <c r="Y216" i="1"/>
  <c r="Y217" i="1" s="1"/>
  <c r="X216" i="1"/>
  <c r="X217" i="1" s="1"/>
  <c r="W216" i="1"/>
  <c r="W217" i="1" s="1"/>
  <c r="V216" i="1"/>
  <c r="V217" i="1" s="1"/>
  <c r="U216" i="1"/>
  <c r="T216" i="1"/>
  <c r="T217" i="1" s="1"/>
  <c r="S216" i="1"/>
  <c r="S217" i="1" s="1"/>
  <c r="R216" i="1"/>
  <c r="R217" i="1" s="1"/>
  <c r="Q216" i="1"/>
  <c r="Q217" i="1" s="1"/>
  <c r="P216" i="1"/>
  <c r="P217" i="1" s="1"/>
  <c r="O216" i="1"/>
  <c r="O217" i="1" s="1"/>
  <c r="N216" i="1"/>
  <c r="N217" i="1" s="1"/>
  <c r="M216" i="1"/>
  <c r="M217" i="1" s="1"/>
  <c r="L216" i="1"/>
  <c r="L217" i="1" s="1"/>
  <c r="K216" i="1"/>
  <c r="K217" i="1" s="1"/>
  <c r="J216" i="1"/>
  <c r="J217" i="1" s="1"/>
  <c r="I216" i="1"/>
  <c r="H216" i="1"/>
  <c r="H217" i="1" s="1"/>
  <c r="G216" i="1"/>
  <c r="G217" i="1" s="1"/>
  <c r="F216" i="1"/>
  <c r="AL215" i="1"/>
  <c r="AL214" i="1"/>
  <c r="AL212" i="1"/>
  <c r="D212" i="1"/>
  <c r="D216" i="1" s="1"/>
  <c r="D217" i="1" s="1"/>
  <c r="AJ210" i="1"/>
  <c r="AJ209" i="1" s="1"/>
  <c r="AI210" i="1"/>
  <c r="AH210" i="1"/>
  <c r="AG210" i="1"/>
  <c r="AF210" i="1"/>
  <c r="AF209" i="1" s="1"/>
  <c r="AE210" i="1"/>
  <c r="AE209" i="1" s="1"/>
  <c r="AD210" i="1"/>
  <c r="AC210" i="1"/>
  <c r="AC209" i="1" s="1"/>
  <c r="AB210" i="1"/>
  <c r="AB209" i="1" s="1"/>
  <c r="AA210" i="1"/>
  <c r="Z210" i="1"/>
  <c r="Y210" i="1"/>
  <c r="Y209" i="1" s="1"/>
  <c r="X210" i="1"/>
  <c r="X209" i="1" s="1"/>
  <c r="W210" i="1"/>
  <c r="W209" i="1" s="1"/>
  <c r="V210" i="1"/>
  <c r="U210" i="1"/>
  <c r="T210" i="1"/>
  <c r="T209" i="1" s="1"/>
  <c r="S210" i="1"/>
  <c r="S209" i="1" s="1"/>
  <c r="R210" i="1"/>
  <c r="Q210" i="1"/>
  <c r="Q209" i="1" s="1"/>
  <c r="P210" i="1"/>
  <c r="P209" i="1" s="1"/>
  <c r="O210" i="1"/>
  <c r="N210" i="1"/>
  <c r="M210" i="1"/>
  <c r="M209" i="1" s="1"/>
  <c r="L210" i="1"/>
  <c r="L209" i="1" s="1"/>
  <c r="K210" i="1"/>
  <c r="K209" i="1" s="1"/>
  <c r="J210" i="1"/>
  <c r="I210" i="1"/>
  <c r="H210" i="1"/>
  <c r="H209" i="1" s="1"/>
  <c r="G210" i="1"/>
  <c r="F210" i="1"/>
  <c r="D210" i="1"/>
  <c r="D206" i="1" s="1"/>
  <c r="AI209" i="1"/>
  <c r="AH209" i="1"/>
  <c r="AG209" i="1"/>
  <c r="AD209" i="1"/>
  <c r="AA209" i="1"/>
  <c r="Z209" i="1"/>
  <c r="V209" i="1"/>
  <c r="U209" i="1"/>
  <c r="R209" i="1"/>
  <c r="O209" i="1"/>
  <c r="N209" i="1"/>
  <c r="J209" i="1"/>
  <c r="I209" i="1"/>
  <c r="G209" i="1"/>
  <c r="F209" i="1"/>
  <c r="AL208" i="1"/>
  <c r="AL206" i="1"/>
  <c r="AL205" i="1"/>
  <c r="AJ203" i="1"/>
  <c r="AI203" i="1"/>
  <c r="AF203" i="1"/>
  <c r="AE203" i="1"/>
  <c r="AD203" i="1"/>
  <c r="AA203" i="1"/>
  <c r="Z203" i="1"/>
  <c r="V203" i="1"/>
  <c r="U203" i="1"/>
  <c r="T203" i="1"/>
  <c r="S203" i="1"/>
  <c r="P203" i="1"/>
  <c r="O203" i="1"/>
  <c r="N203" i="1"/>
  <c r="M203" i="1"/>
  <c r="J203" i="1"/>
  <c r="I203" i="1"/>
  <c r="G203" i="1"/>
  <c r="F203" i="1"/>
  <c r="AJ201" i="1"/>
  <c r="AI201" i="1"/>
  <c r="AH201" i="1"/>
  <c r="AG201" i="1"/>
  <c r="AF201" i="1"/>
  <c r="AE201" i="1"/>
  <c r="AE202" i="1" s="1"/>
  <c r="AD201" i="1"/>
  <c r="AC201" i="1"/>
  <c r="AB201" i="1"/>
  <c r="AA201" i="1"/>
  <c r="Z201" i="1"/>
  <c r="Y201" i="1"/>
  <c r="X201" i="1"/>
  <c r="W201" i="1"/>
  <c r="W202" i="1" s="1"/>
  <c r="V201" i="1"/>
  <c r="U201" i="1"/>
  <c r="T201" i="1"/>
  <c r="S201" i="1"/>
  <c r="S202" i="1" s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AJ200" i="1"/>
  <c r="AI200" i="1"/>
  <c r="AH200" i="1"/>
  <c r="AG200" i="1"/>
  <c r="AF200" i="1"/>
  <c r="AE200" i="1"/>
  <c r="AD200" i="1"/>
  <c r="AD202" i="1" s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AL200" i="1" s="1"/>
  <c r="AJ199" i="1"/>
  <c r="AJ202" i="1" s="1"/>
  <c r="AI199" i="1"/>
  <c r="AH199" i="1"/>
  <c r="AG199" i="1"/>
  <c r="AG202" i="1" s="1"/>
  <c r="AF199" i="1"/>
  <c r="AF202" i="1" s="1"/>
  <c r="AE199" i="1"/>
  <c r="AD199" i="1"/>
  <c r="AC199" i="1"/>
  <c r="AC202" i="1" s="1"/>
  <c r="AB199" i="1"/>
  <c r="AB202" i="1" s="1"/>
  <c r="AA199" i="1"/>
  <c r="Z199" i="1"/>
  <c r="Y199" i="1"/>
  <c r="Y202" i="1" s="1"/>
  <c r="X199" i="1"/>
  <c r="X202" i="1" s="1"/>
  <c r="W199" i="1"/>
  <c r="V199" i="1"/>
  <c r="U199" i="1"/>
  <c r="U202" i="1" s="1"/>
  <c r="T199" i="1"/>
  <c r="T202" i="1" s="1"/>
  <c r="S199" i="1"/>
  <c r="R199" i="1"/>
  <c r="Q199" i="1"/>
  <c r="Q202" i="1" s="1"/>
  <c r="P199" i="1"/>
  <c r="P202" i="1" s="1"/>
  <c r="O199" i="1"/>
  <c r="N199" i="1"/>
  <c r="M199" i="1"/>
  <c r="M202" i="1" s="1"/>
  <c r="L199" i="1"/>
  <c r="L202" i="1" s="1"/>
  <c r="K199" i="1"/>
  <c r="J199" i="1"/>
  <c r="J202" i="1" s="1"/>
  <c r="I199" i="1"/>
  <c r="I202" i="1" s="1"/>
  <c r="H199" i="1"/>
  <c r="H202" i="1" s="1"/>
  <c r="G199" i="1"/>
  <c r="F199" i="1"/>
  <c r="M197" i="1"/>
  <c r="L197" i="1"/>
  <c r="K197" i="1"/>
  <c r="I197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AJ191" i="1"/>
  <c r="AJ198" i="1" s="1"/>
  <c r="AI191" i="1"/>
  <c r="AI198" i="1" s="1"/>
  <c r="AH191" i="1"/>
  <c r="AH198" i="1" s="1"/>
  <c r="AG191" i="1"/>
  <c r="AG198" i="1" s="1"/>
  <c r="AF191" i="1"/>
  <c r="AF198" i="1" s="1"/>
  <c r="AE191" i="1"/>
  <c r="AE198" i="1" s="1"/>
  <c r="AD191" i="1"/>
  <c r="AD198" i="1" s="1"/>
  <c r="AC191" i="1"/>
  <c r="AC198" i="1" s="1"/>
  <c r="AB191" i="1"/>
  <c r="AB198" i="1" s="1"/>
  <c r="AA191" i="1"/>
  <c r="AA198" i="1" s="1"/>
  <c r="Z191" i="1"/>
  <c r="Z198" i="1" s="1"/>
  <c r="Y191" i="1"/>
  <c r="Y198" i="1" s="1"/>
  <c r="X191" i="1"/>
  <c r="X198" i="1" s="1"/>
  <c r="W191" i="1"/>
  <c r="W198" i="1" s="1"/>
  <c r="V191" i="1"/>
  <c r="V198" i="1" s="1"/>
  <c r="U191" i="1"/>
  <c r="U198" i="1" s="1"/>
  <c r="T191" i="1"/>
  <c r="T198" i="1" s="1"/>
  <c r="S191" i="1"/>
  <c r="S198" i="1" s="1"/>
  <c r="R191" i="1"/>
  <c r="R198" i="1" s="1"/>
  <c r="Q191" i="1"/>
  <c r="Q198" i="1" s="1"/>
  <c r="P191" i="1"/>
  <c r="P198" i="1" s="1"/>
  <c r="O191" i="1"/>
  <c r="O198" i="1" s="1"/>
  <c r="N191" i="1"/>
  <c r="N198" i="1" s="1"/>
  <c r="M191" i="1"/>
  <c r="M198" i="1" s="1"/>
  <c r="L191" i="1"/>
  <c r="L198" i="1" s="1"/>
  <c r="K191" i="1"/>
  <c r="K198" i="1" s="1"/>
  <c r="J191" i="1"/>
  <c r="J198" i="1" s="1"/>
  <c r="I191" i="1"/>
  <c r="I198" i="1" s="1"/>
  <c r="H191" i="1"/>
  <c r="H198" i="1" s="1"/>
  <c r="G191" i="1"/>
  <c r="G198" i="1" s="1"/>
  <c r="F191" i="1"/>
  <c r="F198" i="1" s="1"/>
  <c r="AJ190" i="1"/>
  <c r="AJ197" i="1" s="1"/>
  <c r="AI190" i="1"/>
  <c r="AI197" i="1" s="1"/>
  <c r="AH190" i="1"/>
  <c r="AH197" i="1" s="1"/>
  <c r="AG190" i="1"/>
  <c r="AG197" i="1" s="1"/>
  <c r="AF190" i="1"/>
  <c r="AF197" i="1" s="1"/>
  <c r="AE190" i="1"/>
  <c r="AE197" i="1" s="1"/>
  <c r="AD190" i="1"/>
  <c r="AD197" i="1" s="1"/>
  <c r="AC190" i="1"/>
  <c r="AC197" i="1" s="1"/>
  <c r="AB190" i="1"/>
  <c r="AB197" i="1" s="1"/>
  <c r="AA190" i="1"/>
  <c r="AA197" i="1" s="1"/>
  <c r="Z190" i="1"/>
  <c r="Z197" i="1" s="1"/>
  <c r="Y190" i="1"/>
  <c r="Y197" i="1" s="1"/>
  <c r="X190" i="1"/>
  <c r="X197" i="1" s="1"/>
  <c r="W190" i="1"/>
  <c r="W197" i="1" s="1"/>
  <c r="V190" i="1"/>
  <c r="V197" i="1" s="1"/>
  <c r="U190" i="1"/>
  <c r="U197" i="1" s="1"/>
  <c r="T190" i="1"/>
  <c r="T197" i="1" s="1"/>
  <c r="S190" i="1"/>
  <c r="S197" i="1" s="1"/>
  <c r="R190" i="1"/>
  <c r="R197" i="1" s="1"/>
  <c r="Q190" i="1"/>
  <c r="Q197" i="1" s="1"/>
  <c r="P190" i="1"/>
  <c r="P197" i="1" s="1"/>
  <c r="O190" i="1"/>
  <c r="O197" i="1" s="1"/>
  <c r="N190" i="1"/>
  <c r="N197" i="1" s="1"/>
  <c r="J190" i="1"/>
  <c r="J197" i="1" s="1"/>
  <c r="H190" i="1"/>
  <c r="H197" i="1" s="1"/>
  <c r="G190" i="1"/>
  <c r="G197" i="1" s="1"/>
  <c r="F190" i="1"/>
  <c r="AL188" i="1"/>
  <c r="AL187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F182" i="1"/>
  <c r="AL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AL179" i="1"/>
  <c r="AL178" i="1"/>
  <c r="AL176" i="1"/>
  <c r="AH175" i="1"/>
  <c r="Z175" i="1"/>
  <c r="T175" i="1"/>
  <c r="P175" i="1"/>
  <c r="H175" i="1"/>
  <c r="F175" i="1"/>
  <c r="AJ174" i="1"/>
  <c r="AJ175" i="1" s="1"/>
  <c r="AI174" i="1"/>
  <c r="AI175" i="1" s="1"/>
  <c r="AH174" i="1"/>
  <c r="AG174" i="1"/>
  <c r="AG175" i="1" s="1"/>
  <c r="AF174" i="1"/>
  <c r="AF175" i="1" s="1"/>
  <c r="AE174" i="1"/>
  <c r="AE175" i="1" s="1"/>
  <c r="AD174" i="1"/>
  <c r="AD175" i="1" s="1"/>
  <c r="AC174" i="1"/>
  <c r="AB174" i="1"/>
  <c r="AA174" i="1"/>
  <c r="AA175" i="1" s="1"/>
  <c r="Z174" i="1"/>
  <c r="Y174" i="1"/>
  <c r="X174" i="1"/>
  <c r="W174" i="1"/>
  <c r="W175" i="1" s="1"/>
  <c r="V174" i="1"/>
  <c r="V175" i="1" s="1"/>
  <c r="U174" i="1"/>
  <c r="U175" i="1" s="1"/>
  <c r="T174" i="1"/>
  <c r="S174" i="1"/>
  <c r="S175" i="1" s="1"/>
  <c r="R174" i="1"/>
  <c r="Q174" i="1"/>
  <c r="P174" i="1"/>
  <c r="O174" i="1"/>
  <c r="O175" i="1" s="1"/>
  <c r="N174" i="1"/>
  <c r="N175" i="1" s="1"/>
  <c r="M174" i="1"/>
  <c r="M175" i="1" s="1"/>
  <c r="L174" i="1"/>
  <c r="K174" i="1"/>
  <c r="K175" i="1" s="1"/>
  <c r="J174" i="1"/>
  <c r="J175" i="1" s="1"/>
  <c r="I174" i="1"/>
  <c r="I175" i="1" s="1"/>
  <c r="H174" i="1"/>
  <c r="G174" i="1"/>
  <c r="AL174" i="1" s="1"/>
  <c r="F174" i="1"/>
  <c r="AH173" i="1"/>
  <c r="AH203" i="1" s="1"/>
  <c r="AC173" i="1"/>
  <c r="AC203" i="1" s="1"/>
  <c r="AB173" i="1"/>
  <c r="AB203" i="1" s="1"/>
  <c r="Y173" i="1"/>
  <c r="X173" i="1"/>
  <c r="X175" i="1" s="1"/>
  <c r="W173" i="1"/>
  <c r="R173" i="1"/>
  <c r="R203" i="1" s="1"/>
  <c r="Q173" i="1"/>
  <c r="L173" i="1"/>
  <c r="L175" i="1" s="1"/>
  <c r="H173" i="1"/>
  <c r="H203" i="1" s="1"/>
  <c r="AL172" i="1"/>
  <c r="Z170" i="1"/>
  <c r="V170" i="1"/>
  <c r="R170" i="1"/>
  <c r="J170" i="1"/>
  <c r="H170" i="1"/>
  <c r="AC169" i="1"/>
  <c r="M169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AL160" i="1"/>
  <c r="AL167" i="1" s="1"/>
  <c r="AL159" i="1"/>
  <c r="AL166" i="1" s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AL155" i="1" s="1"/>
  <c r="AJ154" i="1"/>
  <c r="AJ170" i="1" s="1"/>
  <c r="AI154" i="1"/>
  <c r="AI170" i="1" s="1"/>
  <c r="AH154" i="1"/>
  <c r="AH170" i="1" s="1"/>
  <c r="AG154" i="1"/>
  <c r="AG170" i="1" s="1"/>
  <c r="AF154" i="1"/>
  <c r="AF170" i="1" s="1"/>
  <c r="AE154" i="1"/>
  <c r="AE170" i="1" s="1"/>
  <c r="AD154" i="1"/>
  <c r="AD170" i="1" s="1"/>
  <c r="AC154" i="1"/>
  <c r="AC170" i="1" s="1"/>
  <c r="AB154" i="1"/>
  <c r="AB170" i="1" s="1"/>
  <c r="AA154" i="1"/>
  <c r="AA170" i="1" s="1"/>
  <c r="Z154" i="1"/>
  <c r="Y154" i="1"/>
  <c r="Y170" i="1" s="1"/>
  <c r="X154" i="1"/>
  <c r="X170" i="1" s="1"/>
  <c r="W154" i="1"/>
  <c r="W170" i="1" s="1"/>
  <c r="V154" i="1"/>
  <c r="U154" i="1"/>
  <c r="U170" i="1" s="1"/>
  <c r="T154" i="1"/>
  <c r="T170" i="1" s="1"/>
  <c r="S154" i="1"/>
  <c r="S170" i="1" s="1"/>
  <c r="R154" i="1"/>
  <c r="Q154" i="1"/>
  <c r="Q170" i="1" s="1"/>
  <c r="P154" i="1"/>
  <c r="P170" i="1" s="1"/>
  <c r="O154" i="1"/>
  <c r="O170" i="1" s="1"/>
  <c r="N154" i="1"/>
  <c r="N170" i="1" s="1"/>
  <c r="M154" i="1"/>
  <c r="M170" i="1" s="1"/>
  <c r="L154" i="1"/>
  <c r="L170" i="1" s="1"/>
  <c r="K154" i="1"/>
  <c r="K170" i="1" s="1"/>
  <c r="J154" i="1"/>
  <c r="I154" i="1"/>
  <c r="I170" i="1" s="1"/>
  <c r="H154" i="1"/>
  <c r="G154" i="1"/>
  <c r="G170" i="1" s="1"/>
  <c r="F154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AJ152" i="1"/>
  <c r="AJ169" i="1" s="1"/>
  <c r="AI152" i="1"/>
  <c r="AI169" i="1" s="1"/>
  <c r="AH152" i="1"/>
  <c r="AH169" i="1" s="1"/>
  <c r="AG152" i="1"/>
  <c r="AG169" i="1" s="1"/>
  <c r="AF152" i="1"/>
  <c r="AF169" i="1" s="1"/>
  <c r="AE152" i="1"/>
  <c r="AE169" i="1" s="1"/>
  <c r="AD152" i="1"/>
  <c r="AD169" i="1" s="1"/>
  <c r="AC152" i="1"/>
  <c r="AB152" i="1"/>
  <c r="AB169" i="1" s="1"/>
  <c r="AA152" i="1"/>
  <c r="AA169" i="1" s="1"/>
  <c r="Z152" i="1"/>
  <c r="Z169" i="1" s="1"/>
  <c r="Y152" i="1"/>
  <c r="Y169" i="1" s="1"/>
  <c r="X152" i="1"/>
  <c r="X169" i="1" s="1"/>
  <c r="W152" i="1"/>
  <c r="W169" i="1" s="1"/>
  <c r="V152" i="1"/>
  <c r="V169" i="1" s="1"/>
  <c r="U152" i="1"/>
  <c r="U169" i="1" s="1"/>
  <c r="T152" i="1"/>
  <c r="T169" i="1" s="1"/>
  <c r="S152" i="1"/>
  <c r="S169" i="1" s="1"/>
  <c r="R152" i="1"/>
  <c r="R169" i="1" s="1"/>
  <c r="Q152" i="1"/>
  <c r="Q169" i="1" s="1"/>
  <c r="P152" i="1"/>
  <c r="P169" i="1" s="1"/>
  <c r="O152" i="1"/>
  <c r="O169" i="1" s="1"/>
  <c r="N152" i="1"/>
  <c r="N169" i="1" s="1"/>
  <c r="M152" i="1"/>
  <c r="L152" i="1"/>
  <c r="L169" i="1" s="1"/>
  <c r="K152" i="1"/>
  <c r="K169" i="1" s="1"/>
  <c r="J152" i="1"/>
  <c r="J169" i="1" s="1"/>
  <c r="I152" i="1"/>
  <c r="I169" i="1" s="1"/>
  <c r="H152" i="1"/>
  <c r="H169" i="1" s="1"/>
  <c r="G152" i="1"/>
  <c r="G169" i="1" s="1"/>
  <c r="F152" i="1"/>
  <c r="AL150" i="1"/>
  <c r="AL154" i="1" s="1"/>
  <c r="AL149" i="1"/>
  <c r="AL153" i="1" s="1"/>
  <c r="AL148" i="1"/>
  <c r="AL152" i="1" s="1"/>
  <c r="AJ145" i="1"/>
  <c r="AJ146" i="1" s="1"/>
  <c r="AI145" i="1"/>
  <c r="AI146" i="1" s="1"/>
  <c r="AH145" i="1"/>
  <c r="AH146" i="1" s="1"/>
  <c r="AG145" i="1"/>
  <c r="AG146" i="1" s="1"/>
  <c r="AF145" i="1"/>
  <c r="AF146" i="1" s="1"/>
  <c r="AE145" i="1"/>
  <c r="AE146" i="1" s="1"/>
  <c r="AD145" i="1"/>
  <c r="AD146" i="1" s="1"/>
  <c r="AC145" i="1"/>
  <c r="AC146" i="1" s="1"/>
  <c r="AB145" i="1"/>
  <c r="AB146" i="1" s="1"/>
  <c r="AA145" i="1"/>
  <c r="AA146" i="1" s="1"/>
  <c r="Z145" i="1"/>
  <c r="Z146" i="1" s="1"/>
  <c r="Y145" i="1"/>
  <c r="Y146" i="1" s="1"/>
  <c r="X145" i="1"/>
  <c r="X146" i="1" s="1"/>
  <c r="W145" i="1"/>
  <c r="W146" i="1" s="1"/>
  <c r="V145" i="1"/>
  <c r="V146" i="1" s="1"/>
  <c r="U145" i="1"/>
  <c r="U146" i="1" s="1"/>
  <c r="T145" i="1"/>
  <c r="T146" i="1" s="1"/>
  <c r="S145" i="1"/>
  <c r="R145" i="1"/>
  <c r="Q145" i="1"/>
  <c r="Q146" i="1" s="1"/>
  <c r="P145" i="1"/>
  <c r="P146" i="1" s="1"/>
  <c r="O145" i="1"/>
  <c r="O146" i="1" s="1"/>
  <c r="N145" i="1"/>
  <c r="N146" i="1" s="1"/>
  <c r="M145" i="1"/>
  <c r="M146" i="1" s="1"/>
  <c r="L145" i="1"/>
  <c r="L146" i="1" s="1"/>
  <c r="K145" i="1"/>
  <c r="K146" i="1" s="1"/>
  <c r="J145" i="1"/>
  <c r="J146" i="1" s="1"/>
  <c r="I145" i="1"/>
  <c r="I146" i="1" s="1"/>
  <c r="H145" i="1"/>
  <c r="H146" i="1" s="1"/>
  <c r="G145" i="1"/>
  <c r="G146" i="1" s="1"/>
  <c r="F145" i="1"/>
  <c r="F146" i="1" s="1"/>
  <c r="AB141" i="1"/>
  <c r="T141" i="1"/>
  <c r="L141" i="1"/>
  <c r="AL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AJ135" i="1"/>
  <c r="AI135" i="1"/>
  <c r="AH135" i="1"/>
  <c r="AG135" i="1"/>
  <c r="AG142" i="1" s="1"/>
  <c r="AF135" i="1"/>
  <c r="AE135" i="1"/>
  <c r="AD135" i="1"/>
  <c r="AC135" i="1"/>
  <c r="AC142" i="1" s="1"/>
  <c r="AB135" i="1"/>
  <c r="AA135" i="1"/>
  <c r="Z135" i="1"/>
  <c r="Y135" i="1"/>
  <c r="Y142" i="1" s="1"/>
  <c r="X135" i="1"/>
  <c r="W135" i="1"/>
  <c r="V135" i="1"/>
  <c r="U135" i="1"/>
  <c r="U142" i="1" s="1"/>
  <c r="T135" i="1"/>
  <c r="T142" i="1" s="1"/>
  <c r="S135" i="1"/>
  <c r="R135" i="1"/>
  <c r="Q135" i="1"/>
  <c r="Q142" i="1" s="1"/>
  <c r="P135" i="1"/>
  <c r="O135" i="1"/>
  <c r="N135" i="1"/>
  <c r="M135" i="1"/>
  <c r="M142" i="1" s="1"/>
  <c r="L135" i="1"/>
  <c r="L142" i="1" s="1"/>
  <c r="K135" i="1"/>
  <c r="J135" i="1"/>
  <c r="I135" i="1"/>
  <c r="I142" i="1" s="1"/>
  <c r="H135" i="1"/>
  <c r="G135" i="1"/>
  <c r="F135" i="1"/>
  <c r="C135" i="1"/>
  <c r="AL135" i="1" s="1"/>
  <c r="AJ134" i="1"/>
  <c r="AJ141" i="1" s="1"/>
  <c r="AI134" i="1"/>
  <c r="AI141" i="1" s="1"/>
  <c r="AH134" i="1"/>
  <c r="AG134" i="1"/>
  <c r="AG141" i="1" s="1"/>
  <c r="AF134" i="1"/>
  <c r="AF141" i="1" s="1"/>
  <c r="AE134" i="1"/>
  <c r="AE141" i="1" s="1"/>
  <c r="AD134" i="1"/>
  <c r="AC134" i="1"/>
  <c r="AC141" i="1" s="1"/>
  <c r="AB134" i="1"/>
  <c r="AA134" i="1"/>
  <c r="AA141" i="1" s="1"/>
  <c r="Z134" i="1"/>
  <c r="Y134" i="1"/>
  <c r="Y141" i="1" s="1"/>
  <c r="X134" i="1"/>
  <c r="W134" i="1"/>
  <c r="W141" i="1" s="1"/>
  <c r="V134" i="1"/>
  <c r="U134" i="1"/>
  <c r="U141" i="1" s="1"/>
  <c r="T134" i="1"/>
  <c r="S134" i="1"/>
  <c r="S141" i="1" s="1"/>
  <c r="R134" i="1"/>
  <c r="Q134" i="1"/>
  <c r="Q141" i="1" s="1"/>
  <c r="P134" i="1"/>
  <c r="P141" i="1" s="1"/>
  <c r="O134" i="1"/>
  <c r="O141" i="1" s="1"/>
  <c r="N134" i="1"/>
  <c r="M134" i="1"/>
  <c r="M141" i="1" s="1"/>
  <c r="L134" i="1"/>
  <c r="K134" i="1"/>
  <c r="K141" i="1" s="1"/>
  <c r="J134" i="1"/>
  <c r="I134" i="1"/>
  <c r="I141" i="1" s="1"/>
  <c r="H134" i="1"/>
  <c r="G134" i="1"/>
  <c r="G141" i="1" s="1"/>
  <c r="F134" i="1"/>
  <c r="C134" i="1"/>
  <c r="AL132" i="1"/>
  <c r="AL131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AJ127" i="1"/>
  <c r="AI127" i="1"/>
  <c r="AH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J127" i="1"/>
  <c r="I127" i="1"/>
  <c r="H127" i="1"/>
  <c r="G127" i="1"/>
  <c r="F127" i="1"/>
  <c r="AJ126" i="1"/>
  <c r="AI126" i="1"/>
  <c r="AH126" i="1"/>
  <c r="AG126" i="1"/>
  <c r="AF126" i="1"/>
  <c r="AF142" i="1" s="1"/>
  <c r="AE126" i="1"/>
  <c r="AD126" i="1"/>
  <c r="AC126" i="1"/>
  <c r="AB126" i="1"/>
  <c r="AA126" i="1"/>
  <c r="Z126" i="1"/>
  <c r="Y126" i="1"/>
  <c r="X126" i="1"/>
  <c r="W126" i="1"/>
  <c r="V126" i="1"/>
  <c r="V142" i="1" s="1"/>
  <c r="U126" i="1"/>
  <c r="T126" i="1"/>
  <c r="S126" i="1"/>
  <c r="R126" i="1"/>
  <c r="Q126" i="1"/>
  <c r="P126" i="1"/>
  <c r="P142" i="1" s="1"/>
  <c r="O126" i="1"/>
  <c r="N126" i="1"/>
  <c r="M126" i="1"/>
  <c r="L126" i="1"/>
  <c r="K126" i="1"/>
  <c r="J126" i="1"/>
  <c r="J142" i="1" s="1"/>
  <c r="I126" i="1"/>
  <c r="H126" i="1"/>
  <c r="G126" i="1"/>
  <c r="F126" i="1"/>
  <c r="AJ125" i="1"/>
  <c r="AI125" i="1"/>
  <c r="AH125" i="1"/>
  <c r="AG125" i="1"/>
  <c r="AF125" i="1"/>
  <c r="AE125" i="1"/>
  <c r="AD125" i="1"/>
  <c r="AC125" i="1"/>
  <c r="AB125" i="1"/>
  <c r="AA125" i="1"/>
  <c r="Z125" i="1"/>
  <c r="Z141" i="1" s="1"/>
  <c r="Y125" i="1"/>
  <c r="X125" i="1"/>
  <c r="X141" i="1" s="1"/>
  <c r="W125" i="1"/>
  <c r="V125" i="1"/>
  <c r="U125" i="1"/>
  <c r="T125" i="1"/>
  <c r="S125" i="1"/>
  <c r="R125" i="1"/>
  <c r="Q125" i="1"/>
  <c r="P125" i="1"/>
  <c r="O125" i="1"/>
  <c r="N125" i="1"/>
  <c r="N141" i="1" s="1"/>
  <c r="M125" i="1"/>
  <c r="L125" i="1"/>
  <c r="K125" i="1"/>
  <c r="J125" i="1"/>
  <c r="I125" i="1"/>
  <c r="H125" i="1"/>
  <c r="H141" i="1" s="1"/>
  <c r="G125" i="1"/>
  <c r="F125" i="1"/>
  <c r="AL123" i="1"/>
  <c r="AL126" i="1" s="1"/>
  <c r="AL122" i="1"/>
  <c r="AJ120" i="1"/>
  <c r="AE120" i="1"/>
  <c r="T120" i="1"/>
  <c r="G120" i="1"/>
  <c r="AJ119" i="1"/>
  <c r="AI119" i="1"/>
  <c r="AI120" i="1" s="1"/>
  <c r="AH119" i="1"/>
  <c r="AH120" i="1" s="1"/>
  <c r="AG119" i="1"/>
  <c r="AF119" i="1"/>
  <c r="AF120" i="1" s="1"/>
  <c r="AE119" i="1"/>
  <c r="AD119" i="1"/>
  <c r="AD120" i="1" s="1"/>
  <c r="AC119" i="1"/>
  <c r="AC120" i="1" s="1"/>
  <c r="AB119" i="1"/>
  <c r="AB120" i="1" s="1"/>
  <c r="AA119" i="1"/>
  <c r="AA120" i="1" s="1"/>
  <c r="Z119" i="1"/>
  <c r="Z120" i="1" s="1"/>
  <c r="Y119" i="1"/>
  <c r="Y120" i="1" s="1"/>
  <c r="X119" i="1"/>
  <c r="X120" i="1" s="1"/>
  <c r="W119" i="1"/>
  <c r="V119" i="1"/>
  <c r="V120" i="1" s="1"/>
  <c r="U119" i="1"/>
  <c r="U120" i="1" s="1"/>
  <c r="T119" i="1"/>
  <c r="S119" i="1"/>
  <c r="S120" i="1" s="1"/>
  <c r="R119" i="1"/>
  <c r="R120" i="1" s="1"/>
  <c r="Q119" i="1"/>
  <c r="Q120" i="1" s="1"/>
  <c r="P119" i="1"/>
  <c r="P120" i="1" s="1"/>
  <c r="O119" i="1"/>
  <c r="O120" i="1" s="1"/>
  <c r="N119" i="1"/>
  <c r="N120" i="1" s="1"/>
  <c r="M119" i="1"/>
  <c r="M120" i="1" s="1"/>
  <c r="L119" i="1"/>
  <c r="L120" i="1" s="1"/>
  <c r="K119" i="1"/>
  <c r="J119" i="1"/>
  <c r="J120" i="1" s="1"/>
  <c r="I119" i="1"/>
  <c r="I120" i="1" s="1"/>
  <c r="H119" i="1"/>
  <c r="H120" i="1" s="1"/>
  <c r="G119" i="1"/>
  <c r="F119" i="1"/>
  <c r="F120" i="1" s="1"/>
  <c r="AG118" i="1"/>
  <c r="W118" i="1"/>
  <c r="W203" i="1" s="1"/>
  <c r="Q118" i="1"/>
  <c r="K118" i="1"/>
  <c r="AL117" i="1"/>
  <c r="R115" i="1"/>
  <c r="AG114" i="1"/>
  <c r="Y114" i="1"/>
  <c r="Q114" i="1"/>
  <c r="I114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AJ108" i="1"/>
  <c r="AI108" i="1"/>
  <c r="AH108" i="1"/>
  <c r="AG108" i="1"/>
  <c r="AF108" i="1"/>
  <c r="AE108" i="1"/>
  <c r="AD108" i="1"/>
  <c r="AC108" i="1"/>
  <c r="AC115" i="1" s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M115" i="1" s="1"/>
  <c r="L108" i="1"/>
  <c r="K108" i="1"/>
  <c r="J108" i="1"/>
  <c r="I108" i="1"/>
  <c r="H108" i="1"/>
  <c r="G108" i="1"/>
  <c r="F108" i="1"/>
  <c r="AJ107" i="1"/>
  <c r="AI107" i="1"/>
  <c r="AH107" i="1"/>
  <c r="AG107" i="1"/>
  <c r="AF107" i="1"/>
  <c r="AE107" i="1"/>
  <c r="AD107" i="1"/>
  <c r="AC107" i="1"/>
  <c r="AC114" i="1" s="1"/>
  <c r="AB107" i="1"/>
  <c r="AA107" i="1"/>
  <c r="Z107" i="1"/>
  <c r="Y107" i="1"/>
  <c r="X107" i="1"/>
  <c r="W107" i="1"/>
  <c r="W114" i="1" s="1"/>
  <c r="V107" i="1"/>
  <c r="U107" i="1"/>
  <c r="T107" i="1"/>
  <c r="S107" i="1"/>
  <c r="R107" i="1"/>
  <c r="Q107" i="1"/>
  <c r="P107" i="1"/>
  <c r="O107" i="1"/>
  <c r="N107" i="1"/>
  <c r="M107" i="1"/>
  <c r="M114" i="1" s="1"/>
  <c r="L107" i="1"/>
  <c r="K107" i="1"/>
  <c r="J107" i="1"/>
  <c r="I107" i="1"/>
  <c r="H107" i="1"/>
  <c r="G107" i="1"/>
  <c r="F107" i="1"/>
  <c r="AL105" i="1"/>
  <c r="AL104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AL101" i="1" s="1"/>
  <c r="H101" i="1"/>
  <c r="G101" i="1"/>
  <c r="F101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AL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V115" i="1" s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F115" i="1" s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AL96" i="1"/>
  <c r="AL95" i="1"/>
  <c r="AL93" i="1"/>
  <c r="AG92" i="1"/>
  <c r="Y92" i="1"/>
  <c r="U92" i="1"/>
  <c r="L92" i="1"/>
  <c r="AJ91" i="1"/>
  <c r="AJ92" i="1" s="1"/>
  <c r="AI91" i="1"/>
  <c r="AI92" i="1" s="1"/>
  <c r="AH91" i="1"/>
  <c r="AH92" i="1" s="1"/>
  <c r="AG91" i="1"/>
  <c r="AF91" i="1"/>
  <c r="AF92" i="1" s="1"/>
  <c r="AE91" i="1"/>
  <c r="AE92" i="1" s="1"/>
  <c r="AD91" i="1"/>
  <c r="AD92" i="1" s="1"/>
  <c r="AC91" i="1"/>
  <c r="AC92" i="1" s="1"/>
  <c r="AB91" i="1"/>
  <c r="AB92" i="1" s="1"/>
  <c r="AA91" i="1"/>
  <c r="AA92" i="1" s="1"/>
  <c r="Z91" i="1"/>
  <c r="Z92" i="1" s="1"/>
  <c r="Y91" i="1"/>
  <c r="X91" i="1"/>
  <c r="X92" i="1" s="1"/>
  <c r="W91" i="1"/>
  <c r="W92" i="1" s="1"/>
  <c r="V91" i="1"/>
  <c r="V92" i="1" s="1"/>
  <c r="U91" i="1"/>
  <c r="T91" i="1"/>
  <c r="T92" i="1" s="1"/>
  <c r="S91" i="1"/>
  <c r="S92" i="1" s="1"/>
  <c r="R91" i="1"/>
  <c r="R92" i="1" s="1"/>
  <c r="Q91" i="1"/>
  <c r="Q92" i="1" s="1"/>
  <c r="P91" i="1"/>
  <c r="P92" i="1" s="1"/>
  <c r="O91" i="1"/>
  <c r="O92" i="1" s="1"/>
  <c r="N91" i="1"/>
  <c r="N92" i="1" s="1"/>
  <c r="M91" i="1"/>
  <c r="M92" i="1" s="1"/>
  <c r="K91" i="1"/>
  <c r="K92" i="1" s="1"/>
  <c r="J91" i="1"/>
  <c r="J92" i="1" s="1"/>
  <c r="I91" i="1"/>
  <c r="I92" i="1" s="1"/>
  <c r="H91" i="1"/>
  <c r="H92" i="1" s="1"/>
  <c r="G91" i="1"/>
  <c r="G92" i="1" s="1"/>
  <c r="F91" i="1"/>
  <c r="AL90" i="1"/>
  <c r="AC88" i="1"/>
  <c r="X88" i="1"/>
  <c r="G88" i="1"/>
  <c r="L87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AJ81" i="1"/>
  <c r="AJ88" i="1" s="1"/>
  <c r="AI81" i="1"/>
  <c r="AH81" i="1"/>
  <c r="AG81" i="1"/>
  <c r="AF81" i="1"/>
  <c r="AF88" i="1" s="1"/>
  <c r="AE81" i="1"/>
  <c r="AD81" i="1"/>
  <c r="AC81" i="1"/>
  <c r="AB81" i="1"/>
  <c r="AB88" i="1" s="1"/>
  <c r="AA81" i="1"/>
  <c r="Z81" i="1"/>
  <c r="Y81" i="1"/>
  <c r="X81" i="1"/>
  <c r="W81" i="1"/>
  <c r="V81" i="1"/>
  <c r="U81" i="1"/>
  <c r="T81" i="1"/>
  <c r="T88" i="1" s="1"/>
  <c r="S81" i="1"/>
  <c r="R81" i="1"/>
  <c r="Q81" i="1"/>
  <c r="P81" i="1"/>
  <c r="P88" i="1" s="1"/>
  <c r="O81" i="1"/>
  <c r="N81" i="1"/>
  <c r="M81" i="1"/>
  <c r="L81" i="1"/>
  <c r="L88" i="1" s="1"/>
  <c r="K81" i="1"/>
  <c r="J81" i="1"/>
  <c r="I81" i="1"/>
  <c r="H81" i="1"/>
  <c r="H88" i="1" s="1"/>
  <c r="G81" i="1"/>
  <c r="F81" i="1"/>
  <c r="AJ80" i="1"/>
  <c r="AI80" i="1"/>
  <c r="AH80" i="1"/>
  <c r="AG80" i="1"/>
  <c r="AF80" i="1"/>
  <c r="AE80" i="1"/>
  <c r="AD80" i="1"/>
  <c r="AC80" i="1"/>
  <c r="AC87" i="1" s="1"/>
  <c r="AB80" i="1"/>
  <c r="AA80" i="1"/>
  <c r="Z80" i="1"/>
  <c r="Y80" i="1"/>
  <c r="X80" i="1"/>
  <c r="W80" i="1"/>
  <c r="V80" i="1"/>
  <c r="U80" i="1"/>
  <c r="T80" i="1"/>
  <c r="S80" i="1"/>
  <c r="S87" i="1" s="1"/>
  <c r="R80" i="1"/>
  <c r="Q80" i="1"/>
  <c r="P80" i="1"/>
  <c r="O80" i="1"/>
  <c r="N80" i="1"/>
  <c r="M80" i="1"/>
  <c r="K80" i="1"/>
  <c r="J80" i="1"/>
  <c r="I80" i="1"/>
  <c r="H80" i="1"/>
  <c r="H87" i="1" s="1"/>
  <c r="G80" i="1"/>
  <c r="F80" i="1"/>
  <c r="AL78" i="1"/>
  <c r="AL77" i="1"/>
  <c r="AL84" i="1" s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AJ72" i="1"/>
  <c r="AI72" i="1"/>
  <c r="AI88" i="1" s="1"/>
  <c r="AH72" i="1"/>
  <c r="AG72" i="1"/>
  <c r="AF72" i="1"/>
  <c r="AE72" i="1"/>
  <c r="AE88" i="1" s="1"/>
  <c r="AD72" i="1"/>
  <c r="AC72" i="1"/>
  <c r="AB72" i="1"/>
  <c r="AA72" i="1"/>
  <c r="Z72" i="1"/>
  <c r="Y72" i="1"/>
  <c r="X72" i="1"/>
  <c r="W72" i="1"/>
  <c r="W88" i="1" s="1"/>
  <c r="V72" i="1"/>
  <c r="U72" i="1"/>
  <c r="T72" i="1"/>
  <c r="S72" i="1"/>
  <c r="S88" i="1" s="1"/>
  <c r="R72" i="1"/>
  <c r="Q72" i="1"/>
  <c r="Q88" i="1" s="1"/>
  <c r="P72" i="1"/>
  <c r="O72" i="1"/>
  <c r="O88" i="1" s="1"/>
  <c r="N72" i="1"/>
  <c r="M72" i="1"/>
  <c r="L72" i="1"/>
  <c r="K72" i="1"/>
  <c r="J72" i="1"/>
  <c r="I72" i="1"/>
  <c r="I88" i="1" s="1"/>
  <c r="G72" i="1"/>
  <c r="F72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Y87" i="1" s="1"/>
  <c r="X71" i="1"/>
  <c r="W71" i="1"/>
  <c r="V71" i="1"/>
  <c r="U71" i="1"/>
  <c r="U87" i="1" s="1"/>
  <c r="T71" i="1"/>
  <c r="S71" i="1"/>
  <c r="R71" i="1"/>
  <c r="Q71" i="1"/>
  <c r="P71" i="1"/>
  <c r="O71" i="1"/>
  <c r="N71" i="1"/>
  <c r="M71" i="1"/>
  <c r="M87" i="1" s="1"/>
  <c r="L71" i="1"/>
  <c r="K71" i="1"/>
  <c r="J71" i="1"/>
  <c r="I71" i="1"/>
  <c r="I87" i="1" s="1"/>
  <c r="H71" i="1"/>
  <c r="G71" i="1"/>
  <c r="F71" i="1"/>
  <c r="AL69" i="1"/>
  <c r="AL72" i="1" s="1"/>
  <c r="AL68" i="1"/>
  <c r="AL71" i="1" s="1"/>
  <c r="AL66" i="1"/>
  <c r="AC65" i="1"/>
  <c r="W65" i="1"/>
  <c r="S65" i="1"/>
  <c r="I65" i="1"/>
  <c r="G65" i="1"/>
  <c r="AJ64" i="1"/>
  <c r="AJ65" i="1" s="1"/>
  <c r="AI64" i="1"/>
  <c r="AI65" i="1" s="1"/>
  <c r="AH64" i="1"/>
  <c r="AH65" i="1" s="1"/>
  <c r="AG64" i="1"/>
  <c r="AG65" i="1" s="1"/>
  <c r="AF64" i="1"/>
  <c r="AF65" i="1" s="1"/>
  <c r="AE64" i="1"/>
  <c r="AE65" i="1" s="1"/>
  <c r="AD64" i="1"/>
  <c r="AD65" i="1" s="1"/>
  <c r="AC64" i="1"/>
  <c r="AB64" i="1"/>
  <c r="AB65" i="1" s="1"/>
  <c r="AA64" i="1"/>
  <c r="AA65" i="1" s="1"/>
  <c r="Z64" i="1"/>
  <c r="Z65" i="1" s="1"/>
  <c r="Y64" i="1"/>
  <c r="Y65" i="1" s="1"/>
  <c r="X64" i="1"/>
  <c r="X65" i="1" s="1"/>
  <c r="W64" i="1"/>
  <c r="V64" i="1"/>
  <c r="V65" i="1" s="1"/>
  <c r="U64" i="1"/>
  <c r="U65" i="1" s="1"/>
  <c r="T64" i="1"/>
  <c r="T65" i="1" s="1"/>
  <c r="S64" i="1"/>
  <c r="R64" i="1"/>
  <c r="R65" i="1" s="1"/>
  <c r="Q64" i="1"/>
  <c r="Q65" i="1" s="1"/>
  <c r="P64" i="1"/>
  <c r="P65" i="1" s="1"/>
  <c r="O64" i="1"/>
  <c r="O65" i="1" s="1"/>
  <c r="N64" i="1"/>
  <c r="N65" i="1" s="1"/>
  <c r="M64" i="1"/>
  <c r="M65" i="1" s="1"/>
  <c r="L64" i="1"/>
  <c r="L65" i="1" s="1"/>
  <c r="K64" i="1"/>
  <c r="K65" i="1" s="1"/>
  <c r="J64" i="1"/>
  <c r="J65" i="1" s="1"/>
  <c r="I64" i="1"/>
  <c r="H64" i="1"/>
  <c r="H65" i="1" s="1"/>
  <c r="G64" i="1"/>
  <c r="F64" i="1"/>
  <c r="AL63" i="1"/>
  <c r="AL62" i="1"/>
  <c r="AJ60" i="1"/>
  <c r="AF60" i="1"/>
  <c r="AE60" i="1"/>
  <c r="AC60" i="1"/>
  <c r="X60" i="1"/>
  <c r="U60" i="1"/>
  <c r="I60" i="1"/>
  <c r="AL59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AL56" i="1"/>
  <c r="AH54" i="1"/>
  <c r="R54" i="1"/>
  <c r="R60" i="1" s="1"/>
  <c r="AI52" i="1"/>
  <c r="AI60" i="1" s="1"/>
  <c r="AH52" i="1"/>
  <c r="AH60" i="1" s="1"/>
  <c r="AG52" i="1"/>
  <c r="AG60" i="1" s="1"/>
  <c r="AF52" i="1"/>
  <c r="AD52" i="1"/>
  <c r="AD60" i="1" s="1"/>
  <c r="AC52" i="1"/>
  <c r="AB52" i="1"/>
  <c r="AB60" i="1" s="1"/>
  <c r="AA52" i="1"/>
  <c r="AA60" i="1" s="1"/>
  <c r="Z52" i="1"/>
  <c r="Y52" i="1"/>
  <c r="X52" i="1"/>
  <c r="W52" i="1"/>
  <c r="W60" i="1" s="1"/>
  <c r="V52" i="1"/>
  <c r="V60" i="1" s="1"/>
  <c r="T52" i="1"/>
  <c r="S52" i="1"/>
  <c r="S60" i="1" s="1"/>
  <c r="Q52" i="1"/>
  <c r="Q60" i="1" s="1"/>
  <c r="P52" i="1"/>
  <c r="O52" i="1"/>
  <c r="N52" i="1"/>
  <c r="N60" i="1" s="1"/>
  <c r="M52" i="1"/>
  <c r="M60" i="1" s="1"/>
  <c r="L52" i="1"/>
  <c r="L60" i="1" s="1"/>
  <c r="K52" i="1"/>
  <c r="J52" i="1"/>
  <c r="J60" i="1" s="1"/>
  <c r="H52" i="1"/>
  <c r="H60" i="1" s="1"/>
  <c r="G52" i="1"/>
  <c r="G60" i="1" s="1"/>
  <c r="F52" i="1"/>
  <c r="V50" i="1"/>
  <c r="R49" i="1"/>
  <c r="X48" i="1"/>
  <c r="Q48" i="1"/>
  <c r="P48" i="1"/>
  <c r="AF47" i="1"/>
  <c r="Q47" i="1"/>
  <c r="P47" i="1"/>
  <c r="I47" i="1"/>
  <c r="AI46" i="1"/>
  <c r="AB46" i="1"/>
  <c r="L46" i="1"/>
  <c r="AI45" i="1"/>
  <c r="T45" i="1"/>
  <c r="P45" i="1"/>
  <c r="U44" i="1"/>
  <c r="AJ43" i="1"/>
  <c r="M43" i="1"/>
  <c r="L43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S29" i="1" s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AL38" i="1"/>
  <c r="AL37" i="1"/>
  <c r="AL36" i="1"/>
  <c r="AJ35" i="1"/>
  <c r="AI35" i="1"/>
  <c r="AH35" i="1"/>
  <c r="AH50" i="1" s="1"/>
  <c r="AG35" i="1"/>
  <c r="AF35" i="1"/>
  <c r="AF49" i="1" s="1"/>
  <c r="AE35" i="1"/>
  <c r="AD35" i="1"/>
  <c r="AC35" i="1"/>
  <c r="AB35" i="1"/>
  <c r="AB50" i="1" s="1"/>
  <c r="AA35" i="1"/>
  <c r="AA49" i="1" s="1"/>
  <c r="Z35" i="1"/>
  <c r="Z50" i="1" s="1"/>
  <c r="Y35" i="1"/>
  <c r="X35" i="1"/>
  <c r="W35" i="1"/>
  <c r="V35" i="1"/>
  <c r="V49" i="1" s="1"/>
  <c r="U35" i="1"/>
  <c r="T35" i="1"/>
  <c r="S35" i="1"/>
  <c r="R35" i="1"/>
  <c r="R50" i="1" s="1"/>
  <c r="Q35" i="1"/>
  <c r="P35" i="1"/>
  <c r="P49" i="1" s="1"/>
  <c r="O35" i="1"/>
  <c r="N35" i="1"/>
  <c r="N49" i="1" s="1"/>
  <c r="M35" i="1"/>
  <c r="L35" i="1"/>
  <c r="L50" i="1" s="1"/>
  <c r="K35" i="1"/>
  <c r="K50" i="1" s="1"/>
  <c r="J35" i="1"/>
  <c r="J50" i="1" s="1"/>
  <c r="I35" i="1"/>
  <c r="H35" i="1"/>
  <c r="G35" i="1"/>
  <c r="G49" i="1" s="1"/>
  <c r="F35" i="1"/>
  <c r="F50" i="1" s="1"/>
  <c r="D35" i="1"/>
  <c r="AI34" i="1"/>
  <c r="W32" i="1"/>
  <c r="W30" i="1" s="1"/>
  <c r="AL31" i="1"/>
  <c r="AJ30" i="1"/>
  <c r="AI30" i="1"/>
  <c r="AH30" i="1"/>
  <c r="AG30" i="1"/>
  <c r="AG29" i="1" s="1"/>
  <c r="AG13" i="1" s="1"/>
  <c r="AG55" i="1" s="1"/>
  <c r="AF30" i="1"/>
  <c r="AF48" i="1" s="1"/>
  <c r="AE30" i="1"/>
  <c r="AE47" i="1" s="1"/>
  <c r="AD30" i="1"/>
  <c r="AC30" i="1"/>
  <c r="AC47" i="1" s="1"/>
  <c r="AB30" i="1"/>
  <c r="AA30" i="1"/>
  <c r="AA48" i="1" s="1"/>
  <c r="Z30" i="1"/>
  <c r="Y30" i="1"/>
  <c r="Y48" i="1" s="1"/>
  <c r="X30" i="1"/>
  <c r="X47" i="1" s="1"/>
  <c r="V30" i="1"/>
  <c r="U30" i="1"/>
  <c r="U48" i="1" s="1"/>
  <c r="T30" i="1"/>
  <c r="T48" i="1" s="1"/>
  <c r="S30" i="1"/>
  <c r="R30" i="1"/>
  <c r="O30" i="1"/>
  <c r="N30" i="1"/>
  <c r="M30" i="1"/>
  <c r="M47" i="1" s="1"/>
  <c r="L30" i="1"/>
  <c r="L48" i="1" s="1"/>
  <c r="K30" i="1"/>
  <c r="J30" i="1"/>
  <c r="I30" i="1"/>
  <c r="I48" i="1" s="1"/>
  <c r="H30" i="1"/>
  <c r="H47" i="1" s="1"/>
  <c r="G30" i="1"/>
  <c r="F30" i="1"/>
  <c r="D30" i="1"/>
  <c r="AI29" i="1"/>
  <c r="AH29" i="1"/>
  <c r="AH13" i="1" s="1"/>
  <c r="AH55" i="1" s="1"/>
  <c r="Z27" i="1"/>
  <c r="Z25" i="1" s="1"/>
  <c r="Z45" i="1" s="1"/>
  <c r="S27" i="1"/>
  <c r="R27" i="1"/>
  <c r="AL27" i="1" s="1"/>
  <c r="AL26" i="1"/>
  <c r="AJ25" i="1"/>
  <c r="AJ45" i="1" s="1"/>
  <c r="AH25" i="1"/>
  <c r="AG25" i="1"/>
  <c r="AG45" i="1" s="1"/>
  <c r="AF25" i="1"/>
  <c r="AE25" i="1"/>
  <c r="AE46" i="1" s="1"/>
  <c r="AD25" i="1"/>
  <c r="AC25" i="1"/>
  <c r="AC46" i="1" s="1"/>
  <c r="AB25" i="1"/>
  <c r="AB45" i="1" s="1"/>
  <c r="AA25" i="1"/>
  <c r="AA46" i="1" s="1"/>
  <c r="Y25" i="1"/>
  <c r="Y45" i="1" s="1"/>
  <c r="X25" i="1"/>
  <c r="W25" i="1"/>
  <c r="W46" i="1" s="1"/>
  <c r="V25" i="1"/>
  <c r="U25" i="1"/>
  <c r="U46" i="1" s="1"/>
  <c r="T25" i="1"/>
  <c r="T46" i="1" s="1"/>
  <c r="S25" i="1"/>
  <c r="S45" i="1" s="1"/>
  <c r="R25" i="1"/>
  <c r="R45" i="1" s="1"/>
  <c r="Q25" i="1"/>
  <c r="Q45" i="1" s="1"/>
  <c r="P25" i="1"/>
  <c r="P46" i="1" s="1"/>
  <c r="O25" i="1"/>
  <c r="O46" i="1" s="1"/>
  <c r="N25" i="1"/>
  <c r="M25" i="1"/>
  <c r="M46" i="1" s="1"/>
  <c r="L25" i="1"/>
  <c r="L45" i="1" s="1"/>
  <c r="K25" i="1"/>
  <c r="K46" i="1" s="1"/>
  <c r="J25" i="1"/>
  <c r="I25" i="1"/>
  <c r="I45" i="1" s="1"/>
  <c r="H25" i="1"/>
  <c r="G25" i="1"/>
  <c r="G46" i="1" s="1"/>
  <c r="F25" i="1"/>
  <c r="D25" i="1"/>
  <c r="AI23" i="1"/>
  <c r="AG23" i="1"/>
  <c r="AC23" i="1"/>
  <c r="AC21" i="1" s="1"/>
  <c r="Y23" i="1"/>
  <c r="Y21" i="1" s="1"/>
  <c r="Y44" i="1" s="1"/>
  <c r="X23" i="1"/>
  <c r="Q23" i="1"/>
  <c r="H23" i="1"/>
  <c r="AG22" i="1"/>
  <c r="AL22" i="1" s="1"/>
  <c r="AJ21" i="1"/>
  <c r="AJ39" i="1" s="1"/>
  <c r="AH21" i="1"/>
  <c r="AF21" i="1"/>
  <c r="AF44" i="1" s="1"/>
  <c r="AE21" i="1"/>
  <c r="AE44" i="1" s="1"/>
  <c r="AD21" i="1"/>
  <c r="AB21" i="1"/>
  <c r="AB43" i="1" s="1"/>
  <c r="AA21" i="1"/>
  <c r="AA44" i="1" s="1"/>
  <c r="Z21" i="1"/>
  <c r="X21" i="1"/>
  <c r="X43" i="1" s="1"/>
  <c r="W21" i="1"/>
  <c r="W44" i="1" s="1"/>
  <c r="V21" i="1"/>
  <c r="U21" i="1"/>
  <c r="U43" i="1" s="1"/>
  <c r="T21" i="1"/>
  <c r="T44" i="1" s="1"/>
  <c r="S21" i="1"/>
  <c r="S44" i="1" s="1"/>
  <c r="R21" i="1"/>
  <c r="P21" i="1"/>
  <c r="P44" i="1" s="1"/>
  <c r="O21" i="1"/>
  <c r="O44" i="1" s="1"/>
  <c r="N21" i="1"/>
  <c r="M21" i="1"/>
  <c r="M44" i="1" s="1"/>
  <c r="L21" i="1"/>
  <c r="L44" i="1" s="1"/>
  <c r="K21" i="1"/>
  <c r="K44" i="1" s="1"/>
  <c r="J21" i="1"/>
  <c r="I21" i="1"/>
  <c r="I44" i="1" s="1"/>
  <c r="G21" i="1"/>
  <c r="G44" i="1" s="1"/>
  <c r="F21" i="1"/>
  <c r="D21" i="1"/>
  <c r="AL19" i="1"/>
  <c r="AL42" i="1" s="1"/>
  <c r="D19" i="1"/>
  <c r="AL18" i="1"/>
  <c r="AL41" i="1" s="1"/>
  <c r="D18" i="1"/>
  <c r="AL16" i="1"/>
  <c r="AL15" i="1"/>
  <c r="AL14" i="1"/>
  <c r="AJ13" i="1"/>
  <c r="AJ55" i="1" s="1"/>
  <c r="AF13" i="1"/>
  <c r="AF55" i="1" s="1"/>
  <c r="AE13" i="1"/>
  <c r="AE55" i="1" s="1"/>
  <c r="AD13" i="1"/>
  <c r="AD55" i="1" s="1"/>
  <c r="AC13" i="1"/>
  <c r="AC55" i="1" s="1"/>
  <c r="AB13" i="1"/>
  <c r="AB55" i="1" s="1"/>
  <c r="AA13" i="1"/>
  <c r="AA55" i="1" s="1"/>
  <c r="V13" i="1"/>
  <c r="V55" i="1" s="1"/>
  <c r="U13" i="1"/>
  <c r="U55" i="1" s="1"/>
  <c r="T13" i="1"/>
  <c r="T55" i="1" s="1"/>
  <c r="Q13" i="1"/>
  <c r="Q55" i="1" s="1"/>
  <c r="P13" i="1"/>
  <c r="P55" i="1" s="1"/>
  <c r="O13" i="1"/>
  <c r="O55" i="1" s="1"/>
  <c r="N13" i="1"/>
  <c r="N55" i="1" s="1"/>
  <c r="M13" i="1"/>
  <c r="M55" i="1" s="1"/>
  <c r="L13" i="1"/>
  <c r="L55" i="1" s="1"/>
  <c r="K13" i="1"/>
  <c r="K55" i="1" s="1"/>
  <c r="J13" i="1"/>
  <c r="J55" i="1" s="1"/>
  <c r="I13" i="1"/>
  <c r="I55" i="1" s="1"/>
  <c r="F13" i="1"/>
  <c r="F55" i="1" s="1"/>
  <c r="AJ12" i="1"/>
  <c r="AJ53" i="1" s="1"/>
  <c r="AF12" i="1"/>
  <c r="AE12" i="1"/>
  <c r="AE53" i="1" s="1"/>
  <c r="AD12" i="1"/>
  <c r="AD53" i="1" s="1"/>
  <c r="AC12" i="1"/>
  <c r="AB12" i="1"/>
  <c r="AB53" i="1" s="1"/>
  <c r="AA12" i="1"/>
  <c r="V12" i="1"/>
  <c r="U12" i="1"/>
  <c r="U53" i="1" s="1"/>
  <c r="T12" i="1"/>
  <c r="Q12" i="1"/>
  <c r="P12" i="1"/>
  <c r="O12" i="1"/>
  <c r="N12" i="1"/>
  <c r="N53" i="1" s="1"/>
  <c r="M12" i="1"/>
  <c r="L12" i="1"/>
  <c r="L53" i="1" s="1"/>
  <c r="BS53" i="1" s="1"/>
  <c r="K12" i="1"/>
  <c r="J12" i="1"/>
  <c r="J53" i="1" s="1"/>
  <c r="I12" i="1"/>
  <c r="I53" i="1" s="1"/>
  <c r="F12" i="1"/>
  <c r="AL11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L9" i="1"/>
  <c r="AB44" i="1" l="1"/>
  <c r="AG87" i="1"/>
  <c r="X44" i="1"/>
  <c r="H46" i="1"/>
  <c r="H45" i="1"/>
  <c r="X46" i="1"/>
  <c r="X45" i="1"/>
  <c r="AF46" i="1"/>
  <c r="AF45" i="1"/>
  <c r="S47" i="1"/>
  <c r="S48" i="1"/>
  <c r="AB48" i="1"/>
  <c r="AB47" i="1"/>
  <c r="AJ48" i="1"/>
  <c r="AJ47" i="1"/>
  <c r="AB39" i="1"/>
  <c r="H29" i="1"/>
  <c r="X29" i="1"/>
  <c r="T43" i="1"/>
  <c r="AJ44" i="1"/>
  <c r="M48" i="1"/>
  <c r="AE48" i="1"/>
  <c r="AH49" i="1"/>
  <c r="AL107" i="1"/>
  <c r="AL114" i="1" s="1"/>
  <c r="J114" i="1"/>
  <c r="N114" i="1"/>
  <c r="R114" i="1"/>
  <c r="V114" i="1"/>
  <c r="Z114" i="1"/>
  <c r="AD114" i="1"/>
  <c r="AH114" i="1"/>
  <c r="G115" i="1"/>
  <c r="K115" i="1"/>
  <c r="O115" i="1"/>
  <c r="S115" i="1"/>
  <c r="W115" i="1"/>
  <c r="AA115" i="1"/>
  <c r="AE115" i="1"/>
  <c r="AI115" i="1"/>
  <c r="AI47" i="1"/>
  <c r="AI48" i="1"/>
  <c r="AG203" i="1"/>
  <c r="AG120" i="1"/>
  <c r="AL10" i="1"/>
  <c r="AD49" i="1"/>
  <c r="AD50" i="1"/>
  <c r="AJ46" i="1"/>
  <c r="F49" i="1"/>
  <c r="N50" i="1"/>
  <c r="AL54" i="1"/>
  <c r="O87" i="1"/>
  <c r="W87" i="1"/>
  <c r="AA87" i="1"/>
  <c r="AE87" i="1"/>
  <c r="AI87" i="1"/>
  <c r="L39" i="1"/>
  <c r="H48" i="1"/>
  <c r="AB49" i="1"/>
  <c r="AF50" i="1"/>
  <c r="Q87" i="1"/>
  <c r="AL23" i="1"/>
  <c r="S46" i="1"/>
  <c r="W34" i="1"/>
  <c r="M88" i="1"/>
  <c r="U88" i="1"/>
  <c r="Y88" i="1"/>
  <c r="AG88" i="1"/>
  <c r="H114" i="1"/>
  <c r="L114" i="1"/>
  <c r="P114" i="1"/>
  <c r="T114" i="1"/>
  <c r="X114" i="1"/>
  <c r="AB114" i="1"/>
  <c r="AF114" i="1"/>
  <c r="AJ114" i="1"/>
  <c r="I115" i="1"/>
  <c r="Q115" i="1"/>
  <c r="U115" i="1"/>
  <c r="Y115" i="1"/>
  <c r="AG115" i="1"/>
  <c r="AL85" i="1"/>
  <c r="AL112" i="1"/>
  <c r="U114" i="1"/>
  <c r="AH115" i="1"/>
  <c r="K120" i="1"/>
  <c r="W120" i="1"/>
  <c r="AL128" i="1"/>
  <c r="H142" i="1"/>
  <c r="X142" i="1"/>
  <c r="AB142" i="1"/>
  <c r="AJ142" i="1"/>
  <c r="AL138" i="1"/>
  <c r="R175" i="1"/>
  <c r="AL184" i="1"/>
  <c r="L203" i="1"/>
  <c r="AL209" i="1"/>
  <c r="AL210" i="1" s="1"/>
  <c r="AL229" i="1"/>
  <c r="AB175" i="1"/>
  <c r="AL201" i="1"/>
  <c r="X203" i="1"/>
  <c r="AL203" i="1" s="1"/>
  <c r="AL57" i="1"/>
  <c r="G87" i="1"/>
  <c r="K87" i="1"/>
  <c r="P87" i="1"/>
  <c r="T87" i="1"/>
  <c r="X87" i="1"/>
  <c r="AB87" i="1"/>
  <c r="AF87" i="1"/>
  <c r="AJ87" i="1"/>
  <c r="G114" i="1"/>
  <c r="K114" i="1"/>
  <c r="O114" i="1"/>
  <c r="S114" i="1"/>
  <c r="AA114" i="1"/>
  <c r="AE114" i="1"/>
  <c r="AI114" i="1"/>
  <c r="H115" i="1"/>
  <c r="L115" i="1"/>
  <c r="P115" i="1"/>
  <c r="T115" i="1"/>
  <c r="X115" i="1"/>
  <c r="AB115" i="1"/>
  <c r="AF115" i="1"/>
  <c r="F141" i="1"/>
  <c r="AD142" i="1"/>
  <c r="G175" i="1"/>
  <c r="AL224" i="1"/>
  <c r="AL46" i="1"/>
  <c r="X13" i="1"/>
  <c r="X55" i="1" s="1"/>
  <c r="X12" i="1"/>
  <c r="X53" i="1" s="1"/>
  <c r="AC43" i="1"/>
  <c r="AC39" i="1"/>
  <c r="F44" i="1"/>
  <c r="F43" i="1"/>
  <c r="F39" i="1"/>
  <c r="J44" i="1"/>
  <c r="J43" i="1"/>
  <c r="J39" i="1"/>
  <c r="N44" i="1"/>
  <c r="N43" i="1"/>
  <c r="N39" i="1"/>
  <c r="R44" i="1"/>
  <c r="R43" i="1"/>
  <c r="R39" i="1"/>
  <c r="V44" i="1"/>
  <c r="V43" i="1"/>
  <c r="V39" i="1"/>
  <c r="Z44" i="1"/>
  <c r="Z43" i="1"/>
  <c r="Z39" i="1"/>
  <c r="AD44" i="1"/>
  <c r="AD43" i="1"/>
  <c r="AD39" i="1"/>
  <c r="AH44" i="1"/>
  <c r="AH43" i="1"/>
  <c r="AH39" i="1"/>
  <c r="S13" i="1"/>
  <c r="S55" i="1" s="1"/>
  <c r="S12" i="1"/>
  <c r="S53" i="1" s="1"/>
  <c r="F48" i="1"/>
  <c r="F47" i="1"/>
  <c r="J48" i="1"/>
  <c r="J47" i="1"/>
  <c r="N48" i="1"/>
  <c r="N47" i="1"/>
  <c r="AL30" i="1"/>
  <c r="AL47" i="1" s="1"/>
  <c r="O50" i="1"/>
  <c r="O49" i="1"/>
  <c r="S50" i="1"/>
  <c r="S49" i="1"/>
  <c r="AE50" i="1"/>
  <c r="AE49" i="1"/>
  <c r="AI50" i="1"/>
  <c r="AI49" i="1"/>
  <c r="T39" i="1"/>
  <c r="I46" i="1"/>
  <c r="Q46" i="1"/>
  <c r="Y46" i="1"/>
  <c r="AG46" i="1"/>
  <c r="AG48" i="1"/>
  <c r="K49" i="1"/>
  <c r="W50" i="1"/>
  <c r="AF53" i="1"/>
  <c r="AL91" i="1"/>
  <c r="F92" i="1"/>
  <c r="AL92" i="1" s="1"/>
  <c r="AL111" i="1"/>
  <c r="AL98" i="1"/>
  <c r="F114" i="1"/>
  <c r="Q203" i="1"/>
  <c r="Q175" i="1"/>
  <c r="Y203" i="1"/>
  <c r="Y175" i="1"/>
  <c r="AL175" i="1" s="1"/>
  <c r="AL197" i="1" s="1"/>
  <c r="AL173" i="1"/>
  <c r="AG12" i="1"/>
  <c r="F46" i="1"/>
  <c r="F45" i="1"/>
  <c r="J46" i="1"/>
  <c r="J45" i="1"/>
  <c r="N46" i="1"/>
  <c r="N45" i="1"/>
  <c r="V46" i="1"/>
  <c r="V45" i="1"/>
  <c r="AD46" i="1"/>
  <c r="AD45" i="1"/>
  <c r="AH46" i="1"/>
  <c r="AH45" i="1"/>
  <c r="R46" i="1"/>
  <c r="AI13" i="1"/>
  <c r="AI55" i="1" s="1"/>
  <c r="AI12" i="1"/>
  <c r="AI53" i="1" s="1"/>
  <c r="G48" i="1"/>
  <c r="G47" i="1"/>
  <c r="G29" i="1"/>
  <c r="K48" i="1"/>
  <c r="K47" i="1"/>
  <c r="O47" i="1"/>
  <c r="O48" i="1"/>
  <c r="Z48" i="1"/>
  <c r="Z47" i="1"/>
  <c r="AD48" i="1"/>
  <c r="AD47" i="1"/>
  <c r="AH48" i="1"/>
  <c r="AH47" i="1"/>
  <c r="G34" i="1"/>
  <c r="H50" i="1"/>
  <c r="H49" i="1"/>
  <c r="T50" i="1"/>
  <c r="T49" i="1"/>
  <c r="X50" i="1"/>
  <c r="X49" i="1"/>
  <c r="AJ50" i="1"/>
  <c r="AJ49" i="1"/>
  <c r="M39" i="1"/>
  <c r="U39" i="1"/>
  <c r="AC44" i="1"/>
  <c r="M45" i="1"/>
  <c r="U45" i="1"/>
  <c r="AC45" i="1"/>
  <c r="Y47" i="1"/>
  <c r="AG47" i="1"/>
  <c r="L49" i="1"/>
  <c r="G50" i="1"/>
  <c r="P50" i="1"/>
  <c r="AA50" i="1"/>
  <c r="AL118" i="1"/>
  <c r="AL119" i="1"/>
  <c r="AL146" i="1"/>
  <c r="AL236" i="1"/>
  <c r="AH12" i="1"/>
  <c r="AH53" i="1" s="1"/>
  <c r="H21" i="1"/>
  <c r="AI21" i="1"/>
  <c r="Y29" i="1"/>
  <c r="R48" i="1"/>
  <c r="R47" i="1"/>
  <c r="V48" i="1"/>
  <c r="V47" i="1"/>
  <c r="W47" i="1"/>
  <c r="W29" i="1"/>
  <c r="H34" i="1"/>
  <c r="H13" i="1" s="1"/>
  <c r="H55" i="1" s="1"/>
  <c r="I50" i="1"/>
  <c r="I49" i="1"/>
  <c r="M50" i="1"/>
  <c r="M49" i="1"/>
  <c r="Q50" i="1"/>
  <c r="Q49" i="1"/>
  <c r="U50" i="1"/>
  <c r="U49" i="1"/>
  <c r="Y50" i="1"/>
  <c r="Y49" i="1"/>
  <c r="Y34" i="1"/>
  <c r="AC50" i="1"/>
  <c r="AC49" i="1"/>
  <c r="AG50" i="1"/>
  <c r="AG49" i="1"/>
  <c r="AL35" i="1"/>
  <c r="AL49" i="1" s="1"/>
  <c r="P39" i="1"/>
  <c r="X39" i="1"/>
  <c r="AF39" i="1"/>
  <c r="P43" i="1"/>
  <c r="AF43" i="1"/>
  <c r="H44" i="1"/>
  <c r="L47" i="1"/>
  <c r="T47" i="1"/>
  <c r="AC48" i="1"/>
  <c r="W49" i="1"/>
  <c r="F53" i="1"/>
  <c r="AL52" i="1"/>
  <c r="K60" i="1"/>
  <c r="K53" i="1"/>
  <c r="BR53" i="1" s="1"/>
  <c r="O60" i="1"/>
  <c r="O53" i="1"/>
  <c r="T60" i="1"/>
  <c r="T53" i="1"/>
  <c r="Y60" i="1"/>
  <c r="AC53" i="1"/>
  <c r="K88" i="1"/>
  <c r="AA88" i="1"/>
  <c r="AL100" i="1"/>
  <c r="AL120" i="1"/>
  <c r="K127" i="1"/>
  <c r="AL134" i="1"/>
  <c r="AL145" i="1"/>
  <c r="AL144" i="1" s="1"/>
  <c r="F217" i="1"/>
  <c r="AL216" i="1"/>
  <c r="AL217" i="1" s="1"/>
  <c r="AL58" i="1"/>
  <c r="Q21" i="1"/>
  <c r="AG21" i="1"/>
  <c r="AG39" i="1" s="1"/>
  <c r="AL25" i="1"/>
  <c r="AL45" i="1" s="1"/>
  <c r="Z46" i="1"/>
  <c r="R29" i="1"/>
  <c r="Z29" i="1"/>
  <c r="AL32" i="1"/>
  <c r="I39" i="1"/>
  <c r="Y39" i="1"/>
  <c r="I43" i="1"/>
  <c r="Y43" i="1"/>
  <c r="AG43" i="1"/>
  <c r="U47" i="1"/>
  <c r="W48" i="1"/>
  <c r="P60" i="1"/>
  <c r="P53" i="1"/>
  <c r="V53" i="1"/>
  <c r="Z60" i="1"/>
  <c r="F60" i="1"/>
  <c r="F87" i="1"/>
  <c r="AL80" i="1"/>
  <c r="AL87" i="1" s="1"/>
  <c r="J87" i="1"/>
  <c r="AL108" i="1"/>
  <c r="AL115" i="1" s="1"/>
  <c r="J115" i="1"/>
  <c r="N115" i="1"/>
  <c r="Z115" i="1"/>
  <c r="AD115" i="1"/>
  <c r="J141" i="1"/>
  <c r="AL141" i="1" s="1"/>
  <c r="R141" i="1"/>
  <c r="V141" i="1"/>
  <c r="AD141" i="1"/>
  <c r="AH141" i="1"/>
  <c r="F142" i="1"/>
  <c r="AL142" i="1" s="1"/>
  <c r="N142" i="1"/>
  <c r="R142" i="1"/>
  <c r="Z142" i="1"/>
  <c r="AH142" i="1"/>
  <c r="AL194" i="1"/>
  <c r="R202" i="1"/>
  <c r="Z202" i="1"/>
  <c r="AH202" i="1"/>
  <c r="O202" i="1"/>
  <c r="K203" i="1"/>
  <c r="M53" i="1"/>
  <c r="Q53" i="1"/>
  <c r="F65" i="1"/>
  <c r="AL65" i="1" s="1"/>
  <c r="AL64" i="1"/>
  <c r="AL74" i="1"/>
  <c r="F88" i="1"/>
  <c r="AL81" i="1"/>
  <c r="AL88" i="1" s="1"/>
  <c r="J88" i="1"/>
  <c r="N88" i="1"/>
  <c r="R88" i="1"/>
  <c r="V88" i="1"/>
  <c r="Z88" i="1"/>
  <c r="AD88" i="1"/>
  <c r="AH88" i="1"/>
  <c r="AL125" i="1"/>
  <c r="AL156" i="1"/>
  <c r="F163" i="1"/>
  <c r="AL183" i="1"/>
  <c r="AL190" i="1"/>
  <c r="F197" i="1"/>
  <c r="AL199" i="1"/>
  <c r="AL202" i="1" s="1"/>
  <c r="F202" i="1"/>
  <c r="N202" i="1"/>
  <c r="V202" i="1"/>
  <c r="G202" i="1"/>
  <c r="AI202" i="1"/>
  <c r="G39" i="1"/>
  <c r="K39" i="1"/>
  <c r="O39" i="1"/>
  <c r="S39" i="1"/>
  <c r="W39" i="1"/>
  <c r="AA39" i="1"/>
  <c r="AE39" i="1"/>
  <c r="G43" i="1"/>
  <c r="K43" i="1"/>
  <c r="O43" i="1"/>
  <c r="S43" i="1"/>
  <c r="W43" i="1"/>
  <c r="AA43" i="1"/>
  <c r="AE43" i="1"/>
  <c r="G45" i="1"/>
  <c r="K45" i="1"/>
  <c r="O45" i="1"/>
  <c r="W45" i="1"/>
  <c r="AA45" i="1"/>
  <c r="AE45" i="1"/>
  <c r="AA47" i="1"/>
  <c r="J49" i="1"/>
  <c r="Z49" i="1"/>
  <c r="AG53" i="1"/>
  <c r="AA53" i="1"/>
  <c r="AL73" i="1"/>
  <c r="N87" i="1"/>
  <c r="R87" i="1"/>
  <c r="V87" i="1"/>
  <c r="Z87" i="1"/>
  <c r="AD87" i="1"/>
  <c r="AH87" i="1"/>
  <c r="AG127" i="1"/>
  <c r="F162" i="1"/>
  <c r="AJ115" i="1"/>
  <c r="G142" i="1"/>
  <c r="K142" i="1"/>
  <c r="O142" i="1"/>
  <c r="S142" i="1"/>
  <c r="W142" i="1"/>
  <c r="AA142" i="1"/>
  <c r="AE142" i="1"/>
  <c r="AI142" i="1"/>
  <c r="K202" i="1"/>
  <c r="AA202" i="1"/>
  <c r="AL198" i="1"/>
  <c r="AL191" i="1"/>
  <c r="AL243" i="1"/>
  <c r="AC175" i="1"/>
  <c r="AL195" i="1"/>
  <c r="AL127" i="1" l="1"/>
  <c r="R13" i="1"/>
  <c r="R55" i="1" s="1"/>
  <c r="R12" i="1"/>
  <c r="R53" i="1" s="1"/>
  <c r="Q43" i="1"/>
  <c r="Q39" i="1"/>
  <c r="AL60" i="1"/>
  <c r="AI43" i="1"/>
  <c r="AI39" i="1"/>
  <c r="AL50" i="1"/>
  <c r="G13" i="1"/>
  <c r="G12" i="1"/>
  <c r="AL29" i="1"/>
  <c r="H12" i="1"/>
  <c r="H53" i="1" s="1"/>
  <c r="Q44" i="1"/>
  <c r="AL163" i="1"/>
  <c r="AL170" i="1" s="1"/>
  <c r="F170" i="1"/>
  <c r="W13" i="1"/>
  <c r="W55" i="1" s="1"/>
  <c r="W12" i="1"/>
  <c r="W53" i="1" s="1"/>
  <c r="AI44" i="1"/>
  <c r="AL34" i="1"/>
  <c r="AL162" i="1"/>
  <c r="AL169" i="1" s="1"/>
  <c r="F169" i="1"/>
  <c r="AL48" i="1"/>
  <c r="AL21" i="1"/>
  <c r="Z13" i="1"/>
  <c r="Z55" i="1" s="1"/>
  <c r="Z12" i="1"/>
  <c r="Z53" i="1" s="1"/>
  <c r="Y13" i="1"/>
  <c r="Y55" i="1" s="1"/>
  <c r="Y12" i="1"/>
  <c r="Y53" i="1" s="1"/>
  <c r="H43" i="1"/>
  <c r="H39" i="1"/>
  <c r="AG44" i="1"/>
  <c r="AL43" i="1" l="1"/>
  <c r="AL39" i="1"/>
  <c r="AL44" i="1"/>
  <c r="G53" i="1"/>
  <c r="AL12" i="1"/>
  <c r="AL53" i="1" s="1"/>
  <c r="G55" i="1"/>
  <c r="AL13" i="1"/>
  <c r="AL55" i="1" s="1"/>
</calcChain>
</file>

<file path=xl/sharedStrings.xml><?xml version="1.0" encoding="utf-8"?>
<sst xmlns="http://schemas.openxmlformats.org/spreadsheetml/2006/main" count="470" uniqueCount="135">
  <si>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</si>
  <si>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</si>
  <si>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</si>
  <si>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</si>
  <si>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</si>
  <si>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</si>
  <si>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</si>
  <si>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</si>
  <si>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</si>
  <si>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</si>
  <si>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</si>
  <si>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</si>
  <si>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</si>
  <si>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</si>
  <si>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</si>
  <si>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</si>
  <si>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</si>
  <si>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</si>
  <si>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</si>
  <si>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</si>
  <si>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</si>
  <si>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</si>
  <si>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</si>
  <si>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</si>
  <si>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</si>
  <si>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</si>
  <si>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</si>
  <si>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</si>
  <si>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</si>
  <si>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</si>
  <si>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</si>
  <si>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</si>
  <si>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</si>
  <si>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</si>
  <si>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</si>
  <si>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</si>
  <si>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</si>
  <si>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</si>
  <si>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</si>
  <si>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</si>
  <si>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</si>
  <si>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</si>
  <si>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</si>
  <si>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</si>
  <si>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</si>
  <si>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</si>
  <si>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</si>
  <si>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</si>
  <si>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</si>
  <si>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</si>
  <si>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</si>
  <si>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</si>
  <si>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</si>
  <si>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</si>
  <si>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</si>
  <si>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</si>
  <si>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</si>
  <si>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</si>
  <si>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</si>
  <si>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</si>
  <si>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</si>
  <si>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</si>
  <si>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</si>
  <si>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</si>
  <si>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</si>
  <si>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</si>
  <si>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</si>
  <si>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</si>
  <si>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</si>
  <si>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</si>
  <si>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</si>
  <si>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58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</si>
  <si>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</si>
  <si>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</si>
  <si>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</si>
  <si>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</si>
  <si>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</si>
  <si>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</si>
  <si>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</si>
  <si>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</si>
  <si>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</si>
  <si>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</si>
  <si>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</si>
  <si>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</si>
  <si>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</si>
  <si>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</si>
  <si>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</si>
  <si>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</si>
  <si>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</si>
  <si>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</si>
  <si>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</si>
  <si>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</si>
  <si>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</si>
  <si>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</si>
  <si>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</si>
  <si>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</si>
  <si>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</si>
  <si>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</si>
  <si>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</si>
  <si>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</si>
  <si>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</si>
  <si>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</si>
  <si>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</si>
  <si>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</si>
  <si>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</si>
  <si>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</si>
  <si>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</si>
  <si>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</si>
  <si>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 xml:space="preserve">OUTGOING LOKAL </t>
  </si>
  <si>
    <t xml:space="preserve">Lokal </t>
  </si>
  <si>
    <t>RBDPO</t>
  </si>
  <si>
    <t xml:space="preserve">OUTGOING EKSPORT </t>
  </si>
  <si>
    <t>Eksport</t>
  </si>
  <si>
    <t>CPO Consume Total</t>
  </si>
  <si>
    <t>CPO Consume Poram</t>
  </si>
  <si>
    <t>CPO Consume Brand</t>
  </si>
  <si>
    <t>Fractionation OLEIN IV 57 ( Retail )</t>
  </si>
  <si>
    <t>OLEIN IV 57 Low Color</t>
  </si>
  <si>
    <t>Olein IV 57 Received</t>
  </si>
  <si>
    <t>Olein IV 57 Consume</t>
  </si>
  <si>
    <t>Olein Received IV 57</t>
  </si>
  <si>
    <t>No</t>
  </si>
  <si>
    <t>ITEM</t>
  </si>
  <si>
    <t>Budget / Norma</t>
  </si>
  <si>
    <t>UoM</t>
  </si>
  <si>
    <t>TOTAL
(Kg)</t>
  </si>
  <si>
    <t>Olein IV 57 ( Retail )</t>
  </si>
  <si>
    <t xml:space="preserve">Minyakita SP 2 L  </t>
  </si>
  <si>
    <t>Agustus</t>
  </si>
  <si>
    <r>
      <t>m</t>
    </r>
    <r>
      <rPr>
        <b/>
        <vertAlign val="superscript"/>
        <sz val="11"/>
        <rFont val="Arial"/>
        <family val="2"/>
      </rPr>
      <t>3</t>
    </r>
  </si>
  <si>
    <t>Ratio Run CPO</t>
  </si>
  <si>
    <t>Ratio Run RBDPO</t>
  </si>
  <si>
    <t>Fractionation OLEIN IV 58 ( Bulk )</t>
  </si>
  <si>
    <t xml:space="preserve">OLEIN IV 58 </t>
  </si>
  <si>
    <t>Olein IV 58 ( Bulk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</si>
</sst>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i/>
      <sz val="11"/>
      <name val="Arial"/>
      <family val="2"/>
    </font>
    <font>
      <b/>
      <sz val="14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0"/>
      <name val="Arial"/>
      <family val="2"/>
    </font>
    <font>
      <b/>
      <sz val="11"/>
      <color rgb="FFFF0000"/>
      <name val="Arial"/>
      <family val="2"/>
    </font>
    <font>
      <sz val="11"/>
      <color theme="4" tint="0.3999755851924192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2065187536243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69">
    <xf numFmtId="0" fontId="0" fillId="0" borderId="0" xfId="0"/>
    <xf numFmtId="0" fontId="2" fillId="0" borderId="0" xfId="0" applyFont="1"/>
    <xf numFmtId="0" fontId="2" fillId="2" borderId="0" xfId="0" applyFont="1" applyFill="1"/>
    <xf numFmtId="41" fontId="2" fillId="0" borderId="0" xfId="2" applyFont="1"/>
    <xf numFmtId="166" fontId="2" fillId="0" borderId="0" xfId="1" applyNumberFormat="1" applyFont="1"/>
    <xf numFmtId="166" fontId="4" fillId="0" borderId="4" xfId="1" applyNumberFormat="1" applyFont="1" applyFill="1" applyBorder="1"/>
    <xf numFmtId="41" fontId="2" fillId="0" borderId="0" xfId="2" applyFont="1" applyAlignment="1">
      <alignment vertical="center"/>
    </xf>
    <xf numFmtId="0" fontId="2" fillId="0" borderId="0" xfId="0" applyFont="1" applyAlignment="1">
      <alignment horizontal="center"/>
    </xf>
    <xf numFmtId="166" fontId="2" fillId="0" borderId="0" xfId="0" applyNumberFormat="1" applyFont="1"/>
    <xf numFmtId="169" fontId="2" fillId="0" borderId="0" xfId="0" applyNumberFormat="1" applyFont="1"/>
    <xf numFmtId="41" fontId="2" fillId="2" borderId="0" xfId="2" applyFont="1" applyFill="1"/>
    <xf numFmtId="168" fontId="4" fillId="0" borderId="4" xfId="1" applyNumberFormat="1" applyFont="1" applyFill="1" applyBorder="1"/>
    <xf numFmtId="165" fontId="2" fillId="0" borderId="0" xfId="2" applyNumberFormat="1" applyFont="1" applyFill="1"/>
    <xf numFmtId="41" fontId="2" fillId="0" borderId="0" xfId="2" applyFont="1" applyFill="1"/>
    <xf numFmtId="41" fontId="3" fillId="0" borderId="0" xfId="2" applyFont="1" applyFill="1"/>
    <xf numFmtId="43" fontId="2" fillId="0" borderId="0" xfId="0" applyNumberFormat="1" applyFont="1"/>
    <xf numFmtId="0" fontId="4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/>
    </xf>
    <xf numFmtId="165" fontId="4" fillId="0" borderId="4" xfId="2" applyNumberFormat="1" applyFont="1" applyFill="1" applyBorder="1"/>
    <xf numFmtId="0" fontId="6" fillId="0" borderId="4" xfId="0" applyFont="1" applyBorder="1" applyAlignment="1">
      <alignment horizontal="center"/>
    </xf>
    <xf numFmtId="176" fontId="2" fillId="0" borderId="0" xfId="0" applyNumberFormat="1" applyFont="1"/>
    <xf numFmtId="0" fontId="3" fillId="0" borderId="0" xfId="0" applyFont="1" applyAlignment="1">
      <alignment horizontal="left"/>
    </xf>
    <xf numFmtId="166" fontId="4" fillId="3" borderId="6" xfId="1" applyNumberFormat="1" applyFont="1" applyFill="1" applyBorder="1"/>
    <xf numFmtId="166" fontId="4" fillId="0" borderId="4" xfId="1" applyNumberFormat="1" applyFont="1" applyFill="1" applyBorder="1" applyAlignment="1">
      <alignment vertical="center"/>
    </xf>
    <xf numFmtId="0" fontId="6" fillId="0" borderId="4" xfId="0" quotePrefix="1" applyFont="1" applyBorder="1" applyAlignment="1">
      <alignment horizontal="center"/>
    </xf>
    <xf numFmtId="0" fontId="4" fillId="3" borderId="6" xfId="0" quotePrefix="1" applyFont="1" applyFill="1" applyBorder="1" applyAlignment="1">
      <alignment horizontal="center"/>
    </xf>
    <xf numFmtId="43" fontId="4" fillId="0" borderId="4" xfId="1" applyFont="1" applyFill="1" applyBorder="1"/>
    <xf numFmtId="43" fontId="6" fillId="0" borderId="4" xfId="1" applyFont="1" applyFill="1" applyBorder="1" applyAlignment="1">
      <alignment vertical="center"/>
    </xf>
    <xf numFmtId="43" fontId="6" fillId="0" borderId="4" xfId="1" applyFont="1" applyFill="1" applyBorder="1"/>
    <xf numFmtId="166" fontId="4" fillId="3" borderId="6" xfId="1" applyNumberFormat="1" applyFont="1" applyFill="1" applyBorder="1" applyAlignment="1">
      <alignment vertical="center"/>
    </xf>
    <xf numFmtId="166" fontId="5" fillId="0" borderId="4" xfId="1" applyNumberFormat="1" applyFont="1" applyFill="1" applyBorder="1"/>
    <xf numFmtId="0" fontId="7" fillId="0" borderId="0" xfId="0" applyFont="1" applyAlignment="1">
      <alignment horizontal="center"/>
    </xf>
    <xf numFmtId="43" fontId="4" fillId="5" borderId="4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6" fillId="3" borderId="6" xfId="0" quotePrefix="1" applyFont="1" applyFill="1" applyBorder="1" applyAlignment="1">
      <alignment horizontal="center"/>
    </xf>
    <xf numFmtId="41" fontId="4" fillId="0" borderId="0" xfId="2" applyFont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0" fontId="6" fillId="0" borderId="4" xfId="0" quotePrefix="1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43" fontId="6" fillId="0" borderId="19" xfId="1" applyFont="1" applyFill="1" applyBorder="1"/>
    <xf numFmtId="43" fontId="4" fillId="0" borderId="19" xfId="1" applyFont="1" applyFill="1" applyBorder="1"/>
    <xf numFmtId="166" fontId="4" fillId="0" borderId="19" xfId="1" applyNumberFormat="1" applyFont="1" applyFill="1" applyBorder="1"/>
    <xf numFmtId="0" fontId="4" fillId="3" borderId="18" xfId="0" quotePrefix="1" applyFont="1" applyFill="1" applyBorder="1" applyAlignment="1">
      <alignment horizontal="center"/>
    </xf>
    <xf numFmtId="0" fontId="6" fillId="4" borderId="6" xfId="0" quotePrefix="1" applyFont="1" applyFill="1" applyBorder="1" applyAlignment="1">
      <alignment horizontal="center"/>
    </xf>
    <xf numFmtId="43" fontId="4" fillId="4" borderId="6" xfId="1" applyFont="1" applyFill="1" applyBorder="1"/>
    <xf numFmtId="0" fontId="6" fillId="4" borderId="4" xfId="0" quotePrefix="1" applyFont="1" applyFill="1" applyBorder="1" applyAlignment="1">
      <alignment horizontal="center"/>
    </xf>
    <xf numFmtId="43" fontId="4" fillId="4" borderId="4" xfId="1" applyFont="1" applyFill="1" applyBorder="1"/>
    <xf numFmtId="0" fontId="6" fillId="4" borderId="2" xfId="0" quotePrefix="1" applyFont="1" applyFill="1" applyBorder="1" applyAlignment="1">
      <alignment horizontal="center"/>
    </xf>
    <xf numFmtId="43" fontId="4" fillId="4" borderId="2" xfId="1" applyFont="1" applyFill="1" applyBorder="1"/>
    <xf numFmtId="0" fontId="6" fillId="4" borderId="14" xfId="0" quotePrefix="1" applyFont="1" applyFill="1" applyBorder="1" applyAlignment="1">
      <alignment horizontal="center"/>
    </xf>
    <xf numFmtId="43" fontId="4" fillId="4" borderId="14" xfId="1" applyFont="1" applyFill="1" applyBorder="1"/>
    <xf numFmtId="165" fontId="6" fillId="4" borderId="14" xfId="2" quotePrefix="1" applyNumberFormat="1" applyFont="1" applyFill="1" applyBorder="1" applyAlignment="1">
      <alignment horizontal="center"/>
    </xf>
    <xf numFmtId="165" fontId="6" fillId="4" borderId="14" xfId="2" applyNumberFormat="1" applyFont="1" applyFill="1" applyBorder="1"/>
    <xf numFmtId="41" fontId="3" fillId="0" borderId="0" xfId="2" applyFont="1"/>
    <xf numFmtId="0" fontId="0" fillId="2" borderId="0" xfId="0" applyFill="1"/>
    <xf numFmtId="0" fontId="6" fillId="3" borderId="4" xfId="0" quotePrefix="1" applyFont="1" applyFill="1" applyBorder="1" applyAlignment="1">
      <alignment horizontal="center"/>
    </xf>
    <xf numFmtId="43" fontId="6" fillId="0" borderId="0" xfId="1" applyFont="1" applyFill="1" applyBorder="1"/>
    <xf numFmtId="43" fontId="6" fillId="0" borderId="0" xfId="1" applyFont="1" applyFill="1" applyBorder="1" applyAlignment="1">
      <alignment vertical="center"/>
    </xf>
    <xf numFmtId="43" fontId="4" fillId="0" borderId="0" xfId="1" applyFont="1" applyFill="1" applyBorder="1"/>
    <xf numFmtId="166" fontId="4" fillId="0" borderId="0" xfId="1" applyNumberFormat="1" applyFont="1" applyFill="1" applyBorder="1"/>
    <xf numFmtId="166" fontId="4" fillId="0" borderId="19" xfId="1" applyNumberFormat="1" applyFont="1" applyFill="1" applyBorder="1" applyAlignment="1">
      <alignment vertical="center"/>
    </xf>
    <xf numFmtId="166" fontId="4" fillId="0" borderId="0" xfId="1" applyNumberFormat="1" applyFont="1" applyFill="1" applyBorder="1" applyAlignment="1">
      <alignment vertical="center"/>
    </xf>
    <xf numFmtId="0" fontId="4" fillId="2" borderId="0" xfId="0" quotePrefix="1" applyFont="1" applyFill="1" applyAlignment="1">
      <alignment horizontal="center"/>
    </xf>
    <xf numFmtId="43" fontId="4" fillId="4" borderId="19" xfId="1" applyFont="1" applyFill="1" applyBorder="1"/>
    <xf numFmtId="43" fontId="4" fillId="2" borderId="0" xfId="1" applyFont="1" applyFill="1" applyBorder="1"/>
    <xf numFmtId="43" fontId="4" fillId="4" borderId="20" xfId="1" applyFont="1" applyFill="1" applyBorder="1"/>
    <xf numFmtId="43" fontId="4" fillId="4" borderId="17" xfId="1" applyFont="1" applyFill="1" applyBorder="1"/>
    <xf numFmtId="166" fontId="6" fillId="4" borderId="13" xfId="1" applyNumberFormat="1" applyFont="1" applyFill="1" applyBorder="1"/>
    <xf numFmtId="165" fontId="6" fillId="4" borderId="17" xfId="2" applyNumberFormat="1" applyFont="1" applyFill="1" applyBorder="1"/>
    <xf numFmtId="165" fontId="6" fillId="2" borderId="0" xfId="2" applyNumberFormat="1" applyFont="1" applyFill="1" applyBorder="1"/>
    <xf numFmtId="43" fontId="6" fillId="0" borderId="24" xfId="1" applyFont="1" applyFill="1" applyBorder="1"/>
    <xf numFmtId="43" fontId="4" fillId="0" borderId="24" xfId="1" applyFont="1" applyFill="1" applyBorder="1"/>
    <xf numFmtId="166" fontId="4" fillId="0" borderId="24" xfId="1" applyNumberFormat="1" applyFont="1" applyFill="1" applyBorder="1"/>
    <xf numFmtId="166" fontId="4" fillId="0" borderId="24" xfId="1" applyNumberFormat="1" applyFont="1" applyFill="1" applyBorder="1" applyAlignment="1">
      <alignment vertical="center"/>
    </xf>
    <xf numFmtId="166" fontId="4" fillId="3" borderId="23" xfId="1" applyNumberFormat="1" applyFont="1" applyFill="1" applyBorder="1"/>
    <xf numFmtId="166" fontId="4" fillId="3" borderId="23" xfId="1" applyNumberFormat="1" applyFont="1" applyFill="1" applyBorder="1" applyAlignment="1">
      <alignment vertical="center"/>
    </xf>
    <xf numFmtId="0" fontId="4" fillId="3" borderId="23" xfId="0" quotePrefix="1" applyFont="1" applyFill="1" applyBorder="1" applyAlignment="1">
      <alignment horizontal="center"/>
    </xf>
    <xf numFmtId="168" fontId="4" fillId="0" borderId="24" xfId="1" applyNumberFormat="1" applyFont="1" applyFill="1" applyBorder="1"/>
    <xf numFmtId="43" fontId="4" fillId="0" borderId="10" xfId="1" applyFont="1" applyFill="1" applyBorder="1"/>
    <xf numFmtId="43" fontId="4" fillId="0" borderId="4" xfId="1" applyFont="1" applyFill="1" applyBorder="1" applyAlignment="1">
      <alignment vertical="center"/>
    </xf>
    <xf numFmtId="2" fontId="4" fillId="0" borderId="0" xfId="0" applyNumberFormat="1" applyFont="1"/>
    <xf numFmtId="166" fontId="6" fillId="0" borderId="16" xfId="1" applyNumberFormat="1" applyFont="1" applyFill="1" applyBorder="1"/>
    <xf numFmtId="166" fontId="4" fillId="3" borderId="18" xfId="1" applyNumberFormat="1" applyFont="1" applyFill="1" applyBorder="1"/>
    <xf numFmtId="166" fontId="4" fillId="3" borderId="18" xfId="1" applyNumberFormat="1" applyFont="1" applyFill="1" applyBorder="1" applyAlignment="1">
      <alignment vertical="center"/>
    </xf>
    <xf numFmtId="43" fontId="4" fillId="4" borderId="18" xfId="1" applyFont="1" applyFill="1" applyBorder="1"/>
    <xf numFmtId="168" fontId="4" fillId="0" borderId="19" xfId="1" applyNumberFormat="1" applyFont="1" applyFill="1" applyBorder="1"/>
    <xf numFmtId="43" fontId="4" fillId="0" borderId="24" xfId="1" applyFont="1" applyFill="1" applyBorder="1" applyAlignment="1">
      <alignment vertical="center"/>
    </xf>
    <xf numFmtId="43" fontId="4" fillId="0" borderId="19" xfId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172" fontId="4" fillId="0" borderId="4" xfId="1" applyNumberFormat="1" applyFont="1" applyFill="1" applyBorder="1"/>
    <xf numFmtId="171" fontId="4" fillId="0" borderId="4" xfId="1" applyNumberFormat="1" applyFont="1" applyFill="1" applyBorder="1"/>
    <xf numFmtId="41" fontId="3" fillId="0" borderId="0" xfId="2" applyFont="1" applyFill="1" applyAlignment="1">
      <alignment horizontal="center"/>
    </xf>
    <xf numFmtId="41" fontId="2" fillId="0" borderId="0" xfId="0" applyNumberFormat="1" applyFont="1"/>
    <xf numFmtId="166" fontId="2" fillId="0" borderId="0" xfId="0" applyNumberFormat="1" applyFont="1" applyAlignment="1">
      <alignment vertical="center"/>
    </xf>
    <xf numFmtId="0" fontId="6" fillId="0" borderId="3" xfId="0" applyFont="1" applyBorder="1" applyAlignment="1">
      <alignment horizontal="center"/>
    </xf>
    <xf numFmtId="0" fontId="4" fillId="0" borderId="8" xfId="0" quotePrefix="1" applyFont="1" applyBorder="1"/>
    <xf numFmtId="0" fontId="6" fillId="3" borderId="37" xfId="0" applyFont="1" applyFill="1" applyBorder="1" applyAlignment="1">
      <alignment vertical="center"/>
    </xf>
    <xf numFmtId="0" fontId="6" fillId="0" borderId="8" xfId="0" quotePrefix="1" applyFont="1" applyBorder="1"/>
    <xf numFmtId="0" fontId="8" fillId="0" borderId="8" xfId="0" quotePrefix="1" applyFont="1" applyBorder="1"/>
    <xf numFmtId="0" fontId="4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4" fillId="4" borderId="37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40" xfId="0" applyFont="1" applyFill="1" applyBorder="1" applyAlignment="1">
      <alignment vertical="center"/>
    </xf>
    <xf numFmtId="0" fontId="6" fillId="4" borderId="36" xfId="0" applyFont="1" applyFill="1" applyBorder="1" applyAlignment="1">
      <alignment vertical="center"/>
    </xf>
    <xf numFmtId="165" fontId="6" fillId="4" borderId="36" xfId="2" applyNumberFormat="1" applyFont="1" applyFill="1" applyBorder="1" applyAlignment="1">
      <alignment horizontal="left" vertical="top"/>
    </xf>
    <xf numFmtId="166" fontId="4" fillId="0" borderId="20" xfId="1" applyNumberFormat="1" applyFont="1" applyFill="1" applyBorder="1" applyAlignment="1">
      <alignment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33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166" fontId="4" fillId="3" borderId="6" xfId="1" applyNumberFormat="1" applyFont="1" applyFill="1" applyBorder="1" applyAlignment="1">
      <alignment horizontal="right" vertical="center"/>
    </xf>
    <xf numFmtId="166" fontId="4" fillId="0" borderId="0" xfId="0" applyNumberFormat="1" applyFont="1"/>
    <xf numFmtId="0" fontId="6" fillId="3" borderId="13" xfId="0" quotePrefix="1" applyFont="1" applyFill="1" applyBorder="1"/>
    <xf numFmtId="0" fontId="10" fillId="0" borderId="37" xfId="0" applyFont="1" applyBorder="1" applyAlignment="1">
      <alignment vertical="center"/>
    </xf>
    <xf numFmtId="0" fontId="4" fillId="5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6" fontId="4" fillId="0" borderId="6" xfId="1" applyNumberFormat="1" applyFont="1" applyFill="1" applyBorder="1"/>
    <xf numFmtId="43" fontId="4" fillId="0" borderId="6" xfId="1" applyFont="1" applyFill="1" applyBorder="1"/>
    <xf numFmtId="166" fontId="6" fillId="0" borderId="6" xfId="1" applyNumberFormat="1" applyFont="1" applyFill="1" applyBorder="1"/>
    <xf numFmtId="166" fontId="6" fillId="2" borderId="6" xfId="1" applyNumberFormat="1" applyFont="1" applyFill="1" applyBorder="1"/>
    <xf numFmtId="166" fontId="4" fillId="0" borderId="23" xfId="1" applyNumberFormat="1" applyFont="1" applyFill="1" applyBorder="1"/>
    <xf numFmtId="166" fontId="4" fillId="0" borderId="18" xfId="1" applyNumberFormat="1" applyFont="1" applyFill="1" applyBorder="1"/>
    <xf numFmtId="0" fontId="11" fillId="0" borderId="3" xfId="0" applyFont="1" applyBorder="1"/>
    <xf numFmtId="0" fontId="4" fillId="5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6" fontId="4" fillId="0" borderId="3" xfId="0" applyNumberFormat="1" applyFont="1" applyBorder="1"/>
    <xf numFmtId="0" fontId="4" fillId="4" borderId="8" xfId="0" applyFont="1" applyFill="1" applyBorder="1"/>
    <xf numFmtId="166" fontId="4" fillId="5" borderId="4" xfId="1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166" fontId="4" fillId="4" borderId="4" xfId="1" applyNumberFormat="1" applyFont="1" applyFill="1" applyBorder="1"/>
    <xf numFmtId="166" fontId="4" fillId="4" borderId="24" xfId="1" applyNumberFormat="1" applyFont="1" applyFill="1" applyBorder="1"/>
    <xf numFmtId="166" fontId="4" fillId="4" borderId="19" xfId="1" applyNumberFormat="1" applyFont="1" applyFill="1" applyBorder="1"/>
    <xf numFmtId="166" fontId="4" fillId="4" borderId="3" xfId="0" applyNumberFormat="1" applyFont="1" applyFill="1" applyBorder="1"/>
    <xf numFmtId="166" fontId="4" fillId="4" borderId="3" xfId="1" applyNumberFormat="1" applyFont="1" applyFill="1" applyBorder="1"/>
    <xf numFmtId="165" fontId="4" fillId="0" borderId="24" xfId="2" applyNumberFormat="1" applyFont="1" applyFill="1" applyBorder="1"/>
    <xf numFmtId="165" fontId="4" fillId="0" borderId="19" xfId="2" applyNumberFormat="1" applyFont="1" applyFill="1" applyBorder="1"/>
    <xf numFmtId="164" fontId="4" fillId="0" borderId="3" xfId="0" applyNumberFormat="1" applyFont="1" applyBorder="1"/>
    <xf numFmtId="43" fontId="4" fillId="5" borderId="4" xfId="1" applyFont="1" applyFill="1" applyBorder="1" applyAlignment="1">
      <alignment horizontal="right"/>
    </xf>
    <xf numFmtId="0" fontId="11" fillId="2" borderId="8" xfId="0" applyFont="1" applyFill="1" applyBorder="1"/>
    <xf numFmtId="0" fontId="4" fillId="5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0" xfId="0" applyFont="1" applyFill="1"/>
    <xf numFmtId="166" fontId="8" fillId="0" borderId="3" xfId="0" applyNumberFormat="1" applyFont="1" applyBorder="1"/>
    <xf numFmtId="0" fontId="4" fillId="0" borderId="3" xfId="0" applyFont="1" applyBorder="1" applyAlignment="1">
      <alignment horizontal="center"/>
    </xf>
    <xf numFmtId="0" fontId="4" fillId="4" borderId="8" xfId="0" quotePrefix="1" applyFont="1" applyFill="1" applyBorder="1"/>
    <xf numFmtId="0" fontId="10" fillId="0" borderId="37" xfId="0" applyFont="1" applyBorder="1"/>
    <xf numFmtId="0" fontId="12" fillId="5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66" fontId="11" fillId="0" borderId="3" xfId="0" applyNumberFormat="1" applyFont="1" applyBorder="1"/>
    <xf numFmtId="41" fontId="4" fillId="5" borderId="4" xfId="2" applyFont="1" applyFill="1" applyBorder="1" applyAlignment="1">
      <alignment horizontal="center"/>
    </xf>
    <xf numFmtId="166" fontId="4" fillId="4" borderId="2" xfId="1" applyNumberFormat="1" applyFont="1" applyFill="1" applyBorder="1"/>
    <xf numFmtId="166" fontId="4" fillId="4" borderId="25" xfId="1" applyNumberFormat="1" applyFont="1" applyFill="1" applyBorder="1"/>
    <xf numFmtId="166" fontId="4" fillId="4" borderId="20" xfId="1" applyNumberFormat="1" applyFont="1" applyFill="1" applyBorder="1"/>
    <xf numFmtId="0" fontId="4" fillId="2" borderId="3" xfId="0" applyFont="1" applyFill="1" applyBorder="1" applyAlignment="1">
      <alignment horizontal="center"/>
    </xf>
    <xf numFmtId="41" fontId="4" fillId="2" borderId="4" xfId="2" applyFont="1" applyFill="1" applyBorder="1" applyAlignment="1">
      <alignment horizontal="center"/>
    </xf>
    <xf numFmtId="0" fontId="6" fillId="2" borderId="4" xfId="0" quotePrefix="1" applyFont="1" applyFill="1" applyBorder="1" applyAlignment="1">
      <alignment horizontal="center"/>
    </xf>
    <xf numFmtId="166" fontId="4" fillId="2" borderId="4" xfId="1" applyNumberFormat="1" applyFont="1" applyFill="1" applyBorder="1"/>
    <xf numFmtId="166" fontId="4" fillId="2" borderId="24" xfId="1" applyNumberFormat="1" applyFont="1" applyFill="1" applyBorder="1"/>
    <xf numFmtId="166" fontId="4" fillId="2" borderId="19" xfId="1" applyNumberFormat="1" applyFont="1" applyFill="1" applyBorder="1"/>
    <xf numFmtId="41" fontId="12" fillId="5" borderId="6" xfId="2" applyFont="1" applyFill="1" applyBorder="1" applyAlignment="1">
      <alignment horizontal="center"/>
    </xf>
    <xf numFmtId="176" fontId="4" fillId="0" borderId="6" xfId="1" applyNumberFormat="1" applyFont="1" applyFill="1" applyBorder="1"/>
    <xf numFmtId="166" fontId="6" fillId="0" borderId="6" xfId="1" applyNumberFormat="1" applyFont="1" applyFill="1" applyBorder="1" applyAlignment="1">
      <alignment horizontal="center"/>
    </xf>
    <xf numFmtId="166" fontId="6" fillId="2" borderId="6" xfId="1" applyNumberFormat="1" applyFont="1" applyFill="1" applyBorder="1" applyAlignment="1">
      <alignment horizontal="center"/>
    </xf>
    <xf numFmtId="166" fontId="6" fillId="0" borderId="23" xfId="1" applyNumberFormat="1" applyFont="1" applyFill="1" applyBorder="1" applyAlignment="1">
      <alignment horizontal="center"/>
    </xf>
    <xf numFmtId="166" fontId="6" fillId="0" borderId="18" xfId="1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41" fontId="12" fillId="5" borderId="4" xfId="2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66" fontId="4" fillId="4" borderId="4" xfId="1" applyNumberFormat="1" applyFont="1" applyFill="1" applyBorder="1" applyAlignment="1">
      <alignment horizontal="center" vertical="center"/>
    </xf>
    <xf numFmtId="166" fontId="4" fillId="4" borderId="24" xfId="1" applyNumberFormat="1" applyFont="1" applyFill="1" applyBorder="1" applyAlignment="1">
      <alignment horizontal="center" vertical="center"/>
    </xf>
    <xf numFmtId="166" fontId="4" fillId="4" borderId="19" xfId="1" applyNumberFormat="1" applyFont="1" applyFill="1" applyBorder="1" applyAlignment="1">
      <alignment horizontal="center" vertical="center"/>
    </xf>
    <xf numFmtId="166" fontId="4" fillId="4" borderId="3" xfId="0" applyNumberFormat="1" applyFont="1" applyFill="1" applyBorder="1" applyAlignment="1">
      <alignment vertical="center"/>
    </xf>
    <xf numFmtId="166" fontId="4" fillId="4" borderId="3" xfId="1" applyNumberFormat="1" applyFont="1" applyFill="1" applyBorder="1" applyAlignment="1">
      <alignment vertical="center"/>
    </xf>
    <xf numFmtId="0" fontId="6" fillId="3" borderId="37" xfId="0" quotePrefix="1" applyFont="1" applyFill="1" applyBorder="1"/>
    <xf numFmtId="0" fontId="4" fillId="3" borderId="6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5" xfId="0" quotePrefix="1" applyFont="1" applyFill="1" applyBorder="1"/>
    <xf numFmtId="0" fontId="4" fillId="2" borderId="8" xfId="0" quotePrefix="1" applyFont="1" applyFill="1" applyBorder="1"/>
    <xf numFmtId="43" fontId="4" fillId="0" borderId="3" xfId="1" applyFont="1" applyFill="1" applyBorder="1"/>
    <xf numFmtId="43" fontId="4" fillId="6" borderId="3" xfId="1" applyFont="1" applyFill="1" applyBorder="1"/>
    <xf numFmtId="43" fontId="4" fillId="4" borderId="3" xfId="1" applyFont="1" applyFill="1" applyBorder="1"/>
    <xf numFmtId="43" fontId="4" fillId="7" borderId="3" xfId="1" applyFont="1" applyFill="1" applyBorder="1"/>
    <xf numFmtId="0" fontId="4" fillId="0" borderId="1" xfId="0" applyFont="1" applyBorder="1" applyAlignment="1">
      <alignment horizontal="center"/>
    </xf>
    <xf numFmtId="0" fontId="6" fillId="3" borderId="37" xfId="0" applyFont="1" applyFill="1" applyBorder="1"/>
    <xf numFmtId="0" fontId="6" fillId="3" borderId="5" xfId="0" applyFont="1" applyFill="1" applyBorder="1"/>
    <xf numFmtId="166" fontId="4" fillId="0" borderId="3" xfId="1" applyNumberFormat="1" applyFont="1" applyBorder="1"/>
    <xf numFmtId="0" fontId="4" fillId="0" borderId="8" xfId="0" applyFont="1" applyBorder="1"/>
    <xf numFmtId="43" fontId="5" fillId="0" borderId="4" xfId="1" applyFont="1" applyFill="1" applyBorder="1"/>
    <xf numFmtId="0" fontId="4" fillId="0" borderId="38" xfId="0" quotePrefix="1" applyFont="1" applyBorder="1"/>
    <xf numFmtId="43" fontId="4" fillId="5" borderId="12" xfId="1" applyFont="1" applyFill="1" applyBorder="1" applyAlignment="1">
      <alignment horizontal="center"/>
    </xf>
    <xf numFmtId="0" fontId="6" fillId="0" borderId="12" xfId="0" quotePrefix="1" applyFont="1" applyBorder="1" applyAlignment="1">
      <alignment horizontal="center"/>
    </xf>
    <xf numFmtId="166" fontId="4" fillId="0" borderId="12" xfId="1" applyNumberFormat="1" applyFont="1" applyFill="1" applyBorder="1"/>
    <xf numFmtId="166" fontId="4" fillId="0" borderId="15" xfId="1" applyNumberFormat="1" applyFont="1" applyFill="1" applyBorder="1"/>
    <xf numFmtId="166" fontId="4" fillId="0" borderId="26" xfId="1" applyNumberFormat="1" applyFont="1" applyFill="1" applyBorder="1"/>
    <xf numFmtId="166" fontId="4" fillId="0" borderId="42" xfId="1" applyNumberFormat="1" applyFont="1" applyFill="1" applyBorder="1"/>
    <xf numFmtId="166" fontId="4" fillId="0" borderId="9" xfId="0" applyNumberFormat="1" applyFont="1" applyBorder="1"/>
    <xf numFmtId="0" fontId="4" fillId="0" borderId="39" xfId="0" applyFont="1" applyBorder="1"/>
    <xf numFmtId="0" fontId="4" fillId="5" borderId="11" xfId="0" applyFont="1" applyFill="1" applyBorder="1" applyAlignment="1">
      <alignment horizontal="center"/>
    </xf>
    <xf numFmtId="0" fontId="6" fillId="0" borderId="11" xfId="0" quotePrefix="1" applyFont="1" applyBorder="1" applyAlignment="1">
      <alignment horizontal="center"/>
    </xf>
    <xf numFmtId="43" fontId="4" fillId="0" borderId="11" xfId="1" applyFont="1" applyFill="1" applyBorder="1"/>
    <xf numFmtId="43" fontId="4" fillId="0" borderId="22" xfId="1" applyFont="1" applyFill="1" applyBorder="1"/>
    <xf numFmtId="1" fontId="4" fillId="0" borderId="0" xfId="0" applyNumberFormat="1" applyFont="1"/>
    <xf numFmtId="0" fontId="4" fillId="0" borderId="40" xfId="0" applyFont="1" applyBorder="1"/>
    <xf numFmtId="0" fontId="6" fillId="0" borderId="2" xfId="0" quotePrefix="1" applyFont="1" applyBorder="1" applyAlignment="1">
      <alignment horizontal="center"/>
    </xf>
    <xf numFmtId="175" fontId="4" fillId="0" borderId="4" xfId="1" applyNumberFormat="1" applyFont="1" applyFill="1" applyBorder="1"/>
    <xf numFmtId="175" fontId="4" fillId="0" borderId="19" xfId="1" applyNumberFormat="1" applyFont="1" applyFill="1" applyBorder="1"/>
    <xf numFmtId="175" fontId="4" fillId="0" borderId="3" xfId="1" applyNumberFormat="1" applyFont="1" applyBorder="1"/>
    <xf numFmtId="0" fontId="6" fillId="2" borderId="3" xfId="0" applyFont="1" applyFill="1" applyBorder="1" applyAlignment="1">
      <alignment horizontal="center"/>
    </xf>
    <xf numFmtId="174" fontId="4" fillId="5" borderId="4" xfId="1" applyNumberFormat="1" applyFont="1" applyFill="1" applyBorder="1" applyAlignment="1">
      <alignment horizontal="center"/>
    </xf>
    <xf numFmtId="2" fontId="4" fillId="2" borderId="0" xfId="0" applyNumberFormat="1" applyFont="1" applyFill="1"/>
    <xf numFmtId="164" fontId="4" fillId="2" borderId="3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40" xfId="0" quotePrefix="1" applyFont="1" applyFill="1" applyBorder="1"/>
    <xf numFmtId="0" fontId="6" fillId="2" borderId="2" xfId="0" quotePrefix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166" fontId="6" fillId="0" borderId="4" xfId="1" applyNumberFormat="1" applyFont="1" applyFill="1" applyBorder="1"/>
    <xf numFmtId="166" fontId="6" fillId="0" borderId="24" xfId="1" applyNumberFormat="1" applyFont="1" applyFill="1" applyBorder="1"/>
    <xf numFmtId="166" fontId="6" fillId="0" borderId="19" xfId="1" applyNumberFormat="1" applyFont="1" applyFill="1" applyBorder="1"/>
    <xf numFmtId="166" fontId="6" fillId="0" borderId="0" xfId="0" applyNumberFormat="1" applyFont="1"/>
    <xf numFmtId="164" fontId="6" fillId="0" borderId="3" xfId="0" applyNumberFormat="1" applyFont="1" applyBorder="1"/>
    <xf numFmtId="0" fontId="6" fillId="5" borderId="4" xfId="0" applyFont="1" applyFill="1" applyBorder="1" applyAlignment="1">
      <alignment horizontal="center"/>
    </xf>
    <xf numFmtId="165" fontId="4" fillId="2" borderId="4" xfId="2" applyNumberFormat="1" applyFont="1" applyFill="1" applyBorder="1"/>
    <xf numFmtId="165" fontId="4" fillId="0" borderId="4" xfId="2" applyNumberFormat="1" applyFont="1" applyBorder="1"/>
    <xf numFmtId="165" fontId="4" fillId="0" borderId="4" xfId="2" applyNumberFormat="1" applyFont="1" applyFill="1" applyBorder="1" applyAlignment="1">
      <alignment vertical="center"/>
    </xf>
    <xf numFmtId="0" fontId="6" fillId="0" borderId="0" xfId="0" applyFont="1"/>
    <xf numFmtId="165" fontId="4" fillId="0" borderId="4" xfId="1" applyNumberFormat="1" applyFont="1" applyFill="1" applyBorder="1"/>
    <xf numFmtId="165" fontId="4" fillId="0" borderId="19" xfId="1" applyNumberFormat="1" applyFont="1" applyFill="1" applyBorder="1"/>
    <xf numFmtId="0" fontId="4" fillId="0" borderId="8" xfId="0" quotePrefix="1" applyFont="1" applyBorder="1" applyAlignment="1">
      <alignment vertical="center"/>
    </xf>
    <xf numFmtId="166" fontId="4" fillId="0" borderId="4" xfId="1" applyNumberFormat="1" applyFont="1" applyFill="1" applyBorder="1" applyAlignment="1">
      <alignment wrapText="1"/>
    </xf>
    <xf numFmtId="166" fontId="4" fillId="0" borderId="8" xfId="1" applyNumberFormat="1" applyFont="1" applyFill="1" applyBorder="1" applyAlignment="1">
      <alignment wrapText="1"/>
    </xf>
    <xf numFmtId="166" fontId="4" fillId="0" borderId="27" xfId="1" applyNumberFormat="1" applyFont="1" applyFill="1" applyBorder="1" applyAlignment="1">
      <alignment wrapText="1"/>
    </xf>
    <xf numFmtId="167" fontId="4" fillId="0" borderId="4" xfId="1" applyNumberFormat="1" applyFont="1" applyFill="1" applyBorder="1"/>
    <xf numFmtId="166" fontId="6" fillId="0" borderId="3" xfId="0" applyNumberFormat="1" applyFont="1" applyBorder="1"/>
    <xf numFmtId="166" fontId="4" fillId="0" borderId="3" xfId="0" applyNumberFormat="1" applyFont="1" applyBorder="1" applyAlignment="1">
      <alignment vertical="center"/>
    </xf>
    <xf numFmtId="41" fontId="4" fillId="0" borderId="4" xfId="2" applyFont="1" applyFill="1" applyBorder="1"/>
    <xf numFmtId="41" fontId="4" fillId="0" borderId="19" xfId="2" applyFont="1" applyFill="1" applyBorder="1"/>
    <xf numFmtId="43" fontId="4" fillId="3" borderId="6" xfId="1" applyFont="1" applyFill="1" applyBorder="1" applyAlignment="1">
      <alignment horizontal="center"/>
    </xf>
    <xf numFmtId="43" fontId="4" fillId="3" borderId="6" xfId="1" applyFont="1" applyFill="1" applyBorder="1"/>
    <xf numFmtId="43" fontId="4" fillId="3" borderId="23" xfId="1" applyFont="1" applyFill="1" applyBorder="1"/>
    <xf numFmtId="43" fontId="4" fillId="3" borderId="18" xfId="1" applyFont="1" applyFill="1" applyBorder="1"/>
    <xf numFmtId="43" fontId="4" fillId="0" borderId="27" xfId="1" applyFont="1" applyFill="1" applyBorder="1"/>
    <xf numFmtId="166" fontId="4" fillId="3" borderId="5" xfId="0" applyNumberFormat="1" applyFont="1" applyFill="1" applyBorder="1"/>
    <xf numFmtId="43" fontId="6" fillId="3" borderId="6" xfId="1" applyFont="1" applyFill="1" applyBorder="1" applyAlignment="1">
      <alignment horizontal="center"/>
    </xf>
    <xf numFmtId="43" fontId="4" fillId="3" borderId="23" xfId="1" applyFont="1" applyFill="1" applyBorder="1" applyAlignment="1">
      <alignment horizontal="center"/>
    </xf>
    <xf numFmtId="43" fontId="4" fillId="3" borderId="18" xfId="1" applyFont="1" applyFill="1" applyBorder="1" applyAlignment="1">
      <alignment horizontal="center"/>
    </xf>
    <xf numFmtId="43" fontId="4" fillId="2" borderId="0" xfId="1" applyFont="1" applyFill="1" applyBorder="1" applyAlignment="1">
      <alignment horizontal="center"/>
    </xf>
    <xf numFmtId="166" fontId="4" fillId="0" borderId="7" xfId="0" applyNumberFormat="1" applyFont="1" applyBorder="1"/>
    <xf numFmtId="164" fontId="6" fillId="3" borderId="3" xfId="0" applyNumberFormat="1" applyFont="1" applyFill="1" applyBorder="1"/>
    <xf numFmtId="43" fontId="4" fillId="3" borderId="4" xfId="1" applyFont="1" applyFill="1" applyBorder="1" applyAlignment="1">
      <alignment horizontal="center"/>
    </xf>
    <xf numFmtId="166" fontId="4" fillId="3" borderId="4" xfId="1" applyNumberFormat="1" applyFont="1" applyFill="1" applyBorder="1"/>
    <xf numFmtId="166" fontId="4" fillId="3" borderId="24" xfId="1" applyNumberFormat="1" applyFont="1" applyFill="1" applyBorder="1"/>
    <xf numFmtId="166" fontId="4" fillId="3" borderId="19" xfId="1" applyNumberFormat="1" applyFont="1" applyFill="1" applyBorder="1"/>
    <xf numFmtId="166" fontId="4" fillId="0" borderId="3" xfId="1" applyNumberFormat="1" applyFont="1" applyFill="1" applyBorder="1"/>
    <xf numFmtId="43" fontId="4" fillId="4" borderId="6" xfId="1" applyFont="1" applyFill="1" applyBorder="1" applyAlignment="1">
      <alignment horizontal="center"/>
    </xf>
    <xf numFmtId="166" fontId="4" fillId="4" borderId="5" xfId="0" applyNumberFormat="1" applyFont="1" applyFill="1" applyBorder="1"/>
    <xf numFmtId="43" fontId="4" fillId="4" borderId="4" xfId="1" applyFont="1" applyFill="1" applyBorder="1" applyAlignment="1">
      <alignment horizontal="center"/>
    </xf>
    <xf numFmtId="43" fontId="4" fillId="4" borderId="2" xfId="1" applyFont="1" applyFill="1" applyBorder="1" applyAlignment="1">
      <alignment horizontal="center"/>
    </xf>
    <xf numFmtId="166" fontId="4" fillId="4" borderId="7" xfId="0" applyNumberFormat="1" applyFont="1" applyFill="1" applyBorder="1"/>
    <xf numFmtId="43" fontId="4" fillId="4" borderId="14" xfId="1" applyFont="1" applyFill="1" applyBorder="1" applyAlignment="1">
      <alignment horizontal="center"/>
    </xf>
    <xf numFmtId="41" fontId="6" fillId="4" borderId="7" xfId="2" applyFont="1" applyFill="1" applyBorder="1"/>
    <xf numFmtId="168" fontId="4" fillId="0" borderId="3" xfId="0" applyNumberFormat="1" applyFont="1" applyBorder="1"/>
    <xf numFmtId="173" fontId="4" fillId="5" borderId="4" xfId="1" applyNumberFormat="1" applyFont="1" applyFill="1" applyBorder="1" applyAlignment="1">
      <alignment horizontal="center"/>
    </xf>
    <xf numFmtId="168" fontId="6" fillId="0" borderId="3" xfId="0" applyNumberFormat="1" applyFont="1" applyBorder="1"/>
    <xf numFmtId="0" fontId="8" fillId="0" borderId="3" xfId="0" applyFont="1" applyBorder="1"/>
    <xf numFmtId="168" fontId="4" fillId="0" borderId="4" xfId="1" applyNumberFormat="1" applyFont="1" applyBorder="1"/>
    <xf numFmtId="168" fontId="4" fillId="0" borderId="8" xfId="1" applyNumberFormat="1" applyFont="1" applyFill="1" applyBorder="1"/>
    <xf numFmtId="170" fontId="4" fillId="0" borderId="3" xfId="0" applyNumberFormat="1" applyFont="1" applyBorder="1"/>
    <xf numFmtId="0" fontId="6" fillId="0" borderId="1" xfId="0" applyFont="1" applyBorder="1" applyAlignment="1">
      <alignment horizontal="center"/>
    </xf>
    <xf numFmtId="0" fontId="6" fillId="0" borderId="40" xfId="0" quotePrefix="1" applyFont="1" applyBorder="1"/>
    <xf numFmtId="43" fontId="6" fillId="5" borderId="2" xfId="1" applyFont="1" applyFill="1" applyBorder="1" applyAlignment="1">
      <alignment horizontal="center"/>
    </xf>
    <xf numFmtId="168" fontId="6" fillId="0" borderId="2" xfId="1" applyNumberFormat="1" applyFont="1" applyFill="1" applyBorder="1"/>
    <xf numFmtId="172" fontId="6" fillId="0" borderId="2" xfId="1" applyNumberFormat="1" applyFont="1" applyFill="1" applyBorder="1"/>
    <xf numFmtId="168" fontId="6" fillId="0" borderId="20" xfId="1" applyNumberFormat="1" applyFont="1" applyFill="1" applyBorder="1"/>
    <xf numFmtId="168" fontId="6" fillId="0" borderId="7" xfId="0" applyNumberFormat="1" applyFont="1" applyBorder="1"/>
    <xf numFmtId="0" fontId="6" fillId="3" borderId="8" xfId="0" quotePrefix="1" applyFont="1" applyFill="1" applyBorder="1"/>
    <xf numFmtId="0" fontId="6" fillId="3" borderId="4" xfId="0" applyFont="1" applyFill="1" applyBorder="1" applyAlignment="1">
      <alignment horizontal="center"/>
    </xf>
    <xf numFmtId="168" fontId="6" fillId="3" borderId="4" xfId="1" applyNumberFormat="1" applyFont="1" applyFill="1" applyBorder="1"/>
    <xf numFmtId="168" fontId="6" fillId="3" borderId="24" xfId="1" applyNumberFormat="1" applyFont="1" applyFill="1" applyBorder="1"/>
    <xf numFmtId="168" fontId="6" fillId="3" borderId="19" xfId="1" applyNumberFormat="1" applyFont="1" applyFill="1" applyBorder="1"/>
    <xf numFmtId="43" fontId="6" fillId="3" borderId="5" xfId="1" applyFont="1" applyFill="1" applyBorder="1"/>
    <xf numFmtId="167" fontId="8" fillId="0" borderId="3" xfId="0" applyNumberFormat="1" applyFont="1" applyBorder="1"/>
    <xf numFmtId="166" fontId="6" fillId="5" borderId="4" xfId="1" applyNumberFormat="1" applyFont="1" applyFill="1" applyBorder="1" applyAlignment="1">
      <alignment horizontal="center"/>
    </xf>
    <xf numFmtId="43" fontId="4" fillId="5" borderId="4" xfId="1" applyFont="1" applyFill="1" applyBorder="1" applyAlignment="1">
      <alignment horizontal="center" vertical="center"/>
    </xf>
    <xf numFmtId="43" fontId="6" fillId="0" borderId="3" xfId="1" applyFont="1" applyBorder="1" applyAlignment="1">
      <alignment vertical="center"/>
    </xf>
    <xf numFmtId="0" fontId="6" fillId="0" borderId="8" xfId="0" quotePrefix="1" applyFont="1" applyBorder="1" applyAlignment="1">
      <alignment vertical="center"/>
    </xf>
    <xf numFmtId="166" fontId="8" fillId="0" borderId="3" xfId="0" applyNumberFormat="1" applyFont="1" applyBorder="1" applyAlignment="1">
      <alignment vertical="center"/>
    </xf>
    <xf numFmtId="43" fontId="4" fillId="5" borderId="4" xfId="1" applyFont="1" applyFill="1" applyBorder="1" applyAlignment="1">
      <alignment vertical="center"/>
    </xf>
    <xf numFmtId="43" fontId="4" fillId="0" borderId="3" xfId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6" fontId="6" fillId="3" borderId="5" xfId="1" applyNumberFormat="1" applyFont="1" applyFill="1" applyBorder="1"/>
    <xf numFmtId="0" fontId="6" fillId="2" borderId="8" xfId="0" quotePrefix="1" applyFont="1" applyFill="1" applyBorder="1"/>
    <xf numFmtId="0" fontId="4" fillId="5" borderId="4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6" fillId="2" borderId="41" xfId="0" quotePrefix="1" applyFont="1" applyFill="1" applyBorder="1"/>
    <xf numFmtId="0" fontId="6" fillId="5" borderId="16" xfId="0" applyFont="1" applyFill="1" applyBorder="1" applyAlignment="1">
      <alignment horizontal="center"/>
    </xf>
    <xf numFmtId="0" fontId="6" fillId="2" borderId="16" xfId="0" quotePrefix="1" applyFont="1" applyFill="1" applyBorder="1" applyAlignment="1">
      <alignment horizontal="center"/>
    </xf>
    <xf numFmtId="166" fontId="6" fillId="0" borderId="1" xfId="0" applyNumberFormat="1" applyFont="1" applyBorder="1"/>
    <xf numFmtId="0" fontId="6" fillId="3" borderId="8" xfId="0" applyFont="1" applyFill="1" applyBorder="1"/>
    <xf numFmtId="0" fontId="4" fillId="3" borderId="4" xfId="0" applyFont="1" applyFill="1" applyBorder="1"/>
    <xf numFmtId="0" fontId="6" fillId="3" borderId="4" xfId="0" applyFont="1" applyFill="1" applyBorder="1"/>
    <xf numFmtId="0" fontId="11" fillId="3" borderId="3" xfId="0" applyFont="1" applyFill="1" applyBorder="1"/>
    <xf numFmtId="0" fontId="4" fillId="2" borderId="8" xfId="0" applyFont="1" applyFill="1" applyBorder="1"/>
    <xf numFmtId="166" fontId="4" fillId="0" borderId="4" xfId="1" applyNumberFormat="1" applyFont="1" applyBorder="1"/>
    <xf numFmtId="0" fontId="6" fillId="2" borderId="40" xfId="0" applyFont="1" applyFill="1" applyBorder="1"/>
    <xf numFmtId="0" fontId="6" fillId="5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66" fontId="6" fillId="0" borderId="2" xfId="1" applyNumberFormat="1" applyFont="1" applyBorder="1"/>
    <xf numFmtId="166" fontId="6" fillId="0" borderId="7" xfId="0" applyNumberFormat="1" applyFont="1" applyBorder="1"/>
    <xf numFmtId="0" fontId="4" fillId="3" borderId="6" xfId="0" applyFont="1" applyFill="1" applyBorder="1"/>
    <xf numFmtId="0" fontId="6" fillId="3" borderId="6" xfId="0" applyFont="1" applyFill="1" applyBorder="1"/>
    <xf numFmtId="0" fontId="3" fillId="0" borderId="3" xfId="0" applyFont="1" applyBorder="1" applyAlignment="1">
      <alignment horizontal="center"/>
    </xf>
    <xf numFmtId="0" fontId="2" fillId="0" borderId="8" xfId="0" applyFont="1" applyBorder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43" fontId="2" fillId="0" borderId="4" xfId="1" applyFont="1" applyFill="1" applyBorder="1"/>
    <xf numFmtId="43" fontId="2" fillId="0" borderId="3" xfId="1" applyFont="1" applyFill="1" applyBorder="1"/>
    <xf numFmtId="0" fontId="2" fillId="0" borderId="3" xfId="0" applyFont="1" applyBorder="1" applyAlignment="1">
      <alignment horizontal="center"/>
    </xf>
    <xf numFmtId="0" fontId="2" fillId="2" borderId="8" xfId="0" quotePrefix="1" applyFont="1" applyFill="1" applyBorder="1"/>
    <xf numFmtId="41" fontId="2" fillId="2" borderId="4" xfId="2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43" fontId="2" fillId="2" borderId="4" xfId="1" applyFont="1" applyFill="1" applyBorder="1"/>
    <xf numFmtId="0" fontId="14" fillId="2" borderId="0" xfId="0" applyFont="1" applyFill="1"/>
    <xf numFmtId="43" fontId="2" fillId="2" borderId="13" xfId="1" applyFont="1" applyFill="1" applyBorder="1"/>
    <xf numFmtId="43" fontId="5" fillId="0" borderId="4" xfId="1" applyFont="1" applyFill="1" applyBorder="1" applyAlignment="1">
      <alignment vertical="center"/>
    </xf>
    <xf numFmtId="168" fontId="5" fillId="0" borderId="4" xfId="1" applyNumberFormat="1" applyFont="1" applyFill="1" applyBorder="1"/>
    <xf numFmtId="166" fontId="15" fillId="0" borderId="16" xfId="1" applyNumberFormat="1" applyFont="1" applyFill="1" applyBorder="1"/>
    <xf numFmtId="43" fontId="15" fillId="0" borderId="4" xfId="1" applyFont="1" applyFill="1" applyBorder="1" applyAlignment="1">
      <alignment vertical="center"/>
    </xf>
    <xf numFmtId="0" fontId="16" fillId="2" borderId="0" xfId="0" applyFont="1" applyFill="1"/>
    <xf numFmtId="0" fontId="6" fillId="2" borderId="37" xfId="0" quotePrefix="1" applyFont="1" applyFill="1" applyBorder="1"/>
    <xf numFmtId="173" fontId="4" fillId="5" borderId="6" xfId="1" applyNumberFormat="1" applyFont="1" applyFill="1" applyBorder="1" applyAlignment="1">
      <alignment horizontal="center"/>
    </xf>
    <xf numFmtId="0" fontId="6" fillId="2" borderId="6" xfId="0" quotePrefix="1" applyFont="1" applyFill="1" applyBorder="1" applyAlignment="1">
      <alignment horizontal="center"/>
    </xf>
    <xf numFmtId="43" fontId="16" fillId="0" borderId="6" xfId="1" applyFont="1" applyFill="1" applyBorder="1"/>
    <xf numFmtId="43" fontId="16" fillId="0" borderId="18" xfId="1" applyFont="1" applyFill="1" applyBorder="1"/>
    <xf numFmtId="43" fontId="16" fillId="0" borderId="5" xfId="1" applyFont="1" applyFill="1" applyBorder="1"/>
    <xf numFmtId="41" fontId="16" fillId="2" borderId="0" xfId="2" applyFont="1" applyFill="1"/>
    <xf numFmtId="175" fontId="5" fillId="0" borderId="4" xfId="1" applyNumberFormat="1" applyFont="1" applyFill="1" applyBorder="1"/>
    <xf numFmtId="0" fontId="0" fillId="4" borderId="0" xfId="0" applyFill="1" applyAlignment="1">
      <alignment vertical="center"/>
    </xf>
    <xf numFmtId="0" fontId="2" fillId="4" borderId="0" xfId="0" applyFont="1" applyFill="1"/>
    <xf numFmtId="165" fontId="6" fillId="2" borderId="3" xfId="2" applyNumberFormat="1" applyFont="1" applyFill="1" applyBorder="1"/>
    <xf numFmtId="43" fontId="2" fillId="0" borderId="19" xfId="1" applyFont="1" applyFill="1" applyBorder="1"/>
    <xf numFmtId="43" fontId="5" fillId="0" borderId="24" xfId="1" applyFont="1" applyFill="1" applyBorder="1" applyAlignment="1">
      <alignment vertical="center"/>
    </xf>
    <xf numFmtId="166" fontId="5" fillId="0" borderId="24" xfId="1" applyNumberFormat="1" applyFont="1" applyFill="1" applyBorder="1"/>
    <xf numFmtId="168" fontId="2" fillId="0" borderId="4" xfId="1" applyNumberFormat="1" applyFont="1" applyBorder="1"/>
    <xf numFmtId="168" fontId="4" fillId="0" borderId="27" xfId="1" applyNumberFormat="1" applyFont="1" applyFill="1" applyBorder="1"/>
    <xf numFmtId="166" fontId="5" fillId="0" borderId="19" xfId="1" applyNumberFormat="1" applyFont="1" applyFill="1" applyBorder="1"/>
    <xf numFmtId="43" fontId="5" fillId="0" borderId="19" xfId="1" applyFont="1" applyFill="1" applyBorder="1" applyAlignment="1">
      <alignment vertical="center"/>
    </xf>
    <xf numFmtId="166" fontId="15" fillId="0" borderId="21" xfId="1" applyNumberFormat="1" applyFont="1" applyFill="1" applyBorder="1"/>
    <xf numFmtId="166" fontId="3" fillId="0" borderId="0" xfId="0" applyNumberFormat="1" applyFont="1"/>
    <xf numFmtId="0" fontId="7" fillId="0" borderId="0" xfId="0" applyFont="1" applyAlignment="1">
      <alignment horizontal="center"/>
    </xf>
    <xf numFmtId="0" fontId="9" fillId="8" borderId="29" xfId="0" applyFont="1" applyFill="1" applyBorder="1" applyAlignment="1">
      <alignment horizontal="center"/>
    </xf>
    <xf numFmtId="0" fontId="6" fillId="8" borderId="30" xfId="0" applyFont="1" applyFill="1" applyBorder="1" applyAlignment="1">
      <alignment horizontal="center"/>
    </xf>
    <xf numFmtId="0" fontId="6" fillId="8" borderId="31" xfId="0" applyFont="1" applyFill="1" applyBorder="1" applyAlignment="1">
      <alignment horizontal="center"/>
    </xf>
    <xf numFmtId="0" fontId="6" fillId="0" borderId="32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8" borderId="34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8" borderId="28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69" fontId="3" fillId="0" borderId="0" xfId="0" applyNumberFormat="1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VV273"/>
  <sheetViews>
    <sheetView tabSelected="1" topLeftCell="AI1" zoomScale="80" zoomScaleNormal="80" workbookViewId="0">
      <selection activeCell="AP18" sqref="AP18"/>
    </sheetView>
  </sheetViews>
  <sheetFormatPr defaultColWidth="9" defaultRowHeight="14.4" x14ac:dyDescent="0.3"/>
  <cols>
    <col min="1" max="1" width="6.44140625" style="1" customWidth="1"/>
    <col min="2" max="2" width="4.6640625" style="7" customWidth="1"/>
    <col min="3" max="3" width="36.88671875" style="1" customWidth="1"/>
    <col min="4" max="4" width="14.6640625" style="1" customWidth="1"/>
    <col min="5" max="5" width="8.109375" style="18" customWidth="1"/>
    <col min="6" max="6" width="13.5546875" style="1" customWidth="1"/>
    <col min="7" max="7" width="15.21875" style="1" customWidth="1"/>
    <col min="8" max="8" width="13.5546875" style="1" customWidth="1"/>
    <col min="9" max="11" width="14.5546875" style="1" customWidth="1"/>
    <col min="12" max="14" width="13.5546875" style="1" customWidth="1"/>
    <col min="15" max="15" width="15.109375" style="1" customWidth="1"/>
    <col min="16" max="17" width="13.5546875" style="1" customWidth="1"/>
    <col min="18" max="18" width="14.33203125" style="1" customWidth="1"/>
    <col min="19" max="19" width="14.5546875" style="1" customWidth="1"/>
    <col min="20" max="22" width="13.5546875" style="1" customWidth="1"/>
    <col min="23" max="23" width="15.6640625" style="1" customWidth="1"/>
    <col min="24" max="28" width="13.5546875" style="1" customWidth="1"/>
    <col min="29" max="29" width="13.109375" style="1" bestFit="1" customWidth="1"/>
    <col min="30" max="36" width="13.5546875" style="1" customWidth="1"/>
    <col min="37" max="37" width="9.44140625" style="1" customWidth="1"/>
    <col min="38" max="38" width="25.6640625" style="1" customWidth="1"/>
    <col min="39" max="69" width="8.109375" style="1" customWidth="1"/>
    <col min="70" max="71" width="7.5546875" style="1" customWidth="1"/>
    <col min="72" max="76" width="8.109375" style="1" customWidth="1"/>
    <col min="77" max="88" width="9" style="1"/>
    <col min="89" max="89" width="12.6640625" style="1" customWidth="1"/>
    <col min="90" max="90" width="12.109375" style="1" customWidth="1"/>
    <col min="91" max="91" width="9.109375" style="1" customWidth="1"/>
    <col min="92" max="92" width="9.88671875" style="1" customWidth="1"/>
    <col min="93" max="93" width="15.88671875" style="1" customWidth="1"/>
    <col min="94" max="94" width="12.88671875" style="1" customWidth="1"/>
    <col min="95" max="95" width="14.109375" style="1" customWidth="1"/>
    <col min="96" max="107" width="9" style="1"/>
    <col min="108" max="108" width="9.5546875" style="3" customWidth="1"/>
    <col min="109" max="109" width="12.44140625" style="1" customWidth="1"/>
    <col min="110" max="15073" width="9" style="1"/>
  </cols>
  <sheetData>
    <row r="1" spans="2:108" x14ac:dyDescent="0.3">
      <c r="B1" s="19"/>
    </row>
    <row r="2" spans="2:108" ht="17.399999999999999" x14ac:dyDescent="0.3">
      <c r="B2" s="354" t="s">
        <v>97</v>
      </c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4"/>
      <c r="W2" s="354"/>
      <c r="X2" s="354"/>
      <c r="Y2" s="354"/>
      <c r="Z2" s="354"/>
      <c r="AA2" s="354"/>
      <c r="AB2" s="354"/>
      <c r="AC2" s="354"/>
      <c r="AD2" s="354"/>
      <c r="AE2" s="354"/>
      <c r="AF2" s="354"/>
      <c r="AG2" s="354"/>
      <c r="AH2" s="354"/>
      <c r="AI2" s="354"/>
      <c r="AJ2" s="354"/>
      <c r="AK2" s="33"/>
    </row>
    <row r="3" spans="2:108" x14ac:dyDescent="0.3">
      <c r="B3" s="23"/>
    </row>
    <row r="4" spans="2:108" ht="15" thickBot="1" x14ac:dyDescent="0.35">
      <c r="C4" s="22"/>
      <c r="D4" s="4"/>
      <c r="Z4" s="8"/>
      <c r="AB4" s="8"/>
    </row>
    <row r="5" spans="2:108" ht="15" customHeight="1" x14ac:dyDescent="0.3">
      <c r="B5" s="360" t="s">
        <v>121</v>
      </c>
      <c r="C5" s="362" t="s">
        <v>122</v>
      </c>
      <c r="D5" s="364" t="s">
        <v>123</v>
      </c>
      <c r="E5" s="366" t="s">
        <v>124</v>
      </c>
      <c r="F5" s="355" t="s">
        <v>128</v>
      </c>
      <c r="G5" s="356"/>
      <c r="H5" s="356"/>
      <c r="I5" s="356"/>
      <c r="J5" s="356"/>
      <c r="K5" s="356"/>
      <c r="L5" s="356"/>
      <c r="M5" s="356"/>
      <c r="N5" s="356"/>
      <c r="O5" s="356"/>
      <c r="P5" s="356"/>
      <c r="Q5" s="356"/>
      <c r="R5" s="356"/>
      <c r="S5" s="356"/>
      <c r="T5" s="356"/>
      <c r="U5" s="356"/>
      <c r="V5" s="356"/>
      <c r="W5" s="356"/>
      <c r="X5" s="356"/>
      <c r="Y5" s="356"/>
      <c r="Z5" s="356"/>
      <c r="AA5" s="356"/>
      <c r="AB5" s="356"/>
      <c r="AC5" s="356"/>
      <c r="AD5" s="356"/>
      <c r="AE5" s="356"/>
      <c r="AF5" s="356"/>
      <c r="AG5" s="356"/>
      <c r="AH5" s="356"/>
      <c r="AI5" s="356"/>
      <c r="AJ5" s="357"/>
      <c r="AK5" s="16"/>
      <c r="AL5" s="358" t="s">
        <v>125</v>
      </c>
    </row>
    <row r="6" spans="2:108" x14ac:dyDescent="0.3">
      <c r="B6" s="361"/>
      <c r="C6" s="363"/>
      <c r="D6" s="365"/>
      <c r="E6" s="367"/>
      <c r="F6" s="111">
        <v>1</v>
      </c>
      <c r="G6" s="111">
        <v>2</v>
      </c>
      <c r="H6" s="111">
        <v>3</v>
      </c>
      <c r="I6" s="111">
        <v>4</v>
      </c>
      <c r="J6" s="111">
        <v>5</v>
      </c>
      <c r="K6" s="111">
        <v>6</v>
      </c>
      <c r="L6" s="111">
        <v>7</v>
      </c>
      <c r="M6" s="111">
        <v>8</v>
      </c>
      <c r="N6" s="111">
        <v>9</v>
      </c>
      <c r="O6" s="111">
        <v>10</v>
      </c>
      <c r="P6" s="111">
        <v>11</v>
      </c>
      <c r="Q6" s="111">
        <v>12</v>
      </c>
      <c r="R6" s="111">
        <v>13</v>
      </c>
      <c r="S6" s="111">
        <v>14</v>
      </c>
      <c r="T6" s="111">
        <v>15</v>
      </c>
      <c r="U6" s="111">
        <v>16</v>
      </c>
      <c r="V6" s="111">
        <v>17</v>
      </c>
      <c r="W6" s="111">
        <v>18</v>
      </c>
      <c r="X6" s="111">
        <v>19</v>
      </c>
      <c r="Y6" s="111">
        <v>20</v>
      </c>
      <c r="Z6" s="111">
        <v>21</v>
      </c>
      <c r="AA6" s="111">
        <v>22</v>
      </c>
      <c r="AB6" s="111">
        <v>23</v>
      </c>
      <c r="AC6" s="111">
        <v>24</v>
      </c>
      <c r="AD6" s="111">
        <v>25</v>
      </c>
      <c r="AE6" s="111">
        <v>26</v>
      </c>
      <c r="AF6" s="111">
        <v>27</v>
      </c>
      <c r="AG6" s="112">
        <v>28</v>
      </c>
      <c r="AH6" s="112">
        <v>29</v>
      </c>
      <c r="AI6" s="112">
        <v>30</v>
      </c>
      <c r="AJ6" s="113">
        <v>31</v>
      </c>
      <c r="AK6" s="16"/>
      <c r="AL6" s="359"/>
    </row>
    <row r="7" spans="2:108" x14ac:dyDescent="0.3">
      <c r="B7" s="114">
        <v>1</v>
      </c>
      <c r="C7" s="99" t="s">
        <v>96</v>
      </c>
      <c r="D7" s="115"/>
      <c r="E7" s="41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116"/>
      <c r="AD7" s="24"/>
      <c r="AE7" s="24"/>
      <c r="AF7" s="24"/>
      <c r="AG7" s="77"/>
      <c r="AH7" s="77"/>
      <c r="AI7" s="77"/>
      <c r="AJ7" s="85"/>
      <c r="AK7" s="117"/>
      <c r="AL7" s="118" t="s">
        <v>95</v>
      </c>
    </row>
    <row r="8" spans="2:108" x14ac:dyDescent="0.3">
      <c r="B8" s="97"/>
      <c r="C8" s="119" t="s">
        <v>18</v>
      </c>
      <c r="D8" s="120"/>
      <c r="E8" s="121"/>
      <c r="F8" s="122"/>
      <c r="G8" s="123"/>
      <c r="H8" s="122"/>
      <c r="I8" s="122"/>
      <c r="J8" s="124"/>
      <c r="K8" s="122"/>
      <c r="L8" s="122"/>
      <c r="M8" s="122"/>
      <c r="N8" s="122"/>
      <c r="O8" s="122"/>
      <c r="P8" s="122"/>
      <c r="Q8" s="122"/>
      <c r="R8" s="122"/>
      <c r="S8" s="122"/>
      <c r="T8" s="124"/>
      <c r="U8" s="125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6"/>
      <c r="AH8" s="126"/>
      <c r="AI8" s="126"/>
      <c r="AJ8" s="127"/>
      <c r="AK8" s="117"/>
      <c r="AL8" s="128" t="s">
        <v>18</v>
      </c>
    </row>
    <row r="9" spans="2:108" x14ac:dyDescent="0.3">
      <c r="B9" s="97"/>
      <c r="C9" s="102" t="s">
        <v>94</v>
      </c>
      <c r="D9" s="129"/>
      <c r="E9" s="130" t="s">
        <v>93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75">
        <v>1</v>
      </c>
      <c r="AH9" s="75">
        <v>1</v>
      </c>
      <c r="AI9" s="75">
        <v>1</v>
      </c>
      <c r="AJ9" s="44">
        <v>1</v>
      </c>
      <c r="AK9" s="117"/>
      <c r="AL9" s="131">
        <f>SUM(F9:AJ9)</f>
        <v>31</v>
      </c>
    </row>
    <row r="10" spans="2:108" x14ac:dyDescent="0.3">
      <c r="B10" s="317"/>
      <c r="C10" s="318" t="s">
        <v>130</v>
      </c>
      <c r="D10" s="319"/>
      <c r="E10" s="21" t="s">
        <v>29</v>
      </c>
      <c r="F10" s="320">
        <f>F11/2200/1000*100</f>
        <v>66.477681818181807</v>
      </c>
      <c r="G10" s="320">
        <f t="shared" ref="G10:AJ10" si="0">G11/2200/1000*100</f>
        <v>68.87436363636364</v>
      </c>
      <c r="H10" s="320">
        <f t="shared" si="0"/>
        <v>73.921318181818179</v>
      </c>
      <c r="I10" s="320">
        <f t="shared" si="0"/>
        <v>76.529818181818172</v>
      </c>
      <c r="J10" s="320">
        <f>J11/2200/1000*100</f>
        <v>81.649181818181816</v>
      </c>
      <c r="K10" s="320">
        <f t="shared" si="0"/>
        <v>84.194363636363647</v>
      </c>
      <c r="L10" s="320">
        <f t="shared" si="0"/>
        <v>76.558000000000007</v>
      </c>
      <c r="M10" s="320">
        <f t="shared" si="0"/>
        <v>57.347227272727274</v>
      </c>
      <c r="N10" s="320">
        <f t="shared" si="0"/>
        <v>52.024409090909096</v>
      </c>
      <c r="O10" s="320">
        <f t="shared" si="0"/>
        <v>71.38481818181819</v>
      </c>
      <c r="P10" s="320">
        <f t="shared" si="0"/>
        <v>70.667045454545445</v>
      </c>
      <c r="Q10" s="320">
        <f t="shared" si="0"/>
        <v>63.527045454545451</v>
      </c>
      <c r="R10" s="320">
        <f t="shared" si="0"/>
        <v>58.825545454545455</v>
      </c>
      <c r="S10" s="320">
        <f t="shared" si="0"/>
        <v>69.534954545454553</v>
      </c>
      <c r="T10" s="320">
        <f t="shared" si="0"/>
        <v>60.331727272727278</v>
      </c>
      <c r="U10" s="320">
        <f t="shared" si="0"/>
        <v>83.700363636363633</v>
      </c>
      <c r="V10" s="320">
        <f t="shared" si="0"/>
        <v>71.007090909090905</v>
      </c>
      <c r="W10" s="320">
        <f t="shared" si="0"/>
        <v>66.301818181818177</v>
      </c>
      <c r="X10" s="320">
        <f t="shared" si="0"/>
        <v>66.378454545454545</v>
      </c>
      <c r="Y10" s="320">
        <f t="shared" si="0"/>
        <v>77.827863636363631</v>
      </c>
      <c r="Z10" s="320">
        <f t="shared" si="0"/>
        <v>41.355045454545461</v>
      </c>
      <c r="AA10" s="320">
        <f t="shared" si="0"/>
        <v>72.802227272727265</v>
      </c>
      <c r="AB10" s="320">
        <f t="shared" si="0"/>
        <v>55.990363636363639</v>
      </c>
      <c r="AC10" s="320">
        <f t="shared" si="0"/>
        <v>49.045999999999999</v>
      </c>
      <c r="AD10" s="320">
        <f t="shared" si="0"/>
        <v>82.786727272727276</v>
      </c>
      <c r="AE10" s="320">
        <f t="shared" si="0"/>
        <v>76.224863636363636</v>
      </c>
      <c r="AF10" s="320">
        <f t="shared" si="0"/>
        <v>44.94081818181818</v>
      </c>
      <c r="AG10" s="320">
        <f t="shared" si="0"/>
        <v>60.333818181818188</v>
      </c>
      <c r="AH10" s="320">
        <f t="shared" si="0"/>
        <v>71.962454545454548</v>
      </c>
      <c r="AI10" s="320">
        <f t="shared" si="0"/>
        <v>80.182181818181817</v>
      </c>
      <c r="AJ10" s="345">
        <f t="shared" si="0"/>
        <v>81.111136363636362</v>
      </c>
      <c r="AK10" s="8"/>
      <c r="AL10" s="321">
        <f>AVERAGE(F10:AJ10)</f>
        <v>68.187055718475094</v>
      </c>
    </row>
    <row r="11" spans="2:108" s="1" customFormat="1" ht="13.8" x14ac:dyDescent="0.25">
      <c r="B11" s="97"/>
      <c r="C11" s="132" t="s">
        <v>113</v>
      </c>
      <c r="D11" s="133">
        <v>65100000</v>
      </c>
      <c r="E11" s="134" t="s">
        <v>16</v>
      </c>
      <c r="F11" s="135">
        <v>1462509</v>
      </c>
      <c r="G11" s="135">
        <v>1515236</v>
      </c>
      <c r="H11" s="135">
        <v>1626269</v>
      </c>
      <c r="I11" s="135">
        <v>1683656</v>
      </c>
      <c r="J11" s="135">
        <v>1796282</v>
      </c>
      <c r="K11" s="135">
        <v>1852276</v>
      </c>
      <c r="L11" s="135">
        <v>1684276</v>
      </c>
      <c r="M11" s="135">
        <v>1261639</v>
      </c>
      <c r="N11" s="135">
        <v>1144537</v>
      </c>
      <c r="O11" s="135">
        <v>1570466</v>
      </c>
      <c r="P11" s="135">
        <v>1554675</v>
      </c>
      <c r="Q11" s="135">
        <v>1397595</v>
      </c>
      <c r="R11" s="135">
        <v>1294162</v>
      </c>
      <c r="S11" s="135">
        <v>1529769</v>
      </c>
      <c r="T11" s="135">
        <v>1327298</v>
      </c>
      <c r="U11" s="135">
        <v>1841408</v>
      </c>
      <c r="V11" s="135">
        <v>1562156</v>
      </c>
      <c r="W11" s="135">
        <v>1458640</v>
      </c>
      <c r="X11" s="135">
        <v>1460326</v>
      </c>
      <c r="Y11" s="135">
        <v>1712213</v>
      </c>
      <c r="Z11" s="135">
        <v>909811</v>
      </c>
      <c r="AA11" s="135">
        <v>1601649</v>
      </c>
      <c r="AB11" s="135">
        <v>1231788</v>
      </c>
      <c r="AC11" s="135">
        <v>1079012</v>
      </c>
      <c r="AD11" s="135">
        <v>1821308</v>
      </c>
      <c r="AE11" s="135">
        <v>1676947</v>
      </c>
      <c r="AF11" s="135">
        <v>988698</v>
      </c>
      <c r="AG11" s="136">
        <v>1327344</v>
      </c>
      <c r="AH11" s="136">
        <v>1583174</v>
      </c>
      <c r="AI11" s="136">
        <v>1764008</v>
      </c>
      <c r="AJ11" s="137">
        <v>1784445</v>
      </c>
      <c r="AK11" s="16"/>
      <c r="AL11" s="138">
        <f>SUM(F11:AJ11)</f>
        <v>46503572</v>
      </c>
      <c r="BW11" s="95"/>
      <c r="DD11" s="13"/>
    </row>
    <row r="12" spans="2:108" s="1" customFormat="1" ht="13.8" x14ac:dyDescent="0.25">
      <c r="B12" s="97"/>
      <c r="C12" s="132" t="s">
        <v>114</v>
      </c>
      <c r="D12" s="133"/>
      <c r="E12" s="134" t="s">
        <v>16</v>
      </c>
      <c r="F12" s="135">
        <f t="shared" ref="F12:AI12" si="1">F11-F29-F34</f>
        <v>1462509</v>
      </c>
      <c r="G12" s="135">
        <f>G11-G29-G34</f>
        <v>831486.49333686021</v>
      </c>
      <c r="H12" s="135">
        <f t="shared" si="1"/>
        <v>1519240.3483388165</v>
      </c>
      <c r="I12" s="135">
        <f t="shared" si="1"/>
        <v>1683656</v>
      </c>
      <c r="J12" s="135">
        <f t="shared" si="1"/>
        <v>1796282</v>
      </c>
      <c r="K12" s="135">
        <f t="shared" si="1"/>
        <v>1852276</v>
      </c>
      <c r="L12" s="135">
        <f t="shared" si="1"/>
        <v>1684276</v>
      </c>
      <c r="M12" s="135">
        <f t="shared" si="1"/>
        <v>1261639</v>
      </c>
      <c r="N12" s="135">
        <f t="shared" si="1"/>
        <v>1144537</v>
      </c>
      <c r="O12" s="135">
        <f t="shared" si="1"/>
        <v>1570466</v>
      </c>
      <c r="P12" s="135">
        <f t="shared" si="1"/>
        <v>1554675</v>
      </c>
      <c r="Q12" s="135">
        <f>Q11-Q31-Q34</f>
        <v>1397595</v>
      </c>
      <c r="R12" s="135">
        <f t="shared" si="1"/>
        <v>1171666.9538748905</v>
      </c>
      <c r="S12" s="135">
        <f>S11-S29-S34</f>
        <v>1041552.7985431799</v>
      </c>
      <c r="T12" s="135">
        <f>T11-T29-T34</f>
        <v>1327298</v>
      </c>
      <c r="U12" s="135">
        <f>U11-U29-U34</f>
        <v>1841408</v>
      </c>
      <c r="V12" s="135">
        <f>V11-V29-V34</f>
        <v>1562156</v>
      </c>
      <c r="W12" s="135">
        <f t="shared" si="1"/>
        <v>932972.16877432214</v>
      </c>
      <c r="X12" s="135">
        <f t="shared" si="1"/>
        <v>1126414.3766157739</v>
      </c>
      <c r="Y12" s="135">
        <f t="shared" si="1"/>
        <v>1451307.8347714934</v>
      </c>
      <c r="Z12" s="135">
        <f t="shared" si="1"/>
        <v>889691.45185224293</v>
      </c>
      <c r="AA12" s="135">
        <f t="shared" si="1"/>
        <v>1601649</v>
      </c>
      <c r="AB12" s="135">
        <f t="shared" si="1"/>
        <v>1231788</v>
      </c>
      <c r="AC12" s="135">
        <f t="shared" si="1"/>
        <v>1079012</v>
      </c>
      <c r="AD12" s="135">
        <f t="shared" si="1"/>
        <v>1821308</v>
      </c>
      <c r="AE12" s="135">
        <f t="shared" si="1"/>
        <v>1676947</v>
      </c>
      <c r="AF12" s="135">
        <f t="shared" si="1"/>
        <v>988698</v>
      </c>
      <c r="AG12" s="135">
        <f t="shared" si="1"/>
        <v>1157162.4240963818</v>
      </c>
      <c r="AH12" s="135">
        <f t="shared" si="1"/>
        <v>460170.40862564975</v>
      </c>
      <c r="AI12" s="135">
        <f t="shared" si="1"/>
        <v>1579697.4200499726</v>
      </c>
      <c r="AJ12" s="137">
        <f>AJ11-AJ29-AJ34</f>
        <v>1784445</v>
      </c>
      <c r="AK12" s="16"/>
      <c r="AL12" s="139">
        <f>SUM(F12:AJ12)</f>
        <v>42483982.678879589</v>
      </c>
      <c r="DD12" s="13"/>
    </row>
    <row r="13" spans="2:108" s="1" customFormat="1" ht="13.8" x14ac:dyDescent="0.25">
      <c r="B13" s="97"/>
      <c r="C13" s="132" t="s">
        <v>115</v>
      </c>
      <c r="D13" s="133"/>
      <c r="E13" s="134" t="s">
        <v>16</v>
      </c>
      <c r="F13" s="135">
        <f>F29+F34</f>
        <v>0</v>
      </c>
      <c r="G13" s="135">
        <f>G29+G34</f>
        <v>683749.50666313979</v>
      </c>
      <c r="H13" s="135">
        <f t="shared" ref="H13:Y13" si="2">H29+H34</f>
        <v>107028.65166118344</v>
      </c>
      <c r="I13" s="135">
        <f t="shared" si="2"/>
        <v>0</v>
      </c>
      <c r="J13" s="135">
        <f t="shared" si="2"/>
        <v>0</v>
      </c>
      <c r="K13" s="135">
        <f t="shared" si="2"/>
        <v>0</v>
      </c>
      <c r="L13" s="135">
        <f t="shared" si="2"/>
        <v>0</v>
      </c>
      <c r="M13" s="135">
        <f t="shared" si="2"/>
        <v>0</v>
      </c>
      <c r="N13" s="135">
        <f t="shared" si="2"/>
        <v>0</v>
      </c>
      <c r="O13" s="135">
        <f>O29+O34</f>
        <v>0</v>
      </c>
      <c r="P13" s="135">
        <f t="shared" si="2"/>
        <v>0</v>
      </c>
      <c r="Q13" s="135">
        <f>Q31+Q34</f>
        <v>0</v>
      </c>
      <c r="R13" s="135">
        <f t="shared" si="2"/>
        <v>122495.04612510945</v>
      </c>
      <c r="S13" s="135">
        <f t="shared" si="2"/>
        <v>488216.20145682007</v>
      </c>
      <c r="T13" s="135">
        <f>T29+T34</f>
        <v>0</v>
      </c>
      <c r="U13" s="135">
        <f>U29+U34</f>
        <v>0</v>
      </c>
      <c r="V13" s="135">
        <f>V29+V34</f>
        <v>0</v>
      </c>
      <c r="W13" s="135">
        <f>W29+W34</f>
        <v>525667.83122567774</v>
      </c>
      <c r="X13" s="135">
        <f t="shared" si="2"/>
        <v>333911.62338422611</v>
      </c>
      <c r="Y13" s="135">
        <f t="shared" si="2"/>
        <v>260905.16522850655</v>
      </c>
      <c r="Z13" s="135">
        <f>Z29+Z34</f>
        <v>20119.548147757097</v>
      </c>
      <c r="AA13" s="135">
        <f>AA29+AA34</f>
        <v>0</v>
      </c>
      <c r="AB13" s="135">
        <f t="shared" ref="AB13:AI13" si="3">AB29+AB34</f>
        <v>0</v>
      </c>
      <c r="AC13" s="135">
        <f t="shared" si="3"/>
        <v>0</v>
      </c>
      <c r="AD13" s="135">
        <f t="shared" si="3"/>
        <v>0</v>
      </c>
      <c r="AE13" s="135">
        <f t="shared" si="3"/>
        <v>0</v>
      </c>
      <c r="AF13" s="135">
        <f t="shared" si="3"/>
        <v>0</v>
      </c>
      <c r="AG13" s="135">
        <f t="shared" si="3"/>
        <v>170181.57590361824</v>
      </c>
      <c r="AH13" s="135">
        <f t="shared" si="3"/>
        <v>1123003.5913743502</v>
      </c>
      <c r="AI13" s="135">
        <f t="shared" si="3"/>
        <v>184310.57995002726</v>
      </c>
      <c r="AJ13" s="137">
        <f>AJ29+AJ34</f>
        <v>0</v>
      </c>
      <c r="AK13" s="16"/>
      <c r="AL13" s="139">
        <f>SUM(F13:AJ13)</f>
        <v>4019589.3211204158</v>
      </c>
      <c r="DD13" s="13"/>
    </row>
    <row r="14" spans="2:108" s="16" customFormat="1" ht="13.8" x14ac:dyDescent="0.25">
      <c r="B14" s="97"/>
      <c r="C14" s="98" t="s">
        <v>92</v>
      </c>
      <c r="D14" s="34">
        <v>5</v>
      </c>
      <c r="E14" s="21" t="s">
        <v>29</v>
      </c>
      <c r="F14" s="20">
        <v>4.55</v>
      </c>
      <c r="G14" s="20">
        <v>4.16</v>
      </c>
      <c r="H14" s="20">
        <v>4.1900000000000004</v>
      </c>
      <c r="I14" s="20">
        <v>4.2</v>
      </c>
      <c r="J14" s="20">
        <v>4.8499999999999996</v>
      </c>
      <c r="K14" s="16">
        <v>4.59</v>
      </c>
      <c r="L14" s="20">
        <v>4.7300000000000004</v>
      </c>
      <c r="M14" s="20">
        <v>4.88</v>
      </c>
      <c r="N14" s="20">
        <v>5</v>
      </c>
      <c r="O14" s="20">
        <v>4.78</v>
      </c>
      <c r="P14" s="20">
        <v>4.4800000000000004</v>
      </c>
      <c r="Q14" s="20">
        <v>4.5199999999999996</v>
      </c>
      <c r="R14" s="20">
        <v>4.26</v>
      </c>
      <c r="S14" s="83">
        <v>4.5199999999999996</v>
      </c>
      <c r="T14" s="20">
        <v>4.4000000000000004</v>
      </c>
      <c r="U14" s="20">
        <v>4.25</v>
      </c>
      <c r="V14" s="20">
        <v>4.24</v>
      </c>
      <c r="W14" s="20">
        <v>4.2300000000000004</v>
      </c>
      <c r="X14" s="20">
        <v>4.2300000000000004</v>
      </c>
      <c r="Y14" s="20">
        <v>4.6500000000000004</v>
      </c>
      <c r="Z14" s="20">
        <v>4.09</v>
      </c>
      <c r="AA14" s="20">
        <v>4.03</v>
      </c>
      <c r="AB14" s="20">
        <v>4.1100000000000003</v>
      </c>
      <c r="AC14" s="20">
        <v>4.18</v>
      </c>
      <c r="AD14" s="20">
        <v>4.0199999999999996</v>
      </c>
      <c r="AE14" s="20">
        <v>4.3600000000000003</v>
      </c>
      <c r="AF14" s="20">
        <v>4.62</v>
      </c>
      <c r="AG14" s="140">
        <v>3.82</v>
      </c>
      <c r="AH14" s="140">
        <v>3.84</v>
      </c>
      <c r="AI14" s="140">
        <v>4.76</v>
      </c>
      <c r="AJ14" s="141">
        <v>4.21</v>
      </c>
      <c r="AL14" s="142">
        <f>AVERAGE(F14:AJ14)</f>
        <v>4.3790322580645169</v>
      </c>
      <c r="DD14" s="37"/>
    </row>
    <row r="15" spans="2:108" s="1" customFormat="1" ht="13.8" x14ac:dyDescent="0.25">
      <c r="B15" s="97"/>
      <c r="C15" s="98" t="s">
        <v>91</v>
      </c>
      <c r="D15" s="34">
        <v>0.5</v>
      </c>
      <c r="E15" s="21" t="s">
        <v>29</v>
      </c>
      <c r="F15" s="20">
        <v>0.43</v>
      </c>
      <c r="G15" s="20">
        <v>0.41</v>
      </c>
      <c r="H15" s="20">
        <v>0.42</v>
      </c>
      <c r="I15" s="20">
        <v>0.41</v>
      </c>
      <c r="J15" s="20">
        <v>0.44</v>
      </c>
      <c r="K15" s="83">
        <v>0.44</v>
      </c>
      <c r="L15" s="20">
        <v>0.43</v>
      </c>
      <c r="M15" s="20">
        <v>0.42</v>
      </c>
      <c r="N15" s="20">
        <v>0.42</v>
      </c>
      <c r="O15" s="20">
        <v>0.41</v>
      </c>
      <c r="P15" s="20">
        <v>0.43</v>
      </c>
      <c r="Q15" s="20">
        <v>0.39</v>
      </c>
      <c r="R15" s="20">
        <v>0.41</v>
      </c>
      <c r="S15" s="83">
        <v>0.4</v>
      </c>
      <c r="T15" s="20">
        <v>0.41</v>
      </c>
      <c r="U15" s="20">
        <v>0.41</v>
      </c>
      <c r="V15" s="20">
        <v>0.41</v>
      </c>
      <c r="W15" s="20">
        <v>0.41</v>
      </c>
      <c r="X15" s="20">
        <v>0.43</v>
      </c>
      <c r="Y15" s="20">
        <v>0.4</v>
      </c>
      <c r="Z15" s="20">
        <v>0.4</v>
      </c>
      <c r="AA15" s="20">
        <v>0.4</v>
      </c>
      <c r="AB15" s="20">
        <v>0.4</v>
      </c>
      <c r="AC15" s="20">
        <v>0.41</v>
      </c>
      <c r="AD15" s="20">
        <v>0.4</v>
      </c>
      <c r="AE15" s="20">
        <v>0.45</v>
      </c>
      <c r="AF15" s="20">
        <v>0.48</v>
      </c>
      <c r="AG15" s="140">
        <v>0.38</v>
      </c>
      <c r="AH15" s="140">
        <v>0.39</v>
      </c>
      <c r="AI15" s="140">
        <v>0.46</v>
      </c>
      <c r="AJ15" s="141">
        <v>0.44</v>
      </c>
      <c r="AK15" s="16"/>
      <c r="AL15" s="142">
        <f>AVERAGE(F15:AJ15)</f>
        <v>0.41741935483870979</v>
      </c>
      <c r="BW15" s="95"/>
      <c r="DD15" s="13"/>
    </row>
    <row r="16" spans="2:108" s="1" customFormat="1" ht="13.8" x14ac:dyDescent="0.25">
      <c r="B16" s="97"/>
      <c r="C16" s="98" t="s">
        <v>90</v>
      </c>
      <c r="D16" s="143" t="s">
        <v>89</v>
      </c>
      <c r="E16" s="21" t="s">
        <v>29</v>
      </c>
      <c r="F16" s="20">
        <v>2.21</v>
      </c>
      <c r="G16" s="20">
        <v>2.21</v>
      </c>
      <c r="H16" s="20">
        <v>2.21</v>
      </c>
      <c r="I16" s="20">
        <v>2.21</v>
      </c>
      <c r="J16" s="20">
        <v>2.2000000000000002</v>
      </c>
      <c r="K16" s="16">
        <v>2.21</v>
      </c>
      <c r="L16" s="20">
        <v>2.21</v>
      </c>
      <c r="M16" s="20">
        <v>2.21</v>
      </c>
      <c r="N16" s="20">
        <v>2.2000000000000002</v>
      </c>
      <c r="O16" s="20">
        <v>2.2000000000000002</v>
      </c>
      <c r="P16" s="20">
        <v>2.2000000000000002</v>
      </c>
      <c r="Q16" s="20">
        <v>2.21</v>
      </c>
      <c r="R16" s="20">
        <v>2.2200000000000002</v>
      </c>
      <c r="S16" s="16">
        <v>2.21</v>
      </c>
      <c r="T16" s="20">
        <v>2.21</v>
      </c>
      <c r="U16" s="20">
        <v>2.21</v>
      </c>
      <c r="V16" s="20">
        <v>2.21</v>
      </c>
      <c r="W16" s="20">
        <v>2.21</v>
      </c>
      <c r="X16" s="20">
        <v>2.21</v>
      </c>
      <c r="Y16" s="20">
        <v>2.21</v>
      </c>
      <c r="Z16" s="20">
        <v>2.21</v>
      </c>
      <c r="AA16" s="20">
        <v>2.21</v>
      </c>
      <c r="AB16" s="20">
        <v>2.21</v>
      </c>
      <c r="AC16" s="20">
        <v>2.21</v>
      </c>
      <c r="AD16" s="20">
        <v>2.21</v>
      </c>
      <c r="AE16" s="20">
        <v>2.21</v>
      </c>
      <c r="AF16" s="20">
        <v>2.21</v>
      </c>
      <c r="AG16" s="140">
        <v>2.2200000000000002</v>
      </c>
      <c r="AH16" s="140">
        <v>2.2200000000000002</v>
      </c>
      <c r="AI16" s="140">
        <v>2.21</v>
      </c>
      <c r="AJ16" s="141">
        <v>2.21</v>
      </c>
      <c r="AK16" s="16"/>
      <c r="AL16" s="142">
        <f>AVERAGE(F16:AJ16)</f>
        <v>2.2096774193548385</v>
      </c>
      <c r="DD16" s="13"/>
    </row>
    <row r="17" spans="1:15121" s="1" customFormat="1" x14ac:dyDescent="0.3">
      <c r="B17" s="97"/>
      <c r="C17" s="144" t="s">
        <v>88</v>
      </c>
      <c r="D17" s="145"/>
      <c r="E17" s="14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75"/>
      <c r="AH17" s="75"/>
      <c r="AI17" s="75"/>
      <c r="AJ17" s="44"/>
      <c r="AK17" s="147"/>
      <c r="AL17" s="148" t="s">
        <v>88</v>
      </c>
      <c r="DD17" s="13"/>
    </row>
    <row r="18" spans="1:15121" s="1" customFormat="1" x14ac:dyDescent="0.3">
      <c r="B18" s="149"/>
      <c r="C18" s="150" t="s">
        <v>87</v>
      </c>
      <c r="D18" s="133">
        <f>D41%*D11</f>
        <v>61324200.000000007</v>
      </c>
      <c r="E18" s="48" t="s">
        <v>16</v>
      </c>
      <c r="F18" s="135">
        <v>1380812</v>
      </c>
      <c r="G18" s="135">
        <v>1436560</v>
      </c>
      <c r="H18" s="135">
        <v>1545013</v>
      </c>
      <c r="I18" s="135">
        <v>1602049</v>
      </c>
      <c r="J18" s="135">
        <v>1692408</v>
      </c>
      <c r="K18" s="135">
        <v>1745141</v>
      </c>
      <c r="L18" s="135">
        <v>1586905</v>
      </c>
      <c r="M18" s="135">
        <v>1177846</v>
      </c>
      <c r="N18" s="135">
        <v>1068563</v>
      </c>
      <c r="O18" s="135">
        <v>1479926</v>
      </c>
      <c r="P18" s="135">
        <v>1465899</v>
      </c>
      <c r="Q18" s="135">
        <v>1304281</v>
      </c>
      <c r="R18" s="135">
        <v>1232409</v>
      </c>
      <c r="S18" s="135">
        <v>1457970</v>
      </c>
      <c r="T18" s="135">
        <v>1260678</v>
      </c>
      <c r="U18" s="135">
        <v>1755569</v>
      </c>
      <c r="V18" s="135">
        <v>1498145</v>
      </c>
      <c r="W18" s="135">
        <v>1391989</v>
      </c>
      <c r="X18" s="135">
        <v>1378519</v>
      </c>
      <c r="Y18" s="135">
        <v>1624877</v>
      </c>
      <c r="Z18" s="135">
        <v>871349</v>
      </c>
      <c r="AA18" s="135">
        <v>1526988</v>
      </c>
      <c r="AB18" s="135">
        <v>1174100</v>
      </c>
      <c r="AC18" s="135">
        <v>1019727</v>
      </c>
      <c r="AD18" s="135">
        <v>1737891</v>
      </c>
      <c r="AE18" s="135">
        <v>1598176</v>
      </c>
      <c r="AF18" s="135">
        <v>932120</v>
      </c>
      <c r="AG18" s="136">
        <v>1263227</v>
      </c>
      <c r="AH18" s="136">
        <v>1512744</v>
      </c>
      <c r="AI18" s="136">
        <v>1658905</v>
      </c>
      <c r="AJ18" s="137">
        <v>1692441</v>
      </c>
      <c r="AK18" s="16"/>
      <c r="AL18" s="138">
        <f>SUM(F18:AJ18)</f>
        <v>44073227</v>
      </c>
      <c r="AR18" s="8"/>
      <c r="DD18" s="3"/>
      <c r="VGW18"/>
      <c r="VGX18"/>
      <c r="VGY18"/>
      <c r="VGZ18"/>
      <c r="VHA18"/>
      <c r="VHB18"/>
      <c r="VHC18"/>
      <c r="VHD18"/>
      <c r="VHE18"/>
      <c r="VHF18"/>
      <c r="VHG18"/>
      <c r="VHH18"/>
      <c r="VHI18"/>
      <c r="VHJ18"/>
      <c r="VHK18"/>
      <c r="VHL18"/>
      <c r="VHM18"/>
      <c r="VHN18"/>
      <c r="VHO18"/>
      <c r="VHP18"/>
      <c r="VHQ18"/>
      <c r="VHR18"/>
      <c r="VHS18"/>
      <c r="VHT18"/>
      <c r="VHU18"/>
      <c r="VHV18"/>
      <c r="VHW18"/>
      <c r="VHX18"/>
      <c r="VHY18"/>
      <c r="VHZ18"/>
      <c r="VIA18"/>
      <c r="VIB18"/>
      <c r="VIC18"/>
      <c r="VID18"/>
      <c r="VIE18"/>
      <c r="VIF18"/>
      <c r="VIG18"/>
      <c r="VIH18"/>
      <c r="VII18"/>
      <c r="VIJ18"/>
      <c r="VIK18"/>
      <c r="VIL18"/>
      <c r="VIM18"/>
      <c r="VIN18"/>
      <c r="VIO18"/>
    </row>
    <row r="19" spans="1:15121" s="1" customFormat="1" x14ac:dyDescent="0.3">
      <c r="B19" s="149"/>
      <c r="C19" s="150" t="s">
        <v>73</v>
      </c>
      <c r="D19" s="133">
        <f>D42%*D11</f>
        <v>3255000</v>
      </c>
      <c r="E19" s="48" t="s">
        <v>16</v>
      </c>
      <c r="F19" s="135">
        <v>71270</v>
      </c>
      <c r="G19" s="135">
        <v>66770</v>
      </c>
      <c r="H19" s="135">
        <v>69186</v>
      </c>
      <c r="I19" s="135">
        <v>68487</v>
      </c>
      <c r="J19" s="135">
        <v>92505</v>
      </c>
      <c r="K19" s="135">
        <v>95483</v>
      </c>
      <c r="L19" s="135">
        <v>87230</v>
      </c>
      <c r="M19" s="135">
        <v>75605</v>
      </c>
      <c r="N19" s="135">
        <v>67662</v>
      </c>
      <c r="O19" s="135">
        <v>81157</v>
      </c>
      <c r="P19" s="135">
        <v>79338</v>
      </c>
      <c r="Q19" s="135">
        <v>82591</v>
      </c>
      <c r="R19" s="135">
        <v>52380</v>
      </c>
      <c r="S19" s="135">
        <v>60181</v>
      </c>
      <c r="T19" s="135">
        <v>57306</v>
      </c>
      <c r="U19" s="135">
        <v>72179</v>
      </c>
      <c r="V19" s="135">
        <v>52408</v>
      </c>
      <c r="W19" s="135">
        <v>55384</v>
      </c>
      <c r="X19" s="135">
        <v>72261</v>
      </c>
      <c r="Y19" s="135">
        <v>74802</v>
      </c>
      <c r="Z19" s="135">
        <v>32219</v>
      </c>
      <c r="AA19" s="135">
        <v>61971</v>
      </c>
      <c r="AB19" s="135">
        <v>48232</v>
      </c>
      <c r="AC19" s="135">
        <v>51598</v>
      </c>
      <c r="AD19" s="135">
        <v>69912</v>
      </c>
      <c r="AE19" s="135">
        <v>65817</v>
      </c>
      <c r="AF19" s="135">
        <v>49225</v>
      </c>
      <c r="AG19" s="136">
        <v>54039</v>
      </c>
      <c r="AH19" s="136">
        <v>58426</v>
      </c>
      <c r="AI19" s="136">
        <v>93720</v>
      </c>
      <c r="AJ19" s="137">
        <v>79626</v>
      </c>
      <c r="AK19" s="16"/>
      <c r="AL19" s="138">
        <f>SUM(F19:AJ19)</f>
        <v>2098970</v>
      </c>
      <c r="DD19" s="3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</row>
    <row r="20" spans="1:15121" x14ac:dyDescent="0.3">
      <c r="B20" s="149"/>
      <c r="C20" s="151" t="s">
        <v>86</v>
      </c>
      <c r="D20" s="152"/>
      <c r="E20" s="153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6"/>
      <c r="AH20" s="126"/>
      <c r="AI20" s="126"/>
      <c r="AJ20" s="127"/>
      <c r="AK20" s="16"/>
      <c r="AL20" s="154" t="s">
        <v>72</v>
      </c>
    </row>
    <row r="21" spans="1:15121" s="1" customFormat="1" ht="13.8" x14ac:dyDescent="0.25">
      <c r="B21" s="149"/>
      <c r="C21" s="150" t="s">
        <v>85</v>
      </c>
      <c r="D21" s="155">
        <f>SUM(D22:D23)</f>
        <v>27546000</v>
      </c>
      <c r="E21" s="48" t="s">
        <v>16</v>
      </c>
      <c r="F21" s="135">
        <f>F22+F23</f>
        <v>1388558</v>
      </c>
      <c r="G21" s="135">
        <f t="shared" ref="G21:AJ21" si="4">G22+G23</f>
        <v>16620</v>
      </c>
      <c r="H21" s="135">
        <f t="shared" si="4"/>
        <v>1521830</v>
      </c>
      <c r="I21" s="135">
        <f t="shared" si="4"/>
        <v>1845304</v>
      </c>
      <c r="J21" s="135">
        <f t="shared" si="4"/>
        <v>1904909</v>
      </c>
      <c r="K21" s="135">
        <f t="shared" si="4"/>
        <v>756114</v>
      </c>
      <c r="L21" s="135">
        <f t="shared" si="4"/>
        <v>0</v>
      </c>
      <c r="M21" s="135">
        <f t="shared" si="4"/>
        <v>1210383</v>
      </c>
      <c r="N21" s="135">
        <f t="shared" si="4"/>
        <v>1578022</v>
      </c>
      <c r="O21" s="135">
        <f t="shared" si="4"/>
        <v>1354560</v>
      </c>
      <c r="P21" s="135">
        <f t="shared" si="4"/>
        <v>1456506</v>
      </c>
      <c r="Q21" s="135">
        <f t="shared" si="4"/>
        <v>541389</v>
      </c>
      <c r="R21" s="135">
        <f t="shared" si="4"/>
        <v>33957</v>
      </c>
      <c r="S21" s="135">
        <f t="shared" si="4"/>
        <v>0</v>
      </c>
      <c r="T21" s="135">
        <f t="shared" si="4"/>
        <v>0</v>
      </c>
      <c r="U21" s="135">
        <f t="shared" si="4"/>
        <v>1725082</v>
      </c>
      <c r="V21" s="135">
        <f t="shared" si="4"/>
        <v>1413177</v>
      </c>
      <c r="W21" s="135">
        <f t="shared" si="4"/>
        <v>0</v>
      </c>
      <c r="X21" s="135">
        <f t="shared" si="4"/>
        <v>801335</v>
      </c>
      <c r="Y21" s="135">
        <f t="shared" si="4"/>
        <v>912557</v>
      </c>
      <c r="Z21" s="135">
        <f t="shared" si="4"/>
        <v>0</v>
      </c>
      <c r="AA21" s="135">
        <f t="shared" si="4"/>
        <v>0</v>
      </c>
      <c r="AB21" s="135">
        <f t="shared" si="4"/>
        <v>0</v>
      </c>
      <c r="AC21" s="135">
        <f t="shared" si="4"/>
        <v>731666</v>
      </c>
      <c r="AD21" s="135">
        <f t="shared" si="4"/>
        <v>2037498</v>
      </c>
      <c r="AE21" s="135">
        <f t="shared" si="4"/>
        <v>1290846</v>
      </c>
      <c r="AF21" s="135">
        <f t="shared" si="4"/>
        <v>1818455</v>
      </c>
      <c r="AG21" s="135">
        <f t="shared" si="4"/>
        <v>1328810</v>
      </c>
      <c r="AH21" s="135">
        <f t="shared" si="4"/>
        <v>0</v>
      </c>
      <c r="AI21" s="135">
        <f t="shared" si="4"/>
        <v>1157812</v>
      </c>
      <c r="AJ21" s="137">
        <f t="shared" si="4"/>
        <v>1873062</v>
      </c>
      <c r="AK21" s="16"/>
      <c r="AL21" s="138">
        <f>SUM(F21:AJ21)</f>
        <v>28698452</v>
      </c>
      <c r="DD21" s="13"/>
    </row>
    <row r="22" spans="1:15121" x14ac:dyDescent="0.3">
      <c r="B22" s="149"/>
      <c r="C22" s="150" t="s">
        <v>84</v>
      </c>
      <c r="D22" s="155">
        <v>22588000</v>
      </c>
      <c r="E22" s="48" t="s">
        <v>16</v>
      </c>
      <c r="F22" s="135">
        <v>1138836</v>
      </c>
      <c r="G22" s="135">
        <v>14120</v>
      </c>
      <c r="H22" s="135">
        <v>1248409</v>
      </c>
      <c r="I22" s="135">
        <v>1514134</v>
      </c>
      <c r="J22" s="135">
        <v>1562198</v>
      </c>
      <c r="K22" s="135">
        <v>620285</v>
      </c>
      <c r="L22" s="135"/>
      <c r="M22" s="135">
        <v>992835</v>
      </c>
      <c r="N22" s="135">
        <v>1294681</v>
      </c>
      <c r="O22" s="135">
        <v>1111014</v>
      </c>
      <c r="P22" s="135">
        <v>1194922</v>
      </c>
      <c r="Q22" s="135">
        <v>444573</v>
      </c>
      <c r="R22" s="135">
        <v>27857</v>
      </c>
      <c r="S22" s="135"/>
      <c r="T22" s="135"/>
      <c r="U22" s="135">
        <v>1415812</v>
      </c>
      <c r="V22" s="135">
        <v>1159577</v>
      </c>
      <c r="W22" s="135"/>
      <c r="X22" s="135">
        <v>659082</v>
      </c>
      <c r="Y22" s="135">
        <v>749582</v>
      </c>
      <c r="Z22" s="135"/>
      <c r="AA22" s="135"/>
      <c r="AB22" s="135"/>
      <c r="AC22" s="135">
        <v>586941</v>
      </c>
      <c r="AD22" s="135">
        <v>1671649</v>
      </c>
      <c r="AE22" s="135">
        <v>1068072</v>
      </c>
      <c r="AF22" s="135">
        <v>1491619</v>
      </c>
      <c r="AG22" s="136">
        <f>797565+292637</f>
        <v>1090202</v>
      </c>
      <c r="AH22" s="136"/>
      <c r="AI22" s="136">
        <v>950300</v>
      </c>
      <c r="AJ22" s="137">
        <v>1536365</v>
      </c>
      <c r="AK22" s="16"/>
      <c r="AL22" s="138">
        <f>SUM(F22:AJ22)</f>
        <v>23543065</v>
      </c>
    </row>
    <row r="23" spans="1:15121" x14ac:dyDescent="0.3">
      <c r="B23" s="149"/>
      <c r="C23" s="150" t="s">
        <v>83</v>
      </c>
      <c r="D23" s="155">
        <v>4958000</v>
      </c>
      <c r="E23" s="48" t="s">
        <v>16</v>
      </c>
      <c r="F23" s="156">
        <v>249722</v>
      </c>
      <c r="G23" s="156">
        <v>2500</v>
      </c>
      <c r="H23" s="156">
        <f>310021-6750-29850</f>
        <v>273421</v>
      </c>
      <c r="I23" s="156">
        <v>331170</v>
      </c>
      <c r="J23" s="156">
        <v>342711</v>
      </c>
      <c r="K23" s="156">
        <v>135829</v>
      </c>
      <c r="L23" s="156"/>
      <c r="M23" s="156">
        <v>217548</v>
      </c>
      <c r="N23" s="156">
        <v>283341</v>
      </c>
      <c r="O23" s="156">
        <v>243546</v>
      </c>
      <c r="P23" s="156">
        <v>261584</v>
      </c>
      <c r="Q23" s="156">
        <f>221766-124950</f>
        <v>96816</v>
      </c>
      <c r="R23" s="156">
        <v>6100</v>
      </c>
      <c r="S23" s="156"/>
      <c r="T23" s="156"/>
      <c r="U23" s="156">
        <v>309270</v>
      </c>
      <c r="V23" s="156">
        <v>253600</v>
      </c>
      <c r="W23" s="156"/>
      <c r="X23" s="156">
        <f>220903-78650</f>
        <v>142253</v>
      </c>
      <c r="Y23" s="156">
        <f>260755-2030-95750</f>
        <v>162975</v>
      </c>
      <c r="Z23" s="156"/>
      <c r="AA23" s="156"/>
      <c r="AB23" s="156"/>
      <c r="AC23" s="156">
        <f>327925-183200</f>
        <v>144725</v>
      </c>
      <c r="AD23" s="156">
        <v>365849</v>
      </c>
      <c r="AE23" s="156">
        <v>222774</v>
      </c>
      <c r="AF23" s="156">
        <v>326836</v>
      </c>
      <c r="AG23" s="157">
        <f>279058-40450</f>
        <v>238608</v>
      </c>
      <c r="AH23" s="157"/>
      <c r="AI23" s="157">
        <f>275380-65450-2418</f>
        <v>207512</v>
      </c>
      <c r="AJ23" s="158">
        <v>336697</v>
      </c>
      <c r="AK23" s="16"/>
      <c r="AL23" s="138">
        <f>SUM(F23:AJ23)</f>
        <v>5155387</v>
      </c>
    </row>
    <row r="24" spans="1:15121" s="57" customFormat="1" x14ac:dyDescent="0.3">
      <c r="A24" s="2"/>
      <c r="B24" s="159"/>
      <c r="C24" s="151" t="s">
        <v>132</v>
      </c>
      <c r="D24" s="160"/>
      <c r="E24" s="161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3"/>
      <c r="AH24" s="163"/>
      <c r="AI24" s="163"/>
      <c r="AJ24" s="164"/>
      <c r="AK24" s="147"/>
      <c r="AL24" s="154" t="s">
        <v>134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10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  <c r="AMK24" s="2"/>
      <c r="AML24" s="2"/>
      <c r="AMM24" s="2"/>
      <c r="AMN24" s="2"/>
      <c r="AMO24" s="2"/>
      <c r="AMP24" s="2"/>
      <c r="AMQ24" s="2"/>
      <c r="AMR24" s="2"/>
      <c r="AMS24" s="2"/>
      <c r="AMT24" s="2"/>
      <c r="AMU24" s="2"/>
      <c r="AMV24" s="2"/>
      <c r="AMW24" s="2"/>
      <c r="AMX24" s="2"/>
      <c r="AMY24" s="2"/>
      <c r="AMZ24" s="2"/>
      <c r="ANA24" s="2"/>
      <c r="ANB24" s="2"/>
      <c r="ANC24" s="2"/>
      <c r="AND24" s="2"/>
      <c r="ANE24" s="2"/>
      <c r="ANF24" s="2"/>
      <c r="ANG24" s="2"/>
      <c r="ANH24" s="2"/>
      <c r="ANI24" s="2"/>
      <c r="ANJ24" s="2"/>
      <c r="ANK24" s="2"/>
      <c r="ANL24" s="2"/>
      <c r="ANM24" s="2"/>
      <c r="ANN24" s="2"/>
      <c r="ANO24" s="2"/>
      <c r="ANP24" s="2"/>
      <c r="ANQ24" s="2"/>
      <c r="ANR24" s="2"/>
      <c r="ANS24" s="2"/>
      <c r="ANT24" s="2"/>
      <c r="ANU24" s="2"/>
      <c r="ANV24" s="2"/>
      <c r="ANW24" s="2"/>
      <c r="ANX24" s="2"/>
      <c r="ANY24" s="2"/>
      <c r="ANZ24" s="2"/>
      <c r="AOA24" s="2"/>
      <c r="AOB24" s="2"/>
      <c r="AOC24" s="2"/>
      <c r="AOD24" s="2"/>
      <c r="AOE24" s="2"/>
      <c r="AOF24" s="2"/>
      <c r="AOG24" s="2"/>
      <c r="AOH24" s="2"/>
      <c r="AOI24" s="2"/>
      <c r="AOJ24" s="2"/>
      <c r="AOK24" s="2"/>
      <c r="AOL24" s="2"/>
      <c r="AOM24" s="2"/>
      <c r="AON24" s="2"/>
      <c r="AOO24" s="2"/>
      <c r="AOP24" s="2"/>
      <c r="AOQ24" s="2"/>
      <c r="AOR24" s="2"/>
      <c r="AOS24" s="2"/>
      <c r="AOT24" s="2"/>
      <c r="AOU24" s="2"/>
      <c r="AOV24" s="2"/>
      <c r="AOW24" s="2"/>
      <c r="AOX24" s="2"/>
      <c r="AOY24" s="2"/>
      <c r="AOZ24" s="2"/>
      <c r="APA24" s="2"/>
      <c r="APB24" s="2"/>
      <c r="APC24" s="2"/>
      <c r="APD24" s="2"/>
      <c r="APE24" s="2"/>
      <c r="APF24" s="2"/>
      <c r="APG24" s="2"/>
      <c r="APH24" s="2"/>
      <c r="API24" s="2"/>
      <c r="APJ24" s="2"/>
      <c r="APK24" s="2"/>
      <c r="APL24" s="2"/>
      <c r="APM24" s="2"/>
      <c r="APN24" s="2"/>
      <c r="APO24" s="2"/>
      <c r="APP24" s="2"/>
      <c r="APQ24" s="2"/>
      <c r="APR24" s="2"/>
      <c r="APS24" s="2"/>
      <c r="APT24" s="2"/>
      <c r="APU24" s="2"/>
      <c r="APV24" s="2"/>
      <c r="APW24" s="2"/>
      <c r="APX24" s="2"/>
      <c r="APY24" s="2"/>
      <c r="APZ24" s="2"/>
      <c r="AQA24" s="2"/>
      <c r="AQB24" s="2"/>
      <c r="AQC24" s="2"/>
      <c r="AQD24" s="2"/>
      <c r="AQE24" s="2"/>
      <c r="AQF24" s="2"/>
      <c r="AQG24" s="2"/>
      <c r="AQH24" s="2"/>
      <c r="AQI24" s="2"/>
      <c r="AQJ24" s="2"/>
      <c r="AQK24" s="2"/>
      <c r="AQL24" s="2"/>
      <c r="AQM24" s="2"/>
      <c r="AQN24" s="2"/>
      <c r="AQO24" s="2"/>
      <c r="AQP24" s="2"/>
      <c r="AQQ24" s="2"/>
      <c r="AQR24" s="2"/>
      <c r="AQS24" s="2"/>
      <c r="AQT24" s="2"/>
      <c r="AQU24" s="2"/>
      <c r="AQV24" s="2"/>
      <c r="AQW24" s="2"/>
      <c r="AQX24" s="2"/>
      <c r="AQY24" s="2"/>
      <c r="AQZ24" s="2"/>
      <c r="ARA24" s="2"/>
      <c r="ARB24" s="2"/>
      <c r="ARC24" s="2"/>
      <c r="ARD24" s="2"/>
      <c r="ARE24" s="2"/>
      <c r="ARF24" s="2"/>
      <c r="ARG24" s="2"/>
      <c r="ARH24" s="2"/>
      <c r="ARI24" s="2"/>
      <c r="ARJ24" s="2"/>
      <c r="ARK24" s="2"/>
      <c r="ARL24" s="2"/>
      <c r="ARM24" s="2"/>
      <c r="ARN24" s="2"/>
      <c r="ARO24" s="2"/>
      <c r="ARP24" s="2"/>
      <c r="ARQ24" s="2"/>
      <c r="ARR24" s="2"/>
      <c r="ARS24" s="2"/>
      <c r="ART24" s="2"/>
      <c r="ARU24" s="2"/>
      <c r="ARV24" s="2"/>
      <c r="ARW24" s="2"/>
      <c r="ARX24" s="2"/>
      <c r="ARY24" s="2"/>
      <c r="ARZ24" s="2"/>
      <c r="ASA24" s="2"/>
      <c r="ASB24" s="2"/>
      <c r="ASC24" s="2"/>
      <c r="ASD24" s="2"/>
      <c r="ASE24" s="2"/>
      <c r="ASF24" s="2"/>
      <c r="ASG24" s="2"/>
      <c r="ASH24" s="2"/>
      <c r="ASI24" s="2"/>
      <c r="ASJ24" s="2"/>
      <c r="ASK24" s="2"/>
      <c r="ASL24" s="2"/>
      <c r="ASM24" s="2"/>
      <c r="ASN24" s="2"/>
      <c r="ASO24" s="2"/>
      <c r="ASP24" s="2"/>
      <c r="ASQ24" s="2"/>
      <c r="ASR24" s="2"/>
      <c r="ASS24" s="2"/>
      <c r="AST24" s="2"/>
      <c r="ASU24" s="2"/>
      <c r="ASV24" s="2"/>
      <c r="ASW24" s="2"/>
      <c r="ASX24" s="2"/>
      <c r="ASY24" s="2"/>
      <c r="ASZ24" s="2"/>
      <c r="ATA24" s="2"/>
      <c r="ATB24" s="2"/>
      <c r="ATC24" s="2"/>
      <c r="ATD24" s="2"/>
      <c r="ATE24" s="2"/>
      <c r="ATF24" s="2"/>
      <c r="ATG24" s="2"/>
      <c r="ATH24" s="2"/>
      <c r="ATI24" s="2"/>
      <c r="ATJ24" s="2"/>
      <c r="ATK24" s="2"/>
      <c r="ATL24" s="2"/>
      <c r="ATM24" s="2"/>
      <c r="ATN24" s="2"/>
      <c r="ATO24" s="2"/>
      <c r="ATP24" s="2"/>
      <c r="ATQ24" s="2"/>
      <c r="ATR24" s="2"/>
      <c r="ATS24" s="2"/>
      <c r="ATT24" s="2"/>
      <c r="ATU24" s="2"/>
      <c r="ATV24" s="2"/>
      <c r="ATW24" s="2"/>
      <c r="ATX24" s="2"/>
      <c r="ATY24" s="2"/>
      <c r="ATZ24" s="2"/>
      <c r="AUA24" s="2"/>
      <c r="AUB24" s="2"/>
      <c r="AUC24" s="2"/>
      <c r="AUD24" s="2"/>
      <c r="AUE24" s="2"/>
      <c r="AUF24" s="2"/>
      <c r="AUG24" s="2"/>
      <c r="AUH24" s="2"/>
      <c r="AUI24" s="2"/>
      <c r="AUJ24" s="2"/>
      <c r="AUK24" s="2"/>
      <c r="AUL24" s="2"/>
      <c r="AUM24" s="2"/>
      <c r="AUN24" s="2"/>
      <c r="AUO24" s="2"/>
      <c r="AUP24" s="2"/>
      <c r="AUQ24" s="2"/>
      <c r="AUR24" s="2"/>
      <c r="AUS24" s="2"/>
      <c r="AUT24" s="2"/>
      <c r="AUU24" s="2"/>
      <c r="AUV24" s="2"/>
      <c r="AUW24" s="2"/>
      <c r="AUX24" s="2"/>
      <c r="AUY24" s="2"/>
      <c r="AUZ24" s="2"/>
      <c r="AVA24" s="2"/>
      <c r="AVB24" s="2"/>
      <c r="AVC24" s="2"/>
      <c r="AVD24" s="2"/>
      <c r="AVE24" s="2"/>
      <c r="AVF24" s="2"/>
      <c r="AVG24" s="2"/>
      <c r="AVH24" s="2"/>
      <c r="AVI24" s="2"/>
      <c r="AVJ24" s="2"/>
      <c r="AVK24" s="2"/>
      <c r="AVL24" s="2"/>
      <c r="AVM24" s="2"/>
      <c r="AVN24" s="2"/>
      <c r="AVO24" s="2"/>
      <c r="AVP24" s="2"/>
      <c r="AVQ24" s="2"/>
      <c r="AVR24" s="2"/>
      <c r="AVS24" s="2"/>
      <c r="AVT24" s="2"/>
      <c r="AVU24" s="2"/>
      <c r="AVV24" s="2"/>
      <c r="AVW24" s="2"/>
      <c r="AVX24" s="2"/>
      <c r="AVY24" s="2"/>
      <c r="AVZ24" s="2"/>
      <c r="AWA24" s="2"/>
      <c r="AWB24" s="2"/>
      <c r="AWC24" s="2"/>
      <c r="AWD24" s="2"/>
      <c r="AWE24" s="2"/>
      <c r="AWF24" s="2"/>
      <c r="AWG24" s="2"/>
      <c r="AWH24" s="2"/>
      <c r="AWI24" s="2"/>
      <c r="AWJ24" s="2"/>
      <c r="AWK24" s="2"/>
      <c r="AWL24" s="2"/>
      <c r="AWM24" s="2"/>
      <c r="AWN24" s="2"/>
      <c r="AWO24" s="2"/>
      <c r="AWP24" s="2"/>
      <c r="AWQ24" s="2"/>
      <c r="AWR24" s="2"/>
      <c r="AWS24" s="2"/>
      <c r="AWT24" s="2"/>
      <c r="AWU24" s="2"/>
      <c r="AWV24" s="2"/>
      <c r="AWW24" s="2"/>
      <c r="AWX24" s="2"/>
      <c r="AWY24" s="2"/>
      <c r="AWZ24" s="2"/>
      <c r="AXA24" s="2"/>
      <c r="AXB24" s="2"/>
      <c r="AXC24" s="2"/>
      <c r="AXD24" s="2"/>
      <c r="AXE24" s="2"/>
      <c r="AXF24" s="2"/>
      <c r="AXG24" s="2"/>
      <c r="AXH24" s="2"/>
      <c r="AXI24" s="2"/>
      <c r="AXJ24" s="2"/>
      <c r="AXK24" s="2"/>
      <c r="AXL24" s="2"/>
      <c r="AXM24" s="2"/>
      <c r="AXN24" s="2"/>
      <c r="AXO24" s="2"/>
      <c r="AXP24" s="2"/>
      <c r="AXQ24" s="2"/>
      <c r="AXR24" s="2"/>
      <c r="AXS24" s="2"/>
      <c r="AXT24" s="2"/>
      <c r="AXU24" s="2"/>
      <c r="AXV24" s="2"/>
      <c r="AXW24" s="2"/>
      <c r="AXX24" s="2"/>
      <c r="AXY24" s="2"/>
      <c r="AXZ24" s="2"/>
      <c r="AYA24" s="2"/>
      <c r="AYB24" s="2"/>
      <c r="AYC24" s="2"/>
      <c r="AYD24" s="2"/>
      <c r="AYE24" s="2"/>
      <c r="AYF24" s="2"/>
      <c r="AYG24" s="2"/>
      <c r="AYH24" s="2"/>
      <c r="AYI24" s="2"/>
      <c r="AYJ24" s="2"/>
      <c r="AYK24" s="2"/>
      <c r="AYL24" s="2"/>
      <c r="AYM24" s="2"/>
      <c r="AYN24" s="2"/>
      <c r="AYO24" s="2"/>
      <c r="AYP24" s="2"/>
      <c r="AYQ24" s="2"/>
      <c r="AYR24" s="2"/>
      <c r="AYS24" s="2"/>
      <c r="AYT24" s="2"/>
      <c r="AYU24" s="2"/>
      <c r="AYV24" s="2"/>
      <c r="AYW24" s="2"/>
      <c r="AYX24" s="2"/>
      <c r="AYY24" s="2"/>
      <c r="AYZ24" s="2"/>
      <c r="AZA24" s="2"/>
      <c r="AZB24" s="2"/>
      <c r="AZC24" s="2"/>
      <c r="AZD24" s="2"/>
      <c r="AZE24" s="2"/>
      <c r="AZF24" s="2"/>
      <c r="AZG24" s="2"/>
      <c r="AZH24" s="2"/>
      <c r="AZI24" s="2"/>
      <c r="AZJ24" s="2"/>
      <c r="AZK24" s="2"/>
      <c r="AZL24" s="2"/>
      <c r="AZM24" s="2"/>
      <c r="AZN24" s="2"/>
      <c r="AZO24" s="2"/>
      <c r="AZP24" s="2"/>
      <c r="AZQ24" s="2"/>
      <c r="AZR24" s="2"/>
      <c r="AZS24" s="2"/>
      <c r="AZT24" s="2"/>
      <c r="AZU24" s="2"/>
      <c r="AZV24" s="2"/>
      <c r="AZW24" s="2"/>
      <c r="AZX24" s="2"/>
      <c r="AZY24" s="2"/>
      <c r="AZZ24" s="2"/>
      <c r="BAA24" s="2"/>
      <c r="BAB24" s="2"/>
      <c r="BAC24" s="2"/>
      <c r="BAD24" s="2"/>
      <c r="BAE24" s="2"/>
      <c r="BAF24" s="2"/>
      <c r="BAG24" s="2"/>
      <c r="BAH24" s="2"/>
      <c r="BAI24" s="2"/>
      <c r="BAJ24" s="2"/>
      <c r="BAK24" s="2"/>
      <c r="BAL24" s="2"/>
      <c r="BAM24" s="2"/>
      <c r="BAN24" s="2"/>
      <c r="BAO24" s="2"/>
      <c r="BAP24" s="2"/>
      <c r="BAQ24" s="2"/>
      <c r="BAR24" s="2"/>
      <c r="BAS24" s="2"/>
      <c r="BAT24" s="2"/>
      <c r="BAU24" s="2"/>
      <c r="BAV24" s="2"/>
      <c r="BAW24" s="2"/>
      <c r="BAX24" s="2"/>
      <c r="BAY24" s="2"/>
      <c r="BAZ24" s="2"/>
      <c r="BBA24" s="2"/>
      <c r="BBB24" s="2"/>
      <c r="BBC24" s="2"/>
      <c r="BBD24" s="2"/>
      <c r="BBE24" s="2"/>
      <c r="BBF24" s="2"/>
      <c r="BBG24" s="2"/>
      <c r="BBH24" s="2"/>
      <c r="BBI24" s="2"/>
      <c r="BBJ24" s="2"/>
      <c r="BBK24" s="2"/>
      <c r="BBL24" s="2"/>
      <c r="BBM24" s="2"/>
      <c r="BBN24" s="2"/>
      <c r="BBO24" s="2"/>
      <c r="BBP24" s="2"/>
      <c r="BBQ24" s="2"/>
      <c r="BBR24" s="2"/>
      <c r="BBS24" s="2"/>
      <c r="BBT24" s="2"/>
      <c r="BBU24" s="2"/>
      <c r="BBV24" s="2"/>
      <c r="BBW24" s="2"/>
      <c r="BBX24" s="2"/>
      <c r="BBY24" s="2"/>
      <c r="BBZ24" s="2"/>
      <c r="BCA24" s="2"/>
      <c r="BCB24" s="2"/>
      <c r="BCC24" s="2"/>
      <c r="BCD24" s="2"/>
      <c r="BCE24" s="2"/>
      <c r="BCF24" s="2"/>
      <c r="BCG24" s="2"/>
      <c r="BCH24" s="2"/>
      <c r="BCI24" s="2"/>
      <c r="BCJ24" s="2"/>
      <c r="BCK24" s="2"/>
      <c r="BCL24" s="2"/>
      <c r="BCM24" s="2"/>
      <c r="BCN24" s="2"/>
      <c r="BCO24" s="2"/>
      <c r="BCP24" s="2"/>
      <c r="BCQ24" s="2"/>
      <c r="BCR24" s="2"/>
      <c r="BCS24" s="2"/>
      <c r="BCT24" s="2"/>
      <c r="BCU24" s="2"/>
      <c r="BCV24" s="2"/>
      <c r="BCW24" s="2"/>
      <c r="BCX24" s="2"/>
      <c r="BCY24" s="2"/>
      <c r="BCZ24" s="2"/>
      <c r="BDA24" s="2"/>
      <c r="BDB24" s="2"/>
      <c r="BDC24" s="2"/>
      <c r="BDD24" s="2"/>
      <c r="BDE24" s="2"/>
      <c r="BDF24" s="2"/>
      <c r="BDG24" s="2"/>
      <c r="BDH24" s="2"/>
      <c r="BDI24" s="2"/>
      <c r="BDJ24" s="2"/>
      <c r="BDK24" s="2"/>
      <c r="BDL24" s="2"/>
      <c r="BDM24" s="2"/>
      <c r="BDN24" s="2"/>
      <c r="BDO24" s="2"/>
      <c r="BDP24" s="2"/>
      <c r="BDQ24" s="2"/>
      <c r="BDR24" s="2"/>
      <c r="BDS24" s="2"/>
      <c r="BDT24" s="2"/>
      <c r="BDU24" s="2"/>
      <c r="BDV24" s="2"/>
      <c r="BDW24" s="2"/>
      <c r="BDX24" s="2"/>
      <c r="BDY24" s="2"/>
      <c r="BDZ24" s="2"/>
      <c r="BEA24" s="2"/>
      <c r="BEB24" s="2"/>
      <c r="BEC24" s="2"/>
      <c r="BED24" s="2"/>
      <c r="BEE24" s="2"/>
      <c r="BEF24" s="2"/>
      <c r="BEG24" s="2"/>
      <c r="BEH24" s="2"/>
      <c r="BEI24" s="2"/>
      <c r="BEJ24" s="2"/>
      <c r="BEK24" s="2"/>
      <c r="BEL24" s="2"/>
      <c r="BEM24" s="2"/>
      <c r="BEN24" s="2"/>
      <c r="BEO24" s="2"/>
      <c r="BEP24" s="2"/>
      <c r="BEQ24" s="2"/>
      <c r="BER24" s="2"/>
      <c r="BES24" s="2"/>
      <c r="BET24" s="2"/>
      <c r="BEU24" s="2"/>
      <c r="BEV24" s="2"/>
      <c r="BEW24" s="2"/>
      <c r="BEX24" s="2"/>
      <c r="BEY24" s="2"/>
      <c r="BEZ24" s="2"/>
      <c r="BFA24" s="2"/>
      <c r="BFB24" s="2"/>
      <c r="BFC24" s="2"/>
      <c r="BFD24" s="2"/>
      <c r="BFE24" s="2"/>
      <c r="BFF24" s="2"/>
      <c r="BFG24" s="2"/>
      <c r="BFH24" s="2"/>
      <c r="BFI24" s="2"/>
      <c r="BFJ24" s="2"/>
      <c r="BFK24" s="2"/>
      <c r="BFL24" s="2"/>
      <c r="BFM24" s="2"/>
      <c r="BFN24" s="2"/>
      <c r="BFO24" s="2"/>
      <c r="BFP24" s="2"/>
      <c r="BFQ24" s="2"/>
      <c r="BFR24" s="2"/>
      <c r="BFS24" s="2"/>
      <c r="BFT24" s="2"/>
      <c r="BFU24" s="2"/>
      <c r="BFV24" s="2"/>
      <c r="BFW24" s="2"/>
      <c r="BFX24" s="2"/>
      <c r="BFY24" s="2"/>
      <c r="BFZ24" s="2"/>
      <c r="BGA24" s="2"/>
      <c r="BGB24" s="2"/>
      <c r="BGC24" s="2"/>
      <c r="BGD24" s="2"/>
      <c r="BGE24" s="2"/>
      <c r="BGF24" s="2"/>
      <c r="BGG24" s="2"/>
      <c r="BGH24" s="2"/>
      <c r="BGI24" s="2"/>
      <c r="BGJ24" s="2"/>
      <c r="BGK24" s="2"/>
      <c r="BGL24" s="2"/>
      <c r="BGM24" s="2"/>
      <c r="BGN24" s="2"/>
      <c r="BGO24" s="2"/>
      <c r="BGP24" s="2"/>
      <c r="BGQ24" s="2"/>
      <c r="BGR24" s="2"/>
      <c r="BGS24" s="2"/>
      <c r="BGT24" s="2"/>
      <c r="BGU24" s="2"/>
      <c r="BGV24" s="2"/>
      <c r="BGW24" s="2"/>
      <c r="BGX24" s="2"/>
      <c r="BGY24" s="2"/>
      <c r="BGZ24" s="2"/>
      <c r="BHA24" s="2"/>
      <c r="BHB24" s="2"/>
      <c r="BHC24" s="2"/>
      <c r="BHD24" s="2"/>
      <c r="BHE24" s="2"/>
      <c r="BHF24" s="2"/>
      <c r="BHG24" s="2"/>
      <c r="BHH24" s="2"/>
      <c r="BHI24" s="2"/>
      <c r="BHJ24" s="2"/>
      <c r="BHK24" s="2"/>
      <c r="BHL24" s="2"/>
      <c r="BHM24" s="2"/>
      <c r="BHN24" s="2"/>
      <c r="BHO24" s="2"/>
      <c r="BHP24" s="2"/>
      <c r="BHQ24" s="2"/>
      <c r="BHR24" s="2"/>
      <c r="BHS24" s="2"/>
      <c r="BHT24" s="2"/>
      <c r="BHU24" s="2"/>
      <c r="BHV24" s="2"/>
      <c r="BHW24" s="2"/>
      <c r="BHX24" s="2"/>
      <c r="BHY24" s="2"/>
      <c r="BHZ24" s="2"/>
      <c r="BIA24" s="2"/>
      <c r="BIB24" s="2"/>
      <c r="BIC24" s="2"/>
      <c r="BID24" s="2"/>
      <c r="BIE24" s="2"/>
      <c r="BIF24" s="2"/>
      <c r="BIG24" s="2"/>
      <c r="BIH24" s="2"/>
      <c r="BII24" s="2"/>
      <c r="BIJ24" s="2"/>
      <c r="BIK24" s="2"/>
      <c r="BIL24" s="2"/>
      <c r="BIM24" s="2"/>
      <c r="BIN24" s="2"/>
      <c r="BIO24" s="2"/>
      <c r="BIP24" s="2"/>
      <c r="BIQ24" s="2"/>
      <c r="BIR24" s="2"/>
      <c r="BIS24" s="2"/>
      <c r="BIT24" s="2"/>
      <c r="BIU24" s="2"/>
      <c r="BIV24" s="2"/>
      <c r="BIW24" s="2"/>
      <c r="BIX24" s="2"/>
      <c r="BIY24" s="2"/>
      <c r="BIZ24" s="2"/>
      <c r="BJA24" s="2"/>
      <c r="BJB24" s="2"/>
      <c r="BJC24" s="2"/>
      <c r="BJD24" s="2"/>
      <c r="BJE24" s="2"/>
      <c r="BJF24" s="2"/>
      <c r="BJG24" s="2"/>
      <c r="BJH24" s="2"/>
      <c r="BJI24" s="2"/>
      <c r="BJJ24" s="2"/>
      <c r="BJK24" s="2"/>
      <c r="BJL24" s="2"/>
      <c r="BJM24" s="2"/>
      <c r="BJN24" s="2"/>
      <c r="BJO24" s="2"/>
      <c r="BJP24" s="2"/>
      <c r="BJQ24" s="2"/>
      <c r="BJR24" s="2"/>
      <c r="BJS24" s="2"/>
      <c r="BJT24" s="2"/>
      <c r="BJU24" s="2"/>
      <c r="BJV24" s="2"/>
      <c r="BJW24" s="2"/>
      <c r="BJX24" s="2"/>
      <c r="BJY24" s="2"/>
      <c r="BJZ24" s="2"/>
      <c r="BKA24" s="2"/>
      <c r="BKB24" s="2"/>
      <c r="BKC24" s="2"/>
      <c r="BKD24" s="2"/>
      <c r="BKE24" s="2"/>
      <c r="BKF24" s="2"/>
      <c r="BKG24" s="2"/>
      <c r="BKH24" s="2"/>
      <c r="BKI24" s="2"/>
      <c r="BKJ24" s="2"/>
      <c r="BKK24" s="2"/>
      <c r="BKL24" s="2"/>
      <c r="BKM24" s="2"/>
      <c r="BKN24" s="2"/>
      <c r="BKO24" s="2"/>
      <c r="BKP24" s="2"/>
      <c r="BKQ24" s="2"/>
      <c r="BKR24" s="2"/>
      <c r="BKS24" s="2"/>
      <c r="BKT24" s="2"/>
      <c r="BKU24" s="2"/>
      <c r="BKV24" s="2"/>
      <c r="BKW24" s="2"/>
      <c r="BKX24" s="2"/>
      <c r="BKY24" s="2"/>
      <c r="BKZ24" s="2"/>
      <c r="BLA24" s="2"/>
      <c r="BLB24" s="2"/>
      <c r="BLC24" s="2"/>
      <c r="BLD24" s="2"/>
      <c r="BLE24" s="2"/>
      <c r="BLF24" s="2"/>
      <c r="BLG24" s="2"/>
      <c r="BLH24" s="2"/>
      <c r="BLI24" s="2"/>
      <c r="BLJ24" s="2"/>
      <c r="BLK24" s="2"/>
      <c r="BLL24" s="2"/>
      <c r="BLM24" s="2"/>
      <c r="BLN24" s="2"/>
      <c r="BLO24" s="2"/>
      <c r="BLP24" s="2"/>
      <c r="BLQ24" s="2"/>
      <c r="BLR24" s="2"/>
      <c r="BLS24" s="2"/>
      <c r="BLT24" s="2"/>
      <c r="BLU24" s="2"/>
      <c r="BLV24" s="2"/>
      <c r="BLW24" s="2"/>
      <c r="BLX24" s="2"/>
      <c r="BLY24" s="2"/>
      <c r="BLZ24" s="2"/>
      <c r="BMA24" s="2"/>
      <c r="BMB24" s="2"/>
      <c r="BMC24" s="2"/>
      <c r="BMD24" s="2"/>
      <c r="BME24" s="2"/>
      <c r="BMF24" s="2"/>
      <c r="BMG24" s="2"/>
      <c r="BMH24" s="2"/>
      <c r="BMI24" s="2"/>
      <c r="BMJ24" s="2"/>
      <c r="BMK24" s="2"/>
      <c r="BML24" s="2"/>
      <c r="BMM24" s="2"/>
      <c r="BMN24" s="2"/>
      <c r="BMO24" s="2"/>
      <c r="BMP24" s="2"/>
      <c r="BMQ24" s="2"/>
      <c r="BMR24" s="2"/>
      <c r="BMS24" s="2"/>
      <c r="BMT24" s="2"/>
      <c r="BMU24" s="2"/>
      <c r="BMV24" s="2"/>
      <c r="BMW24" s="2"/>
      <c r="BMX24" s="2"/>
      <c r="BMY24" s="2"/>
      <c r="BMZ24" s="2"/>
      <c r="BNA24" s="2"/>
      <c r="BNB24" s="2"/>
      <c r="BNC24" s="2"/>
      <c r="BND24" s="2"/>
      <c r="BNE24" s="2"/>
      <c r="BNF24" s="2"/>
      <c r="BNG24" s="2"/>
      <c r="BNH24" s="2"/>
      <c r="BNI24" s="2"/>
      <c r="BNJ24" s="2"/>
      <c r="BNK24" s="2"/>
      <c r="BNL24" s="2"/>
      <c r="BNM24" s="2"/>
      <c r="BNN24" s="2"/>
      <c r="BNO24" s="2"/>
      <c r="BNP24" s="2"/>
      <c r="BNQ24" s="2"/>
      <c r="BNR24" s="2"/>
      <c r="BNS24" s="2"/>
      <c r="BNT24" s="2"/>
      <c r="BNU24" s="2"/>
      <c r="BNV24" s="2"/>
      <c r="BNW24" s="2"/>
      <c r="BNX24" s="2"/>
      <c r="BNY24" s="2"/>
      <c r="BNZ24" s="2"/>
      <c r="BOA24" s="2"/>
      <c r="BOB24" s="2"/>
      <c r="BOC24" s="2"/>
      <c r="BOD24" s="2"/>
      <c r="BOE24" s="2"/>
      <c r="BOF24" s="2"/>
      <c r="BOG24" s="2"/>
      <c r="BOH24" s="2"/>
      <c r="BOI24" s="2"/>
      <c r="BOJ24" s="2"/>
      <c r="BOK24" s="2"/>
      <c r="BOL24" s="2"/>
      <c r="BOM24" s="2"/>
      <c r="BON24" s="2"/>
      <c r="BOO24" s="2"/>
      <c r="BOP24" s="2"/>
      <c r="BOQ24" s="2"/>
      <c r="BOR24" s="2"/>
      <c r="BOS24" s="2"/>
      <c r="BOT24" s="2"/>
      <c r="BOU24" s="2"/>
      <c r="BOV24" s="2"/>
      <c r="BOW24" s="2"/>
      <c r="BOX24" s="2"/>
      <c r="BOY24" s="2"/>
      <c r="BOZ24" s="2"/>
      <c r="BPA24" s="2"/>
      <c r="BPB24" s="2"/>
      <c r="BPC24" s="2"/>
      <c r="BPD24" s="2"/>
      <c r="BPE24" s="2"/>
      <c r="BPF24" s="2"/>
      <c r="BPG24" s="2"/>
      <c r="BPH24" s="2"/>
      <c r="BPI24" s="2"/>
      <c r="BPJ24" s="2"/>
      <c r="BPK24" s="2"/>
      <c r="BPL24" s="2"/>
      <c r="BPM24" s="2"/>
      <c r="BPN24" s="2"/>
      <c r="BPO24" s="2"/>
      <c r="BPP24" s="2"/>
      <c r="BPQ24" s="2"/>
      <c r="BPR24" s="2"/>
      <c r="BPS24" s="2"/>
      <c r="BPT24" s="2"/>
      <c r="BPU24" s="2"/>
      <c r="BPV24" s="2"/>
      <c r="BPW24" s="2"/>
      <c r="BPX24" s="2"/>
      <c r="BPY24" s="2"/>
      <c r="BPZ24" s="2"/>
      <c r="BQA24" s="2"/>
      <c r="BQB24" s="2"/>
      <c r="BQC24" s="2"/>
      <c r="BQD24" s="2"/>
      <c r="BQE24" s="2"/>
      <c r="BQF24" s="2"/>
      <c r="BQG24" s="2"/>
      <c r="BQH24" s="2"/>
      <c r="BQI24" s="2"/>
      <c r="BQJ24" s="2"/>
      <c r="BQK24" s="2"/>
      <c r="BQL24" s="2"/>
      <c r="BQM24" s="2"/>
      <c r="BQN24" s="2"/>
      <c r="BQO24" s="2"/>
      <c r="BQP24" s="2"/>
      <c r="BQQ24" s="2"/>
      <c r="BQR24" s="2"/>
      <c r="BQS24" s="2"/>
      <c r="BQT24" s="2"/>
      <c r="BQU24" s="2"/>
      <c r="BQV24" s="2"/>
      <c r="BQW24" s="2"/>
      <c r="BQX24" s="2"/>
      <c r="BQY24" s="2"/>
      <c r="BQZ24" s="2"/>
      <c r="BRA24" s="2"/>
      <c r="BRB24" s="2"/>
      <c r="BRC24" s="2"/>
      <c r="BRD24" s="2"/>
      <c r="BRE24" s="2"/>
      <c r="BRF24" s="2"/>
      <c r="BRG24" s="2"/>
      <c r="BRH24" s="2"/>
      <c r="BRI24" s="2"/>
      <c r="BRJ24" s="2"/>
      <c r="BRK24" s="2"/>
      <c r="BRL24" s="2"/>
      <c r="BRM24" s="2"/>
      <c r="BRN24" s="2"/>
      <c r="BRO24" s="2"/>
      <c r="BRP24" s="2"/>
      <c r="BRQ24" s="2"/>
      <c r="BRR24" s="2"/>
      <c r="BRS24" s="2"/>
      <c r="BRT24" s="2"/>
      <c r="BRU24" s="2"/>
      <c r="BRV24" s="2"/>
      <c r="BRW24" s="2"/>
      <c r="BRX24" s="2"/>
      <c r="BRY24" s="2"/>
      <c r="BRZ24" s="2"/>
      <c r="BSA24" s="2"/>
      <c r="BSB24" s="2"/>
      <c r="BSC24" s="2"/>
      <c r="BSD24" s="2"/>
      <c r="BSE24" s="2"/>
      <c r="BSF24" s="2"/>
      <c r="BSG24" s="2"/>
      <c r="BSH24" s="2"/>
      <c r="BSI24" s="2"/>
      <c r="BSJ24" s="2"/>
      <c r="BSK24" s="2"/>
      <c r="BSL24" s="2"/>
      <c r="BSM24" s="2"/>
      <c r="BSN24" s="2"/>
      <c r="BSO24" s="2"/>
      <c r="BSP24" s="2"/>
      <c r="BSQ24" s="2"/>
      <c r="BSR24" s="2"/>
      <c r="BSS24" s="2"/>
      <c r="BST24" s="2"/>
      <c r="BSU24" s="2"/>
      <c r="BSV24" s="2"/>
      <c r="BSW24" s="2"/>
      <c r="BSX24" s="2"/>
      <c r="BSY24" s="2"/>
      <c r="BSZ24" s="2"/>
      <c r="BTA24" s="2"/>
      <c r="BTB24" s="2"/>
      <c r="BTC24" s="2"/>
      <c r="BTD24" s="2"/>
      <c r="BTE24" s="2"/>
      <c r="BTF24" s="2"/>
      <c r="BTG24" s="2"/>
      <c r="BTH24" s="2"/>
      <c r="BTI24" s="2"/>
      <c r="BTJ24" s="2"/>
      <c r="BTK24" s="2"/>
      <c r="BTL24" s="2"/>
      <c r="BTM24" s="2"/>
      <c r="BTN24" s="2"/>
      <c r="BTO24" s="2"/>
      <c r="BTP24" s="2"/>
      <c r="BTQ24" s="2"/>
      <c r="BTR24" s="2"/>
      <c r="BTS24" s="2"/>
      <c r="BTT24" s="2"/>
      <c r="BTU24" s="2"/>
      <c r="BTV24" s="2"/>
      <c r="BTW24" s="2"/>
      <c r="BTX24" s="2"/>
      <c r="BTY24" s="2"/>
      <c r="BTZ24" s="2"/>
      <c r="BUA24" s="2"/>
      <c r="BUB24" s="2"/>
      <c r="BUC24" s="2"/>
      <c r="BUD24" s="2"/>
      <c r="BUE24" s="2"/>
      <c r="BUF24" s="2"/>
      <c r="BUG24" s="2"/>
      <c r="BUH24" s="2"/>
      <c r="BUI24" s="2"/>
      <c r="BUJ24" s="2"/>
      <c r="BUK24" s="2"/>
      <c r="BUL24" s="2"/>
      <c r="BUM24" s="2"/>
      <c r="BUN24" s="2"/>
      <c r="BUO24" s="2"/>
      <c r="BUP24" s="2"/>
      <c r="BUQ24" s="2"/>
      <c r="BUR24" s="2"/>
      <c r="BUS24" s="2"/>
      <c r="BUT24" s="2"/>
      <c r="BUU24" s="2"/>
      <c r="BUV24" s="2"/>
      <c r="BUW24" s="2"/>
      <c r="BUX24" s="2"/>
      <c r="BUY24" s="2"/>
      <c r="BUZ24" s="2"/>
      <c r="BVA24" s="2"/>
      <c r="BVB24" s="2"/>
      <c r="BVC24" s="2"/>
      <c r="BVD24" s="2"/>
      <c r="BVE24" s="2"/>
      <c r="BVF24" s="2"/>
      <c r="BVG24" s="2"/>
      <c r="BVH24" s="2"/>
      <c r="BVI24" s="2"/>
      <c r="BVJ24" s="2"/>
      <c r="BVK24" s="2"/>
      <c r="BVL24" s="2"/>
      <c r="BVM24" s="2"/>
      <c r="BVN24" s="2"/>
      <c r="BVO24" s="2"/>
      <c r="BVP24" s="2"/>
      <c r="BVQ24" s="2"/>
      <c r="BVR24" s="2"/>
      <c r="BVS24" s="2"/>
      <c r="BVT24" s="2"/>
      <c r="BVU24" s="2"/>
      <c r="BVV24" s="2"/>
      <c r="BVW24" s="2"/>
      <c r="BVX24" s="2"/>
      <c r="BVY24" s="2"/>
      <c r="BVZ24" s="2"/>
      <c r="BWA24" s="2"/>
      <c r="BWB24" s="2"/>
      <c r="BWC24" s="2"/>
      <c r="BWD24" s="2"/>
      <c r="BWE24" s="2"/>
      <c r="BWF24" s="2"/>
      <c r="BWG24" s="2"/>
      <c r="BWH24" s="2"/>
      <c r="BWI24" s="2"/>
      <c r="BWJ24" s="2"/>
      <c r="BWK24" s="2"/>
      <c r="BWL24" s="2"/>
      <c r="BWM24" s="2"/>
      <c r="BWN24" s="2"/>
      <c r="BWO24" s="2"/>
      <c r="BWP24" s="2"/>
      <c r="BWQ24" s="2"/>
      <c r="BWR24" s="2"/>
      <c r="BWS24" s="2"/>
      <c r="BWT24" s="2"/>
      <c r="BWU24" s="2"/>
      <c r="BWV24" s="2"/>
      <c r="BWW24" s="2"/>
      <c r="BWX24" s="2"/>
      <c r="BWY24" s="2"/>
      <c r="BWZ24" s="2"/>
      <c r="BXA24" s="2"/>
      <c r="BXB24" s="2"/>
      <c r="BXC24" s="2"/>
      <c r="BXD24" s="2"/>
      <c r="BXE24" s="2"/>
      <c r="BXF24" s="2"/>
      <c r="BXG24" s="2"/>
      <c r="BXH24" s="2"/>
      <c r="BXI24" s="2"/>
      <c r="BXJ24" s="2"/>
      <c r="BXK24" s="2"/>
      <c r="BXL24" s="2"/>
      <c r="BXM24" s="2"/>
      <c r="BXN24" s="2"/>
      <c r="BXO24" s="2"/>
      <c r="BXP24" s="2"/>
      <c r="BXQ24" s="2"/>
      <c r="BXR24" s="2"/>
      <c r="BXS24" s="2"/>
      <c r="BXT24" s="2"/>
      <c r="BXU24" s="2"/>
      <c r="BXV24" s="2"/>
      <c r="BXW24" s="2"/>
      <c r="BXX24" s="2"/>
      <c r="BXY24" s="2"/>
      <c r="BXZ24" s="2"/>
      <c r="BYA24" s="2"/>
      <c r="BYB24" s="2"/>
      <c r="BYC24" s="2"/>
      <c r="BYD24" s="2"/>
      <c r="BYE24" s="2"/>
      <c r="BYF24" s="2"/>
      <c r="BYG24" s="2"/>
      <c r="BYH24" s="2"/>
      <c r="BYI24" s="2"/>
      <c r="BYJ24" s="2"/>
      <c r="BYK24" s="2"/>
      <c r="BYL24" s="2"/>
      <c r="BYM24" s="2"/>
      <c r="BYN24" s="2"/>
      <c r="BYO24" s="2"/>
      <c r="BYP24" s="2"/>
      <c r="BYQ24" s="2"/>
      <c r="BYR24" s="2"/>
      <c r="BYS24" s="2"/>
      <c r="BYT24" s="2"/>
      <c r="BYU24" s="2"/>
      <c r="BYV24" s="2"/>
      <c r="BYW24" s="2"/>
      <c r="BYX24" s="2"/>
      <c r="BYY24" s="2"/>
      <c r="BYZ24" s="2"/>
      <c r="BZA24" s="2"/>
      <c r="BZB24" s="2"/>
      <c r="BZC24" s="2"/>
      <c r="BZD24" s="2"/>
      <c r="BZE24" s="2"/>
      <c r="BZF24" s="2"/>
      <c r="BZG24" s="2"/>
      <c r="BZH24" s="2"/>
      <c r="BZI24" s="2"/>
      <c r="BZJ24" s="2"/>
      <c r="BZK24" s="2"/>
      <c r="BZL24" s="2"/>
      <c r="BZM24" s="2"/>
      <c r="BZN24" s="2"/>
      <c r="BZO24" s="2"/>
      <c r="BZP24" s="2"/>
      <c r="BZQ24" s="2"/>
      <c r="BZR24" s="2"/>
      <c r="BZS24" s="2"/>
      <c r="BZT24" s="2"/>
      <c r="BZU24" s="2"/>
      <c r="BZV24" s="2"/>
      <c r="BZW24" s="2"/>
      <c r="BZX24" s="2"/>
      <c r="BZY24" s="2"/>
      <c r="BZZ24" s="2"/>
      <c r="CAA24" s="2"/>
      <c r="CAB24" s="2"/>
      <c r="CAC24" s="2"/>
      <c r="CAD24" s="2"/>
      <c r="CAE24" s="2"/>
      <c r="CAF24" s="2"/>
      <c r="CAG24" s="2"/>
      <c r="CAH24" s="2"/>
      <c r="CAI24" s="2"/>
      <c r="CAJ24" s="2"/>
      <c r="CAK24" s="2"/>
      <c r="CAL24" s="2"/>
      <c r="CAM24" s="2"/>
      <c r="CAN24" s="2"/>
      <c r="CAO24" s="2"/>
      <c r="CAP24" s="2"/>
      <c r="CAQ24" s="2"/>
      <c r="CAR24" s="2"/>
      <c r="CAS24" s="2"/>
      <c r="CAT24" s="2"/>
      <c r="CAU24" s="2"/>
      <c r="CAV24" s="2"/>
      <c r="CAW24" s="2"/>
      <c r="CAX24" s="2"/>
      <c r="CAY24" s="2"/>
      <c r="CAZ24" s="2"/>
      <c r="CBA24" s="2"/>
      <c r="CBB24" s="2"/>
      <c r="CBC24" s="2"/>
      <c r="CBD24" s="2"/>
      <c r="CBE24" s="2"/>
      <c r="CBF24" s="2"/>
      <c r="CBG24" s="2"/>
      <c r="CBH24" s="2"/>
      <c r="CBI24" s="2"/>
      <c r="CBJ24" s="2"/>
      <c r="CBK24" s="2"/>
      <c r="CBL24" s="2"/>
      <c r="CBM24" s="2"/>
      <c r="CBN24" s="2"/>
      <c r="CBO24" s="2"/>
      <c r="CBP24" s="2"/>
      <c r="CBQ24" s="2"/>
      <c r="CBR24" s="2"/>
      <c r="CBS24" s="2"/>
      <c r="CBT24" s="2"/>
      <c r="CBU24" s="2"/>
      <c r="CBV24" s="2"/>
      <c r="CBW24" s="2"/>
      <c r="CBX24" s="2"/>
      <c r="CBY24" s="2"/>
      <c r="CBZ24" s="2"/>
      <c r="CCA24" s="2"/>
      <c r="CCB24" s="2"/>
      <c r="CCC24" s="2"/>
      <c r="CCD24" s="2"/>
      <c r="CCE24" s="2"/>
      <c r="CCF24" s="2"/>
      <c r="CCG24" s="2"/>
      <c r="CCH24" s="2"/>
      <c r="CCI24" s="2"/>
      <c r="CCJ24" s="2"/>
      <c r="CCK24" s="2"/>
      <c r="CCL24" s="2"/>
      <c r="CCM24" s="2"/>
      <c r="CCN24" s="2"/>
      <c r="CCO24" s="2"/>
      <c r="CCP24" s="2"/>
      <c r="CCQ24" s="2"/>
      <c r="CCR24" s="2"/>
      <c r="CCS24" s="2"/>
      <c r="CCT24" s="2"/>
      <c r="CCU24" s="2"/>
      <c r="CCV24" s="2"/>
      <c r="CCW24" s="2"/>
      <c r="CCX24" s="2"/>
      <c r="CCY24" s="2"/>
      <c r="CCZ24" s="2"/>
      <c r="CDA24" s="2"/>
      <c r="CDB24" s="2"/>
      <c r="CDC24" s="2"/>
      <c r="CDD24" s="2"/>
      <c r="CDE24" s="2"/>
      <c r="CDF24" s="2"/>
      <c r="CDG24" s="2"/>
      <c r="CDH24" s="2"/>
      <c r="CDI24" s="2"/>
      <c r="CDJ24" s="2"/>
      <c r="CDK24" s="2"/>
      <c r="CDL24" s="2"/>
      <c r="CDM24" s="2"/>
      <c r="CDN24" s="2"/>
      <c r="CDO24" s="2"/>
      <c r="CDP24" s="2"/>
      <c r="CDQ24" s="2"/>
      <c r="CDR24" s="2"/>
      <c r="CDS24" s="2"/>
      <c r="CDT24" s="2"/>
      <c r="CDU24" s="2"/>
      <c r="CDV24" s="2"/>
      <c r="CDW24" s="2"/>
      <c r="CDX24" s="2"/>
      <c r="CDY24" s="2"/>
      <c r="CDZ24" s="2"/>
      <c r="CEA24" s="2"/>
      <c r="CEB24" s="2"/>
      <c r="CEC24" s="2"/>
      <c r="CED24" s="2"/>
      <c r="CEE24" s="2"/>
      <c r="CEF24" s="2"/>
      <c r="CEG24" s="2"/>
      <c r="CEH24" s="2"/>
      <c r="CEI24" s="2"/>
      <c r="CEJ24" s="2"/>
      <c r="CEK24" s="2"/>
      <c r="CEL24" s="2"/>
      <c r="CEM24" s="2"/>
      <c r="CEN24" s="2"/>
      <c r="CEO24" s="2"/>
      <c r="CEP24" s="2"/>
      <c r="CEQ24" s="2"/>
      <c r="CER24" s="2"/>
      <c r="CES24" s="2"/>
      <c r="CET24" s="2"/>
      <c r="CEU24" s="2"/>
      <c r="CEV24" s="2"/>
      <c r="CEW24" s="2"/>
      <c r="CEX24" s="2"/>
      <c r="CEY24" s="2"/>
      <c r="CEZ24" s="2"/>
      <c r="CFA24" s="2"/>
      <c r="CFB24" s="2"/>
      <c r="CFC24" s="2"/>
      <c r="CFD24" s="2"/>
      <c r="CFE24" s="2"/>
      <c r="CFF24" s="2"/>
      <c r="CFG24" s="2"/>
      <c r="CFH24" s="2"/>
      <c r="CFI24" s="2"/>
      <c r="CFJ24" s="2"/>
      <c r="CFK24" s="2"/>
      <c r="CFL24" s="2"/>
      <c r="CFM24" s="2"/>
      <c r="CFN24" s="2"/>
      <c r="CFO24" s="2"/>
      <c r="CFP24" s="2"/>
      <c r="CFQ24" s="2"/>
      <c r="CFR24" s="2"/>
      <c r="CFS24" s="2"/>
      <c r="CFT24" s="2"/>
      <c r="CFU24" s="2"/>
      <c r="CFV24" s="2"/>
      <c r="CFW24" s="2"/>
      <c r="CFX24" s="2"/>
      <c r="CFY24" s="2"/>
      <c r="CFZ24" s="2"/>
      <c r="CGA24" s="2"/>
      <c r="CGB24" s="2"/>
      <c r="CGC24" s="2"/>
      <c r="CGD24" s="2"/>
      <c r="CGE24" s="2"/>
      <c r="CGF24" s="2"/>
      <c r="CGG24" s="2"/>
      <c r="CGH24" s="2"/>
      <c r="CGI24" s="2"/>
      <c r="CGJ24" s="2"/>
      <c r="CGK24" s="2"/>
      <c r="CGL24" s="2"/>
      <c r="CGM24" s="2"/>
      <c r="CGN24" s="2"/>
      <c r="CGO24" s="2"/>
      <c r="CGP24" s="2"/>
      <c r="CGQ24" s="2"/>
      <c r="CGR24" s="2"/>
      <c r="CGS24" s="2"/>
      <c r="CGT24" s="2"/>
      <c r="CGU24" s="2"/>
      <c r="CGV24" s="2"/>
      <c r="CGW24" s="2"/>
      <c r="CGX24" s="2"/>
      <c r="CGY24" s="2"/>
      <c r="CGZ24" s="2"/>
      <c r="CHA24" s="2"/>
      <c r="CHB24" s="2"/>
      <c r="CHC24" s="2"/>
      <c r="CHD24" s="2"/>
      <c r="CHE24" s="2"/>
      <c r="CHF24" s="2"/>
      <c r="CHG24" s="2"/>
      <c r="CHH24" s="2"/>
      <c r="CHI24" s="2"/>
      <c r="CHJ24" s="2"/>
      <c r="CHK24" s="2"/>
      <c r="CHL24" s="2"/>
      <c r="CHM24" s="2"/>
      <c r="CHN24" s="2"/>
      <c r="CHO24" s="2"/>
      <c r="CHP24" s="2"/>
      <c r="CHQ24" s="2"/>
      <c r="CHR24" s="2"/>
      <c r="CHS24" s="2"/>
      <c r="CHT24" s="2"/>
      <c r="CHU24" s="2"/>
      <c r="CHV24" s="2"/>
      <c r="CHW24" s="2"/>
      <c r="CHX24" s="2"/>
      <c r="CHY24" s="2"/>
      <c r="CHZ24" s="2"/>
      <c r="CIA24" s="2"/>
      <c r="CIB24" s="2"/>
      <c r="CIC24" s="2"/>
      <c r="CID24" s="2"/>
      <c r="CIE24" s="2"/>
      <c r="CIF24" s="2"/>
      <c r="CIG24" s="2"/>
      <c r="CIH24" s="2"/>
      <c r="CII24" s="2"/>
      <c r="CIJ24" s="2"/>
      <c r="CIK24" s="2"/>
      <c r="CIL24" s="2"/>
      <c r="CIM24" s="2"/>
      <c r="CIN24" s="2"/>
      <c r="CIO24" s="2"/>
      <c r="CIP24" s="2"/>
      <c r="CIQ24" s="2"/>
      <c r="CIR24" s="2"/>
      <c r="CIS24" s="2"/>
      <c r="CIT24" s="2"/>
      <c r="CIU24" s="2"/>
      <c r="CIV24" s="2"/>
      <c r="CIW24" s="2"/>
      <c r="CIX24" s="2"/>
      <c r="CIY24" s="2"/>
      <c r="CIZ24" s="2"/>
      <c r="CJA24" s="2"/>
      <c r="CJB24" s="2"/>
      <c r="CJC24" s="2"/>
      <c r="CJD24" s="2"/>
      <c r="CJE24" s="2"/>
      <c r="CJF24" s="2"/>
      <c r="CJG24" s="2"/>
      <c r="CJH24" s="2"/>
      <c r="CJI24" s="2"/>
      <c r="CJJ24" s="2"/>
      <c r="CJK24" s="2"/>
      <c r="CJL24" s="2"/>
      <c r="CJM24" s="2"/>
      <c r="CJN24" s="2"/>
      <c r="CJO24" s="2"/>
      <c r="CJP24" s="2"/>
      <c r="CJQ24" s="2"/>
      <c r="CJR24" s="2"/>
      <c r="CJS24" s="2"/>
      <c r="CJT24" s="2"/>
      <c r="CJU24" s="2"/>
      <c r="CJV24" s="2"/>
      <c r="CJW24" s="2"/>
      <c r="CJX24" s="2"/>
      <c r="CJY24" s="2"/>
      <c r="CJZ24" s="2"/>
      <c r="CKA24" s="2"/>
      <c r="CKB24" s="2"/>
      <c r="CKC24" s="2"/>
      <c r="CKD24" s="2"/>
      <c r="CKE24" s="2"/>
      <c r="CKF24" s="2"/>
      <c r="CKG24" s="2"/>
      <c r="CKH24" s="2"/>
      <c r="CKI24" s="2"/>
      <c r="CKJ24" s="2"/>
      <c r="CKK24" s="2"/>
      <c r="CKL24" s="2"/>
      <c r="CKM24" s="2"/>
      <c r="CKN24" s="2"/>
      <c r="CKO24" s="2"/>
      <c r="CKP24" s="2"/>
      <c r="CKQ24" s="2"/>
      <c r="CKR24" s="2"/>
      <c r="CKS24" s="2"/>
      <c r="CKT24" s="2"/>
      <c r="CKU24" s="2"/>
      <c r="CKV24" s="2"/>
      <c r="CKW24" s="2"/>
      <c r="CKX24" s="2"/>
      <c r="CKY24" s="2"/>
      <c r="CKZ24" s="2"/>
      <c r="CLA24" s="2"/>
      <c r="CLB24" s="2"/>
      <c r="CLC24" s="2"/>
      <c r="CLD24" s="2"/>
      <c r="CLE24" s="2"/>
      <c r="CLF24" s="2"/>
      <c r="CLG24" s="2"/>
      <c r="CLH24" s="2"/>
      <c r="CLI24" s="2"/>
      <c r="CLJ24" s="2"/>
      <c r="CLK24" s="2"/>
      <c r="CLL24" s="2"/>
      <c r="CLM24" s="2"/>
      <c r="CLN24" s="2"/>
      <c r="CLO24" s="2"/>
      <c r="CLP24" s="2"/>
      <c r="CLQ24" s="2"/>
      <c r="CLR24" s="2"/>
      <c r="CLS24" s="2"/>
      <c r="CLT24" s="2"/>
      <c r="CLU24" s="2"/>
      <c r="CLV24" s="2"/>
      <c r="CLW24" s="2"/>
      <c r="CLX24" s="2"/>
      <c r="CLY24" s="2"/>
      <c r="CLZ24" s="2"/>
      <c r="CMA24" s="2"/>
      <c r="CMB24" s="2"/>
      <c r="CMC24" s="2"/>
      <c r="CMD24" s="2"/>
      <c r="CME24" s="2"/>
      <c r="CMF24" s="2"/>
      <c r="CMG24" s="2"/>
      <c r="CMH24" s="2"/>
      <c r="CMI24" s="2"/>
      <c r="CMJ24" s="2"/>
      <c r="CMK24" s="2"/>
      <c r="CML24" s="2"/>
      <c r="CMM24" s="2"/>
      <c r="CMN24" s="2"/>
      <c r="CMO24" s="2"/>
      <c r="CMP24" s="2"/>
      <c r="CMQ24" s="2"/>
      <c r="CMR24" s="2"/>
      <c r="CMS24" s="2"/>
      <c r="CMT24" s="2"/>
      <c r="CMU24" s="2"/>
      <c r="CMV24" s="2"/>
      <c r="CMW24" s="2"/>
      <c r="CMX24" s="2"/>
      <c r="CMY24" s="2"/>
      <c r="CMZ24" s="2"/>
      <c r="CNA24" s="2"/>
      <c r="CNB24" s="2"/>
      <c r="CNC24" s="2"/>
      <c r="CND24" s="2"/>
      <c r="CNE24" s="2"/>
      <c r="CNF24" s="2"/>
      <c r="CNG24" s="2"/>
      <c r="CNH24" s="2"/>
      <c r="CNI24" s="2"/>
      <c r="CNJ24" s="2"/>
      <c r="CNK24" s="2"/>
      <c r="CNL24" s="2"/>
      <c r="CNM24" s="2"/>
      <c r="CNN24" s="2"/>
      <c r="CNO24" s="2"/>
      <c r="CNP24" s="2"/>
      <c r="CNQ24" s="2"/>
      <c r="CNR24" s="2"/>
      <c r="CNS24" s="2"/>
      <c r="CNT24" s="2"/>
      <c r="CNU24" s="2"/>
      <c r="CNV24" s="2"/>
      <c r="CNW24" s="2"/>
      <c r="CNX24" s="2"/>
      <c r="CNY24" s="2"/>
      <c r="CNZ24" s="2"/>
      <c r="COA24" s="2"/>
      <c r="COB24" s="2"/>
      <c r="COC24" s="2"/>
      <c r="COD24" s="2"/>
      <c r="COE24" s="2"/>
      <c r="COF24" s="2"/>
      <c r="COG24" s="2"/>
      <c r="COH24" s="2"/>
      <c r="COI24" s="2"/>
      <c r="COJ24" s="2"/>
      <c r="COK24" s="2"/>
      <c r="COL24" s="2"/>
      <c r="COM24" s="2"/>
      <c r="CON24" s="2"/>
      <c r="COO24" s="2"/>
      <c r="COP24" s="2"/>
      <c r="COQ24" s="2"/>
      <c r="COR24" s="2"/>
      <c r="COS24" s="2"/>
      <c r="COT24" s="2"/>
      <c r="COU24" s="2"/>
      <c r="COV24" s="2"/>
      <c r="COW24" s="2"/>
      <c r="COX24" s="2"/>
      <c r="COY24" s="2"/>
      <c r="COZ24" s="2"/>
      <c r="CPA24" s="2"/>
      <c r="CPB24" s="2"/>
      <c r="CPC24" s="2"/>
      <c r="CPD24" s="2"/>
      <c r="CPE24" s="2"/>
      <c r="CPF24" s="2"/>
      <c r="CPG24" s="2"/>
      <c r="CPH24" s="2"/>
      <c r="CPI24" s="2"/>
      <c r="CPJ24" s="2"/>
      <c r="CPK24" s="2"/>
      <c r="CPL24" s="2"/>
      <c r="CPM24" s="2"/>
      <c r="CPN24" s="2"/>
      <c r="CPO24" s="2"/>
      <c r="CPP24" s="2"/>
      <c r="CPQ24" s="2"/>
      <c r="CPR24" s="2"/>
      <c r="CPS24" s="2"/>
      <c r="CPT24" s="2"/>
      <c r="CPU24" s="2"/>
      <c r="CPV24" s="2"/>
      <c r="CPW24" s="2"/>
      <c r="CPX24" s="2"/>
      <c r="CPY24" s="2"/>
      <c r="CPZ24" s="2"/>
      <c r="CQA24" s="2"/>
      <c r="CQB24" s="2"/>
      <c r="CQC24" s="2"/>
      <c r="CQD24" s="2"/>
      <c r="CQE24" s="2"/>
      <c r="CQF24" s="2"/>
      <c r="CQG24" s="2"/>
      <c r="CQH24" s="2"/>
      <c r="CQI24" s="2"/>
      <c r="CQJ24" s="2"/>
      <c r="CQK24" s="2"/>
      <c r="CQL24" s="2"/>
      <c r="CQM24" s="2"/>
      <c r="CQN24" s="2"/>
      <c r="CQO24" s="2"/>
      <c r="CQP24" s="2"/>
      <c r="CQQ24" s="2"/>
      <c r="CQR24" s="2"/>
      <c r="CQS24" s="2"/>
      <c r="CQT24" s="2"/>
      <c r="CQU24" s="2"/>
      <c r="CQV24" s="2"/>
      <c r="CQW24" s="2"/>
      <c r="CQX24" s="2"/>
      <c r="CQY24" s="2"/>
      <c r="CQZ24" s="2"/>
      <c r="CRA24" s="2"/>
      <c r="CRB24" s="2"/>
      <c r="CRC24" s="2"/>
      <c r="CRD24" s="2"/>
      <c r="CRE24" s="2"/>
      <c r="CRF24" s="2"/>
      <c r="CRG24" s="2"/>
      <c r="CRH24" s="2"/>
      <c r="CRI24" s="2"/>
      <c r="CRJ24" s="2"/>
      <c r="CRK24" s="2"/>
      <c r="CRL24" s="2"/>
      <c r="CRM24" s="2"/>
      <c r="CRN24" s="2"/>
      <c r="CRO24" s="2"/>
      <c r="CRP24" s="2"/>
      <c r="CRQ24" s="2"/>
      <c r="CRR24" s="2"/>
      <c r="CRS24" s="2"/>
      <c r="CRT24" s="2"/>
      <c r="CRU24" s="2"/>
      <c r="CRV24" s="2"/>
      <c r="CRW24" s="2"/>
      <c r="CRX24" s="2"/>
      <c r="CRY24" s="2"/>
      <c r="CRZ24" s="2"/>
      <c r="CSA24" s="2"/>
      <c r="CSB24" s="2"/>
      <c r="CSC24" s="2"/>
      <c r="CSD24" s="2"/>
      <c r="CSE24" s="2"/>
      <c r="CSF24" s="2"/>
      <c r="CSG24" s="2"/>
      <c r="CSH24" s="2"/>
      <c r="CSI24" s="2"/>
      <c r="CSJ24" s="2"/>
      <c r="CSK24" s="2"/>
      <c r="CSL24" s="2"/>
      <c r="CSM24" s="2"/>
      <c r="CSN24" s="2"/>
      <c r="CSO24" s="2"/>
      <c r="CSP24" s="2"/>
      <c r="CSQ24" s="2"/>
      <c r="CSR24" s="2"/>
      <c r="CSS24" s="2"/>
      <c r="CST24" s="2"/>
      <c r="CSU24" s="2"/>
      <c r="CSV24" s="2"/>
      <c r="CSW24" s="2"/>
      <c r="CSX24" s="2"/>
      <c r="CSY24" s="2"/>
      <c r="CSZ24" s="2"/>
      <c r="CTA24" s="2"/>
      <c r="CTB24" s="2"/>
      <c r="CTC24" s="2"/>
      <c r="CTD24" s="2"/>
      <c r="CTE24" s="2"/>
      <c r="CTF24" s="2"/>
      <c r="CTG24" s="2"/>
      <c r="CTH24" s="2"/>
      <c r="CTI24" s="2"/>
      <c r="CTJ24" s="2"/>
      <c r="CTK24" s="2"/>
      <c r="CTL24" s="2"/>
      <c r="CTM24" s="2"/>
      <c r="CTN24" s="2"/>
      <c r="CTO24" s="2"/>
      <c r="CTP24" s="2"/>
      <c r="CTQ24" s="2"/>
      <c r="CTR24" s="2"/>
      <c r="CTS24" s="2"/>
      <c r="CTT24" s="2"/>
      <c r="CTU24" s="2"/>
      <c r="CTV24" s="2"/>
      <c r="CTW24" s="2"/>
      <c r="CTX24" s="2"/>
      <c r="CTY24" s="2"/>
      <c r="CTZ24" s="2"/>
      <c r="CUA24" s="2"/>
      <c r="CUB24" s="2"/>
      <c r="CUC24" s="2"/>
      <c r="CUD24" s="2"/>
      <c r="CUE24" s="2"/>
      <c r="CUF24" s="2"/>
      <c r="CUG24" s="2"/>
      <c r="CUH24" s="2"/>
      <c r="CUI24" s="2"/>
      <c r="CUJ24" s="2"/>
      <c r="CUK24" s="2"/>
      <c r="CUL24" s="2"/>
      <c r="CUM24" s="2"/>
      <c r="CUN24" s="2"/>
      <c r="CUO24" s="2"/>
      <c r="CUP24" s="2"/>
      <c r="CUQ24" s="2"/>
      <c r="CUR24" s="2"/>
      <c r="CUS24" s="2"/>
      <c r="CUT24" s="2"/>
      <c r="CUU24" s="2"/>
      <c r="CUV24" s="2"/>
      <c r="CUW24" s="2"/>
      <c r="CUX24" s="2"/>
      <c r="CUY24" s="2"/>
      <c r="CUZ24" s="2"/>
      <c r="CVA24" s="2"/>
      <c r="CVB24" s="2"/>
      <c r="CVC24" s="2"/>
      <c r="CVD24" s="2"/>
      <c r="CVE24" s="2"/>
      <c r="CVF24" s="2"/>
      <c r="CVG24" s="2"/>
      <c r="CVH24" s="2"/>
      <c r="CVI24" s="2"/>
      <c r="CVJ24" s="2"/>
      <c r="CVK24" s="2"/>
      <c r="CVL24" s="2"/>
      <c r="CVM24" s="2"/>
      <c r="CVN24" s="2"/>
      <c r="CVO24" s="2"/>
      <c r="CVP24" s="2"/>
      <c r="CVQ24" s="2"/>
      <c r="CVR24" s="2"/>
      <c r="CVS24" s="2"/>
      <c r="CVT24" s="2"/>
      <c r="CVU24" s="2"/>
      <c r="CVV24" s="2"/>
      <c r="CVW24" s="2"/>
      <c r="CVX24" s="2"/>
      <c r="CVY24" s="2"/>
      <c r="CVZ24" s="2"/>
      <c r="CWA24" s="2"/>
      <c r="CWB24" s="2"/>
      <c r="CWC24" s="2"/>
      <c r="CWD24" s="2"/>
      <c r="CWE24" s="2"/>
      <c r="CWF24" s="2"/>
      <c r="CWG24" s="2"/>
      <c r="CWH24" s="2"/>
      <c r="CWI24" s="2"/>
      <c r="CWJ24" s="2"/>
      <c r="CWK24" s="2"/>
      <c r="CWL24" s="2"/>
      <c r="CWM24" s="2"/>
      <c r="CWN24" s="2"/>
      <c r="CWO24" s="2"/>
      <c r="CWP24" s="2"/>
      <c r="CWQ24" s="2"/>
      <c r="CWR24" s="2"/>
      <c r="CWS24" s="2"/>
      <c r="CWT24" s="2"/>
      <c r="CWU24" s="2"/>
      <c r="CWV24" s="2"/>
      <c r="CWW24" s="2"/>
      <c r="CWX24" s="2"/>
      <c r="CWY24" s="2"/>
      <c r="CWZ24" s="2"/>
      <c r="CXA24" s="2"/>
      <c r="CXB24" s="2"/>
      <c r="CXC24" s="2"/>
      <c r="CXD24" s="2"/>
      <c r="CXE24" s="2"/>
      <c r="CXF24" s="2"/>
      <c r="CXG24" s="2"/>
      <c r="CXH24" s="2"/>
      <c r="CXI24" s="2"/>
      <c r="CXJ24" s="2"/>
      <c r="CXK24" s="2"/>
      <c r="CXL24" s="2"/>
      <c r="CXM24" s="2"/>
      <c r="CXN24" s="2"/>
      <c r="CXO24" s="2"/>
      <c r="CXP24" s="2"/>
      <c r="CXQ24" s="2"/>
      <c r="CXR24" s="2"/>
      <c r="CXS24" s="2"/>
      <c r="CXT24" s="2"/>
      <c r="CXU24" s="2"/>
      <c r="CXV24" s="2"/>
      <c r="CXW24" s="2"/>
      <c r="CXX24" s="2"/>
      <c r="CXY24" s="2"/>
      <c r="CXZ24" s="2"/>
      <c r="CYA24" s="2"/>
      <c r="CYB24" s="2"/>
      <c r="CYC24" s="2"/>
      <c r="CYD24" s="2"/>
      <c r="CYE24" s="2"/>
      <c r="CYF24" s="2"/>
      <c r="CYG24" s="2"/>
      <c r="CYH24" s="2"/>
      <c r="CYI24" s="2"/>
      <c r="CYJ24" s="2"/>
      <c r="CYK24" s="2"/>
      <c r="CYL24" s="2"/>
      <c r="CYM24" s="2"/>
      <c r="CYN24" s="2"/>
      <c r="CYO24" s="2"/>
      <c r="CYP24" s="2"/>
      <c r="CYQ24" s="2"/>
      <c r="CYR24" s="2"/>
      <c r="CYS24" s="2"/>
      <c r="CYT24" s="2"/>
      <c r="CYU24" s="2"/>
      <c r="CYV24" s="2"/>
      <c r="CYW24" s="2"/>
      <c r="CYX24" s="2"/>
      <c r="CYY24" s="2"/>
      <c r="CYZ24" s="2"/>
      <c r="CZA24" s="2"/>
      <c r="CZB24" s="2"/>
      <c r="CZC24" s="2"/>
      <c r="CZD24" s="2"/>
      <c r="CZE24" s="2"/>
      <c r="CZF24" s="2"/>
      <c r="CZG24" s="2"/>
      <c r="CZH24" s="2"/>
      <c r="CZI24" s="2"/>
      <c r="CZJ24" s="2"/>
      <c r="CZK24" s="2"/>
      <c r="CZL24" s="2"/>
      <c r="CZM24" s="2"/>
      <c r="CZN24" s="2"/>
      <c r="CZO24" s="2"/>
      <c r="CZP24" s="2"/>
      <c r="CZQ24" s="2"/>
      <c r="CZR24" s="2"/>
      <c r="CZS24" s="2"/>
      <c r="CZT24" s="2"/>
      <c r="CZU24" s="2"/>
      <c r="CZV24" s="2"/>
      <c r="CZW24" s="2"/>
      <c r="CZX24" s="2"/>
      <c r="CZY24" s="2"/>
      <c r="CZZ24" s="2"/>
      <c r="DAA24" s="2"/>
      <c r="DAB24" s="2"/>
      <c r="DAC24" s="2"/>
      <c r="DAD24" s="2"/>
      <c r="DAE24" s="2"/>
      <c r="DAF24" s="2"/>
      <c r="DAG24" s="2"/>
      <c r="DAH24" s="2"/>
      <c r="DAI24" s="2"/>
      <c r="DAJ24" s="2"/>
      <c r="DAK24" s="2"/>
      <c r="DAL24" s="2"/>
      <c r="DAM24" s="2"/>
      <c r="DAN24" s="2"/>
      <c r="DAO24" s="2"/>
      <c r="DAP24" s="2"/>
      <c r="DAQ24" s="2"/>
      <c r="DAR24" s="2"/>
      <c r="DAS24" s="2"/>
      <c r="DAT24" s="2"/>
      <c r="DAU24" s="2"/>
      <c r="DAV24" s="2"/>
      <c r="DAW24" s="2"/>
      <c r="DAX24" s="2"/>
      <c r="DAY24" s="2"/>
      <c r="DAZ24" s="2"/>
      <c r="DBA24" s="2"/>
      <c r="DBB24" s="2"/>
      <c r="DBC24" s="2"/>
      <c r="DBD24" s="2"/>
      <c r="DBE24" s="2"/>
      <c r="DBF24" s="2"/>
      <c r="DBG24" s="2"/>
      <c r="DBH24" s="2"/>
      <c r="DBI24" s="2"/>
      <c r="DBJ24" s="2"/>
      <c r="DBK24" s="2"/>
      <c r="DBL24" s="2"/>
      <c r="DBM24" s="2"/>
      <c r="DBN24" s="2"/>
      <c r="DBO24" s="2"/>
      <c r="DBP24" s="2"/>
      <c r="DBQ24" s="2"/>
      <c r="DBR24" s="2"/>
      <c r="DBS24" s="2"/>
      <c r="DBT24" s="2"/>
      <c r="DBU24" s="2"/>
      <c r="DBV24" s="2"/>
      <c r="DBW24" s="2"/>
      <c r="DBX24" s="2"/>
      <c r="DBY24" s="2"/>
      <c r="DBZ24" s="2"/>
      <c r="DCA24" s="2"/>
      <c r="DCB24" s="2"/>
      <c r="DCC24" s="2"/>
      <c r="DCD24" s="2"/>
      <c r="DCE24" s="2"/>
      <c r="DCF24" s="2"/>
      <c r="DCG24" s="2"/>
      <c r="DCH24" s="2"/>
      <c r="DCI24" s="2"/>
      <c r="DCJ24" s="2"/>
      <c r="DCK24" s="2"/>
      <c r="DCL24" s="2"/>
      <c r="DCM24" s="2"/>
      <c r="DCN24" s="2"/>
      <c r="DCO24" s="2"/>
      <c r="DCP24" s="2"/>
      <c r="DCQ24" s="2"/>
      <c r="DCR24" s="2"/>
      <c r="DCS24" s="2"/>
      <c r="DCT24" s="2"/>
      <c r="DCU24" s="2"/>
      <c r="DCV24" s="2"/>
      <c r="DCW24" s="2"/>
      <c r="DCX24" s="2"/>
      <c r="DCY24" s="2"/>
      <c r="DCZ24" s="2"/>
      <c r="DDA24" s="2"/>
      <c r="DDB24" s="2"/>
      <c r="DDC24" s="2"/>
      <c r="DDD24" s="2"/>
      <c r="DDE24" s="2"/>
      <c r="DDF24" s="2"/>
      <c r="DDG24" s="2"/>
      <c r="DDH24" s="2"/>
      <c r="DDI24" s="2"/>
      <c r="DDJ24" s="2"/>
      <c r="DDK24" s="2"/>
      <c r="DDL24" s="2"/>
      <c r="DDM24" s="2"/>
      <c r="DDN24" s="2"/>
      <c r="DDO24" s="2"/>
      <c r="DDP24" s="2"/>
      <c r="DDQ24" s="2"/>
      <c r="DDR24" s="2"/>
      <c r="DDS24" s="2"/>
      <c r="DDT24" s="2"/>
      <c r="DDU24" s="2"/>
      <c r="DDV24" s="2"/>
      <c r="DDW24" s="2"/>
      <c r="DDX24" s="2"/>
      <c r="DDY24" s="2"/>
      <c r="DDZ24" s="2"/>
      <c r="DEA24" s="2"/>
      <c r="DEB24" s="2"/>
      <c r="DEC24" s="2"/>
      <c r="DED24" s="2"/>
      <c r="DEE24" s="2"/>
      <c r="DEF24" s="2"/>
      <c r="DEG24" s="2"/>
      <c r="DEH24" s="2"/>
      <c r="DEI24" s="2"/>
      <c r="DEJ24" s="2"/>
      <c r="DEK24" s="2"/>
      <c r="DEL24" s="2"/>
      <c r="DEM24" s="2"/>
      <c r="DEN24" s="2"/>
      <c r="DEO24" s="2"/>
      <c r="DEP24" s="2"/>
      <c r="DEQ24" s="2"/>
      <c r="DER24" s="2"/>
      <c r="DES24" s="2"/>
      <c r="DET24" s="2"/>
      <c r="DEU24" s="2"/>
      <c r="DEV24" s="2"/>
      <c r="DEW24" s="2"/>
      <c r="DEX24" s="2"/>
      <c r="DEY24" s="2"/>
      <c r="DEZ24" s="2"/>
      <c r="DFA24" s="2"/>
      <c r="DFB24" s="2"/>
      <c r="DFC24" s="2"/>
      <c r="DFD24" s="2"/>
      <c r="DFE24" s="2"/>
      <c r="DFF24" s="2"/>
      <c r="DFG24" s="2"/>
      <c r="DFH24" s="2"/>
      <c r="DFI24" s="2"/>
      <c r="DFJ24" s="2"/>
      <c r="DFK24" s="2"/>
      <c r="DFL24" s="2"/>
      <c r="DFM24" s="2"/>
      <c r="DFN24" s="2"/>
      <c r="DFO24" s="2"/>
      <c r="DFP24" s="2"/>
      <c r="DFQ24" s="2"/>
      <c r="DFR24" s="2"/>
      <c r="DFS24" s="2"/>
      <c r="DFT24" s="2"/>
      <c r="DFU24" s="2"/>
      <c r="DFV24" s="2"/>
      <c r="DFW24" s="2"/>
      <c r="DFX24" s="2"/>
      <c r="DFY24" s="2"/>
      <c r="DFZ24" s="2"/>
      <c r="DGA24" s="2"/>
      <c r="DGB24" s="2"/>
      <c r="DGC24" s="2"/>
      <c r="DGD24" s="2"/>
      <c r="DGE24" s="2"/>
      <c r="DGF24" s="2"/>
      <c r="DGG24" s="2"/>
      <c r="DGH24" s="2"/>
      <c r="DGI24" s="2"/>
      <c r="DGJ24" s="2"/>
      <c r="DGK24" s="2"/>
      <c r="DGL24" s="2"/>
      <c r="DGM24" s="2"/>
      <c r="DGN24" s="2"/>
      <c r="DGO24" s="2"/>
      <c r="DGP24" s="2"/>
      <c r="DGQ24" s="2"/>
      <c r="DGR24" s="2"/>
      <c r="DGS24" s="2"/>
      <c r="DGT24" s="2"/>
      <c r="DGU24" s="2"/>
      <c r="DGV24" s="2"/>
      <c r="DGW24" s="2"/>
      <c r="DGX24" s="2"/>
      <c r="DGY24" s="2"/>
      <c r="DGZ24" s="2"/>
      <c r="DHA24" s="2"/>
      <c r="DHB24" s="2"/>
      <c r="DHC24" s="2"/>
      <c r="DHD24" s="2"/>
      <c r="DHE24" s="2"/>
      <c r="DHF24" s="2"/>
      <c r="DHG24" s="2"/>
      <c r="DHH24" s="2"/>
      <c r="DHI24" s="2"/>
      <c r="DHJ24" s="2"/>
      <c r="DHK24" s="2"/>
      <c r="DHL24" s="2"/>
      <c r="DHM24" s="2"/>
      <c r="DHN24" s="2"/>
      <c r="DHO24" s="2"/>
      <c r="DHP24" s="2"/>
      <c r="DHQ24" s="2"/>
      <c r="DHR24" s="2"/>
      <c r="DHS24" s="2"/>
      <c r="DHT24" s="2"/>
      <c r="DHU24" s="2"/>
      <c r="DHV24" s="2"/>
      <c r="DHW24" s="2"/>
      <c r="DHX24" s="2"/>
      <c r="DHY24" s="2"/>
      <c r="DHZ24" s="2"/>
      <c r="DIA24" s="2"/>
      <c r="DIB24" s="2"/>
      <c r="DIC24" s="2"/>
      <c r="DID24" s="2"/>
      <c r="DIE24" s="2"/>
      <c r="DIF24" s="2"/>
      <c r="DIG24" s="2"/>
      <c r="DIH24" s="2"/>
      <c r="DII24" s="2"/>
      <c r="DIJ24" s="2"/>
      <c r="DIK24" s="2"/>
      <c r="DIL24" s="2"/>
      <c r="DIM24" s="2"/>
      <c r="DIN24" s="2"/>
      <c r="DIO24" s="2"/>
      <c r="DIP24" s="2"/>
      <c r="DIQ24" s="2"/>
      <c r="DIR24" s="2"/>
      <c r="DIS24" s="2"/>
      <c r="DIT24" s="2"/>
      <c r="DIU24" s="2"/>
      <c r="DIV24" s="2"/>
      <c r="DIW24" s="2"/>
      <c r="DIX24" s="2"/>
      <c r="DIY24" s="2"/>
      <c r="DIZ24" s="2"/>
      <c r="DJA24" s="2"/>
      <c r="DJB24" s="2"/>
      <c r="DJC24" s="2"/>
      <c r="DJD24" s="2"/>
      <c r="DJE24" s="2"/>
      <c r="DJF24" s="2"/>
      <c r="DJG24" s="2"/>
      <c r="DJH24" s="2"/>
      <c r="DJI24" s="2"/>
      <c r="DJJ24" s="2"/>
      <c r="DJK24" s="2"/>
      <c r="DJL24" s="2"/>
      <c r="DJM24" s="2"/>
      <c r="DJN24" s="2"/>
      <c r="DJO24" s="2"/>
      <c r="DJP24" s="2"/>
      <c r="DJQ24" s="2"/>
      <c r="DJR24" s="2"/>
      <c r="DJS24" s="2"/>
      <c r="DJT24" s="2"/>
      <c r="DJU24" s="2"/>
      <c r="DJV24" s="2"/>
      <c r="DJW24" s="2"/>
      <c r="DJX24" s="2"/>
      <c r="DJY24" s="2"/>
      <c r="DJZ24" s="2"/>
      <c r="DKA24" s="2"/>
      <c r="DKB24" s="2"/>
      <c r="DKC24" s="2"/>
      <c r="DKD24" s="2"/>
      <c r="DKE24" s="2"/>
      <c r="DKF24" s="2"/>
      <c r="DKG24" s="2"/>
      <c r="DKH24" s="2"/>
      <c r="DKI24" s="2"/>
      <c r="DKJ24" s="2"/>
      <c r="DKK24" s="2"/>
      <c r="DKL24" s="2"/>
      <c r="DKM24" s="2"/>
      <c r="DKN24" s="2"/>
      <c r="DKO24" s="2"/>
      <c r="DKP24" s="2"/>
      <c r="DKQ24" s="2"/>
      <c r="DKR24" s="2"/>
      <c r="DKS24" s="2"/>
      <c r="DKT24" s="2"/>
      <c r="DKU24" s="2"/>
      <c r="DKV24" s="2"/>
      <c r="DKW24" s="2"/>
      <c r="DKX24" s="2"/>
      <c r="DKY24" s="2"/>
      <c r="DKZ24" s="2"/>
      <c r="DLA24" s="2"/>
      <c r="DLB24" s="2"/>
      <c r="DLC24" s="2"/>
      <c r="DLD24" s="2"/>
      <c r="DLE24" s="2"/>
      <c r="DLF24" s="2"/>
      <c r="DLG24" s="2"/>
      <c r="DLH24" s="2"/>
      <c r="DLI24" s="2"/>
      <c r="DLJ24" s="2"/>
      <c r="DLK24" s="2"/>
      <c r="DLL24" s="2"/>
      <c r="DLM24" s="2"/>
      <c r="DLN24" s="2"/>
      <c r="DLO24" s="2"/>
      <c r="DLP24" s="2"/>
      <c r="DLQ24" s="2"/>
      <c r="DLR24" s="2"/>
      <c r="DLS24" s="2"/>
      <c r="DLT24" s="2"/>
      <c r="DLU24" s="2"/>
      <c r="DLV24" s="2"/>
      <c r="DLW24" s="2"/>
      <c r="DLX24" s="2"/>
      <c r="DLY24" s="2"/>
      <c r="DLZ24" s="2"/>
      <c r="DMA24" s="2"/>
      <c r="DMB24" s="2"/>
      <c r="DMC24" s="2"/>
      <c r="DMD24" s="2"/>
      <c r="DME24" s="2"/>
      <c r="DMF24" s="2"/>
      <c r="DMG24" s="2"/>
      <c r="DMH24" s="2"/>
      <c r="DMI24" s="2"/>
      <c r="DMJ24" s="2"/>
      <c r="DMK24" s="2"/>
      <c r="DML24" s="2"/>
      <c r="DMM24" s="2"/>
      <c r="DMN24" s="2"/>
      <c r="DMO24" s="2"/>
      <c r="DMP24" s="2"/>
      <c r="DMQ24" s="2"/>
      <c r="DMR24" s="2"/>
      <c r="DMS24" s="2"/>
      <c r="DMT24" s="2"/>
      <c r="DMU24" s="2"/>
      <c r="DMV24" s="2"/>
      <c r="DMW24" s="2"/>
      <c r="DMX24" s="2"/>
      <c r="DMY24" s="2"/>
      <c r="DMZ24" s="2"/>
      <c r="DNA24" s="2"/>
      <c r="DNB24" s="2"/>
      <c r="DNC24" s="2"/>
      <c r="DND24" s="2"/>
      <c r="DNE24" s="2"/>
      <c r="DNF24" s="2"/>
      <c r="DNG24" s="2"/>
      <c r="DNH24" s="2"/>
      <c r="DNI24" s="2"/>
      <c r="DNJ24" s="2"/>
      <c r="DNK24" s="2"/>
      <c r="DNL24" s="2"/>
      <c r="DNM24" s="2"/>
      <c r="DNN24" s="2"/>
      <c r="DNO24" s="2"/>
      <c r="DNP24" s="2"/>
      <c r="DNQ24" s="2"/>
      <c r="DNR24" s="2"/>
      <c r="DNS24" s="2"/>
      <c r="DNT24" s="2"/>
      <c r="DNU24" s="2"/>
      <c r="DNV24" s="2"/>
      <c r="DNW24" s="2"/>
      <c r="DNX24" s="2"/>
      <c r="DNY24" s="2"/>
      <c r="DNZ24" s="2"/>
      <c r="DOA24" s="2"/>
      <c r="DOB24" s="2"/>
      <c r="DOC24" s="2"/>
      <c r="DOD24" s="2"/>
      <c r="DOE24" s="2"/>
      <c r="DOF24" s="2"/>
      <c r="DOG24" s="2"/>
      <c r="DOH24" s="2"/>
      <c r="DOI24" s="2"/>
      <c r="DOJ24" s="2"/>
      <c r="DOK24" s="2"/>
      <c r="DOL24" s="2"/>
      <c r="DOM24" s="2"/>
      <c r="DON24" s="2"/>
      <c r="DOO24" s="2"/>
      <c r="DOP24" s="2"/>
      <c r="DOQ24" s="2"/>
      <c r="DOR24" s="2"/>
      <c r="DOS24" s="2"/>
      <c r="DOT24" s="2"/>
      <c r="DOU24" s="2"/>
      <c r="DOV24" s="2"/>
      <c r="DOW24" s="2"/>
      <c r="DOX24" s="2"/>
      <c r="DOY24" s="2"/>
      <c r="DOZ24" s="2"/>
      <c r="DPA24" s="2"/>
      <c r="DPB24" s="2"/>
      <c r="DPC24" s="2"/>
      <c r="DPD24" s="2"/>
      <c r="DPE24" s="2"/>
      <c r="DPF24" s="2"/>
      <c r="DPG24" s="2"/>
      <c r="DPH24" s="2"/>
      <c r="DPI24" s="2"/>
      <c r="DPJ24" s="2"/>
      <c r="DPK24" s="2"/>
      <c r="DPL24" s="2"/>
      <c r="DPM24" s="2"/>
      <c r="DPN24" s="2"/>
      <c r="DPO24" s="2"/>
      <c r="DPP24" s="2"/>
      <c r="DPQ24" s="2"/>
      <c r="DPR24" s="2"/>
      <c r="DPS24" s="2"/>
      <c r="DPT24" s="2"/>
      <c r="DPU24" s="2"/>
      <c r="DPV24" s="2"/>
      <c r="DPW24" s="2"/>
      <c r="DPX24" s="2"/>
      <c r="DPY24" s="2"/>
      <c r="DPZ24" s="2"/>
      <c r="DQA24" s="2"/>
      <c r="DQB24" s="2"/>
      <c r="DQC24" s="2"/>
      <c r="DQD24" s="2"/>
      <c r="DQE24" s="2"/>
      <c r="DQF24" s="2"/>
      <c r="DQG24" s="2"/>
      <c r="DQH24" s="2"/>
      <c r="DQI24" s="2"/>
      <c r="DQJ24" s="2"/>
      <c r="DQK24" s="2"/>
      <c r="DQL24" s="2"/>
      <c r="DQM24" s="2"/>
      <c r="DQN24" s="2"/>
      <c r="DQO24" s="2"/>
      <c r="DQP24" s="2"/>
      <c r="DQQ24" s="2"/>
      <c r="DQR24" s="2"/>
      <c r="DQS24" s="2"/>
      <c r="DQT24" s="2"/>
      <c r="DQU24" s="2"/>
      <c r="DQV24" s="2"/>
      <c r="DQW24" s="2"/>
      <c r="DQX24" s="2"/>
      <c r="DQY24" s="2"/>
      <c r="DQZ24" s="2"/>
      <c r="DRA24" s="2"/>
      <c r="DRB24" s="2"/>
      <c r="DRC24" s="2"/>
      <c r="DRD24" s="2"/>
      <c r="DRE24" s="2"/>
      <c r="DRF24" s="2"/>
      <c r="DRG24" s="2"/>
      <c r="DRH24" s="2"/>
      <c r="DRI24" s="2"/>
      <c r="DRJ24" s="2"/>
      <c r="DRK24" s="2"/>
      <c r="DRL24" s="2"/>
      <c r="DRM24" s="2"/>
      <c r="DRN24" s="2"/>
      <c r="DRO24" s="2"/>
      <c r="DRP24" s="2"/>
      <c r="DRQ24" s="2"/>
      <c r="DRR24" s="2"/>
      <c r="DRS24" s="2"/>
      <c r="DRT24" s="2"/>
      <c r="DRU24" s="2"/>
      <c r="DRV24" s="2"/>
      <c r="DRW24" s="2"/>
      <c r="DRX24" s="2"/>
      <c r="DRY24" s="2"/>
      <c r="DRZ24" s="2"/>
      <c r="DSA24" s="2"/>
      <c r="DSB24" s="2"/>
      <c r="DSC24" s="2"/>
      <c r="DSD24" s="2"/>
      <c r="DSE24" s="2"/>
      <c r="DSF24" s="2"/>
      <c r="DSG24" s="2"/>
      <c r="DSH24" s="2"/>
      <c r="DSI24" s="2"/>
      <c r="DSJ24" s="2"/>
      <c r="DSK24" s="2"/>
      <c r="DSL24" s="2"/>
      <c r="DSM24" s="2"/>
      <c r="DSN24" s="2"/>
      <c r="DSO24" s="2"/>
      <c r="DSP24" s="2"/>
      <c r="DSQ24" s="2"/>
      <c r="DSR24" s="2"/>
      <c r="DSS24" s="2"/>
      <c r="DST24" s="2"/>
      <c r="DSU24" s="2"/>
      <c r="DSV24" s="2"/>
      <c r="DSW24" s="2"/>
      <c r="DSX24" s="2"/>
      <c r="DSY24" s="2"/>
      <c r="DSZ24" s="2"/>
      <c r="DTA24" s="2"/>
      <c r="DTB24" s="2"/>
      <c r="DTC24" s="2"/>
      <c r="DTD24" s="2"/>
      <c r="DTE24" s="2"/>
      <c r="DTF24" s="2"/>
      <c r="DTG24" s="2"/>
      <c r="DTH24" s="2"/>
      <c r="DTI24" s="2"/>
      <c r="DTJ24" s="2"/>
      <c r="DTK24" s="2"/>
      <c r="DTL24" s="2"/>
      <c r="DTM24" s="2"/>
      <c r="DTN24" s="2"/>
      <c r="DTO24" s="2"/>
      <c r="DTP24" s="2"/>
      <c r="DTQ24" s="2"/>
      <c r="DTR24" s="2"/>
      <c r="DTS24" s="2"/>
      <c r="DTT24" s="2"/>
      <c r="DTU24" s="2"/>
      <c r="DTV24" s="2"/>
      <c r="DTW24" s="2"/>
      <c r="DTX24" s="2"/>
      <c r="DTY24" s="2"/>
      <c r="DTZ24" s="2"/>
      <c r="DUA24" s="2"/>
      <c r="DUB24" s="2"/>
      <c r="DUC24" s="2"/>
      <c r="DUD24" s="2"/>
      <c r="DUE24" s="2"/>
      <c r="DUF24" s="2"/>
      <c r="DUG24" s="2"/>
      <c r="DUH24" s="2"/>
      <c r="DUI24" s="2"/>
      <c r="DUJ24" s="2"/>
      <c r="DUK24" s="2"/>
      <c r="DUL24" s="2"/>
      <c r="DUM24" s="2"/>
      <c r="DUN24" s="2"/>
      <c r="DUO24" s="2"/>
      <c r="DUP24" s="2"/>
      <c r="DUQ24" s="2"/>
      <c r="DUR24" s="2"/>
      <c r="DUS24" s="2"/>
      <c r="DUT24" s="2"/>
      <c r="DUU24" s="2"/>
      <c r="DUV24" s="2"/>
      <c r="DUW24" s="2"/>
      <c r="DUX24" s="2"/>
      <c r="DUY24" s="2"/>
      <c r="DUZ24" s="2"/>
      <c r="DVA24" s="2"/>
      <c r="DVB24" s="2"/>
      <c r="DVC24" s="2"/>
      <c r="DVD24" s="2"/>
      <c r="DVE24" s="2"/>
      <c r="DVF24" s="2"/>
      <c r="DVG24" s="2"/>
      <c r="DVH24" s="2"/>
      <c r="DVI24" s="2"/>
      <c r="DVJ24" s="2"/>
      <c r="DVK24" s="2"/>
      <c r="DVL24" s="2"/>
      <c r="DVM24" s="2"/>
      <c r="DVN24" s="2"/>
      <c r="DVO24" s="2"/>
      <c r="DVP24" s="2"/>
      <c r="DVQ24" s="2"/>
      <c r="DVR24" s="2"/>
      <c r="DVS24" s="2"/>
      <c r="DVT24" s="2"/>
      <c r="DVU24" s="2"/>
      <c r="DVV24" s="2"/>
      <c r="DVW24" s="2"/>
      <c r="DVX24" s="2"/>
      <c r="DVY24" s="2"/>
      <c r="DVZ24" s="2"/>
      <c r="DWA24" s="2"/>
      <c r="DWB24" s="2"/>
      <c r="DWC24" s="2"/>
      <c r="DWD24" s="2"/>
      <c r="DWE24" s="2"/>
      <c r="DWF24" s="2"/>
      <c r="DWG24" s="2"/>
      <c r="DWH24" s="2"/>
      <c r="DWI24" s="2"/>
      <c r="DWJ24" s="2"/>
      <c r="DWK24" s="2"/>
      <c r="DWL24" s="2"/>
      <c r="DWM24" s="2"/>
      <c r="DWN24" s="2"/>
      <c r="DWO24" s="2"/>
      <c r="DWP24" s="2"/>
      <c r="DWQ24" s="2"/>
      <c r="DWR24" s="2"/>
      <c r="DWS24" s="2"/>
      <c r="DWT24" s="2"/>
      <c r="DWU24" s="2"/>
      <c r="DWV24" s="2"/>
      <c r="DWW24" s="2"/>
      <c r="DWX24" s="2"/>
      <c r="DWY24" s="2"/>
      <c r="DWZ24" s="2"/>
      <c r="DXA24" s="2"/>
      <c r="DXB24" s="2"/>
      <c r="DXC24" s="2"/>
      <c r="DXD24" s="2"/>
      <c r="DXE24" s="2"/>
      <c r="DXF24" s="2"/>
      <c r="DXG24" s="2"/>
      <c r="DXH24" s="2"/>
      <c r="DXI24" s="2"/>
      <c r="DXJ24" s="2"/>
      <c r="DXK24" s="2"/>
      <c r="DXL24" s="2"/>
      <c r="DXM24" s="2"/>
      <c r="DXN24" s="2"/>
      <c r="DXO24" s="2"/>
      <c r="DXP24" s="2"/>
      <c r="DXQ24" s="2"/>
      <c r="DXR24" s="2"/>
      <c r="DXS24" s="2"/>
      <c r="DXT24" s="2"/>
      <c r="DXU24" s="2"/>
      <c r="DXV24" s="2"/>
      <c r="DXW24" s="2"/>
      <c r="DXX24" s="2"/>
      <c r="DXY24" s="2"/>
      <c r="DXZ24" s="2"/>
      <c r="DYA24" s="2"/>
      <c r="DYB24" s="2"/>
      <c r="DYC24" s="2"/>
      <c r="DYD24" s="2"/>
      <c r="DYE24" s="2"/>
      <c r="DYF24" s="2"/>
      <c r="DYG24" s="2"/>
      <c r="DYH24" s="2"/>
      <c r="DYI24" s="2"/>
      <c r="DYJ24" s="2"/>
      <c r="DYK24" s="2"/>
      <c r="DYL24" s="2"/>
      <c r="DYM24" s="2"/>
      <c r="DYN24" s="2"/>
      <c r="DYO24" s="2"/>
      <c r="DYP24" s="2"/>
      <c r="DYQ24" s="2"/>
      <c r="DYR24" s="2"/>
      <c r="DYS24" s="2"/>
      <c r="DYT24" s="2"/>
      <c r="DYU24" s="2"/>
      <c r="DYV24" s="2"/>
      <c r="DYW24" s="2"/>
      <c r="DYX24" s="2"/>
      <c r="DYY24" s="2"/>
      <c r="DYZ24" s="2"/>
      <c r="DZA24" s="2"/>
      <c r="DZB24" s="2"/>
      <c r="DZC24" s="2"/>
      <c r="DZD24" s="2"/>
      <c r="DZE24" s="2"/>
      <c r="DZF24" s="2"/>
      <c r="DZG24" s="2"/>
      <c r="DZH24" s="2"/>
      <c r="DZI24" s="2"/>
      <c r="DZJ24" s="2"/>
      <c r="DZK24" s="2"/>
      <c r="DZL24" s="2"/>
      <c r="DZM24" s="2"/>
      <c r="DZN24" s="2"/>
      <c r="DZO24" s="2"/>
      <c r="DZP24" s="2"/>
      <c r="DZQ24" s="2"/>
      <c r="DZR24" s="2"/>
      <c r="DZS24" s="2"/>
      <c r="DZT24" s="2"/>
      <c r="DZU24" s="2"/>
      <c r="DZV24" s="2"/>
      <c r="DZW24" s="2"/>
      <c r="DZX24" s="2"/>
      <c r="DZY24" s="2"/>
      <c r="DZZ24" s="2"/>
      <c r="EAA24" s="2"/>
      <c r="EAB24" s="2"/>
      <c r="EAC24" s="2"/>
      <c r="EAD24" s="2"/>
      <c r="EAE24" s="2"/>
      <c r="EAF24" s="2"/>
      <c r="EAG24" s="2"/>
      <c r="EAH24" s="2"/>
      <c r="EAI24" s="2"/>
      <c r="EAJ24" s="2"/>
      <c r="EAK24" s="2"/>
      <c r="EAL24" s="2"/>
      <c r="EAM24" s="2"/>
      <c r="EAN24" s="2"/>
      <c r="EAO24" s="2"/>
      <c r="EAP24" s="2"/>
      <c r="EAQ24" s="2"/>
      <c r="EAR24" s="2"/>
      <c r="EAS24" s="2"/>
      <c r="EAT24" s="2"/>
      <c r="EAU24" s="2"/>
      <c r="EAV24" s="2"/>
      <c r="EAW24" s="2"/>
      <c r="EAX24" s="2"/>
      <c r="EAY24" s="2"/>
      <c r="EAZ24" s="2"/>
      <c r="EBA24" s="2"/>
      <c r="EBB24" s="2"/>
      <c r="EBC24" s="2"/>
      <c r="EBD24" s="2"/>
      <c r="EBE24" s="2"/>
      <c r="EBF24" s="2"/>
      <c r="EBG24" s="2"/>
      <c r="EBH24" s="2"/>
      <c r="EBI24" s="2"/>
      <c r="EBJ24" s="2"/>
      <c r="EBK24" s="2"/>
      <c r="EBL24" s="2"/>
      <c r="EBM24" s="2"/>
      <c r="EBN24" s="2"/>
      <c r="EBO24" s="2"/>
      <c r="EBP24" s="2"/>
      <c r="EBQ24" s="2"/>
      <c r="EBR24" s="2"/>
      <c r="EBS24" s="2"/>
      <c r="EBT24" s="2"/>
      <c r="EBU24" s="2"/>
      <c r="EBV24" s="2"/>
      <c r="EBW24" s="2"/>
      <c r="EBX24" s="2"/>
      <c r="EBY24" s="2"/>
      <c r="EBZ24" s="2"/>
      <c r="ECA24" s="2"/>
      <c r="ECB24" s="2"/>
      <c r="ECC24" s="2"/>
      <c r="ECD24" s="2"/>
      <c r="ECE24" s="2"/>
      <c r="ECF24" s="2"/>
      <c r="ECG24" s="2"/>
      <c r="ECH24" s="2"/>
      <c r="ECI24" s="2"/>
      <c r="ECJ24" s="2"/>
      <c r="ECK24" s="2"/>
      <c r="ECL24" s="2"/>
      <c r="ECM24" s="2"/>
      <c r="ECN24" s="2"/>
      <c r="ECO24" s="2"/>
      <c r="ECP24" s="2"/>
      <c r="ECQ24" s="2"/>
      <c r="ECR24" s="2"/>
      <c r="ECS24" s="2"/>
      <c r="ECT24" s="2"/>
      <c r="ECU24" s="2"/>
      <c r="ECV24" s="2"/>
      <c r="ECW24" s="2"/>
      <c r="ECX24" s="2"/>
      <c r="ECY24" s="2"/>
      <c r="ECZ24" s="2"/>
      <c r="EDA24" s="2"/>
      <c r="EDB24" s="2"/>
      <c r="EDC24" s="2"/>
      <c r="EDD24" s="2"/>
      <c r="EDE24" s="2"/>
      <c r="EDF24" s="2"/>
      <c r="EDG24" s="2"/>
      <c r="EDH24" s="2"/>
      <c r="EDI24" s="2"/>
      <c r="EDJ24" s="2"/>
      <c r="EDK24" s="2"/>
      <c r="EDL24" s="2"/>
      <c r="EDM24" s="2"/>
      <c r="EDN24" s="2"/>
      <c r="EDO24" s="2"/>
      <c r="EDP24" s="2"/>
      <c r="EDQ24" s="2"/>
      <c r="EDR24" s="2"/>
      <c r="EDS24" s="2"/>
      <c r="EDT24" s="2"/>
      <c r="EDU24" s="2"/>
      <c r="EDV24" s="2"/>
      <c r="EDW24" s="2"/>
      <c r="EDX24" s="2"/>
      <c r="EDY24" s="2"/>
      <c r="EDZ24" s="2"/>
      <c r="EEA24" s="2"/>
      <c r="EEB24" s="2"/>
      <c r="EEC24" s="2"/>
      <c r="EED24" s="2"/>
      <c r="EEE24" s="2"/>
      <c r="EEF24" s="2"/>
      <c r="EEG24" s="2"/>
      <c r="EEH24" s="2"/>
      <c r="EEI24" s="2"/>
      <c r="EEJ24" s="2"/>
      <c r="EEK24" s="2"/>
      <c r="EEL24" s="2"/>
      <c r="EEM24" s="2"/>
      <c r="EEN24" s="2"/>
      <c r="EEO24" s="2"/>
      <c r="EEP24" s="2"/>
      <c r="EEQ24" s="2"/>
      <c r="EER24" s="2"/>
      <c r="EES24" s="2"/>
      <c r="EET24" s="2"/>
      <c r="EEU24" s="2"/>
      <c r="EEV24" s="2"/>
      <c r="EEW24" s="2"/>
      <c r="EEX24" s="2"/>
      <c r="EEY24" s="2"/>
      <c r="EEZ24" s="2"/>
      <c r="EFA24" s="2"/>
      <c r="EFB24" s="2"/>
      <c r="EFC24" s="2"/>
      <c r="EFD24" s="2"/>
      <c r="EFE24" s="2"/>
      <c r="EFF24" s="2"/>
      <c r="EFG24" s="2"/>
      <c r="EFH24" s="2"/>
      <c r="EFI24" s="2"/>
      <c r="EFJ24" s="2"/>
      <c r="EFK24" s="2"/>
      <c r="EFL24" s="2"/>
      <c r="EFM24" s="2"/>
      <c r="EFN24" s="2"/>
      <c r="EFO24" s="2"/>
      <c r="EFP24" s="2"/>
      <c r="EFQ24" s="2"/>
      <c r="EFR24" s="2"/>
      <c r="EFS24" s="2"/>
      <c r="EFT24" s="2"/>
      <c r="EFU24" s="2"/>
      <c r="EFV24" s="2"/>
      <c r="EFW24" s="2"/>
      <c r="EFX24" s="2"/>
      <c r="EFY24" s="2"/>
      <c r="EFZ24" s="2"/>
      <c r="EGA24" s="2"/>
      <c r="EGB24" s="2"/>
      <c r="EGC24" s="2"/>
      <c r="EGD24" s="2"/>
      <c r="EGE24" s="2"/>
      <c r="EGF24" s="2"/>
      <c r="EGG24" s="2"/>
      <c r="EGH24" s="2"/>
      <c r="EGI24" s="2"/>
      <c r="EGJ24" s="2"/>
      <c r="EGK24" s="2"/>
      <c r="EGL24" s="2"/>
      <c r="EGM24" s="2"/>
      <c r="EGN24" s="2"/>
      <c r="EGO24" s="2"/>
      <c r="EGP24" s="2"/>
      <c r="EGQ24" s="2"/>
      <c r="EGR24" s="2"/>
      <c r="EGS24" s="2"/>
      <c r="EGT24" s="2"/>
      <c r="EGU24" s="2"/>
      <c r="EGV24" s="2"/>
      <c r="EGW24" s="2"/>
      <c r="EGX24" s="2"/>
      <c r="EGY24" s="2"/>
      <c r="EGZ24" s="2"/>
      <c r="EHA24" s="2"/>
      <c r="EHB24" s="2"/>
      <c r="EHC24" s="2"/>
      <c r="EHD24" s="2"/>
      <c r="EHE24" s="2"/>
      <c r="EHF24" s="2"/>
      <c r="EHG24" s="2"/>
      <c r="EHH24" s="2"/>
      <c r="EHI24" s="2"/>
      <c r="EHJ24" s="2"/>
      <c r="EHK24" s="2"/>
      <c r="EHL24" s="2"/>
      <c r="EHM24" s="2"/>
      <c r="EHN24" s="2"/>
      <c r="EHO24" s="2"/>
      <c r="EHP24" s="2"/>
      <c r="EHQ24" s="2"/>
      <c r="EHR24" s="2"/>
      <c r="EHS24" s="2"/>
      <c r="EHT24" s="2"/>
      <c r="EHU24" s="2"/>
      <c r="EHV24" s="2"/>
      <c r="EHW24" s="2"/>
      <c r="EHX24" s="2"/>
      <c r="EHY24" s="2"/>
      <c r="EHZ24" s="2"/>
      <c r="EIA24" s="2"/>
      <c r="EIB24" s="2"/>
      <c r="EIC24" s="2"/>
      <c r="EID24" s="2"/>
      <c r="EIE24" s="2"/>
      <c r="EIF24" s="2"/>
      <c r="EIG24" s="2"/>
      <c r="EIH24" s="2"/>
      <c r="EII24" s="2"/>
      <c r="EIJ24" s="2"/>
      <c r="EIK24" s="2"/>
      <c r="EIL24" s="2"/>
      <c r="EIM24" s="2"/>
      <c r="EIN24" s="2"/>
      <c r="EIO24" s="2"/>
      <c r="EIP24" s="2"/>
      <c r="EIQ24" s="2"/>
      <c r="EIR24" s="2"/>
      <c r="EIS24" s="2"/>
      <c r="EIT24" s="2"/>
      <c r="EIU24" s="2"/>
      <c r="EIV24" s="2"/>
      <c r="EIW24" s="2"/>
      <c r="EIX24" s="2"/>
      <c r="EIY24" s="2"/>
      <c r="EIZ24" s="2"/>
      <c r="EJA24" s="2"/>
      <c r="EJB24" s="2"/>
      <c r="EJC24" s="2"/>
      <c r="EJD24" s="2"/>
      <c r="EJE24" s="2"/>
      <c r="EJF24" s="2"/>
      <c r="EJG24" s="2"/>
      <c r="EJH24" s="2"/>
      <c r="EJI24" s="2"/>
      <c r="EJJ24" s="2"/>
      <c r="EJK24" s="2"/>
      <c r="EJL24" s="2"/>
      <c r="EJM24" s="2"/>
      <c r="EJN24" s="2"/>
      <c r="EJO24" s="2"/>
      <c r="EJP24" s="2"/>
      <c r="EJQ24" s="2"/>
      <c r="EJR24" s="2"/>
      <c r="EJS24" s="2"/>
      <c r="EJT24" s="2"/>
      <c r="EJU24" s="2"/>
      <c r="EJV24" s="2"/>
      <c r="EJW24" s="2"/>
      <c r="EJX24" s="2"/>
      <c r="EJY24" s="2"/>
      <c r="EJZ24" s="2"/>
      <c r="EKA24" s="2"/>
      <c r="EKB24" s="2"/>
      <c r="EKC24" s="2"/>
      <c r="EKD24" s="2"/>
      <c r="EKE24" s="2"/>
      <c r="EKF24" s="2"/>
      <c r="EKG24" s="2"/>
      <c r="EKH24" s="2"/>
      <c r="EKI24" s="2"/>
      <c r="EKJ24" s="2"/>
      <c r="EKK24" s="2"/>
      <c r="EKL24" s="2"/>
      <c r="EKM24" s="2"/>
      <c r="EKN24" s="2"/>
      <c r="EKO24" s="2"/>
      <c r="EKP24" s="2"/>
      <c r="EKQ24" s="2"/>
      <c r="EKR24" s="2"/>
      <c r="EKS24" s="2"/>
      <c r="EKT24" s="2"/>
      <c r="EKU24" s="2"/>
      <c r="EKV24" s="2"/>
      <c r="EKW24" s="2"/>
      <c r="EKX24" s="2"/>
      <c r="EKY24" s="2"/>
      <c r="EKZ24" s="2"/>
      <c r="ELA24" s="2"/>
      <c r="ELB24" s="2"/>
      <c r="ELC24" s="2"/>
      <c r="ELD24" s="2"/>
      <c r="ELE24" s="2"/>
      <c r="ELF24" s="2"/>
      <c r="ELG24" s="2"/>
      <c r="ELH24" s="2"/>
      <c r="ELI24" s="2"/>
      <c r="ELJ24" s="2"/>
      <c r="ELK24" s="2"/>
      <c r="ELL24" s="2"/>
      <c r="ELM24" s="2"/>
      <c r="ELN24" s="2"/>
      <c r="ELO24" s="2"/>
      <c r="ELP24" s="2"/>
      <c r="ELQ24" s="2"/>
      <c r="ELR24" s="2"/>
      <c r="ELS24" s="2"/>
      <c r="ELT24" s="2"/>
      <c r="ELU24" s="2"/>
      <c r="ELV24" s="2"/>
      <c r="ELW24" s="2"/>
      <c r="ELX24" s="2"/>
      <c r="ELY24" s="2"/>
      <c r="ELZ24" s="2"/>
      <c r="EMA24" s="2"/>
      <c r="EMB24" s="2"/>
      <c r="EMC24" s="2"/>
      <c r="EMD24" s="2"/>
      <c r="EME24" s="2"/>
      <c r="EMF24" s="2"/>
      <c r="EMG24" s="2"/>
      <c r="EMH24" s="2"/>
      <c r="EMI24" s="2"/>
      <c r="EMJ24" s="2"/>
      <c r="EMK24" s="2"/>
      <c r="EML24" s="2"/>
      <c r="EMM24" s="2"/>
      <c r="EMN24" s="2"/>
      <c r="EMO24" s="2"/>
      <c r="EMP24" s="2"/>
      <c r="EMQ24" s="2"/>
      <c r="EMR24" s="2"/>
      <c r="EMS24" s="2"/>
      <c r="EMT24" s="2"/>
      <c r="EMU24" s="2"/>
      <c r="EMV24" s="2"/>
      <c r="EMW24" s="2"/>
      <c r="EMX24" s="2"/>
      <c r="EMY24" s="2"/>
      <c r="EMZ24" s="2"/>
      <c r="ENA24" s="2"/>
      <c r="ENB24" s="2"/>
      <c r="ENC24" s="2"/>
      <c r="END24" s="2"/>
      <c r="ENE24" s="2"/>
      <c r="ENF24" s="2"/>
      <c r="ENG24" s="2"/>
      <c r="ENH24" s="2"/>
      <c r="ENI24" s="2"/>
      <c r="ENJ24" s="2"/>
      <c r="ENK24" s="2"/>
      <c r="ENL24" s="2"/>
      <c r="ENM24" s="2"/>
      <c r="ENN24" s="2"/>
      <c r="ENO24" s="2"/>
      <c r="ENP24" s="2"/>
      <c r="ENQ24" s="2"/>
      <c r="ENR24" s="2"/>
      <c r="ENS24" s="2"/>
      <c r="ENT24" s="2"/>
      <c r="ENU24" s="2"/>
      <c r="ENV24" s="2"/>
      <c r="ENW24" s="2"/>
      <c r="ENX24" s="2"/>
      <c r="ENY24" s="2"/>
      <c r="ENZ24" s="2"/>
      <c r="EOA24" s="2"/>
      <c r="EOB24" s="2"/>
      <c r="EOC24" s="2"/>
      <c r="EOD24" s="2"/>
      <c r="EOE24" s="2"/>
      <c r="EOF24" s="2"/>
      <c r="EOG24" s="2"/>
      <c r="EOH24" s="2"/>
      <c r="EOI24" s="2"/>
      <c r="EOJ24" s="2"/>
      <c r="EOK24" s="2"/>
      <c r="EOL24" s="2"/>
      <c r="EOM24" s="2"/>
      <c r="EON24" s="2"/>
      <c r="EOO24" s="2"/>
      <c r="EOP24" s="2"/>
      <c r="EOQ24" s="2"/>
      <c r="EOR24" s="2"/>
      <c r="EOS24" s="2"/>
      <c r="EOT24" s="2"/>
      <c r="EOU24" s="2"/>
      <c r="EOV24" s="2"/>
      <c r="EOW24" s="2"/>
      <c r="EOX24" s="2"/>
      <c r="EOY24" s="2"/>
      <c r="EOZ24" s="2"/>
      <c r="EPA24" s="2"/>
      <c r="EPB24" s="2"/>
      <c r="EPC24" s="2"/>
      <c r="EPD24" s="2"/>
      <c r="EPE24" s="2"/>
      <c r="EPF24" s="2"/>
      <c r="EPG24" s="2"/>
      <c r="EPH24" s="2"/>
      <c r="EPI24" s="2"/>
      <c r="EPJ24" s="2"/>
      <c r="EPK24" s="2"/>
      <c r="EPL24" s="2"/>
      <c r="EPM24" s="2"/>
      <c r="EPN24" s="2"/>
      <c r="EPO24" s="2"/>
      <c r="EPP24" s="2"/>
      <c r="EPQ24" s="2"/>
      <c r="EPR24" s="2"/>
      <c r="EPS24" s="2"/>
      <c r="EPT24" s="2"/>
      <c r="EPU24" s="2"/>
      <c r="EPV24" s="2"/>
      <c r="EPW24" s="2"/>
      <c r="EPX24" s="2"/>
      <c r="EPY24" s="2"/>
      <c r="EPZ24" s="2"/>
      <c r="EQA24" s="2"/>
      <c r="EQB24" s="2"/>
      <c r="EQC24" s="2"/>
      <c r="EQD24" s="2"/>
      <c r="EQE24" s="2"/>
      <c r="EQF24" s="2"/>
      <c r="EQG24" s="2"/>
      <c r="EQH24" s="2"/>
      <c r="EQI24" s="2"/>
      <c r="EQJ24" s="2"/>
      <c r="EQK24" s="2"/>
      <c r="EQL24" s="2"/>
      <c r="EQM24" s="2"/>
      <c r="EQN24" s="2"/>
      <c r="EQO24" s="2"/>
      <c r="EQP24" s="2"/>
      <c r="EQQ24" s="2"/>
      <c r="EQR24" s="2"/>
      <c r="EQS24" s="2"/>
      <c r="EQT24" s="2"/>
      <c r="EQU24" s="2"/>
      <c r="EQV24" s="2"/>
      <c r="EQW24" s="2"/>
      <c r="EQX24" s="2"/>
      <c r="EQY24" s="2"/>
      <c r="EQZ24" s="2"/>
      <c r="ERA24" s="2"/>
      <c r="ERB24" s="2"/>
      <c r="ERC24" s="2"/>
      <c r="ERD24" s="2"/>
      <c r="ERE24" s="2"/>
      <c r="ERF24" s="2"/>
      <c r="ERG24" s="2"/>
      <c r="ERH24" s="2"/>
      <c r="ERI24" s="2"/>
      <c r="ERJ24" s="2"/>
      <c r="ERK24" s="2"/>
      <c r="ERL24" s="2"/>
      <c r="ERM24" s="2"/>
      <c r="ERN24" s="2"/>
      <c r="ERO24" s="2"/>
      <c r="ERP24" s="2"/>
      <c r="ERQ24" s="2"/>
      <c r="ERR24" s="2"/>
      <c r="ERS24" s="2"/>
      <c r="ERT24" s="2"/>
      <c r="ERU24" s="2"/>
      <c r="ERV24" s="2"/>
      <c r="ERW24" s="2"/>
      <c r="ERX24" s="2"/>
      <c r="ERY24" s="2"/>
      <c r="ERZ24" s="2"/>
      <c r="ESA24" s="2"/>
      <c r="ESB24" s="2"/>
      <c r="ESC24" s="2"/>
      <c r="ESD24" s="2"/>
      <c r="ESE24" s="2"/>
      <c r="ESF24" s="2"/>
      <c r="ESG24" s="2"/>
      <c r="ESH24" s="2"/>
      <c r="ESI24" s="2"/>
      <c r="ESJ24" s="2"/>
      <c r="ESK24" s="2"/>
      <c r="ESL24" s="2"/>
      <c r="ESM24" s="2"/>
      <c r="ESN24" s="2"/>
      <c r="ESO24" s="2"/>
      <c r="ESP24" s="2"/>
      <c r="ESQ24" s="2"/>
      <c r="ESR24" s="2"/>
      <c r="ESS24" s="2"/>
      <c r="EST24" s="2"/>
      <c r="ESU24" s="2"/>
      <c r="ESV24" s="2"/>
      <c r="ESW24" s="2"/>
      <c r="ESX24" s="2"/>
      <c r="ESY24" s="2"/>
      <c r="ESZ24" s="2"/>
      <c r="ETA24" s="2"/>
      <c r="ETB24" s="2"/>
      <c r="ETC24" s="2"/>
      <c r="ETD24" s="2"/>
      <c r="ETE24" s="2"/>
      <c r="ETF24" s="2"/>
      <c r="ETG24" s="2"/>
      <c r="ETH24" s="2"/>
      <c r="ETI24" s="2"/>
      <c r="ETJ24" s="2"/>
      <c r="ETK24" s="2"/>
      <c r="ETL24" s="2"/>
      <c r="ETM24" s="2"/>
      <c r="ETN24" s="2"/>
      <c r="ETO24" s="2"/>
      <c r="ETP24" s="2"/>
      <c r="ETQ24" s="2"/>
      <c r="ETR24" s="2"/>
      <c r="ETS24" s="2"/>
      <c r="ETT24" s="2"/>
      <c r="ETU24" s="2"/>
      <c r="ETV24" s="2"/>
      <c r="ETW24" s="2"/>
      <c r="ETX24" s="2"/>
      <c r="ETY24" s="2"/>
      <c r="ETZ24" s="2"/>
      <c r="EUA24" s="2"/>
      <c r="EUB24" s="2"/>
      <c r="EUC24" s="2"/>
      <c r="EUD24" s="2"/>
      <c r="EUE24" s="2"/>
      <c r="EUF24" s="2"/>
      <c r="EUG24" s="2"/>
      <c r="EUH24" s="2"/>
      <c r="EUI24" s="2"/>
      <c r="EUJ24" s="2"/>
      <c r="EUK24" s="2"/>
      <c r="EUL24" s="2"/>
      <c r="EUM24" s="2"/>
      <c r="EUN24" s="2"/>
      <c r="EUO24" s="2"/>
      <c r="EUP24" s="2"/>
      <c r="EUQ24" s="2"/>
      <c r="EUR24" s="2"/>
      <c r="EUS24" s="2"/>
      <c r="EUT24" s="2"/>
      <c r="EUU24" s="2"/>
      <c r="EUV24" s="2"/>
      <c r="EUW24" s="2"/>
      <c r="EUX24" s="2"/>
      <c r="EUY24" s="2"/>
      <c r="EUZ24" s="2"/>
      <c r="EVA24" s="2"/>
      <c r="EVB24" s="2"/>
      <c r="EVC24" s="2"/>
      <c r="EVD24" s="2"/>
      <c r="EVE24" s="2"/>
      <c r="EVF24" s="2"/>
      <c r="EVG24" s="2"/>
      <c r="EVH24" s="2"/>
      <c r="EVI24" s="2"/>
      <c r="EVJ24" s="2"/>
      <c r="EVK24" s="2"/>
      <c r="EVL24" s="2"/>
      <c r="EVM24" s="2"/>
      <c r="EVN24" s="2"/>
      <c r="EVO24" s="2"/>
      <c r="EVP24" s="2"/>
      <c r="EVQ24" s="2"/>
      <c r="EVR24" s="2"/>
      <c r="EVS24" s="2"/>
      <c r="EVT24" s="2"/>
      <c r="EVU24" s="2"/>
      <c r="EVV24" s="2"/>
      <c r="EVW24" s="2"/>
      <c r="EVX24" s="2"/>
      <c r="EVY24" s="2"/>
      <c r="EVZ24" s="2"/>
      <c r="EWA24" s="2"/>
      <c r="EWB24" s="2"/>
      <c r="EWC24" s="2"/>
      <c r="EWD24" s="2"/>
      <c r="EWE24" s="2"/>
      <c r="EWF24" s="2"/>
      <c r="EWG24" s="2"/>
      <c r="EWH24" s="2"/>
      <c r="EWI24" s="2"/>
      <c r="EWJ24" s="2"/>
      <c r="EWK24" s="2"/>
      <c r="EWL24" s="2"/>
      <c r="EWM24" s="2"/>
      <c r="EWN24" s="2"/>
      <c r="EWO24" s="2"/>
      <c r="EWP24" s="2"/>
      <c r="EWQ24" s="2"/>
      <c r="EWR24" s="2"/>
      <c r="EWS24" s="2"/>
      <c r="EWT24" s="2"/>
      <c r="EWU24" s="2"/>
      <c r="EWV24" s="2"/>
      <c r="EWW24" s="2"/>
      <c r="EWX24" s="2"/>
      <c r="EWY24" s="2"/>
      <c r="EWZ24" s="2"/>
      <c r="EXA24" s="2"/>
      <c r="EXB24" s="2"/>
      <c r="EXC24" s="2"/>
      <c r="EXD24" s="2"/>
      <c r="EXE24" s="2"/>
      <c r="EXF24" s="2"/>
      <c r="EXG24" s="2"/>
      <c r="EXH24" s="2"/>
      <c r="EXI24" s="2"/>
      <c r="EXJ24" s="2"/>
      <c r="EXK24" s="2"/>
      <c r="EXL24" s="2"/>
      <c r="EXM24" s="2"/>
      <c r="EXN24" s="2"/>
      <c r="EXO24" s="2"/>
      <c r="EXP24" s="2"/>
      <c r="EXQ24" s="2"/>
      <c r="EXR24" s="2"/>
      <c r="EXS24" s="2"/>
      <c r="EXT24" s="2"/>
      <c r="EXU24" s="2"/>
      <c r="EXV24" s="2"/>
      <c r="EXW24" s="2"/>
      <c r="EXX24" s="2"/>
      <c r="EXY24" s="2"/>
      <c r="EXZ24" s="2"/>
      <c r="EYA24" s="2"/>
      <c r="EYB24" s="2"/>
      <c r="EYC24" s="2"/>
      <c r="EYD24" s="2"/>
      <c r="EYE24" s="2"/>
      <c r="EYF24" s="2"/>
      <c r="EYG24" s="2"/>
      <c r="EYH24" s="2"/>
      <c r="EYI24" s="2"/>
      <c r="EYJ24" s="2"/>
      <c r="EYK24" s="2"/>
      <c r="EYL24" s="2"/>
      <c r="EYM24" s="2"/>
      <c r="EYN24" s="2"/>
      <c r="EYO24" s="2"/>
      <c r="EYP24" s="2"/>
      <c r="EYQ24" s="2"/>
      <c r="EYR24" s="2"/>
      <c r="EYS24" s="2"/>
      <c r="EYT24" s="2"/>
      <c r="EYU24" s="2"/>
      <c r="EYV24" s="2"/>
      <c r="EYW24" s="2"/>
      <c r="EYX24" s="2"/>
      <c r="EYY24" s="2"/>
      <c r="EYZ24" s="2"/>
      <c r="EZA24" s="2"/>
      <c r="EZB24" s="2"/>
      <c r="EZC24" s="2"/>
      <c r="EZD24" s="2"/>
      <c r="EZE24" s="2"/>
      <c r="EZF24" s="2"/>
      <c r="EZG24" s="2"/>
      <c r="EZH24" s="2"/>
      <c r="EZI24" s="2"/>
      <c r="EZJ24" s="2"/>
      <c r="EZK24" s="2"/>
      <c r="EZL24" s="2"/>
      <c r="EZM24" s="2"/>
      <c r="EZN24" s="2"/>
      <c r="EZO24" s="2"/>
      <c r="EZP24" s="2"/>
      <c r="EZQ24" s="2"/>
      <c r="EZR24" s="2"/>
      <c r="EZS24" s="2"/>
      <c r="EZT24" s="2"/>
      <c r="EZU24" s="2"/>
      <c r="EZV24" s="2"/>
      <c r="EZW24" s="2"/>
      <c r="EZX24" s="2"/>
      <c r="EZY24" s="2"/>
      <c r="EZZ24" s="2"/>
      <c r="FAA24" s="2"/>
      <c r="FAB24" s="2"/>
      <c r="FAC24" s="2"/>
      <c r="FAD24" s="2"/>
      <c r="FAE24" s="2"/>
      <c r="FAF24" s="2"/>
      <c r="FAG24" s="2"/>
      <c r="FAH24" s="2"/>
      <c r="FAI24" s="2"/>
      <c r="FAJ24" s="2"/>
      <c r="FAK24" s="2"/>
      <c r="FAL24" s="2"/>
      <c r="FAM24" s="2"/>
      <c r="FAN24" s="2"/>
      <c r="FAO24" s="2"/>
      <c r="FAP24" s="2"/>
      <c r="FAQ24" s="2"/>
      <c r="FAR24" s="2"/>
      <c r="FAS24" s="2"/>
      <c r="FAT24" s="2"/>
      <c r="FAU24" s="2"/>
      <c r="FAV24" s="2"/>
      <c r="FAW24" s="2"/>
      <c r="FAX24" s="2"/>
      <c r="FAY24" s="2"/>
      <c r="FAZ24" s="2"/>
      <c r="FBA24" s="2"/>
      <c r="FBB24" s="2"/>
      <c r="FBC24" s="2"/>
      <c r="FBD24" s="2"/>
      <c r="FBE24" s="2"/>
      <c r="FBF24" s="2"/>
      <c r="FBG24" s="2"/>
      <c r="FBH24" s="2"/>
      <c r="FBI24" s="2"/>
      <c r="FBJ24" s="2"/>
      <c r="FBK24" s="2"/>
      <c r="FBL24" s="2"/>
      <c r="FBM24" s="2"/>
      <c r="FBN24" s="2"/>
      <c r="FBO24" s="2"/>
      <c r="FBP24" s="2"/>
      <c r="FBQ24" s="2"/>
      <c r="FBR24" s="2"/>
      <c r="FBS24" s="2"/>
      <c r="FBT24" s="2"/>
      <c r="FBU24" s="2"/>
      <c r="FBV24" s="2"/>
      <c r="FBW24" s="2"/>
      <c r="FBX24" s="2"/>
      <c r="FBY24" s="2"/>
      <c r="FBZ24" s="2"/>
      <c r="FCA24" s="2"/>
      <c r="FCB24" s="2"/>
      <c r="FCC24" s="2"/>
      <c r="FCD24" s="2"/>
      <c r="FCE24" s="2"/>
      <c r="FCF24" s="2"/>
      <c r="FCG24" s="2"/>
      <c r="FCH24" s="2"/>
      <c r="FCI24" s="2"/>
      <c r="FCJ24" s="2"/>
      <c r="FCK24" s="2"/>
      <c r="FCL24" s="2"/>
      <c r="FCM24" s="2"/>
      <c r="FCN24" s="2"/>
      <c r="FCO24" s="2"/>
      <c r="FCP24" s="2"/>
      <c r="FCQ24" s="2"/>
      <c r="FCR24" s="2"/>
      <c r="FCS24" s="2"/>
      <c r="FCT24" s="2"/>
      <c r="FCU24" s="2"/>
      <c r="FCV24" s="2"/>
      <c r="FCW24" s="2"/>
      <c r="FCX24" s="2"/>
      <c r="FCY24" s="2"/>
      <c r="FCZ24" s="2"/>
      <c r="FDA24" s="2"/>
      <c r="FDB24" s="2"/>
      <c r="FDC24" s="2"/>
      <c r="FDD24" s="2"/>
      <c r="FDE24" s="2"/>
      <c r="FDF24" s="2"/>
      <c r="FDG24" s="2"/>
      <c r="FDH24" s="2"/>
      <c r="FDI24" s="2"/>
      <c r="FDJ24" s="2"/>
      <c r="FDK24" s="2"/>
      <c r="FDL24" s="2"/>
      <c r="FDM24" s="2"/>
      <c r="FDN24" s="2"/>
      <c r="FDO24" s="2"/>
      <c r="FDP24" s="2"/>
      <c r="FDQ24" s="2"/>
      <c r="FDR24" s="2"/>
      <c r="FDS24" s="2"/>
      <c r="FDT24" s="2"/>
      <c r="FDU24" s="2"/>
      <c r="FDV24" s="2"/>
      <c r="FDW24" s="2"/>
      <c r="FDX24" s="2"/>
      <c r="FDY24" s="2"/>
      <c r="FDZ24" s="2"/>
      <c r="FEA24" s="2"/>
      <c r="FEB24" s="2"/>
      <c r="FEC24" s="2"/>
      <c r="FED24" s="2"/>
      <c r="FEE24" s="2"/>
      <c r="FEF24" s="2"/>
      <c r="FEG24" s="2"/>
      <c r="FEH24" s="2"/>
      <c r="FEI24" s="2"/>
      <c r="FEJ24" s="2"/>
      <c r="FEK24" s="2"/>
      <c r="FEL24" s="2"/>
      <c r="FEM24" s="2"/>
      <c r="FEN24" s="2"/>
      <c r="FEO24" s="2"/>
      <c r="FEP24" s="2"/>
      <c r="FEQ24" s="2"/>
      <c r="FER24" s="2"/>
      <c r="FES24" s="2"/>
      <c r="FET24" s="2"/>
      <c r="FEU24" s="2"/>
      <c r="FEV24" s="2"/>
      <c r="FEW24" s="2"/>
      <c r="FEX24" s="2"/>
      <c r="FEY24" s="2"/>
      <c r="FEZ24" s="2"/>
      <c r="FFA24" s="2"/>
      <c r="FFB24" s="2"/>
      <c r="FFC24" s="2"/>
      <c r="FFD24" s="2"/>
      <c r="FFE24" s="2"/>
      <c r="FFF24" s="2"/>
      <c r="FFG24" s="2"/>
      <c r="FFH24" s="2"/>
      <c r="FFI24" s="2"/>
      <c r="FFJ24" s="2"/>
      <c r="FFK24" s="2"/>
      <c r="FFL24" s="2"/>
      <c r="FFM24" s="2"/>
      <c r="FFN24" s="2"/>
      <c r="FFO24" s="2"/>
      <c r="FFP24" s="2"/>
      <c r="FFQ24" s="2"/>
      <c r="FFR24" s="2"/>
      <c r="FFS24" s="2"/>
      <c r="FFT24" s="2"/>
      <c r="FFU24" s="2"/>
      <c r="FFV24" s="2"/>
      <c r="FFW24" s="2"/>
      <c r="FFX24" s="2"/>
      <c r="FFY24" s="2"/>
      <c r="FFZ24" s="2"/>
      <c r="FGA24" s="2"/>
      <c r="FGB24" s="2"/>
      <c r="FGC24" s="2"/>
      <c r="FGD24" s="2"/>
      <c r="FGE24" s="2"/>
      <c r="FGF24" s="2"/>
      <c r="FGG24" s="2"/>
      <c r="FGH24" s="2"/>
      <c r="FGI24" s="2"/>
      <c r="FGJ24" s="2"/>
      <c r="FGK24" s="2"/>
      <c r="FGL24" s="2"/>
      <c r="FGM24" s="2"/>
      <c r="FGN24" s="2"/>
      <c r="FGO24" s="2"/>
      <c r="FGP24" s="2"/>
      <c r="FGQ24" s="2"/>
      <c r="FGR24" s="2"/>
      <c r="FGS24" s="2"/>
      <c r="FGT24" s="2"/>
      <c r="FGU24" s="2"/>
      <c r="FGV24" s="2"/>
      <c r="FGW24" s="2"/>
      <c r="FGX24" s="2"/>
      <c r="FGY24" s="2"/>
      <c r="FGZ24" s="2"/>
      <c r="FHA24" s="2"/>
      <c r="FHB24" s="2"/>
      <c r="FHC24" s="2"/>
      <c r="FHD24" s="2"/>
      <c r="FHE24" s="2"/>
      <c r="FHF24" s="2"/>
      <c r="FHG24" s="2"/>
      <c r="FHH24" s="2"/>
      <c r="FHI24" s="2"/>
      <c r="FHJ24" s="2"/>
      <c r="FHK24" s="2"/>
      <c r="FHL24" s="2"/>
      <c r="FHM24" s="2"/>
      <c r="FHN24" s="2"/>
      <c r="FHO24" s="2"/>
      <c r="FHP24" s="2"/>
      <c r="FHQ24" s="2"/>
      <c r="FHR24" s="2"/>
      <c r="FHS24" s="2"/>
      <c r="FHT24" s="2"/>
      <c r="FHU24" s="2"/>
      <c r="FHV24" s="2"/>
      <c r="FHW24" s="2"/>
      <c r="FHX24" s="2"/>
      <c r="FHY24" s="2"/>
      <c r="FHZ24" s="2"/>
      <c r="FIA24" s="2"/>
      <c r="FIB24" s="2"/>
      <c r="FIC24" s="2"/>
      <c r="FID24" s="2"/>
      <c r="FIE24" s="2"/>
      <c r="FIF24" s="2"/>
      <c r="FIG24" s="2"/>
      <c r="FIH24" s="2"/>
      <c r="FII24" s="2"/>
      <c r="FIJ24" s="2"/>
      <c r="FIK24" s="2"/>
      <c r="FIL24" s="2"/>
      <c r="FIM24" s="2"/>
      <c r="FIN24" s="2"/>
      <c r="FIO24" s="2"/>
      <c r="FIP24" s="2"/>
      <c r="FIQ24" s="2"/>
      <c r="FIR24" s="2"/>
      <c r="FIS24" s="2"/>
      <c r="FIT24" s="2"/>
      <c r="FIU24" s="2"/>
      <c r="FIV24" s="2"/>
      <c r="FIW24" s="2"/>
      <c r="FIX24" s="2"/>
      <c r="FIY24" s="2"/>
      <c r="FIZ24" s="2"/>
      <c r="FJA24" s="2"/>
      <c r="FJB24" s="2"/>
      <c r="FJC24" s="2"/>
      <c r="FJD24" s="2"/>
      <c r="FJE24" s="2"/>
      <c r="FJF24" s="2"/>
      <c r="FJG24" s="2"/>
      <c r="FJH24" s="2"/>
      <c r="FJI24" s="2"/>
      <c r="FJJ24" s="2"/>
      <c r="FJK24" s="2"/>
      <c r="FJL24" s="2"/>
      <c r="FJM24" s="2"/>
      <c r="FJN24" s="2"/>
      <c r="FJO24" s="2"/>
      <c r="FJP24" s="2"/>
      <c r="FJQ24" s="2"/>
      <c r="FJR24" s="2"/>
      <c r="FJS24" s="2"/>
      <c r="FJT24" s="2"/>
      <c r="FJU24" s="2"/>
      <c r="FJV24" s="2"/>
      <c r="FJW24" s="2"/>
      <c r="FJX24" s="2"/>
      <c r="FJY24" s="2"/>
      <c r="FJZ24" s="2"/>
      <c r="FKA24" s="2"/>
      <c r="FKB24" s="2"/>
      <c r="FKC24" s="2"/>
      <c r="FKD24" s="2"/>
      <c r="FKE24" s="2"/>
      <c r="FKF24" s="2"/>
      <c r="FKG24" s="2"/>
      <c r="FKH24" s="2"/>
      <c r="FKI24" s="2"/>
      <c r="FKJ24" s="2"/>
      <c r="FKK24" s="2"/>
      <c r="FKL24" s="2"/>
      <c r="FKM24" s="2"/>
      <c r="FKN24" s="2"/>
      <c r="FKO24" s="2"/>
      <c r="FKP24" s="2"/>
      <c r="FKQ24" s="2"/>
      <c r="FKR24" s="2"/>
      <c r="FKS24" s="2"/>
      <c r="FKT24" s="2"/>
      <c r="FKU24" s="2"/>
      <c r="FKV24" s="2"/>
      <c r="FKW24" s="2"/>
      <c r="FKX24" s="2"/>
      <c r="FKY24" s="2"/>
      <c r="FKZ24" s="2"/>
      <c r="FLA24" s="2"/>
      <c r="FLB24" s="2"/>
      <c r="FLC24" s="2"/>
      <c r="FLD24" s="2"/>
      <c r="FLE24" s="2"/>
      <c r="FLF24" s="2"/>
      <c r="FLG24" s="2"/>
      <c r="FLH24" s="2"/>
      <c r="FLI24" s="2"/>
      <c r="FLJ24" s="2"/>
      <c r="FLK24" s="2"/>
      <c r="FLL24" s="2"/>
      <c r="FLM24" s="2"/>
      <c r="FLN24" s="2"/>
      <c r="FLO24" s="2"/>
      <c r="FLP24" s="2"/>
      <c r="FLQ24" s="2"/>
      <c r="FLR24" s="2"/>
      <c r="FLS24" s="2"/>
      <c r="FLT24" s="2"/>
      <c r="FLU24" s="2"/>
      <c r="FLV24" s="2"/>
      <c r="FLW24" s="2"/>
      <c r="FLX24" s="2"/>
      <c r="FLY24" s="2"/>
      <c r="FLZ24" s="2"/>
      <c r="FMA24" s="2"/>
      <c r="FMB24" s="2"/>
      <c r="FMC24" s="2"/>
      <c r="FMD24" s="2"/>
      <c r="FME24" s="2"/>
      <c r="FMF24" s="2"/>
      <c r="FMG24" s="2"/>
      <c r="FMH24" s="2"/>
      <c r="FMI24" s="2"/>
      <c r="FMJ24" s="2"/>
      <c r="FMK24" s="2"/>
      <c r="FML24" s="2"/>
      <c r="FMM24" s="2"/>
      <c r="FMN24" s="2"/>
      <c r="FMO24" s="2"/>
      <c r="FMP24" s="2"/>
      <c r="FMQ24" s="2"/>
      <c r="FMR24" s="2"/>
      <c r="FMS24" s="2"/>
      <c r="FMT24" s="2"/>
      <c r="FMU24" s="2"/>
      <c r="FMV24" s="2"/>
      <c r="FMW24" s="2"/>
      <c r="FMX24" s="2"/>
      <c r="FMY24" s="2"/>
      <c r="FMZ24" s="2"/>
      <c r="FNA24" s="2"/>
      <c r="FNB24" s="2"/>
      <c r="FNC24" s="2"/>
      <c r="FND24" s="2"/>
      <c r="FNE24" s="2"/>
      <c r="FNF24" s="2"/>
      <c r="FNG24" s="2"/>
      <c r="FNH24" s="2"/>
      <c r="FNI24" s="2"/>
      <c r="FNJ24" s="2"/>
      <c r="FNK24" s="2"/>
      <c r="FNL24" s="2"/>
      <c r="FNM24" s="2"/>
      <c r="FNN24" s="2"/>
      <c r="FNO24" s="2"/>
      <c r="FNP24" s="2"/>
      <c r="FNQ24" s="2"/>
      <c r="FNR24" s="2"/>
      <c r="FNS24" s="2"/>
      <c r="FNT24" s="2"/>
      <c r="FNU24" s="2"/>
      <c r="FNV24" s="2"/>
      <c r="FNW24" s="2"/>
      <c r="FNX24" s="2"/>
      <c r="FNY24" s="2"/>
      <c r="FNZ24" s="2"/>
      <c r="FOA24" s="2"/>
      <c r="FOB24" s="2"/>
      <c r="FOC24" s="2"/>
      <c r="FOD24" s="2"/>
      <c r="FOE24" s="2"/>
      <c r="FOF24" s="2"/>
      <c r="FOG24" s="2"/>
      <c r="FOH24" s="2"/>
      <c r="FOI24" s="2"/>
      <c r="FOJ24" s="2"/>
      <c r="FOK24" s="2"/>
      <c r="FOL24" s="2"/>
      <c r="FOM24" s="2"/>
      <c r="FON24" s="2"/>
      <c r="FOO24" s="2"/>
      <c r="FOP24" s="2"/>
      <c r="FOQ24" s="2"/>
      <c r="FOR24" s="2"/>
      <c r="FOS24" s="2"/>
      <c r="FOT24" s="2"/>
      <c r="FOU24" s="2"/>
      <c r="FOV24" s="2"/>
      <c r="FOW24" s="2"/>
      <c r="FOX24" s="2"/>
      <c r="FOY24" s="2"/>
      <c r="FOZ24" s="2"/>
      <c r="FPA24" s="2"/>
      <c r="FPB24" s="2"/>
      <c r="FPC24" s="2"/>
      <c r="FPD24" s="2"/>
      <c r="FPE24" s="2"/>
      <c r="FPF24" s="2"/>
      <c r="FPG24" s="2"/>
      <c r="FPH24" s="2"/>
      <c r="FPI24" s="2"/>
      <c r="FPJ24" s="2"/>
      <c r="FPK24" s="2"/>
      <c r="FPL24" s="2"/>
      <c r="FPM24" s="2"/>
      <c r="FPN24" s="2"/>
      <c r="FPO24" s="2"/>
      <c r="FPP24" s="2"/>
      <c r="FPQ24" s="2"/>
      <c r="FPR24" s="2"/>
      <c r="FPS24" s="2"/>
      <c r="FPT24" s="2"/>
      <c r="FPU24" s="2"/>
      <c r="FPV24" s="2"/>
      <c r="FPW24" s="2"/>
      <c r="FPX24" s="2"/>
      <c r="FPY24" s="2"/>
      <c r="FPZ24" s="2"/>
      <c r="FQA24" s="2"/>
      <c r="FQB24" s="2"/>
      <c r="FQC24" s="2"/>
      <c r="FQD24" s="2"/>
      <c r="FQE24" s="2"/>
      <c r="FQF24" s="2"/>
      <c r="FQG24" s="2"/>
      <c r="FQH24" s="2"/>
      <c r="FQI24" s="2"/>
      <c r="FQJ24" s="2"/>
      <c r="FQK24" s="2"/>
      <c r="FQL24" s="2"/>
      <c r="FQM24" s="2"/>
      <c r="FQN24" s="2"/>
      <c r="FQO24" s="2"/>
      <c r="FQP24" s="2"/>
      <c r="FQQ24" s="2"/>
      <c r="FQR24" s="2"/>
      <c r="FQS24" s="2"/>
      <c r="FQT24" s="2"/>
      <c r="FQU24" s="2"/>
      <c r="FQV24" s="2"/>
      <c r="FQW24" s="2"/>
      <c r="FQX24" s="2"/>
      <c r="FQY24" s="2"/>
      <c r="FQZ24" s="2"/>
      <c r="FRA24" s="2"/>
      <c r="FRB24" s="2"/>
      <c r="FRC24" s="2"/>
      <c r="FRD24" s="2"/>
      <c r="FRE24" s="2"/>
      <c r="FRF24" s="2"/>
      <c r="FRG24" s="2"/>
      <c r="FRH24" s="2"/>
      <c r="FRI24" s="2"/>
      <c r="FRJ24" s="2"/>
      <c r="FRK24" s="2"/>
      <c r="FRL24" s="2"/>
      <c r="FRM24" s="2"/>
      <c r="FRN24" s="2"/>
      <c r="FRO24" s="2"/>
      <c r="FRP24" s="2"/>
      <c r="FRQ24" s="2"/>
      <c r="FRR24" s="2"/>
      <c r="FRS24" s="2"/>
      <c r="FRT24" s="2"/>
      <c r="FRU24" s="2"/>
      <c r="FRV24" s="2"/>
      <c r="FRW24" s="2"/>
      <c r="FRX24" s="2"/>
      <c r="FRY24" s="2"/>
      <c r="FRZ24" s="2"/>
      <c r="FSA24" s="2"/>
      <c r="FSB24" s="2"/>
      <c r="FSC24" s="2"/>
      <c r="FSD24" s="2"/>
      <c r="FSE24" s="2"/>
      <c r="FSF24" s="2"/>
      <c r="FSG24" s="2"/>
      <c r="FSH24" s="2"/>
      <c r="FSI24" s="2"/>
      <c r="FSJ24" s="2"/>
      <c r="FSK24" s="2"/>
      <c r="FSL24" s="2"/>
      <c r="FSM24" s="2"/>
      <c r="FSN24" s="2"/>
      <c r="FSO24" s="2"/>
      <c r="FSP24" s="2"/>
      <c r="FSQ24" s="2"/>
      <c r="FSR24" s="2"/>
      <c r="FSS24" s="2"/>
      <c r="FST24" s="2"/>
      <c r="FSU24" s="2"/>
      <c r="FSV24" s="2"/>
      <c r="FSW24" s="2"/>
      <c r="FSX24" s="2"/>
      <c r="FSY24" s="2"/>
      <c r="FSZ24" s="2"/>
      <c r="FTA24" s="2"/>
      <c r="FTB24" s="2"/>
      <c r="FTC24" s="2"/>
      <c r="FTD24" s="2"/>
      <c r="FTE24" s="2"/>
      <c r="FTF24" s="2"/>
      <c r="FTG24" s="2"/>
      <c r="FTH24" s="2"/>
      <c r="FTI24" s="2"/>
      <c r="FTJ24" s="2"/>
      <c r="FTK24" s="2"/>
      <c r="FTL24" s="2"/>
      <c r="FTM24" s="2"/>
      <c r="FTN24" s="2"/>
      <c r="FTO24" s="2"/>
      <c r="FTP24" s="2"/>
      <c r="FTQ24" s="2"/>
      <c r="FTR24" s="2"/>
      <c r="FTS24" s="2"/>
      <c r="FTT24" s="2"/>
      <c r="FTU24" s="2"/>
      <c r="FTV24" s="2"/>
      <c r="FTW24" s="2"/>
      <c r="FTX24" s="2"/>
      <c r="FTY24" s="2"/>
      <c r="FTZ24" s="2"/>
      <c r="FUA24" s="2"/>
      <c r="FUB24" s="2"/>
      <c r="FUC24" s="2"/>
      <c r="FUD24" s="2"/>
      <c r="FUE24" s="2"/>
      <c r="FUF24" s="2"/>
      <c r="FUG24" s="2"/>
      <c r="FUH24" s="2"/>
      <c r="FUI24" s="2"/>
      <c r="FUJ24" s="2"/>
      <c r="FUK24" s="2"/>
      <c r="FUL24" s="2"/>
      <c r="FUM24" s="2"/>
      <c r="FUN24" s="2"/>
      <c r="FUO24" s="2"/>
      <c r="FUP24" s="2"/>
      <c r="FUQ24" s="2"/>
      <c r="FUR24" s="2"/>
      <c r="FUS24" s="2"/>
      <c r="FUT24" s="2"/>
      <c r="FUU24" s="2"/>
      <c r="FUV24" s="2"/>
      <c r="FUW24" s="2"/>
      <c r="FUX24" s="2"/>
      <c r="FUY24" s="2"/>
      <c r="FUZ24" s="2"/>
      <c r="FVA24" s="2"/>
      <c r="FVB24" s="2"/>
      <c r="FVC24" s="2"/>
      <c r="FVD24" s="2"/>
      <c r="FVE24" s="2"/>
      <c r="FVF24" s="2"/>
      <c r="FVG24" s="2"/>
      <c r="FVH24" s="2"/>
      <c r="FVI24" s="2"/>
      <c r="FVJ24" s="2"/>
      <c r="FVK24" s="2"/>
      <c r="FVL24" s="2"/>
      <c r="FVM24" s="2"/>
      <c r="FVN24" s="2"/>
      <c r="FVO24" s="2"/>
      <c r="FVP24" s="2"/>
      <c r="FVQ24" s="2"/>
      <c r="FVR24" s="2"/>
      <c r="FVS24" s="2"/>
      <c r="FVT24" s="2"/>
      <c r="FVU24" s="2"/>
      <c r="FVV24" s="2"/>
      <c r="FVW24" s="2"/>
      <c r="FVX24" s="2"/>
      <c r="FVY24" s="2"/>
      <c r="FVZ24" s="2"/>
      <c r="FWA24" s="2"/>
      <c r="FWB24" s="2"/>
      <c r="FWC24" s="2"/>
      <c r="FWD24" s="2"/>
      <c r="FWE24" s="2"/>
      <c r="FWF24" s="2"/>
      <c r="FWG24" s="2"/>
      <c r="FWH24" s="2"/>
      <c r="FWI24" s="2"/>
      <c r="FWJ24" s="2"/>
      <c r="FWK24" s="2"/>
      <c r="FWL24" s="2"/>
      <c r="FWM24" s="2"/>
      <c r="FWN24" s="2"/>
      <c r="FWO24" s="2"/>
      <c r="FWP24" s="2"/>
      <c r="FWQ24" s="2"/>
      <c r="FWR24" s="2"/>
      <c r="FWS24" s="2"/>
      <c r="FWT24" s="2"/>
      <c r="FWU24" s="2"/>
      <c r="FWV24" s="2"/>
      <c r="FWW24" s="2"/>
      <c r="FWX24" s="2"/>
      <c r="FWY24" s="2"/>
      <c r="FWZ24" s="2"/>
      <c r="FXA24" s="2"/>
      <c r="FXB24" s="2"/>
      <c r="FXC24" s="2"/>
      <c r="FXD24" s="2"/>
      <c r="FXE24" s="2"/>
      <c r="FXF24" s="2"/>
      <c r="FXG24" s="2"/>
      <c r="FXH24" s="2"/>
      <c r="FXI24" s="2"/>
      <c r="FXJ24" s="2"/>
      <c r="FXK24" s="2"/>
      <c r="FXL24" s="2"/>
      <c r="FXM24" s="2"/>
      <c r="FXN24" s="2"/>
      <c r="FXO24" s="2"/>
      <c r="FXP24" s="2"/>
      <c r="FXQ24" s="2"/>
      <c r="FXR24" s="2"/>
      <c r="FXS24" s="2"/>
      <c r="FXT24" s="2"/>
      <c r="FXU24" s="2"/>
      <c r="FXV24" s="2"/>
      <c r="FXW24" s="2"/>
      <c r="FXX24" s="2"/>
      <c r="FXY24" s="2"/>
      <c r="FXZ24" s="2"/>
      <c r="FYA24" s="2"/>
      <c r="FYB24" s="2"/>
      <c r="FYC24" s="2"/>
      <c r="FYD24" s="2"/>
      <c r="FYE24" s="2"/>
      <c r="FYF24" s="2"/>
      <c r="FYG24" s="2"/>
      <c r="FYH24" s="2"/>
      <c r="FYI24" s="2"/>
      <c r="FYJ24" s="2"/>
      <c r="FYK24" s="2"/>
      <c r="FYL24" s="2"/>
      <c r="FYM24" s="2"/>
      <c r="FYN24" s="2"/>
      <c r="FYO24" s="2"/>
      <c r="FYP24" s="2"/>
      <c r="FYQ24" s="2"/>
      <c r="FYR24" s="2"/>
      <c r="FYS24" s="2"/>
      <c r="FYT24" s="2"/>
      <c r="FYU24" s="2"/>
      <c r="FYV24" s="2"/>
      <c r="FYW24" s="2"/>
      <c r="FYX24" s="2"/>
      <c r="FYY24" s="2"/>
      <c r="FYZ24" s="2"/>
      <c r="FZA24" s="2"/>
      <c r="FZB24" s="2"/>
      <c r="FZC24" s="2"/>
      <c r="FZD24" s="2"/>
      <c r="FZE24" s="2"/>
      <c r="FZF24" s="2"/>
      <c r="FZG24" s="2"/>
      <c r="FZH24" s="2"/>
      <c r="FZI24" s="2"/>
      <c r="FZJ24" s="2"/>
      <c r="FZK24" s="2"/>
      <c r="FZL24" s="2"/>
      <c r="FZM24" s="2"/>
      <c r="FZN24" s="2"/>
      <c r="FZO24" s="2"/>
      <c r="FZP24" s="2"/>
      <c r="FZQ24" s="2"/>
      <c r="FZR24" s="2"/>
      <c r="FZS24" s="2"/>
      <c r="FZT24" s="2"/>
      <c r="FZU24" s="2"/>
      <c r="FZV24" s="2"/>
      <c r="FZW24" s="2"/>
      <c r="FZX24" s="2"/>
      <c r="FZY24" s="2"/>
      <c r="FZZ24" s="2"/>
      <c r="GAA24" s="2"/>
      <c r="GAB24" s="2"/>
      <c r="GAC24" s="2"/>
      <c r="GAD24" s="2"/>
      <c r="GAE24" s="2"/>
      <c r="GAF24" s="2"/>
      <c r="GAG24" s="2"/>
      <c r="GAH24" s="2"/>
      <c r="GAI24" s="2"/>
      <c r="GAJ24" s="2"/>
      <c r="GAK24" s="2"/>
      <c r="GAL24" s="2"/>
      <c r="GAM24" s="2"/>
      <c r="GAN24" s="2"/>
      <c r="GAO24" s="2"/>
      <c r="GAP24" s="2"/>
      <c r="GAQ24" s="2"/>
      <c r="GAR24" s="2"/>
      <c r="GAS24" s="2"/>
      <c r="GAT24" s="2"/>
      <c r="GAU24" s="2"/>
      <c r="GAV24" s="2"/>
      <c r="GAW24" s="2"/>
      <c r="GAX24" s="2"/>
      <c r="GAY24" s="2"/>
      <c r="GAZ24" s="2"/>
      <c r="GBA24" s="2"/>
      <c r="GBB24" s="2"/>
      <c r="GBC24" s="2"/>
      <c r="GBD24" s="2"/>
      <c r="GBE24" s="2"/>
      <c r="GBF24" s="2"/>
      <c r="GBG24" s="2"/>
      <c r="GBH24" s="2"/>
      <c r="GBI24" s="2"/>
      <c r="GBJ24" s="2"/>
      <c r="GBK24" s="2"/>
      <c r="GBL24" s="2"/>
      <c r="GBM24" s="2"/>
      <c r="GBN24" s="2"/>
      <c r="GBO24" s="2"/>
      <c r="GBP24" s="2"/>
      <c r="GBQ24" s="2"/>
      <c r="GBR24" s="2"/>
      <c r="GBS24" s="2"/>
      <c r="GBT24" s="2"/>
      <c r="GBU24" s="2"/>
      <c r="GBV24" s="2"/>
      <c r="GBW24" s="2"/>
      <c r="GBX24" s="2"/>
      <c r="GBY24" s="2"/>
      <c r="GBZ24" s="2"/>
      <c r="GCA24" s="2"/>
      <c r="GCB24" s="2"/>
      <c r="GCC24" s="2"/>
      <c r="GCD24" s="2"/>
      <c r="GCE24" s="2"/>
      <c r="GCF24" s="2"/>
      <c r="GCG24" s="2"/>
      <c r="GCH24" s="2"/>
      <c r="GCI24" s="2"/>
      <c r="GCJ24" s="2"/>
      <c r="GCK24" s="2"/>
      <c r="GCL24" s="2"/>
      <c r="GCM24" s="2"/>
      <c r="GCN24" s="2"/>
      <c r="GCO24" s="2"/>
      <c r="GCP24" s="2"/>
      <c r="GCQ24" s="2"/>
      <c r="GCR24" s="2"/>
      <c r="GCS24" s="2"/>
      <c r="GCT24" s="2"/>
      <c r="GCU24" s="2"/>
      <c r="GCV24" s="2"/>
      <c r="GCW24" s="2"/>
      <c r="GCX24" s="2"/>
      <c r="GCY24" s="2"/>
      <c r="GCZ24" s="2"/>
      <c r="GDA24" s="2"/>
      <c r="GDB24" s="2"/>
      <c r="GDC24" s="2"/>
      <c r="GDD24" s="2"/>
      <c r="GDE24" s="2"/>
      <c r="GDF24" s="2"/>
      <c r="GDG24" s="2"/>
      <c r="GDH24" s="2"/>
      <c r="GDI24" s="2"/>
      <c r="GDJ24" s="2"/>
      <c r="GDK24" s="2"/>
      <c r="GDL24" s="2"/>
      <c r="GDM24" s="2"/>
      <c r="GDN24" s="2"/>
      <c r="GDO24" s="2"/>
      <c r="GDP24" s="2"/>
      <c r="GDQ24" s="2"/>
      <c r="GDR24" s="2"/>
      <c r="GDS24" s="2"/>
      <c r="GDT24" s="2"/>
      <c r="GDU24" s="2"/>
      <c r="GDV24" s="2"/>
      <c r="GDW24" s="2"/>
      <c r="GDX24" s="2"/>
      <c r="GDY24" s="2"/>
      <c r="GDZ24" s="2"/>
      <c r="GEA24" s="2"/>
      <c r="GEB24" s="2"/>
      <c r="GEC24" s="2"/>
      <c r="GED24" s="2"/>
      <c r="GEE24" s="2"/>
      <c r="GEF24" s="2"/>
      <c r="GEG24" s="2"/>
      <c r="GEH24" s="2"/>
      <c r="GEI24" s="2"/>
      <c r="GEJ24" s="2"/>
      <c r="GEK24" s="2"/>
      <c r="GEL24" s="2"/>
      <c r="GEM24" s="2"/>
      <c r="GEN24" s="2"/>
      <c r="GEO24" s="2"/>
      <c r="GEP24" s="2"/>
      <c r="GEQ24" s="2"/>
      <c r="GER24" s="2"/>
      <c r="GES24" s="2"/>
      <c r="GET24" s="2"/>
      <c r="GEU24" s="2"/>
      <c r="GEV24" s="2"/>
      <c r="GEW24" s="2"/>
      <c r="GEX24" s="2"/>
      <c r="GEY24" s="2"/>
      <c r="GEZ24" s="2"/>
      <c r="GFA24" s="2"/>
      <c r="GFB24" s="2"/>
      <c r="GFC24" s="2"/>
      <c r="GFD24" s="2"/>
      <c r="GFE24" s="2"/>
      <c r="GFF24" s="2"/>
      <c r="GFG24" s="2"/>
      <c r="GFH24" s="2"/>
      <c r="GFI24" s="2"/>
      <c r="GFJ24" s="2"/>
      <c r="GFK24" s="2"/>
      <c r="GFL24" s="2"/>
      <c r="GFM24" s="2"/>
      <c r="GFN24" s="2"/>
      <c r="GFO24" s="2"/>
      <c r="GFP24" s="2"/>
      <c r="GFQ24" s="2"/>
      <c r="GFR24" s="2"/>
      <c r="GFS24" s="2"/>
      <c r="GFT24" s="2"/>
      <c r="GFU24" s="2"/>
      <c r="GFV24" s="2"/>
      <c r="GFW24" s="2"/>
      <c r="GFX24" s="2"/>
      <c r="GFY24" s="2"/>
      <c r="GFZ24" s="2"/>
      <c r="GGA24" s="2"/>
      <c r="GGB24" s="2"/>
      <c r="GGC24" s="2"/>
      <c r="GGD24" s="2"/>
      <c r="GGE24" s="2"/>
      <c r="GGF24" s="2"/>
      <c r="GGG24" s="2"/>
      <c r="GGH24" s="2"/>
      <c r="GGI24" s="2"/>
      <c r="GGJ24" s="2"/>
      <c r="GGK24" s="2"/>
      <c r="GGL24" s="2"/>
      <c r="GGM24" s="2"/>
      <c r="GGN24" s="2"/>
      <c r="GGO24" s="2"/>
      <c r="GGP24" s="2"/>
      <c r="GGQ24" s="2"/>
      <c r="GGR24" s="2"/>
      <c r="GGS24" s="2"/>
      <c r="GGT24" s="2"/>
      <c r="GGU24" s="2"/>
      <c r="GGV24" s="2"/>
      <c r="GGW24" s="2"/>
      <c r="GGX24" s="2"/>
      <c r="GGY24" s="2"/>
      <c r="GGZ24" s="2"/>
      <c r="GHA24" s="2"/>
      <c r="GHB24" s="2"/>
      <c r="GHC24" s="2"/>
      <c r="GHD24" s="2"/>
      <c r="GHE24" s="2"/>
      <c r="GHF24" s="2"/>
      <c r="GHG24" s="2"/>
      <c r="GHH24" s="2"/>
      <c r="GHI24" s="2"/>
      <c r="GHJ24" s="2"/>
      <c r="GHK24" s="2"/>
      <c r="GHL24" s="2"/>
      <c r="GHM24" s="2"/>
      <c r="GHN24" s="2"/>
      <c r="GHO24" s="2"/>
      <c r="GHP24" s="2"/>
      <c r="GHQ24" s="2"/>
      <c r="GHR24" s="2"/>
      <c r="GHS24" s="2"/>
      <c r="GHT24" s="2"/>
      <c r="GHU24" s="2"/>
      <c r="GHV24" s="2"/>
      <c r="GHW24" s="2"/>
      <c r="GHX24" s="2"/>
      <c r="GHY24" s="2"/>
      <c r="GHZ24" s="2"/>
      <c r="GIA24" s="2"/>
      <c r="GIB24" s="2"/>
      <c r="GIC24" s="2"/>
      <c r="GID24" s="2"/>
      <c r="GIE24" s="2"/>
      <c r="GIF24" s="2"/>
      <c r="GIG24" s="2"/>
      <c r="GIH24" s="2"/>
      <c r="GII24" s="2"/>
      <c r="GIJ24" s="2"/>
      <c r="GIK24" s="2"/>
      <c r="GIL24" s="2"/>
      <c r="GIM24" s="2"/>
      <c r="GIN24" s="2"/>
      <c r="GIO24" s="2"/>
      <c r="GIP24" s="2"/>
      <c r="GIQ24" s="2"/>
      <c r="GIR24" s="2"/>
      <c r="GIS24" s="2"/>
      <c r="GIT24" s="2"/>
      <c r="GIU24" s="2"/>
      <c r="GIV24" s="2"/>
      <c r="GIW24" s="2"/>
      <c r="GIX24" s="2"/>
      <c r="GIY24" s="2"/>
      <c r="GIZ24" s="2"/>
      <c r="GJA24" s="2"/>
      <c r="GJB24" s="2"/>
      <c r="GJC24" s="2"/>
      <c r="GJD24" s="2"/>
      <c r="GJE24" s="2"/>
      <c r="GJF24" s="2"/>
      <c r="GJG24" s="2"/>
      <c r="GJH24" s="2"/>
      <c r="GJI24" s="2"/>
      <c r="GJJ24" s="2"/>
      <c r="GJK24" s="2"/>
      <c r="GJL24" s="2"/>
      <c r="GJM24" s="2"/>
      <c r="GJN24" s="2"/>
      <c r="GJO24" s="2"/>
      <c r="GJP24" s="2"/>
      <c r="GJQ24" s="2"/>
      <c r="GJR24" s="2"/>
      <c r="GJS24" s="2"/>
      <c r="GJT24" s="2"/>
      <c r="GJU24" s="2"/>
      <c r="GJV24" s="2"/>
      <c r="GJW24" s="2"/>
      <c r="GJX24" s="2"/>
      <c r="GJY24" s="2"/>
      <c r="GJZ24" s="2"/>
      <c r="GKA24" s="2"/>
      <c r="GKB24" s="2"/>
      <c r="GKC24" s="2"/>
      <c r="GKD24" s="2"/>
      <c r="GKE24" s="2"/>
      <c r="GKF24" s="2"/>
      <c r="GKG24" s="2"/>
      <c r="GKH24" s="2"/>
      <c r="GKI24" s="2"/>
      <c r="GKJ24" s="2"/>
      <c r="GKK24" s="2"/>
      <c r="GKL24" s="2"/>
      <c r="GKM24" s="2"/>
      <c r="GKN24" s="2"/>
      <c r="GKO24" s="2"/>
      <c r="GKP24" s="2"/>
      <c r="GKQ24" s="2"/>
      <c r="GKR24" s="2"/>
      <c r="GKS24" s="2"/>
      <c r="GKT24" s="2"/>
      <c r="GKU24" s="2"/>
      <c r="GKV24" s="2"/>
      <c r="GKW24" s="2"/>
      <c r="GKX24" s="2"/>
      <c r="GKY24" s="2"/>
      <c r="GKZ24" s="2"/>
      <c r="GLA24" s="2"/>
      <c r="GLB24" s="2"/>
      <c r="GLC24" s="2"/>
      <c r="GLD24" s="2"/>
      <c r="GLE24" s="2"/>
      <c r="GLF24" s="2"/>
      <c r="GLG24" s="2"/>
      <c r="GLH24" s="2"/>
      <c r="GLI24" s="2"/>
      <c r="GLJ24" s="2"/>
      <c r="GLK24" s="2"/>
      <c r="GLL24" s="2"/>
      <c r="GLM24" s="2"/>
      <c r="GLN24" s="2"/>
      <c r="GLO24" s="2"/>
      <c r="GLP24" s="2"/>
      <c r="GLQ24" s="2"/>
      <c r="GLR24" s="2"/>
      <c r="GLS24" s="2"/>
      <c r="GLT24" s="2"/>
      <c r="GLU24" s="2"/>
      <c r="GLV24" s="2"/>
      <c r="GLW24" s="2"/>
      <c r="GLX24" s="2"/>
      <c r="GLY24" s="2"/>
      <c r="GLZ24" s="2"/>
      <c r="GMA24" s="2"/>
      <c r="GMB24" s="2"/>
      <c r="GMC24" s="2"/>
      <c r="GMD24" s="2"/>
      <c r="GME24" s="2"/>
      <c r="GMF24" s="2"/>
      <c r="GMG24" s="2"/>
      <c r="GMH24" s="2"/>
      <c r="GMI24" s="2"/>
      <c r="GMJ24" s="2"/>
      <c r="GMK24" s="2"/>
      <c r="GML24" s="2"/>
      <c r="GMM24" s="2"/>
      <c r="GMN24" s="2"/>
      <c r="GMO24" s="2"/>
      <c r="GMP24" s="2"/>
      <c r="GMQ24" s="2"/>
      <c r="GMR24" s="2"/>
      <c r="GMS24" s="2"/>
      <c r="GMT24" s="2"/>
      <c r="GMU24" s="2"/>
      <c r="GMV24" s="2"/>
      <c r="GMW24" s="2"/>
      <c r="GMX24" s="2"/>
      <c r="GMY24" s="2"/>
      <c r="GMZ24" s="2"/>
      <c r="GNA24" s="2"/>
      <c r="GNB24" s="2"/>
      <c r="GNC24" s="2"/>
      <c r="GND24" s="2"/>
      <c r="GNE24" s="2"/>
      <c r="GNF24" s="2"/>
      <c r="GNG24" s="2"/>
      <c r="GNH24" s="2"/>
      <c r="GNI24" s="2"/>
      <c r="GNJ24" s="2"/>
      <c r="GNK24" s="2"/>
      <c r="GNL24" s="2"/>
      <c r="GNM24" s="2"/>
      <c r="GNN24" s="2"/>
      <c r="GNO24" s="2"/>
      <c r="GNP24" s="2"/>
      <c r="GNQ24" s="2"/>
      <c r="GNR24" s="2"/>
      <c r="GNS24" s="2"/>
      <c r="GNT24" s="2"/>
      <c r="GNU24" s="2"/>
      <c r="GNV24" s="2"/>
      <c r="GNW24" s="2"/>
      <c r="GNX24" s="2"/>
      <c r="GNY24" s="2"/>
      <c r="GNZ24" s="2"/>
      <c r="GOA24" s="2"/>
      <c r="GOB24" s="2"/>
      <c r="GOC24" s="2"/>
      <c r="GOD24" s="2"/>
      <c r="GOE24" s="2"/>
      <c r="GOF24" s="2"/>
      <c r="GOG24" s="2"/>
      <c r="GOH24" s="2"/>
      <c r="GOI24" s="2"/>
      <c r="GOJ24" s="2"/>
      <c r="GOK24" s="2"/>
      <c r="GOL24" s="2"/>
      <c r="GOM24" s="2"/>
      <c r="GON24" s="2"/>
      <c r="GOO24" s="2"/>
      <c r="GOP24" s="2"/>
      <c r="GOQ24" s="2"/>
      <c r="GOR24" s="2"/>
      <c r="GOS24" s="2"/>
      <c r="GOT24" s="2"/>
      <c r="GOU24" s="2"/>
      <c r="GOV24" s="2"/>
      <c r="GOW24" s="2"/>
      <c r="GOX24" s="2"/>
      <c r="GOY24" s="2"/>
      <c r="GOZ24" s="2"/>
      <c r="GPA24" s="2"/>
      <c r="GPB24" s="2"/>
      <c r="GPC24" s="2"/>
      <c r="GPD24" s="2"/>
      <c r="GPE24" s="2"/>
      <c r="GPF24" s="2"/>
      <c r="GPG24" s="2"/>
      <c r="GPH24" s="2"/>
      <c r="GPI24" s="2"/>
      <c r="GPJ24" s="2"/>
      <c r="GPK24" s="2"/>
      <c r="GPL24" s="2"/>
      <c r="GPM24" s="2"/>
      <c r="GPN24" s="2"/>
      <c r="GPO24" s="2"/>
      <c r="GPP24" s="2"/>
      <c r="GPQ24" s="2"/>
      <c r="GPR24" s="2"/>
      <c r="GPS24" s="2"/>
      <c r="GPT24" s="2"/>
      <c r="GPU24" s="2"/>
      <c r="GPV24" s="2"/>
      <c r="GPW24" s="2"/>
      <c r="GPX24" s="2"/>
      <c r="GPY24" s="2"/>
      <c r="GPZ24" s="2"/>
      <c r="GQA24" s="2"/>
      <c r="GQB24" s="2"/>
      <c r="GQC24" s="2"/>
      <c r="GQD24" s="2"/>
      <c r="GQE24" s="2"/>
      <c r="GQF24" s="2"/>
      <c r="GQG24" s="2"/>
      <c r="GQH24" s="2"/>
      <c r="GQI24" s="2"/>
      <c r="GQJ24" s="2"/>
      <c r="GQK24" s="2"/>
      <c r="GQL24" s="2"/>
      <c r="GQM24" s="2"/>
      <c r="GQN24" s="2"/>
      <c r="GQO24" s="2"/>
      <c r="GQP24" s="2"/>
      <c r="GQQ24" s="2"/>
      <c r="GQR24" s="2"/>
      <c r="GQS24" s="2"/>
      <c r="GQT24" s="2"/>
      <c r="GQU24" s="2"/>
      <c r="GQV24" s="2"/>
      <c r="GQW24" s="2"/>
      <c r="GQX24" s="2"/>
      <c r="GQY24" s="2"/>
      <c r="GQZ24" s="2"/>
      <c r="GRA24" s="2"/>
      <c r="GRB24" s="2"/>
      <c r="GRC24" s="2"/>
      <c r="GRD24" s="2"/>
      <c r="GRE24" s="2"/>
      <c r="GRF24" s="2"/>
      <c r="GRG24" s="2"/>
      <c r="GRH24" s="2"/>
      <c r="GRI24" s="2"/>
      <c r="GRJ24" s="2"/>
      <c r="GRK24" s="2"/>
      <c r="GRL24" s="2"/>
      <c r="GRM24" s="2"/>
      <c r="GRN24" s="2"/>
      <c r="GRO24" s="2"/>
      <c r="GRP24" s="2"/>
      <c r="GRQ24" s="2"/>
      <c r="GRR24" s="2"/>
      <c r="GRS24" s="2"/>
      <c r="GRT24" s="2"/>
      <c r="GRU24" s="2"/>
      <c r="GRV24" s="2"/>
      <c r="GRW24" s="2"/>
      <c r="GRX24" s="2"/>
      <c r="GRY24" s="2"/>
      <c r="GRZ24" s="2"/>
      <c r="GSA24" s="2"/>
      <c r="GSB24" s="2"/>
      <c r="GSC24" s="2"/>
      <c r="GSD24" s="2"/>
      <c r="GSE24" s="2"/>
      <c r="GSF24" s="2"/>
      <c r="GSG24" s="2"/>
      <c r="GSH24" s="2"/>
      <c r="GSI24" s="2"/>
      <c r="GSJ24" s="2"/>
      <c r="GSK24" s="2"/>
      <c r="GSL24" s="2"/>
      <c r="GSM24" s="2"/>
      <c r="GSN24" s="2"/>
      <c r="GSO24" s="2"/>
      <c r="GSP24" s="2"/>
      <c r="GSQ24" s="2"/>
      <c r="GSR24" s="2"/>
      <c r="GSS24" s="2"/>
      <c r="GST24" s="2"/>
      <c r="GSU24" s="2"/>
      <c r="GSV24" s="2"/>
      <c r="GSW24" s="2"/>
      <c r="GSX24" s="2"/>
      <c r="GSY24" s="2"/>
      <c r="GSZ24" s="2"/>
      <c r="GTA24" s="2"/>
      <c r="GTB24" s="2"/>
      <c r="GTC24" s="2"/>
      <c r="GTD24" s="2"/>
      <c r="GTE24" s="2"/>
      <c r="GTF24" s="2"/>
      <c r="GTG24" s="2"/>
      <c r="GTH24" s="2"/>
      <c r="GTI24" s="2"/>
      <c r="GTJ24" s="2"/>
      <c r="GTK24" s="2"/>
      <c r="GTL24" s="2"/>
      <c r="GTM24" s="2"/>
      <c r="GTN24" s="2"/>
      <c r="GTO24" s="2"/>
      <c r="GTP24" s="2"/>
      <c r="GTQ24" s="2"/>
      <c r="GTR24" s="2"/>
      <c r="GTS24" s="2"/>
      <c r="GTT24" s="2"/>
      <c r="GTU24" s="2"/>
      <c r="GTV24" s="2"/>
      <c r="GTW24" s="2"/>
      <c r="GTX24" s="2"/>
      <c r="GTY24" s="2"/>
      <c r="GTZ24" s="2"/>
      <c r="GUA24" s="2"/>
      <c r="GUB24" s="2"/>
      <c r="GUC24" s="2"/>
      <c r="GUD24" s="2"/>
      <c r="GUE24" s="2"/>
      <c r="GUF24" s="2"/>
      <c r="GUG24" s="2"/>
      <c r="GUH24" s="2"/>
      <c r="GUI24" s="2"/>
      <c r="GUJ24" s="2"/>
      <c r="GUK24" s="2"/>
      <c r="GUL24" s="2"/>
      <c r="GUM24" s="2"/>
      <c r="GUN24" s="2"/>
      <c r="GUO24" s="2"/>
      <c r="GUP24" s="2"/>
      <c r="GUQ24" s="2"/>
      <c r="GUR24" s="2"/>
      <c r="GUS24" s="2"/>
      <c r="GUT24" s="2"/>
      <c r="GUU24" s="2"/>
      <c r="GUV24" s="2"/>
      <c r="GUW24" s="2"/>
      <c r="GUX24" s="2"/>
      <c r="GUY24" s="2"/>
      <c r="GUZ24" s="2"/>
      <c r="GVA24" s="2"/>
      <c r="GVB24" s="2"/>
      <c r="GVC24" s="2"/>
      <c r="GVD24" s="2"/>
      <c r="GVE24" s="2"/>
      <c r="GVF24" s="2"/>
      <c r="GVG24" s="2"/>
      <c r="GVH24" s="2"/>
      <c r="GVI24" s="2"/>
      <c r="GVJ24" s="2"/>
      <c r="GVK24" s="2"/>
      <c r="GVL24" s="2"/>
      <c r="GVM24" s="2"/>
      <c r="GVN24" s="2"/>
      <c r="GVO24" s="2"/>
      <c r="GVP24" s="2"/>
      <c r="GVQ24" s="2"/>
      <c r="GVR24" s="2"/>
      <c r="GVS24" s="2"/>
      <c r="GVT24" s="2"/>
      <c r="GVU24" s="2"/>
      <c r="GVV24" s="2"/>
      <c r="GVW24" s="2"/>
      <c r="GVX24" s="2"/>
      <c r="GVY24" s="2"/>
      <c r="GVZ24" s="2"/>
      <c r="GWA24" s="2"/>
      <c r="GWB24" s="2"/>
      <c r="GWC24" s="2"/>
      <c r="GWD24" s="2"/>
      <c r="GWE24" s="2"/>
      <c r="GWF24" s="2"/>
      <c r="GWG24" s="2"/>
      <c r="GWH24" s="2"/>
      <c r="GWI24" s="2"/>
      <c r="GWJ24" s="2"/>
      <c r="GWK24" s="2"/>
      <c r="GWL24" s="2"/>
      <c r="GWM24" s="2"/>
      <c r="GWN24" s="2"/>
      <c r="GWO24" s="2"/>
      <c r="GWP24" s="2"/>
      <c r="GWQ24" s="2"/>
      <c r="GWR24" s="2"/>
      <c r="GWS24" s="2"/>
      <c r="GWT24" s="2"/>
      <c r="GWU24" s="2"/>
      <c r="GWV24" s="2"/>
      <c r="GWW24" s="2"/>
      <c r="GWX24" s="2"/>
      <c r="GWY24" s="2"/>
      <c r="GWZ24" s="2"/>
      <c r="GXA24" s="2"/>
      <c r="GXB24" s="2"/>
      <c r="GXC24" s="2"/>
      <c r="GXD24" s="2"/>
      <c r="GXE24" s="2"/>
      <c r="GXF24" s="2"/>
      <c r="GXG24" s="2"/>
      <c r="GXH24" s="2"/>
      <c r="GXI24" s="2"/>
      <c r="GXJ24" s="2"/>
      <c r="GXK24" s="2"/>
      <c r="GXL24" s="2"/>
      <c r="GXM24" s="2"/>
      <c r="GXN24" s="2"/>
      <c r="GXO24" s="2"/>
      <c r="GXP24" s="2"/>
      <c r="GXQ24" s="2"/>
      <c r="GXR24" s="2"/>
      <c r="GXS24" s="2"/>
      <c r="GXT24" s="2"/>
      <c r="GXU24" s="2"/>
      <c r="GXV24" s="2"/>
      <c r="GXW24" s="2"/>
      <c r="GXX24" s="2"/>
      <c r="GXY24" s="2"/>
      <c r="GXZ24" s="2"/>
      <c r="GYA24" s="2"/>
      <c r="GYB24" s="2"/>
      <c r="GYC24" s="2"/>
      <c r="GYD24" s="2"/>
      <c r="GYE24" s="2"/>
      <c r="GYF24" s="2"/>
      <c r="GYG24" s="2"/>
      <c r="GYH24" s="2"/>
      <c r="GYI24" s="2"/>
      <c r="GYJ24" s="2"/>
      <c r="GYK24" s="2"/>
      <c r="GYL24" s="2"/>
      <c r="GYM24" s="2"/>
      <c r="GYN24" s="2"/>
      <c r="GYO24" s="2"/>
      <c r="GYP24" s="2"/>
      <c r="GYQ24" s="2"/>
      <c r="GYR24" s="2"/>
      <c r="GYS24" s="2"/>
      <c r="GYT24" s="2"/>
      <c r="GYU24" s="2"/>
      <c r="GYV24" s="2"/>
      <c r="GYW24" s="2"/>
      <c r="GYX24" s="2"/>
      <c r="GYY24" s="2"/>
      <c r="GYZ24" s="2"/>
      <c r="GZA24" s="2"/>
      <c r="GZB24" s="2"/>
      <c r="GZC24" s="2"/>
      <c r="GZD24" s="2"/>
      <c r="GZE24" s="2"/>
      <c r="GZF24" s="2"/>
      <c r="GZG24" s="2"/>
      <c r="GZH24" s="2"/>
      <c r="GZI24" s="2"/>
      <c r="GZJ24" s="2"/>
      <c r="GZK24" s="2"/>
      <c r="GZL24" s="2"/>
      <c r="GZM24" s="2"/>
      <c r="GZN24" s="2"/>
      <c r="GZO24" s="2"/>
      <c r="GZP24" s="2"/>
      <c r="GZQ24" s="2"/>
      <c r="GZR24" s="2"/>
      <c r="GZS24" s="2"/>
      <c r="GZT24" s="2"/>
      <c r="GZU24" s="2"/>
      <c r="GZV24" s="2"/>
      <c r="GZW24" s="2"/>
      <c r="GZX24" s="2"/>
      <c r="GZY24" s="2"/>
      <c r="GZZ24" s="2"/>
      <c r="HAA24" s="2"/>
      <c r="HAB24" s="2"/>
      <c r="HAC24" s="2"/>
      <c r="HAD24" s="2"/>
      <c r="HAE24" s="2"/>
      <c r="HAF24" s="2"/>
      <c r="HAG24" s="2"/>
      <c r="HAH24" s="2"/>
      <c r="HAI24" s="2"/>
      <c r="HAJ24" s="2"/>
      <c r="HAK24" s="2"/>
      <c r="HAL24" s="2"/>
      <c r="HAM24" s="2"/>
      <c r="HAN24" s="2"/>
      <c r="HAO24" s="2"/>
      <c r="HAP24" s="2"/>
      <c r="HAQ24" s="2"/>
      <c r="HAR24" s="2"/>
      <c r="HAS24" s="2"/>
      <c r="HAT24" s="2"/>
      <c r="HAU24" s="2"/>
      <c r="HAV24" s="2"/>
      <c r="HAW24" s="2"/>
      <c r="HAX24" s="2"/>
      <c r="HAY24" s="2"/>
      <c r="HAZ24" s="2"/>
      <c r="HBA24" s="2"/>
      <c r="HBB24" s="2"/>
      <c r="HBC24" s="2"/>
      <c r="HBD24" s="2"/>
      <c r="HBE24" s="2"/>
      <c r="HBF24" s="2"/>
      <c r="HBG24" s="2"/>
      <c r="HBH24" s="2"/>
      <c r="HBI24" s="2"/>
      <c r="HBJ24" s="2"/>
      <c r="HBK24" s="2"/>
      <c r="HBL24" s="2"/>
      <c r="HBM24" s="2"/>
      <c r="HBN24" s="2"/>
      <c r="HBO24" s="2"/>
      <c r="HBP24" s="2"/>
      <c r="HBQ24" s="2"/>
      <c r="HBR24" s="2"/>
      <c r="HBS24" s="2"/>
      <c r="HBT24" s="2"/>
      <c r="HBU24" s="2"/>
      <c r="HBV24" s="2"/>
      <c r="HBW24" s="2"/>
      <c r="HBX24" s="2"/>
      <c r="HBY24" s="2"/>
      <c r="HBZ24" s="2"/>
      <c r="HCA24" s="2"/>
      <c r="HCB24" s="2"/>
      <c r="HCC24" s="2"/>
      <c r="HCD24" s="2"/>
      <c r="HCE24" s="2"/>
      <c r="HCF24" s="2"/>
      <c r="HCG24" s="2"/>
      <c r="HCH24" s="2"/>
      <c r="HCI24" s="2"/>
      <c r="HCJ24" s="2"/>
      <c r="HCK24" s="2"/>
      <c r="HCL24" s="2"/>
      <c r="HCM24" s="2"/>
      <c r="HCN24" s="2"/>
      <c r="HCO24" s="2"/>
      <c r="HCP24" s="2"/>
      <c r="HCQ24" s="2"/>
      <c r="HCR24" s="2"/>
      <c r="HCS24" s="2"/>
      <c r="HCT24" s="2"/>
      <c r="HCU24" s="2"/>
      <c r="HCV24" s="2"/>
      <c r="HCW24" s="2"/>
      <c r="HCX24" s="2"/>
      <c r="HCY24" s="2"/>
      <c r="HCZ24" s="2"/>
      <c r="HDA24" s="2"/>
      <c r="HDB24" s="2"/>
      <c r="HDC24" s="2"/>
      <c r="HDD24" s="2"/>
      <c r="HDE24" s="2"/>
      <c r="HDF24" s="2"/>
      <c r="HDG24" s="2"/>
      <c r="HDH24" s="2"/>
      <c r="HDI24" s="2"/>
      <c r="HDJ24" s="2"/>
      <c r="HDK24" s="2"/>
      <c r="HDL24" s="2"/>
      <c r="HDM24" s="2"/>
      <c r="HDN24" s="2"/>
      <c r="HDO24" s="2"/>
      <c r="HDP24" s="2"/>
      <c r="HDQ24" s="2"/>
      <c r="HDR24" s="2"/>
      <c r="HDS24" s="2"/>
      <c r="HDT24" s="2"/>
      <c r="HDU24" s="2"/>
      <c r="HDV24" s="2"/>
      <c r="HDW24" s="2"/>
      <c r="HDX24" s="2"/>
      <c r="HDY24" s="2"/>
      <c r="HDZ24" s="2"/>
      <c r="HEA24" s="2"/>
      <c r="HEB24" s="2"/>
      <c r="HEC24" s="2"/>
      <c r="HED24" s="2"/>
      <c r="HEE24" s="2"/>
      <c r="HEF24" s="2"/>
      <c r="HEG24" s="2"/>
      <c r="HEH24" s="2"/>
      <c r="HEI24" s="2"/>
      <c r="HEJ24" s="2"/>
      <c r="HEK24" s="2"/>
      <c r="HEL24" s="2"/>
      <c r="HEM24" s="2"/>
      <c r="HEN24" s="2"/>
      <c r="HEO24" s="2"/>
      <c r="HEP24" s="2"/>
      <c r="HEQ24" s="2"/>
      <c r="HER24" s="2"/>
      <c r="HES24" s="2"/>
      <c r="HET24" s="2"/>
      <c r="HEU24" s="2"/>
      <c r="HEV24" s="2"/>
      <c r="HEW24" s="2"/>
      <c r="HEX24" s="2"/>
      <c r="HEY24" s="2"/>
      <c r="HEZ24" s="2"/>
      <c r="HFA24" s="2"/>
      <c r="HFB24" s="2"/>
      <c r="HFC24" s="2"/>
      <c r="HFD24" s="2"/>
      <c r="HFE24" s="2"/>
      <c r="HFF24" s="2"/>
      <c r="HFG24" s="2"/>
      <c r="HFH24" s="2"/>
      <c r="HFI24" s="2"/>
      <c r="HFJ24" s="2"/>
      <c r="HFK24" s="2"/>
      <c r="HFL24" s="2"/>
      <c r="HFM24" s="2"/>
      <c r="HFN24" s="2"/>
      <c r="HFO24" s="2"/>
      <c r="HFP24" s="2"/>
      <c r="HFQ24" s="2"/>
      <c r="HFR24" s="2"/>
      <c r="HFS24" s="2"/>
      <c r="HFT24" s="2"/>
      <c r="HFU24" s="2"/>
      <c r="HFV24" s="2"/>
      <c r="HFW24" s="2"/>
      <c r="HFX24" s="2"/>
      <c r="HFY24" s="2"/>
      <c r="HFZ24" s="2"/>
      <c r="HGA24" s="2"/>
      <c r="HGB24" s="2"/>
      <c r="HGC24" s="2"/>
      <c r="HGD24" s="2"/>
      <c r="HGE24" s="2"/>
      <c r="HGF24" s="2"/>
      <c r="HGG24" s="2"/>
      <c r="HGH24" s="2"/>
      <c r="HGI24" s="2"/>
      <c r="HGJ24" s="2"/>
      <c r="HGK24" s="2"/>
      <c r="HGL24" s="2"/>
      <c r="HGM24" s="2"/>
      <c r="HGN24" s="2"/>
      <c r="HGO24" s="2"/>
      <c r="HGP24" s="2"/>
      <c r="HGQ24" s="2"/>
      <c r="HGR24" s="2"/>
      <c r="HGS24" s="2"/>
      <c r="HGT24" s="2"/>
      <c r="HGU24" s="2"/>
      <c r="HGV24" s="2"/>
      <c r="HGW24" s="2"/>
      <c r="HGX24" s="2"/>
      <c r="HGY24" s="2"/>
      <c r="HGZ24" s="2"/>
      <c r="HHA24" s="2"/>
      <c r="HHB24" s="2"/>
      <c r="HHC24" s="2"/>
      <c r="HHD24" s="2"/>
      <c r="HHE24" s="2"/>
      <c r="HHF24" s="2"/>
      <c r="HHG24" s="2"/>
      <c r="HHH24" s="2"/>
      <c r="HHI24" s="2"/>
      <c r="HHJ24" s="2"/>
      <c r="HHK24" s="2"/>
      <c r="HHL24" s="2"/>
      <c r="HHM24" s="2"/>
      <c r="HHN24" s="2"/>
      <c r="HHO24" s="2"/>
      <c r="HHP24" s="2"/>
      <c r="HHQ24" s="2"/>
      <c r="HHR24" s="2"/>
      <c r="HHS24" s="2"/>
      <c r="HHT24" s="2"/>
      <c r="HHU24" s="2"/>
      <c r="HHV24" s="2"/>
      <c r="HHW24" s="2"/>
      <c r="HHX24" s="2"/>
      <c r="HHY24" s="2"/>
      <c r="HHZ24" s="2"/>
      <c r="HIA24" s="2"/>
      <c r="HIB24" s="2"/>
      <c r="HIC24" s="2"/>
      <c r="HID24" s="2"/>
      <c r="HIE24" s="2"/>
      <c r="HIF24" s="2"/>
      <c r="HIG24" s="2"/>
      <c r="HIH24" s="2"/>
      <c r="HII24" s="2"/>
      <c r="HIJ24" s="2"/>
      <c r="HIK24" s="2"/>
      <c r="HIL24" s="2"/>
      <c r="HIM24" s="2"/>
      <c r="HIN24" s="2"/>
      <c r="HIO24" s="2"/>
      <c r="HIP24" s="2"/>
      <c r="HIQ24" s="2"/>
      <c r="HIR24" s="2"/>
      <c r="HIS24" s="2"/>
      <c r="HIT24" s="2"/>
      <c r="HIU24" s="2"/>
      <c r="HIV24" s="2"/>
      <c r="HIW24" s="2"/>
      <c r="HIX24" s="2"/>
      <c r="HIY24" s="2"/>
      <c r="HIZ24" s="2"/>
      <c r="HJA24" s="2"/>
      <c r="HJB24" s="2"/>
      <c r="HJC24" s="2"/>
      <c r="HJD24" s="2"/>
      <c r="HJE24" s="2"/>
      <c r="HJF24" s="2"/>
      <c r="HJG24" s="2"/>
      <c r="HJH24" s="2"/>
      <c r="HJI24" s="2"/>
      <c r="HJJ24" s="2"/>
      <c r="HJK24" s="2"/>
      <c r="HJL24" s="2"/>
      <c r="HJM24" s="2"/>
      <c r="HJN24" s="2"/>
      <c r="HJO24" s="2"/>
      <c r="HJP24" s="2"/>
      <c r="HJQ24" s="2"/>
      <c r="HJR24" s="2"/>
      <c r="HJS24" s="2"/>
      <c r="HJT24" s="2"/>
      <c r="HJU24" s="2"/>
      <c r="HJV24" s="2"/>
      <c r="HJW24" s="2"/>
      <c r="HJX24" s="2"/>
      <c r="HJY24" s="2"/>
      <c r="HJZ24" s="2"/>
      <c r="HKA24" s="2"/>
      <c r="HKB24" s="2"/>
      <c r="HKC24" s="2"/>
      <c r="HKD24" s="2"/>
      <c r="HKE24" s="2"/>
      <c r="HKF24" s="2"/>
      <c r="HKG24" s="2"/>
      <c r="HKH24" s="2"/>
      <c r="HKI24" s="2"/>
      <c r="HKJ24" s="2"/>
      <c r="HKK24" s="2"/>
      <c r="HKL24" s="2"/>
      <c r="HKM24" s="2"/>
      <c r="HKN24" s="2"/>
      <c r="HKO24" s="2"/>
      <c r="HKP24" s="2"/>
      <c r="HKQ24" s="2"/>
      <c r="HKR24" s="2"/>
      <c r="HKS24" s="2"/>
      <c r="HKT24" s="2"/>
      <c r="HKU24" s="2"/>
      <c r="HKV24" s="2"/>
      <c r="HKW24" s="2"/>
      <c r="HKX24" s="2"/>
      <c r="HKY24" s="2"/>
      <c r="HKZ24" s="2"/>
      <c r="HLA24" s="2"/>
      <c r="HLB24" s="2"/>
      <c r="HLC24" s="2"/>
      <c r="HLD24" s="2"/>
      <c r="HLE24" s="2"/>
      <c r="HLF24" s="2"/>
      <c r="HLG24" s="2"/>
      <c r="HLH24" s="2"/>
      <c r="HLI24" s="2"/>
      <c r="HLJ24" s="2"/>
      <c r="HLK24" s="2"/>
      <c r="HLL24" s="2"/>
      <c r="HLM24" s="2"/>
      <c r="HLN24" s="2"/>
      <c r="HLO24" s="2"/>
      <c r="HLP24" s="2"/>
      <c r="HLQ24" s="2"/>
      <c r="HLR24" s="2"/>
      <c r="HLS24" s="2"/>
      <c r="HLT24" s="2"/>
      <c r="HLU24" s="2"/>
      <c r="HLV24" s="2"/>
      <c r="HLW24" s="2"/>
      <c r="HLX24" s="2"/>
      <c r="HLY24" s="2"/>
      <c r="HLZ24" s="2"/>
      <c r="HMA24" s="2"/>
      <c r="HMB24" s="2"/>
      <c r="HMC24" s="2"/>
      <c r="HMD24" s="2"/>
      <c r="HME24" s="2"/>
      <c r="HMF24" s="2"/>
      <c r="HMG24" s="2"/>
      <c r="HMH24" s="2"/>
      <c r="HMI24" s="2"/>
      <c r="HMJ24" s="2"/>
      <c r="HMK24" s="2"/>
      <c r="HML24" s="2"/>
      <c r="HMM24" s="2"/>
      <c r="HMN24" s="2"/>
      <c r="HMO24" s="2"/>
      <c r="HMP24" s="2"/>
      <c r="HMQ24" s="2"/>
      <c r="HMR24" s="2"/>
      <c r="HMS24" s="2"/>
      <c r="HMT24" s="2"/>
      <c r="HMU24" s="2"/>
      <c r="HMV24" s="2"/>
      <c r="HMW24" s="2"/>
      <c r="HMX24" s="2"/>
      <c r="HMY24" s="2"/>
      <c r="HMZ24" s="2"/>
      <c r="HNA24" s="2"/>
      <c r="HNB24" s="2"/>
      <c r="HNC24" s="2"/>
      <c r="HND24" s="2"/>
      <c r="HNE24" s="2"/>
      <c r="HNF24" s="2"/>
      <c r="HNG24" s="2"/>
      <c r="HNH24" s="2"/>
      <c r="HNI24" s="2"/>
      <c r="HNJ24" s="2"/>
      <c r="HNK24" s="2"/>
      <c r="HNL24" s="2"/>
      <c r="HNM24" s="2"/>
      <c r="HNN24" s="2"/>
      <c r="HNO24" s="2"/>
      <c r="HNP24" s="2"/>
      <c r="HNQ24" s="2"/>
      <c r="HNR24" s="2"/>
      <c r="HNS24" s="2"/>
      <c r="HNT24" s="2"/>
      <c r="HNU24" s="2"/>
      <c r="HNV24" s="2"/>
      <c r="HNW24" s="2"/>
      <c r="HNX24" s="2"/>
      <c r="HNY24" s="2"/>
      <c r="HNZ24" s="2"/>
      <c r="HOA24" s="2"/>
      <c r="HOB24" s="2"/>
      <c r="HOC24" s="2"/>
      <c r="HOD24" s="2"/>
      <c r="HOE24" s="2"/>
      <c r="HOF24" s="2"/>
      <c r="HOG24" s="2"/>
      <c r="HOH24" s="2"/>
      <c r="HOI24" s="2"/>
      <c r="HOJ24" s="2"/>
      <c r="HOK24" s="2"/>
      <c r="HOL24" s="2"/>
      <c r="HOM24" s="2"/>
      <c r="HON24" s="2"/>
      <c r="HOO24" s="2"/>
      <c r="HOP24" s="2"/>
      <c r="HOQ24" s="2"/>
      <c r="HOR24" s="2"/>
      <c r="HOS24" s="2"/>
      <c r="HOT24" s="2"/>
      <c r="HOU24" s="2"/>
      <c r="HOV24" s="2"/>
      <c r="HOW24" s="2"/>
      <c r="HOX24" s="2"/>
      <c r="HOY24" s="2"/>
      <c r="HOZ24" s="2"/>
      <c r="HPA24" s="2"/>
      <c r="HPB24" s="2"/>
      <c r="HPC24" s="2"/>
      <c r="HPD24" s="2"/>
      <c r="HPE24" s="2"/>
      <c r="HPF24" s="2"/>
      <c r="HPG24" s="2"/>
      <c r="HPH24" s="2"/>
      <c r="HPI24" s="2"/>
      <c r="HPJ24" s="2"/>
      <c r="HPK24" s="2"/>
      <c r="HPL24" s="2"/>
      <c r="HPM24" s="2"/>
      <c r="HPN24" s="2"/>
      <c r="HPO24" s="2"/>
      <c r="HPP24" s="2"/>
      <c r="HPQ24" s="2"/>
      <c r="HPR24" s="2"/>
      <c r="HPS24" s="2"/>
      <c r="HPT24" s="2"/>
      <c r="HPU24" s="2"/>
      <c r="HPV24" s="2"/>
      <c r="HPW24" s="2"/>
      <c r="HPX24" s="2"/>
      <c r="HPY24" s="2"/>
      <c r="HPZ24" s="2"/>
      <c r="HQA24" s="2"/>
      <c r="HQB24" s="2"/>
      <c r="HQC24" s="2"/>
      <c r="HQD24" s="2"/>
      <c r="HQE24" s="2"/>
      <c r="HQF24" s="2"/>
      <c r="HQG24" s="2"/>
      <c r="HQH24" s="2"/>
      <c r="HQI24" s="2"/>
      <c r="HQJ24" s="2"/>
      <c r="HQK24" s="2"/>
      <c r="HQL24" s="2"/>
      <c r="HQM24" s="2"/>
      <c r="HQN24" s="2"/>
      <c r="HQO24" s="2"/>
      <c r="HQP24" s="2"/>
      <c r="HQQ24" s="2"/>
      <c r="HQR24" s="2"/>
      <c r="HQS24" s="2"/>
      <c r="HQT24" s="2"/>
      <c r="HQU24" s="2"/>
      <c r="HQV24" s="2"/>
      <c r="HQW24" s="2"/>
      <c r="HQX24" s="2"/>
      <c r="HQY24" s="2"/>
      <c r="HQZ24" s="2"/>
      <c r="HRA24" s="2"/>
      <c r="HRB24" s="2"/>
      <c r="HRC24" s="2"/>
      <c r="HRD24" s="2"/>
      <c r="HRE24" s="2"/>
      <c r="HRF24" s="2"/>
      <c r="HRG24" s="2"/>
      <c r="HRH24" s="2"/>
      <c r="HRI24" s="2"/>
      <c r="HRJ24" s="2"/>
      <c r="HRK24" s="2"/>
      <c r="HRL24" s="2"/>
      <c r="HRM24" s="2"/>
      <c r="HRN24" s="2"/>
      <c r="HRO24" s="2"/>
      <c r="HRP24" s="2"/>
      <c r="HRQ24" s="2"/>
      <c r="HRR24" s="2"/>
      <c r="HRS24" s="2"/>
      <c r="HRT24" s="2"/>
      <c r="HRU24" s="2"/>
      <c r="HRV24" s="2"/>
      <c r="HRW24" s="2"/>
      <c r="HRX24" s="2"/>
      <c r="HRY24" s="2"/>
      <c r="HRZ24" s="2"/>
      <c r="HSA24" s="2"/>
      <c r="HSB24" s="2"/>
      <c r="HSC24" s="2"/>
      <c r="HSD24" s="2"/>
      <c r="HSE24" s="2"/>
      <c r="HSF24" s="2"/>
      <c r="HSG24" s="2"/>
      <c r="HSH24" s="2"/>
      <c r="HSI24" s="2"/>
      <c r="HSJ24" s="2"/>
      <c r="HSK24" s="2"/>
      <c r="HSL24" s="2"/>
      <c r="HSM24" s="2"/>
      <c r="HSN24" s="2"/>
      <c r="HSO24" s="2"/>
      <c r="HSP24" s="2"/>
      <c r="HSQ24" s="2"/>
      <c r="HSR24" s="2"/>
      <c r="HSS24" s="2"/>
      <c r="HST24" s="2"/>
      <c r="HSU24" s="2"/>
      <c r="HSV24" s="2"/>
      <c r="HSW24" s="2"/>
      <c r="HSX24" s="2"/>
      <c r="HSY24" s="2"/>
      <c r="HSZ24" s="2"/>
      <c r="HTA24" s="2"/>
      <c r="HTB24" s="2"/>
      <c r="HTC24" s="2"/>
      <c r="HTD24" s="2"/>
      <c r="HTE24" s="2"/>
      <c r="HTF24" s="2"/>
      <c r="HTG24" s="2"/>
      <c r="HTH24" s="2"/>
      <c r="HTI24" s="2"/>
      <c r="HTJ24" s="2"/>
      <c r="HTK24" s="2"/>
      <c r="HTL24" s="2"/>
      <c r="HTM24" s="2"/>
      <c r="HTN24" s="2"/>
      <c r="HTO24" s="2"/>
      <c r="HTP24" s="2"/>
      <c r="HTQ24" s="2"/>
      <c r="HTR24" s="2"/>
      <c r="HTS24" s="2"/>
      <c r="HTT24" s="2"/>
      <c r="HTU24" s="2"/>
      <c r="HTV24" s="2"/>
      <c r="HTW24" s="2"/>
      <c r="HTX24" s="2"/>
      <c r="HTY24" s="2"/>
      <c r="HTZ24" s="2"/>
      <c r="HUA24" s="2"/>
      <c r="HUB24" s="2"/>
      <c r="HUC24" s="2"/>
      <c r="HUD24" s="2"/>
      <c r="HUE24" s="2"/>
      <c r="HUF24" s="2"/>
      <c r="HUG24" s="2"/>
      <c r="HUH24" s="2"/>
      <c r="HUI24" s="2"/>
      <c r="HUJ24" s="2"/>
      <c r="HUK24" s="2"/>
      <c r="HUL24" s="2"/>
      <c r="HUM24" s="2"/>
      <c r="HUN24" s="2"/>
      <c r="HUO24" s="2"/>
      <c r="HUP24" s="2"/>
      <c r="HUQ24" s="2"/>
      <c r="HUR24" s="2"/>
      <c r="HUS24" s="2"/>
      <c r="HUT24" s="2"/>
      <c r="HUU24" s="2"/>
      <c r="HUV24" s="2"/>
      <c r="HUW24" s="2"/>
      <c r="HUX24" s="2"/>
      <c r="HUY24" s="2"/>
      <c r="HUZ24" s="2"/>
      <c r="HVA24" s="2"/>
      <c r="HVB24" s="2"/>
      <c r="HVC24" s="2"/>
      <c r="HVD24" s="2"/>
      <c r="HVE24" s="2"/>
      <c r="HVF24" s="2"/>
      <c r="HVG24" s="2"/>
      <c r="HVH24" s="2"/>
      <c r="HVI24" s="2"/>
      <c r="HVJ24" s="2"/>
      <c r="HVK24" s="2"/>
      <c r="HVL24" s="2"/>
      <c r="HVM24" s="2"/>
      <c r="HVN24" s="2"/>
      <c r="HVO24" s="2"/>
      <c r="HVP24" s="2"/>
      <c r="HVQ24" s="2"/>
      <c r="HVR24" s="2"/>
      <c r="HVS24" s="2"/>
      <c r="HVT24" s="2"/>
      <c r="HVU24" s="2"/>
      <c r="HVV24" s="2"/>
      <c r="HVW24" s="2"/>
      <c r="HVX24" s="2"/>
      <c r="HVY24" s="2"/>
      <c r="HVZ24" s="2"/>
      <c r="HWA24" s="2"/>
      <c r="HWB24" s="2"/>
      <c r="HWC24" s="2"/>
      <c r="HWD24" s="2"/>
      <c r="HWE24" s="2"/>
      <c r="HWF24" s="2"/>
      <c r="HWG24" s="2"/>
      <c r="HWH24" s="2"/>
      <c r="HWI24" s="2"/>
      <c r="HWJ24" s="2"/>
      <c r="HWK24" s="2"/>
      <c r="HWL24" s="2"/>
      <c r="HWM24" s="2"/>
      <c r="HWN24" s="2"/>
      <c r="HWO24" s="2"/>
      <c r="HWP24" s="2"/>
      <c r="HWQ24" s="2"/>
      <c r="HWR24" s="2"/>
      <c r="HWS24" s="2"/>
      <c r="HWT24" s="2"/>
      <c r="HWU24" s="2"/>
      <c r="HWV24" s="2"/>
      <c r="HWW24" s="2"/>
      <c r="HWX24" s="2"/>
      <c r="HWY24" s="2"/>
      <c r="HWZ24" s="2"/>
      <c r="HXA24" s="2"/>
      <c r="HXB24" s="2"/>
      <c r="HXC24" s="2"/>
      <c r="HXD24" s="2"/>
      <c r="HXE24" s="2"/>
      <c r="HXF24" s="2"/>
      <c r="HXG24" s="2"/>
      <c r="HXH24" s="2"/>
      <c r="HXI24" s="2"/>
      <c r="HXJ24" s="2"/>
      <c r="HXK24" s="2"/>
      <c r="HXL24" s="2"/>
      <c r="HXM24" s="2"/>
      <c r="HXN24" s="2"/>
      <c r="HXO24" s="2"/>
      <c r="HXP24" s="2"/>
      <c r="HXQ24" s="2"/>
      <c r="HXR24" s="2"/>
      <c r="HXS24" s="2"/>
      <c r="HXT24" s="2"/>
      <c r="HXU24" s="2"/>
      <c r="HXV24" s="2"/>
      <c r="HXW24" s="2"/>
      <c r="HXX24" s="2"/>
      <c r="HXY24" s="2"/>
      <c r="HXZ24" s="2"/>
      <c r="HYA24" s="2"/>
      <c r="HYB24" s="2"/>
      <c r="HYC24" s="2"/>
      <c r="HYD24" s="2"/>
      <c r="HYE24" s="2"/>
      <c r="HYF24" s="2"/>
      <c r="HYG24" s="2"/>
      <c r="HYH24" s="2"/>
      <c r="HYI24" s="2"/>
      <c r="HYJ24" s="2"/>
      <c r="HYK24" s="2"/>
      <c r="HYL24" s="2"/>
      <c r="HYM24" s="2"/>
      <c r="HYN24" s="2"/>
      <c r="HYO24" s="2"/>
      <c r="HYP24" s="2"/>
      <c r="HYQ24" s="2"/>
      <c r="HYR24" s="2"/>
      <c r="HYS24" s="2"/>
      <c r="HYT24" s="2"/>
      <c r="HYU24" s="2"/>
      <c r="HYV24" s="2"/>
      <c r="HYW24" s="2"/>
      <c r="HYX24" s="2"/>
      <c r="HYY24" s="2"/>
      <c r="HYZ24" s="2"/>
      <c r="HZA24" s="2"/>
      <c r="HZB24" s="2"/>
      <c r="HZC24" s="2"/>
      <c r="HZD24" s="2"/>
      <c r="HZE24" s="2"/>
      <c r="HZF24" s="2"/>
      <c r="HZG24" s="2"/>
      <c r="HZH24" s="2"/>
      <c r="HZI24" s="2"/>
      <c r="HZJ24" s="2"/>
      <c r="HZK24" s="2"/>
      <c r="HZL24" s="2"/>
      <c r="HZM24" s="2"/>
      <c r="HZN24" s="2"/>
      <c r="HZO24" s="2"/>
      <c r="HZP24" s="2"/>
      <c r="HZQ24" s="2"/>
      <c r="HZR24" s="2"/>
      <c r="HZS24" s="2"/>
      <c r="HZT24" s="2"/>
      <c r="HZU24" s="2"/>
      <c r="HZV24" s="2"/>
      <c r="HZW24" s="2"/>
      <c r="HZX24" s="2"/>
      <c r="HZY24" s="2"/>
      <c r="HZZ24" s="2"/>
      <c r="IAA24" s="2"/>
      <c r="IAB24" s="2"/>
      <c r="IAC24" s="2"/>
      <c r="IAD24" s="2"/>
      <c r="IAE24" s="2"/>
      <c r="IAF24" s="2"/>
      <c r="IAG24" s="2"/>
      <c r="IAH24" s="2"/>
      <c r="IAI24" s="2"/>
      <c r="IAJ24" s="2"/>
      <c r="IAK24" s="2"/>
      <c r="IAL24" s="2"/>
      <c r="IAM24" s="2"/>
      <c r="IAN24" s="2"/>
      <c r="IAO24" s="2"/>
      <c r="IAP24" s="2"/>
      <c r="IAQ24" s="2"/>
      <c r="IAR24" s="2"/>
      <c r="IAS24" s="2"/>
      <c r="IAT24" s="2"/>
      <c r="IAU24" s="2"/>
      <c r="IAV24" s="2"/>
      <c r="IAW24" s="2"/>
      <c r="IAX24" s="2"/>
      <c r="IAY24" s="2"/>
      <c r="IAZ24" s="2"/>
      <c r="IBA24" s="2"/>
      <c r="IBB24" s="2"/>
      <c r="IBC24" s="2"/>
      <c r="IBD24" s="2"/>
      <c r="IBE24" s="2"/>
      <c r="IBF24" s="2"/>
      <c r="IBG24" s="2"/>
      <c r="IBH24" s="2"/>
      <c r="IBI24" s="2"/>
      <c r="IBJ24" s="2"/>
      <c r="IBK24" s="2"/>
      <c r="IBL24" s="2"/>
      <c r="IBM24" s="2"/>
      <c r="IBN24" s="2"/>
      <c r="IBO24" s="2"/>
      <c r="IBP24" s="2"/>
      <c r="IBQ24" s="2"/>
      <c r="IBR24" s="2"/>
      <c r="IBS24" s="2"/>
      <c r="IBT24" s="2"/>
      <c r="IBU24" s="2"/>
      <c r="IBV24" s="2"/>
      <c r="IBW24" s="2"/>
      <c r="IBX24" s="2"/>
      <c r="IBY24" s="2"/>
      <c r="IBZ24" s="2"/>
      <c r="ICA24" s="2"/>
      <c r="ICB24" s="2"/>
      <c r="ICC24" s="2"/>
      <c r="ICD24" s="2"/>
      <c r="ICE24" s="2"/>
      <c r="ICF24" s="2"/>
      <c r="ICG24" s="2"/>
      <c r="ICH24" s="2"/>
      <c r="ICI24" s="2"/>
      <c r="ICJ24" s="2"/>
      <c r="ICK24" s="2"/>
      <c r="ICL24" s="2"/>
      <c r="ICM24" s="2"/>
      <c r="ICN24" s="2"/>
      <c r="ICO24" s="2"/>
      <c r="ICP24" s="2"/>
      <c r="ICQ24" s="2"/>
      <c r="ICR24" s="2"/>
      <c r="ICS24" s="2"/>
      <c r="ICT24" s="2"/>
      <c r="ICU24" s="2"/>
      <c r="ICV24" s="2"/>
      <c r="ICW24" s="2"/>
      <c r="ICX24" s="2"/>
      <c r="ICY24" s="2"/>
      <c r="ICZ24" s="2"/>
      <c r="IDA24" s="2"/>
      <c r="IDB24" s="2"/>
      <c r="IDC24" s="2"/>
      <c r="IDD24" s="2"/>
      <c r="IDE24" s="2"/>
      <c r="IDF24" s="2"/>
      <c r="IDG24" s="2"/>
      <c r="IDH24" s="2"/>
      <c r="IDI24" s="2"/>
      <c r="IDJ24" s="2"/>
      <c r="IDK24" s="2"/>
      <c r="IDL24" s="2"/>
      <c r="IDM24" s="2"/>
      <c r="IDN24" s="2"/>
      <c r="IDO24" s="2"/>
      <c r="IDP24" s="2"/>
      <c r="IDQ24" s="2"/>
      <c r="IDR24" s="2"/>
      <c r="IDS24" s="2"/>
      <c r="IDT24" s="2"/>
      <c r="IDU24" s="2"/>
      <c r="IDV24" s="2"/>
      <c r="IDW24" s="2"/>
      <c r="IDX24" s="2"/>
      <c r="IDY24" s="2"/>
      <c r="IDZ24" s="2"/>
      <c r="IEA24" s="2"/>
      <c r="IEB24" s="2"/>
      <c r="IEC24" s="2"/>
      <c r="IED24" s="2"/>
      <c r="IEE24" s="2"/>
      <c r="IEF24" s="2"/>
      <c r="IEG24" s="2"/>
      <c r="IEH24" s="2"/>
      <c r="IEI24" s="2"/>
      <c r="IEJ24" s="2"/>
      <c r="IEK24" s="2"/>
      <c r="IEL24" s="2"/>
      <c r="IEM24" s="2"/>
      <c r="IEN24" s="2"/>
      <c r="IEO24" s="2"/>
      <c r="IEP24" s="2"/>
      <c r="IEQ24" s="2"/>
      <c r="IER24" s="2"/>
      <c r="IES24" s="2"/>
      <c r="IET24" s="2"/>
      <c r="IEU24" s="2"/>
      <c r="IEV24" s="2"/>
      <c r="IEW24" s="2"/>
      <c r="IEX24" s="2"/>
      <c r="IEY24" s="2"/>
      <c r="IEZ24" s="2"/>
      <c r="IFA24" s="2"/>
      <c r="IFB24" s="2"/>
      <c r="IFC24" s="2"/>
      <c r="IFD24" s="2"/>
      <c r="IFE24" s="2"/>
      <c r="IFF24" s="2"/>
      <c r="IFG24" s="2"/>
      <c r="IFH24" s="2"/>
      <c r="IFI24" s="2"/>
      <c r="IFJ24" s="2"/>
      <c r="IFK24" s="2"/>
      <c r="IFL24" s="2"/>
      <c r="IFM24" s="2"/>
      <c r="IFN24" s="2"/>
      <c r="IFO24" s="2"/>
      <c r="IFP24" s="2"/>
      <c r="IFQ24" s="2"/>
      <c r="IFR24" s="2"/>
      <c r="IFS24" s="2"/>
      <c r="IFT24" s="2"/>
      <c r="IFU24" s="2"/>
      <c r="IFV24" s="2"/>
      <c r="IFW24" s="2"/>
      <c r="IFX24" s="2"/>
      <c r="IFY24" s="2"/>
      <c r="IFZ24" s="2"/>
      <c r="IGA24" s="2"/>
      <c r="IGB24" s="2"/>
      <c r="IGC24" s="2"/>
      <c r="IGD24" s="2"/>
      <c r="IGE24" s="2"/>
      <c r="IGF24" s="2"/>
      <c r="IGG24" s="2"/>
      <c r="IGH24" s="2"/>
      <c r="IGI24" s="2"/>
      <c r="IGJ24" s="2"/>
      <c r="IGK24" s="2"/>
      <c r="IGL24" s="2"/>
      <c r="IGM24" s="2"/>
      <c r="IGN24" s="2"/>
      <c r="IGO24" s="2"/>
      <c r="IGP24" s="2"/>
      <c r="IGQ24" s="2"/>
      <c r="IGR24" s="2"/>
      <c r="IGS24" s="2"/>
      <c r="IGT24" s="2"/>
      <c r="IGU24" s="2"/>
      <c r="IGV24" s="2"/>
      <c r="IGW24" s="2"/>
      <c r="IGX24" s="2"/>
      <c r="IGY24" s="2"/>
      <c r="IGZ24" s="2"/>
      <c r="IHA24" s="2"/>
      <c r="IHB24" s="2"/>
      <c r="IHC24" s="2"/>
      <c r="IHD24" s="2"/>
      <c r="IHE24" s="2"/>
      <c r="IHF24" s="2"/>
      <c r="IHG24" s="2"/>
      <c r="IHH24" s="2"/>
      <c r="IHI24" s="2"/>
      <c r="IHJ24" s="2"/>
      <c r="IHK24" s="2"/>
      <c r="IHL24" s="2"/>
      <c r="IHM24" s="2"/>
      <c r="IHN24" s="2"/>
      <c r="IHO24" s="2"/>
      <c r="IHP24" s="2"/>
      <c r="IHQ24" s="2"/>
      <c r="IHR24" s="2"/>
      <c r="IHS24" s="2"/>
      <c r="IHT24" s="2"/>
      <c r="IHU24" s="2"/>
      <c r="IHV24" s="2"/>
      <c r="IHW24" s="2"/>
      <c r="IHX24" s="2"/>
      <c r="IHY24" s="2"/>
      <c r="IHZ24" s="2"/>
      <c r="IIA24" s="2"/>
      <c r="IIB24" s="2"/>
      <c r="IIC24" s="2"/>
      <c r="IID24" s="2"/>
      <c r="IIE24" s="2"/>
      <c r="IIF24" s="2"/>
      <c r="IIG24" s="2"/>
      <c r="IIH24" s="2"/>
      <c r="III24" s="2"/>
      <c r="IIJ24" s="2"/>
      <c r="IIK24" s="2"/>
      <c r="IIL24" s="2"/>
      <c r="IIM24" s="2"/>
      <c r="IIN24" s="2"/>
      <c r="IIO24" s="2"/>
      <c r="IIP24" s="2"/>
      <c r="IIQ24" s="2"/>
      <c r="IIR24" s="2"/>
      <c r="IIS24" s="2"/>
      <c r="IIT24" s="2"/>
      <c r="IIU24" s="2"/>
      <c r="IIV24" s="2"/>
      <c r="IIW24" s="2"/>
      <c r="IIX24" s="2"/>
      <c r="IIY24" s="2"/>
      <c r="IIZ24" s="2"/>
      <c r="IJA24" s="2"/>
      <c r="IJB24" s="2"/>
      <c r="IJC24" s="2"/>
      <c r="IJD24" s="2"/>
      <c r="IJE24" s="2"/>
      <c r="IJF24" s="2"/>
      <c r="IJG24" s="2"/>
      <c r="IJH24" s="2"/>
      <c r="IJI24" s="2"/>
      <c r="IJJ24" s="2"/>
      <c r="IJK24" s="2"/>
      <c r="IJL24" s="2"/>
      <c r="IJM24" s="2"/>
      <c r="IJN24" s="2"/>
      <c r="IJO24" s="2"/>
      <c r="IJP24" s="2"/>
      <c r="IJQ24" s="2"/>
      <c r="IJR24" s="2"/>
      <c r="IJS24" s="2"/>
      <c r="IJT24" s="2"/>
      <c r="IJU24" s="2"/>
      <c r="IJV24" s="2"/>
      <c r="IJW24" s="2"/>
      <c r="IJX24" s="2"/>
      <c r="IJY24" s="2"/>
      <c r="IJZ24" s="2"/>
      <c r="IKA24" s="2"/>
      <c r="IKB24" s="2"/>
      <c r="IKC24" s="2"/>
      <c r="IKD24" s="2"/>
      <c r="IKE24" s="2"/>
      <c r="IKF24" s="2"/>
      <c r="IKG24" s="2"/>
      <c r="IKH24" s="2"/>
      <c r="IKI24" s="2"/>
      <c r="IKJ24" s="2"/>
      <c r="IKK24" s="2"/>
      <c r="IKL24" s="2"/>
      <c r="IKM24" s="2"/>
      <c r="IKN24" s="2"/>
      <c r="IKO24" s="2"/>
      <c r="IKP24" s="2"/>
      <c r="IKQ24" s="2"/>
      <c r="IKR24" s="2"/>
      <c r="IKS24" s="2"/>
      <c r="IKT24" s="2"/>
      <c r="IKU24" s="2"/>
      <c r="IKV24" s="2"/>
      <c r="IKW24" s="2"/>
      <c r="IKX24" s="2"/>
      <c r="IKY24" s="2"/>
      <c r="IKZ24" s="2"/>
      <c r="ILA24" s="2"/>
      <c r="ILB24" s="2"/>
      <c r="ILC24" s="2"/>
      <c r="ILD24" s="2"/>
      <c r="ILE24" s="2"/>
      <c r="ILF24" s="2"/>
      <c r="ILG24" s="2"/>
      <c r="ILH24" s="2"/>
      <c r="ILI24" s="2"/>
      <c r="ILJ24" s="2"/>
      <c r="ILK24" s="2"/>
      <c r="ILL24" s="2"/>
      <c r="ILM24" s="2"/>
      <c r="ILN24" s="2"/>
      <c r="ILO24" s="2"/>
      <c r="ILP24" s="2"/>
      <c r="ILQ24" s="2"/>
      <c r="ILR24" s="2"/>
      <c r="ILS24" s="2"/>
      <c r="ILT24" s="2"/>
      <c r="ILU24" s="2"/>
      <c r="ILV24" s="2"/>
      <c r="ILW24" s="2"/>
      <c r="ILX24" s="2"/>
      <c r="ILY24" s="2"/>
      <c r="ILZ24" s="2"/>
      <c r="IMA24" s="2"/>
      <c r="IMB24" s="2"/>
      <c r="IMC24" s="2"/>
      <c r="IMD24" s="2"/>
      <c r="IME24" s="2"/>
      <c r="IMF24" s="2"/>
      <c r="IMG24" s="2"/>
      <c r="IMH24" s="2"/>
      <c r="IMI24" s="2"/>
      <c r="IMJ24" s="2"/>
      <c r="IMK24" s="2"/>
      <c r="IML24" s="2"/>
      <c r="IMM24" s="2"/>
      <c r="IMN24" s="2"/>
      <c r="IMO24" s="2"/>
      <c r="IMP24" s="2"/>
      <c r="IMQ24" s="2"/>
      <c r="IMR24" s="2"/>
      <c r="IMS24" s="2"/>
      <c r="IMT24" s="2"/>
      <c r="IMU24" s="2"/>
      <c r="IMV24" s="2"/>
      <c r="IMW24" s="2"/>
      <c r="IMX24" s="2"/>
      <c r="IMY24" s="2"/>
      <c r="IMZ24" s="2"/>
      <c r="INA24" s="2"/>
      <c r="INB24" s="2"/>
      <c r="INC24" s="2"/>
      <c r="IND24" s="2"/>
      <c r="INE24" s="2"/>
      <c r="INF24" s="2"/>
      <c r="ING24" s="2"/>
      <c r="INH24" s="2"/>
      <c r="INI24" s="2"/>
      <c r="INJ24" s="2"/>
      <c r="INK24" s="2"/>
      <c r="INL24" s="2"/>
      <c r="INM24" s="2"/>
      <c r="INN24" s="2"/>
      <c r="INO24" s="2"/>
      <c r="INP24" s="2"/>
      <c r="INQ24" s="2"/>
      <c r="INR24" s="2"/>
      <c r="INS24" s="2"/>
      <c r="INT24" s="2"/>
      <c r="INU24" s="2"/>
      <c r="INV24" s="2"/>
      <c r="INW24" s="2"/>
      <c r="INX24" s="2"/>
      <c r="INY24" s="2"/>
      <c r="INZ24" s="2"/>
      <c r="IOA24" s="2"/>
      <c r="IOB24" s="2"/>
      <c r="IOC24" s="2"/>
      <c r="IOD24" s="2"/>
      <c r="IOE24" s="2"/>
      <c r="IOF24" s="2"/>
      <c r="IOG24" s="2"/>
      <c r="IOH24" s="2"/>
      <c r="IOI24" s="2"/>
      <c r="IOJ24" s="2"/>
      <c r="IOK24" s="2"/>
      <c r="IOL24" s="2"/>
      <c r="IOM24" s="2"/>
      <c r="ION24" s="2"/>
      <c r="IOO24" s="2"/>
      <c r="IOP24" s="2"/>
      <c r="IOQ24" s="2"/>
      <c r="IOR24" s="2"/>
      <c r="IOS24" s="2"/>
      <c r="IOT24" s="2"/>
      <c r="IOU24" s="2"/>
      <c r="IOV24" s="2"/>
      <c r="IOW24" s="2"/>
      <c r="IOX24" s="2"/>
      <c r="IOY24" s="2"/>
      <c r="IOZ24" s="2"/>
      <c r="IPA24" s="2"/>
      <c r="IPB24" s="2"/>
      <c r="IPC24" s="2"/>
      <c r="IPD24" s="2"/>
      <c r="IPE24" s="2"/>
      <c r="IPF24" s="2"/>
      <c r="IPG24" s="2"/>
      <c r="IPH24" s="2"/>
      <c r="IPI24" s="2"/>
      <c r="IPJ24" s="2"/>
      <c r="IPK24" s="2"/>
      <c r="IPL24" s="2"/>
      <c r="IPM24" s="2"/>
      <c r="IPN24" s="2"/>
      <c r="IPO24" s="2"/>
      <c r="IPP24" s="2"/>
      <c r="IPQ24" s="2"/>
      <c r="IPR24" s="2"/>
      <c r="IPS24" s="2"/>
      <c r="IPT24" s="2"/>
      <c r="IPU24" s="2"/>
      <c r="IPV24" s="2"/>
      <c r="IPW24" s="2"/>
      <c r="IPX24" s="2"/>
      <c r="IPY24" s="2"/>
      <c r="IPZ24" s="2"/>
      <c r="IQA24" s="2"/>
      <c r="IQB24" s="2"/>
      <c r="IQC24" s="2"/>
      <c r="IQD24" s="2"/>
      <c r="IQE24" s="2"/>
      <c r="IQF24" s="2"/>
      <c r="IQG24" s="2"/>
      <c r="IQH24" s="2"/>
      <c r="IQI24" s="2"/>
      <c r="IQJ24" s="2"/>
      <c r="IQK24" s="2"/>
      <c r="IQL24" s="2"/>
      <c r="IQM24" s="2"/>
      <c r="IQN24" s="2"/>
      <c r="IQO24" s="2"/>
      <c r="IQP24" s="2"/>
      <c r="IQQ24" s="2"/>
      <c r="IQR24" s="2"/>
      <c r="IQS24" s="2"/>
      <c r="IQT24" s="2"/>
      <c r="IQU24" s="2"/>
      <c r="IQV24" s="2"/>
      <c r="IQW24" s="2"/>
      <c r="IQX24" s="2"/>
      <c r="IQY24" s="2"/>
      <c r="IQZ24" s="2"/>
      <c r="IRA24" s="2"/>
      <c r="IRB24" s="2"/>
      <c r="IRC24" s="2"/>
      <c r="IRD24" s="2"/>
      <c r="IRE24" s="2"/>
      <c r="IRF24" s="2"/>
      <c r="IRG24" s="2"/>
      <c r="IRH24" s="2"/>
      <c r="IRI24" s="2"/>
      <c r="IRJ24" s="2"/>
      <c r="IRK24" s="2"/>
      <c r="IRL24" s="2"/>
      <c r="IRM24" s="2"/>
      <c r="IRN24" s="2"/>
      <c r="IRO24" s="2"/>
      <c r="IRP24" s="2"/>
      <c r="IRQ24" s="2"/>
      <c r="IRR24" s="2"/>
      <c r="IRS24" s="2"/>
      <c r="IRT24" s="2"/>
      <c r="IRU24" s="2"/>
      <c r="IRV24" s="2"/>
      <c r="IRW24" s="2"/>
      <c r="IRX24" s="2"/>
      <c r="IRY24" s="2"/>
      <c r="IRZ24" s="2"/>
      <c r="ISA24" s="2"/>
      <c r="ISB24" s="2"/>
      <c r="ISC24" s="2"/>
      <c r="ISD24" s="2"/>
      <c r="ISE24" s="2"/>
      <c r="ISF24" s="2"/>
      <c r="ISG24" s="2"/>
      <c r="ISH24" s="2"/>
      <c r="ISI24" s="2"/>
      <c r="ISJ24" s="2"/>
      <c r="ISK24" s="2"/>
      <c r="ISL24" s="2"/>
      <c r="ISM24" s="2"/>
      <c r="ISN24" s="2"/>
      <c r="ISO24" s="2"/>
      <c r="ISP24" s="2"/>
      <c r="ISQ24" s="2"/>
      <c r="ISR24" s="2"/>
      <c r="ISS24" s="2"/>
      <c r="IST24" s="2"/>
      <c r="ISU24" s="2"/>
      <c r="ISV24" s="2"/>
      <c r="ISW24" s="2"/>
      <c r="ISX24" s="2"/>
      <c r="ISY24" s="2"/>
      <c r="ISZ24" s="2"/>
      <c r="ITA24" s="2"/>
      <c r="ITB24" s="2"/>
      <c r="ITC24" s="2"/>
      <c r="ITD24" s="2"/>
      <c r="ITE24" s="2"/>
      <c r="ITF24" s="2"/>
      <c r="ITG24" s="2"/>
      <c r="ITH24" s="2"/>
      <c r="ITI24" s="2"/>
      <c r="ITJ24" s="2"/>
      <c r="ITK24" s="2"/>
      <c r="ITL24" s="2"/>
      <c r="ITM24" s="2"/>
      <c r="ITN24" s="2"/>
      <c r="ITO24" s="2"/>
      <c r="ITP24" s="2"/>
      <c r="ITQ24" s="2"/>
      <c r="ITR24" s="2"/>
      <c r="ITS24" s="2"/>
      <c r="ITT24" s="2"/>
      <c r="ITU24" s="2"/>
      <c r="ITV24" s="2"/>
      <c r="ITW24" s="2"/>
      <c r="ITX24" s="2"/>
      <c r="ITY24" s="2"/>
      <c r="ITZ24" s="2"/>
      <c r="IUA24" s="2"/>
      <c r="IUB24" s="2"/>
      <c r="IUC24" s="2"/>
      <c r="IUD24" s="2"/>
      <c r="IUE24" s="2"/>
      <c r="IUF24" s="2"/>
      <c r="IUG24" s="2"/>
      <c r="IUH24" s="2"/>
      <c r="IUI24" s="2"/>
      <c r="IUJ24" s="2"/>
      <c r="IUK24" s="2"/>
      <c r="IUL24" s="2"/>
      <c r="IUM24" s="2"/>
      <c r="IUN24" s="2"/>
      <c r="IUO24" s="2"/>
      <c r="IUP24" s="2"/>
      <c r="IUQ24" s="2"/>
      <c r="IUR24" s="2"/>
      <c r="IUS24" s="2"/>
      <c r="IUT24" s="2"/>
      <c r="IUU24" s="2"/>
      <c r="IUV24" s="2"/>
      <c r="IUW24" s="2"/>
      <c r="IUX24" s="2"/>
      <c r="IUY24" s="2"/>
      <c r="IUZ24" s="2"/>
      <c r="IVA24" s="2"/>
      <c r="IVB24" s="2"/>
      <c r="IVC24" s="2"/>
      <c r="IVD24" s="2"/>
      <c r="IVE24" s="2"/>
      <c r="IVF24" s="2"/>
      <c r="IVG24" s="2"/>
      <c r="IVH24" s="2"/>
      <c r="IVI24" s="2"/>
      <c r="IVJ24" s="2"/>
      <c r="IVK24" s="2"/>
      <c r="IVL24" s="2"/>
      <c r="IVM24" s="2"/>
      <c r="IVN24" s="2"/>
      <c r="IVO24" s="2"/>
      <c r="IVP24" s="2"/>
      <c r="IVQ24" s="2"/>
      <c r="IVR24" s="2"/>
      <c r="IVS24" s="2"/>
      <c r="IVT24" s="2"/>
      <c r="IVU24" s="2"/>
      <c r="IVV24" s="2"/>
      <c r="IVW24" s="2"/>
      <c r="IVX24" s="2"/>
      <c r="IVY24" s="2"/>
      <c r="IVZ24" s="2"/>
      <c r="IWA24" s="2"/>
      <c r="IWB24" s="2"/>
      <c r="IWC24" s="2"/>
      <c r="IWD24" s="2"/>
      <c r="IWE24" s="2"/>
      <c r="IWF24" s="2"/>
      <c r="IWG24" s="2"/>
      <c r="IWH24" s="2"/>
      <c r="IWI24" s="2"/>
      <c r="IWJ24" s="2"/>
      <c r="IWK24" s="2"/>
      <c r="IWL24" s="2"/>
      <c r="IWM24" s="2"/>
      <c r="IWN24" s="2"/>
      <c r="IWO24" s="2"/>
      <c r="IWP24" s="2"/>
      <c r="IWQ24" s="2"/>
      <c r="IWR24" s="2"/>
      <c r="IWS24" s="2"/>
      <c r="IWT24" s="2"/>
      <c r="IWU24" s="2"/>
      <c r="IWV24" s="2"/>
      <c r="IWW24" s="2"/>
      <c r="IWX24" s="2"/>
      <c r="IWY24" s="2"/>
      <c r="IWZ24" s="2"/>
      <c r="IXA24" s="2"/>
      <c r="IXB24" s="2"/>
      <c r="IXC24" s="2"/>
      <c r="IXD24" s="2"/>
      <c r="IXE24" s="2"/>
      <c r="IXF24" s="2"/>
      <c r="IXG24" s="2"/>
      <c r="IXH24" s="2"/>
      <c r="IXI24" s="2"/>
      <c r="IXJ24" s="2"/>
      <c r="IXK24" s="2"/>
      <c r="IXL24" s="2"/>
      <c r="IXM24" s="2"/>
      <c r="IXN24" s="2"/>
      <c r="IXO24" s="2"/>
      <c r="IXP24" s="2"/>
      <c r="IXQ24" s="2"/>
      <c r="IXR24" s="2"/>
      <c r="IXS24" s="2"/>
      <c r="IXT24" s="2"/>
      <c r="IXU24" s="2"/>
      <c r="IXV24" s="2"/>
      <c r="IXW24" s="2"/>
      <c r="IXX24" s="2"/>
      <c r="IXY24" s="2"/>
      <c r="IXZ24" s="2"/>
      <c r="IYA24" s="2"/>
      <c r="IYB24" s="2"/>
      <c r="IYC24" s="2"/>
      <c r="IYD24" s="2"/>
      <c r="IYE24" s="2"/>
      <c r="IYF24" s="2"/>
      <c r="IYG24" s="2"/>
      <c r="IYH24" s="2"/>
      <c r="IYI24" s="2"/>
      <c r="IYJ24" s="2"/>
      <c r="IYK24" s="2"/>
      <c r="IYL24" s="2"/>
      <c r="IYM24" s="2"/>
      <c r="IYN24" s="2"/>
      <c r="IYO24" s="2"/>
      <c r="IYP24" s="2"/>
      <c r="IYQ24" s="2"/>
      <c r="IYR24" s="2"/>
      <c r="IYS24" s="2"/>
      <c r="IYT24" s="2"/>
      <c r="IYU24" s="2"/>
      <c r="IYV24" s="2"/>
      <c r="IYW24" s="2"/>
      <c r="IYX24" s="2"/>
      <c r="IYY24" s="2"/>
      <c r="IYZ24" s="2"/>
      <c r="IZA24" s="2"/>
      <c r="IZB24" s="2"/>
      <c r="IZC24" s="2"/>
      <c r="IZD24" s="2"/>
      <c r="IZE24" s="2"/>
      <c r="IZF24" s="2"/>
      <c r="IZG24" s="2"/>
      <c r="IZH24" s="2"/>
      <c r="IZI24" s="2"/>
      <c r="IZJ24" s="2"/>
      <c r="IZK24" s="2"/>
      <c r="IZL24" s="2"/>
      <c r="IZM24" s="2"/>
      <c r="IZN24" s="2"/>
      <c r="IZO24" s="2"/>
      <c r="IZP24" s="2"/>
      <c r="IZQ24" s="2"/>
      <c r="IZR24" s="2"/>
      <c r="IZS24" s="2"/>
      <c r="IZT24" s="2"/>
      <c r="IZU24" s="2"/>
      <c r="IZV24" s="2"/>
      <c r="IZW24" s="2"/>
      <c r="IZX24" s="2"/>
      <c r="IZY24" s="2"/>
      <c r="IZZ24" s="2"/>
      <c r="JAA24" s="2"/>
      <c r="JAB24" s="2"/>
      <c r="JAC24" s="2"/>
      <c r="JAD24" s="2"/>
      <c r="JAE24" s="2"/>
      <c r="JAF24" s="2"/>
      <c r="JAG24" s="2"/>
      <c r="JAH24" s="2"/>
      <c r="JAI24" s="2"/>
      <c r="JAJ24" s="2"/>
      <c r="JAK24" s="2"/>
      <c r="JAL24" s="2"/>
      <c r="JAM24" s="2"/>
      <c r="JAN24" s="2"/>
      <c r="JAO24" s="2"/>
      <c r="JAP24" s="2"/>
      <c r="JAQ24" s="2"/>
      <c r="JAR24" s="2"/>
      <c r="JAS24" s="2"/>
      <c r="JAT24" s="2"/>
      <c r="JAU24" s="2"/>
      <c r="JAV24" s="2"/>
      <c r="JAW24" s="2"/>
      <c r="JAX24" s="2"/>
      <c r="JAY24" s="2"/>
      <c r="JAZ24" s="2"/>
      <c r="JBA24" s="2"/>
      <c r="JBB24" s="2"/>
      <c r="JBC24" s="2"/>
      <c r="JBD24" s="2"/>
      <c r="JBE24" s="2"/>
      <c r="JBF24" s="2"/>
      <c r="JBG24" s="2"/>
      <c r="JBH24" s="2"/>
      <c r="JBI24" s="2"/>
      <c r="JBJ24" s="2"/>
      <c r="JBK24" s="2"/>
      <c r="JBL24" s="2"/>
      <c r="JBM24" s="2"/>
      <c r="JBN24" s="2"/>
      <c r="JBO24" s="2"/>
      <c r="JBP24" s="2"/>
      <c r="JBQ24" s="2"/>
      <c r="JBR24" s="2"/>
      <c r="JBS24" s="2"/>
      <c r="JBT24" s="2"/>
      <c r="JBU24" s="2"/>
      <c r="JBV24" s="2"/>
      <c r="JBW24" s="2"/>
      <c r="JBX24" s="2"/>
      <c r="JBY24" s="2"/>
      <c r="JBZ24" s="2"/>
      <c r="JCA24" s="2"/>
      <c r="JCB24" s="2"/>
      <c r="JCC24" s="2"/>
      <c r="JCD24" s="2"/>
      <c r="JCE24" s="2"/>
      <c r="JCF24" s="2"/>
      <c r="JCG24" s="2"/>
      <c r="JCH24" s="2"/>
      <c r="JCI24" s="2"/>
      <c r="JCJ24" s="2"/>
      <c r="JCK24" s="2"/>
      <c r="JCL24" s="2"/>
      <c r="JCM24" s="2"/>
      <c r="JCN24" s="2"/>
      <c r="JCO24" s="2"/>
      <c r="JCP24" s="2"/>
      <c r="JCQ24" s="2"/>
      <c r="JCR24" s="2"/>
      <c r="JCS24" s="2"/>
      <c r="JCT24" s="2"/>
      <c r="JCU24" s="2"/>
      <c r="JCV24" s="2"/>
      <c r="JCW24" s="2"/>
      <c r="JCX24" s="2"/>
      <c r="JCY24" s="2"/>
      <c r="JCZ24" s="2"/>
      <c r="JDA24" s="2"/>
      <c r="JDB24" s="2"/>
      <c r="JDC24" s="2"/>
      <c r="JDD24" s="2"/>
      <c r="JDE24" s="2"/>
      <c r="JDF24" s="2"/>
      <c r="JDG24" s="2"/>
      <c r="JDH24" s="2"/>
      <c r="JDI24" s="2"/>
      <c r="JDJ24" s="2"/>
      <c r="JDK24" s="2"/>
      <c r="JDL24" s="2"/>
      <c r="JDM24" s="2"/>
      <c r="JDN24" s="2"/>
      <c r="JDO24" s="2"/>
      <c r="JDP24" s="2"/>
      <c r="JDQ24" s="2"/>
      <c r="JDR24" s="2"/>
      <c r="JDS24" s="2"/>
      <c r="JDT24" s="2"/>
      <c r="JDU24" s="2"/>
      <c r="JDV24" s="2"/>
      <c r="JDW24" s="2"/>
      <c r="JDX24" s="2"/>
      <c r="JDY24" s="2"/>
      <c r="JDZ24" s="2"/>
      <c r="JEA24" s="2"/>
      <c r="JEB24" s="2"/>
      <c r="JEC24" s="2"/>
      <c r="JED24" s="2"/>
      <c r="JEE24" s="2"/>
      <c r="JEF24" s="2"/>
      <c r="JEG24" s="2"/>
      <c r="JEH24" s="2"/>
      <c r="JEI24" s="2"/>
      <c r="JEJ24" s="2"/>
      <c r="JEK24" s="2"/>
      <c r="JEL24" s="2"/>
      <c r="JEM24" s="2"/>
      <c r="JEN24" s="2"/>
      <c r="JEO24" s="2"/>
      <c r="JEP24" s="2"/>
      <c r="JEQ24" s="2"/>
      <c r="JER24" s="2"/>
      <c r="JES24" s="2"/>
      <c r="JET24" s="2"/>
      <c r="JEU24" s="2"/>
      <c r="JEV24" s="2"/>
      <c r="JEW24" s="2"/>
      <c r="JEX24" s="2"/>
      <c r="JEY24" s="2"/>
      <c r="JEZ24" s="2"/>
      <c r="JFA24" s="2"/>
      <c r="JFB24" s="2"/>
      <c r="JFC24" s="2"/>
      <c r="JFD24" s="2"/>
      <c r="JFE24" s="2"/>
      <c r="JFF24" s="2"/>
      <c r="JFG24" s="2"/>
      <c r="JFH24" s="2"/>
      <c r="JFI24" s="2"/>
      <c r="JFJ24" s="2"/>
      <c r="JFK24" s="2"/>
      <c r="JFL24" s="2"/>
      <c r="JFM24" s="2"/>
      <c r="JFN24" s="2"/>
      <c r="JFO24" s="2"/>
      <c r="JFP24" s="2"/>
      <c r="JFQ24" s="2"/>
      <c r="JFR24" s="2"/>
      <c r="JFS24" s="2"/>
      <c r="JFT24" s="2"/>
      <c r="JFU24" s="2"/>
      <c r="JFV24" s="2"/>
      <c r="JFW24" s="2"/>
      <c r="JFX24" s="2"/>
      <c r="JFY24" s="2"/>
      <c r="JFZ24" s="2"/>
      <c r="JGA24" s="2"/>
      <c r="JGB24" s="2"/>
      <c r="JGC24" s="2"/>
      <c r="JGD24" s="2"/>
      <c r="JGE24" s="2"/>
      <c r="JGF24" s="2"/>
      <c r="JGG24" s="2"/>
      <c r="JGH24" s="2"/>
      <c r="JGI24" s="2"/>
      <c r="JGJ24" s="2"/>
      <c r="JGK24" s="2"/>
      <c r="JGL24" s="2"/>
      <c r="JGM24" s="2"/>
      <c r="JGN24" s="2"/>
      <c r="JGO24" s="2"/>
      <c r="JGP24" s="2"/>
      <c r="JGQ24" s="2"/>
      <c r="JGR24" s="2"/>
      <c r="JGS24" s="2"/>
      <c r="JGT24" s="2"/>
      <c r="JGU24" s="2"/>
      <c r="JGV24" s="2"/>
      <c r="JGW24" s="2"/>
      <c r="JGX24" s="2"/>
      <c r="JGY24" s="2"/>
      <c r="JGZ24" s="2"/>
      <c r="JHA24" s="2"/>
      <c r="JHB24" s="2"/>
      <c r="JHC24" s="2"/>
      <c r="JHD24" s="2"/>
      <c r="JHE24" s="2"/>
      <c r="JHF24" s="2"/>
      <c r="JHG24" s="2"/>
      <c r="JHH24" s="2"/>
      <c r="JHI24" s="2"/>
      <c r="JHJ24" s="2"/>
      <c r="JHK24" s="2"/>
      <c r="JHL24" s="2"/>
      <c r="JHM24" s="2"/>
      <c r="JHN24" s="2"/>
      <c r="JHO24" s="2"/>
      <c r="JHP24" s="2"/>
      <c r="JHQ24" s="2"/>
      <c r="JHR24" s="2"/>
      <c r="JHS24" s="2"/>
      <c r="JHT24" s="2"/>
      <c r="JHU24" s="2"/>
      <c r="JHV24" s="2"/>
      <c r="JHW24" s="2"/>
      <c r="JHX24" s="2"/>
      <c r="JHY24" s="2"/>
      <c r="JHZ24" s="2"/>
      <c r="JIA24" s="2"/>
      <c r="JIB24" s="2"/>
      <c r="JIC24" s="2"/>
      <c r="JID24" s="2"/>
      <c r="JIE24" s="2"/>
      <c r="JIF24" s="2"/>
      <c r="JIG24" s="2"/>
      <c r="JIH24" s="2"/>
      <c r="JII24" s="2"/>
      <c r="JIJ24" s="2"/>
      <c r="JIK24" s="2"/>
      <c r="JIL24" s="2"/>
      <c r="JIM24" s="2"/>
      <c r="JIN24" s="2"/>
      <c r="JIO24" s="2"/>
      <c r="JIP24" s="2"/>
      <c r="JIQ24" s="2"/>
      <c r="JIR24" s="2"/>
      <c r="JIS24" s="2"/>
      <c r="JIT24" s="2"/>
      <c r="JIU24" s="2"/>
      <c r="JIV24" s="2"/>
      <c r="JIW24" s="2"/>
      <c r="JIX24" s="2"/>
      <c r="JIY24" s="2"/>
      <c r="JIZ24" s="2"/>
      <c r="JJA24" s="2"/>
      <c r="JJB24" s="2"/>
      <c r="JJC24" s="2"/>
      <c r="JJD24" s="2"/>
      <c r="JJE24" s="2"/>
      <c r="JJF24" s="2"/>
      <c r="JJG24" s="2"/>
      <c r="JJH24" s="2"/>
      <c r="JJI24" s="2"/>
      <c r="JJJ24" s="2"/>
      <c r="JJK24" s="2"/>
      <c r="JJL24" s="2"/>
      <c r="JJM24" s="2"/>
      <c r="JJN24" s="2"/>
      <c r="JJO24" s="2"/>
      <c r="JJP24" s="2"/>
      <c r="JJQ24" s="2"/>
      <c r="JJR24" s="2"/>
      <c r="JJS24" s="2"/>
      <c r="JJT24" s="2"/>
      <c r="JJU24" s="2"/>
      <c r="JJV24" s="2"/>
      <c r="JJW24" s="2"/>
      <c r="JJX24" s="2"/>
      <c r="JJY24" s="2"/>
      <c r="JJZ24" s="2"/>
      <c r="JKA24" s="2"/>
      <c r="JKB24" s="2"/>
      <c r="JKC24" s="2"/>
      <c r="JKD24" s="2"/>
      <c r="JKE24" s="2"/>
      <c r="JKF24" s="2"/>
      <c r="JKG24" s="2"/>
      <c r="JKH24" s="2"/>
      <c r="JKI24" s="2"/>
      <c r="JKJ24" s="2"/>
      <c r="JKK24" s="2"/>
      <c r="JKL24" s="2"/>
      <c r="JKM24" s="2"/>
      <c r="JKN24" s="2"/>
      <c r="JKO24" s="2"/>
      <c r="JKP24" s="2"/>
      <c r="JKQ24" s="2"/>
      <c r="JKR24" s="2"/>
      <c r="JKS24" s="2"/>
      <c r="JKT24" s="2"/>
      <c r="JKU24" s="2"/>
      <c r="JKV24" s="2"/>
      <c r="JKW24" s="2"/>
      <c r="JKX24" s="2"/>
      <c r="JKY24" s="2"/>
      <c r="JKZ24" s="2"/>
      <c r="JLA24" s="2"/>
      <c r="JLB24" s="2"/>
      <c r="JLC24" s="2"/>
      <c r="JLD24" s="2"/>
      <c r="JLE24" s="2"/>
      <c r="JLF24" s="2"/>
      <c r="JLG24" s="2"/>
      <c r="JLH24" s="2"/>
      <c r="JLI24" s="2"/>
      <c r="JLJ24" s="2"/>
      <c r="JLK24" s="2"/>
      <c r="JLL24" s="2"/>
      <c r="JLM24" s="2"/>
      <c r="JLN24" s="2"/>
      <c r="JLO24" s="2"/>
      <c r="JLP24" s="2"/>
      <c r="JLQ24" s="2"/>
      <c r="JLR24" s="2"/>
      <c r="JLS24" s="2"/>
      <c r="JLT24" s="2"/>
      <c r="JLU24" s="2"/>
      <c r="JLV24" s="2"/>
      <c r="JLW24" s="2"/>
      <c r="JLX24" s="2"/>
      <c r="JLY24" s="2"/>
      <c r="JLZ24" s="2"/>
      <c r="JMA24" s="2"/>
      <c r="JMB24" s="2"/>
      <c r="JMC24" s="2"/>
      <c r="JMD24" s="2"/>
      <c r="JME24" s="2"/>
      <c r="JMF24" s="2"/>
      <c r="JMG24" s="2"/>
      <c r="JMH24" s="2"/>
      <c r="JMI24" s="2"/>
      <c r="JMJ24" s="2"/>
      <c r="JMK24" s="2"/>
      <c r="JML24" s="2"/>
      <c r="JMM24" s="2"/>
      <c r="JMN24" s="2"/>
      <c r="JMO24" s="2"/>
      <c r="JMP24" s="2"/>
      <c r="JMQ24" s="2"/>
      <c r="JMR24" s="2"/>
      <c r="JMS24" s="2"/>
      <c r="JMT24" s="2"/>
      <c r="JMU24" s="2"/>
      <c r="JMV24" s="2"/>
      <c r="JMW24" s="2"/>
      <c r="JMX24" s="2"/>
      <c r="JMY24" s="2"/>
      <c r="JMZ24" s="2"/>
      <c r="JNA24" s="2"/>
      <c r="JNB24" s="2"/>
      <c r="JNC24" s="2"/>
      <c r="JND24" s="2"/>
      <c r="JNE24" s="2"/>
      <c r="JNF24" s="2"/>
      <c r="JNG24" s="2"/>
      <c r="JNH24" s="2"/>
      <c r="JNI24" s="2"/>
      <c r="JNJ24" s="2"/>
      <c r="JNK24" s="2"/>
      <c r="JNL24" s="2"/>
      <c r="JNM24" s="2"/>
      <c r="JNN24" s="2"/>
      <c r="JNO24" s="2"/>
      <c r="JNP24" s="2"/>
      <c r="JNQ24" s="2"/>
      <c r="JNR24" s="2"/>
      <c r="JNS24" s="2"/>
      <c r="JNT24" s="2"/>
      <c r="JNU24" s="2"/>
      <c r="JNV24" s="2"/>
      <c r="JNW24" s="2"/>
      <c r="JNX24" s="2"/>
      <c r="JNY24" s="2"/>
      <c r="JNZ24" s="2"/>
      <c r="JOA24" s="2"/>
      <c r="JOB24" s="2"/>
      <c r="JOC24" s="2"/>
      <c r="JOD24" s="2"/>
      <c r="JOE24" s="2"/>
      <c r="JOF24" s="2"/>
      <c r="JOG24" s="2"/>
      <c r="JOH24" s="2"/>
      <c r="JOI24" s="2"/>
      <c r="JOJ24" s="2"/>
      <c r="JOK24" s="2"/>
      <c r="JOL24" s="2"/>
      <c r="JOM24" s="2"/>
      <c r="JON24" s="2"/>
      <c r="JOO24" s="2"/>
      <c r="JOP24" s="2"/>
      <c r="JOQ24" s="2"/>
      <c r="JOR24" s="2"/>
      <c r="JOS24" s="2"/>
      <c r="JOT24" s="2"/>
      <c r="JOU24" s="2"/>
      <c r="JOV24" s="2"/>
      <c r="JOW24" s="2"/>
      <c r="JOX24" s="2"/>
      <c r="JOY24" s="2"/>
      <c r="JOZ24" s="2"/>
      <c r="JPA24" s="2"/>
      <c r="JPB24" s="2"/>
      <c r="JPC24" s="2"/>
      <c r="JPD24" s="2"/>
      <c r="JPE24" s="2"/>
      <c r="JPF24" s="2"/>
      <c r="JPG24" s="2"/>
      <c r="JPH24" s="2"/>
      <c r="JPI24" s="2"/>
      <c r="JPJ24" s="2"/>
      <c r="JPK24" s="2"/>
      <c r="JPL24" s="2"/>
      <c r="JPM24" s="2"/>
      <c r="JPN24" s="2"/>
      <c r="JPO24" s="2"/>
      <c r="JPP24" s="2"/>
      <c r="JPQ24" s="2"/>
      <c r="JPR24" s="2"/>
      <c r="JPS24" s="2"/>
      <c r="JPT24" s="2"/>
      <c r="JPU24" s="2"/>
      <c r="JPV24" s="2"/>
      <c r="JPW24" s="2"/>
      <c r="JPX24" s="2"/>
      <c r="JPY24" s="2"/>
      <c r="JPZ24" s="2"/>
      <c r="JQA24" s="2"/>
      <c r="JQB24" s="2"/>
      <c r="JQC24" s="2"/>
      <c r="JQD24" s="2"/>
      <c r="JQE24" s="2"/>
      <c r="JQF24" s="2"/>
      <c r="JQG24" s="2"/>
      <c r="JQH24" s="2"/>
      <c r="JQI24" s="2"/>
      <c r="JQJ24" s="2"/>
      <c r="JQK24" s="2"/>
      <c r="JQL24" s="2"/>
      <c r="JQM24" s="2"/>
      <c r="JQN24" s="2"/>
      <c r="JQO24" s="2"/>
      <c r="JQP24" s="2"/>
      <c r="JQQ24" s="2"/>
      <c r="JQR24" s="2"/>
      <c r="JQS24" s="2"/>
      <c r="JQT24" s="2"/>
      <c r="JQU24" s="2"/>
      <c r="JQV24" s="2"/>
      <c r="JQW24" s="2"/>
      <c r="JQX24" s="2"/>
      <c r="JQY24" s="2"/>
      <c r="JQZ24" s="2"/>
      <c r="JRA24" s="2"/>
      <c r="JRB24" s="2"/>
      <c r="JRC24" s="2"/>
      <c r="JRD24" s="2"/>
      <c r="JRE24" s="2"/>
      <c r="JRF24" s="2"/>
      <c r="JRG24" s="2"/>
      <c r="JRH24" s="2"/>
      <c r="JRI24" s="2"/>
      <c r="JRJ24" s="2"/>
      <c r="JRK24" s="2"/>
      <c r="JRL24" s="2"/>
      <c r="JRM24" s="2"/>
      <c r="JRN24" s="2"/>
      <c r="JRO24" s="2"/>
      <c r="JRP24" s="2"/>
      <c r="JRQ24" s="2"/>
      <c r="JRR24" s="2"/>
      <c r="JRS24" s="2"/>
      <c r="JRT24" s="2"/>
      <c r="JRU24" s="2"/>
      <c r="JRV24" s="2"/>
      <c r="JRW24" s="2"/>
      <c r="JRX24" s="2"/>
      <c r="JRY24" s="2"/>
      <c r="JRZ24" s="2"/>
      <c r="JSA24" s="2"/>
      <c r="JSB24" s="2"/>
      <c r="JSC24" s="2"/>
      <c r="JSD24" s="2"/>
      <c r="JSE24" s="2"/>
      <c r="JSF24" s="2"/>
      <c r="JSG24" s="2"/>
      <c r="JSH24" s="2"/>
      <c r="JSI24" s="2"/>
      <c r="JSJ24" s="2"/>
      <c r="JSK24" s="2"/>
      <c r="JSL24" s="2"/>
      <c r="JSM24" s="2"/>
      <c r="JSN24" s="2"/>
      <c r="JSO24" s="2"/>
      <c r="JSP24" s="2"/>
      <c r="JSQ24" s="2"/>
      <c r="JSR24" s="2"/>
      <c r="JSS24" s="2"/>
      <c r="JST24" s="2"/>
      <c r="JSU24" s="2"/>
      <c r="JSV24" s="2"/>
      <c r="JSW24" s="2"/>
      <c r="JSX24" s="2"/>
      <c r="JSY24" s="2"/>
      <c r="JSZ24" s="2"/>
      <c r="JTA24" s="2"/>
      <c r="JTB24" s="2"/>
      <c r="JTC24" s="2"/>
      <c r="JTD24" s="2"/>
      <c r="JTE24" s="2"/>
      <c r="JTF24" s="2"/>
      <c r="JTG24" s="2"/>
      <c r="JTH24" s="2"/>
      <c r="JTI24" s="2"/>
      <c r="JTJ24" s="2"/>
      <c r="JTK24" s="2"/>
      <c r="JTL24" s="2"/>
      <c r="JTM24" s="2"/>
      <c r="JTN24" s="2"/>
      <c r="JTO24" s="2"/>
      <c r="JTP24" s="2"/>
      <c r="JTQ24" s="2"/>
      <c r="JTR24" s="2"/>
      <c r="JTS24" s="2"/>
      <c r="JTT24" s="2"/>
      <c r="JTU24" s="2"/>
      <c r="JTV24" s="2"/>
      <c r="JTW24" s="2"/>
      <c r="JTX24" s="2"/>
      <c r="JTY24" s="2"/>
      <c r="JTZ24" s="2"/>
      <c r="JUA24" s="2"/>
      <c r="JUB24" s="2"/>
      <c r="JUC24" s="2"/>
      <c r="JUD24" s="2"/>
      <c r="JUE24" s="2"/>
      <c r="JUF24" s="2"/>
      <c r="JUG24" s="2"/>
      <c r="JUH24" s="2"/>
      <c r="JUI24" s="2"/>
      <c r="JUJ24" s="2"/>
      <c r="JUK24" s="2"/>
      <c r="JUL24" s="2"/>
      <c r="JUM24" s="2"/>
      <c r="JUN24" s="2"/>
      <c r="JUO24" s="2"/>
      <c r="JUP24" s="2"/>
      <c r="JUQ24" s="2"/>
      <c r="JUR24" s="2"/>
      <c r="JUS24" s="2"/>
      <c r="JUT24" s="2"/>
      <c r="JUU24" s="2"/>
      <c r="JUV24" s="2"/>
      <c r="JUW24" s="2"/>
      <c r="JUX24" s="2"/>
      <c r="JUY24" s="2"/>
      <c r="JUZ24" s="2"/>
      <c r="JVA24" s="2"/>
      <c r="JVB24" s="2"/>
      <c r="JVC24" s="2"/>
      <c r="JVD24" s="2"/>
      <c r="JVE24" s="2"/>
      <c r="JVF24" s="2"/>
      <c r="JVG24" s="2"/>
      <c r="JVH24" s="2"/>
      <c r="JVI24" s="2"/>
      <c r="JVJ24" s="2"/>
      <c r="JVK24" s="2"/>
      <c r="JVL24" s="2"/>
      <c r="JVM24" s="2"/>
      <c r="JVN24" s="2"/>
      <c r="JVO24" s="2"/>
      <c r="JVP24" s="2"/>
      <c r="JVQ24" s="2"/>
      <c r="JVR24" s="2"/>
      <c r="JVS24" s="2"/>
      <c r="JVT24" s="2"/>
      <c r="JVU24" s="2"/>
      <c r="JVV24" s="2"/>
      <c r="JVW24" s="2"/>
      <c r="JVX24" s="2"/>
      <c r="JVY24" s="2"/>
      <c r="JVZ24" s="2"/>
      <c r="JWA24" s="2"/>
      <c r="JWB24" s="2"/>
      <c r="JWC24" s="2"/>
      <c r="JWD24" s="2"/>
      <c r="JWE24" s="2"/>
      <c r="JWF24" s="2"/>
      <c r="JWG24" s="2"/>
      <c r="JWH24" s="2"/>
      <c r="JWI24" s="2"/>
      <c r="JWJ24" s="2"/>
      <c r="JWK24" s="2"/>
      <c r="JWL24" s="2"/>
      <c r="JWM24" s="2"/>
      <c r="JWN24" s="2"/>
      <c r="JWO24" s="2"/>
      <c r="JWP24" s="2"/>
      <c r="JWQ24" s="2"/>
      <c r="JWR24" s="2"/>
      <c r="JWS24" s="2"/>
      <c r="JWT24" s="2"/>
      <c r="JWU24" s="2"/>
      <c r="JWV24" s="2"/>
      <c r="JWW24" s="2"/>
      <c r="JWX24" s="2"/>
      <c r="JWY24" s="2"/>
      <c r="JWZ24" s="2"/>
      <c r="JXA24" s="2"/>
      <c r="JXB24" s="2"/>
      <c r="JXC24" s="2"/>
      <c r="JXD24" s="2"/>
      <c r="JXE24" s="2"/>
      <c r="JXF24" s="2"/>
      <c r="JXG24" s="2"/>
      <c r="JXH24" s="2"/>
      <c r="JXI24" s="2"/>
      <c r="JXJ24" s="2"/>
      <c r="JXK24" s="2"/>
      <c r="JXL24" s="2"/>
      <c r="JXM24" s="2"/>
      <c r="JXN24" s="2"/>
      <c r="JXO24" s="2"/>
      <c r="JXP24" s="2"/>
      <c r="JXQ24" s="2"/>
      <c r="JXR24" s="2"/>
      <c r="JXS24" s="2"/>
      <c r="JXT24" s="2"/>
      <c r="JXU24" s="2"/>
      <c r="JXV24" s="2"/>
      <c r="JXW24" s="2"/>
      <c r="JXX24" s="2"/>
      <c r="JXY24" s="2"/>
      <c r="JXZ24" s="2"/>
      <c r="JYA24" s="2"/>
      <c r="JYB24" s="2"/>
      <c r="JYC24" s="2"/>
      <c r="JYD24" s="2"/>
      <c r="JYE24" s="2"/>
      <c r="JYF24" s="2"/>
      <c r="JYG24" s="2"/>
      <c r="JYH24" s="2"/>
      <c r="JYI24" s="2"/>
      <c r="JYJ24" s="2"/>
      <c r="JYK24" s="2"/>
      <c r="JYL24" s="2"/>
      <c r="JYM24" s="2"/>
      <c r="JYN24" s="2"/>
      <c r="JYO24" s="2"/>
      <c r="JYP24" s="2"/>
      <c r="JYQ24" s="2"/>
      <c r="JYR24" s="2"/>
      <c r="JYS24" s="2"/>
      <c r="JYT24" s="2"/>
      <c r="JYU24" s="2"/>
      <c r="JYV24" s="2"/>
      <c r="JYW24" s="2"/>
      <c r="JYX24" s="2"/>
      <c r="JYY24" s="2"/>
      <c r="JYZ24" s="2"/>
      <c r="JZA24" s="2"/>
      <c r="JZB24" s="2"/>
      <c r="JZC24" s="2"/>
      <c r="JZD24" s="2"/>
      <c r="JZE24" s="2"/>
      <c r="JZF24" s="2"/>
      <c r="JZG24" s="2"/>
      <c r="JZH24" s="2"/>
      <c r="JZI24" s="2"/>
      <c r="JZJ24" s="2"/>
      <c r="JZK24" s="2"/>
      <c r="JZL24" s="2"/>
      <c r="JZM24" s="2"/>
      <c r="JZN24" s="2"/>
      <c r="JZO24" s="2"/>
      <c r="JZP24" s="2"/>
      <c r="JZQ24" s="2"/>
      <c r="JZR24" s="2"/>
      <c r="JZS24" s="2"/>
      <c r="JZT24" s="2"/>
      <c r="JZU24" s="2"/>
      <c r="JZV24" s="2"/>
      <c r="JZW24" s="2"/>
      <c r="JZX24" s="2"/>
      <c r="JZY24" s="2"/>
      <c r="JZZ24" s="2"/>
      <c r="KAA24" s="2"/>
      <c r="KAB24" s="2"/>
      <c r="KAC24" s="2"/>
      <c r="KAD24" s="2"/>
      <c r="KAE24" s="2"/>
      <c r="KAF24" s="2"/>
      <c r="KAG24" s="2"/>
      <c r="KAH24" s="2"/>
      <c r="KAI24" s="2"/>
      <c r="KAJ24" s="2"/>
      <c r="KAK24" s="2"/>
      <c r="KAL24" s="2"/>
      <c r="KAM24" s="2"/>
      <c r="KAN24" s="2"/>
      <c r="KAO24" s="2"/>
      <c r="KAP24" s="2"/>
      <c r="KAQ24" s="2"/>
      <c r="KAR24" s="2"/>
      <c r="KAS24" s="2"/>
      <c r="KAT24" s="2"/>
      <c r="KAU24" s="2"/>
      <c r="KAV24" s="2"/>
      <c r="KAW24" s="2"/>
      <c r="KAX24" s="2"/>
      <c r="KAY24" s="2"/>
      <c r="KAZ24" s="2"/>
      <c r="KBA24" s="2"/>
      <c r="KBB24" s="2"/>
      <c r="KBC24" s="2"/>
      <c r="KBD24" s="2"/>
      <c r="KBE24" s="2"/>
      <c r="KBF24" s="2"/>
      <c r="KBG24" s="2"/>
      <c r="KBH24" s="2"/>
      <c r="KBI24" s="2"/>
      <c r="KBJ24" s="2"/>
      <c r="KBK24" s="2"/>
      <c r="KBL24" s="2"/>
      <c r="KBM24" s="2"/>
      <c r="KBN24" s="2"/>
      <c r="KBO24" s="2"/>
      <c r="KBP24" s="2"/>
      <c r="KBQ24" s="2"/>
      <c r="KBR24" s="2"/>
      <c r="KBS24" s="2"/>
      <c r="KBT24" s="2"/>
      <c r="KBU24" s="2"/>
      <c r="KBV24" s="2"/>
      <c r="KBW24" s="2"/>
      <c r="KBX24" s="2"/>
      <c r="KBY24" s="2"/>
      <c r="KBZ24" s="2"/>
      <c r="KCA24" s="2"/>
      <c r="KCB24" s="2"/>
      <c r="KCC24" s="2"/>
      <c r="KCD24" s="2"/>
      <c r="KCE24" s="2"/>
      <c r="KCF24" s="2"/>
      <c r="KCG24" s="2"/>
      <c r="KCH24" s="2"/>
      <c r="KCI24" s="2"/>
      <c r="KCJ24" s="2"/>
      <c r="KCK24" s="2"/>
      <c r="KCL24" s="2"/>
      <c r="KCM24" s="2"/>
      <c r="KCN24" s="2"/>
      <c r="KCO24" s="2"/>
      <c r="KCP24" s="2"/>
      <c r="KCQ24" s="2"/>
      <c r="KCR24" s="2"/>
      <c r="KCS24" s="2"/>
      <c r="KCT24" s="2"/>
      <c r="KCU24" s="2"/>
      <c r="KCV24" s="2"/>
      <c r="KCW24" s="2"/>
      <c r="KCX24" s="2"/>
      <c r="KCY24" s="2"/>
      <c r="KCZ24" s="2"/>
      <c r="KDA24" s="2"/>
      <c r="KDB24" s="2"/>
      <c r="KDC24" s="2"/>
      <c r="KDD24" s="2"/>
      <c r="KDE24" s="2"/>
      <c r="KDF24" s="2"/>
      <c r="KDG24" s="2"/>
      <c r="KDH24" s="2"/>
      <c r="KDI24" s="2"/>
      <c r="KDJ24" s="2"/>
      <c r="KDK24" s="2"/>
      <c r="KDL24" s="2"/>
      <c r="KDM24" s="2"/>
      <c r="KDN24" s="2"/>
      <c r="KDO24" s="2"/>
      <c r="KDP24" s="2"/>
      <c r="KDQ24" s="2"/>
      <c r="KDR24" s="2"/>
      <c r="KDS24" s="2"/>
      <c r="KDT24" s="2"/>
      <c r="KDU24" s="2"/>
      <c r="KDV24" s="2"/>
      <c r="KDW24" s="2"/>
      <c r="KDX24" s="2"/>
      <c r="KDY24" s="2"/>
      <c r="KDZ24" s="2"/>
      <c r="KEA24" s="2"/>
      <c r="KEB24" s="2"/>
      <c r="KEC24" s="2"/>
      <c r="KED24" s="2"/>
      <c r="KEE24" s="2"/>
      <c r="KEF24" s="2"/>
      <c r="KEG24" s="2"/>
      <c r="KEH24" s="2"/>
      <c r="KEI24" s="2"/>
      <c r="KEJ24" s="2"/>
      <c r="KEK24" s="2"/>
      <c r="KEL24" s="2"/>
      <c r="KEM24" s="2"/>
      <c r="KEN24" s="2"/>
      <c r="KEO24" s="2"/>
      <c r="KEP24" s="2"/>
      <c r="KEQ24" s="2"/>
      <c r="KER24" s="2"/>
      <c r="KES24" s="2"/>
      <c r="KET24" s="2"/>
      <c r="KEU24" s="2"/>
      <c r="KEV24" s="2"/>
      <c r="KEW24" s="2"/>
      <c r="KEX24" s="2"/>
      <c r="KEY24" s="2"/>
      <c r="KEZ24" s="2"/>
      <c r="KFA24" s="2"/>
      <c r="KFB24" s="2"/>
      <c r="KFC24" s="2"/>
      <c r="KFD24" s="2"/>
      <c r="KFE24" s="2"/>
      <c r="KFF24" s="2"/>
      <c r="KFG24" s="2"/>
      <c r="KFH24" s="2"/>
      <c r="KFI24" s="2"/>
      <c r="KFJ24" s="2"/>
      <c r="KFK24" s="2"/>
      <c r="KFL24" s="2"/>
      <c r="KFM24" s="2"/>
      <c r="KFN24" s="2"/>
      <c r="KFO24" s="2"/>
      <c r="KFP24" s="2"/>
      <c r="KFQ24" s="2"/>
      <c r="KFR24" s="2"/>
      <c r="KFS24" s="2"/>
      <c r="KFT24" s="2"/>
      <c r="KFU24" s="2"/>
      <c r="KFV24" s="2"/>
      <c r="KFW24" s="2"/>
      <c r="KFX24" s="2"/>
      <c r="KFY24" s="2"/>
      <c r="KFZ24" s="2"/>
      <c r="KGA24" s="2"/>
      <c r="KGB24" s="2"/>
      <c r="KGC24" s="2"/>
      <c r="KGD24" s="2"/>
      <c r="KGE24" s="2"/>
      <c r="KGF24" s="2"/>
      <c r="KGG24" s="2"/>
      <c r="KGH24" s="2"/>
      <c r="KGI24" s="2"/>
      <c r="KGJ24" s="2"/>
      <c r="KGK24" s="2"/>
      <c r="KGL24" s="2"/>
      <c r="KGM24" s="2"/>
      <c r="KGN24" s="2"/>
      <c r="KGO24" s="2"/>
      <c r="KGP24" s="2"/>
      <c r="KGQ24" s="2"/>
      <c r="KGR24" s="2"/>
      <c r="KGS24" s="2"/>
      <c r="KGT24" s="2"/>
      <c r="KGU24" s="2"/>
      <c r="KGV24" s="2"/>
      <c r="KGW24" s="2"/>
      <c r="KGX24" s="2"/>
      <c r="KGY24" s="2"/>
      <c r="KGZ24" s="2"/>
      <c r="KHA24" s="2"/>
      <c r="KHB24" s="2"/>
      <c r="KHC24" s="2"/>
      <c r="KHD24" s="2"/>
      <c r="KHE24" s="2"/>
      <c r="KHF24" s="2"/>
      <c r="KHG24" s="2"/>
      <c r="KHH24" s="2"/>
      <c r="KHI24" s="2"/>
      <c r="KHJ24" s="2"/>
      <c r="KHK24" s="2"/>
      <c r="KHL24" s="2"/>
      <c r="KHM24" s="2"/>
      <c r="KHN24" s="2"/>
      <c r="KHO24" s="2"/>
      <c r="KHP24" s="2"/>
      <c r="KHQ24" s="2"/>
      <c r="KHR24" s="2"/>
      <c r="KHS24" s="2"/>
      <c r="KHT24" s="2"/>
      <c r="KHU24" s="2"/>
      <c r="KHV24" s="2"/>
      <c r="KHW24" s="2"/>
      <c r="KHX24" s="2"/>
      <c r="KHY24" s="2"/>
      <c r="KHZ24" s="2"/>
      <c r="KIA24" s="2"/>
      <c r="KIB24" s="2"/>
      <c r="KIC24" s="2"/>
      <c r="KID24" s="2"/>
      <c r="KIE24" s="2"/>
      <c r="KIF24" s="2"/>
      <c r="KIG24" s="2"/>
      <c r="KIH24" s="2"/>
      <c r="KII24" s="2"/>
      <c r="KIJ24" s="2"/>
      <c r="KIK24" s="2"/>
      <c r="KIL24" s="2"/>
      <c r="KIM24" s="2"/>
      <c r="KIN24" s="2"/>
      <c r="KIO24" s="2"/>
      <c r="KIP24" s="2"/>
      <c r="KIQ24" s="2"/>
      <c r="KIR24" s="2"/>
      <c r="KIS24" s="2"/>
      <c r="KIT24" s="2"/>
      <c r="KIU24" s="2"/>
      <c r="KIV24" s="2"/>
      <c r="KIW24" s="2"/>
      <c r="KIX24" s="2"/>
      <c r="KIY24" s="2"/>
      <c r="KIZ24" s="2"/>
      <c r="KJA24" s="2"/>
      <c r="KJB24" s="2"/>
      <c r="KJC24" s="2"/>
      <c r="KJD24" s="2"/>
      <c r="KJE24" s="2"/>
      <c r="KJF24" s="2"/>
      <c r="KJG24" s="2"/>
      <c r="KJH24" s="2"/>
      <c r="KJI24" s="2"/>
      <c r="KJJ24" s="2"/>
      <c r="KJK24" s="2"/>
      <c r="KJL24" s="2"/>
      <c r="KJM24" s="2"/>
      <c r="KJN24" s="2"/>
      <c r="KJO24" s="2"/>
      <c r="KJP24" s="2"/>
      <c r="KJQ24" s="2"/>
      <c r="KJR24" s="2"/>
      <c r="KJS24" s="2"/>
      <c r="KJT24" s="2"/>
      <c r="KJU24" s="2"/>
      <c r="KJV24" s="2"/>
      <c r="KJW24" s="2"/>
      <c r="KJX24" s="2"/>
      <c r="KJY24" s="2"/>
      <c r="KJZ24" s="2"/>
      <c r="KKA24" s="2"/>
      <c r="KKB24" s="2"/>
      <c r="KKC24" s="2"/>
      <c r="KKD24" s="2"/>
      <c r="KKE24" s="2"/>
      <c r="KKF24" s="2"/>
      <c r="KKG24" s="2"/>
      <c r="KKH24" s="2"/>
      <c r="KKI24" s="2"/>
      <c r="KKJ24" s="2"/>
      <c r="KKK24" s="2"/>
      <c r="KKL24" s="2"/>
      <c r="KKM24" s="2"/>
      <c r="KKN24" s="2"/>
      <c r="KKO24" s="2"/>
      <c r="KKP24" s="2"/>
      <c r="KKQ24" s="2"/>
      <c r="KKR24" s="2"/>
      <c r="KKS24" s="2"/>
      <c r="KKT24" s="2"/>
      <c r="KKU24" s="2"/>
      <c r="KKV24" s="2"/>
      <c r="KKW24" s="2"/>
      <c r="KKX24" s="2"/>
      <c r="KKY24" s="2"/>
      <c r="KKZ24" s="2"/>
      <c r="KLA24" s="2"/>
      <c r="KLB24" s="2"/>
      <c r="KLC24" s="2"/>
      <c r="KLD24" s="2"/>
      <c r="KLE24" s="2"/>
      <c r="KLF24" s="2"/>
      <c r="KLG24" s="2"/>
      <c r="KLH24" s="2"/>
      <c r="KLI24" s="2"/>
      <c r="KLJ24" s="2"/>
      <c r="KLK24" s="2"/>
      <c r="KLL24" s="2"/>
      <c r="KLM24" s="2"/>
      <c r="KLN24" s="2"/>
      <c r="KLO24" s="2"/>
      <c r="KLP24" s="2"/>
      <c r="KLQ24" s="2"/>
      <c r="KLR24" s="2"/>
      <c r="KLS24" s="2"/>
      <c r="KLT24" s="2"/>
      <c r="KLU24" s="2"/>
      <c r="KLV24" s="2"/>
      <c r="KLW24" s="2"/>
      <c r="KLX24" s="2"/>
      <c r="KLY24" s="2"/>
      <c r="KLZ24" s="2"/>
      <c r="KMA24" s="2"/>
      <c r="KMB24" s="2"/>
      <c r="KMC24" s="2"/>
      <c r="KMD24" s="2"/>
      <c r="KME24" s="2"/>
      <c r="KMF24" s="2"/>
      <c r="KMG24" s="2"/>
      <c r="KMH24" s="2"/>
      <c r="KMI24" s="2"/>
      <c r="KMJ24" s="2"/>
      <c r="KMK24" s="2"/>
      <c r="KML24" s="2"/>
      <c r="KMM24" s="2"/>
      <c r="KMN24" s="2"/>
      <c r="KMO24" s="2"/>
      <c r="KMP24" s="2"/>
      <c r="KMQ24" s="2"/>
      <c r="KMR24" s="2"/>
      <c r="KMS24" s="2"/>
      <c r="KMT24" s="2"/>
      <c r="KMU24" s="2"/>
      <c r="KMV24" s="2"/>
      <c r="KMW24" s="2"/>
      <c r="KMX24" s="2"/>
      <c r="KMY24" s="2"/>
      <c r="KMZ24" s="2"/>
      <c r="KNA24" s="2"/>
      <c r="KNB24" s="2"/>
      <c r="KNC24" s="2"/>
      <c r="KND24" s="2"/>
      <c r="KNE24" s="2"/>
      <c r="KNF24" s="2"/>
      <c r="KNG24" s="2"/>
      <c r="KNH24" s="2"/>
      <c r="KNI24" s="2"/>
      <c r="KNJ24" s="2"/>
      <c r="KNK24" s="2"/>
      <c r="KNL24" s="2"/>
      <c r="KNM24" s="2"/>
      <c r="KNN24" s="2"/>
      <c r="KNO24" s="2"/>
      <c r="KNP24" s="2"/>
      <c r="KNQ24" s="2"/>
      <c r="KNR24" s="2"/>
      <c r="KNS24" s="2"/>
      <c r="KNT24" s="2"/>
      <c r="KNU24" s="2"/>
      <c r="KNV24" s="2"/>
      <c r="KNW24" s="2"/>
      <c r="KNX24" s="2"/>
      <c r="KNY24" s="2"/>
      <c r="KNZ24" s="2"/>
      <c r="KOA24" s="2"/>
      <c r="KOB24" s="2"/>
      <c r="KOC24" s="2"/>
      <c r="KOD24" s="2"/>
      <c r="KOE24" s="2"/>
      <c r="KOF24" s="2"/>
      <c r="KOG24" s="2"/>
      <c r="KOH24" s="2"/>
      <c r="KOI24" s="2"/>
      <c r="KOJ24" s="2"/>
      <c r="KOK24" s="2"/>
      <c r="KOL24" s="2"/>
      <c r="KOM24" s="2"/>
      <c r="KON24" s="2"/>
      <c r="KOO24" s="2"/>
      <c r="KOP24" s="2"/>
      <c r="KOQ24" s="2"/>
      <c r="KOR24" s="2"/>
      <c r="KOS24" s="2"/>
      <c r="KOT24" s="2"/>
      <c r="KOU24" s="2"/>
      <c r="KOV24" s="2"/>
      <c r="KOW24" s="2"/>
      <c r="KOX24" s="2"/>
      <c r="KOY24" s="2"/>
      <c r="KOZ24" s="2"/>
      <c r="KPA24" s="2"/>
      <c r="KPB24" s="2"/>
      <c r="KPC24" s="2"/>
      <c r="KPD24" s="2"/>
      <c r="KPE24" s="2"/>
      <c r="KPF24" s="2"/>
      <c r="KPG24" s="2"/>
      <c r="KPH24" s="2"/>
      <c r="KPI24" s="2"/>
      <c r="KPJ24" s="2"/>
      <c r="KPK24" s="2"/>
      <c r="KPL24" s="2"/>
      <c r="KPM24" s="2"/>
      <c r="KPN24" s="2"/>
      <c r="KPO24" s="2"/>
      <c r="KPP24" s="2"/>
      <c r="KPQ24" s="2"/>
      <c r="KPR24" s="2"/>
      <c r="KPS24" s="2"/>
      <c r="KPT24" s="2"/>
      <c r="KPU24" s="2"/>
      <c r="KPV24" s="2"/>
      <c r="KPW24" s="2"/>
      <c r="KPX24" s="2"/>
      <c r="KPY24" s="2"/>
      <c r="KPZ24" s="2"/>
      <c r="KQA24" s="2"/>
      <c r="KQB24" s="2"/>
      <c r="KQC24" s="2"/>
      <c r="KQD24" s="2"/>
      <c r="KQE24" s="2"/>
      <c r="KQF24" s="2"/>
      <c r="KQG24" s="2"/>
      <c r="KQH24" s="2"/>
      <c r="KQI24" s="2"/>
      <c r="KQJ24" s="2"/>
      <c r="KQK24" s="2"/>
      <c r="KQL24" s="2"/>
      <c r="KQM24" s="2"/>
      <c r="KQN24" s="2"/>
      <c r="KQO24" s="2"/>
      <c r="KQP24" s="2"/>
      <c r="KQQ24" s="2"/>
      <c r="KQR24" s="2"/>
      <c r="KQS24" s="2"/>
      <c r="KQT24" s="2"/>
      <c r="KQU24" s="2"/>
      <c r="KQV24" s="2"/>
      <c r="KQW24" s="2"/>
      <c r="KQX24" s="2"/>
      <c r="KQY24" s="2"/>
      <c r="KQZ24" s="2"/>
      <c r="KRA24" s="2"/>
      <c r="KRB24" s="2"/>
      <c r="KRC24" s="2"/>
      <c r="KRD24" s="2"/>
      <c r="KRE24" s="2"/>
      <c r="KRF24" s="2"/>
      <c r="KRG24" s="2"/>
      <c r="KRH24" s="2"/>
      <c r="KRI24" s="2"/>
      <c r="KRJ24" s="2"/>
      <c r="KRK24" s="2"/>
      <c r="KRL24" s="2"/>
      <c r="KRM24" s="2"/>
      <c r="KRN24" s="2"/>
      <c r="KRO24" s="2"/>
      <c r="KRP24" s="2"/>
      <c r="KRQ24" s="2"/>
      <c r="KRR24" s="2"/>
      <c r="KRS24" s="2"/>
      <c r="KRT24" s="2"/>
      <c r="KRU24" s="2"/>
      <c r="KRV24" s="2"/>
      <c r="KRW24" s="2"/>
      <c r="KRX24" s="2"/>
      <c r="KRY24" s="2"/>
      <c r="KRZ24" s="2"/>
      <c r="KSA24" s="2"/>
      <c r="KSB24" s="2"/>
      <c r="KSC24" s="2"/>
      <c r="KSD24" s="2"/>
      <c r="KSE24" s="2"/>
      <c r="KSF24" s="2"/>
      <c r="KSG24" s="2"/>
      <c r="KSH24" s="2"/>
      <c r="KSI24" s="2"/>
      <c r="KSJ24" s="2"/>
      <c r="KSK24" s="2"/>
      <c r="KSL24" s="2"/>
      <c r="KSM24" s="2"/>
      <c r="KSN24" s="2"/>
      <c r="KSO24" s="2"/>
      <c r="KSP24" s="2"/>
      <c r="KSQ24" s="2"/>
      <c r="KSR24" s="2"/>
      <c r="KSS24" s="2"/>
      <c r="KST24" s="2"/>
      <c r="KSU24" s="2"/>
      <c r="KSV24" s="2"/>
      <c r="KSW24" s="2"/>
      <c r="KSX24" s="2"/>
      <c r="KSY24" s="2"/>
      <c r="KSZ24" s="2"/>
      <c r="KTA24" s="2"/>
      <c r="KTB24" s="2"/>
      <c r="KTC24" s="2"/>
      <c r="KTD24" s="2"/>
      <c r="KTE24" s="2"/>
      <c r="KTF24" s="2"/>
      <c r="KTG24" s="2"/>
      <c r="KTH24" s="2"/>
      <c r="KTI24" s="2"/>
      <c r="KTJ24" s="2"/>
      <c r="KTK24" s="2"/>
      <c r="KTL24" s="2"/>
      <c r="KTM24" s="2"/>
      <c r="KTN24" s="2"/>
      <c r="KTO24" s="2"/>
      <c r="KTP24" s="2"/>
      <c r="KTQ24" s="2"/>
      <c r="KTR24" s="2"/>
      <c r="KTS24" s="2"/>
      <c r="KTT24" s="2"/>
      <c r="KTU24" s="2"/>
      <c r="KTV24" s="2"/>
      <c r="KTW24" s="2"/>
      <c r="KTX24" s="2"/>
      <c r="KTY24" s="2"/>
      <c r="KTZ24" s="2"/>
      <c r="KUA24" s="2"/>
      <c r="KUB24" s="2"/>
      <c r="KUC24" s="2"/>
      <c r="KUD24" s="2"/>
      <c r="KUE24" s="2"/>
      <c r="KUF24" s="2"/>
      <c r="KUG24" s="2"/>
      <c r="KUH24" s="2"/>
      <c r="KUI24" s="2"/>
      <c r="KUJ24" s="2"/>
      <c r="KUK24" s="2"/>
      <c r="KUL24" s="2"/>
      <c r="KUM24" s="2"/>
      <c r="KUN24" s="2"/>
      <c r="KUO24" s="2"/>
      <c r="KUP24" s="2"/>
      <c r="KUQ24" s="2"/>
      <c r="KUR24" s="2"/>
      <c r="KUS24" s="2"/>
      <c r="KUT24" s="2"/>
      <c r="KUU24" s="2"/>
      <c r="KUV24" s="2"/>
      <c r="KUW24" s="2"/>
      <c r="KUX24" s="2"/>
      <c r="KUY24" s="2"/>
      <c r="KUZ24" s="2"/>
      <c r="KVA24" s="2"/>
      <c r="KVB24" s="2"/>
      <c r="KVC24" s="2"/>
      <c r="KVD24" s="2"/>
      <c r="KVE24" s="2"/>
      <c r="KVF24" s="2"/>
      <c r="KVG24" s="2"/>
      <c r="KVH24" s="2"/>
      <c r="KVI24" s="2"/>
      <c r="KVJ24" s="2"/>
      <c r="KVK24" s="2"/>
      <c r="KVL24" s="2"/>
      <c r="KVM24" s="2"/>
      <c r="KVN24" s="2"/>
      <c r="KVO24" s="2"/>
      <c r="KVP24" s="2"/>
      <c r="KVQ24" s="2"/>
      <c r="KVR24" s="2"/>
      <c r="KVS24" s="2"/>
      <c r="KVT24" s="2"/>
      <c r="KVU24" s="2"/>
      <c r="KVV24" s="2"/>
      <c r="KVW24" s="2"/>
      <c r="KVX24" s="2"/>
      <c r="KVY24" s="2"/>
      <c r="KVZ24" s="2"/>
      <c r="KWA24" s="2"/>
      <c r="KWB24" s="2"/>
      <c r="KWC24" s="2"/>
      <c r="KWD24" s="2"/>
      <c r="KWE24" s="2"/>
      <c r="KWF24" s="2"/>
      <c r="KWG24" s="2"/>
      <c r="KWH24" s="2"/>
      <c r="KWI24" s="2"/>
      <c r="KWJ24" s="2"/>
      <c r="KWK24" s="2"/>
      <c r="KWL24" s="2"/>
      <c r="KWM24" s="2"/>
      <c r="KWN24" s="2"/>
      <c r="KWO24" s="2"/>
      <c r="KWP24" s="2"/>
      <c r="KWQ24" s="2"/>
      <c r="KWR24" s="2"/>
      <c r="KWS24" s="2"/>
      <c r="KWT24" s="2"/>
      <c r="KWU24" s="2"/>
      <c r="KWV24" s="2"/>
      <c r="KWW24" s="2"/>
      <c r="KWX24" s="2"/>
      <c r="KWY24" s="2"/>
      <c r="KWZ24" s="2"/>
      <c r="KXA24" s="2"/>
      <c r="KXB24" s="2"/>
      <c r="KXC24" s="2"/>
      <c r="KXD24" s="2"/>
      <c r="KXE24" s="2"/>
      <c r="KXF24" s="2"/>
      <c r="KXG24" s="2"/>
      <c r="KXH24" s="2"/>
      <c r="KXI24" s="2"/>
      <c r="KXJ24" s="2"/>
      <c r="KXK24" s="2"/>
      <c r="KXL24" s="2"/>
      <c r="KXM24" s="2"/>
      <c r="KXN24" s="2"/>
      <c r="KXO24" s="2"/>
      <c r="KXP24" s="2"/>
      <c r="KXQ24" s="2"/>
      <c r="KXR24" s="2"/>
      <c r="KXS24" s="2"/>
      <c r="KXT24" s="2"/>
      <c r="KXU24" s="2"/>
      <c r="KXV24" s="2"/>
      <c r="KXW24" s="2"/>
      <c r="KXX24" s="2"/>
      <c r="KXY24" s="2"/>
      <c r="KXZ24" s="2"/>
      <c r="KYA24" s="2"/>
      <c r="KYB24" s="2"/>
      <c r="KYC24" s="2"/>
      <c r="KYD24" s="2"/>
      <c r="KYE24" s="2"/>
      <c r="KYF24" s="2"/>
      <c r="KYG24" s="2"/>
      <c r="KYH24" s="2"/>
      <c r="KYI24" s="2"/>
      <c r="KYJ24" s="2"/>
      <c r="KYK24" s="2"/>
      <c r="KYL24" s="2"/>
      <c r="KYM24" s="2"/>
      <c r="KYN24" s="2"/>
      <c r="KYO24" s="2"/>
      <c r="KYP24" s="2"/>
      <c r="KYQ24" s="2"/>
      <c r="KYR24" s="2"/>
      <c r="KYS24" s="2"/>
      <c r="KYT24" s="2"/>
      <c r="KYU24" s="2"/>
      <c r="KYV24" s="2"/>
      <c r="KYW24" s="2"/>
      <c r="KYX24" s="2"/>
      <c r="KYY24" s="2"/>
      <c r="KYZ24" s="2"/>
      <c r="KZA24" s="2"/>
      <c r="KZB24" s="2"/>
      <c r="KZC24" s="2"/>
      <c r="KZD24" s="2"/>
      <c r="KZE24" s="2"/>
      <c r="KZF24" s="2"/>
      <c r="KZG24" s="2"/>
      <c r="KZH24" s="2"/>
      <c r="KZI24" s="2"/>
      <c r="KZJ24" s="2"/>
      <c r="KZK24" s="2"/>
      <c r="KZL24" s="2"/>
      <c r="KZM24" s="2"/>
      <c r="KZN24" s="2"/>
      <c r="KZO24" s="2"/>
      <c r="KZP24" s="2"/>
      <c r="KZQ24" s="2"/>
      <c r="KZR24" s="2"/>
      <c r="KZS24" s="2"/>
      <c r="KZT24" s="2"/>
      <c r="KZU24" s="2"/>
      <c r="KZV24" s="2"/>
      <c r="KZW24" s="2"/>
      <c r="KZX24" s="2"/>
      <c r="KZY24" s="2"/>
      <c r="KZZ24" s="2"/>
      <c r="LAA24" s="2"/>
      <c r="LAB24" s="2"/>
      <c r="LAC24" s="2"/>
      <c r="LAD24" s="2"/>
      <c r="LAE24" s="2"/>
      <c r="LAF24" s="2"/>
      <c r="LAG24" s="2"/>
      <c r="LAH24" s="2"/>
      <c r="LAI24" s="2"/>
      <c r="LAJ24" s="2"/>
      <c r="LAK24" s="2"/>
      <c r="LAL24" s="2"/>
      <c r="LAM24" s="2"/>
      <c r="LAN24" s="2"/>
      <c r="LAO24" s="2"/>
      <c r="LAP24" s="2"/>
      <c r="LAQ24" s="2"/>
      <c r="LAR24" s="2"/>
      <c r="LAS24" s="2"/>
      <c r="LAT24" s="2"/>
      <c r="LAU24" s="2"/>
      <c r="LAV24" s="2"/>
      <c r="LAW24" s="2"/>
      <c r="LAX24" s="2"/>
      <c r="LAY24" s="2"/>
      <c r="LAZ24" s="2"/>
      <c r="LBA24" s="2"/>
      <c r="LBB24" s="2"/>
      <c r="LBC24" s="2"/>
      <c r="LBD24" s="2"/>
      <c r="LBE24" s="2"/>
      <c r="LBF24" s="2"/>
      <c r="LBG24" s="2"/>
      <c r="LBH24" s="2"/>
      <c r="LBI24" s="2"/>
      <c r="LBJ24" s="2"/>
      <c r="LBK24" s="2"/>
      <c r="LBL24" s="2"/>
      <c r="LBM24" s="2"/>
      <c r="LBN24" s="2"/>
      <c r="LBO24" s="2"/>
      <c r="LBP24" s="2"/>
      <c r="LBQ24" s="2"/>
      <c r="LBR24" s="2"/>
      <c r="LBS24" s="2"/>
      <c r="LBT24" s="2"/>
      <c r="LBU24" s="2"/>
      <c r="LBV24" s="2"/>
      <c r="LBW24" s="2"/>
      <c r="LBX24" s="2"/>
      <c r="LBY24" s="2"/>
      <c r="LBZ24" s="2"/>
      <c r="LCA24" s="2"/>
      <c r="LCB24" s="2"/>
      <c r="LCC24" s="2"/>
      <c r="LCD24" s="2"/>
      <c r="LCE24" s="2"/>
      <c r="LCF24" s="2"/>
      <c r="LCG24" s="2"/>
      <c r="LCH24" s="2"/>
      <c r="LCI24" s="2"/>
      <c r="LCJ24" s="2"/>
      <c r="LCK24" s="2"/>
      <c r="LCL24" s="2"/>
      <c r="LCM24" s="2"/>
      <c r="LCN24" s="2"/>
      <c r="LCO24" s="2"/>
      <c r="LCP24" s="2"/>
      <c r="LCQ24" s="2"/>
      <c r="LCR24" s="2"/>
      <c r="LCS24" s="2"/>
      <c r="LCT24" s="2"/>
      <c r="LCU24" s="2"/>
      <c r="LCV24" s="2"/>
      <c r="LCW24" s="2"/>
      <c r="LCX24" s="2"/>
      <c r="LCY24" s="2"/>
      <c r="LCZ24" s="2"/>
      <c r="LDA24" s="2"/>
      <c r="LDB24" s="2"/>
      <c r="LDC24" s="2"/>
      <c r="LDD24" s="2"/>
      <c r="LDE24" s="2"/>
      <c r="LDF24" s="2"/>
      <c r="LDG24" s="2"/>
      <c r="LDH24" s="2"/>
      <c r="LDI24" s="2"/>
      <c r="LDJ24" s="2"/>
      <c r="LDK24" s="2"/>
      <c r="LDL24" s="2"/>
      <c r="LDM24" s="2"/>
      <c r="LDN24" s="2"/>
      <c r="LDO24" s="2"/>
      <c r="LDP24" s="2"/>
      <c r="LDQ24" s="2"/>
      <c r="LDR24" s="2"/>
      <c r="LDS24" s="2"/>
      <c r="LDT24" s="2"/>
      <c r="LDU24" s="2"/>
      <c r="LDV24" s="2"/>
      <c r="LDW24" s="2"/>
      <c r="LDX24" s="2"/>
      <c r="LDY24" s="2"/>
      <c r="LDZ24" s="2"/>
      <c r="LEA24" s="2"/>
      <c r="LEB24" s="2"/>
      <c r="LEC24" s="2"/>
      <c r="LED24" s="2"/>
      <c r="LEE24" s="2"/>
      <c r="LEF24" s="2"/>
      <c r="LEG24" s="2"/>
      <c r="LEH24" s="2"/>
      <c r="LEI24" s="2"/>
      <c r="LEJ24" s="2"/>
      <c r="LEK24" s="2"/>
      <c r="LEL24" s="2"/>
      <c r="LEM24" s="2"/>
      <c r="LEN24" s="2"/>
      <c r="LEO24" s="2"/>
      <c r="LEP24" s="2"/>
      <c r="LEQ24" s="2"/>
      <c r="LER24" s="2"/>
      <c r="LES24" s="2"/>
      <c r="LET24" s="2"/>
      <c r="LEU24" s="2"/>
      <c r="LEV24" s="2"/>
      <c r="LEW24" s="2"/>
      <c r="LEX24" s="2"/>
      <c r="LEY24" s="2"/>
      <c r="LEZ24" s="2"/>
      <c r="LFA24" s="2"/>
      <c r="LFB24" s="2"/>
      <c r="LFC24" s="2"/>
      <c r="LFD24" s="2"/>
      <c r="LFE24" s="2"/>
      <c r="LFF24" s="2"/>
      <c r="LFG24" s="2"/>
      <c r="LFH24" s="2"/>
      <c r="LFI24" s="2"/>
      <c r="LFJ24" s="2"/>
      <c r="LFK24" s="2"/>
      <c r="LFL24" s="2"/>
      <c r="LFM24" s="2"/>
      <c r="LFN24" s="2"/>
      <c r="LFO24" s="2"/>
      <c r="LFP24" s="2"/>
      <c r="LFQ24" s="2"/>
      <c r="LFR24" s="2"/>
      <c r="LFS24" s="2"/>
      <c r="LFT24" s="2"/>
      <c r="LFU24" s="2"/>
      <c r="LFV24" s="2"/>
      <c r="LFW24" s="2"/>
      <c r="LFX24" s="2"/>
      <c r="LFY24" s="2"/>
      <c r="LFZ24" s="2"/>
      <c r="LGA24" s="2"/>
      <c r="LGB24" s="2"/>
      <c r="LGC24" s="2"/>
      <c r="LGD24" s="2"/>
      <c r="LGE24" s="2"/>
      <c r="LGF24" s="2"/>
      <c r="LGG24" s="2"/>
      <c r="LGH24" s="2"/>
      <c r="LGI24" s="2"/>
      <c r="LGJ24" s="2"/>
      <c r="LGK24" s="2"/>
      <c r="LGL24" s="2"/>
      <c r="LGM24" s="2"/>
      <c r="LGN24" s="2"/>
      <c r="LGO24" s="2"/>
      <c r="LGP24" s="2"/>
      <c r="LGQ24" s="2"/>
      <c r="LGR24" s="2"/>
      <c r="LGS24" s="2"/>
      <c r="LGT24" s="2"/>
      <c r="LGU24" s="2"/>
      <c r="LGV24" s="2"/>
      <c r="LGW24" s="2"/>
      <c r="LGX24" s="2"/>
      <c r="LGY24" s="2"/>
      <c r="LGZ24" s="2"/>
      <c r="LHA24" s="2"/>
      <c r="LHB24" s="2"/>
      <c r="LHC24" s="2"/>
      <c r="LHD24" s="2"/>
      <c r="LHE24" s="2"/>
      <c r="LHF24" s="2"/>
      <c r="LHG24" s="2"/>
      <c r="LHH24" s="2"/>
      <c r="LHI24" s="2"/>
      <c r="LHJ24" s="2"/>
      <c r="LHK24" s="2"/>
      <c r="LHL24" s="2"/>
      <c r="LHM24" s="2"/>
      <c r="LHN24" s="2"/>
      <c r="LHO24" s="2"/>
      <c r="LHP24" s="2"/>
      <c r="LHQ24" s="2"/>
      <c r="LHR24" s="2"/>
      <c r="LHS24" s="2"/>
      <c r="LHT24" s="2"/>
      <c r="LHU24" s="2"/>
      <c r="LHV24" s="2"/>
      <c r="LHW24" s="2"/>
      <c r="LHX24" s="2"/>
      <c r="LHY24" s="2"/>
      <c r="LHZ24" s="2"/>
      <c r="LIA24" s="2"/>
      <c r="LIB24" s="2"/>
      <c r="LIC24" s="2"/>
      <c r="LID24" s="2"/>
      <c r="LIE24" s="2"/>
      <c r="LIF24" s="2"/>
      <c r="LIG24" s="2"/>
      <c r="LIH24" s="2"/>
      <c r="LII24" s="2"/>
      <c r="LIJ24" s="2"/>
      <c r="LIK24" s="2"/>
      <c r="LIL24" s="2"/>
      <c r="LIM24" s="2"/>
      <c r="LIN24" s="2"/>
      <c r="LIO24" s="2"/>
      <c r="LIP24" s="2"/>
      <c r="LIQ24" s="2"/>
      <c r="LIR24" s="2"/>
      <c r="LIS24" s="2"/>
      <c r="LIT24" s="2"/>
      <c r="LIU24" s="2"/>
      <c r="LIV24" s="2"/>
      <c r="LIW24" s="2"/>
      <c r="LIX24" s="2"/>
      <c r="LIY24" s="2"/>
      <c r="LIZ24" s="2"/>
      <c r="LJA24" s="2"/>
      <c r="LJB24" s="2"/>
      <c r="LJC24" s="2"/>
      <c r="LJD24" s="2"/>
      <c r="LJE24" s="2"/>
      <c r="LJF24" s="2"/>
      <c r="LJG24" s="2"/>
      <c r="LJH24" s="2"/>
      <c r="LJI24" s="2"/>
      <c r="LJJ24" s="2"/>
      <c r="LJK24" s="2"/>
      <c r="LJL24" s="2"/>
      <c r="LJM24" s="2"/>
      <c r="LJN24" s="2"/>
      <c r="LJO24" s="2"/>
      <c r="LJP24" s="2"/>
      <c r="LJQ24" s="2"/>
      <c r="LJR24" s="2"/>
      <c r="LJS24" s="2"/>
      <c r="LJT24" s="2"/>
      <c r="LJU24" s="2"/>
      <c r="LJV24" s="2"/>
      <c r="LJW24" s="2"/>
      <c r="LJX24" s="2"/>
      <c r="LJY24" s="2"/>
      <c r="LJZ24" s="2"/>
      <c r="LKA24" s="2"/>
      <c r="LKB24" s="2"/>
      <c r="LKC24" s="2"/>
      <c r="LKD24" s="2"/>
      <c r="LKE24" s="2"/>
      <c r="LKF24" s="2"/>
      <c r="LKG24" s="2"/>
      <c r="LKH24" s="2"/>
      <c r="LKI24" s="2"/>
      <c r="LKJ24" s="2"/>
      <c r="LKK24" s="2"/>
      <c r="LKL24" s="2"/>
      <c r="LKM24" s="2"/>
      <c r="LKN24" s="2"/>
      <c r="LKO24" s="2"/>
      <c r="LKP24" s="2"/>
      <c r="LKQ24" s="2"/>
      <c r="LKR24" s="2"/>
      <c r="LKS24" s="2"/>
      <c r="LKT24" s="2"/>
      <c r="LKU24" s="2"/>
      <c r="LKV24" s="2"/>
      <c r="LKW24" s="2"/>
      <c r="LKX24" s="2"/>
      <c r="LKY24" s="2"/>
      <c r="LKZ24" s="2"/>
      <c r="LLA24" s="2"/>
      <c r="LLB24" s="2"/>
      <c r="LLC24" s="2"/>
      <c r="LLD24" s="2"/>
      <c r="LLE24" s="2"/>
      <c r="LLF24" s="2"/>
      <c r="LLG24" s="2"/>
      <c r="LLH24" s="2"/>
      <c r="LLI24" s="2"/>
      <c r="LLJ24" s="2"/>
      <c r="LLK24" s="2"/>
      <c r="LLL24" s="2"/>
      <c r="LLM24" s="2"/>
      <c r="LLN24" s="2"/>
      <c r="LLO24" s="2"/>
      <c r="LLP24" s="2"/>
      <c r="LLQ24" s="2"/>
      <c r="LLR24" s="2"/>
      <c r="LLS24" s="2"/>
      <c r="LLT24" s="2"/>
      <c r="LLU24" s="2"/>
      <c r="LLV24" s="2"/>
      <c r="LLW24" s="2"/>
      <c r="LLX24" s="2"/>
      <c r="LLY24" s="2"/>
      <c r="LLZ24" s="2"/>
      <c r="LMA24" s="2"/>
      <c r="LMB24" s="2"/>
      <c r="LMC24" s="2"/>
      <c r="LMD24" s="2"/>
      <c r="LME24" s="2"/>
      <c r="LMF24" s="2"/>
      <c r="LMG24" s="2"/>
      <c r="LMH24" s="2"/>
      <c r="LMI24" s="2"/>
      <c r="LMJ24" s="2"/>
      <c r="LMK24" s="2"/>
      <c r="LML24" s="2"/>
      <c r="LMM24" s="2"/>
      <c r="LMN24" s="2"/>
      <c r="LMO24" s="2"/>
      <c r="LMP24" s="2"/>
      <c r="LMQ24" s="2"/>
      <c r="LMR24" s="2"/>
      <c r="LMS24" s="2"/>
      <c r="LMT24" s="2"/>
      <c r="LMU24" s="2"/>
      <c r="LMV24" s="2"/>
      <c r="LMW24" s="2"/>
      <c r="LMX24" s="2"/>
      <c r="LMY24" s="2"/>
      <c r="LMZ24" s="2"/>
      <c r="LNA24" s="2"/>
      <c r="LNB24" s="2"/>
      <c r="LNC24" s="2"/>
      <c r="LND24" s="2"/>
      <c r="LNE24" s="2"/>
      <c r="LNF24" s="2"/>
      <c r="LNG24" s="2"/>
      <c r="LNH24" s="2"/>
      <c r="LNI24" s="2"/>
      <c r="LNJ24" s="2"/>
      <c r="LNK24" s="2"/>
      <c r="LNL24" s="2"/>
      <c r="LNM24" s="2"/>
      <c r="LNN24" s="2"/>
      <c r="LNO24" s="2"/>
      <c r="LNP24" s="2"/>
      <c r="LNQ24" s="2"/>
      <c r="LNR24" s="2"/>
      <c r="LNS24" s="2"/>
      <c r="LNT24" s="2"/>
      <c r="LNU24" s="2"/>
      <c r="LNV24" s="2"/>
      <c r="LNW24" s="2"/>
      <c r="LNX24" s="2"/>
      <c r="LNY24" s="2"/>
      <c r="LNZ24" s="2"/>
      <c r="LOA24" s="2"/>
      <c r="LOB24" s="2"/>
      <c r="LOC24" s="2"/>
      <c r="LOD24" s="2"/>
      <c r="LOE24" s="2"/>
      <c r="LOF24" s="2"/>
      <c r="LOG24" s="2"/>
      <c r="LOH24" s="2"/>
      <c r="LOI24" s="2"/>
      <c r="LOJ24" s="2"/>
      <c r="LOK24" s="2"/>
      <c r="LOL24" s="2"/>
      <c r="LOM24" s="2"/>
      <c r="LON24" s="2"/>
      <c r="LOO24" s="2"/>
      <c r="LOP24" s="2"/>
      <c r="LOQ24" s="2"/>
      <c r="LOR24" s="2"/>
      <c r="LOS24" s="2"/>
      <c r="LOT24" s="2"/>
      <c r="LOU24" s="2"/>
      <c r="LOV24" s="2"/>
      <c r="LOW24" s="2"/>
      <c r="LOX24" s="2"/>
      <c r="LOY24" s="2"/>
      <c r="LOZ24" s="2"/>
      <c r="LPA24" s="2"/>
      <c r="LPB24" s="2"/>
      <c r="LPC24" s="2"/>
      <c r="LPD24" s="2"/>
      <c r="LPE24" s="2"/>
      <c r="LPF24" s="2"/>
      <c r="LPG24" s="2"/>
      <c r="LPH24" s="2"/>
      <c r="LPI24" s="2"/>
      <c r="LPJ24" s="2"/>
      <c r="LPK24" s="2"/>
      <c r="LPL24" s="2"/>
      <c r="LPM24" s="2"/>
      <c r="LPN24" s="2"/>
      <c r="LPO24" s="2"/>
      <c r="LPP24" s="2"/>
      <c r="LPQ24" s="2"/>
      <c r="LPR24" s="2"/>
      <c r="LPS24" s="2"/>
      <c r="LPT24" s="2"/>
      <c r="LPU24" s="2"/>
      <c r="LPV24" s="2"/>
      <c r="LPW24" s="2"/>
      <c r="LPX24" s="2"/>
      <c r="LPY24" s="2"/>
      <c r="LPZ24" s="2"/>
      <c r="LQA24" s="2"/>
      <c r="LQB24" s="2"/>
      <c r="LQC24" s="2"/>
      <c r="LQD24" s="2"/>
      <c r="LQE24" s="2"/>
      <c r="LQF24" s="2"/>
      <c r="LQG24" s="2"/>
      <c r="LQH24" s="2"/>
      <c r="LQI24" s="2"/>
      <c r="LQJ24" s="2"/>
      <c r="LQK24" s="2"/>
      <c r="LQL24" s="2"/>
      <c r="LQM24" s="2"/>
      <c r="LQN24" s="2"/>
      <c r="LQO24" s="2"/>
      <c r="LQP24" s="2"/>
      <c r="LQQ24" s="2"/>
      <c r="LQR24" s="2"/>
      <c r="LQS24" s="2"/>
      <c r="LQT24" s="2"/>
      <c r="LQU24" s="2"/>
      <c r="LQV24" s="2"/>
      <c r="LQW24" s="2"/>
      <c r="LQX24" s="2"/>
      <c r="LQY24" s="2"/>
      <c r="LQZ24" s="2"/>
      <c r="LRA24" s="2"/>
      <c r="LRB24" s="2"/>
      <c r="LRC24" s="2"/>
      <c r="LRD24" s="2"/>
      <c r="LRE24" s="2"/>
      <c r="LRF24" s="2"/>
      <c r="LRG24" s="2"/>
      <c r="LRH24" s="2"/>
      <c r="LRI24" s="2"/>
      <c r="LRJ24" s="2"/>
      <c r="LRK24" s="2"/>
      <c r="LRL24" s="2"/>
      <c r="LRM24" s="2"/>
      <c r="LRN24" s="2"/>
      <c r="LRO24" s="2"/>
      <c r="LRP24" s="2"/>
      <c r="LRQ24" s="2"/>
      <c r="LRR24" s="2"/>
      <c r="LRS24" s="2"/>
      <c r="LRT24" s="2"/>
      <c r="LRU24" s="2"/>
      <c r="LRV24" s="2"/>
      <c r="LRW24" s="2"/>
      <c r="LRX24" s="2"/>
      <c r="LRY24" s="2"/>
      <c r="LRZ24" s="2"/>
      <c r="LSA24" s="2"/>
      <c r="LSB24" s="2"/>
      <c r="LSC24" s="2"/>
      <c r="LSD24" s="2"/>
      <c r="LSE24" s="2"/>
      <c r="LSF24" s="2"/>
      <c r="LSG24" s="2"/>
      <c r="LSH24" s="2"/>
      <c r="LSI24" s="2"/>
      <c r="LSJ24" s="2"/>
      <c r="LSK24" s="2"/>
      <c r="LSL24" s="2"/>
      <c r="LSM24" s="2"/>
      <c r="LSN24" s="2"/>
      <c r="LSO24" s="2"/>
      <c r="LSP24" s="2"/>
      <c r="LSQ24" s="2"/>
      <c r="LSR24" s="2"/>
      <c r="LSS24" s="2"/>
      <c r="LST24" s="2"/>
      <c r="LSU24" s="2"/>
      <c r="LSV24" s="2"/>
      <c r="LSW24" s="2"/>
      <c r="LSX24" s="2"/>
      <c r="LSY24" s="2"/>
      <c r="LSZ24" s="2"/>
      <c r="LTA24" s="2"/>
      <c r="LTB24" s="2"/>
      <c r="LTC24" s="2"/>
      <c r="LTD24" s="2"/>
      <c r="LTE24" s="2"/>
      <c r="LTF24" s="2"/>
      <c r="LTG24" s="2"/>
      <c r="LTH24" s="2"/>
      <c r="LTI24" s="2"/>
      <c r="LTJ24" s="2"/>
      <c r="LTK24" s="2"/>
      <c r="LTL24" s="2"/>
      <c r="LTM24" s="2"/>
      <c r="LTN24" s="2"/>
      <c r="LTO24" s="2"/>
      <c r="LTP24" s="2"/>
      <c r="LTQ24" s="2"/>
      <c r="LTR24" s="2"/>
      <c r="LTS24" s="2"/>
      <c r="LTT24" s="2"/>
      <c r="LTU24" s="2"/>
      <c r="LTV24" s="2"/>
      <c r="LTW24" s="2"/>
      <c r="LTX24" s="2"/>
      <c r="LTY24" s="2"/>
      <c r="LTZ24" s="2"/>
      <c r="LUA24" s="2"/>
      <c r="LUB24" s="2"/>
      <c r="LUC24" s="2"/>
      <c r="LUD24" s="2"/>
      <c r="LUE24" s="2"/>
      <c r="LUF24" s="2"/>
      <c r="LUG24" s="2"/>
      <c r="LUH24" s="2"/>
      <c r="LUI24" s="2"/>
      <c r="LUJ24" s="2"/>
      <c r="LUK24" s="2"/>
      <c r="LUL24" s="2"/>
      <c r="LUM24" s="2"/>
      <c r="LUN24" s="2"/>
      <c r="LUO24" s="2"/>
      <c r="LUP24" s="2"/>
      <c r="LUQ24" s="2"/>
      <c r="LUR24" s="2"/>
      <c r="LUS24" s="2"/>
      <c r="LUT24" s="2"/>
      <c r="LUU24" s="2"/>
      <c r="LUV24" s="2"/>
      <c r="LUW24" s="2"/>
      <c r="LUX24" s="2"/>
      <c r="LUY24" s="2"/>
      <c r="LUZ24" s="2"/>
      <c r="LVA24" s="2"/>
      <c r="LVB24" s="2"/>
      <c r="LVC24" s="2"/>
      <c r="LVD24" s="2"/>
      <c r="LVE24" s="2"/>
      <c r="LVF24" s="2"/>
      <c r="LVG24" s="2"/>
      <c r="LVH24" s="2"/>
      <c r="LVI24" s="2"/>
      <c r="LVJ24" s="2"/>
      <c r="LVK24" s="2"/>
      <c r="LVL24" s="2"/>
      <c r="LVM24" s="2"/>
      <c r="LVN24" s="2"/>
      <c r="LVO24" s="2"/>
      <c r="LVP24" s="2"/>
      <c r="LVQ24" s="2"/>
      <c r="LVR24" s="2"/>
      <c r="LVS24" s="2"/>
      <c r="LVT24" s="2"/>
      <c r="LVU24" s="2"/>
      <c r="LVV24" s="2"/>
      <c r="LVW24" s="2"/>
      <c r="LVX24" s="2"/>
      <c r="LVY24" s="2"/>
      <c r="LVZ24" s="2"/>
      <c r="LWA24" s="2"/>
      <c r="LWB24" s="2"/>
      <c r="LWC24" s="2"/>
      <c r="LWD24" s="2"/>
      <c r="LWE24" s="2"/>
      <c r="LWF24" s="2"/>
      <c r="LWG24" s="2"/>
      <c r="LWH24" s="2"/>
      <c r="LWI24" s="2"/>
      <c r="LWJ24" s="2"/>
      <c r="LWK24" s="2"/>
      <c r="LWL24" s="2"/>
      <c r="LWM24" s="2"/>
      <c r="LWN24" s="2"/>
      <c r="LWO24" s="2"/>
      <c r="LWP24" s="2"/>
      <c r="LWQ24" s="2"/>
      <c r="LWR24" s="2"/>
      <c r="LWS24" s="2"/>
      <c r="LWT24" s="2"/>
      <c r="LWU24" s="2"/>
      <c r="LWV24" s="2"/>
      <c r="LWW24" s="2"/>
      <c r="LWX24" s="2"/>
      <c r="LWY24" s="2"/>
      <c r="LWZ24" s="2"/>
      <c r="LXA24" s="2"/>
      <c r="LXB24" s="2"/>
      <c r="LXC24" s="2"/>
      <c r="LXD24" s="2"/>
      <c r="LXE24" s="2"/>
      <c r="LXF24" s="2"/>
      <c r="LXG24" s="2"/>
      <c r="LXH24" s="2"/>
      <c r="LXI24" s="2"/>
      <c r="LXJ24" s="2"/>
      <c r="LXK24" s="2"/>
      <c r="LXL24" s="2"/>
      <c r="LXM24" s="2"/>
      <c r="LXN24" s="2"/>
      <c r="LXO24" s="2"/>
      <c r="LXP24" s="2"/>
      <c r="LXQ24" s="2"/>
      <c r="LXR24" s="2"/>
      <c r="LXS24" s="2"/>
      <c r="LXT24" s="2"/>
      <c r="LXU24" s="2"/>
      <c r="LXV24" s="2"/>
      <c r="LXW24" s="2"/>
      <c r="LXX24" s="2"/>
      <c r="LXY24" s="2"/>
      <c r="LXZ24" s="2"/>
      <c r="LYA24" s="2"/>
      <c r="LYB24" s="2"/>
      <c r="LYC24" s="2"/>
      <c r="LYD24" s="2"/>
      <c r="LYE24" s="2"/>
      <c r="LYF24" s="2"/>
      <c r="LYG24" s="2"/>
      <c r="LYH24" s="2"/>
      <c r="LYI24" s="2"/>
      <c r="LYJ24" s="2"/>
      <c r="LYK24" s="2"/>
      <c r="LYL24" s="2"/>
      <c r="LYM24" s="2"/>
      <c r="LYN24" s="2"/>
      <c r="LYO24" s="2"/>
      <c r="LYP24" s="2"/>
      <c r="LYQ24" s="2"/>
      <c r="LYR24" s="2"/>
      <c r="LYS24" s="2"/>
      <c r="LYT24" s="2"/>
      <c r="LYU24" s="2"/>
      <c r="LYV24" s="2"/>
      <c r="LYW24" s="2"/>
      <c r="LYX24" s="2"/>
      <c r="LYY24" s="2"/>
      <c r="LYZ24" s="2"/>
      <c r="LZA24" s="2"/>
      <c r="LZB24" s="2"/>
      <c r="LZC24" s="2"/>
      <c r="LZD24" s="2"/>
      <c r="LZE24" s="2"/>
      <c r="LZF24" s="2"/>
      <c r="LZG24" s="2"/>
      <c r="LZH24" s="2"/>
      <c r="LZI24" s="2"/>
      <c r="LZJ24" s="2"/>
      <c r="LZK24" s="2"/>
      <c r="LZL24" s="2"/>
      <c r="LZM24" s="2"/>
      <c r="LZN24" s="2"/>
      <c r="LZO24" s="2"/>
      <c r="LZP24" s="2"/>
      <c r="LZQ24" s="2"/>
      <c r="LZR24" s="2"/>
      <c r="LZS24" s="2"/>
      <c r="LZT24" s="2"/>
      <c r="LZU24" s="2"/>
      <c r="LZV24" s="2"/>
      <c r="LZW24" s="2"/>
      <c r="LZX24" s="2"/>
      <c r="LZY24" s="2"/>
      <c r="LZZ24" s="2"/>
      <c r="MAA24" s="2"/>
      <c r="MAB24" s="2"/>
      <c r="MAC24" s="2"/>
      <c r="MAD24" s="2"/>
      <c r="MAE24" s="2"/>
      <c r="MAF24" s="2"/>
      <c r="MAG24" s="2"/>
      <c r="MAH24" s="2"/>
      <c r="MAI24" s="2"/>
      <c r="MAJ24" s="2"/>
      <c r="MAK24" s="2"/>
      <c r="MAL24" s="2"/>
      <c r="MAM24" s="2"/>
      <c r="MAN24" s="2"/>
      <c r="MAO24" s="2"/>
      <c r="MAP24" s="2"/>
      <c r="MAQ24" s="2"/>
      <c r="MAR24" s="2"/>
      <c r="MAS24" s="2"/>
      <c r="MAT24" s="2"/>
      <c r="MAU24" s="2"/>
      <c r="MAV24" s="2"/>
      <c r="MAW24" s="2"/>
      <c r="MAX24" s="2"/>
      <c r="MAY24" s="2"/>
      <c r="MAZ24" s="2"/>
      <c r="MBA24" s="2"/>
      <c r="MBB24" s="2"/>
      <c r="MBC24" s="2"/>
      <c r="MBD24" s="2"/>
      <c r="MBE24" s="2"/>
      <c r="MBF24" s="2"/>
      <c r="MBG24" s="2"/>
      <c r="MBH24" s="2"/>
      <c r="MBI24" s="2"/>
      <c r="MBJ24" s="2"/>
      <c r="MBK24" s="2"/>
      <c r="MBL24" s="2"/>
      <c r="MBM24" s="2"/>
      <c r="MBN24" s="2"/>
      <c r="MBO24" s="2"/>
      <c r="MBP24" s="2"/>
      <c r="MBQ24" s="2"/>
      <c r="MBR24" s="2"/>
      <c r="MBS24" s="2"/>
      <c r="MBT24" s="2"/>
      <c r="MBU24" s="2"/>
      <c r="MBV24" s="2"/>
      <c r="MBW24" s="2"/>
      <c r="MBX24" s="2"/>
      <c r="MBY24" s="2"/>
      <c r="MBZ24" s="2"/>
      <c r="MCA24" s="2"/>
      <c r="MCB24" s="2"/>
      <c r="MCC24" s="2"/>
      <c r="MCD24" s="2"/>
      <c r="MCE24" s="2"/>
      <c r="MCF24" s="2"/>
      <c r="MCG24" s="2"/>
      <c r="MCH24" s="2"/>
      <c r="MCI24" s="2"/>
      <c r="MCJ24" s="2"/>
      <c r="MCK24" s="2"/>
      <c r="MCL24" s="2"/>
      <c r="MCM24" s="2"/>
      <c r="MCN24" s="2"/>
      <c r="MCO24" s="2"/>
      <c r="MCP24" s="2"/>
      <c r="MCQ24" s="2"/>
      <c r="MCR24" s="2"/>
      <c r="MCS24" s="2"/>
      <c r="MCT24" s="2"/>
      <c r="MCU24" s="2"/>
      <c r="MCV24" s="2"/>
      <c r="MCW24" s="2"/>
      <c r="MCX24" s="2"/>
      <c r="MCY24" s="2"/>
      <c r="MCZ24" s="2"/>
      <c r="MDA24" s="2"/>
      <c r="MDB24" s="2"/>
      <c r="MDC24" s="2"/>
      <c r="MDD24" s="2"/>
      <c r="MDE24" s="2"/>
      <c r="MDF24" s="2"/>
      <c r="MDG24" s="2"/>
      <c r="MDH24" s="2"/>
      <c r="MDI24" s="2"/>
      <c r="MDJ24" s="2"/>
      <c r="MDK24" s="2"/>
      <c r="MDL24" s="2"/>
      <c r="MDM24" s="2"/>
      <c r="MDN24" s="2"/>
      <c r="MDO24" s="2"/>
      <c r="MDP24" s="2"/>
      <c r="MDQ24" s="2"/>
      <c r="MDR24" s="2"/>
      <c r="MDS24" s="2"/>
      <c r="MDT24" s="2"/>
      <c r="MDU24" s="2"/>
      <c r="MDV24" s="2"/>
      <c r="MDW24" s="2"/>
      <c r="MDX24" s="2"/>
      <c r="MDY24" s="2"/>
      <c r="MDZ24" s="2"/>
      <c r="MEA24" s="2"/>
      <c r="MEB24" s="2"/>
      <c r="MEC24" s="2"/>
      <c r="MED24" s="2"/>
      <c r="MEE24" s="2"/>
      <c r="MEF24" s="2"/>
      <c r="MEG24" s="2"/>
      <c r="MEH24" s="2"/>
      <c r="MEI24" s="2"/>
      <c r="MEJ24" s="2"/>
      <c r="MEK24" s="2"/>
      <c r="MEL24" s="2"/>
      <c r="MEM24" s="2"/>
      <c r="MEN24" s="2"/>
      <c r="MEO24" s="2"/>
      <c r="MEP24" s="2"/>
      <c r="MEQ24" s="2"/>
      <c r="MER24" s="2"/>
      <c r="MES24" s="2"/>
      <c r="MET24" s="2"/>
      <c r="MEU24" s="2"/>
      <c r="MEV24" s="2"/>
      <c r="MEW24" s="2"/>
      <c r="MEX24" s="2"/>
      <c r="MEY24" s="2"/>
      <c r="MEZ24" s="2"/>
      <c r="MFA24" s="2"/>
      <c r="MFB24" s="2"/>
      <c r="MFC24" s="2"/>
      <c r="MFD24" s="2"/>
      <c r="MFE24" s="2"/>
      <c r="MFF24" s="2"/>
      <c r="MFG24" s="2"/>
      <c r="MFH24" s="2"/>
      <c r="MFI24" s="2"/>
      <c r="MFJ24" s="2"/>
      <c r="MFK24" s="2"/>
      <c r="MFL24" s="2"/>
      <c r="MFM24" s="2"/>
      <c r="MFN24" s="2"/>
      <c r="MFO24" s="2"/>
      <c r="MFP24" s="2"/>
      <c r="MFQ24" s="2"/>
      <c r="MFR24" s="2"/>
      <c r="MFS24" s="2"/>
      <c r="MFT24" s="2"/>
      <c r="MFU24" s="2"/>
      <c r="MFV24" s="2"/>
      <c r="MFW24" s="2"/>
      <c r="MFX24" s="2"/>
      <c r="MFY24" s="2"/>
      <c r="MFZ24" s="2"/>
      <c r="MGA24" s="2"/>
      <c r="MGB24" s="2"/>
      <c r="MGC24" s="2"/>
      <c r="MGD24" s="2"/>
      <c r="MGE24" s="2"/>
      <c r="MGF24" s="2"/>
      <c r="MGG24" s="2"/>
      <c r="MGH24" s="2"/>
      <c r="MGI24" s="2"/>
      <c r="MGJ24" s="2"/>
      <c r="MGK24" s="2"/>
      <c r="MGL24" s="2"/>
      <c r="MGM24" s="2"/>
      <c r="MGN24" s="2"/>
      <c r="MGO24" s="2"/>
      <c r="MGP24" s="2"/>
      <c r="MGQ24" s="2"/>
      <c r="MGR24" s="2"/>
      <c r="MGS24" s="2"/>
      <c r="MGT24" s="2"/>
      <c r="MGU24" s="2"/>
      <c r="MGV24" s="2"/>
      <c r="MGW24" s="2"/>
      <c r="MGX24" s="2"/>
      <c r="MGY24" s="2"/>
      <c r="MGZ24" s="2"/>
      <c r="MHA24" s="2"/>
      <c r="MHB24" s="2"/>
      <c r="MHC24" s="2"/>
      <c r="MHD24" s="2"/>
      <c r="MHE24" s="2"/>
      <c r="MHF24" s="2"/>
      <c r="MHG24" s="2"/>
      <c r="MHH24" s="2"/>
      <c r="MHI24" s="2"/>
      <c r="MHJ24" s="2"/>
      <c r="MHK24" s="2"/>
      <c r="MHL24" s="2"/>
      <c r="MHM24" s="2"/>
      <c r="MHN24" s="2"/>
      <c r="MHO24" s="2"/>
      <c r="MHP24" s="2"/>
      <c r="MHQ24" s="2"/>
      <c r="MHR24" s="2"/>
      <c r="MHS24" s="2"/>
      <c r="MHT24" s="2"/>
      <c r="MHU24" s="2"/>
      <c r="MHV24" s="2"/>
      <c r="MHW24" s="2"/>
      <c r="MHX24" s="2"/>
      <c r="MHY24" s="2"/>
      <c r="MHZ24" s="2"/>
      <c r="MIA24" s="2"/>
      <c r="MIB24" s="2"/>
      <c r="MIC24" s="2"/>
      <c r="MID24" s="2"/>
      <c r="MIE24" s="2"/>
      <c r="MIF24" s="2"/>
      <c r="MIG24" s="2"/>
      <c r="MIH24" s="2"/>
      <c r="MII24" s="2"/>
      <c r="MIJ24" s="2"/>
      <c r="MIK24" s="2"/>
      <c r="MIL24" s="2"/>
      <c r="MIM24" s="2"/>
      <c r="MIN24" s="2"/>
      <c r="MIO24" s="2"/>
      <c r="MIP24" s="2"/>
      <c r="MIQ24" s="2"/>
      <c r="MIR24" s="2"/>
      <c r="MIS24" s="2"/>
      <c r="MIT24" s="2"/>
      <c r="MIU24" s="2"/>
      <c r="MIV24" s="2"/>
      <c r="MIW24" s="2"/>
      <c r="MIX24" s="2"/>
      <c r="MIY24" s="2"/>
      <c r="MIZ24" s="2"/>
      <c r="MJA24" s="2"/>
      <c r="MJB24" s="2"/>
      <c r="MJC24" s="2"/>
      <c r="MJD24" s="2"/>
      <c r="MJE24" s="2"/>
      <c r="MJF24" s="2"/>
      <c r="MJG24" s="2"/>
      <c r="MJH24" s="2"/>
      <c r="MJI24" s="2"/>
      <c r="MJJ24" s="2"/>
      <c r="MJK24" s="2"/>
      <c r="MJL24" s="2"/>
      <c r="MJM24" s="2"/>
      <c r="MJN24" s="2"/>
      <c r="MJO24" s="2"/>
      <c r="MJP24" s="2"/>
      <c r="MJQ24" s="2"/>
      <c r="MJR24" s="2"/>
      <c r="MJS24" s="2"/>
      <c r="MJT24" s="2"/>
      <c r="MJU24" s="2"/>
      <c r="MJV24" s="2"/>
      <c r="MJW24" s="2"/>
      <c r="MJX24" s="2"/>
      <c r="MJY24" s="2"/>
      <c r="MJZ24" s="2"/>
      <c r="MKA24" s="2"/>
      <c r="MKB24" s="2"/>
      <c r="MKC24" s="2"/>
      <c r="MKD24" s="2"/>
      <c r="MKE24" s="2"/>
      <c r="MKF24" s="2"/>
      <c r="MKG24" s="2"/>
      <c r="MKH24" s="2"/>
      <c r="MKI24" s="2"/>
      <c r="MKJ24" s="2"/>
      <c r="MKK24" s="2"/>
      <c r="MKL24" s="2"/>
      <c r="MKM24" s="2"/>
      <c r="MKN24" s="2"/>
      <c r="MKO24" s="2"/>
      <c r="MKP24" s="2"/>
      <c r="MKQ24" s="2"/>
      <c r="MKR24" s="2"/>
      <c r="MKS24" s="2"/>
      <c r="MKT24" s="2"/>
      <c r="MKU24" s="2"/>
      <c r="MKV24" s="2"/>
      <c r="MKW24" s="2"/>
      <c r="MKX24" s="2"/>
      <c r="MKY24" s="2"/>
      <c r="MKZ24" s="2"/>
      <c r="MLA24" s="2"/>
      <c r="MLB24" s="2"/>
      <c r="MLC24" s="2"/>
      <c r="MLD24" s="2"/>
      <c r="MLE24" s="2"/>
      <c r="MLF24" s="2"/>
      <c r="MLG24" s="2"/>
      <c r="MLH24" s="2"/>
      <c r="MLI24" s="2"/>
      <c r="MLJ24" s="2"/>
      <c r="MLK24" s="2"/>
      <c r="MLL24" s="2"/>
      <c r="MLM24" s="2"/>
      <c r="MLN24" s="2"/>
      <c r="MLO24" s="2"/>
      <c r="MLP24" s="2"/>
      <c r="MLQ24" s="2"/>
      <c r="MLR24" s="2"/>
      <c r="MLS24" s="2"/>
      <c r="MLT24" s="2"/>
      <c r="MLU24" s="2"/>
      <c r="MLV24" s="2"/>
      <c r="MLW24" s="2"/>
      <c r="MLX24" s="2"/>
      <c r="MLY24" s="2"/>
      <c r="MLZ24" s="2"/>
      <c r="MMA24" s="2"/>
      <c r="MMB24" s="2"/>
      <c r="MMC24" s="2"/>
      <c r="MMD24" s="2"/>
      <c r="MME24" s="2"/>
      <c r="MMF24" s="2"/>
      <c r="MMG24" s="2"/>
      <c r="MMH24" s="2"/>
      <c r="MMI24" s="2"/>
      <c r="MMJ24" s="2"/>
      <c r="MMK24" s="2"/>
      <c r="MML24" s="2"/>
      <c r="MMM24" s="2"/>
      <c r="MMN24" s="2"/>
      <c r="MMO24" s="2"/>
      <c r="MMP24" s="2"/>
      <c r="MMQ24" s="2"/>
      <c r="MMR24" s="2"/>
      <c r="MMS24" s="2"/>
      <c r="MMT24" s="2"/>
      <c r="MMU24" s="2"/>
      <c r="MMV24" s="2"/>
      <c r="MMW24" s="2"/>
      <c r="MMX24" s="2"/>
      <c r="MMY24" s="2"/>
      <c r="MMZ24" s="2"/>
      <c r="MNA24" s="2"/>
      <c r="MNB24" s="2"/>
      <c r="MNC24" s="2"/>
      <c r="MND24" s="2"/>
      <c r="MNE24" s="2"/>
      <c r="MNF24" s="2"/>
      <c r="MNG24" s="2"/>
      <c r="MNH24" s="2"/>
      <c r="MNI24" s="2"/>
      <c r="MNJ24" s="2"/>
      <c r="MNK24" s="2"/>
      <c r="MNL24" s="2"/>
      <c r="MNM24" s="2"/>
      <c r="MNN24" s="2"/>
      <c r="MNO24" s="2"/>
      <c r="MNP24" s="2"/>
      <c r="MNQ24" s="2"/>
      <c r="MNR24" s="2"/>
      <c r="MNS24" s="2"/>
      <c r="MNT24" s="2"/>
      <c r="MNU24" s="2"/>
      <c r="MNV24" s="2"/>
      <c r="MNW24" s="2"/>
      <c r="MNX24" s="2"/>
      <c r="MNY24" s="2"/>
      <c r="MNZ24" s="2"/>
      <c r="MOA24" s="2"/>
      <c r="MOB24" s="2"/>
      <c r="MOC24" s="2"/>
      <c r="MOD24" s="2"/>
      <c r="MOE24" s="2"/>
      <c r="MOF24" s="2"/>
      <c r="MOG24" s="2"/>
      <c r="MOH24" s="2"/>
      <c r="MOI24" s="2"/>
      <c r="MOJ24" s="2"/>
      <c r="MOK24" s="2"/>
      <c r="MOL24" s="2"/>
      <c r="MOM24" s="2"/>
      <c r="MON24" s="2"/>
      <c r="MOO24" s="2"/>
      <c r="MOP24" s="2"/>
      <c r="MOQ24" s="2"/>
      <c r="MOR24" s="2"/>
      <c r="MOS24" s="2"/>
      <c r="MOT24" s="2"/>
      <c r="MOU24" s="2"/>
      <c r="MOV24" s="2"/>
      <c r="MOW24" s="2"/>
      <c r="MOX24" s="2"/>
      <c r="MOY24" s="2"/>
      <c r="MOZ24" s="2"/>
      <c r="MPA24" s="2"/>
      <c r="MPB24" s="2"/>
      <c r="MPC24" s="2"/>
      <c r="MPD24" s="2"/>
      <c r="MPE24" s="2"/>
      <c r="MPF24" s="2"/>
      <c r="MPG24" s="2"/>
      <c r="MPH24" s="2"/>
      <c r="MPI24" s="2"/>
      <c r="MPJ24" s="2"/>
      <c r="MPK24" s="2"/>
      <c r="MPL24" s="2"/>
      <c r="MPM24" s="2"/>
      <c r="MPN24" s="2"/>
      <c r="MPO24" s="2"/>
      <c r="MPP24" s="2"/>
      <c r="MPQ24" s="2"/>
      <c r="MPR24" s="2"/>
      <c r="MPS24" s="2"/>
      <c r="MPT24" s="2"/>
      <c r="MPU24" s="2"/>
      <c r="MPV24" s="2"/>
      <c r="MPW24" s="2"/>
      <c r="MPX24" s="2"/>
      <c r="MPY24" s="2"/>
      <c r="MPZ24" s="2"/>
      <c r="MQA24" s="2"/>
      <c r="MQB24" s="2"/>
      <c r="MQC24" s="2"/>
      <c r="MQD24" s="2"/>
      <c r="MQE24" s="2"/>
      <c r="MQF24" s="2"/>
      <c r="MQG24" s="2"/>
      <c r="MQH24" s="2"/>
      <c r="MQI24" s="2"/>
      <c r="MQJ24" s="2"/>
      <c r="MQK24" s="2"/>
      <c r="MQL24" s="2"/>
      <c r="MQM24" s="2"/>
      <c r="MQN24" s="2"/>
      <c r="MQO24" s="2"/>
      <c r="MQP24" s="2"/>
      <c r="MQQ24" s="2"/>
      <c r="MQR24" s="2"/>
      <c r="MQS24" s="2"/>
      <c r="MQT24" s="2"/>
      <c r="MQU24" s="2"/>
      <c r="MQV24" s="2"/>
      <c r="MQW24" s="2"/>
      <c r="MQX24" s="2"/>
      <c r="MQY24" s="2"/>
      <c r="MQZ24" s="2"/>
      <c r="MRA24" s="2"/>
      <c r="MRB24" s="2"/>
      <c r="MRC24" s="2"/>
      <c r="MRD24" s="2"/>
      <c r="MRE24" s="2"/>
      <c r="MRF24" s="2"/>
      <c r="MRG24" s="2"/>
      <c r="MRH24" s="2"/>
      <c r="MRI24" s="2"/>
      <c r="MRJ24" s="2"/>
      <c r="MRK24" s="2"/>
      <c r="MRL24" s="2"/>
      <c r="MRM24" s="2"/>
      <c r="MRN24" s="2"/>
      <c r="MRO24" s="2"/>
      <c r="MRP24" s="2"/>
      <c r="MRQ24" s="2"/>
      <c r="MRR24" s="2"/>
      <c r="MRS24" s="2"/>
      <c r="MRT24" s="2"/>
      <c r="MRU24" s="2"/>
      <c r="MRV24" s="2"/>
      <c r="MRW24" s="2"/>
      <c r="MRX24" s="2"/>
      <c r="MRY24" s="2"/>
      <c r="MRZ24" s="2"/>
      <c r="MSA24" s="2"/>
      <c r="MSB24" s="2"/>
      <c r="MSC24" s="2"/>
      <c r="MSD24" s="2"/>
      <c r="MSE24" s="2"/>
      <c r="MSF24" s="2"/>
      <c r="MSG24" s="2"/>
      <c r="MSH24" s="2"/>
      <c r="MSI24" s="2"/>
      <c r="MSJ24" s="2"/>
      <c r="MSK24" s="2"/>
      <c r="MSL24" s="2"/>
      <c r="MSM24" s="2"/>
      <c r="MSN24" s="2"/>
      <c r="MSO24" s="2"/>
      <c r="MSP24" s="2"/>
      <c r="MSQ24" s="2"/>
      <c r="MSR24" s="2"/>
      <c r="MSS24" s="2"/>
      <c r="MST24" s="2"/>
      <c r="MSU24" s="2"/>
      <c r="MSV24" s="2"/>
      <c r="MSW24" s="2"/>
      <c r="MSX24" s="2"/>
      <c r="MSY24" s="2"/>
      <c r="MSZ24" s="2"/>
      <c r="MTA24" s="2"/>
      <c r="MTB24" s="2"/>
      <c r="MTC24" s="2"/>
      <c r="MTD24" s="2"/>
      <c r="MTE24" s="2"/>
      <c r="MTF24" s="2"/>
      <c r="MTG24" s="2"/>
      <c r="MTH24" s="2"/>
      <c r="MTI24" s="2"/>
      <c r="MTJ24" s="2"/>
      <c r="MTK24" s="2"/>
      <c r="MTL24" s="2"/>
      <c r="MTM24" s="2"/>
      <c r="MTN24" s="2"/>
      <c r="MTO24" s="2"/>
      <c r="MTP24" s="2"/>
      <c r="MTQ24" s="2"/>
      <c r="MTR24" s="2"/>
      <c r="MTS24" s="2"/>
      <c r="MTT24" s="2"/>
      <c r="MTU24" s="2"/>
      <c r="MTV24" s="2"/>
      <c r="MTW24" s="2"/>
      <c r="MTX24" s="2"/>
      <c r="MTY24" s="2"/>
      <c r="MTZ24" s="2"/>
      <c r="MUA24" s="2"/>
      <c r="MUB24" s="2"/>
      <c r="MUC24" s="2"/>
      <c r="MUD24" s="2"/>
      <c r="MUE24" s="2"/>
      <c r="MUF24" s="2"/>
      <c r="MUG24" s="2"/>
      <c r="MUH24" s="2"/>
      <c r="MUI24" s="2"/>
      <c r="MUJ24" s="2"/>
      <c r="MUK24" s="2"/>
      <c r="MUL24" s="2"/>
      <c r="MUM24" s="2"/>
      <c r="MUN24" s="2"/>
      <c r="MUO24" s="2"/>
      <c r="MUP24" s="2"/>
      <c r="MUQ24" s="2"/>
      <c r="MUR24" s="2"/>
      <c r="MUS24" s="2"/>
      <c r="MUT24" s="2"/>
      <c r="MUU24" s="2"/>
      <c r="MUV24" s="2"/>
      <c r="MUW24" s="2"/>
      <c r="MUX24" s="2"/>
      <c r="MUY24" s="2"/>
      <c r="MUZ24" s="2"/>
      <c r="MVA24" s="2"/>
      <c r="MVB24" s="2"/>
      <c r="MVC24" s="2"/>
      <c r="MVD24" s="2"/>
      <c r="MVE24" s="2"/>
      <c r="MVF24" s="2"/>
      <c r="MVG24" s="2"/>
      <c r="MVH24" s="2"/>
      <c r="MVI24" s="2"/>
      <c r="MVJ24" s="2"/>
      <c r="MVK24" s="2"/>
      <c r="MVL24" s="2"/>
      <c r="MVM24" s="2"/>
      <c r="MVN24" s="2"/>
      <c r="MVO24" s="2"/>
      <c r="MVP24" s="2"/>
      <c r="MVQ24" s="2"/>
      <c r="MVR24" s="2"/>
      <c r="MVS24" s="2"/>
      <c r="MVT24" s="2"/>
      <c r="MVU24" s="2"/>
      <c r="MVV24" s="2"/>
      <c r="MVW24" s="2"/>
      <c r="MVX24" s="2"/>
      <c r="MVY24" s="2"/>
      <c r="MVZ24" s="2"/>
      <c r="MWA24" s="2"/>
      <c r="MWB24" s="2"/>
      <c r="MWC24" s="2"/>
      <c r="MWD24" s="2"/>
      <c r="MWE24" s="2"/>
      <c r="MWF24" s="2"/>
      <c r="MWG24" s="2"/>
      <c r="MWH24" s="2"/>
      <c r="MWI24" s="2"/>
      <c r="MWJ24" s="2"/>
      <c r="MWK24" s="2"/>
      <c r="MWL24" s="2"/>
      <c r="MWM24" s="2"/>
      <c r="MWN24" s="2"/>
      <c r="MWO24" s="2"/>
      <c r="MWP24" s="2"/>
      <c r="MWQ24" s="2"/>
      <c r="MWR24" s="2"/>
      <c r="MWS24" s="2"/>
      <c r="MWT24" s="2"/>
      <c r="MWU24" s="2"/>
      <c r="MWV24" s="2"/>
      <c r="MWW24" s="2"/>
      <c r="MWX24" s="2"/>
      <c r="MWY24" s="2"/>
      <c r="MWZ24" s="2"/>
      <c r="MXA24" s="2"/>
      <c r="MXB24" s="2"/>
      <c r="MXC24" s="2"/>
      <c r="MXD24" s="2"/>
      <c r="MXE24" s="2"/>
      <c r="MXF24" s="2"/>
      <c r="MXG24" s="2"/>
      <c r="MXH24" s="2"/>
      <c r="MXI24" s="2"/>
      <c r="MXJ24" s="2"/>
      <c r="MXK24" s="2"/>
      <c r="MXL24" s="2"/>
      <c r="MXM24" s="2"/>
      <c r="MXN24" s="2"/>
      <c r="MXO24" s="2"/>
      <c r="MXP24" s="2"/>
      <c r="MXQ24" s="2"/>
      <c r="MXR24" s="2"/>
      <c r="MXS24" s="2"/>
      <c r="MXT24" s="2"/>
      <c r="MXU24" s="2"/>
      <c r="MXV24" s="2"/>
      <c r="MXW24" s="2"/>
      <c r="MXX24" s="2"/>
      <c r="MXY24" s="2"/>
      <c r="MXZ24" s="2"/>
      <c r="MYA24" s="2"/>
      <c r="MYB24" s="2"/>
      <c r="MYC24" s="2"/>
      <c r="MYD24" s="2"/>
      <c r="MYE24" s="2"/>
      <c r="MYF24" s="2"/>
      <c r="MYG24" s="2"/>
      <c r="MYH24" s="2"/>
      <c r="MYI24" s="2"/>
      <c r="MYJ24" s="2"/>
      <c r="MYK24" s="2"/>
      <c r="MYL24" s="2"/>
      <c r="MYM24" s="2"/>
      <c r="MYN24" s="2"/>
      <c r="MYO24" s="2"/>
      <c r="MYP24" s="2"/>
      <c r="MYQ24" s="2"/>
      <c r="MYR24" s="2"/>
      <c r="MYS24" s="2"/>
      <c r="MYT24" s="2"/>
      <c r="MYU24" s="2"/>
      <c r="MYV24" s="2"/>
      <c r="MYW24" s="2"/>
      <c r="MYX24" s="2"/>
      <c r="MYY24" s="2"/>
      <c r="MYZ24" s="2"/>
      <c r="MZA24" s="2"/>
      <c r="MZB24" s="2"/>
      <c r="MZC24" s="2"/>
      <c r="MZD24" s="2"/>
      <c r="MZE24" s="2"/>
      <c r="MZF24" s="2"/>
      <c r="MZG24" s="2"/>
      <c r="MZH24" s="2"/>
      <c r="MZI24" s="2"/>
      <c r="MZJ24" s="2"/>
      <c r="MZK24" s="2"/>
      <c r="MZL24" s="2"/>
      <c r="MZM24" s="2"/>
      <c r="MZN24" s="2"/>
      <c r="MZO24" s="2"/>
      <c r="MZP24" s="2"/>
      <c r="MZQ24" s="2"/>
      <c r="MZR24" s="2"/>
      <c r="MZS24" s="2"/>
      <c r="MZT24" s="2"/>
      <c r="MZU24" s="2"/>
      <c r="MZV24" s="2"/>
      <c r="MZW24" s="2"/>
      <c r="MZX24" s="2"/>
      <c r="MZY24" s="2"/>
      <c r="MZZ24" s="2"/>
      <c r="NAA24" s="2"/>
      <c r="NAB24" s="2"/>
      <c r="NAC24" s="2"/>
      <c r="NAD24" s="2"/>
      <c r="NAE24" s="2"/>
      <c r="NAF24" s="2"/>
      <c r="NAG24" s="2"/>
      <c r="NAH24" s="2"/>
      <c r="NAI24" s="2"/>
      <c r="NAJ24" s="2"/>
      <c r="NAK24" s="2"/>
      <c r="NAL24" s="2"/>
      <c r="NAM24" s="2"/>
      <c r="NAN24" s="2"/>
      <c r="NAO24" s="2"/>
      <c r="NAP24" s="2"/>
      <c r="NAQ24" s="2"/>
      <c r="NAR24" s="2"/>
      <c r="NAS24" s="2"/>
      <c r="NAT24" s="2"/>
      <c r="NAU24" s="2"/>
      <c r="NAV24" s="2"/>
      <c r="NAW24" s="2"/>
      <c r="NAX24" s="2"/>
      <c r="NAY24" s="2"/>
      <c r="NAZ24" s="2"/>
      <c r="NBA24" s="2"/>
      <c r="NBB24" s="2"/>
      <c r="NBC24" s="2"/>
      <c r="NBD24" s="2"/>
      <c r="NBE24" s="2"/>
      <c r="NBF24" s="2"/>
      <c r="NBG24" s="2"/>
      <c r="NBH24" s="2"/>
      <c r="NBI24" s="2"/>
      <c r="NBJ24" s="2"/>
      <c r="NBK24" s="2"/>
      <c r="NBL24" s="2"/>
      <c r="NBM24" s="2"/>
      <c r="NBN24" s="2"/>
      <c r="NBO24" s="2"/>
      <c r="NBP24" s="2"/>
      <c r="NBQ24" s="2"/>
      <c r="NBR24" s="2"/>
      <c r="NBS24" s="2"/>
      <c r="NBT24" s="2"/>
      <c r="NBU24" s="2"/>
      <c r="NBV24" s="2"/>
      <c r="NBW24" s="2"/>
      <c r="NBX24" s="2"/>
      <c r="NBY24" s="2"/>
      <c r="NBZ24" s="2"/>
      <c r="NCA24" s="2"/>
      <c r="NCB24" s="2"/>
      <c r="NCC24" s="2"/>
      <c r="NCD24" s="2"/>
      <c r="NCE24" s="2"/>
      <c r="NCF24" s="2"/>
      <c r="NCG24" s="2"/>
      <c r="NCH24" s="2"/>
      <c r="NCI24" s="2"/>
      <c r="NCJ24" s="2"/>
      <c r="NCK24" s="2"/>
      <c r="NCL24" s="2"/>
      <c r="NCM24" s="2"/>
      <c r="NCN24" s="2"/>
      <c r="NCO24" s="2"/>
      <c r="NCP24" s="2"/>
      <c r="NCQ24" s="2"/>
      <c r="NCR24" s="2"/>
      <c r="NCS24" s="2"/>
      <c r="NCT24" s="2"/>
      <c r="NCU24" s="2"/>
      <c r="NCV24" s="2"/>
      <c r="NCW24" s="2"/>
      <c r="NCX24" s="2"/>
      <c r="NCY24" s="2"/>
      <c r="NCZ24" s="2"/>
      <c r="NDA24" s="2"/>
      <c r="NDB24" s="2"/>
      <c r="NDC24" s="2"/>
      <c r="NDD24" s="2"/>
      <c r="NDE24" s="2"/>
      <c r="NDF24" s="2"/>
      <c r="NDG24" s="2"/>
      <c r="NDH24" s="2"/>
      <c r="NDI24" s="2"/>
      <c r="NDJ24" s="2"/>
      <c r="NDK24" s="2"/>
      <c r="NDL24" s="2"/>
      <c r="NDM24" s="2"/>
      <c r="NDN24" s="2"/>
      <c r="NDO24" s="2"/>
      <c r="NDP24" s="2"/>
      <c r="NDQ24" s="2"/>
      <c r="NDR24" s="2"/>
      <c r="NDS24" s="2"/>
      <c r="NDT24" s="2"/>
      <c r="NDU24" s="2"/>
      <c r="NDV24" s="2"/>
      <c r="NDW24" s="2"/>
      <c r="NDX24" s="2"/>
      <c r="NDY24" s="2"/>
      <c r="NDZ24" s="2"/>
      <c r="NEA24" s="2"/>
      <c r="NEB24" s="2"/>
      <c r="NEC24" s="2"/>
      <c r="NED24" s="2"/>
      <c r="NEE24" s="2"/>
      <c r="NEF24" s="2"/>
      <c r="NEG24" s="2"/>
      <c r="NEH24" s="2"/>
      <c r="NEI24" s="2"/>
      <c r="NEJ24" s="2"/>
      <c r="NEK24" s="2"/>
      <c r="NEL24" s="2"/>
      <c r="NEM24" s="2"/>
      <c r="NEN24" s="2"/>
      <c r="NEO24" s="2"/>
      <c r="NEP24" s="2"/>
      <c r="NEQ24" s="2"/>
      <c r="NER24" s="2"/>
      <c r="NES24" s="2"/>
      <c r="NET24" s="2"/>
      <c r="NEU24" s="2"/>
      <c r="NEV24" s="2"/>
      <c r="NEW24" s="2"/>
      <c r="NEX24" s="2"/>
      <c r="NEY24" s="2"/>
      <c r="NEZ24" s="2"/>
      <c r="NFA24" s="2"/>
      <c r="NFB24" s="2"/>
      <c r="NFC24" s="2"/>
      <c r="NFD24" s="2"/>
      <c r="NFE24" s="2"/>
      <c r="NFF24" s="2"/>
      <c r="NFG24" s="2"/>
      <c r="NFH24" s="2"/>
      <c r="NFI24" s="2"/>
      <c r="NFJ24" s="2"/>
      <c r="NFK24" s="2"/>
      <c r="NFL24" s="2"/>
      <c r="NFM24" s="2"/>
      <c r="NFN24" s="2"/>
      <c r="NFO24" s="2"/>
      <c r="NFP24" s="2"/>
      <c r="NFQ24" s="2"/>
      <c r="NFR24" s="2"/>
      <c r="NFS24" s="2"/>
      <c r="NFT24" s="2"/>
      <c r="NFU24" s="2"/>
      <c r="NFV24" s="2"/>
      <c r="NFW24" s="2"/>
      <c r="NFX24" s="2"/>
      <c r="NFY24" s="2"/>
      <c r="NFZ24" s="2"/>
      <c r="NGA24" s="2"/>
      <c r="NGB24" s="2"/>
      <c r="NGC24" s="2"/>
      <c r="NGD24" s="2"/>
      <c r="NGE24" s="2"/>
      <c r="NGF24" s="2"/>
      <c r="NGG24" s="2"/>
      <c r="NGH24" s="2"/>
      <c r="NGI24" s="2"/>
      <c r="NGJ24" s="2"/>
      <c r="NGK24" s="2"/>
      <c r="NGL24" s="2"/>
      <c r="NGM24" s="2"/>
      <c r="NGN24" s="2"/>
      <c r="NGO24" s="2"/>
      <c r="NGP24" s="2"/>
      <c r="NGQ24" s="2"/>
      <c r="NGR24" s="2"/>
      <c r="NGS24" s="2"/>
      <c r="NGT24" s="2"/>
      <c r="NGU24" s="2"/>
      <c r="NGV24" s="2"/>
      <c r="NGW24" s="2"/>
      <c r="NGX24" s="2"/>
      <c r="NGY24" s="2"/>
      <c r="NGZ24" s="2"/>
      <c r="NHA24" s="2"/>
      <c r="NHB24" s="2"/>
      <c r="NHC24" s="2"/>
      <c r="NHD24" s="2"/>
      <c r="NHE24" s="2"/>
      <c r="NHF24" s="2"/>
      <c r="NHG24" s="2"/>
      <c r="NHH24" s="2"/>
      <c r="NHI24" s="2"/>
      <c r="NHJ24" s="2"/>
      <c r="NHK24" s="2"/>
      <c r="NHL24" s="2"/>
      <c r="NHM24" s="2"/>
      <c r="NHN24" s="2"/>
      <c r="NHO24" s="2"/>
      <c r="NHP24" s="2"/>
      <c r="NHQ24" s="2"/>
      <c r="NHR24" s="2"/>
      <c r="NHS24" s="2"/>
      <c r="NHT24" s="2"/>
      <c r="NHU24" s="2"/>
      <c r="NHV24" s="2"/>
      <c r="NHW24" s="2"/>
      <c r="NHX24" s="2"/>
      <c r="NHY24" s="2"/>
      <c r="NHZ24" s="2"/>
      <c r="NIA24" s="2"/>
      <c r="NIB24" s="2"/>
      <c r="NIC24" s="2"/>
      <c r="NID24" s="2"/>
      <c r="NIE24" s="2"/>
      <c r="NIF24" s="2"/>
      <c r="NIG24" s="2"/>
      <c r="NIH24" s="2"/>
      <c r="NII24" s="2"/>
      <c r="NIJ24" s="2"/>
      <c r="NIK24" s="2"/>
      <c r="NIL24" s="2"/>
      <c r="NIM24" s="2"/>
      <c r="NIN24" s="2"/>
      <c r="NIO24" s="2"/>
      <c r="NIP24" s="2"/>
      <c r="NIQ24" s="2"/>
      <c r="NIR24" s="2"/>
      <c r="NIS24" s="2"/>
      <c r="NIT24" s="2"/>
      <c r="NIU24" s="2"/>
      <c r="NIV24" s="2"/>
      <c r="NIW24" s="2"/>
      <c r="NIX24" s="2"/>
      <c r="NIY24" s="2"/>
      <c r="NIZ24" s="2"/>
      <c r="NJA24" s="2"/>
      <c r="NJB24" s="2"/>
      <c r="NJC24" s="2"/>
      <c r="NJD24" s="2"/>
      <c r="NJE24" s="2"/>
      <c r="NJF24" s="2"/>
      <c r="NJG24" s="2"/>
      <c r="NJH24" s="2"/>
      <c r="NJI24" s="2"/>
      <c r="NJJ24" s="2"/>
      <c r="NJK24" s="2"/>
      <c r="NJL24" s="2"/>
      <c r="NJM24" s="2"/>
      <c r="NJN24" s="2"/>
      <c r="NJO24" s="2"/>
      <c r="NJP24" s="2"/>
      <c r="NJQ24" s="2"/>
      <c r="NJR24" s="2"/>
      <c r="NJS24" s="2"/>
      <c r="NJT24" s="2"/>
      <c r="NJU24" s="2"/>
      <c r="NJV24" s="2"/>
      <c r="NJW24" s="2"/>
      <c r="NJX24" s="2"/>
      <c r="NJY24" s="2"/>
      <c r="NJZ24" s="2"/>
      <c r="NKA24" s="2"/>
      <c r="NKB24" s="2"/>
      <c r="NKC24" s="2"/>
      <c r="NKD24" s="2"/>
      <c r="NKE24" s="2"/>
      <c r="NKF24" s="2"/>
      <c r="NKG24" s="2"/>
      <c r="NKH24" s="2"/>
      <c r="NKI24" s="2"/>
      <c r="NKJ24" s="2"/>
      <c r="NKK24" s="2"/>
      <c r="NKL24" s="2"/>
      <c r="NKM24" s="2"/>
      <c r="NKN24" s="2"/>
      <c r="NKO24" s="2"/>
      <c r="NKP24" s="2"/>
      <c r="NKQ24" s="2"/>
      <c r="NKR24" s="2"/>
      <c r="NKS24" s="2"/>
      <c r="NKT24" s="2"/>
      <c r="NKU24" s="2"/>
      <c r="NKV24" s="2"/>
      <c r="NKW24" s="2"/>
      <c r="NKX24" s="2"/>
      <c r="NKY24" s="2"/>
      <c r="NKZ24" s="2"/>
      <c r="NLA24" s="2"/>
      <c r="NLB24" s="2"/>
      <c r="NLC24" s="2"/>
      <c r="NLD24" s="2"/>
      <c r="NLE24" s="2"/>
      <c r="NLF24" s="2"/>
      <c r="NLG24" s="2"/>
      <c r="NLH24" s="2"/>
      <c r="NLI24" s="2"/>
      <c r="NLJ24" s="2"/>
      <c r="NLK24" s="2"/>
      <c r="NLL24" s="2"/>
      <c r="NLM24" s="2"/>
      <c r="NLN24" s="2"/>
      <c r="NLO24" s="2"/>
      <c r="NLP24" s="2"/>
      <c r="NLQ24" s="2"/>
      <c r="NLR24" s="2"/>
      <c r="NLS24" s="2"/>
      <c r="NLT24" s="2"/>
      <c r="NLU24" s="2"/>
      <c r="NLV24" s="2"/>
      <c r="NLW24" s="2"/>
      <c r="NLX24" s="2"/>
      <c r="NLY24" s="2"/>
      <c r="NLZ24" s="2"/>
      <c r="NMA24" s="2"/>
      <c r="NMB24" s="2"/>
      <c r="NMC24" s="2"/>
      <c r="NMD24" s="2"/>
      <c r="NME24" s="2"/>
      <c r="NMF24" s="2"/>
      <c r="NMG24" s="2"/>
      <c r="NMH24" s="2"/>
      <c r="NMI24" s="2"/>
      <c r="NMJ24" s="2"/>
      <c r="NMK24" s="2"/>
      <c r="NML24" s="2"/>
      <c r="NMM24" s="2"/>
      <c r="NMN24" s="2"/>
      <c r="NMO24" s="2"/>
      <c r="NMP24" s="2"/>
      <c r="NMQ24" s="2"/>
      <c r="NMR24" s="2"/>
      <c r="NMS24" s="2"/>
      <c r="NMT24" s="2"/>
      <c r="NMU24" s="2"/>
      <c r="NMV24" s="2"/>
      <c r="NMW24" s="2"/>
      <c r="NMX24" s="2"/>
      <c r="NMY24" s="2"/>
      <c r="NMZ24" s="2"/>
      <c r="NNA24" s="2"/>
      <c r="NNB24" s="2"/>
      <c r="NNC24" s="2"/>
      <c r="NND24" s="2"/>
      <c r="NNE24" s="2"/>
      <c r="NNF24" s="2"/>
      <c r="NNG24" s="2"/>
      <c r="NNH24" s="2"/>
      <c r="NNI24" s="2"/>
      <c r="NNJ24" s="2"/>
      <c r="NNK24" s="2"/>
      <c r="NNL24" s="2"/>
      <c r="NNM24" s="2"/>
      <c r="NNN24" s="2"/>
      <c r="NNO24" s="2"/>
      <c r="NNP24" s="2"/>
      <c r="NNQ24" s="2"/>
      <c r="NNR24" s="2"/>
      <c r="NNS24" s="2"/>
      <c r="NNT24" s="2"/>
      <c r="NNU24" s="2"/>
      <c r="NNV24" s="2"/>
      <c r="NNW24" s="2"/>
      <c r="NNX24" s="2"/>
      <c r="NNY24" s="2"/>
      <c r="NNZ24" s="2"/>
      <c r="NOA24" s="2"/>
      <c r="NOB24" s="2"/>
      <c r="NOC24" s="2"/>
      <c r="NOD24" s="2"/>
      <c r="NOE24" s="2"/>
      <c r="NOF24" s="2"/>
      <c r="NOG24" s="2"/>
      <c r="NOH24" s="2"/>
      <c r="NOI24" s="2"/>
      <c r="NOJ24" s="2"/>
      <c r="NOK24" s="2"/>
      <c r="NOL24" s="2"/>
      <c r="NOM24" s="2"/>
      <c r="NON24" s="2"/>
      <c r="NOO24" s="2"/>
      <c r="NOP24" s="2"/>
      <c r="NOQ24" s="2"/>
      <c r="NOR24" s="2"/>
      <c r="NOS24" s="2"/>
      <c r="NOT24" s="2"/>
      <c r="NOU24" s="2"/>
      <c r="NOV24" s="2"/>
      <c r="NOW24" s="2"/>
      <c r="NOX24" s="2"/>
      <c r="NOY24" s="2"/>
      <c r="NOZ24" s="2"/>
      <c r="NPA24" s="2"/>
      <c r="NPB24" s="2"/>
      <c r="NPC24" s="2"/>
      <c r="NPD24" s="2"/>
      <c r="NPE24" s="2"/>
      <c r="NPF24" s="2"/>
      <c r="NPG24" s="2"/>
      <c r="NPH24" s="2"/>
      <c r="NPI24" s="2"/>
      <c r="NPJ24" s="2"/>
      <c r="NPK24" s="2"/>
      <c r="NPL24" s="2"/>
      <c r="NPM24" s="2"/>
      <c r="NPN24" s="2"/>
      <c r="NPO24" s="2"/>
      <c r="NPP24" s="2"/>
      <c r="NPQ24" s="2"/>
      <c r="NPR24" s="2"/>
      <c r="NPS24" s="2"/>
      <c r="NPT24" s="2"/>
      <c r="NPU24" s="2"/>
      <c r="NPV24" s="2"/>
      <c r="NPW24" s="2"/>
      <c r="NPX24" s="2"/>
      <c r="NPY24" s="2"/>
      <c r="NPZ24" s="2"/>
      <c r="NQA24" s="2"/>
      <c r="NQB24" s="2"/>
      <c r="NQC24" s="2"/>
      <c r="NQD24" s="2"/>
      <c r="NQE24" s="2"/>
      <c r="NQF24" s="2"/>
      <c r="NQG24" s="2"/>
      <c r="NQH24" s="2"/>
      <c r="NQI24" s="2"/>
      <c r="NQJ24" s="2"/>
      <c r="NQK24" s="2"/>
      <c r="NQL24" s="2"/>
      <c r="NQM24" s="2"/>
      <c r="NQN24" s="2"/>
      <c r="NQO24" s="2"/>
      <c r="NQP24" s="2"/>
      <c r="NQQ24" s="2"/>
      <c r="NQR24" s="2"/>
      <c r="NQS24" s="2"/>
      <c r="NQT24" s="2"/>
      <c r="NQU24" s="2"/>
      <c r="NQV24" s="2"/>
      <c r="NQW24" s="2"/>
      <c r="NQX24" s="2"/>
      <c r="NQY24" s="2"/>
      <c r="NQZ24" s="2"/>
      <c r="NRA24" s="2"/>
      <c r="NRB24" s="2"/>
      <c r="NRC24" s="2"/>
      <c r="NRD24" s="2"/>
      <c r="NRE24" s="2"/>
      <c r="NRF24" s="2"/>
      <c r="NRG24" s="2"/>
      <c r="NRH24" s="2"/>
      <c r="NRI24" s="2"/>
      <c r="NRJ24" s="2"/>
      <c r="NRK24" s="2"/>
      <c r="NRL24" s="2"/>
      <c r="NRM24" s="2"/>
      <c r="NRN24" s="2"/>
      <c r="NRO24" s="2"/>
      <c r="NRP24" s="2"/>
      <c r="NRQ24" s="2"/>
      <c r="NRR24" s="2"/>
      <c r="NRS24" s="2"/>
      <c r="NRT24" s="2"/>
      <c r="NRU24" s="2"/>
      <c r="NRV24" s="2"/>
      <c r="NRW24" s="2"/>
      <c r="NRX24" s="2"/>
      <c r="NRY24" s="2"/>
      <c r="NRZ24" s="2"/>
      <c r="NSA24" s="2"/>
      <c r="NSB24" s="2"/>
      <c r="NSC24" s="2"/>
      <c r="NSD24" s="2"/>
      <c r="NSE24" s="2"/>
      <c r="NSF24" s="2"/>
      <c r="NSG24" s="2"/>
      <c r="NSH24" s="2"/>
      <c r="NSI24" s="2"/>
      <c r="NSJ24" s="2"/>
      <c r="NSK24" s="2"/>
      <c r="NSL24" s="2"/>
      <c r="NSM24" s="2"/>
      <c r="NSN24" s="2"/>
      <c r="NSO24" s="2"/>
      <c r="NSP24" s="2"/>
      <c r="NSQ24" s="2"/>
      <c r="NSR24" s="2"/>
      <c r="NSS24" s="2"/>
      <c r="NST24" s="2"/>
      <c r="NSU24" s="2"/>
      <c r="NSV24" s="2"/>
      <c r="NSW24" s="2"/>
      <c r="NSX24" s="2"/>
      <c r="NSY24" s="2"/>
      <c r="NSZ24" s="2"/>
      <c r="NTA24" s="2"/>
      <c r="NTB24" s="2"/>
      <c r="NTC24" s="2"/>
      <c r="NTD24" s="2"/>
      <c r="NTE24" s="2"/>
      <c r="NTF24" s="2"/>
      <c r="NTG24" s="2"/>
      <c r="NTH24" s="2"/>
      <c r="NTI24" s="2"/>
      <c r="NTJ24" s="2"/>
      <c r="NTK24" s="2"/>
      <c r="NTL24" s="2"/>
      <c r="NTM24" s="2"/>
      <c r="NTN24" s="2"/>
      <c r="NTO24" s="2"/>
      <c r="NTP24" s="2"/>
      <c r="NTQ24" s="2"/>
      <c r="NTR24" s="2"/>
      <c r="NTS24" s="2"/>
      <c r="NTT24" s="2"/>
      <c r="NTU24" s="2"/>
      <c r="NTV24" s="2"/>
      <c r="NTW24" s="2"/>
      <c r="NTX24" s="2"/>
      <c r="NTY24" s="2"/>
      <c r="NTZ24" s="2"/>
      <c r="NUA24" s="2"/>
      <c r="NUB24" s="2"/>
      <c r="NUC24" s="2"/>
      <c r="NUD24" s="2"/>
      <c r="NUE24" s="2"/>
      <c r="NUF24" s="2"/>
      <c r="NUG24" s="2"/>
      <c r="NUH24" s="2"/>
      <c r="NUI24" s="2"/>
      <c r="NUJ24" s="2"/>
      <c r="NUK24" s="2"/>
      <c r="NUL24" s="2"/>
      <c r="NUM24" s="2"/>
      <c r="NUN24" s="2"/>
      <c r="NUO24" s="2"/>
      <c r="NUP24" s="2"/>
      <c r="NUQ24" s="2"/>
      <c r="NUR24" s="2"/>
      <c r="NUS24" s="2"/>
      <c r="NUT24" s="2"/>
      <c r="NUU24" s="2"/>
      <c r="NUV24" s="2"/>
      <c r="NUW24" s="2"/>
      <c r="NUX24" s="2"/>
      <c r="NUY24" s="2"/>
      <c r="NUZ24" s="2"/>
      <c r="NVA24" s="2"/>
      <c r="NVB24" s="2"/>
      <c r="NVC24" s="2"/>
      <c r="NVD24" s="2"/>
      <c r="NVE24" s="2"/>
      <c r="NVF24" s="2"/>
      <c r="NVG24" s="2"/>
      <c r="NVH24" s="2"/>
      <c r="NVI24" s="2"/>
      <c r="NVJ24" s="2"/>
      <c r="NVK24" s="2"/>
      <c r="NVL24" s="2"/>
      <c r="NVM24" s="2"/>
      <c r="NVN24" s="2"/>
      <c r="NVO24" s="2"/>
      <c r="NVP24" s="2"/>
      <c r="NVQ24" s="2"/>
      <c r="NVR24" s="2"/>
      <c r="NVS24" s="2"/>
      <c r="NVT24" s="2"/>
      <c r="NVU24" s="2"/>
      <c r="NVV24" s="2"/>
      <c r="NVW24" s="2"/>
      <c r="NVX24" s="2"/>
      <c r="NVY24" s="2"/>
      <c r="NVZ24" s="2"/>
      <c r="NWA24" s="2"/>
      <c r="NWB24" s="2"/>
      <c r="NWC24" s="2"/>
      <c r="NWD24" s="2"/>
      <c r="NWE24" s="2"/>
      <c r="NWF24" s="2"/>
      <c r="NWG24" s="2"/>
      <c r="NWH24" s="2"/>
      <c r="NWI24" s="2"/>
      <c r="NWJ24" s="2"/>
      <c r="NWK24" s="2"/>
      <c r="NWL24" s="2"/>
      <c r="NWM24" s="2"/>
      <c r="NWN24" s="2"/>
      <c r="NWO24" s="2"/>
      <c r="NWP24" s="2"/>
      <c r="NWQ24" s="2"/>
      <c r="NWR24" s="2"/>
      <c r="NWS24" s="2"/>
      <c r="NWT24" s="2"/>
      <c r="NWU24" s="2"/>
      <c r="NWV24" s="2"/>
      <c r="NWW24" s="2"/>
      <c r="NWX24" s="2"/>
      <c r="NWY24" s="2"/>
      <c r="NWZ24" s="2"/>
      <c r="NXA24" s="2"/>
      <c r="NXB24" s="2"/>
      <c r="NXC24" s="2"/>
      <c r="NXD24" s="2"/>
      <c r="NXE24" s="2"/>
      <c r="NXF24" s="2"/>
      <c r="NXG24" s="2"/>
      <c r="NXH24" s="2"/>
      <c r="NXI24" s="2"/>
      <c r="NXJ24" s="2"/>
      <c r="NXK24" s="2"/>
      <c r="NXL24" s="2"/>
      <c r="NXM24" s="2"/>
      <c r="NXN24" s="2"/>
      <c r="NXO24" s="2"/>
      <c r="NXP24" s="2"/>
      <c r="NXQ24" s="2"/>
      <c r="NXR24" s="2"/>
      <c r="NXS24" s="2"/>
      <c r="NXT24" s="2"/>
      <c r="NXU24" s="2"/>
      <c r="NXV24" s="2"/>
      <c r="NXW24" s="2"/>
      <c r="NXX24" s="2"/>
      <c r="NXY24" s="2"/>
      <c r="NXZ24" s="2"/>
      <c r="NYA24" s="2"/>
      <c r="NYB24" s="2"/>
      <c r="NYC24" s="2"/>
      <c r="NYD24" s="2"/>
      <c r="NYE24" s="2"/>
      <c r="NYF24" s="2"/>
      <c r="NYG24" s="2"/>
      <c r="NYH24" s="2"/>
      <c r="NYI24" s="2"/>
      <c r="NYJ24" s="2"/>
      <c r="NYK24" s="2"/>
      <c r="NYL24" s="2"/>
      <c r="NYM24" s="2"/>
      <c r="NYN24" s="2"/>
      <c r="NYO24" s="2"/>
      <c r="NYP24" s="2"/>
      <c r="NYQ24" s="2"/>
      <c r="NYR24" s="2"/>
      <c r="NYS24" s="2"/>
      <c r="NYT24" s="2"/>
      <c r="NYU24" s="2"/>
      <c r="NYV24" s="2"/>
      <c r="NYW24" s="2"/>
      <c r="NYX24" s="2"/>
      <c r="NYY24" s="2"/>
      <c r="NYZ24" s="2"/>
      <c r="NZA24" s="2"/>
      <c r="NZB24" s="2"/>
      <c r="NZC24" s="2"/>
      <c r="NZD24" s="2"/>
      <c r="NZE24" s="2"/>
      <c r="NZF24" s="2"/>
      <c r="NZG24" s="2"/>
      <c r="NZH24" s="2"/>
      <c r="NZI24" s="2"/>
      <c r="NZJ24" s="2"/>
      <c r="NZK24" s="2"/>
      <c r="NZL24" s="2"/>
      <c r="NZM24" s="2"/>
      <c r="NZN24" s="2"/>
      <c r="NZO24" s="2"/>
      <c r="NZP24" s="2"/>
      <c r="NZQ24" s="2"/>
      <c r="NZR24" s="2"/>
      <c r="NZS24" s="2"/>
      <c r="NZT24" s="2"/>
      <c r="NZU24" s="2"/>
      <c r="NZV24" s="2"/>
      <c r="NZW24" s="2"/>
      <c r="NZX24" s="2"/>
      <c r="NZY24" s="2"/>
      <c r="NZZ24" s="2"/>
      <c r="OAA24" s="2"/>
      <c r="OAB24" s="2"/>
      <c r="OAC24" s="2"/>
      <c r="OAD24" s="2"/>
      <c r="OAE24" s="2"/>
      <c r="OAF24" s="2"/>
      <c r="OAG24" s="2"/>
      <c r="OAH24" s="2"/>
      <c r="OAI24" s="2"/>
      <c r="OAJ24" s="2"/>
      <c r="OAK24" s="2"/>
      <c r="OAL24" s="2"/>
      <c r="OAM24" s="2"/>
      <c r="OAN24" s="2"/>
      <c r="OAO24" s="2"/>
      <c r="OAP24" s="2"/>
      <c r="OAQ24" s="2"/>
      <c r="OAR24" s="2"/>
      <c r="OAS24" s="2"/>
      <c r="OAT24" s="2"/>
      <c r="OAU24" s="2"/>
      <c r="OAV24" s="2"/>
      <c r="OAW24" s="2"/>
      <c r="OAX24" s="2"/>
      <c r="OAY24" s="2"/>
      <c r="OAZ24" s="2"/>
      <c r="OBA24" s="2"/>
      <c r="OBB24" s="2"/>
      <c r="OBC24" s="2"/>
      <c r="OBD24" s="2"/>
      <c r="OBE24" s="2"/>
      <c r="OBF24" s="2"/>
      <c r="OBG24" s="2"/>
      <c r="OBH24" s="2"/>
      <c r="OBI24" s="2"/>
      <c r="OBJ24" s="2"/>
      <c r="OBK24" s="2"/>
      <c r="OBL24" s="2"/>
      <c r="OBM24" s="2"/>
      <c r="OBN24" s="2"/>
      <c r="OBO24" s="2"/>
      <c r="OBP24" s="2"/>
      <c r="OBQ24" s="2"/>
      <c r="OBR24" s="2"/>
      <c r="OBS24" s="2"/>
      <c r="OBT24" s="2"/>
      <c r="OBU24" s="2"/>
      <c r="OBV24" s="2"/>
      <c r="OBW24" s="2"/>
      <c r="OBX24" s="2"/>
      <c r="OBY24" s="2"/>
      <c r="OBZ24" s="2"/>
      <c r="OCA24" s="2"/>
      <c r="OCB24" s="2"/>
      <c r="OCC24" s="2"/>
      <c r="OCD24" s="2"/>
      <c r="OCE24" s="2"/>
      <c r="OCF24" s="2"/>
      <c r="OCG24" s="2"/>
      <c r="OCH24" s="2"/>
      <c r="OCI24" s="2"/>
      <c r="OCJ24" s="2"/>
      <c r="OCK24" s="2"/>
      <c r="OCL24" s="2"/>
      <c r="OCM24" s="2"/>
      <c r="OCN24" s="2"/>
      <c r="OCO24" s="2"/>
      <c r="OCP24" s="2"/>
      <c r="OCQ24" s="2"/>
      <c r="OCR24" s="2"/>
      <c r="OCS24" s="2"/>
      <c r="OCT24" s="2"/>
      <c r="OCU24" s="2"/>
      <c r="OCV24" s="2"/>
      <c r="OCW24" s="2"/>
      <c r="OCX24" s="2"/>
      <c r="OCY24" s="2"/>
      <c r="OCZ24" s="2"/>
      <c r="ODA24" s="2"/>
      <c r="ODB24" s="2"/>
      <c r="ODC24" s="2"/>
      <c r="ODD24" s="2"/>
      <c r="ODE24" s="2"/>
      <c r="ODF24" s="2"/>
      <c r="ODG24" s="2"/>
      <c r="ODH24" s="2"/>
      <c r="ODI24" s="2"/>
      <c r="ODJ24" s="2"/>
      <c r="ODK24" s="2"/>
      <c r="ODL24" s="2"/>
      <c r="ODM24" s="2"/>
      <c r="ODN24" s="2"/>
      <c r="ODO24" s="2"/>
      <c r="ODP24" s="2"/>
      <c r="ODQ24" s="2"/>
      <c r="ODR24" s="2"/>
      <c r="ODS24" s="2"/>
      <c r="ODT24" s="2"/>
      <c r="ODU24" s="2"/>
      <c r="ODV24" s="2"/>
      <c r="ODW24" s="2"/>
      <c r="ODX24" s="2"/>
      <c r="ODY24" s="2"/>
      <c r="ODZ24" s="2"/>
      <c r="OEA24" s="2"/>
      <c r="OEB24" s="2"/>
      <c r="OEC24" s="2"/>
      <c r="OED24" s="2"/>
      <c r="OEE24" s="2"/>
      <c r="OEF24" s="2"/>
      <c r="OEG24" s="2"/>
      <c r="OEH24" s="2"/>
      <c r="OEI24" s="2"/>
      <c r="OEJ24" s="2"/>
      <c r="OEK24" s="2"/>
      <c r="OEL24" s="2"/>
      <c r="OEM24" s="2"/>
      <c r="OEN24" s="2"/>
      <c r="OEO24" s="2"/>
      <c r="OEP24" s="2"/>
      <c r="OEQ24" s="2"/>
      <c r="OER24" s="2"/>
      <c r="OES24" s="2"/>
      <c r="OET24" s="2"/>
      <c r="OEU24" s="2"/>
      <c r="OEV24" s="2"/>
      <c r="OEW24" s="2"/>
      <c r="OEX24" s="2"/>
      <c r="OEY24" s="2"/>
      <c r="OEZ24" s="2"/>
      <c r="OFA24" s="2"/>
      <c r="OFB24" s="2"/>
      <c r="OFC24" s="2"/>
      <c r="OFD24" s="2"/>
      <c r="OFE24" s="2"/>
      <c r="OFF24" s="2"/>
      <c r="OFG24" s="2"/>
      <c r="OFH24" s="2"/>
      <c r="OFI24" s="2"/>
      <c r="OFJ24" s="2"/>
      <c r="OFK24" s="2"/>
      <c r="OFL24" s="2"/>
      <c r="OFM24" s="2"/>
      <c r="OFN24" s="2"/>
      <c r="OFO24" s="2"/>
      <c r="OFP24" s="2"/>
      <c r="OFQ24" s="2"/>
      <c r="OFR24" s="2"/>
      <c r="OFS24" s="2"/>
      <c r="OFT24" s="2"/>
      <c r="OFU24" s="2"/>
      <c r="OFV24" s="2"/>
      <c r="OFW24" s="2"/>
      <c r="OFX24" s="2"/>
      <c r="OFY24" s="2"/>
      <c r="OFZ24" s="2"/>
      <c r="OGA24" s="2"/>
      <c r="OGB24" s="2"/>
      <c r="OGC24" s="2"/>
      <c r="OGD24" s="2"/>
      <c r="OGE24" s="2"/>
      <c r="OGF24" s="2"/>
      <c r="OGG24" s="2"/>
      <c r="OGH24" s="2"/>
      <c r="OGI24" s="2"/>
      <c r="OGJ24" s="2"/>
      <c r="OGK24" s="2"/>
      <c r="OGL24" s="2"/>
      <c r="OGM24" s="2"/>
      <c r="OGN24" s="2"/>
      <c r="OGO24" s="2"/>
      <c r="OGP24" s="2"/>
      <c r="OGQ24" s="2"/>
      <c r="OGR24" s="2"/>
      <c r="OGS24" s="2"/>
      <c r="OGT24" s="2"/>
      <c r="OGU24" s="2"/>
      <c r="OGV24" s="2"/>
      <c r="OGW24" s="2"/>
      <c r="OGX24" s="2"/>
      <c r="OGY24" s="2"/>
      <c r="OGZ24" s="2"/>
      <c r="OHA24" s="2"/>
      <c r="OHB24" s="2"/>
      <c r="OHC24" s="2"/>
      <c r="OHD24" s="2"/>
      <c r="OHE24" s="2"/>
      <c r="OHF24" s="2"/>
      <c r="OHG24" s="2"/>
      <c r="OHH24" s="2"/>
      <c r="OHI24" s="2"/>
      <c r="OHJ24" s="2"/>
      <c r="OHK24" s="2"/>
      <c r="OHL24" s="2"/>
      <c r="OHM24" s="2"/>
      <c r="OHN24" s="2"/>
      <c r="OHO24" s="2"/>
      <c r="OHP24" s="2"/>
      <c r="OHQ24" s="2"/>
      <c r="OHR24" s="2"/>
      <c r="OHS24" s="2"/>
      <c r="OHT24" s="2"/>
      <c r="OHU24" s="2"/>
      <c r="OHV24" s="2"/>
      <c r="OHW24" s="2"/>
      <c r="OHX24" s="2"/>
      <c r="OHY24" s="2"/>
      <c r="OHZ24" s="2"/>
      <c r="OIA24" s="2"/>
      <c r="OIB24" s="2"/>
      <c r="OIC24" s="2"/>
      <c r="OID24" s="2"/>
      <c r="OIE24" s="2"/>
      <c r="OIF24" s="2"/>
      <c r="OIG24" s="2"/>
      <c r="OIH24" s="2"/>
      <c r="OII24" s="2"/>
      <c r="OIJ24" s="2"/>
      <c r="OIK24" s="2"/>
      <c r="OIL24" s="2"/>
      <c r="OIM24" s="2"/>
      <c r="OIN24" s="2"/>
      <c r="OIO24" s="2"/>
      <c r="OIP24" s="2"/>
      <c r="OIQ24" s="2"/>
      <c r="OIR24" s="2"/>
      <c r="OIS24" s="2"/>
      <c r="OIT24" s="2"/>
      <c r="OIU24" s="2"/>
      <c r="OIV24" s="2"/>
      <c r="OIW24" s="2"/>
      <c r="OIX24" s="2"/>
      <c r="OIY24" s="2"/>
      <c r="OIZ24" s="2"/>
      <c r="OJA24" s="2"/>
      <c r="OJB24" s="2"/>
      <c r="OJC24" s="2"/>
      <c r="OJD24" s="2"/>
      <c r="OJE24" s="2"/>
      <c r="OJF24" s="2"/>
      <c r="OJG24" s="2"/>
      <c r="OJH24" s="2"/>
      <c r="OJI24" s="2"/>
      <c r="OJJ24" s="2"/>
      <c r="OJK24" s="2"/>
      <c r="OJL24" s="2"/>
      <c r="OJM24" s="2"/>
      <c r="OJN24" s="2"/>
      <c r="OJO24" s="2"/>
      <c r="OJP24" s="2"/>
      <c r="OJQ24" s="2"/>
      <c r="OJR24" s="2"/>
      <c r="OJS24" s="2"/>
      <c r="OJT24" s="2"/>
      <c r="OJU24" s="2"/>
      <c r="OJV24" s="2"/>
      <c r="OJW24" s="2"/>
      <c r="OJX24" s="2"/>
      <c r="OJY24" s="2"/>
      <c r="OJZ24" s="2"/>
      <c r="OKA24" s="2"/>
      <c r="OKB24" s="2"/>
      <c r="OKC24" s="2"/>
      <c r="OKD24" s="2"/>
      <c r="OKE24" s="2"/>
      <c r="OKF24" s="2"/>
      <c r="OKG24" s="2"/>
      <c r="OKH24" s="2"/>
      <c r="OKI24" s="2"/>
      <c r="OKJ24" s="2"/>
      <c r="OKK24" s="2"/>
      <c r="OKL24" s="2"/>
      <c r="OKM24" s="2"/>
      <c r="OKN24" s="2"/>
      <c r="OKO24" s="2"/>
      <c r="OKP24" s="2"/>
      <c r="OKQ24" s="2"/>
      <c r="OKR24" s="2"/>
      <c r="OKS24" s="2"/>
      <c r="OKT24" s="2"/>
      <c r="OKU24" s="2"/>
      <c r="OKV24" s="2"/>
      <c r="OKW24" s="2"/>
      <c r="OKX24" s="2"/>
      <c r="OKY24" s="2"/>
      <c r="OKZ24" s="2"/>
      <c r="OLA24" s="2"/>
      <c r="OLB24" s="2"/>
      <c r="OLC24" s="2"/>
      <c r="OLD24" s="2"/>
      <c r="OLE24" s="2"/>
      <c r="OLF24" s="2"/>
      <c r="OLG24" s="2"/>
      <c r="OLH24" s="2"/>
      <c r="OLI24" s="2"/>
      <c r="OLJ24" s="2"/>
      <c r="OLK24" s="2"/>
      <c r="OLL24" s="2"/>
      <c r="OLM24" s="2"/>
      <c r="OLN24" s="2"/>
      <c r="OLO24" s="2"/>
      <c r="OLP24" s="2"/>
      <c r="OLQ24" s="2"/>
      <c r="OLR24" s="2"/>
      <c r="OLS24" s="2"/>
      <c r="OLT24" s="2"/>
      <c r="OLU24" s="2"/>
      <c r="OLV24" s="2"/>
      <c r="OLW24" s="2"/>
      <c r="OLX24" s="2"/>
      <c r="OLY24" s="2"/>
      <c r="OLZ24" s="2"/>
      <c r="OMA24" s="2"/>
      <c r="OMB24" s="2"/>
      <c r="OMC24" s="2"/>
      <c r="OMD24" s="2"/>
      <c r="OME24" s="2"/>
      <c r="OMF24" s="2"/>
      <c r="OMG24" s="2"/>
      <c r="OMH24" s="2"/>
      <c r="OMI24" s="2"/>
      <c r="OMJ24" s="2"/>
      <c r="OMK24" s="2"/>
      <c r="OML24" s="2"/>
      <c r="OMM24" s="2"/>
      <c r="OMN24" s="2"/>
      <c r="OMO24" s="2"/>
      <c r="OMP24" s="2"/>
      <c r="OMQ24" s="2"/>
      <c r="OMR24" s="2"/>
      <c r="OMS24" s="2"/>
      <c r="OMT24" s="2"/>
      <c r="OMU24" s="2"/>
      <c r="OMV24" s="2"/>
      <c r="OMW24" s="2"/>
      <c r="OMX24" s="2"/>
      <c r="OMY24" s="2"/>
      <c r="OMZ24" s="2"/>
      <c r="ONA24" s="2"/>
      <c r="ONB24" s="2"/>
      <c r="ONC24" s="2"/>
      <c r="OND24" s="2"/>
      <c r="ONE24" s="2"/>
      <c r="ONF24" s="2"/>
      <c r="ONG24" s="2"/>
      <c r="ONH24" s="2"/>
      <c r="ONI24" s="2"/>
      <c r="ONJ24" s="2"/>
      <c r="ONK24" s="2"/>
      <c r="ONL24" s="2"/>
      <c r="ONM24" s="2"/>
      <c r="ONN24" s="2"/>
      <c r="ONO24" s="2"/>
      <c r="ONP24" s="2"/>
      <c r="ONQ24" s="2"/>
      <c r="ONR24" s="2"/>
      <c r="ONS24" s="2"/>
      <c r="ONT24" s="2"/>
      <c r="ONU24" s="2"/>
      <c r="ONV24" s="2"/>
      <c r="ONW24" s="2"/>
      <c r="ONX24" s="2"/>
      <c r="ONY24" s="2"/>
      <c r="ONZ24" s="2"/>
      <c r="OOA24" s="2"/>
      <c r="OOB24" s="2"/>
      <c r="OOC24" s="2"/>
      <c r="OOD24" s="2"/>
      <c r="OOE24" s="2"/>
      <c r="OOF24" s="2"/>
      <c r="OOG24" s="2"/>
      <c r="OOH24" s="2"/>
      <c r="OOI24" s="2"/>
      <c r="OOJ24" s="2"/>
      <c r="OOK24" s="2"/>
      <c r="OOL24" s="2"/>
      <c r="OOM24" s="2"/>
      <c r="OON24" s="2"/>
      <c r="OOO24" s="2"/>
      <c r="OOP24" s="2"/>
      <c r="OOQ24" s="2"/>
      <c r="OOR24" s="2"/>
      <c r="OOS24" s="2"/>
      <c r="OOT24" s="2"/>
      <c r="OOU24" s="2"/>
      <c r="OOV24" s="2"/>
      <c r="OOW24" s="2"/>
      <c r="OOX24" s="2"/>
      <c r="OOY24" s="2"/>
      <c r="OOZ24" s="2"/>
      <c r="OPA24" s="2"/>
      <c r="OPB24" s="2"/>
      <c r="OPC24" s="2"/>
      <c r="OPD24" s="2"/>
      <c r="OPE24" s="2"/>
      <c r="OPF24" s="2"/>
      <c r="OPG24" s="2"/>
      <c r="OPH24" s="2"/>
      <c r="OPI24" s="2"/>
      <c r="OPJ24" s="2"/>
      <c r="OPK24" s="2"/>
      <c r="OPL24" s="2"/>
      <c r="OPM24" s="2"/>
      <c r="OPN24" s="2"/>
      <c r="OPO24" s="2"/>
      <c r="OPP24" s="2"/>
      <c r="OPQ24" s="2"/>
      <c r="OPR24" s="2"/>
      <c r="OPS24" s="2"/>
      <c r="OPT24" s="2"/>
      <c r="OPU24" s="2"/>
      <c r="OPV24" s="2"/>
      <c r="OPW24" s="2"/>
      <c r="OPX24" s="2"/>
      <c r="OPY24" s="2"/>
      <c r="OPZ24" s="2"/>
      <c r="OQA24" s="2"/>
      <c r="OQB24" s="2"/>
      <c r="OQC24" s="2"/>
      <c r="OQD24" s="2"/>
      <c r="OQE24" s="2"/>
      <c r="OQF24" s="2"/>
      <c r="OQG24" s="2"/>
      <c r="OQH24" s="2"/>
      <c r="OQI24" s="2"/>
      <c r="OQJ24" s="2"/>
      <c r="OQK24" s="2"/>
      <c r="OQL24" s="2"/>
      <c r="OQM24" s="2"/>
      <c r="OQN24" s="2"/>
      <c r="OQO24" s="2"/>
      <c r="OQP24" s="2"/>
      <c r="OQQ24" s="2"/>
      <c r="OQR24" s="2"/>
      <c r="OQS24" s="2"/>
      <c r="OQT24" s="2"/>
      <c r="OQU24" s="2"/>
      <c r="OQV24" s="2"/>
      <c r="OQW24" s="2"/>
      <c r="OQX24" s="2"/>
      <c r="OQY24" s="2"/>
      <c r="OQZ24" s="2"/>
      <c r="ORA24" s="2"/>
      <c r="ORB24" s="2"/>
      <c r="ORC24" s="2"/>
      <c r="ORD24" s="2"/>
      <c r="ORE24" s="2"/>
      <c r="ORF24" s="2"/>
      <c r="ORG24" s="2"/>
      <c r="ORH24" s="2"/>
      <c r="ORI24" s="2"/>
      <c r="ORJ24" s="2"/>
      <c r="ORK24" s="2"/>
      <c r="ORL24" s="2"/>
      <c r="ORM24" s="2"/>
      <c r="ORN24" s="2"/>
      <c r="ORO24" s="2"/>
      <c r="ORP24" s="2"/>
      <c r="ORQ24" s="2"/>
      <c r="ORR24" s="2"/>
      <c r="ORS24" s="2"/>
      <c r="ORT24" s="2"/>
      <c r="ORU24" s="2"/>
      <c r="ORV24" s="2"/>
      <c r="ORW24" s="2"/>
      <c r="ORX24" s="2"/>
      <c r="ORY24" s="2"/>
      <c r="ORZ24" s="2"/>
      <c r="OSA24" s="2"/>
      <c r="OSB24" s="2"/>
      <c r="OSC24" s="2"/>
      <c r="OSD24" s="2"/>
      <c r="OSE24" s="2"/>
      <c r="OSF24" s="2"/>
      <c r="OSG24" s="2"/>
      <c r="OSH24" s="2"/>
      <c r="OSI24" s="2"/>
      <c r="OSJ24" s="2"/>
      <c r="OSK24" s="2"/>
      <c r="OSL24" s="2"/>
      <c r="OSM24" s="2"/>
      <c r="OSN24" s="2"/>
      <c r="OSO24" s="2"/>
      <c r="OSP24" s="2"/>
      <c r="OSQ24" s="2"/>
      <c r="OSR24" s="2"/>
      <c r="OSS24" s="2"/>
      <c r="OST24" s="2"/>
      <c r="OSU24" s="2"/>
      <c r="OSV24" s="2"/>
      <c r="OSW24" s="2"/>
      <c r="OSX24" s="2"/>
      <c r="OSY24" s="2"/>
      <c r="OSZ24" s="2"/>
      <c r="OTA24" s="2"/>
      <c r="OTB24" s="2"/>
      <c r="OTC24" s="2"/>
      <c r="OTD24" s="2"/>
      <c r="OTE24" s="2"/>
      <c r="OTF24" s="2"/>
      <c r="OTG24" s="2"/>
      <c r="OTH24" s="2"/>
      <c r="OTI24" s="2"/>
      <c r="OTJ24" s="2"/>
      <c r="OTK24" s="2"/>
      <c r="OTL24" s="2"/>
      <c r="OTM24" s="2"/>
      <c r="OTN24" s="2"/>
      <c r="OTO24" s="2"/>
      <c r="OTP24" s="2"/>
      <c r="OTQ24" s="2"/>
      <c r="OTR24" s="2"/>
      <c r="OTS24" s="2"/>
      <c r="OTT24" s="2"/>
      <c r="OTU24" s="2"/>
      <c r="OTV24" s="2"/>
      <c r="OTW24" s="2"/>
      <c r="OTX24" s="2"/>
      <c r="OTY24" s="2"/>
      <c r="OTZ24" s="2"/>
      <c r="OUA24" s="2"/>
      <c r="OUB24" s="2"/>
      <c r="OUC24" s="2"/>
      <c r="OUD24" s="2"/>
      <c r="OUE24" s="2"/>
      <c r="OUF24" s="2"/>
      <c r="OUG24" s="2"/>
      <c r="OUH24" s="2"/>
      <c r="OUI24" s="2"/>
      <c r="OUJ24" s="2"/>
      <c r="OUK24" s="2"/>
      <c r="OUL24" s="2"/>
      <c r="OUM24" s="2"/>
      <c r="OUN24" s="2"/>
      <c r="OUO24" s="2"/>
      <c r="OUP24" s="2"/>
      <c r="OUQ24" s="2"/>
      <c r="OUR24" s="2"/>
      <c r="OUS24" s="2"/>
      <c r="OUT24" s="2"/>
      <c r="OUU24" s="2"/>
      <c r="OUV24" s="2"/>
      <c r="OUW24" s="2"/>
      <c r="OUX24" s="2"/>
      <c r="OUY24" s="2"/>
      <c r="OUZ24" s="2"/>
      <c r="OVA24" s="2"/>
      <c r="OVB24" s="2"/>
      <c r="OVC24" s="2"/>
      <c r="OVD24" s="2"/>
      <c r="OVE24" s="2"/>
      <c r="OVF24" s="2"/>
      <c r="OVG24" s="2"/>
      <c r="OVH24" s="2"/>
      <c r="OVI24" s="2"/>
      <c r="OVJ24" s="2"/>
      <c r="OVK24" s="2"/>
      <c r="OVL24" s="2"/>
      <c r="OVM24" s="2"/>
      <c r="OVN24" s="2"/>
      <c r="OVO24" s="2"/>
      <c r="OVP24" s="2"/>
      <c r="OVQ24" s="2"/>
      <c r="OVR24" s="2"/>
      <c r="OVS24" s="2"/>
      <c r="OVT24" s="2"/>
      <c r="OVU24" s="2"/>
      <c r="OVV24" s="2"/>
      <c r="OVW24" s="2"/>
      <c r="OVX24" s="2"/>
      <c r="OVY24" s="2"/>
      <c r="OVZ24" s="2"/>
      <c r="OWA24" s="2"/>
      <c r="OWB24" s="2"/>
      <c r="OWC24" s="2"/>
      <c r="OWD24" s="2"/>
      <c r="OWE24" s="2"/>
      <c r="OWF24" s="2"/>
      <c r="OWG24" s="2"/>
      <c r="OWH24" s="2"/>
      <c r="OWI24" s="2"/>
      <c r="OWJ24" s="2"/>
      <c r="OWK24" s="2"/>
      <c r="OWL24" s="2"/>
      <c r="OWM24" s="2"/>
      <c r="OWN24" s="2"/>
      <c r="OWO24" s="2"/>
      <c r="OWP24" s="2"/>
      <c r="OWQ24" s="2"/>
      <c r="OWR24" s="2"/>
      <c r="OWS24" s="2"/>
      <c r="OWT24" s="2"/>
      <c r="OWU24" s="2"/>
      <c r="OWV24" s="2"/>
      <c r="OWW24" s="2"/>
      <c r="OWX24" s="2"/>
      <c r="OWY24" s="2"/>
      <c r="OWZ24" s="2"/>
      <c r="OXA24" s="2"/>
      <c r="OXB24" s="2"/>
      <c r="OXC24" s="2"/>
      <c r="OXD24" s="2"/>
      <c r="OXE24" s="2"/>
      <c r="OXF24" s="2"/>
      <c r="OXG24" s="2"/>
      <c r="OXH24" s="2"/>
      <c r="OXI24" s="2"/>
      <c r="OXJ24" s="2"/>
      <c r="OXK24" s="2"/>
      <c r="OXL24" s="2"/>
      <c r="OXM24" s="2"/>
      <c r="OXN24" s="2"/>
      <c r="OXO24" s="2"/>
      <c r="OXP24" s="2"/>
      <c r="OXQ24" s="2"/>
      <c r="OXR24" s="2"/>
      <c r="OXS24" s="2"/>
      <c r="OXT24" s="2"/>
      <c r="OXU24" s="2"/>
      <c r="OXV24" s="2"/>
      <c r="OXW24" s="2"/>
      <c r="OXX24" s="2"/>
      <c r="OXY24" s="2"/>
      <c r="OXZ24" s="2"/>
      <c r="OYA24" s="2"/>
      <c r="OYB24" s="2"/>
      <c r="OYC24" s="2"/>
      <c r="OYD24" s="2"/>
      <c r="OYE24" s="2"/>
      <c r="OYF24" s="2"/>
      <c r="OYG24" s="2"/>
      <c r="OYH24" s="2"/>
      <c r="OYI24" s="2"/>
      <c r="OYJ24" s="2"/>
      <c r="OYK24" s="2"/>
      <c r="OYL24" s="2"/>
      <c r="OYM24" s="2"/>
      <c r="OYN24" s="2"/>
      <c r="OYO24" s="2"/>
      <c r="OYP24" s="2"/>
      <c r="OYQ24" s="2"/>
      <c r="OYR24" s="2"/>
      <c r="OYS24" s="2"/>
      <c r="OYT24" s="2"/>
      <c r="OYU24" s="2"/>
      <c r="OYV24" s="2"/>
      <c r="OYW24" s="2"/>
      <c r="OYX24" s="2"/>
      <c r="OYY24" s="2"/>
      <c r="OYZ24" s="2"/>
      <c r="OZA24" s="2"/>
      <c r="OZB24" s="2"/>
      <c r="OZC24" s="2"/>
      <c r="OZD24" s="2"/>
      <c r="OZE24" s="2"/>
      <c r="OZF24" s="2"/>
      <c r="OZG24" s="2"/>
      <c r="OZH24" s="2"/>
      <c r="OZI24" s="2"/>
      <c r="OZJ24" s="2"/>
      <c r="OZK24" s="2"/>
      <c r="OZL24" s="2"/>
      <c r="OZM24" s="2"/>
      <c r="OZN24" s="2"/>
      <c r="OZO24" s="2"/>
      <c r="OZP24" s="2"/>
      <c r="OZQ24" s="2"/>
      <c r="OZR24" s="2"/>
      <c r="OZS24" s="2"/>
      <c r="OZT24" s="2"/>
      <c r="OZU24" s="2"/>
      <c r="OZV24" s="2"/>
      <c r="OZW24" s="2"/>
      <c r="OZX24" s="2"/>
      <c r="OZY24" s="2"/>
      <c r="OZZ24" s="2"/>
      <c r="PAA24" s="2"/>
      <c r="PAB24" s="2"/>
      <c r="PAC24" s="2"/>
      <c r="PAD24" s="2"/>
      <c r="PAE24" s="2"/>
      <c r="PAF24" s="2"/>
      <c r="PAG24" s="2"/>
      <c r="PAH24" s="2"/>
      <c r="PAI24" s="2"/>
      <c r="PAJ24" s="2"/>
      <c r="PAK24" s="2"/>
      <c r="PAL24" s="2"/>
      <c r="PAM24" s="2"/>
      <c r="PAN24" s="2"/>
      <c r="PAO24" s="2"/>
      <c r="PAP24" s="2"/>
      <c r="PAQ24" s="2"/>
      <c r="PAR24" s="2"/>
      <c r="PAS24" s="2"/>
      <c r="PAT24" s="2"/>
      <c r="PAU24" s="2"/>
      <c r="PAV24" s="2"/>
      <c r="PAW24" s="2"/>
      <c r="PAX24" s="2"/>
      <c r="PAY24" s="2"/>
      <c r="PAZ24" s="2"/>
      <c r="PBA24" s="2"/>
      <c r="PBB24" s="2"/>
      <c r="PBC24" s="2"/>
      <c r="PBD24" s="2"/>
      <c r="PBE24" s="2"/>
      <c r="PBF24" s="2"/>
      <c r="PBG24" s="2"/>
      <c r="PBH24" s="2"/>
      <c r="PBI24" s="2"/>
      <c r="PBJ24" s="2"/>
      <c r="PBK24" s="2"/>
      <c r="PBL24" s="2"/>
      <c r="PBM24" s="2"/>
      <c r="PBN24" s="2"/>
      <c r="PBO24" s="2"/>
      <c r="PBP24" s="2"/>
      <c r="PBQ24" s="2"/>
      <c r="PBR24" s="2"/>
      <c r="PBS24" s="2"/>
      <c r="PBT24" s="2"/>
      <c r="PBU24" s="2"/>
      <c r="PBV24" s="2"/>
      <c r="PBW24" s="2"/>
      <c r="PBX24" s="2"/>
      <c r="PBY24" s="2"/>
      <c r="PBZ24" s="2"/>
      <c r="PCA24" s="2"/>
      <c r="PCB24" s="2"/>
      <c r="PCC24" s="2"/>
      <c r="PCD24" s="2"/>
      <c r="PCE24" s="2"/>
      <c r="PCF24" s="2"/>
      <c r="PCG24" s="2"/>
      <c r="PCH24" s="2"/>
      <c r="PCI24" s="2"/>
      <c r="PCJ24" s="2"/>
      <c r="PCK24" s="2"/>
      <c r="PCL24" s="2"/>
      <c r="PCM24" s="2"/>
      <c r="PCN24" s="2"/>
      <c r="PCO24" s="2"/>
      <c r="PCP24" s="2"/>
      <c r="PCQ24" s="2"/>
      <c r="PCR24" s="2"/>
      <c r="PCS24" s="2"/>
      <c r="PCT24" s="2"/>
      <c r="PCU24" s="2"/>
      <c r="PCV24" s="2"/>
      <c r="PCW24" s="2"/>
      <c r="PCX24" s="2"/>
      <c r="PCY24" s="2"/>
      <c r="PCZ24" s="2"/>
      <c r="PDA24" s="2"/>
      <c r="PDB24" s="2"/>
      <c r="PDC24" s="2"/>
      <c r="PDD24" s="2"/>
      <c r="PDE24" s="2"/>
      <c r="PDF24" s="2"/>
      <c r="PDG24" s="2"/>
      <c r="PDH24" s="2"/>
      <c r="PDI24" s="2"/>
      <c r="PDJ24" s="2"/>
      <c r="PDK24" s="2"/>
      <c r="PDL24" s="2"/>
      <c r="PDM24" s="2"/>
      <c r="PDN24" s="2"/>
      <c r="PDO24" s="2"/>
      <c r="PDP24" s="2"/>
      <c r="PDQ24" s="2"/>
      <c r="PDR24" s="2"/>
      <c r="PDS24" s="2"/>
      <c r="PDT24" s="2"/>
      <c r="PDU24" s="2"/>
      <c r="PDV24" s="2"/>
      <c r="PDW24" s="2"/>
      <c r="PDX24" s="2"/>
      <c r="PDY24" s="2"/>
      <c r="PDZ24" s="2"/>
      <c r="PEA24" s="2"/>
      <c r="PEB24" s="2"/>
      <c r="PEC24" s="2"/>
      <c r="PED24" s="2"/>
      <c r="PEE24" s="2"/>
      <c r="PEF24" s="2"/>
      <c r="PEG24" s="2"/>
      <c r="PEH24" s="2"/>
      <c r="PEI24" s="2"/>
      <c r="PEJ24" s="2"/>
      <c r="PEK24" s="2"/>
      <c r="PEL24" s="2"/>
      <c r="PEM24" s="2"/>
      <c r="PEN24" s="2"/>
      <c r="PEO24" s="2"/>
      <c r="PEP24" s="2"/>
      <c r="PEQ24" s="2"/>
      <c r="PER24" s="2"/>
      <c r="PES24" s="2"/>
      <c r="PET24" s="2"/>
      <c r="PEU24" s="2"/>
      <c r="PEV24" s="2"/>
      <c r="PEW24" s="2"/>
      <c r="PEX24" s="2"/>
      <c r="PEY24" s="2"/>
      <c r="PEZ24" s="2"/>
      <c r="PFA24" s="2"/>
      <c r="PFB24" s="2"/>
      <c r="PFC24" s="2"/>
      <c r="PFD24" s="2"/>
      <c r="PFE24" s="2"/>
      <c r="PFF24" s="2"/>
      <c r="PFG24" s="2"/>
      <c r="PFH24" s="2"/>
      <c r="PFI24" s="2"/>
      <c r="PFJ24" s="2"/>
      <c r="PFK24" s="2"/>
      <c r="PFL24" s="2"/>
      <c r="PFM24" s="2"/>
      <c r="PFN24" s="2"/>
      <c r="PFO24" s="2"/>
      <c r="PFP24" s="2"/>
      <c r="PFQ24" s="2"/>
      <c r="PFR24" s="2"/>
      <c r="PFS24" s="2"/>
      <c r="PFT24" s="2"/>
      <c r="PFU24" s="2"/>
      <c r="PFV24" s="2"/>
      <c r="PFW24" s="2"/>
      <c r="PFX24" s="2"/>
      <c r="PFY24" s="2"/>
      <c r="PFZ24" s="2"/>
      <c r="PGA24" s="2"/>
      <c r="PGB24" s="2"/>
      <c r="PGC24" s="2"/>
      <c r="PGD24" s="2"/>
      <c r="PGE24" s="2"/>
      <c r="PGF24" s="2"/>
      <c r="PGG24" s="2"/>
      <c r="PGH24" s="2"/>
      <c r="PGI24" s="2"/>
      <c r="PGJ24" s="2"/>
      <c r="PGK24" s="2"/>
      <c r="PGL24" s="2"/>
      <c r="PGM24" s="2"/>
      <c r="PGN24" s="2"/>
      <c r="PGO24" s="2"/>
      <c r="PGP24" s="2"/>
      <c r="PGQ24" s="2"/>
      <c r="PGR24" s="2"/>
      <c r="PGS24" s="2"/>
      <c r="PGT24" s="2"/>
      <c r="PGU24" s="2"/>
      <c r="PGV24" s="2"/>
      <c r="PGW24" s="2"/>
      <c r="PGX24" s="2"/>
      <c r="PGY24" s="2"/>
      <c r="PGZ24" s="2"/>
      <c r="PHA24" s="2"/>
      <c r="PHB24" s="2"/>
      <c r="PHC24" s="2"/>
      <c r="PHD24" s="2"/>
      <c r="PHE24" s="2"/>
      <c r="PHF24" s="2"/>
      <c r="PHG24" s="2"/>
      <c r="PHH24" s="2"/>
      <c r="PHI24" s="2"/>
      <c r="PHJ24" s="2"/>
      <c r="PHK24" s="2"/>
      <c r="PHL24" s="2"/>
      <c r="PHM24" s="2"/>
      <c r="PHN24" s="2"/>
      <c r="PHO24" s="2"/>
      <c r="PHP24" s="2"/>
      <c r="PHQ24" s="2"/>
      <c r="PHR24" s="2"/>
      <c r="PHS24" s="2"/>
      <c r="PHT24" s="2"/>
      <c r="PHU24" s="2"/>
      <c r="PHV24" s="2"/>
      <c r="PHW24" s="2"/>
      <c r="PHX24" s="2"/>
      <c r="PHY24" s="2"/>
      <c r="PHZ24" s="2"/>
      <c r="PIA24" s="2"/>
      <c r="PIB24" s="2"/>
      <c r="PIC24" s="2"/>
      <c r="PID24" s="2"/>
      <c r="PIE24" s="2"/>
      <c r="PIF24" s="2"/>
      <c r="PIG24" s="2"/>
      <c r="PIH24" s="2"/>
      <c r="PII24" s="2"/>
      <c r="PIJ24" s="2"/>
      <c r="PIK24" s="2"/>
      <c r="PIL24" s="2"/>
      <c r="PIM24" s="2"/>
      <c r="PIN24" s="2"/>
      <c r="PIO24" s="2"/>
      <c r="PIP24" s="2"/>
      <c r="PIQ24" s="2"/>
      <c r="PIR24" s="2"/>
      <c r="PIS24" s="2"/>
      <c r="PIT24" s="2"/>
      <c r="PIU24" s="2"/>
      <c r="PIV24" s="2"/>
      <c r="PIW24" s="2"/>
      <c r="PIX24" s="2"/>
      <c r="PIY24" s="2"/>
      <c r="PIZ24" s="2"/>
      <c r="PJA24" s="2"/>
      <c r="PJB24" s="2"/>
      <c r="PJC24" s="2"/>
      <c r="PJD24" s="2"/>
      <c r="PJE24" s="2"/>
      <c r="PJF24" s="2"/>
      <c r="PJG24" s="2"/>
      <c r="PJH24" s="2"/>
      <c r="PJI24" s="2"/>
      <c r="PJJ24" s="2"/>
      <c r="PJK24" s="2"/>
      <c r="PJL24" s="2"/>
      <c r="PJM24" s="2"/>
      <c r="PJN24" s="2"/>
      <c r="PJO24" s="2"/>
      <c r="PJP24" s="2"/>
      <c r="PJQ24" s="2"/>
      <c r="PJR24" s="2"/>
      <c r="PJS24" s="2"/>
      <c r="PJT24" s="2"/>
      <c r="PJU24" s="2"/>
      <c r="PJV24" s="2"/>
      <c r="PJW24" s="2"/>
      <c r="PJX24" s="2"/>
      <c r="PJY24" s="2"/>
      <c r="PJZ24" s="2"/>
      <c r="PKA24" s="2"/>
      <c r="PKB24" s="2"/>
      <c r="PKC24" s="2"/>
      <c r="PKD24" s="2"/>
      <c r="PKE24" s="2"/>
      <c r="PKF24" s="2"/>
      <c r="PKG24" s="2"/>
      <c r="PKH24" s="2"/>
      <c r="PKI24" s="2"/>
      <c r="PKJ24" s="2"/>
      <c r="PKK24" s="2"/>
      <c r="PKL24" s="2"/>
      <c r="PKM24" s="2"/>
      <c r="PKN24" s="2"/>
      <c r="PKO24" s="2"/>
      <c r="PKP24" s="2"/>
      <c r="PKQ24" s="2"/>
      <c r="PKR24" s="2"/>
      <c r="PKS24" s="2"/>
      <c r="PKT24" s="2"/>
      <c r="PKU24" s="2"/>
      <c r="PKV24" s="2"/>
      <c r="PKW24" s="2"/>
      <c r="PKX24" s="2"/>
      <c r="PKY24" s="2"/>
      <c r="PKZ24" s="2"/>
      <c r="PLA24" s="2"/>
      <c r="PLB24" s="2"/>
      <c r="PLC24" s="2"/>
      <c r="PLD24" s="2"/>
      <c r="PLE24" s="2"/>
      <c r="PLF24" s="2"/>
      <c r="PLG24" s="2"/>
      <c r="PLH24" s="2"/>
      <c r="PLI24" s="2"/>
      <c r="PLJ24" s="2"/>
      <c r="PLK24" s="2"/>
      <c r="PLL24" s="2"/>
      <c r="PLM24" s="2"/>
      <c r="PLN24" s="2"/>
      <c r="PLO24" s="2"/>
      <c r="PLP24" s="2"/>
      <c r="PLQ24" s="2"/>
      <c r="PLR24" s="2"/>
      <c r="PLS24" s="2"/>
      <c r="PLT24" s="2"/>
      <c r="PLU24" s="2"/>
      <c r="PLV24" s="2"/>
      <c r="PLW24" s="2"/>
      <c r="PLX24" s="2"/>
      <c r="PLY24" s="2"/>
      <c r="PLZ24" s="2"/>
      <c r="PMA24" s="2"/>
      <c r="PMB24" s="2"/>
      <c r="PMC24" s="2"/>
      <c r="PMD24" s="2"/>
      <c r="PME24" s="2"/>
      <c r="PMF24" s="2"/>
      <c r="PMG24" s="2"/>
      <c r="PMH24" s="2"/>
      <c r="PMI24" s="2"/>
      <c r="PMJ24" s="2"/>
      <c r="PMK24" s="2"/>
      <c r="PML24" s="2"/>
      <c r="PMM24" s="2"/>
      <c r="PMN24" s="2"/>
      <c r="PMO24" s="2"/>
      <c r="PMP24" s="2"/>
      <c r="PMQ24" s="2"/>
      <c r="PMR24" s="2"/>
      <c r="PMS24" s="2"/>
      <c r="PMT24" s="2"/>
      <c r="PMU24" s="2"/>
      <c r="PMV24" s="2"/>
      <c r="PMW24" s="2"/>
      <c r="PMX24" s="2"/>
      <c r="PMY24" s="2"/>
      <c r="PMZ24" s="2"/>
      <c r="PNA24" s="2"/>
      <c r="PNB24" s="2"/>
      <c r="PNC24" s="2"/>
      <c r="PND24" s="2"/>
      <c r="PNE24" s="2"/>
      <c r="PNF24" s="2"/>
      <c r="PNG24" s="2"/>
      <c r="PNH24" s="2"/>
      <c r="PNI24" s="2"/>
      <c r="PNJ24" s="2"/>
      <c r="PNK24" s="2"/>
      <c r="PNL24" s="2"/>
      <c r="PNM24" s="2"/>
      <c r="PNN24" s="2"/>
      <c r="PNO24" s="2"/>
      <c r="PNP24" s="2"/>
      <c r="PNQ24" s="2"/>
      <c r="PNR24" s="2"/>
      <c r="PNS24" s="2"/>
      <c r="PNT24" s="2"/>
      <c r="PNU24" s="2"/>
      <c r="PNV24" s="2"/>
      <c r="PNW24" s="2"/>
      <c r="PNX24" s="2"/>
      <c r="PNY24" s="2"/>
      <c r="PNZ24" s="2"/>
      <c r="POA24" s="2"/>
      <c r="POB24" s="2"/>
      <c r="POC24" s="2"/>
      <c r="POD24" s="2"/>
      <c r="POE24" s="2"/>
      <c r="POF24" s="2"/>
      <c r="POG24" s="2"/>
      <c r="POH24" s="2"/>
      <c r="POI24" s="2"/>
      <c r="POJ24" s="2"/>
      <c r="POK24" s="2"/>
      <c r="POL24" s="2"/>
      <c r="POM24" s="2"/>
      <c r="PON24" s="2"/>
      <c r="POO24" s="2"/>
      <c r="POP24" s="2"/>
      <c r="POQ24" s="2"/>
      <c r="POR24" s="2"/>
      <c r="POS24" s="2"/>
      <c r="POT24" s="2"/>
      <c r="POU24" s="2"/>
      <c r="POV24" s="2"/>
      <c r="POW24" s="2"/>
      <c r="POX24" s="2"/>
      <c r="POY24" s="2"/>
      <c r="POZ24" s="2"/>
      <c r="PPA24" s="2"/>
      <c r="PPB24" s="2"/>
      <c r="PPC24" s="2"/>
      <c r="PPD24" s="2"/>
      <c r="PPE24" s="2"/>
      <c r="PPF24" s="2"/>
      <c r="PPG24" s="2"/>
      <c r="PPH24" s="2"/>
      <c r="PPI24" s="2"/>
      <c r="PPJ24" s="2"/>
      <c r="PPK24" s="2"/>
      <c r="PPL24" s="2"/>
      <c r="PPM24" s="2"/>
      <c r="PPN24" s="2"/>
      <c r="PPO24" s="2"/>
      <c r="PPP24" s="2"/>
      <c r="PPQ24" s="2"/>
      <c r="PPR24" s="2"/>
      <c r="PPS24" s="2"/>
      <c r="PPT24" s="2"/>
      <c r="PPU24" s="2"/>
      <c r="PPV24" s="2"/>
      <c r="PPW24" s="2"/>
      <c r="PPX24" s="2"/>
      <c r="PPY24" s="2"/>
      <c r="PPZ24" s="2"/>
      <c r="PQA24" s="2"/>
      <c r="PQB24" s="2"/>
      <c r="PQC24" s="2"/>
      <c r="PQD24" s="2"/>
      <c r="PQE24" s="2"/>
      <c r="PQF24" s="2"/>
      <c r="PQG24" s="2"/>
      <c r="PQH24" s="2"/>
      <c r="PQI24" s="2"/>
      <c r="PQJ24" s="2"/>
      <c r="PQK24" s="2"/>
      <c r="PQL24" s="2"/>
      <c r="PQM24" s="2"/>
      <c r="PQN24" s="2"/>
      <c r="PQO24" s="2"/>
      <c r="PQP24" s="2"/>
      <c r="PQQ24" s="2"/>
      <c r="PQR24" s="2"/>
      <c r="PQS24" s="2"/>
      <c r="PQT24" s="2"/>
      <c r="PQU24" s="2"/>
      <c r="PQV24" s="2"/>
      <c r="PQW24" s="2"/>
      <c r="PQX24" s="2"/>
      <c r="PQY24" s="2"/>
      <c r="PQZ24" s="2"/>
      <c r="PRA24" s="2"/>
      <c r="PRB24" s="2"/>
      <c r="PRC24" s="2"/>
      <c r="PRD24" s="2"/>
      <c r="PRE24" s="2"/>
      <c r="PRF24" s="2"/>
      <c r="PRG24" s="2"/>
      <c r="PRH24" s="2"/>
      <c r="PRI24" s="2"/>
      <c r="PRJ24" s="2"/>
      <c r="PRK24" s="2"/>
      <c r="PRL24" s="2"/>
      <c r="PRM24" s="2"/>
      <c r="PRN24" s="2"/>
      <c r="PRO24" s="2"/>
      <c r="PRP24" s="2"/>
      <c r="PRQ24" s="2"/>
      <c r="PRR24" s="2"/>
      <c r="PRS24" s="2"/>
      <c r="PRT24" s="2"/>
      <c r="PRU24" s="2"/>
      <c r="PRV24" s="2"/>
      <c r="PRW24" s="2"/>
      <c r="PRX24" s="2"/>
      <c r="PRY24" s="2"/>
      <c r="PRZ24" s="2"/>
      <c r="PSA24" s="2"/>
      <c r="PSB24" s="2"/>
      <c r="PSC24" s="2"/>
      <c r="PSD24" s="2"/>
      <c r="PSE24" s="2"/>
      <c r="PSF24" s="2"/>
      <c r="PSG24" s="2"/>
      <c r="PSH24" s="2"/>
      <c r="PSI24" s="2"/>
      <c r="PSJ24" s="2"/>
      <c r="PSK24" s="2"/>
      <c r="PSL24" s="2"/>
      <c r="PSM24" s="2"/>
      <c r="PSN24" s="2"/>
      <c r="PSO24" s="2"/>
      <c r="PSP24" s="2"/>
      <c r="PSQ24" s="2"/>
      <c r="PSR24" s="2"/>
      <c r="PSS24" s="2"/>
      <c r="PST24" s="2"/>
      <c r="PSU24" s="2"/>
      <c r="PSV24" s="2"/>
      <c r="PSW24" s="2"/>
      <c r="PSX24" s="2"/>
      <c r="PSY24" s="2"/>
      <c r="PSZ24" s="2"/>
      <c r="PTA24" s="2"/>
      <c r="PTB24" s="2"/>
      <c r="PTC24" s="2"/>
      <c r="PTD24" s="2"/>
      <c r="PTE24" s="2"/>
      <c r="PTF24" s="2"/>
      <c r="PTG24" s="2"/>
      <c r="PTH24" s="2"/>
      <c r="PTI24" s="2"/>
      <c r="PTJ24" s="2"/>
      <c r="PTK24" s="2"/>
      <c r="PTL24" s="2"/>
      <c r="PTM24" s="2"/>
      <c r="PTN24" s="2"/>
      <c r="PTO24" s="2"/>
      <c r="PTP24" s="2"/>
      <c r="PTQ24" s="2"/>
      <c r="PTR24" s="2"/>
      <c r="PTS24" s="2"/>
      <c r="PTT24" s="2"/>
      <c r="PTU24" s="2"/>
      <c r="PTV24" s="2"/>
      <c r="PTW24" s="2"/>
      <c r="PTX24" s="2"/>
      <c r="PTY24" s="2"/>
      <c r="PTZ24" s="2"/>
      <c r="PUA24" s="2"/>
      <c r="PUB24" s="2"/>
      <c r="PUC24" s="2"/>
      <c r="PUD24" s="2"/>
      <c r="PUE24" s="2"/>
      <c r="PUF24" s="2"/>
      <c r="PUG24" s="2"/>
      <c r="PUH24" s="2"/>
      <c r="PUI24" s="2"/>
      <c r="PUJ24" s="2"/>
      <c r="PUK24" s="2"/>
      <c r="PUL24" s="2"/>
      <c r="PUM24" s="2"/>
      <c r="PUN24" s="2"/>
      <c r="PUO24" s="2"/>
      <c r="PUP24" s="2"/>
      <c r="PUQ24" s="2"/>
      <c r="PUR24" s="2"/>
      <c r="PUS24" s="2"/>
      <c r="PUT24" s="2"/>
      <c r="PUU24" s="2"/>
      <c r="PUV24" s="2"/>
      <c r="PUW24" s="2"/>
      <c r="PUX24" s="2"/>
      <c r="PUY24" s="2"/>
      <c r="PUZ24" s="2"/>
      <c r="PVA24" s="2"/>
      <c r="PVB24" s="2"/>
      <c r="PVC24" s="2"/>
      <c r="PVD24" s="2"/>
      <c r="PVE24" s="2"/>
      <c r="PVF24" s="2"/>
      <c r="PVG24" s="2"/>
      <c r="PVH24" s="2"/>
      <c r="PVI24" s="2"/>
      <c r="PVJ24" s="2"/>
      <c r="PVK24" s="2"/>
      <c r="PVL24" s="2"/>
      <c r="PVM24" s="2"/>
      <c r="PVN24" s="2"/>
      <c r="PVO24" s="2"/>
      <c r="PVP24" s="2"/>
      <c r="PVQ24" s="2"/>
      <c r="PVR24" s="2"/>
      <c r="PVS24" s="2"/>
      <c r="PVT24" s="2"/>
      <c r="PVU24" s="2"/>
      <c r="PVV24" s="2"/>
      <c r="PVW24" s="2"/>
      <c r="PVX24" s="2"/>
      <c r="PVY24" s="2"/>
      <c r="PVZ24" s="2"/>
      <c r="PWA24" s="2"/>
      <c r="PWB24" s="2"/>
      <c r="PWC24" s="2"/>
      <c r="PWD24" s="2"/>
      <c r="PWE24" s="2"/>
      <c r="PWF24" s="2"/>
      <c r="PWG24" s="2"/>
      <c r="PWH24" s="2"/>
      <c r="PWI24" s="2"/>
      <c r="PWJ24" s="2"/>
      <c r="PWK24" s="2"/>
      <c r="PWL24" s="2"/>
      <c r="PWM24" s="2"/>
      <c r="PWN24" s="2"/>
      <c r="PWO24" s="2"/>
      <c r="PWP24" s="2"/>
      <c r="PWQ24" s="2"/>
      <c r="PWR24" s="2"/>
      <c r="PWS24" s="2"/>
      <c r="PWT24" s="2"/>
      <c r="PWU24" s="2"/>
      <c r="PWV24" s="2"/>
      <c r="PWW24" s="2"/>
      <c r="PWX24" s="2"/>
      <c r="PWY24" s="2"/>
      <c r="PWZ24" s="2"/>
      <c r="PXA24" s="2"/>
      <c r="PXB24" s="2"/>
      <c r="PXC24" s="2"/>
      <c r="PXD24" s="2"/>
      <c r="PXE24" s="2"/>
      <c r="PXF24" s="2"/>
      <c r="PXG24" s="2"/>
      <c r="PXH24" s="2"/>
      <c r="PXI24" s="2"/>
      <c r="PXJ24" s="2"/>
      <c r="PXK24" s="2"/>
      <c r="PXL24" s="2"/>
      <c r="PXM24" s="2"/>
      <c r="PXN24" s="2"/>
      <c r="PXO24" s="2"/>
      <c r="PXP24" s="2"/>
      <c r="PXQ24" s="2"/>
      <c r="PXR24" s="2"/>
      <c r="PXS24" s="2"/>
      <c r="PXT24" s="2"/>
      <c r="PXU24" s="2"/>
      <c r="PXV24" s="2"/>
      <c r="PXW24" s="2"/>
      <c r="PXX24" s="2"/>
      <c r="PXY24" s="2"/>
      <c r="PXZ24" s="2"/>
      <c r="PYA24" s="2"/>
      <c r="PYB24" s="2"/>
      <c r="PYC24" s="2"/>
      <c r="PYD24" s="2"/>
      <c r="PYE24" s="2"/>
      <c r="PYF24" s="2"/>
      <c r="PYG24" s="2"/>
      <c r="PYH24" s="2"/>
      <c r="PYI24" s="2"/>
      <c r="PYJ24" s="2"/>
      <c r="PYK24" s="2"/>
      <c r="PYL24" s="2"/>
      <c r="PYM24" s="2"/>
      <c r="PYN24" s="2"/>
      <c r="PYO24" s="2"/>
      <c r="PYP24" s="2"/>
      <c r="PYQ24" s="2"/>
      <c r="PYR24" s="2"/>
      <c r="PYS24" s="2"/>
      <c r="PYT24" s="2"/>
      <c r="PYU24" s="2"/>
      <c r="PYV24" s="2"/>
      <c r="PYW24" s="2"/>
      <c r="PYX24" s="2"/>
      <c r="PYY24" s="2"/>
      <c r="PYZ24" s="2"/>
      <c r="PZA24" s="2"/>
      <c r="PZB24" s="2"/>
      <c r="PZC24" s="2"/>
      <c r="PZD24" s="2"/>
      <c r="PZE24" s="2"/>
      <c r="PZF24" s="2"/>
      <c r="PZG24" s="2"/>
      <c r="PZH24" s="2"/>
      <c r="PZI24" s="2"/>
      <c r="PZJ24" s="2"/>
      <c r="PZK24" s="2"/>
      <c r="PZL24" s="2"/>
      <c r="PZM24" s="2"/>
      <c r="PZN24" s="2"/>
      <c r="PZO24" s="2"/>
      <c r="PZP24" s="2"/>
      <c r="PZQ24" s="2"/>
      <c r="PZR24" s="2"/>
      <c r="PZS24" s="2"/>
      <c r="PZT24" s="2"/>
      <c r="PZU24" s="2"/>
      <c r="PZV24" s="2"/>
      <c r="PZW24" s="2"/>
      <c r="PZX24" s="2"/>
      <c r="PZY24" s="2"/>
      <c r="PZZ24" s="2"/>
      <c r="QAA24" s="2"/>
      <c r="QAB24" s="2"/>
      <c r="QAC24" s="2"/>
      <c r="QAD24" s="2"/>
      <c r="QAE24" s="2"/>
      <c r="QAF24" s="2"/>
      <c r="QAG24" s="2"/>
      <c r="QAH24" s="2"/>
      <c r="QAI24" s="2"/>
      <c r="QAJ24" s="2"/>
      <c r="QAK24" s="2"/>
      <c r="QAL24" s="2"/>
      <c r="QAM24" s="2"/>
      <c r="QAN24" s="2"/>
      <c r="QAO24" s="2"/>
      <c r="QAP24" s="2"/>
      <c r="QAQ24" s="2"/>
      <c r="QAR24" s="2"/>
      <c r="QAS24" s="2"/>
      <c r="QAT24" s="2"/>
      <c r="QAU24" s="2"/>
      <c r="QAV24" s="2"/>
      <c r="QAW24" s="2"/>
      <c r="QAX24" s="2"/>
      <c r="QAY24" s="2"/>
      <c r="QAZ24" s="2"/>
      <c r="QBA24" s="2"/>
      <c r="QBB24" s="2"/>
      <c r="QBC24" s="2"/>
      <c r="QBD24" s="2"/>
      <c r="QBE24" s="2"/>
      <c r="QBF24" s="2"/>
      <c r="QBG24" s="2"/>
      <c r="QBH24" s="2"/>
      <c r="QBI24" s="2"/>
      <c r="QBJ24" s="2"/>
      <c r="QBK24" s="2"/>
      <c r="QBL24" s="2"/>
      <c r="QBM24" s="2"/>
      <c r="QBN24" s="2"/>
      <c r="QBO24" s="2"/>
      <c r="QBP24" s="2"/>
      <c r="QBQ24" s="2"/>
      <c r="QBR24" s="2"/>
      <c r="QBS24" s="2"/>
      <c r="QBT24" s="2"/>
      <c r="QBU24" s="2"/>
      <c r="QBV24" s="2"/>
      <c r="QBW24" s="2"/>
      <c r="QBX24" s="2"/>
      <c r="QBY24" s="2"/>
      <c r="QBZ24" s="2"/>
      <c r="QCA24" s="2"/>
      <c r="QCB24" s="2"/>
      <c r="QCC24" s="2"/>
      <c r="QCD24" s="2"/>
      <c r="QCE24" s="2"/>
      <c r="QCF24" s="2"/>
      <c r="QCG24" s="2"/>
      <c r="QCH24" s="2"/>
      <c r="QCI24" s="2"/>
      <c r="QCJ24" s="2"/>
      <c r="QCK24" s="2"/>
      <c r="QCL24" s="2"/>
      <c r="QCM24" s="2"/>
      <c r="QCN24" s="2"/>
      <c r="QCO24" s="2"/>
      <c r="QCP24" s="2"/>
      <c r="QCQ24" s="2"/>
      <c r="QCR24" s="2"/>
      <c r="QCS24" s="2"/>
      <c r="QCT24" s="2"/>
      <c r="QCU24" s="2"/>
      <c r="QCV24" s="2"/>
      <c r="QCW24" s="2"/>
      <c r="QCX24" s="2"/>
      <c r="QCY24" s="2"/>
      <c r="QCZ24" s="2"/>
      <c r="QDA24" s="2"/>
      <c r="QDB24" s="2"/>
      <c r="QDC24" s="2"/>
      <c r="QDD24" s="2"/>
      <c r="QDE24" s="2"/>
      <c r="QDF24" s="2"/>
      <c r="QDG24" s="2"/>
      <c r="QDH24" s="2"/>
      <c r="QDI24" s="2"/>
      <c r="QDJ24" s="2"/>
      <c r="QDK24" s="2"/>
      <c r="QDL24" s="2"/>
      <c r="QDM24" s="2"/>
      <c r="QDN24" s="2"/>
      <c r="QDO24" s="2"/>
      <c r="QDP24" s="2"/>
      <c r="QDQ24" s="2"/>
      <c r="QDR24" s="2"/>
      <c r="QDS24" s="2"/>
      <c r="QDT24" s="2"/>
      <c r="QDU24" s="2"/>
      <c r="QDV24" s="2"/>
      <c r="QDW24" s="2"/>
      <c r="QDX24" s="2"/>
      <c r="QDY24" s="2"/>
      <c r="QDZ24" s="2"/>
      <c r="QEA24" s="2"/>
      <c r="QEB24" s="2"/>
      <c r="QEC24" s="2"/>
      <c r="QED24" s="2"/>
      <c r="QEE24" s="2"/>
      <c r="QEF24" s="2"/>
      <c r="QEG24" s="2"/>
      <c r="QEH24" s="2"/>
      <c r="QEI24" s="2"/>
      <c r="QEJ24" s="2"/>
      <c r="QEK24" s="2"/>
      <c r="QEL24" s="2"/>
      <c r="QEM24" s="2"/>
      <c r="QEN24" s="2"/>
      <c r="QEO24" s="2"/>
      <c r="QEP24" s="2"/>
      <c r="QEQ24" s="2"/>
      <c r="QER24" s="2"/>
      <c r="QES24" s="2"/>
      <c r="QET24" s="2"/>
      <c r="QEU24" s="2"/>
      <c r="QEV24" s="2"/>
      <c r="QEW24" s="2"/>
      <c r="QEX24" s="2"/>
      <c r="QEY24" s="2"/>
      <c r="QEZ24" s="2"/>
      <c r="QFA24" s="2"/>
      <c r="QFB24" s="2"/>
      <c r="QFC24" s="2"/>
      <c r="QFD24" s="2"/>
      <c r="QFE24" s="2"/>
      <c r="QFF24" s="2"/>
      <c r="QFG24" s="2"/>
      <c r="QFH24" s="2"/>
      <c r="QFI24" s="2"/>
      <c r="QFJ24" s="2"/>
      <c r="QFK24" s="2"/>
      <c r="QFL24" s="2"/>
      <c r="QFM24" s="2"/>
      <c r="QFN24" s="2"/>
      <c r="QFO24" s="2"/>
      <c r="QFP24" s="2"/>
      <c r="QFQ24" s="2"/>
      <c r="QFR24" s="2"/>
      <c r="QFS24" s="2"/>
      <c r="QFT24" s="2"/>
      <c r="QFU24" s="2"/>
      <c r="QFV24" s="2"/>
      <c r="QFW24" s="2"/>
      <c r="QFX24" s="2"/>
      <c r="QFY24" s="2"/>
      <c r="QFZ24" s="2"/>
      <c r="QGA24" s="2"/>
      <c r="QGB24" s="2"/>
      <c r="QGC24" s="2"/>
      <c r="QGD24" s="2"/>
      <c r="QGE24" s="2"/>
      <c r="QGF24" s="2"/>
      <c r="QGG24" s="2"/>
      <c r="QGH24" s="2"/>
      <c r="QGI24" s="2"/>
      <c r="QGJ24" s="2"/>
      <c r="QGK24" s="2"/>
      <c r="QGL24" s="2"/>
      <c r="QGM24" s="2"/>
      <c r="QGN24" s="2"/>
      <c r="QGO24" s="2"/>
      <c r="QGP24" s="2"/>
      <c r="QGQ24" s="2"/>
      <c r="QGR24" s="2"/>
      <c r="QGS24" s="2"/>
      <c r="QGT24" s="2"/>
      <c r="QGU24" s="2"/>
      <c r="QGV24" s="2"/>
      <c r="QGW24" s="2"/>
      <c r="QGX24" s="2"/>
      <c r="QGY24" s="2"/>
      <c r="QGZ24" s="2"/>
      <c r="QHA24" s="2"/>
      <c r="QHB24" s="2"/>
      <c r="QHC24" s="2"/>
      <c r="QHD24" s="2"/>
      <c r="QHE24" s="2"/>
      <c r="QHF24" s="2"/>
      <c r="QHG24" s="2"/>
      <c r="QHH24" s="2"/>
      <c r="QHI24" s="2"/>
      <c r="QHJ24" s="2"/>
      <c r="QHK24" s="2"/>
      <c r="QHL24" s="2"/>
      <c r="QHM24" s="2"/>
      <c r="QHN24" s="2"/>
      <c r="QHO24" s="2"/>
      <c r="QHP24" s="2"/>
      <c r="QHQ24" s="2"/>
      <c r="QHR24" s="2"/>
      <c r="QHS24" s="2"/>
      <c r="QHT24" s="2"/>
      <c r="QHU24" s="2"/>
      <c r="QHV24" s="2"/>
      <c r="QHW24" s="2"/>
      <c r="QHX24" s="2"/>
      <c r="QHY24" s="2"/>
      <c r="QHZ24" s="2"/>
      <c r="QIA24" s="2"/>
      <c r="QIB24" s="2"/>
      <c r="QIC24" s="2"/>
      <c r="QID24" s="2"/>
      <c r="QIE24" s="2"/>
      <c r="QIF24" s="2"/>
      <c r="QIG24" s="2"/>
      <c r="QIH24" s="2"/>
      <c r="QII24" s="2"/>
      <c r="QIJ24" s="2"/>
      <c r="QIK24" s="2"/>
      <c r="QIL24" s="2"/>
      <c r="QIM24" s="2"/>
      <c r="QIN24" s="2"/>
      <c r="QIO24" s="2"/>
      <c r="QIP24" s="2"/>
      <c r="QIQ24" s="2"/>
      <c r="QIR24" s="2"/>
      <c r="QIS24" s="2"/>
      <c r="QIT24" s="2"/>
      <c r="QIU24" s="2"/>
      <c r="QIV24" s="2"/>
      <c r="QIW24" s="2"/>
      <c r="QIX24" s="2"/>
      <c r="QIY24" s="2"/>
      <c r="QIZ24" s="2"/>
      <c r="QJA24" s="2"/>
      <c r="QJB24" s="2"/>
      <c r="QJC24" s="2"/>
      <c r="QJD24" s="2"/>
      <c r="QJE24" s="2"/>
      <c r="QJF24" s="2"/>
      <c r="QJG24" s="2"/>
      <c r="QJH24" s="2"/>
      <c r="QJI24" s="2"/>
      <c r="QJJ24" s="2"/>
      <c r="QJK24" s="2"/>
      <c r="QJL24" s="2"/>
      <c r="QJM24" s="2"/>
      <c r="QJN24" s="2"/>
      <c r="QJO24" s="2"/>
      <c r="QJP24" s="2"/>
      <c r="QJQ24" s="2"/>
      <c r="QJR24" s="2"/>
      <c r="QJS24" s="2"/>
      <c r="QJT24" s="2"/>
      <c r="QJU24" s="2"/>
      <c r="QJV24" s="2"/>
      <c r="QJW24" s="2"/>
      <c r="QJX24" s="2"/>
      <c r="QJY24" s="2"/>
      <c r="QJZ24" s="2"/>
      <c r="QKA24" s="2"/>
      <c r="QKB24" s="2"/>
      <c r="QKC24" s="2"/>
      <c r="QKD24" s="2"/>
      <c r="QKE24" s="2"/>
      <c r="QKF24" s="2"/>
      <c r="QKG24" s="2"/>
      <c r="QKH24" s="2"/>
      <c r="QKI24" s="2"/>
      <c r="QKJ24" s="2"/>
      <c r="QKK24" s="2"/>
      <c r="QKL24" s="2"/>
      <c r="QKM24" s="2"/>
      <c r="QKN24" s="2"/>
      <c r="QKO24" s="2"/>
      <c r="QKP24" s="2"/>
      <c r="QKQ24" s="2"/>
      <c r="QKR24" s="2"/>
      <c r="QKS24" s="2"/>
      <c r="QKT24" s="2"/>
      <c r="QKU24" s="2"/>
      <c r="QKV24" s="2"/>
      <c r="QKW24" s="2"/>
      <c r="QKX24" s="2"/>
      <c r="QKY24" s="2"/>
      <c r="QKZ24" s="2"/>
      <c r="QLA24" s="2"/>
      <c r="QLB24" s="2"/>
      <c r="QLC24" s="2"/>
      <c r="QLD24" s="2"/>
      <c r="QLE24" s="2"/>
      <c r="QLF24" s="2"/>
      <c r="QLG24" s="2"/>
      <c r="QLH24" s="2"/>
      <c r="QLI24" s="2"/>
      <c r="QLJ24" s="2"/>
      <c r="QLK24" s="2"/>
      <c r="QLL24" s="2"/>
      <c r="QLM24" s="2"/>
      <c r="QLN24" s="2"/>
      <c r="QLO24" s="2"/>
      <c r="QLP24" s="2"/>
      <c r="QLQ24" s="2"/>
      <c r="QLR24" s="2"/>
      <c r="QLS24" s="2"/>
      <c r="QLT24" s="2"/>
      <c r="QLU24" s="2"/>
      <c r="QLV24" s="2"/>
      <c r="QLW24" s="2"/>
      <c r="QLX24" s="2"/>
      <c r="QLY24" s="2"/>
      <c r="QLZ24" s="2"/>
      <c r="QMA24" s="2"/>
      <c r="QMB24" s="2"/>
      <c r="QMC24" s="2"/>
      <c r="QMD24" s="2"/>
      <c r="QME24" s="2"/>
      <c r="QMF24" s="2"/>
      <c r="QMG24" s="2"/>
      <c r="QMH24" s="2"/>
      <c r="QMI24" s="2"/>
      <c r="QMJ24" s="2"/>
      <c r="QMK24" s="2"/>
      <c r="QML24" s="2"/>
      <c r="QMM24" s="2"/>
      <c r="QMN24" s="2"/>
      <c r="QMO24" s="2"/>
      <c r="QMP24" s="2"/>
      <c r="QMQ24" s="2"/>
      <c r="QMR24" s="2"/>
      <c r="QMS24" s="2"/>
      <c r="QMT24" s="2"/>
      <c r="QMU24" s="2"/>
      <c r="QMV24" s="2"/>
      <c r="QMW24" s="2"/>
      <c r="QMX24" s="2"/>
      <c r="QMY24" s="2"/>
      <c r="QMZ24" s="2"/>
      <c r="QNA24" s="2"/>
      <c r="QNB24" s="2"/>
      <c r="QNC24" s="2"/>
      <c r="QND24" s="2"/>
      <c r="QNE24" s="2"/>
      <c r="QNF24" s="2"/>
      <c r="QNG24" s="2"/>
      <c r="QNH24" s="2"/>
      <c r="QNI24" s="2"/>
      <c r="QNJ24" s="2"/>
      <c r="QNK24" s="2"/>
      <c r="QNL24" s="2"/>
      <c r="QNM24" s="2"/>
      <c r="QNN24" s="2"/>
      <c r="QNO24" s="2"/>
      <c r="QNP24" s="2"/>
      <c r="QNQ24" s="2"/>
      <c r="QNR24" s="2"/>
      <c r="QNS24" s="2"/>
      <c r="QNT24" s="2"/>
      <c r="QNU24" s="2"/>
      <c r="QNV24" s="2"/>
      <c r="QNW24" s="2"/>
      <c r="QNX24" s="2"/>
      <c r="QNY24" s="2"/>
      <c r="QNZ24" s="2"/>
      <c r="QOA24" s="2"/>
      <c r="QOB24" s="2"/>
      <c r="QOC24" s="2"/>
      <c r="QOD24" s="2"/>
      <c r="QOE24" s="2"/>
      <c r="QOF24" s="2"/>
      <c r="QOG24" s="2"/>
      <c r="QOH24" s="2"/>
      <c r="QOI24" s="2"/>
      <c r="QOJ24" s="2"/>
      <c r="QOK24" s="2"/>
      <c r="QOL24" s="2"/>
      <c r="QOM24" s="2"/>
      <c r="QON24" s="2"/>
      <c r="QOO24" s="2"/>
      <c r="QOP24" s="2"/>
      <c r="QOQ24" s="2"/>
      <c r="QOR24" s="2"/>
      <c r="QOS24" s="2"/>
      <c r="QOT24" s="2"/>
      <c r="QOU24" s="2"/>
      <c r="QOV24" s="2"/>
      <c r="QOW24" s="2"/>
      <c r="QOX24" s="2"/>
      <c r="QOY24" s="2"/>
      <c r="QOZ24" s="2"/>
      <c r="QPA24" s="2"/>
      <c r="QPB24" s="2"/>
      <c r="QPC24" s="2"/>
      <c r="QPD24" s="2"/>
      <c r="QPE24" s="2"/>
      <c r="QPF24" s="2"/>
      <c r="QPG24" s="2"/>
      <c r="QPH24" s="2"/>
      <c r="QPI24" s="2"/>
      <c r="QPJ24" s="2"/>
      <c r="QPK24" s="2"/>
      <c r="QPL24" s="2"/>
      <c r="QPM24" s="2"/>
      <c r="QPN24" s="2"/>
      <c r="QPO24" s="2"/>
      <c r="QPP24" s="2"/>
      <c r="QPQ24" s="2"/>
      <c r="QPR24" s="2"/>
      <c r="QPS24" s="2"/>
      <c r="QPT24" s="2"/>
      <c r="QPU24" s="2"/>
      <c r="QPV24" s="2"/>
      <c r="QPW24" s="2"/>
      <c r="QPX24" s="2"/>
      <c r="QPY24" s="2"/>
      <c r="QPZ24" s="2"/>
      <c r="QQA24" s="2"/>
      <c r="QQB24" s="2"/>
      <c r="QQC24" s="2"/>
      <c r="QQD24" s="2"/>
      <c r="QQE24" s="2"/>
      <c r="QQF24" s="2"/>
      <c r="QQG24" s="2"/>
      <c r="QQH24" s="2"/>
      <c r="QQI24" s="2"/>
      <c r="QQJ24" s="2"/>
      <c r="QQK24" s="2"/>
      <c r="QQL24" s="2"/>
      <c r="QQM24" s="2"/>
      <c r="QQN24" s="2"/>
      <c r="QQO24" s="2"/>
      <c r="QQP24" s="2"/>
      <c r="QQQ24" s="2"/>
      <c r="QQR24" s="2"/>
      <c r="QQS24" s="2"/>
      <c r="QQT24" s="2"/>
      <c r="QQU24" s="2"/>
      <c r="QQV24" s="2"/>
      <c r="QQW24" s="2"/>
      <c r="QQX24" s="2"/>
      <c r="QQY24" s="2"/>
      <c r="QQZ24" s="2"/>
      <c r="QRA24" s="2"/>
      <c r="QRB24" s="2"/>
      <c r="QRC24" s="2"/>
      <c r="QRD24" s="2"/>
      <c r="QRE24" s="2"/>
      <c r="QRF24" s="2"/>
      <c r="QRG24" s="2"/>
      <c r="QRH24" s="2"/>
      <c r="QRI24" s="2"/>
      <c r="QRJ24" s="2"/>
      <c r="QRK24" s="2"/>
      <c r="QRL24" s="2"/>
      <c r="QRM24" s="2"/>
      <c r="QRN24" s="2"/>
      <c r="QRO24" s="2"/>
      <c r="QRP24" s="2"/>
      <c r="QRQ24" s="2"/>
      <c r="QRR24" s="2"/>
      <c r="QRS24" s="2"/>
      <c r="QRT24" s="2"/>
      <c r="QRU24" s="2"/>
      <c r="QRV24" s="2"/>
      <c r="QRW24" s="2"/>
      <c r="QRX24" s="2"/>
      <c r="QRY24" s="2"/>
      <c r="QRZ24" s="2"/>
      <c r="QSA24" s="2"/>
      <c r="QSB24" s="2"/>
      <c r="QSC24" s="2"/>
      <c r="QSD24" s="2"/>
      <c r="QSE24" s="2"/>
      <c r="QSF24" s="2"/>
      <c r="QSG24" s="2"/>
      <c r="QSH24" s="2"/>
      <c r="QSI24" s="2"/>
      <c r="QSJ24" s="2"/>
      <c r="QSK24" s="2"/>
      <c r="QSL24" s="2"/>
      <c r="QSM24" s="2"/>
      <c r="QSN24" s="2"/>
      <c r="QSO24" s="2"/>
      <c r="QSP24" s="2"/>
      <c r="QSQ24" s="2"/>
      <c r="QSR24" s="2"/>
      <c r="QSS24" s="2"/>
      <c r="QST24" s="2"/>
      <c r="QSU24" s="2"/>
      <c r="QSV24" s="2"/>
      <c r="QSW24" s="2"/>
      <c r="QSX24" s="2"/>
      <c r="QSY24" s="2"/>
      <c r="QSZ24" s="2"/>
      <c r="QTA24" s="2"/>
      <c r="QTB24" s="2"/>
      <c r="QTC24" s="2"/>
      <c r="QTD24" s="2"/>
      <c r="QTE24" s="2"/>
      <c r="QTF24" s="2"/>
      <c r="QTG24" s="2"/>
      <c r="QTH24" s="2"/>
      <c r="QTI24" s="2"/>
      <c r="QTJ24" s="2"/>
      <c r="QTK24" s="2"/>
      <c r="QTL24" s="2"/>
      <c r="QTM24" s="2"/>
      <c r="QTN24" s="2"/>
      <c r="QTO24" s="2"/>
      <c r="QTP24" s="2"/>
      <c r="QTQ24" s="2"/>
      <c r="QTR24" s="2"/>
      <c r="QTS24" s="2"/>
      <c r="QTT24" s="2"/>
      <c r="QTU24" s="2"/>
      <c r="QTV24" s="2"/>
      <c r="QTW24" s="2"/>
      <c r="QTX24" s="2"/>
      <c r="QTY24" s="2"/>
      <c r="QTZ24" s="2"/>
      <c r="QUA24" s="2"/>
      <c r="QUB24" s="2"/>
      <c r="QUC24" s="2"/>
      <c r="QUD24" s="2"/>
      <c r="QUE24" s="2"/>
      <c r="QUF24" s="2"/>
      <c r="QUG24" s="2"/>
      <c r="QUH24" s="2"/>
      <c r="QUI24" s="2"/>
      <c r="QUJ24" s="2"/>
      <c r="QUK24" s="2"/>
      <c r="QUL24" s="2"/>
      <c r="QUM24" s="2"/>
      <c r="QUN24" s="2"/>
      <c r="QUO24" s="2"/>
      <c r="QUP24" s="2"/>
      <c r="QUQ24" s="2"/>
      <c r="QUR24" s="2"/>
      <c r="QUS24" s="2"/>
      <c r="QUT24" s="2"/>
      <c r="QUU24" s="2"/>
      <c r="QUV24" s="2"/>
      <c r="QUW24" s="2"/>
      <c r="QUX24" s="2"/>
      <c r="QUY24" s="2"/>
      <c r="QUZ24" s="2"/>
      <c r="QVA24" s="2"/>
      <c r="QVB24" s="2"/>
      <c r="QVC24" s="2"/>
      <c r="QVD24" s="2"/>
      <c r="QVE24" s="2"/>
      <c r="QVF24" s="2"/>
      <c r="QVG24" s="2"/>
      <c r="QVH24" s="2"/>
      <c r="QVI24" s="2"/>
      <c r="QVJ24" s="2"/>
      <c r="QVK24" s="2"/>
      <c r="QVL24" s="2"/>
      <c r="QVM24" s="2"/>
      <c r="QVN24" s="2"/>
      <c r="QVO24" s="2"/>
      <c r="QVP24" s="2"/>
      <c r="QVQ24" s="2"/>
      <c r="QVR24" s="2"/>
      <c r="QVS24" s="2"/>
      <c r="QVT24" s="2"/>
      <c r="QVU24" s="2"/>
      <c r="QVV24" s="2"/>
      <c r="QVW24" s="2"/>
      <c r="QVX24" s="2"/>
      <c r="QVY24" s="2"/>
      <c r="QVZ24" s="2"/>
      <c r="QWA24" s="2"/>
      <c r="QWB24" s="2"/>
      <c r="QWC24" s="2"/>
      <c r="QWD24" s="2"/>
      <c r="QWE24" s="2"/>
      <c r="QWF24" s="2"/>
      <c r="QWG24" s="2"/>
      <c r="QWH24" s="2"/>
      <c r="QWI24" s="2"/>
      <c r="QWJ24" s="2"/>
      <c r="QWK24" s="2"/>
      <c r="QWL24" s="2"/>
      <c r="QWM24" s="2"/>
      <c r="QWN24" s="2"/>
      <c r="QWO24" s="2"/>
      <c r="QWP24" s="2"/>
      <c r="QWQ24" s="2"/>
      <c r="QWR24" s="2"/>
      <c r="QWS24" s="2"/>
      <c r="QWT24" s="2"/>
      <c r="QWU24" s="2"/>
      <c r="QWV24" s="2"/>
      <c r="QWW24" s="2"/>
      <c r="QWX24" s="2"/>
      <c r="QWY24" s="2"/>
      <c r="QWZ24" s="2"/>
      <c r="QXA24" s="2"/>
      <c r="QXB24" s="2"/>
      <c r="QXC24" s="2"/>
      <c r="QXD24" s="2"/>
      <c r="QXE24" s="2"/>
      <c r="QXF24" s="2"/>
      <c r="QXG24" s="2"/>
      <c r="QXH24" s="2"/>
      <c r="QXI24" s="2"/>
      <c r="QXJ24" s="2"/>
      <c r="QXK24" s="2"/>
      <c r="QXL24" s="2"/>
      <c r="QXM24" s="2"/>
      <c r="QXN24" s="2"/>
      <c r="QXO24" s="2"/>
      <c r="QXP24" s="2"/>
      <c r="QXQ24" s="2"/>
      <c r="QXR24" s="2"/>
      <c r="QXS24" s="2"/>
      <c r="QXT24" s="2"/>
      <c r="QXU24" s="2"/>
      <c r="QXV24" s="2"/>
      <c r="QXW24" s="2"/>
      <c r="QXX24" s="2"/>
      <c r="QXY24" s="2"/>
      <c r="QXZ24" s="2"/>
      <c r="QYA24" s="2"/>
      <c r="QYB24" s="2"/>
      <c r="QYC24" s="2"/>
      <c r="QYD24" s="2"/>
      <c r="QYE24" s="2"/>
      <c r="QYF24" s="2"/>
      <c r="QYG24" s="2"/>
      <c r="QYH24" s="2"/>
      <c r="QYI24" s="2"/>
      <c r="QYJ24" s="2"/>
      <c r="QYK24" s="2"/>
      <c r="QYL24" s="2"/>
      <c r="QYM24" s="2"/>
      <c r="QYN24" s="2"/>
      <c r="QYO24" s="2"/>
      <c r="QYP24" s="2"/>
      <c r="QYQ24" s="2"/>
      <c r="QYR24" s="2"/>
      <c r="QYS24" s="2"/>
      <c r="QYT24" s="2"/>
      <c r="QYU24" s="2"/>
      <c r="QYV24" s="2"/>
      <c r="QYW24" s="2"/>
      <c r="QYX24" s="2"/>
      <c r="QYY24" s="2"/>
      <c r="QYZ24" s="2"/>
      <c r="QZA24" s="2"/>
      <c r="QZB24" s="2"/>
      <c r="QZC24" s="2"/>
      <c r="QZD24" s="2"/>
      <c r="QZE24" s="2"/>
      <c r="QZF24" s="2"/>
      <c r="QZG24" s="2"/>
      <c r="QZH24" s="2"/>
      <c r="QZI24" s="2"/>
      <c r="QZJ24" s="2"/>
      <c r="QZK24" s="2"/>
      <c r="QZL24" s="2"/>
      <c r="QZM24" s="2"/>
      <c r="QZN24" s="2"/>
      <c r="QZO24" s="2"/>
      <c r="QZP24" s="2"/>
      <c r="QZQ24" s="2"/>
      <c r="QZR24" s="2"/>
      <c r="QZS24" s="2"/>
      <c r="QZT24" s="2"/>
      <c r="QZU24" s="2"/>
      <c r="QZV24" s="2"/>
      <c r="QZW24" s="2"/>
      <c r="QZX24" s="2"/>
      <c r="QZY24" s="2"/>
      <c r="QZZ24" s="2"/>
      <c r="RAA24" s="2"/>
      <c r="RAB24" s="2"/>
      <c r="RAC24" s="2"/>
      <c r="RAD24" s="2"/>
      <c r="RAE24" s="2"/>
      <c r="RAF24" s="2"/>
      <c r="RAG24" s="2"/>
      <c r="RAH24" s="2"/>
      <c r="RAI24" s="2"/>
      <c r="RAJ24" s="2"/>
      <c r="RAK24" s="2"/>
      <c r="RAL24" s="2"/>
      <c r="RAM24" s="2"/>
      <c r="RAN24" s="2"/>
      <c r="RAO24" s="2"/>
      <c r="RAP24" s="2"/>
      <c r="RAQ24" s="2"/>
      <c r="RAR24" s="2"/>
      <c r="RAS24" s="2"/>
      <c r="RAT24" s="2"/>
      <c r="RAU24" s="2"/>
      <c r="RAV24" s="2"/>
      <c r="RAW24" s="2"/>
      <c r="RAX24" s="2"/>
      <c r="RAY24" s="2"/>
      <c r="RAZ24" s="2"/>
      <c r="RBA24" s="2"/>
      <c r="RBB24" s="2"/>
      <c r="RBC24" s="2"/>
      <c r="RBD24" s="2"/>
      <c r="RBE24" s="2"/>
      <c r="RBF24" s="2"/>
      <c r="RBG24" s="2"/>
      <c r="RBH24" s="2"/>
      <c r="RBI24" s="2"/>
      <c r="RBJ24" s="2"/>
      <c r="RBK24" s="2"/>
      <c r="RBL24" s="2"/>
      <c r="RBM24" s="2"/>
      <c r="RBN24" s="2"/>
      <c r="RBO24" s="2"/>
      <c r="RBP24" s="2"/>
      <c r="RBQ24" s="2"/>
      <c r="RBR24" s="2"/>
      <c r="RBS24" s="2"/>
      <c r="RBT24" s="2"/>
      <c r="RBU24" s="2"/>
      <c r="RBV24" s="2"/>
      <c r="RBW24" s="2"/>
      <c r="RBX24" s="2"/>
      <c r="RBY24" s="2"/>
      <c r="RBZ24" s="2"/>
      <c r="RCA24" s="2"/>
      <c r="RCB24" s="2"/>
      <c r="RCC24" s="2"/>
      <c r="RCD24" s="2"/>
      <c r="RCE24" s="2"/>
      <c r="RCF24" s="2"/>
      <c r="RCG24" s="2"/>
      <c r="RCH24" s="2"/>
      <c r="RCI24" s="2"/>
      <c r="RCJ24" s="2"/>
      <c r="RCK24" s="2"/>
      <c r="RCL24" s="2"/>
      <c r="RCM24" s="2"/>
      <c r="RCN24" s="2"/>
      <c r="RCO24" s="2"/>
      <c r="RCP24" s="2"/>
      <c r="RCQ24" s="2"/>
      <c r="RCR24" s="2"/>
      <c r="RCS24" s="2"/>
      <c r="RCT24" s="2"/>
      <c r="RCU24" s="2"/>
      <c r="RCV24" s="2"/>
      <c r="RCW24" s="2"/>
      <c r="RCX24" s="2"/>
      <c r="RCY24" s="2"/>
      <c r="RCZ24" s="2"/>
      <c r="RDA24" s="2"/>
      <c r="RDB24" s="2"/>
      <c r="RDC24" s="2"/>
      <c r="RDD24" s="2"/>
      <c r="RDE24" s="2"/>
      <c r="RDF24" s="2"/>
      <c r="RDG24" s="2"/>
      <c r="RDH24" s="2"/>
      <c r="RDI24" s="2"/>
      <c r="RDJ24" s="2"/>
      <c r="RDK24" s="2"/>
      <c r="RDL24" s="2"/>
      <c r="RDM24" s="2"/>
      <c r="RDN24" s="2"/>
      <c r="RDO24" s="2"/>
      <c r="RDP24" s="2"/>
      <c r="RDQ24" s="2"/>
      <c r="RDR24" s="2"/>
      <c r="RDS24" s="2"/>
      <c r="RDT24" s="2"/>
      <c r="RDU24" s="2"/>
      <c r="RDV24" s="2"/>
      <c r="RDW24" s="2"/>
      <c r="RDX24" s="2"/>
      <c r="RDY24" s="2"/>
      <c r="RDZ24" s="2"/>
      <c r="REA24" s="2"/>
      <c r="REB24" s="2"/>
      <c r="REC24" s="2"/>
      <c r="RED24" s="2"/>
      <c r="REE24" s="2"/>
      <c r="REF24" s="2"/>
      <c r="REG24" s="2"/>
      <c r="REH24" s="2"/>
      <c r="REI24" s="2"/>
      <c r="REJ24" s="2"/>
      <c r="REK24" s="2"/>
      <c r="REL24" s="2"/>
      <c r="REM24" s="2"/>
      <c r="REN24" s="2"/>
      <c r="REO24" s="2"/>
      <c r="REP24" s="2"/>
      <c r="REQ24" s="2"/>
      <c r="RER24" s="2"/>
      <c r="RES24" s="2"/>
      <c r="RET24" s="2"/>
      <c r="REU24" s="2"/>
      <c r="REV24" s="2"/>
      <c r="REW24" s="2"/>
      <c r="REX24" s="2"/>
      <c r="REY24" s="2"/>
      <c r="REZ24" s="2"/>
      <c r="RFA24" s="2"/>
      <c r="RFB24" s="2"/>
      <c r="RFC24" s="2"/>
      <c r="RFD24" s="2"/>
      <c r="RFE24" s="2"/>
      <c r="RFF24" s="2"/>
      <c r="RFG24" s="2"/>
      <c r="RFH24" s="2"/>
      <c r="RFI24" s="2"/>
      <c r="RFJ24" s="2"/>
      <c r="RFK24" s="2"/>
      <c r="RFL24" s="2"/>
      <c r="RFM24" s="2"/>
      <c r="RFN24" s="2"/>
      <c r="RFO24" s="2"/>
      <c r="RFP24" s="2"/>
      <c r="RFQ24" s="2"/>
      <c r="RFR24" s="2"/>
      <c r="RFS24" s="2"/>
      <c r="RFT24" s="2"/>
      <c r="RFU24" s="2"/>
      <c r="RFV24" s="2"/>
      <c r="RFW24" s="2"/>
      <c r="RFX24" s="2"/>
      <c r="RFY24" s="2"/>
      <c r="RFZ24" s="2"/>
      <c r="RGA24" s="2"/>
      <c r="RGB24" s="2"/>
      <c r="RGC24" s="2"/>
      <c r="RGD24" s="2"/>
      <c r="RGE24" s="2"/>
      <c r="RGF24" s="2"/>
      <c r="RGG24" s="2"/>
      <c r="RGH24" s="2"/>
      <c r="RGI24" s="2"/>
      <c r="RGJ24" s="2"/>
      <c r="RGK24" s="2"/>
      <c r="RGL24" s="2"/>
      <c r="RGM24" s="2"/>
      <c r="RGN24" s="2"/>
      <c r="RGO24" s="2"/>
      <c r="RGP24" s="2"/>
      <c r="RGQ24" s="2"/>
      <c r="RGR24" s="2"/>
      <c r="RGS24" s="2"/>
      <c r="RGT24" s="2"/>
      <c r="RGU24" s="2"/>
      <c r="RGV24" s="2"/>
      <c r="RGW24" s="2"/>
      <c r="RGX24" s="2"/>
      <c r="RGY24" s="2"/>
      <c r="RGZ24" s="2"/>
      <c r="RHA24" s="2"/>
      <c r="RHB24" s="2"/>
      <c r="RHC24" s="2"/>
      <c r="RHD24" s="2"/>
      <c r="RHE24" s="2"/>
      <c r="RHF24" s="2"/>
      <c r="RHG24" s="2"/>
      <c r="RHH24" s="2"/>
      <c r="RHI24" s="2"/>
      <c r="RHJ24" s="2"/>
      <c r="RHK24" s="2"/>
      <c r="RHL24" s="2"/>
      <c r="RHM24" s="2"/>
      <c r="RHN24" s="2"/>
      <c r="RHO24" s="2"/>
      <c r="RHP24" s="2"/>
      <c r="RHQ24" s="2"/>
      <c r="RHR24" s="2"/>
      <c r="RHS24" s="2"/>
      <c r="RHT24" s="2"/>
      <c r="RHU24" s="2"/>
      <c r="RHV24" s="2"/>
      <c r="RHW24" s="2"/>
      <c r="RHX24" s="2"/>
      <c r="RHY24" s="2"/>
      <c r="RHZ24" s="2"/>
      <c r="RIA24" s="2"/>
      <c r="RIB24" s="2"/>
      <c r="RIC24" s="2"/>
      <c r="RID24" s="2"/>
      <c r="RIE24" s="2"/>
      <c r="RIF24" s="2"/>
      <c r="RIG24" s="2"/>
      <c r="RIH24" s="2"/>
      <c r="RII24" s="2"/>
      <c r="RIJ24" s="2"/>
      <c r="RIK24" s="2"/>
      <c r="RIL24" s="2"/>
      <c r="RIM24" s="2"/>
      <c r="RIN24" s="2"/>
      <c r="RIO24" s="2"/>
      <c r="RIP24" s="2"/>
      <c r="RIQ24" s="2"/>
      <c r="RIR24" s="2"/>
      <c r="RIS24" s="2"/>
      <c r="RIT24" s="2"/>
      <c r="RIU24" s="2"/>
      <c r="RIV24" s="2"/>
      <c r="RIW24" s="2"/>
      <c r="RIX24" s="2"/>
      <c r="RIY24" s="2"/>
      <c r="RIZ24" s="2"/>
      <c r="RJA24" s="2"/>
      <c r="RJB24" s="2"/>
      <c r="RJC24" s="2"/>
      <c r="RJD24" s="2"/>
      <c r="RJE24" s="2"/>
      <c r="RJF24" s="2"/>
      <c r="RJG24" s="2"/>
      <c r="RJH24" s="2"/>
      <c r="RJI24" s="2"/>
      <c r="RJJ24" s="2"/>
      <c r="RJK24" s="2"/>
      <c r="RJL24" s="2"/>
      <c r="RJM24" s="2"/>
      <c r="RJN24" s="2"/>
      <c r="RJO24" s="2"/>
      <c r="RJP24" s="2"/>
      <c r="RJQ24" s="2"/>
      <c r="RJR24" s="2"/>
      <c r="RJS24" s="2"/>
      <c r="RJT24" s="2"/>
      <c r="RJU24" s="2"/>
      <c r="RJV24" s="2"/>
      <c r="RJW24" s="2"/>
      <c r="RJX24" s="2"/>
      <c r="RJY24" s="2"/>
      <c r="RJZ24" s="2"/>
      <c r="RKA24" s="2"/>
      <c r="RKB24" s="2"/>
      <c r="RKC24" s="2"/>
      <c r="RKD24" s="2"/>
      <c r="RKE24" s="2"/>
      <c r="RKF24" s="2"/>
      <c r="RKG24" s="2"/>
      <c r="RKH24" s="2"/>
      <c r="RKI24" s="2"/>
      <c r="RKJ24" s="2"/>
      <c r="RKK24" s="2"/>
      <c r="RKL24" s="2"/>
      <c r="RKM24" s="2"/>
      <c r="RKN24" s="2"/>
      <c r="RKO24" s="2"/>
      <c r="RKP24" s="2"/>
      <c r="RKQ24" s="2"/>
      <c r="RKR24" s="2"/>
      <c r="RKS24" s="2"/>
      <c r="RKT24" s="2"/>
      <c r="RKU24" s="2"/>
      <c r="RKV24" s="2"/>
      <c r="RKW24" s="2"/>
      <c r="RKX24" s="2"/>
      <c r="RKY24" s="2"/>
      <c r="RKZ24" s="2"/>
      <c r="RLA24" s="2"/>
      <c r="RLB24" s="2"/>
      <c r="RLC24" s="2"/>
      <c r="RLD24" s="2"/>
      <c r="RLE24" s="2"/>
      <c r="RLF24" s="2"/>
      <c r="RLG24" s="2"/>
      <c r="RLH24" s="2"/>
      <c r="RLI24" s="2"/>
      <c r="RLJ24" s="2"/>
      <c r="RLK24" s="2"/>
      <c r="RLL24" s="2"/>
      <c r="RLM24" s="2"/>
      <c r="RLN24" s="2"/>
      <c r="RLO24" s="2"/>
      <c r="RLP24" s="2"/>
      <c r="RLQ24" s="2"/>
      <c r="RLR24" s="2"/>
      <c r="RLS24" s="2"/>
      <c r="RLT24" s="2"/>
      <c r="RLU24" s="2"/>
      <c r="RLV24" s="2"/>
      <c r="RLW24" s="2"/>
      <c r="RLX24" s="2"/>
      <c r="RLY24" s="2"/>
      <c r="RLZ24" s="2"/>
      <c r="RMA24" s="2"/>
      <c r="RMB24" s="2"/>
      <c r="RMC24" s="2"/>
      <c r="RMD24" s="2"/>
      <c r="RME24" s="2"/>
      <c r="RMF24" s="2"/>
      <c r="RMG24" s="2"/>
      <c r="RMH24" s="2"/>
      <c r="RMI24" s="2"/>
      <c r="RMJ24" s="2"/>
      <c r="RMK24" s="2"/>
      <c r="RML24" s="2"/>
      <c r="RMM24" s="2"/>
      <c r="RMN24" s="2"/>
      <c r="RMO24" s="2"/>
      <c r="RMP24" s="2"/>
      <c r="RMQ24" s="2"/>
      <c r="RMR24" s="2"/>
      <c r="RMS24" s="2"/>
      <c r="RMT24" s="2"/>
      <c r="RMU24" s="2"/>
      <c r="RMV24" s="2"/>
      <c r="RMW24" s="2"/>
      <c r="RMX24" s="2"/>
      <c r="RMY24" s="2"/>
      <c r="RMZ24" s="2"/>
      <c r="RNA24" s="2"/>
      <c r="RNB24" s="2"/>
      <c r="RNC24" s="2"/>
      <c r="RND24" s="2"/>
      <c r="RNE24" s="2"/>
      <c r="RNF24" s="2"/>
      <c r="RNG24" s="2"/>
      <c r="RNH24" s="2"/>
      <c r="RNI24" s="2"/>
      <c r="RNJ24" s="2"/>
      <c r="RNK24" s="2"/>
      <c r="RNL24" s="2"/>
      <c r="RNM24" s="2"/>
      <c r="RNN24" s="2"/>
      <c r="RNO24" s="2"/>
      <c r="RNP24" s="2"/>
      <c r="RNQ24" s="2"/>
      <c r="RNR24" s="2"/>
      <c r="RNS24" s="2"/>
      <c r="RNT24" s="2"/>
      <c r="RNU24" s="2"/>
      <c r="RNV24" s="2"/>
      <c r="RNW24" s="2"/>
      <c r="RNX24" s="2"/>
      <c r="RNY24" s="2"/>
      <c r="RNZ24" s="2"/>
      <c r="ROA24" s="2"/>
      <c r="ROB24" s="2"/>
      <c r="ROC24" s="2"/>
      <c r="ROD24" s="2"/>
      <c r="ROE24" s="2"/>
      <c r="ROF24" s="2"/>
      <c r="ROG24" s="2"/>
      <c r="ROH24" s="2"/>
      <c r="ROI24" s="2"/>
      <c r="ROJ24" s="2"/>
      <c r="ROK24" s="2"/>
      <c r="ROL24" s="2"/>
      <c r="ROM24" s="2"/>
      <c r="RON24" s="2"/>
      <c r="ROO24" s="2"/>
      <c r="ROP24" s="2"/>
      <c r="ROQ24" s="2"/>
      <c r="ROR24" s="2"/>
      <c r="ROS24" s="2"/>
      <c r="ROT24" s="2"/>
      <c r="ROU24" s="2"/>
      <c r="ROV24" s="2"/>
      <c r="ROW24" s="2"/>
      <c r="ROX24" s="2"/>
      <c r="ROY24" s="2"/>
      <c r="ROZ24" s="2"/>
      <c r="RPA24" s="2"/>
      <c r="RPB24" s="2"/>
      <c r="RPC24" s="2"/>
      <c r="RPD24" s="2"/>
      <c r="RPE24" s="2"/>
      <c r="RPF24" s="2"/>
      <c r="RPG24" s="2"/>
      <c r="RPH24" s="2"/>
      <c r="RPI24" s="2"/>
      <c r="RPJ24" s="2"/>
      <c r="RPK24" s="2"/>
      <c r="RPL24" s="2"/>
      <c r="RPM24" s="2"/>
      <c r="RPN24" s="2"/>
      <c r="RPO24" s="2"/>
      <c r="RPP24" s="2"/>
      <c r="RPQ24" s="2"/>
      <c r="RPR24" s="2"/>
      <c r="RPS24" s="2"/>
      <c r="RPT24" s="2"/>
      <c r="RPU24" s="2"/>
      <c r="RPV24" s="2"/>
      <c r="RPW24" s="2"/>
      <c r="RPX24" s="2"/>
      <c r="RPY24" s="2"/>
      <c r="RPZ24" s="2"/>
      <c r="RQA24" s="2"/>
      <c r="RQB24" s="2"/>
      <c r="RQC24" s="2"/>
      <c r="RQD24" s="2"/>
      <c r="RQE24" s="2"/>
      <c r="RQF24" s="2"/>
      <c r="RQG24" s="2"/>
      <c r="RQH24" s="2"/>
      <c r="RQI24" s="2"/>
      <c r="RQJ24" s="2"/>
      <c r="RQK24" s="2"/>
      <c r="RQL24" s="2"/>
      <c r="RQM24" s="2"/>
      <c r="RQN24" s="2"/>
      <c r="RQO24" s="2"/>
      <c r="RQP24" s="2"/>
      <c r="RQQ24" s="2"/>
      <c r="RQR24" s="2"/>
      <c r="RQS24" s="2"/>
      <c r="RQT24" s="2"/>
      <c r="RQU24" s="2"/>
      <c r="RQV24" s="2"/>
      <c r="RQW24" s="2"/>
      <c r="RQX24" s="2"/>
      <c r="RQY24" s="2"/>
      <c r="RQZ24" s="2"/>
      <c r="RRA24" s="2"/>
      <c r="RRB24" s="2"/>
      <c r="RRC24" s="2"/>
      <c r="RRD24" s="2"/>
      <c r="RRE24" s="2"/>
      <c r="RRF24" s="2"/>
      <c r="RRG24" s="2"/>
      <c r="RRH24" s="2"/>
      <c r="RRI24" s="2"/>
      <c r="RRJ24" s="2"/>
      <c r="RRK24" s="2"/>
      <c r="RRL24" s="2"/>
      <c r="RRM24" s="2"/>
      <c r="RRN24" s="2"/>
      <c r="RRO24" s="2"/>
      <c r="RRP24" s="2"/>
      <c r="RRQ24" s="2"/>
      <c r="RRR24" s="2"/>
      <c r="RRS24" s="2"/>
      <c r="RRT24" s="2"/>
      <c r="RRU24" s="2"/>
      <c r="RRV24" s="2"/>
      <c r="RRW24" s="2"/>
      <c r="RRX24" s="2"/>
      <c r="RRY24" s="2"/>
      <c r="RRZ24" s="2"/>
      <c r="RSA24" s="2"/>
      <c r="RSB24" s="2"/>
      <c r="RSC24" s="2"/>
      <c r="RSD24" s="2"/>
      <c r="RSE24" s="2"/>
      <c r="RSF24" s="2"/>
      <c r="RSG24" s="2"/>
      <c r="RSH24" s="2"/>
      <c r="RSI24" s="2"/>
      <c r="RSJ24" s="2"/>
      <c r="RSK24" s="2"/>
      <c r="RSL24" s="2"/>
      <c r="RSM24" s="2"/>
      <c r="RSN24" s="2"/>
      <c r="RSO24" s="2"/>
      <c r="RSP24" s="2"/>
      <c r="RSQ24" s="2"/>
      <c r="RSR24" s="2"/>
      <c r="RSS24" s="2"/>
      <c r="RST24" s="2"/>
      <c r="RSU24" s="2"/>
      <c r="RSV24" s="2"/>
      <c r="RSW24" s="2"/>
      <c r="RSX24" s="2"/>
      <c r="RSY24" s="2"/>
      <c r="RSZ24" s="2"/>
      <c r="RTA24" s="2"/>
      <c r="RTB24" s="2"/>
      <c r="RTC24" s="2"/>
      <c r="RTD24" s="2"/>
      <c r="RTE24" s="2"/>
      <c r="RTF24" s="2"/>
      <c r="RTG24" s="2"/>
      <c r="RTH24" s="2"/>
      <c r="RTI24" s="2"/>
      <c r="RTJ24" s="2"/>
      <c r="RTK24" s="2"/>
      <c r="RTL24" s="2"/>
      <c r="RTM24" s="2"/>
      <c r="RTN24" s="2"/>
      <c r="RTO24" s="2"/>
      <c r="RTP24" s="2"/>
      <c r="RTQ24" s="2"/>
      <c r="RTR24" s="2"/>
      <c r="RTS24" s="2"/>
      <c r="RTT24" s="2"/>
      <c r="RTU24" s="2"/>
      <c r="RTV24" s="2"/>
      <c r="RTW24" s="2"/>
      <c r="RTX24" s="2"/>
      <c r="RTY24" s="2"/>
      <c r="RTZ24" s="2"/>
      <c r="RUA24" s="2"/>
      <c r="RUB24" s="2"/>
      <c r="RUC24" s="2"/>
      <c r="RUD24" s="2"/>
      <c r="RUE24" s="2"/>
      <c r="RUF24" s="2"/>
      <c r="RUG24" s="2"/>
      <c r="RUH24" s="2"/>
      <c r="RUI24" s="2"/>
      <c r="RUJ24" s="2"/>
      <c r="RUK24" s="2"/>
      <c r="RUL24" s="2"/>
      <c r="RUM24" s="2"/>
      <c r="RUN24" s="2"/>
      <c r="RUO24" s="2"/>
      <c r="RUP24" s="2"/>
      <c r="RUQ24" s="2"/>
      <c r="RUR24" s="2"/>
      <c r="RUS24" s="2"/>
      <c r="RUT24" s="2"/>
      <c r="RUU24" s="2"/>
      <c r="RUV24" s="2"/>
      <c r="RUW24" s="2"/>
      <c r="RUX24" s="2"/>
      <c r="RUY24" s="2"/>
      <c r="RUZ24" s="2"/>
      <c r="RVA24" s="2"/>
      <c r="RVB24" s="2"/>
      <c r="RVC24" s="2"/>
      <c r="RVD24" s="2"/>
      <c r="RVE24" s="2"/>
      <c r="RVF24" s="2"/>
      <c r="RVG24" s="2"/>
      <c r="RVH24" s="2"/>
      <c r="RVI24" s="2"/>
      <c r="RVJ24" s="2"/>
      <c r="RVK24" s="2"/>
      <c r="RVL24" s="2"/>
      <c r="RVM24" s="2"/>
      <c r="RVN24" s="2"/>
      <c r="RVO24" s="2"/>
      <c r="RVP24" s="2"/>
      <c r="RVQ24" s="2"/>
      <c r="RVR24" s="2"/>
      <c r="RVS24" s="2"/>
      <c r="RVT24" s="2"/>
      <c r="RVU24" s="2"/>
      <c r="RVV24" s="2"/>
      <c r="RVW24" s="2"/>
      <c r="RVX24" s="2"/>
      <c r="RVY24" s="2"/>
      <c r="RVZ24" s="2"/>
      <c r="RWA24" s="2"/>
      <c r="RWB24" s="2"/>
      <c r="RWC24" s="2"/>
      <c r="RWD24" s="2"/>
      <c r="RWE24" s="2"/>
      <c r="RWF24" s="2"/>
      <c r="RWG24" s="2"/>
      <c r="RWH24" s="2"/>
      <c r="RWI24" s="2"/>
      <c r="RWJ24" s="2"/>
      <c r="RWK24" s="2"/>
      <c r="RWL24" s="2"/>
      <c r="RWM24" s="2"/>
      <c r="RWN24" s="2"/>
      <c r="RWO24" s="2"/>
      <c r="RWP24" s="2"/>
      <c r="RWQ24" s="2"/>
      <c r="RWR24" s="2"/>
      <c r="RWS24" s="2"/>
      <c r="RWT24" s="2"/>
      <c r="RWU24" s="2"/>
      <c r="RWV24" s="2"/>
      <c r="RWW24" s="2"/>
      <c r="RWX24" s="2"/>
      <c r="RWY24" s="2"/>
      <c r="RWZ24" s="2"/>
      <c r="RXA24" s="2"/>
      <c r="RXB24" s="2"/>
      <c r="RXC24" s="2"/>
      <c r="RXD24" s="2"/>
      <c r="RXE24" s="2"/>
      <c r="RXF24" s="2"/>
      <c r="RXG24" s="2"/>
      <c r="RXH24" s="2"/>
      <c r="RXI24" s="2"/>
      <c r="RXJ24" s="2"/>
      <c r="RXK24" s="2"/>
      <c r="RXL24" s="2"/>
      <c r="RXM24" s="2"/>
      <c r="RXN24" s="2"/>
      <c r="RXO24" s="2"/>
      <c r="RXP24" s="2"/>
      <c r="RXQ24" s="2"/>
      <c r="RXR24" s="2"/>
      <c r="RXS24" s="2"/>
      <c r="RXT24" s="2"/>
      <c r="RXU24" s="2"/>
      <c r="RXV24" s="2"/>
      <c r="RXW24" s="2"/>
      <c r="RXX24" s="2"/>
      <c r="RXY24" s="2"/>
      <c r="RXZ24" s="2"/>
      <c r="RYA24" s="2"/>
      <c r="RYB24" s="2"/>
      <c r="RYC24" s="2"/>
      <c r="RYD24" s="2"/>
      <c r="RYE24" s="2"/>
      <c r="RYF24" s="2"/>
      <c r="RYG24" s="2"/>
      <c r="RYH24" s="2"/>
      <c r="RYI24" s="2"/>
      <c r="RYJ24" s="2"/>
      <c r="RYK24" s="2"/>
      <c r="RYL24" s="2"/>
      <c r="RYM24" s="2"/>
      <c r="RYN24" s="2"/>
      <c r="RYO24" s="2"/>
      <c r="RYP24" s="2"/>
      <c r="RYQ24" s="2"/>
      <c r="RYR24" s="2"/>
      <c r="RYS24" s="2"/>
      <c r="RYT24" s="2"/>
      <c r="RYU24" s="2"/>
      <c r="RYV24" s="2"/>
      <c r="RYW24" s="2"/>
      <c r="RYX24" s="2"/>
      <c r="RYY24" s="2"/>
      <c r="RYZ24" s="2"/>
      <c r="RZA24" s="2"/>
      <c r="RZB24" s="2"/>
      <c r="RZC24" s="2"/>
      <c r="RZD24" s="2"/>
      <c r="RZE24" s="2"/>
      <c r="RZF24" s="2"/>
      <c r="RZG24" s="2"/>
      <c r="RZH24" s="2"/>
      <c r="RZI24" s="2"/>
      <c r="RZJ24" s="2"/>
      <c r="RZK24" s="2"/>
      <c r="RZL24" s="2"/>
      <c r="RZM24" s="2"/>
      <c r="RZN24" s="2"/>
      <c r="RZO24" s="2"/>
      <c r="RZP24" s="2"/>
      <c r="RZQ24" s="2"/>
      <c r="RZR24" s="2"/>
      <c r="RZS24" s="2"/>
      <c r="RZT24" s="2"/>
      <c r="RZU24" s="2"/>
      <c r="RZV24" s="2"/>
      <c r="RZW24" s="2"/>
      <c r="RZX24" s="2"/>
      <c r="RZY24" s="2"/>
      <c r="RZZ24" s="2"/>
      <c r="SAA24" s="2"/>
      <c r="SAB24" s="2"/>
      <c r="SAC24" s="2"/>
      <c r="SAD24" s="2"/>
      <c r="SAE24" s="2"/>
      <c r="SAF24" s="2"/>
      <c r="SAG24" s="2"/>
      <c r="SAH24" s="2"/>
      <c r="SAI24" s="2"/>
      <c r="SAJ24" s="2"/>
      <c r="SAK24" s="2"/>
      <c r="SAL24" s="2"/>
      <c r="SAM24" s="2"/>
      <c r="SAN24" s="2"/>
      <c r="SAO24" s="2"/>
      <c r="SAP24" s="2"/>
      <c r="SAQ24" s="2"/>
      <c r="SAR24" s="2"/>
      <c r="SAS24" s="2"/>
      <c r="SAT24" s="2"/>
      <c r="SAU24" s="2"/>
      <c r="SAV24" s="2"/>
      <c r="SAW24" s="2"/>
      <c r="SAX24" s="2"/>
      <c r="SAY24" s="2"/>
      <c r="SAZ24" s="2"/>
      <c r="SBA24" s="2"/>
      <c r="SBB24" s="2"/>
      <c r="SBC24" s="2"/>
      <c r="SBD24" s="2"/>
      <c r="SBE24" s="2"/>
      <c r="SBF24" s="2"/>
      <c r="SBG24" s="2"/>
      <c r="SBH24" s="2"/>
      <c r="SBI24" s="2"/>
      <c r="SBJ24" s="2"/>
      <c r="SBK24" s="2"/>
      <c r="SBL24" s="2"/>
      <c r="SBM24" s="2"/>
      <c r="SBN24" s="2"/>
      <c r="SBO24" s="2"/>
      <c r="SBP24" s="2"/>
      <c r="SBQ24" s="2"/>
      <c r="SBR24" s="2"/>
      <c r="SBS24" s="2"/>
      <c r="SBT24" s="2"/>
      <c r="SBU24" s="2"/>
      <c r="SBV24" s="2"/>
      <c r="SBW24" s="2"/>
      <c r="SBX24" s="2"/>
      <c r="SBY24" s="2"/>
      <c r="SBZ24" s="2"/>
      <c r="SCA24" s="2"/>
      <c r="SCB24" s="2"/>
      <c r="SCC24" s="2"/>
      <c r="SCD24" s="2"/>
      <c r="SCE24" s="2"/>
      <c r="SCF24" s="2"/>
      <c r="SCG24" s="2"/>
      <c r="SCH24" s="2"/>
      <c r="SCI24" s="2"/>
      <c r="SCJ24" s="2"/>
      <c r="SCK24" s="2"/>
      <c r="SCL24" s="2"/>
      <c r="SCM24" s="2"/>
      <c r="SCN24" s="2"/>
      <c r="SCO24" s="2"/>
      <c r="SCP24" s="2"/>
      <c r="SCQ24" s="2"/>
      <c r="SCR24" s="2"/>
      <c r="SCS24" s="2"/>
      <c r="SCT24" s="2"/>
      <c r="SCU24" s="2"/>
      <c r="SCV24" s="2"/>
      <c r="SCW24" s="2"/>
      <c r="SCX24" s="2"/>
      <c r="SCY24" s="2"/>
      <c r="SCZ24" s="2"/>
      <c r="SDA24" s="2"/>
      <c r="SDB24" s="2"/>
      <c r="SDC24" s="2"/>
      <c r="SDD24" s="2"/>
      <c r="SDE24" s="2"/>
      <c r="SDF24" s="2"/>
      <c r="SDG24" s="2"/>
      <c r="SDH24" s="2"/>
      <c r="SDI24" s="2"/>
      <c r="SDJ24" s="2"/>
      <c r="SDK24" s="2"/>
      <c r="SDL24" s="2"/>
      <c r="SDM24" s="2"/>
      <c r="SDN24" s="2"/>
      <c r="SDO24" s="2"/>
      <c r="SDP24" s="2"/>
      <c r="SDQ24" s="2"/>
      <c r="SDR24" s="2"/>
      <c r="SDS24" s="2"/>
      <c r="SDT24" s="2"/>
      <c r="SDU24" s="2"/>
      <c r="SDV24" s="2"/>
      <c r="SDW24" s="2"/>
      <c r="SDX24" s="2"/>
      <c r="SDY24" s="2"/>
      <c r="SDZ24" s="2"/>
      <c r="SEA24" s="2"/>
      <c r="SEB24" s="2"/>
      <c r="SEC24" s="2"/>
      <c r="SED24" s="2"/>
      <c r="SEE24" s="2"/>
      <c r="SEF24" s="2"/>
      <c r="SEG24" s="2"/>
      <c r="SEH24" s="2"/>
      <c r="SEI24" s="2"/>
      <c r="SEJ24" s="2"/>
      <c r="SEK24" s="2"/>
      <c r="SEL24" s="2"/>
      <c r="SEM24" s="2"/>
      <c r="SEN24" s="2"/>
      <c r="SEO24" s="2"/>
      <c r="SEP24" s="2"/>
      <c r="SEQ24" s="2"/>
      <c r="SER24" s="2"/>
      <c r="SES24" s="2"/>
      <c r="SET24" s="2"/>
      <c r="SEU24" s="2"/>
      <c r="SEV24" s="2"/>
      <c r="SEW24" s="2"/>
      <c r="SEX24" s="2"/>
      <c r="SEY24" s="2"/>
      <c r="SEZ24" s="2"/>
      <c r="SFA24" s="2"/>
      <c r="SFB24" s="2"/>
      <c r="SFC24" s="2"/>
      <c r="SFD24" s="2"/>
      <c r="SFE24" s="2"/>
      <c r="SFF24" s="2"/>
      <c r="SFG24" s="2"/>
      <c r="SFH24" s="2"/>
      <c r="SFI24" s="2"/>
      <c r="SFJ24" s="2"/>
      <c r="SFK24" s="2"/>
      <c r="SFL24" s="2"/>
      <c r="SFM24" s="2"/>
      <c r="SFN24" s="2"/>
      <c r="SFO24" s="2"/>
      <c r="SFP24" s="2"/>
      <c r="SFQ24" s="2"/>
      <c r="SFR24" s="2"/>
      <c r="SFS24" s="2"/>
      <c r="SFT24" s="2"/>
      <c r="SFU24" s="2"/>
      <c r="SFV24" s="2"/>
      <c r="SFW24" s="2"/>
      <c r="SFX24" s="2"/>
      <c r="SFY24" s="2"/>
      <c r="SFZ24" s="2"/>
      <c r="SGA24" s="2"/>
      <c r="SGB24" s="2"/>
      <c r="SGC24" s="2"/>
      <c r="SGD24" s="2"/>
      <c r="SGE24" s="2"/>
      <c r="SGF24" s="2"/>
      <c r="SGG24" s="2"/>
      <c r="SGH24" s="2"/>
      <c r="SGI24" s="2"/>
      <c r="SGJ24" s="2"/>
      <c r="SGK24" s="2"/>
      <c r="SGL24" s="2"/>
      <c r="SGM24" s="2"/>
      <c r="SGN24" s="2"/>
      <c r="SGO24" s="2"/>
      <c r="SGP24" s="2"/>
      <c r="SGQ24" s="2"/>
      <c r="SGR24" s="2"/>
      <c r="SGS24" s="2"/>
      <c r="SGT24" s="2"/>
      <c r="SGU24" s="2"/>
      <c r="SGV24" s="2"/>
      <c r="SGW24" s="2"/>
      <c r="SGX24" s="2"/>
      <c r="SGY24" s="2"/>
      <c r="SGZ24" s="2"/>
      <c r="SHA24" s="2"/>
      <c r="SHB24" s="2"/>
      <c r="SHC24" s="2"/>
      <c r="SHD24" s="2"/>
      <c r="SHE24" s="2"/>
      <c r="SHF24" s="2"/>
      <c r="SHG24" s="2"/>
      <c r="SHH24" s="2"/>
      <c r="SHI24" s="2"/>
      <c r="SHJ24" s="2"/>
      <c r="SHK24" s="2"/>
      <c r="SHL24" s="2"/>
      <c r="SHM24" s="2"/>
      <c r="SHN24" s="2"/>
      <c r="SHO24" s="2"/>
      <c r="SHP24" s="2"/>
      <c r="SHQ24" s="2"/>
      <c r="SHR24" s="2"/>
      <c r="SHS24" s="2"/>
      <c r="SHT24" s="2"/>
      <c r="SHU24" s="2"/>
      <c r="SHV24" s="2"/>
      <c r="SHW24" s="2"/>
      <c r="SHX24" s="2"/>
      <c r="SHY24" s="2"/>
      <c r="SHZ24" s="2"/>
      <c r="SIA24" s="2"/>
      <c r="SIB24" s="2"/>
      <c r="SIC24" s="2"/>
      <c r="SID24" s="2"/>
      <c r="SIE24" s="2"/>
      <c r="SIF24" s="2"/>
      <c r="SIG24" s="2"/>
      <c r="SIH24" s="2"/>
      <c r="SII24" s="2"/>
      <c r="SIJ24" s="2"/>
      <c r="SIK24" s="2"/>
      <c r="SIL24" s="2"/>
      <c r="SIM24" s="2"/>
      <c r="SIN24" s="2"/>
      <c r="SIO24" s="2"/>
      <c r="SIP24" s="2"/>
      <c r="SIQ24" s="2"/>
      <c r="SIR24" s="2"/>
      <c r="SIS24" s="2"/>
      <c r="SIT24" s="2"/>
      <c r="SIU24" s="2"/>
      <c r="SIV24" s="2"/>
      <c r="SIW24" s="2"/>
      <c r="SIX24" s="2"/>
      <c r="SIY24" s="2"/>
      <c r="SIZ24" s="2"/>
      <c r="SJA24" s="2"/>
      <c r="SJB24" s="2"/>
      <c r="SJC24" s="2"/>
      <c r="SJD24" s="2"/>
      <c r="SJE24" s="2"/>
      <c r="SJF24" s="2"/>
      <c r="SJG24" s="2"/>
      <c r="SJH24" s="2"/>
      <c r="SJI24" s="2"/>
      <c r="SJJ24" s="2"/>
      <c r="SJK24" s="2"/>
      <c r="SJL24" s="2"/>
      <c r="SJM24" s="2"/>
      <c r="SJN24" s="2"/>
      <c r="SJO24" s="2"/>
      <c r="SJP24" s="2"/>
      <c r="SJQ24" s="2"/>
      <c r="SJR24" s="2"/>
      <c r="SJS24" s="2"/>
      <c r="SJT24" s="2"/>
      <c r="SJU24" s="2"/>
      <c r="SJV24" s="2"/>
      <c r="SJW24" s="2"/>
      <c r="SJX24" s="2"/>
      <c r="SJY24" s="2"/>
      <c r="SJZ24" s="2"/>
      <c r="SKA24" s="2"/>
      <c r="SKB24" s="2"/>
      <c r="SKC24" s="2"/>
      <c r="SKD24" s="2"/>
      <c r="SKE24" s="2"/>
      <c r="SKF24" s="2"/>
      <c r="SKG24" s="2"/>
      <c r="SKH24" s="2"/>
      <c r="SKI24" s="2"/>
      <c r="SKJ24" s="2"/>
      <c r="SKK24" s="2"/>
      <c r="SKL24" s="2"/>
      <c r="SKM24" s="2"/>
      <c r="SKN24" s="2"/>
      <c r="SKO24" s="2"/>
      <c r="SKP24" s="2"/>
      <c r="SKQ24" s="2"/>
      <c r="SKR24" s="2"/>
      <c r="SKS24" s="2"/>
      <c r="SKT24" s="2"/>
      <c r="SKU24" s="2"/>
      <c r="SKV24" s="2"/>
      <c r="SKW24" s="2"/>
      <c r="SKX24" s="2"/>
      <c r="SKY24" s="2"/>
      <c r="SKZ24" s="2"/>
      <c r="SLA24" s="2"/>
      <c r="SLB24" s="2"/>
      <c r="SLC24" s="2"/>
      <c r="SLD24" s="2"/>
      <c r="SLE24" s="2"/>
      <c r="SLF24" s="2"/>
      <c r="SLG24" s="2"/>
      <c r="SLH24" s="2"/>
      <c r="SLI24" s="2"/>
      <c r="SLJ24" s="2"/>
      <c r="SLK24" s="2"/>
      <c r="SLL24" s="2"/>
      <c r="SLM24" s="2"/>
      <c r="SLN24" s="2"/>
      <c r="SLO24" s="2"/>
      <c r="SLP24" s="2"/>
      <c r="SLQ24" s="2"/>
      <c r="SLR24" s="2"/>
      <c r="SLS24" s="2"/>
      <c r="SLT24" s="2"/>
      <c r="SLU24" s="2"/>
      <c r="SLV24" s="2"/>
      <c r="SLW24" s="2"/>
      <c r="SLX24" s="2"/>
      <c r="SLY24" s="2"/>
      <c r="SLZ24" s="2"/>
      <c r="SMA24" s="2"/>
      <c r="SMB24" s="2"/>
      <c r="SMC24" s="2"/>
      <c r="SMD24" s="2"/>
      <c r="SME24" s="2"/>
      <c r="SMF24" s="2"/>
      <c r="SMG24" s="2"/>
      <c r="SMH24" s="2"/>
      <c r="SMI24" s="2"/>
      <c r="SMJ24" s="2"/>
      <c r="SMK24" s="2"/>
      <c r="SML24" s="2"/>
      <c r="SMM24" s="2"/>
      <c r="SMN24" s="2"/>
      <c r="SMO24" s="2"/>
      <c r="SMP24" s="2"/>
      <c r="SMQ24" s="2"/>
      <c r="SMR24" s="2"/>
      <c r="SMS24" s="2"/>
      <c r="SMT24" s="2"/>
      <c r="SMU24" s="2"/>
      <c r="SMV24" s="2"/>
      <c r="SMW24" s="2"/>
      <c r="SMX24" s="2"/>
      <c r="SMY24" s="2"/>
      <c r="SMZ24" s="2"/>
      <c r="SNA24" s="2"/>
      <c r="SNB24" s="2"/>
      <c r="SNC24" s="2"/>
      <c r="SND24" s="2"/>
      <c r="SNE24" s="2"/>
      <c r="SNF24" s="2"/>
      <c r="SNG24" s="2"/>
      <c r="SNH24" s="2"/>
      <c r="SNI24" s="2"/>
      <c r="SNJ24" s="2"/>
      <c r="SNK24" s="2"/>
      <c r="SNL24" s="2"/>
      <c r="SNM24" s="2"/>
      <c r="SNN24" s="2"/>
      <c r="SNO24" s="2"/>
      <c r="SNP24" s="2"/>
      <c r="SNQ24" s="2"/>
      <c r="SNR24" s="2"/>
      <c r="SNS24" s="2"/>
      <c r="SNT24" s="2"/>
      <c r="SNU24" s="2"/>
      <c r="SNV24" s="2"/>
      <c r="SNW24" s="2"/>
      <c r="SNX24" s="2"/>
      <c r="SNY24" s="2"/>
      <c r="SNZ24" s="2"/>
      <c r="SOA24" s="2"/>
      <c r="SOB24" s="2"/>
      <c r="SOC24" s="2"/>
      <c r="SOD24" s="2"/>
      <c r="SOE24" s="2"/>
      <c r="SOF24" s="2"/>
      <c r="SOG24" s="2"/>
      <c r="SOH24" s="2"/>
      <c r="SOI24" s="2"/>
      <c r="SOJ24" s="2"/>
      <c r="SOK24" s="2"/>
      <c r="SOL24" s="2"/>
      <c r="SOM24" s="2"/>
      <c r="SON24" s="2"/>
      <c r="SOO24" s="2"/>
      <c r="SOP24" s="2"/>
      <c r="SOQ24" s="2"/>
      <c r="SOR24" s="2"/>
      <c r="SOS24" s="2"/>
      <c r="SOT24" s="2"/>
      <c r="SOU24" s="2"/>
      <c r="SOV24" s="2"/>
      <c r="SOW24" s="2"/>
      <c r="SOX24" s="2"/>
      <c r="SOY24" s="2"/>
      <c r="SOZ24" s="2"/>
      <c r="SPA24" s="2"/>
      <c r="SPB24" s="2"/>
      <c r="SPC24" s="2"/>
      <c r="SPD24" s="2"/>
      <c r="SPE24" s="2"/>
      <c r="SPF24" s="2"/>
      <c r="SPG24" s="2"/>
      <c r="SPH24" s="2"/>
      <c r="SPI24" s="2"/>
      <c r="SPJ24" s="2"/>
      <c r="SPK24" s="2"/>
      <c r="SPL24" s="2"/>
      <c r="SPM24" s="2"/>
      <c r="SPN24" s="2"/>
      <c r="SPO24" s="2"/>
      <c r="SPP24" s="2"/>
      <c r="SPQ24" s="2"/>
      <c r="SPR24" s="2"/>
      <c r="SPS24" s="2"/>
      <c r="SPT24" s="2"/>
      <c r="SPU24" s="2"/>
      <c r="SPV24" s="2"/>
      <c r="SPW24" s="2"/>
      <c r="SPX24" s="2"/>
      <c r="SPY24" s="2"/>
      <c r="SPZ24" s="2"/>
      <c r="SQA24" s="2"/>
      <c r="SQB24" s="2"/>
      <c r="SQC24" s="2"/>
      <c r="SQD24" s="2"/>
      <c r="SQE24" s="2"/>
      <c r="SQF24" s="2"/>
      <c r="SQG24" s="2"/>
      <c r="SQH24" s="2"/>
      <c r="SQI24" s="2"/>
      <c r="SQJ24" s="2"/>
      <c r="SQK24" s="2"/>
      <c r="SQL24" s="2"/>
      <c r="SQM24" s="2"/>
      <c r="SQN24" s="2"/>
      <c r="SQO24" s="2"/>
      <c r="SQP24" s="2"/>
      <c r="SQQ24" s="2"/>
      <c r="SQR24" s="2"/>
      <c r="SQS24" s="2"/>
      <c r="SQT24" s="2"/>
      <c r="SQU24" s="2"/>
      <c r="SQV24" s="2"/>
      <c r="SQW24" s="2"/>
      <c r="SQX24" s="2"/>
      <c r="SQY24" s="2"/>
      <c r="SQZ24" s="2"/>
      <c r="SRA24" s="2"/>
      <c r="SRB24" s="2"/>
      <c r="SRC24" s="2"/>
      <c r="SRD24" s="2"/>
      <c r="SRE24" s="2"/>
      <c r="SRF24" s="2"/>
      <c r="SRG24" s="2"/>
      <c r="SRH24" s="2"/>
      <c r="SRI24" s="2"/>
      <c r="SRJ24" s="2"/>
      <c r="SRK24" s="2"/>
      <c r="SRL24" s="2"/>
      <c r="SRM24" s="2"/>
      <c r="SRN24" s="2"/>
      <c r="SRO24" s="2"/>
      <c r="SRP24" s="2"/>
      <c r="SRQ24" s="2"/>
      <c r="SRR24" s="2"/>
      <c r="SRS24" s="2"/>
      <c r="SRT24" s="2"/>
      <c r="SRU24" s="2"/>
      <c r="SRV24" s="2"/>
      <c r="SRW24" s="2"/>
      <c r="SRX24" s="2"/>
      <c r="SRY24" s="2"/>
      <c r="SRZ24" s="2"/>
      <c r="SSA24" s="2"/>
      <c r="SSB24" s="2"/>
      <c r="SSC24" s="2"/>
      <c r="SSD24" s="2"/>
      <c r="SSE24" s="2"/>
      <c r="SSF24" s="2"/>
      <c r="SSG24" s="2"/>
      <c r="SSH24" s="2"/>
      <c r="SSI24" s="2"/>
      <c r="SSJ24" s="2"/>
      <c r="SSK24" s="2"/>
      <c r="SSL24" s="2"/>
      <c r="SSM24" s="2"/>
      <c r="SSN24" s="2"/>
      <c r="SSO24" s="2"/>
      <c r="SSP24" s="2"/>
      <c r="SSQ24" s="2"/>
      <c r="SSR24" s="2"/>
      <c r="SSS24" s="2"/>
      <c r="SST24" s="2"/>
      <c r="SSU24" s="2"/>
      <c r="SSV24" s="2"/>
      <c r="SSW24" s="2"/>
      <c r="SSX24" s="2"/>
      <c r="SSY24" s="2"/>
      <c r="SSZ24" s="2"/>
      <c r="STA24" s="2"/>
      <c r="STB24" s="2"/>
      <c r="STC24" s="2"/>
      <c r="STD24" s="2"/>
      <c r="STE24" s="2"/>
      <c r="STF24" s="2"/>
      <c r="STG24" s="2"/>
      <c r="STH24" s="2"/>
      <c r="STI24" s="2"/>
      <c r="STJ24" s="2"/>
      <c r="STK24" s="2"/>
      <c r="STL24" s="2"/>
      <c r="STM24" s="2"/>
      <c r="STN24" s="2"/>
      <c r="STO24" s="2"/>
      <c r="STP24" s="2"/>
      <c r="STQ24" s="2"/>
      <c r="STR24" s="2"/>
      <c r="STS24" s="2"/>
      <c r="STT24" s="2"/>
      <c r="STU24" s="2"/>
      <c r="STV24" s="2"/>
      <c r="STW24" s="2"/>
      <c r="STX24" s="2"/>
      <c r="STY24" s="2"/>
      <c r="STZ24" s="2"/>
      <c r="SUA24" s="2"/>
      <c r="SUB24" s="2"/>
      <c r="SUC24" s="2"/>
      <c r="SUD24" s="2"/>
      <c r="SUE24" s="2"/>
      <c r="SUF24" s="2"/>
      <c r="SUG24" s="2"/>
      <c r="SUH24" s="2"/>
      <c r="SUI24" s="2"/>
      <c r="SUJ24" s="2"/>
      <c r="SUK24" s="2"/>
      <c r="SUL24" s="2"/>
      <c r="SUM24" s="2"/>
      <c r="SUN24" s="2"/>
      <c r="SUO24" s="2"/>
      <c r="SUP24" s="2"/>
      <c r="SUQ24" s="2"/>
      <c r="SUR24" s="2"/>
      <c r="SUS24" s="2"/>
      <c r="SUT24" s="2"/>
      <c r="SUU24" s="2"/>
      <c r="SUV24" s="2"/>
      <c r="SUW24" s="2"/>
      <c r="SUX24" s="2"/>
      <c r="SUY24" s="2"/>
      <c r="SUZ24" s="2"/>
      <c r="SVA24" s="2"/>
      <c r="SVB24" s="2"/>
      <c r="SVC24" s="2"/>
      <c r="SVD24" s="2"/>
      <c r="SVE24" s="2"/>
      <c r="SVF24" s="2"/>
      <c r="SVG24" s="2"/>
      <c r="SVH24" s="2"/>
      <c r="SVI24" s="2"/>
      <c r="SVJ24" s="2"/>
      <c r="SVK24" s="2"/>
      <c r="SVL24" s="2"/>
      <c r="SVM24" s="2"/>
      <c r="SVN24" s="2"/>
      <c r="SVO24" s="2"/>
      <c r="SVP24" s="2"/>
      <c r="SVQ24" s="2"/>
      <c r="SVR24" s="2"/>
      <c r="SVS24" s="2"/>
      <c r="SVT24" s="2"/>
      <c r="SVU24" s="2"/>
      <c r="SVV24" s="2"/>
      <c r="SVW24" s="2"/>
      <c r="SVX24" s="2"/>
      <c r="SVY24" s="2"/>
      <c r="SVZ24" s="2"/>
      <c r="SWA24" s="2"/>
      <c r="SWB24" s="2"/>
      <c r="SWC24" s="2"/>
      <c r="SWD24" s="2"/>
      <c r="SWE24" s="2"/>
      <c r="SWF24" s="2"/>
      <c r="SWG24" s="2"/>
      <c r="SWH24" s="2"/>
      <c r="SWI24" s="2"/>
      <c r="SWJ24" s="2"/>
      <c r="SWK24" s="2"/>
      <c r="SWL24" s="2"/>
      <c r="SWM24" s="2"/>
      <c r="SWN24" s="2"/>
      <c r="SWO24" s="2"/>
      <c r="SWP24" s="2"/>
      <c r="SWQ24" s="2"/>
      <c r="SWR24" s="2"/>
      <c r="SWS24" s="2"/>
      <c r="SWT24" s="2"/>
      <c r="SWU24" s="2"/>
      <c r="SWV24" s="2"/>
      <c r="SWW24" s="2"/>
      <c r="SWX24" s="2"/>
      <c r="SWY24" s="2"/>
      <c r="SWZ24" s="2"/>
      <c r="SXA24" s="2"/>
      <c r="SXB24" s="2"/>
      <c r="SXC24" s="2"/>
      <c r="SXD24" s="2"/>
      <c r="SXE24" s="2"/>
      <c r="SXF24" s="2"/>
      <c r="SXG24" s="2"/>
      <c r="SXH24" s="2"/>
      <c r="SXI24" s="2"/>
      <c r="SXJ24" s="2"/>
      <c r="SXK24" s="2"/>
      <c r="SXL24" s="2"/>
      <c r="SXM24" s="2"/>
      <c r="SXN24" s="2"/>
      <c r="SXO24" s="2"/>
      <c r="SXP24" s="2"/>
      <c r="SXQ24" s="2"/>
      <c r="SXR24" s="2"/>
      <c r="SXS24" s="2"/>
      <c r="SXT24" s="2"/>
      <c r="SXU24" s="2"/>
      <c r="SXV24" s="2"/>
      <c r="SXW24" s="2"/>
      <c r="SXX24" s="2"/>
      <c r="SXY24" s="2"/>
      <c r="SXZ24" s="2"/>
      <c r="SYA24" s="2"/>
      <c r="SYB24" s="2"/>
      <c r="SYC24" s="2"/>
      <c r="SYD24" s="2"/>
      <c r="SYE24" s="2"/>
      <c r="SYF24" s="2"/>
      <c r="SYG24" s="2"/>
      <c r="SYH24" s="2"/>
      <c r="SYI24" s="2"/>
      <c r="SYJ24" s="2"/>
      <c r="SYK24" s="2"/>
      <c r="SYL24" s="2"/>
      <c r="SYM24" s="2"/>
      <c r="SYN24" s="2"/>
      <c r="SYO24" s="2"/>
      <c r="SYP24" s="2"/>
      <c r="SYQ24" s="2"/>
      <c r="SYR24" s="2"/>
      <c r="SYS24" s="2"/>
      <c r="SYT24" s="2"/>
      <c r="SYU24" s="2"/>
      <c r="SYV24" s="2"/>
      <c r="SYW24" s="2"/>
      <c r="SYX24" s="2"/>
      <c r="SYY24" s="2"/>
      <c r="SYZ24" s="2"/>
      <c r="SZA24" s="2"/>
      <c r="SZB24" s="2"/>
      <c r="SZC24" s="2"/>
      <c r="SZD24" s="2"/>
      <c r="SZE24" s="2"/>
      <c r="SZF24" s="2"/>
      <c r="SZG24" s="2"/>
      <c r="SZH24" s="2"/>
      <c r="SZI24" s="2"/>
      <c r="SZJ24" s="2"/>
      <c r="SZK24" s="2"/>
      <c r="SZL24" s="2"/>
      <c r="SZM24" s="2"/>
      <c r="SZN24" s="2"/>
      <c r="SZO24" s="2"/>
      <c r="SZP24" s="2"/>
      <c r="SZQ24" s="2"/>
      <c r="SZR24" s="2"/>
      <c r="SZS24" s="2"/>
      <c r="SZT24" s="2"/>
      <c r="SZU24" s="2"/>
      <c r="SZV24" s="2"/>
      <c r="SZW24" s="2"/>
      <c r="SZX24" s="2"/>
      <c r="SZY24" s="2"/>
      <c r="SZZ24" s="2"/>
      <c r="TAA24" s="2"/>
      <c r="TAB24" s="2"/>
      <c r="TAC24" s="2"/>
      <c r="TAD24" s="2"/>
      <c r="TAE24" s="2"/>
      <c r="TAF24" s="2"/>
      <c r="TAG24" s="2"/>
      <c r="TAH24" s="2"/>
      <c r="TAI24" s="2"/>
      <c r="TAJ24" s="2"/>
      <c r="TAK24" s="2"/>
      <c r="TAL24" s="2"/>
      <c r="TAM24" s="2"/>
      <c r="TAN24" s="2"/>
      <c r="TAO24" s="2"/>
      <c r="TAP24" s="2"/>
      <c r="TAQ24" s="2"/>
      <c r="TAR24" s="2"/>
      <c r="TAS24" s="2"/>
      <c r="TAT24" s="2"/>
      <c r="TAU24" s="2"/>
      <c r="TAV24" s="2"/>
      <c r="TAW24" s="2"/>
      <c r="TAX24" s="2"/>
      <c r="TAY24" s="2"/>
      <c r="TAZ24" s="2"/>
      <c r="TBA24" s="2"/>
      <c r="TBB24" s="2"/>
      <c r="TBC24" s="2"/>
      <c r="TBD24" s="2"/>
      <c r="TBE24" s="2"/>
      <c r="TBF24" s="2"/>
      <c r="TBG24" s="2"/>
      <c r="TBH24" s="2"/>
      <c r="TBI24" s="2"/>
      <c r="TBJ24" s="2"/>
      <c r="TBK24" s="2"/>
      <c r="TBL24" s="2"/>
      <c r="TBM24" s="2"/>
      <c r="TBN24" s="2"/>
      <c r="TBO24" s="2"/>
      <c r="TBP24" s="2"/>
      <c r="TBQ24" s="2"/>
      <c r="TBR24" s="2"/>
      <c r="TBS24" s="2"/>
      <c r="TBT24" s="2"/>
      <c r="TBU24" s="2"/>
      <c r="TBV24" s="2"/>
      <c r="TBW24" s="2"/>
      <c r="TBX24" s="2"/>
      <c r="TBY24" s="2"/>
      <c r="TBZ24" s="2"/>
      <c r="TCA24" s="2"/>
      <c r="TCB24" s="2"/>
      <c r="TCC24" s="2"/>
      <c r="TCD24" s="2"/>
      <c r="TCE24" s="2"/>
      <c r="TCF24" s="2"/>
      <c r="TCG24" s="2"/>
      <c r="TCH24" s="2"/>
      <c r="TCI24" s="2"/>
      <c r="TCJ24" s="2"/>
      <c r="TCK24" s="2"/>
      <c r="TCL24" s="2"/>
      <c r="TCM24" s="2"/>
      <c r="TCN24" s="2"/>
      <c r="TCO24" s="2"/>
      <c r="TCP24" s="2"/>
      <c r="TCQ24" s="2"/>
      <c r="TCR24" s="2"/>
      <c r="TCS24" s="2"/>
      <c r="TCT24" s="2"/>
      <c r="TCU24" s="2"/>
      <c r="TCV24" s="2"/>
      <c r="TCW24" s="2"/>
      <c r="TCX24" s="2"/>
      <c r="TCY24" s="2"/>
      <c r="TCZ24" s="2"/>
      <c r="TDA24" s="2"/>
      <c r="TDB24" s="2"/>
      <c r="TDC24" s="2"/>
      <c r="TDD24" s="2"/>
      <c r="TDE24" s="2"/>
      <c r="TDF24" s="2"/>
      <c r="TDG24" s="2"/>
      <c r="TDH24" s="2"/>
      <c r="TDI24" s="2"/>
      <c r="TDJ24" s="2"/>
      <c r="TDK24" s="2"/>
      <c r="TDL24" s="2"/>
      <c r="TDM24" s="2"/>
      <c r="TDN24" s="2"/>
      <c r="TDO24" s="2"/>
      <c r="TDP24" s="2"/>
      <c r="TDQ24" s="2"/>
      <c r="TDR24" s="2"/>
      <c r="TDS24" s="2"/>
      <c r="TDT24" s="2"/>
      <c r="TDU24" s="2"/>
      <c r="TDV24" s="2"/>
      <c r="TDW24" s="2"/>
      <c r="TDX24" s="2"/>
      <c r="TDY24" s="2"/>
      <c r="TDZ24" s="2"/>
      <c r="TEA24" s="2"/>
      <c r="TEB24" s="2"/>
      <c r="TEC24" s="2"/>
      <c r="TED24" s="2"/>
      <c r="TEE24" s="2"/>
      <c r="TEF24" s="2"/>
      <c r="TEG24" s="2"/>
      <c r="TEH24" s="2"/>
      <c r="TEI24" s="2"/>
      <c r="TEJ24" s="2"/>
      <c r="TEK24" s="2"/>
      <c r="TEL24" s="2"/>
      <c r="TEM24" s="2"/>
      <c r="TEN24" s="2"/>
      <c r="TEO24" s="2"/>
      <c r="TEP24" s="2"/>
      <c r="TEQ24" s="2"/>
      <c r="TER24" s="2"/>
      <c r="TES24" s="2"/>
      <c r="TET24" s="2"/>
      <c r="TEU24" s="2"/>
      <c r="TEV24" s="2"/>
      <c r="TEW24" s="2"/>
      <c r="TEX24" s="2"/>
      <c r="TEY24" s="2"/>
      <c r="TEZ24" s="2"/>
      <c r="TFA24" s="2"/>
      <c r="TFB24" s="2"/>
      <c r="TFC24" s="2"/>
      <c r="TFD24" s="2"/>
      <c r="TFE24" s="2"/>
      <c r="TFF24" s="2"/>
      <c r="TFG24" s="2"/>
      <c r="TFH24" s="2"/>
      <c r="TFI24" s="2"/>
      <c r="TFJ24" s="2"/>
      <c r="TFK24" s="2"/>
      <c r="TFL24" s="2"/>
      <c r="TFM24" s="2"/>
      <c r="TFN24" s="2"/>
      <c r="TFO24" s="2"/>
      <c r="TFP24" s="2"/>
      <c r="TFQ24" s="2"/>
      <c r="TFR24" s="2"/>
      <c r="TFS24" s="2"/>
      <c r="TFT24" s="2"/>
      <c r="TFU24" s="2"/>
      <c r="TFV24" s="2"/>
      <c r="TFW24" s="2"/>
      <c r="TFX24" s="2"/>
      <c r="TFY24" s="2"/>
      <c r="TFZ24" s="2"/>
      <c r="TGA24" s="2"/>
      <c r="TGB24" s="2"/>
      <c r="TGC24" s="2"/>
      <c r="TGD24" s="2"/>
      <c r="TGE24" s="2"/>
      <c r="TGF24" s="2"/>
      <c r="TGG24" s="2"/>
      <c r="TGH24" s="2"/>
      <c r="TGI24" s="2"/>
      <c r="TGJ24" s="2"/>
      <c r="TGK24" s="2"/>
      <c r="TGL24" s="2"/>
      <c r="TGM24" s="2"/>
      <c r="TGN24" s="2"/>
      <c r="TGO24" s="2"/>
      <c r="TGP24" s="2"/>
      <c r="TGQ24" s="2"/>
      <c r="TGR24" s="2"/>
      <c r="TGS24" s="2"/>
      <c r="TGT24" s="2"/>
      <c r="TGU24" s="2"/>
      <c r="TGV24" s="2"/>
      <c r="TGW24" s="2"/>
      <c r="TGX24" s="2"/>
      <c r="TGY24" s="2"/>
      <c r="TGZ24" s="2"/>
      <c r="THA24" s="2"/>
      <c r="THB24" s="2"/>
      <c r="THC24" s="2"/>
      <c r="THD24" s="2"/>
      <c r="THE24" s="2"/>
      <c r="THF24" s="2"/>
      <c r="THG24" s="2"/>
      <c r="THH24" s="2"/>
      <c r="THI24" s="2"/>
      <c r="THJ24" s="2"/>
      <c r="THK24" s="2"/>
      <c r="THL24" s="2"/>
      <c r="THM24" s="2"/>
      <c r="THN24" s="2"/>
      <c r="THO24" s="2"/>
      <c r="THP24" s="2"/>
      <c r="THQ24" s="2"/>
      <c r="THR24" s="2"/>
      <c r="THS24" s="2"/>
      <c r="THT24" s="2"/>
      <c r="THU24" s="2"/>
      <c r="THV24" s="2"/>
      <c r="THW24" s="2"/>
      <c r="THX24" s="2"/>
      <c r="THY24" s="2"/>
      <c r="THZ24" s="2"/>
      <c r="TIA24" s="2"/>
      <c r="TIB24" s="2"/>
      <c r="TIC24" s="2"/>
      <c r="TID24" s="2"/>
      <c r="TIE24" s="2"/>
      <c r="TIF24" s="2"/>
      <c r="TIG24" s="2"/>
      <c r="TIH24" s="2"/>
      <c r="TII24" s="2"/>
      <c r="TIJ24" s="2"/>
      <c r="TIK24" s="2"/>
      <c r="TIL24" s="2"/>
      <c r="TIM24" s="2"/>
      <c r="TIN24" s="2"/>
      <c r="TIO24" s="2"/>
      <c r="TIP24" s="2"/>
      <c r="TIQ24" s="2"/>
      <c r="TIR24" s="2"/>
      <c r="TIS24" s="2"/>
      <c r="TIT24" s="2"/>
      <c r="TIU24" s="2"/>
      <c r="TIV24" s="2"/>
      <c r="TIW24" s="2"/>
      <c r="TIX24" s="2"/>
      <c r="TIY24" s="2"/>
      <c r="TIZ24" s="2"/>
      <c r="TJA24" s="2"/>
      <c r="TJB24" s="2"/>
      <c r="TJC24" s="2"/>
      <c r="TJD24" s="2"/>
      <c r="TJE24" s="2"/>
      <c r="TJF24" s="2"/>
      <c r="TJG24" s="2"/>
      <c r="TJH24" s="2"/>
      <c r="TJI24" s="2"/>
      <c r="TJJ24" s="2"/>
      <c r="TJK24" s="2"/>
      <c r="TJL24" s="2"/>
      <c r="TJM24" s="2"/>
      <c r="TJN24" s="2"/>
      <c r="TJO24" s="2"/>
      <c r="TJP24" s="2"/>
      <c r="TJQ24" s="2"/>
      <c r="TJR24" s="2"/>
      <c r="TJS24" s="2"/>
      <c r="TJT24" s="2"/>
      <c r="TJU24" s="2"/>
      <c r="TJV24" s="2"/>
      <c r="TJW24" s="2"/>
      <c r="TJX24" s="2"/>
      <c r="TJY24" s="2"/>
      <c r="TJZ24" s="2"/>
      <c r="TKA24" s="2"/>
      <c r="TKB24" s="2"/>
      <c r="TKC24" s="2"/>
      <c r="TKD24" s="2"/>
      <c r="TKE24" s="2"/>
      <c r="TKF24" s="2"/>
      <c r="TKG24" s="2"/>
      <c r="TKH24" s="2"/>
      <c r="TKI24" s="2"/>
      <c r="TKJ24" s="2"/>
      <c r="TKK24" s="2"/>
      <c r="TKL24" s="2"/>
      <c r="TKM24" s="2"/>
      <c r="TKN24" s="2"/>
      <c r="TKO24" s="2"/>
      <c r="TKP24" s="2"/>
      <c r="TKQ24" s="2"/>
      <c r="TKR24" s="2"/>
      <c r="TKS24" s="2"/>
      <c r="TKT24" s="2"/>
      <c r="TKU24" s="2"/>
      <c r="TKV24" s="2"/>
      <c r="TKW24" s="2"/>
      <c r="TKX24" s="2"/>
      <c r="TKY24" s="2"/>
      <c r="TKZ24" s="2"/>
      <c r="TLA24" s="2"/>
      <c r="TLB24" s="2"/>
      <c r="TLC24" s="2"/>
      <c r="TLD24" s="2"/>
      <c r="TLE24" s="2"/>
      <c r="TLF24" s="2"/>
      <c r="TLG24" s="2"/>
      <c r="TLH24" s="2"/>
      <c r="TLI24" s="2"/>
      <c r="TLJ24" s="2"/>
      <c r="TLK24" s="2"/>
      <c r="TLL24" s="2"/>
      <c r="TLM24" s="2"/>
      <c r="TLN24" s="2"/>
      <c r="TLO24" s="2"/>
      <c r="TLP24" s="2"/>
      <c r="TLQ24" s="2"/>
      <c r="TLR24" s="2"/>
      <c r="TLS24" s="2"/>
      <c r="TLT24" s="2"/>
      <c r="TLU24" s="2"/>
      <c r="TLV24" s="2"/>
      <c r="TLW24" s="2"/>
      <c r="TLX24" s="2"/>
      <c r="TLY24" s="2"/>
      <c r="TLZ24" s="2"/>
      <c r="TMA24" s="2"/>
      <c r="TMB24" s="2"/>
      <c r="TMC24" s="2"/>
      <c r="TMD24" s="2"/>
      <c r="TME24" s="2"/>
      <c r="TMF24" s="2"/>
      <c r="TMG24" s="2"/>
      <c r="TMH24" s="2"/>
      <c r="TMI24" s="2"/>
      <c r="TMJ24" s="2"/>
      <c r="TMK24" s="2"/>
      <c r="TML24" s="2"/>
      <c r="TMM24" s="2"/>
      <c r="TMN24" s="2"/>
      <c r="TMO24" s="2"/>
      <c r="TMP24" s="2"/>
      <c r="TMQ24" s="2"/>
      <c r="TMR24" s="2"/>
      <c r="TMS24" s="2"/>
      <c r="TMT24" s="2"/>
      <c r="TMU24" s="2"/>
      <c r="TMV24" s="2"/>
      <c r="TMW24" s="2"/>
      <c r="TMX24" s="2"/>
      <c r="TMY24" s="2"/>
      <c r="TMZ24" s="2"/>
      <c r="TNA24" s="2"/>
      <c r="TNB24" s="2"/>
      <c r="TNC24" s="2"/>
      <c r="TND24" s="2"/>
      <c r="TNE24" s="2"/>
      <c r="TNF24" s="2"/>
      <c r="TNG24" s="2"/>
      <c r="TNH24" s="2"/>
      <c r="TNI24" s="2"/>
      <c r="TNJ24" s="2"/>
      <c r="TNK24" s="2"/>
      <c r="TNL24" s="2"/>
      <c r="TNM24" s="2"/>
      <c r="TNN24" s="2"/>
      <c r="TNO24" s="2"/>
      <c r="TNP24" s="2"/>
      <c r="TNQ24" s="2"/>
      <c r="TNR24" s="2"/>
      <c r="TNS24" s="2"/>
      <c r="TNT24" s="2"/>
      <c r="TNU24" s="2"/>
      <c r="TNV24" s="2"/>
      <c r="TNW24" s="2"/>
      <c r="TNX24" s="2"/>
      <c r="TNY24" s="2"/>
      <c r="TNZ24" s="2"/>
      <c r="TOA24" s="2"/>
      <c r="TOB24" s="2"/>
      <c r="TOC24" s="2"/>
      <c r="TOD24" s="2"/>
      <c r="TOE24" s="2"/>
      <c r="TOF24" s="2"/>
      <c r="TOG24" s="2"/>
      <c r="TOH24" s="2"/>
      <c r="TOI24" s="2"/>
      <c r="TOJ24" s="2"/>
      <c r="TOK24" s="2"/>
      <c r="TOL24" s="2"/>
      <c r="TOM24" s="2"/>
      <c r="TON24" s="2"/>
      <c r="TOO24" s="2"/>
      <c r="TOP24" s="2"/>
      <c r="TOQ24" s="2"/>
      <c r="TOR24" s="2"/>
      <c r="TOS24" s="2"/>
      <c r="TOT24" s="2"/>
      <c r="TOU24" s="2"/>
      <c r="TOV24" s="2"/>
      <c r="TOW24" s="2"/>
      <c r="TOX24" s="2"/>
      <c r="TOY24" s="2"/>
      <c r="TOZ24" s="2"/>
      <c r="TPA24" s="2"/>
      <c r="TPB24" s="2"/>
      <c r="TPC24" s="2"/>
      <c r="TPD24" s="2"/>
      <c r="TPE24" s="2"/>
      <c r="TPF24" s="2"/>
      <c r="TPG24" s="2"/>
      <c r="TPH24" s="2"/>
      <c r="TPI24" s="2"/>
      <c r="TPJ24" s="2"/>
      <c r="TPK24" s="2"/>
      <c r="TPL24" s="2"/>
      <c r="TPM24" s="2"/>
      <c r="TPN24" s="2"/>
      <c r="TPO24" s="2"/>
      <c r="TPP24" s="2"/>
      <c r="TPQ24" s="2"/>
      <c r="TPR24" s="2"/>
      <c r="TPS24" s="2"/>
      <c r="TPT24" s="2"/>
      <c r="TPU24" s="2"/>
      <c r="TPV24" s="2"/>
      <c r="TPW24" s="2"/>
      <c r="TPX24" s="2"/>
      <c r="TPY24" s="2"/>
      <c r="TPZ24" s="2"/>
      <c r="TQA24" s="2"/>
      <c r="TQB24" s="2"/>
      <c r="TQC24" s="2"/>
      <c r="TQD24" s="2"/>
      <c r="TQE24" s="2"/>
      <c r="TQF24" s="2"/>
      <c r="TQG24" s="2"/>
      <c r="TQH24" s="2"/>
      <c r="TQI24" s="2"/>
      <c r="TQJ24" s="2"/>
      <c r="TQK24" s="2"/>
      <c r="TQL24" s="2"/>
      <c r="TQM24" s="2"/>
      <c r="TQN24" s="2"/>
      <c r="TQO24" s="2"/>
      <c r="TQP24" s="2"/>
      <c r="TQQ24" s="2"/>
      <c r="TQR24" s="2"/>
      <c r="TQS24" s="2"/>
      <c r="TQT24" s="2"/>
      <c r="TQU24" s="2"/>
      <c r="TQV24" s="2"/>
      <c r="TQW24" s="2"/>
      <c r="TQX24" s="2"/>
      <c r="TQY24" s="2"/>
      <c r="TQZ24" s="2"/>
      <c r="TRA24" s="2"/>
      <c r="TRB24" s="2"/>
      <c r="TRC24" s="2"/>
      <c r="TRD24" s="2"/>
      <c r="TRE24" s="2"/>
      <c r="TRF24" s="2"/>
      <c r="TRG24" s="2"/>
      <c r="TRH24" s="2"/>
      <c r="TRI24" s="2"/>
      <c r="TRJ24" s="2"/>
      <c r="TRK24" s="2"/>
      <c r="TRL24" s="2"/>
      <c r="TRM24" s="2"/>
      <c r="TRN24" s="2"/>
      <c r="TRO24" s="2"/>
      <c r="TRP24" s="2"/>
      <c r="TRQ24" s="2"/>
      <c r="TRR24" s="2"/>
      <c r="TRS24" s="2"/>
      <c r="TRT24" s="2"/>
      <c r="TRU24" s="2"/>
      <c r="TRV24" s="2"/>
      <c r="TRW24" s="2"/>
      <c r="TRX24" s="2"/>
      <c r="TRY24" s="2"/>
      <c r="TRZ24" s="2"/>
      <c r="TSA24" s="2"/>
      <c r="TSB24" s="2"/>
      <c r="TSC24" s="2"/>
      <c r="TSD24" s="2"/>
      <c r="TSE24" s="2"/>
      <c r="TSF24" s="2"/>
      <c r="TSG24" s="2"/>
      <c r="TSH24" s="2"/>
      <c r="TSI24" s="2"/>
      <c r="TSJ24" s="2"/>
      <c r="TSK24" s="2"/>
      <c r="TSL24" s="2"/>
      <c r="TSM24" s="2"/>
      <c r="TSN24" s="2"/>
      <c r="TSO24" s="2"/>
      <c r="TSP24" s="2"/>
      <c r="TSQ24" s="2"/>
      <c r="TSR24" s="2"/>
      <c r="TSS24" s="2"/>
      <c r="TST24" s="2"/>
      <c r="TSU24" s="2"/>
      <c r="TSV24" s="2"/>
      <c r="TSW24" s="2"/>
      <c r="TSX24" s="2"/>
      <c r="TSY24" s="2"/>
      <c r="TSZ24" s="2"/>
      <c r="TTA24" s="2"/>
      <c r="TTB24" s="2"/>
      <c r="TTC24" s="2"/>
      <c r="TTD24" s="2"/>
      <c r="TTE24" s="2"/>
      <c r="TTF24" s="2"/>
      <c r="TTG24" s="2"/>
      <c r="TTH24" s="2"/>
      <c r="TTI24" s="2"/>
      <c r="TTJ24" s="2"/>
      <c r="TTK24" s="2"/>
      <c r="TTL24" s="2"/>
      <c r="TTM24" s="2"/>
      <c r="TTN24" s="2"/>
      <c r="TTO24" s="2"/>
      <c r="TTP24" s="2"/>
      <c r="TTQ24" s="2"/>
      <c r="TTR24" s="2"/>
      <c r="TTS24" s="2"/>
      <c r="TTT24" s="2"/>
      <c r="TTU24" s="2"/>
      <c r="TTV24" s="2"/>
      <c r="TTW24" s="2"/>
      <c r="TTX24" s="2"/>
      <c r="TTY24" s="2"/>
      <c r="TTZ24" s="2"/>
      <c r="TUA24" s="2"/>
      <c r="TUB24" s="2"/>
      <c r="TUC24" s="2"/>
      <c r="TUD24" s="2"/>
      <c r="TUE24" s="2"/>
      <c r="TUF24" s="2"/>
      <c r="TUG24" s="2"/>
      <c r="TUH24" s="2"/>
      <c r="TUI24" s="2"/>
      <c r="TUJ24" s="2"/>
      <c r="TUK24" s="2"/>
      <c r="TUL24" s="2"/>
      <c r="TUM24" s="2"/>
      <c r="TUN24" s="2"/>
      <c r="TUO24" s="2"/>
      <c r="TUP24" s="2"/>
      <c r="TUQ24" s="2"/>
      <c r="TUR24" s="2"/>
      <c r="TUS24" s="2"/>
      <c r="TUT24" s="2"/>
      <c r="TUU24" s="2"/>
      <c r="TUV24" s="2"/>
      <c r="TUW24" s="2"/>
      <c r="TUX24" s="2"/>
      <c r="TUY24" s="2"/>
      <c r="TUZ24" s="2"/>
      <c r="TVA24" s="2"/>
      <c r="TVB24" s="2"/>
      <c r="TVC24" s="2"/>
      <c r="TVD24" s="2"/>
      <c r="TVE24" s="2"/>
      <c r="TVF24" s="2"/>
      <c r="TVG24" s="2"/>
      <c r="TVH24" s="2"/>
      <c r="TVI24" s="2"/>
      <c r="TVJ24" s="2"/>
      <c r="TVK24" s="2"/>
      <c r="TVL24" s="2"/>
      <c r="TVM24" s="2"/>
      <c r="TVN24" s="2"/>
      <c r="TVO24" s="2"/>
      <c r="TVP24" s="2"/>
      <c r="TVQ24" s="2"/>
      <c r="TVR24" s="2"/>
      <c r="TVS24" s="2"/>
      <c r="TVT24" s="2"/>
      <c r="TVU24" s="2"/>
      <c r="TVV24" s="2"/>
      <c r="TVW24" s="2"/>
      <c r="TVX24" s="2"/>
      <c r="TVY24" s="2"/>
      <c r="TVZ24" s="2"/>
      <c r="TWA24" s="2"/>
      <c r="TWB24" s="2"/>
      <c r="TWC24" s="2"/>
      <c r="TWD24" s="2"/>
      <c r="TWE24" s="2"/>
      <c r="TWF24" s="2"/>
      <c r="TWG24" s="2"/>
      <c r="TWH24" s="2"/>
      <c r="TWI24" s="2"/>
      <c r="TWJ24" s="2"/>
      <c r="TWK24" s="2"/>
      <c r="TWL24" s="2"/>
      <c r="TWM24" s="2"/>
      <c r="TWN24" s="2"/>
      <c r="TWO24" s="2"/>
      <c r="TWP24" s="2"/>
      <c r="TWQ24" s="2"/>
      <c r="TWR24" s="2"/>
      <c r="TWS24" s="2"/>
      <c r="TWT24" s="2"/>
      <c r="TWU24" s="2"/>
      <c r="TWV24" s="2"/>
      <c r="TWW24" s="2"/>
      <c r="TWX24" s="2"/>
      <c r="TWY24" s="2"/>
      <c r="TWZ24" s="2"/>
      <c r="TXA24" s="2"/>
      <c r="TXB24" s="2"/>
      <c r="TXC24" s="2"/>
      <c r="TXD24" s="2"/>
      <c r="TXE24" s="2"/>
      <c r="TXF24" s="2"/>
      <c r="TXG24" s="2"/>
      <c r="TXH24" s="2"/>
      <c r="TXI24" s="2"/>
      <c r="TXJ24" s="2"/>
      <c r="TXK24" s="2"/>
      <c r="TXL24" s="2"/>
      <c r="TXM24" s="2"/>
      <c r="TXN24" s="2"/>
      <c r="TXO24" s="2"/>
      <c r="TXP24" s="2"/>
      <c r="TXQ24" s="2"/>
      <c r="TXR24" s="2"/>
      <c r="TXS24" s="2"/>
      <c r="TXT24" s="2"/>
      <c r="TXU24" s="2"/>
      <c r="TXV24" s="2"/>
      <c r="TXW24" s="2"/>
      <c r="TXX24" s="2"/>
      <c r="TXY24" s="2"/>
      <c r="TXZ24" s="2"/>
      <c r="TYA24" s="2"/>
      <c r="TYB24" s="2"/>
      <c r="TYC24" s="2"/>
      <c r="TYD24" s="2"/>
      <c r="TYE24" s="2"/>
      <c r="TYF24" s="2"/>
      <c r="TYG24" s="2"/>
      <c r="TYH24" s="2"/>
      <c r="TYI24" s="2"/>
      <c r="TYJ24" s="2"/>
      <c r="TYK24" s="2"/>
      <c r="TYL24" s="2"/>
      <c r="TYM24" s="2"/>
      <c r="TYN24" s="2"/>
      <c r="TYO24" s="2"/>
      <c r="TYP24" s="2"/>
      <c r="TYQ24" s="2"/>
      <c r="TYR24" s="2"/>
      <c r="TYS24" s="2"/>
      <c r="TYT24" s="2"/>
      <c r="TYU24" s="2"/>
      <c r="TYV24" s="2"/>
      <c r="TYW24" s="2"/>
      <c r="TYX24" s="2"/>
      <c r="TYY24" s="2"/>
      <c r="TYZ24" s="2"/>
      <c r="TZA24" s="2"/>
      <c r="TZB24" s="2"/>
      <c r="TZC24" s="2"/>
      <c r="TZD24" s="2"/>
      <c r="TZE24" s="2"/>
      <c r="TZF24" s="2"/>
      <c r="TZG24" s="2"/>
      <c r="TZH24" s="2"/>
      <c r="TZI24" s="2"/>
      <c r="TZJ24" s="2"/>
      <c r="TZK24" s="2"/>
      <c r="TZL24" s="2"/>
      <c r="TZM24" s="2"/>
      <c r="TZN24" s="2"/>
      <c r="TZO24" s="2"/>
      <c r="TZP24" s="2"/>
      <c r="TZQ24" s="2"/>
      <c r="TZR24" s="2"/>
      <c r="TZS24" s="2"/>
      <c r="TZT24" s="2"/>
      <c r="TZU24" s="2"/>
      <c r="TZV24" s="2"/>
      <c r="TZW24" s="2"/>
      <c r="TZX24" s="2"/>
      <c r="TZY24" s="2"/>
      <c r="TZZ24" s="2"/>
      <c r="UAA24" s="2"/>
      <c r="UAB24" s="2"/>
      <c r="UAC24" s="2"/>
      <c r="UAD24" s="2"/>
      <c r="UAE24" s="2"/>
      <c r="UAF24" s="2"/>
      <c r="UAG24" s="2"/>
      <c r="UAH24" s="2"/>
      <c r="UAI24" s="2"/>
      <c r="UAJ24" s="2"/>
      <c r="UAK24" s="2"/>
      <c r="UAL24" s="2"/>
      <c r="UAM24" s="2"/>
      <c r="UAN24" s="2"/>
      <c r="UAO24" s="2"/>
      <c r="UAP24" s="2"/>
      <c r="UAQ24" s="2"/>
      <c r="UAR24" s="2"/>
      <c r="UAS24" s="2"/>
      <c r="UAT24" s="2"/>
      <c r="UAU24" s="2"/>
      <c r="UAV24" s="2"/>
      <c r="UAW24" s="2"/>
      <c r="UAX24" s="2"/>
      <c r="UAY24" s="2"/>
      <c r="UAZ24" s="2"/>
      <c r="UBA24" s="2"/>
      <c r="UBB24" s="2"/>
      <c r="UBC24" s="2"/>
      <c r="UBD24" s="2"/>
      <c r="UBE24" s="2"/>
      <c r="UBF24" s="2"/>
      <c r="UBG24" s="2"/>
      <c r="UBH24" s="2"/>
      <c r="UBI24" s="2"/>
      <c r="UBJ24" s="2"/>
      <c r="UBK24" s="2"/>
      <c r="UBL24" s="2"/>
      <c r="UBM24" s="2"/>
      <c r="UBN24" s="2"/>
      <c r="UBO24" s="2"/>
      <c r="UBP24" s="2"/>
      <c r="UBQ24" s="2"/>
      <c r="UBR24" s="2"/>
      <c r="UBS24" s="2"/>
      <c r="UBT24" s="2"/>
      <c r="UBU24" s="2"/>
      <c r="UBV24" s="2"/>
      <c r="UBW24" s="2"/>
      <c r="UBX24" s="2"/>
      <c r="UBY24" s="2"/>
      <c r="UBZ24" s="2"/>
      <c r="UCA24" s="2"/>
      <c r="UCB24" s="2"/>
      <c r="UCC24" s="2"/>
      <c r="UCD24" s="2"/>
      <c r="UCE24" s="2"/>
      <c r="UCF24" s="2"/>
      <c r="UCG24" s="2"/>
      <c r="UCH24" s="2"/>
      <c r="UCI24" s="2"/>
      <c r="UCJ24" s="2"/>
      <c r="UCK24" s="2"/>
      <c r="UCL24" s="2"/>
      <c r="UCM24" s="2"/>
      <c r="UCN24" s="2"/>
      <c r="UCO24" s="2"/>
      <c r="UCP24" s="2"/>
      <c r="UCQ24" s="2"/>
      <c r="UCR24" s="2"/>
      <c r="UCS24" s="2"/>
      <c r="UCT24" s="2"/>
      <c r="UCU24" s="2"/>
      <c r="UCV24" s="2"/>
      <c r="UCW24" s="2"/>
      <c r="UCX24" s="2"/>
      <c r="UCY24" s="2"/>
      <c r="UCZ24" s="2"/>
      <c r="UDA24" s="2"/>
      <c r="UDB24" s="2"/>
      <c r="UDC24" s="2"/>
      <c r="UDD24" s="2"/>
      <c r="UDE24" s="2"/>
      <c r="UDF24" s="2"/>
      <c r="UDG24" s="2"/>
      <c r="UDH24" s="2"/>
      <c r="UDI24" s="2"/>
      <c r="UDJ24" s="2"/>
      <c r="UDK24" s="2"/>
      <c r="UDL24" s="2"/>
      <c r="UDM24" s="2"/>
      <c r="UDN24" s="2"/>
      <c r="UDO24" s="2"/>
      <c r="UDP24" s="2"/>
      <c r="UDQ24" s="2"/>
      <c r="UDR24" s="2"/>
      <c r="UDS24" s="2"/>
      <c r="UDT24" s="2"/>
      <c r="UDU24" s="2"/>
      <c r="UDV24" s="2"/>
      <c r="UDW24" s="2"/>
      <c r="UDX24" s="2"/>
      <c r="UDY24" s="2"/>
      <c r="UDZ24" s="2"/>
      <c r="UEA24" s="2"/>
      <c r="UEB24" s="2"/>
      <c r="UEC24" s="2"/>
      <c r="UED24" s="2"/>
      <c r="UEE24" s="2"/>
      <c r="UEF24" s="2"/>
      <c r="UEG24" s="2"/>
      <c r="UEH24" s="2"/>
      <c r="UEI24" s="2"/>
      <c r="UEJ24" s="2"/>
      <c r="UEK24" s="2"/>
      <c r="UEL24" s="2"/>
      <c r="UEM24" s="2"/>
      <c r="UEN24" s="2"/>
      <c r="UEO24" s="2"/>
      <c r="UEP24" s="2"/>
      <c r="UEQ24" s="2"/>
      <c r="UER24" s="2"/>
      <c r="UES24" s="2"/>
      <c r="UET24" s="2"/>
      <c r="UEU24" s="2"/>
      <c r="UEV24" s="2"/>
      <c r="UEW24" s="2"/>
      <c r="UEX24" s="2"/>
      <c r="UEY24" s="2"/>
      <c r="UEZ24" s="2"/>
      <c r="UFA24" s="2"/>
      <c r="UFB24" s="2"/>
      <c r="UFC24" s="2"/>
      <c r="UFD24" s="2"/>
      <c r="UFE24" s="2"/>
      <c r="UFF24" s="2"/>
      <c r="UFG24" s="2"/>
      <c r="UFH24" s="2"/>
      <c r="UFI24" s="2"/>
      <c r="UFJ24" s="2"/>
      <c r="UFK24" s="2"/>
      <c r="UFL24" s="2"/>
      <c r="UFM24" s="2"/>
      <c r="UFN24" s="2"/>
      <c r="UFO24" s="2"/>
      <c r="UFP24" s="2"/>
      <c r="UFQ24" s="2"/>
      <c r="UFR24" s="2"/>
      <c r="UFS24" s="2"/>
      <c r="UFT24" s="2"/>
      <c r="UFU24" s="2"/>
      <c r="UFV24" s="2"/>
      <c r="UFW24" s="2"/>
      <c r="UFX24" s="2"/>
      <c r="UFY24" s="2"/>
      <c r="UFZ24" s="2"/>
      <c r="UGA24" s="2"/>
      <c r="UGB24" s="2"/>
      <c r="UGC24" s="2"/>
      <c r="UGD24" s="2"/>
      <c r="UGE24" s="2"/>
      <c r="UGF24" s="2"/>
      <c r="UGG24" s="2"/>
      <c r="UGH24" s="2"/>
      <c r="UGI24" s="2"/>
      <c r="UGJ24" s="2"/>
      <c r="UGK24" s="2"/>
      <c r="UGL24" s="2"/>
      <c r="UGM24" s="2"/>
      <c r="UGN24" s="2"/>
      <c r="UGO24" s="2"/>
      <c r="UGP24" s="2"/>
      <c r="UGQ24" s="2"/>
      <c r="UGR24" s="2"/>
      <c r="UGS24" s="2"/>
      <c r="UGT24" s="2"/>
      <c r="UGU24" s="2"/>
      <c r="UGV24" s="2"/>
      <c r="UGW24" s="2"/>
      <c r="UGX24" s="2"/>
      <c r="UGY24" s="2"/>
      <c r="UGZ24" s="2"/>
      <c r="UHA24" s="2"/>
      <c r="UHB24" s="2"/>
      <c r="UHC24" s="2"/>
      <c r="UHD24" s="2"/>
      <c r="UHE24" s="2"/>
      <c r="UHF24" s="2"/>
      <c r="UHG24" s="2"/>
      <c r="UHH24" s="2"/>
      <c r="UHI24" s="2"/>
      <c r="UHJ24" s="2"/>
      <c r="UHK24" s="2"/>
      <c r="UHL24" s="2"/>
      <c r="UHM24" s="2"/>
      <c r="UHN24" s="2"/>
      <c r="UHO24" s="2"/>
      <c r="UHP24" s="2"/>
      <c r="UHQ24" s="2"/>
      <c r="UHR24" s="2"/>
      <c r="UHS24" s="2"/>
      <c r="UHT24" s="2"/>
      <c r="UHU24" s="2"/>
      <c r="UHV24" s="2"/>
      <c r="UHW24" s="2"/>
      <c r="UHX24" s="2"/>
      <c r="UHY24" s="2"/>
      <c r="UHZ24" s="2"/>
      <c r="UIA24" s="2"/>
      <c r="UIB24" s="2"/>
      <c r="UIC24" s="2"/>
      <c r="UID24" s="2"/>
      <c r="UIE24" s="2"/>
      <c r="UIF24" s="2"/>
      <c r="UIG24" s="2"/>
      <c r="UIH24" s="2"/>
      <c r="UII24" s="2"/>
      <c r="UIJ24" s="2"/>
      <c r="UIK24" s="2"/>
      <c r="UIL24" s="2"/>
      <c r="UIM24" s="2"/>
      <c r="UIN24" s="2"/>
      <c r="UIO24" s="2"/>
      <c r="UIP24" s="2"/>
      <c r="UIQ24" s="2"/>
      <c r="UIR24" s="2"/>
      <c r="UIS24" s="2"/>
      <c r="UIT24" s="2"/>
      <c r="UIU24" s="2"/>
      <c r="UIV24" s="2"/>
      <c r="UIW24" s="2"/>
      <c r="UIX24" s="2"/>
      <c r="UIY24" s="2"/>
      <c r="UIZ24" s="2"/>
      <c r="UJA24" s="2"/>
      <c r="UJB24" s="2"/>
      <c r="UJC24" s="2"/>
      <c r="UJD24" s="2"/>
      <c r="UJE24" s="2"/>
      <c r="UJF24" s="2"/>
      <c r="UJG24" s="2"/>
      <c r="UJH24" s="2"/>
      <c r="UJI24" s="2"/>
      <c r="UJJ24" s="2"/>
      <c r="UJK24" s="2"/>
      <c r="UJL24" s="2"/>
      <c r="UJM24" s="2"/>
      <c r="UJN24" s="2"/>
      <c r="UJO24" s="2"/>
      <c r="UJP24" s="2"/>
      <c r="UJQ24" s="2"/>
      <c r="UJR24" s="2"/>
      <c r="UJS24" s="2"/>
      <c r="UJT24" s="2"/>
      <c r="UJU24" s="2"/>
      <c r="UJV24" s="2"/>
      <c r="UJW24" s="2"/>
      <c r="UJX24" s="2"/>
      <c r="UJY24" s="2"/>
      <c r="UJZ24" s="2"/>
      <c r="UKA24" s="2"/>
      <c r="UKB24" s="2"/>
      <c r="UKC24" s="2"/>
      <c r="UKD24" s="2"/>
      <c r="UKE24" s="2"/>
      <c r="UKF24" s="2"/>
      <c r="UKG24" s="2"/>
      <c r="UKH24" s="2"/>
      <c r="UKI24" s="2"/>
      <c r="UKJ24" s="2"/>
      <c r="UKK24" s="2"/>
      <c r="UKL24" s="2"/>
      <c r="UKM24" s="2"/>
      <c r="UKN24" s="2"/>
      <c r="UKO24" s="2"/>
      <c r="UKP24" s="2"/>
      <c r="UKQ24" s="2"/>
      <c r="UKR24" s="2"/>
      <c r="UKS24" s="2"/>
      <c r="UKT24" s="2"/>
      <c r="UKU24" s="2"/>
      <c r="UKV24" s="2"/>
      <c r="UKW24" s="2"/>
      <c r="UKX24" s="2"/>
      <c r="UKY24" s="2"/>
      <c r="UKZ24" s="2"/>
      <c r="ULA24" s="2"/>
      <c r="ULB24" s="2"/>
      <c r="ULC24" s="2"/>
      <c r="ULD24" s="2"/>
      <c r="ULE24" s="2"/>
      <c r="ULF24" s="2"/>
      <c r="ULG24" s="2"/>
      <c r="ULH24" s="2"/>
      <c r="ULI24" s="2"/>
      <c r="ULJ24" s="2"/>
      <c r="ULK24" s="2"/>
      <c r="ULL24" s="2"/>
      <c r="ULM24" s="2"/>
      <c r="ULN24" s="2"/>
      <c r="ULO24" s="2"/>
      <c r="ULP24" s="2"/>
      <c r="ULQ24" s="2"/>
      <c r="ULR24" s="2"/>
      <c r="ULS24" s="2"/>
      <c r="ULT24" s="2"/>
      <c r="ULU24" s="2"/>
      <c r="ULV24" s="2"/>
      <c r="ULW24" s="2"/>
      <c r="ULX24" s="2"/>
      <c r="ULY24" s="2"/>
      <c r="ULZ24" s="2"/>
      <c r="UMA24" s="2"/>
      <c r="UMB24" s="2"/>
      <c r="UMC24" s="2"/>
      <c r="UMD24" s="2"/>
      <c r="UME24" s="2"/>
      <c r="UMF24" s="2"/>
      <c r="UMG24" s="2"/>
      <c r="UMH24" s="2"/>
      <c r="UMI24" s="2"/>
      <c r="UMJ24" s="2"/>
      <c r="UMK24" s="2"/>
      <c r="UML24" s="2"/>
      <c r="UMM24" s="2"/>
      <c r="UMN24" s="2"/>
      <c r="UMO24" s="2"/>
      <c r="UMP24" s="2"/>
      <c r="UMQ24" s="2"/>
      <c r="UMR24" s="2"/>
      <c r="UMS24" s="2"/>
      <c r="UMT24" s="2"/>
      <c r="UMU24" s="2"/>
      <c r="UMV24" s="2"/>
      <c r="UMW24" s="2"/>
      <c r="UMX24" s="2"/>
      <c r="UMY24" s="2"/>
      <c r="UMZ24" s="2"/>
      <c r="UNA24" s="2"/>
      <c r="UNB24" s="2"/>
      <c r="UNC24" s="2"/>
      <c r="UND24" s="2"/>
      <c r="UNE24" s="2"/>
      <c r="UNF24" s="2"/>
      <c r="UNG24" s="2"/>
      <c r="UNH24" s="2"/>
      <c r="UNI24" s="2"/>
      <c r="UNJ24" s="2"/>
      <c r="UNK24" s="2"/>
      <c r="UNL24" s="2"/>
      <c r="UNM24" s="2"/>
      <c r="UNN24" s="2"/>
      <c r="UNO24" s="2"/>
      <c r="UNP24" s="2"/>
      <c r="UNQ24" s="2"/>
      <c r="UNR24" s="2"/>
      <c r="UNS24" s="2"/>
      <c r="UNT24" s="2"/>
      <c r="UNU24" s="2"/>
      <c r="UNV24" s="2"/>
      <c r="UNW24" s="2"/>
      <c r="UNX24" s="2"/>
      <c r="UNY24" s="2"/>
      <c r="UNZ24" s="2"/>
      <c r="UOA24" s="2"/>
      <c r="UOB24" s="2"/>
      <c r="UOC24" s="2"/>
      <c r="UOD24" s="2"/>
      <c r="UOE24" s="2"/>
      <c r="UOF24" s="2"/>
      <c r="UOG24" s="2"/>
      <c r="UOH24" s="2"/>
      <c r="UOI24" s="2"/>
      <c r="UOJ24" s="2"/>
      <c r="UOK24" s="2"/>
      <c r="UOL24" s="2"/>
      <c r="UOM24" s="2"/>
      <c r="UON24" s="2"/>
      <c r="UOO24" s="2"/>
      <c r="UOP24" s="2"/>
      <c r="UOQ24" s="2"/>
      <c r="UOR24" s="2"/>
      <c r="UOS24" s="2"/>
      <c r="UOT24" s="2"/>
      <c r="UOU24" s="2"/>
      <c r="UOV24" s="2"/>
      <c r="UOW24" s="2"/>
      <c r="UOX24" s="2"/>
      <c r="UOY24" s="2"/>
      <c r="UOZ24" s="2"/>
      <c r="UPA24" s="2"/>
      <c r="UPB24" s="2"/>
      <c r="UPC24" s="2"/>
      <c r="UPD24" s="2"/>
      <c r="UPE24" s="2"/>
      <c r="UPF24" s="2"/>
      <c r="UPG24" s="2"/>
      <c r="UPH24" s="2"/>
      <c r="UPI24" s="2"/>
      <c r="UPJ24" s="2"/>
      <c r="UPK24" s="2"/>
      <c r="UPL24" s="2"/>
      <c r="UPM24" s="2"/>
      <c r="UPN24" s="2"/>
      <c r="UPO24" s="2"/>
      <c r="UPP24" s="2"/>
      <c r="UPQ24" s="2"/>
      <c r="UPR24" s="2"/>
      <c r="UPS24" s="2"/>
      <c r="UPT24" s="2"/>
      <c r="UPU24" s="2"/>
      <c r="UPV24" s="2"/>
      <c r="UPW24" s="2"/>
      <c r="UPX24" s="2"/>
      <c r="UPY24" s="2"/>
      <c r="UPZ24" s="2"/>
      <c r="UQA24" s="2"/>
      <c r="UQB24" s="2"/>
      <c r="UQC24" s="2"/>
      <c r="UQD24" s="2"/>
      <c r="UQE24" s="2"/>
      <c r="UQF24" s="2"/>
      <c r="UQG24" s="2"/>
      <c r="UQH24" s="2"/>
      <c r="UQI24" s="2"/>
      <c r="UQJ24" s="2"/>
      <c r="UQK24" s="2"/>
      <c r="UQL24" s="2"/>
      <c r="UQM24" s="2"/>
      <c r="UQN24" s="2"/>
      <c r="UQO24" s="2"/>
      <c r="UQP24" s="2"/>
      <c r="UQQ24" s="2"/>
      <c r="UQR24" s="2"/>
      <c r="UQS24" s="2"/>
      <c r="UQT24" s="2"/>
      <c r="UQU24" s="2"/>
      <c r="UQV24" s="2"/>
      <c r="UQW24" s="2"/>
      <c r="UQX24" s="2"/>
      <c r="UQY24" s="2"/>
      <c r="UQZ24" s="2"/>
      <c r="URA24" s="2"/>
      <c r="URB24" s="2"/>
      <c r="URC24" s="2"/>
      <c r="URD24" s="2"/>
      <c r="URE24" s="2"/>
      <c r="URF24" s="2"/>
      <c r="URG24" s="2"/>
      <c r="URH24" s="2"/>
      <c r="URI24" s="2"/>
      <c r="URJ24" s="2"/>
      <c r="URK24" s="2"/>
      <c r="URL24" s="2"/>
      <c r="URM24" s="2"/>
      <c r="URN24" s="2"/>
      <c r="URO24" s="2"/>
      <c r="URP24" s="2"/>
      <c r="URQ24" s="2"/>
      <c r="URR24" s="2"/>
      <c r="URS24" s="2"/>
      <c r="URT24" s="2"/>
      <c r="URU24" s="2"/>
      <c r="URV24" s="2"/>
      <c r="URW24" s="2"/>
      <c r="URX24" s="2"/>
      <c r="URY24" s="2"/>
      <c r="URZ24" s="2"/>
      <c r="USA24" s="2"/>
      <c r="USB24" s="2"/>
      <c r="USC24" s="2"/>
      <c r="USD24" s="2"/>
      <c r="USE24" s="2"/>
      <c r="USF24" s="2"/>
      <c r="USG24" s="2"/>
      <c r="USH24" s="2"/>
      <c r="USI24" s="2"/>
      <c r="USJ24" s="2"/>
      <c r="USK24" s="2"/>
      <c r="USL24" s="2"/>
      <c r="USM24" s="2"/>
      <c r="USN24" s="2"/>
      <c r="USO24" s="2"/>
      <c r="USP24" s="2"/>
      <c r="USQ24" s="2"/>
      <c r="USR24" s="2"/>
      <c r="USS24" s="2"/>
      <c r="UST24" s="2"/>
      <c r="USU24" s="2"/>
      <c r="USV24" s="2"/>
      <c r="USW24" s="2"/>
      <c r="USX24" s="2"/>
      <c r="USY24" s="2"/>
      <c r="USZ24" s="2"/>
      <c r="UTA24" s="2"/>
      <c r="UTB24" s="2"/>
      <c r="UTC24" s="2"/>
      <c r="UTD24" s="2"/>
      <c r="UTE24" s="2"/>
      <c r="UTF24" s="2"/>
      <c r="UTG24" s="2"/>
      <c r="UTH24" s="2"/>
      <c r="UTI24" s="2"/>
      <c r="UTJ24" s="2"/>
      <c r="UTK24" s="2"/>
      <c r="UTL24" s="2"/>
      <c r="UTM24" s="2"/>
      <c r="UTN24" s="2"/>
      <c r="UTO24" s="2"/>
      <c r="UTP24" s="2"/>
      <c r="UTQ24" s="2"/>
      <c r="UTR24" s="2"/>
      <c r="UTS24" s="2"/>
      <c r="UTT24" s="2"/>
      <c r="UTU24" s="2"/>
      <c r="UTV24" s="2"/>
      <c r="UTW24" s="2"/>
      <c r="UTX24" s="2"/>
      <c r="UTY24" s="2"/>
      <c r="UTZ24" s="2"/>
      <c r="UUA24" s="2"/>
      <c r="UUB24" s="2"/>
      <c r="UUC24" s="2"/>
      <c r="UUD24" s="2"/>
      <c r="UUE24" s="2"/>
      <c r="UUF24" s="2"/>
      <c r="UUG24" s="2"/>
      <c r="UUH24" s="2"/>
      <c r="UUI24" s="2"/>
      <c r="UUJ24" s="2"/>
      <c r="UUK24" s="2"/>
      <c r="UUL24" s="2"/>
      <c r="UUM24" s="2"/>
      <c r="UUN24" s="2"/>
      <c r="UUO24" s="2"/>
      <c r="UUP24" s="2"/>
      <c r="UUQ24" s="2"/>
      <c r="UUR24" s="2"/>
      <c r="UUS24" s="2"/>
      <c r="UUT24" s="2"/>
      <c r="UUU24" s="2"/>
      <c r="UUV24" s="2"/>
      <c r="UUW24" s="2"/>
      <c r="UUX24" s="2"/>
      <c r="UUY24" s="2"/>
      <c r="UUZ24" s="2"/>
      <c r="UVA24" s="2"/>
      <c r="UVB24" s="2"/>
      <c r="UVC24" s="2"/>
      <c r="UVD24" s="2"/>
      <c r="UVE24" s="2"/>
      <c r="UVF24" s="2"/>
      <c r="UVG24" s="2"/>
      <c r="UVH24" s="2"/>
      <c r="UVI24" s="2"/>
      <c r="UVJ24" s="2"/>
      <c r="UVK24" s="2"/>
      <c r="UVL24" s="2"/>
      <c r="UVM24" s="2"/>
      <c r="UVN24" s="2"/>
      <c r="UVO24" s="2"/>
      <c r="UVP24" s="2"/>
      <c r="UVQ24" s="2"/>
      <c r="UVR24" s="2"/>
      <c r="UVS24" s="2"/>
      <c r="UVT24" s="2"/>
      <c r="UVU24" s="2"/>
      <c r="UVV24" s="2"/>
      <c r="UVW24" s="2"/>
      <c r="UVX24" s="2"/>
      <c r="UVY24" s="2"/>
      <c r="UVZ24" s="2"/>
      <c r="UWA24" s="2"/>
      <c r="UWB24" s="2"/>
      <c r="UWC24" s="2"/>
      <c r="UWD24" s="2"/>
      <c r="UWE24" s="2"/>
      <c r="UWF24" s="2"/>
      <c r="UWG24" s="2"/>
      <c r="UWH24" s="2"/>
      <c r="UWI24" s="2"/>
      <c r="UWJ24" s="2"/>
      <c r="UWK24" s="2"/>
      <c r="UWL24" s="2"/>
      <c r="UWM24" s="2"/>
      <c r="UWN24" s="2"/>
      <c r="UWO24" s="2"/>
      <c r="UWP24" s="2"/>
      <c r="UWQ24" s="2"/>
      <c r="UWR24" s="2"/>
      <c r="UWS24" s="2"/>
      <c r="UWT24" s="2"/>
      <c r="UWU24" s="2"/>
      <c r="UWV24" s="2"/>
      <c r="UWW24" s="2"/>
      <c r="UWX24" s="2"/>
      <c r="UWY24" s="2"/>
      <c r="UWZ24" s="2"/>
      <c r="UXA24" s="2"/>
      <c r="UXB24" s="2"/>
      <c r="UXC24" s="2"/>
      <c r="UXD24" s="2"/>
      <c r="UXE24" s="2"/>
      <c r="UXF24" s="2"/>
      <c r="UXG24" s="2"/>
      <c r="UXH24" s="2"/>
      <c r="UXI24" s="2"/>
      <c r="UXJ24" s="2"/>
      <c r="UXK24" s="2"/>
      <c r="UXL24" s="2"/>
      <c r="UXM24" s="2"/>
      <c r="UXN24" s="2"/>
      <c r="UXO24" s="2"/>
      <c r="UXP24" s="2"/>
      <c r="UXQ24" s="2"/>
      <c r="UXR24" s="2"/>
      <c r="UXS24" s="2"/>
      <c r="UXT24" s="2"/>
      <c r="UXU24" s="2"/>
      <c r="UXV24" s="2"/>
      <c r="UXW24" s="2"/>
      <c r="UXX24" s="2"/>
      <c r="UXY24" s="2"/>
      <c r="UXZ24" s="2"/>
      <c r="UYA24" s="2"/>
      <c r="UYB24" s="2"/>
      <c r="UYC24" s="2"/>
      <c r="UYD24" s="2"/>
      <c r="UYE24" s="2"/>
      <c r="UYF24" s="2"/>
      <c r="UYG24" s="2"/>
      <c r="UYH24" s="2"/>
      <c r="UYI24" s="2"/>
      <c r="UYJ24" s="2"/>
      <c r="UYK24" s="2"/>
      <c r="UYL24" s="2"/>
      <c r="UYM24" s="2"/>
      <c r="UYN24" s="2"/>
      <c r="UYO24" s="2"/>
      <c r="UYP24" s="2"/>
      <c r="UYQ24" s="2"/>
      <c r="UYR24" s="2"/>
      <c r="UYS24" s="2"/>
      <c r="UYT24" s="2"/>
      <c r="UYU24" s="2"/>
      <c r="UYV24" s="2"/>
      <c r="UYW24" s="2"/>
      <c r="UYX24" s="2"/>
      <c r="UYY24" s="2"/>
      <c r="UYZ24" s="2"/>
      <c r="UZA24" s="2"/>
      <c r="UZB24" s="2"/>
      <c r="UZC24" s="2"/>
      <c r="UZD24" s="2"/>
      <c r="UZE24" s="2"/>
      <c r="UZF24" s="2"/>
      <c r="UZG24" s="2"/>
      <c r="UZH24" s="2"/>
      <c r="UZI24" s="2"/>
      <c r="UZJ24" s="2"/>
      <c r="UZK24" s="2"/>
      <c r="UZL24" s="2"/>
      <c r="UZM24" s="2"/>
      <c r="UZN24" s="2"/>
      <c r="UZO24" s="2"/>
      <c r="UZP24" s="2"/>
      <c r="UZQ24" s="2"/>
      <c r="UZR24" s="2"/>
      <c r="UZS24" s="2"/>
      <c r="UZT24" s="2"/>
      <c r="UZU24" s="2"/>
      <c r="UZV24" s="2"/>
      <c r="UZW24" s="2"/>
      <c r="UZX24" s="2"/>
      <c r="UZY24" s="2"/>
      <c r="UZZ24" s="2"/>
      <c r="VAA24" s="2"/>
      <c r="VAB24" s="2"/>
      <c r="VAC24" s="2"/>
      <c r="VAD24" s="2"/>
      <c r="VAE24" s="2"/>
      <c r="VAF24" s="2"/>
      <c r="VAG24" s="2"/>
      <c r="VAH24" s="2"/>
      <c r="VAI24" s="2"/>
      <c r="VAJ24" s="2"/>
      <c r="VAK24" s="2"/>
      <c r="VAL24" s="2"/>
      <c r="VAM24" s="2"/>
      <c r="VAN24" s="2"/>
      <c r="VAO24" s="2"/>
      <c r="VAP24" s="2"/>
      <c r="VAQ24" s="2"/>
      <c r="VAR24" s="2"/>
      <c r="VAS24" s="2"/>
      <c r="VAT24" s="2"/>
      <c r="VAU24" s="2"/>
      <c r="VAV24" s="2"/>
      <c r="VAW24" s="2"/>
      <c r="VAX24" s="2"/>
      <c r="VAY24" s="2"/>
      <c r="VAZ24" s="2"/>
      <c r="VBA24" s="2"/>
      <c r="VBB24" s="2"/>
      <c r="VBC24" s="2"/>
      <c r="VBD24" s="2"/>
      <c r="VBE24" s="2"/>
      <c r="VBF24" s="2"/>
      <c r="VBG24" s="2"/>
      <c r="VBH24" s="2"/>
      <c r="VBI24" s="2"/>
      <c r="VBJ24" s="2"/>
      <c r="VBK24" s="2"/>
      <c r="VBL24" s="2"/>
      <c r="VBM24" s="2"/>
      <c r="VBN24" s="2"/>
      <c r="VBO24" s="2"/>
      <c r="VBP24" s="2"/>
      <c r="VBQ24" s="2"/>
      <c r="VBR24" s="2"/>
      <c r="VBS24" s="2"/>
      <c r="VBT24" s="2"/>
      <c r="VBU24" s="2"/>
      <c r="VBV24" s="2"/>
      <c r="VBW24" s="2"/>
      <c r="VBX24" s="2"/>
      <c r="VBY24" s="2"/>
      <c r="VBZ24" s="2"/>
      <c r="VCA24" s="2"/>
      <c r="VCB24" s="2"/>
      <c r="VCC24" s="2"/>
      <c r="VCD24" s="2"/>
      <c r="VCE24" s="2"/>
      <c r="VCF24" s="2"/>
      <c r="VCG24" s="2"/>
      <c r="VCH24" s="2"/>
      <c r="VCI24" s="2"/>
      <c r="VCJ24" s="2"/>
      <c r="VCK24" s="2"/>
      <c r="VCL24" s="2"/>
      <c r="VCM24" s="2"/>
      <c r="VCN24" s="2"/>
      <c r="VCO24" s="2"/>
      <c r="VCP24" s="2"/>
      <c r="VCQ24" s="2"/>
      <c r="VCR24" s="2"/>
      <c r="VCS24" s="2"/>
      <c r="VCT24" s="2"/>
      <c r="VCU24" s="2"/>
      <c r="VCV24" s="2"/>
      <c r="VCW24" s="2"/>
      <c r="VCX24" s="2"/>
      <c r="VCY24" s="2"/>
      <c r="VCZ24" s="2"/>
      <c r="VDA24" s="2"/>
      <c r="VDB24" s="2"/>
      <c r="VDC24" s="2"/>
      <c r="VDD24" s="2"/>
      <c r="VDE24" s="2"/>
      <c r="VDF24" s="2"/>
      <c r="VDG24" s="2"/>
      <c r="VDH24" s="2"/>
      <c r="VDI24" s="2"/>
      <c r="VDJ24" s="2"/>
      <c r="VDK24" s="2"/>
      <c r="VDL24" s="2"/>
      <c r="VDM24" s="2"/>
      <c r="VDN24" s="2"/>
      <c r="VDO24" s="2"/>
      <c r="VDP24" s="2"/>
      <c r="VDQ24" s="2"/>
      <c r="VDR24" s="2"/>
      <c r="VDS24" s="2"/>
      <c r="VDT24" s="2"/>
      <c r="VDU24" s="2"/>
      <c r="VDV24" s="2"/>
      <c r="VDW24" s="2"/>
      <c r="VDX24" s="2"/>
      <c r="VDY24" s="2"/>
      <c r="VDZ24" s="2"/>
      <c r="VEA24" s="2"/>
      <c r="VEB24" s="2"/>
      <c r="VEC24" s="2"/>
      <c r="VED24" s="2"/>
      <c r="VEE24" s="2"/>
      <c r="VEF24" s="2"/>
      <c r="VEG24" s="2"/>
      <c r="VEH24" s="2"/>
      <c r="VEI24" s="2"/>
      <c r="VEJ24" s="2"/>
      <c r="VEK24" s="2"/>
      <c r="VEL24" s="2"/>
      <c r="VEM24" s="2"/>
      <c r="VEN24" s="2"/>
      <c r="VEO24" s="2"/>
      <c r="VEP24" s="2"/>
      <c r="VEQ24" s="2"/>
      <c r="VER24" s="2"/>
      <c r="VES24" s="2"/>
      <c r="VET24" s="2"/>
      <c r="VEU24" s="2"/>
      <c r="VEV24" s="2"/>
      <c r="VEW24" s="2"/>
      <c r="VEX24" s="2"/>
      <c r="VEY24" s="2"/>
      <c r="VEZ24" s="2"/>
      <c r="VFA24" s="2"/>
      <c r="VFB24" s="2"/>
      <c r="VFC24" s="2"/>
      <c r="VFD24" s="2"/>
      <c r="VFE24" s="2"/>
      <c r="VFF24" s="2"/>
      <c r="VFG24" s="2"/>
      <c r="VFH24" s="2"/>
      <c r="VFI24" s="2"/>
      <c r="VFJ24" s="2"/>
      <c r="VFK24" s="2"/>
      <c r="VFL24" s="2"/>
      <c r="VFM24" s="2"/>
      <c r="VFN24" s="2"/>
      <c r="VFO24" s="2"/>
      <c r="VFP24" s="2"/>
      <c r="VFQ24" s="2"/>
      <c r="VFR24" s="2"/>
      <c r="VFS24" s="2"/>
      <c r="VFT24" s="2"/>
      <c r="VFU24" s="2"/>
      <c r="VFV24" s="2"/>
      <c r="VFW24" s="2"/>
      <c r="VFX24" s="2"/>
      <c r="VFY24" s="2"/>
      <c r="VFZ24" s="2"/>
      <c r="VGA24" s="2"/>
      <c r="VGB24" s="2"/>
      <c r="VGC24" s="2"/>
      <c r="VGD24" s="2"/>
      <c r="VGE24" s="2"/>
      <c r="VGF24" s="2"/>
      <c r="VGG24" s="2"/>
      <c r="VGH24" s="2"/>
      <c r="VGI24" s="2"/>
      <c r="VGJ24" s="2"/>
      <c r="VGK24" s="2"/>
      <c r="VGL24" s="2"/>
      <c r="VGM24" s="2"/>
      <c r="VGN24" s="2"/>
      <c r="VGO24" s="2"/>
      <c r="VGP24" s="2"/>
      <c r="VGQ24" s="2"/>
      <c r="VGR24" s="2"/>
      <c r="VGS24" s="2"/>
    </row>
    <row r="25" spans="1:15121" x14ac:dyDescent="0.3">
      <c r="B25" s="149"/>
      <c r="C25" s="150" t="s">
        <v>85</v>
      </c>
      <c r="D25" s="155">
        <f>SUM(D26:D27)</f>
        <v>0</v>
      </c>
      <c r="E25" s="48" t="s">
        <v>16</v>
      </c>
      <c r="F25" s="135">
        <f>F26+F27</f>
        <v>0</v>
      </c>
      <c r="G25" s="135">
        <f t="shared" ref="G25:AJ25" si="5">G26+G27</f>
        <v>0</v>
      </c>
      <c r="H25" s="135">
        <f t="shared" si="5"/>
        <v>0</v>
      </c>
      <c r="I25" s="135">
        <f t="shared" si="5"/>
        <v>0</v>
      </c>
      <c r="J25" s="135">
        <f t="shared" si="5"/>
        <v>0</v>
      </c>
      <c r="K25" s="135">
        <f t="shared" si="5"/>
        <v>410835</v>
      </c>
      <c r="L25" s="135">
        <f t="shared" si="5"/>
        <v>1283039</v>
      </c>
      <c r="M25" s="135">
        <f t="shared" si="5"/>
        <v>307607</v>
      </c>
      <c r="N25" s="135">
        <f t="shared" si="5"/>
        <v>0</v>
      </c>
      <c r="O25" s="135">
        <f t="shared" si="5"/>
        <v>0</v>
      </c>
      <c r="P25" s="135">
        <f t="shared" si="5"/>
        <v>0</v>
      </c>
      <c r="Q25" s="135">
        <f>Q26+Q27</f>
        <v>416600</v>
      </c>
      <c r="R25" s="135">
        <f t="shared" si="5"/>
        <v>951930</v>
      </c>
      <c r="S25" s="135">
        <f t="shared" si="5"/>
        <v>488817</v>
      </c>
      <c r="T25" s="135">
        <f t="shared" si="5"/>
        <v>1095215</v>
      </c>
      <c r="U25" s="135">
        <f t="shared" si="5"/>
        <v>0</v>
      </c>
      <c r="V25" s="135">
        <f t="shared" si="5"/>
        <v>0</v>
      </c>
      <c r="W25" s="135">
        <f t="shared" si="5"/>
        <v>0</v>
      </c>
      <c r="X25" s="135">
        <f t="shared" si="5"/>
        <v>0</v>
      </c>
      <c r="Y25" s="135">
        <f t="shared" si="5"/>
        <v>0</v>
      </c>
      <c r="Z25" s="135">
        <f t="shared" si="5"/>
        <v>673912</v>
      </c>
      <c r="AA25" s="135">
        <f t="shared" si="5"/>
        <v>662603</v>
      </c>
      <c r="AB25" s="135">
        <f t="shared" si="5"/>
        <v>1094207</v>
      </c>
      <c r="AC25" s="135">
        <f t="shared" si="5"/>
        <v>649710</v>
      </c>
      <c r="AD25" s="135">
        <f t="shared" si="5"/>
        <v>0</v>
      </c>
      <c r="AE25" s="135">
        <f t="shared" si="5"/>
        <v>0</v>
      </c>
      <c r="AF25" s="135">
        <f t="shared" si="5"/>
        <v>0</v>
      </c>
      <c r="AG25" s="135">
        <f t="shared" si="5"/>
        <v>0</v>
      </c>
      <c r="AH25" s="135">
        <f t="shared" si="5"/>
        <v>0</v>
      </c>
      <c r="AI25" s="136"/>
      <c r="AJ25" s="137">
        <f t="shared" si="5"/>
        <v>0</v>
      </c>
      <c r="AK25" s="16"/>
      <c r="AL25" s="138">
        <f>SUM(F25:AJ25)</f>
        <v>8034475</v>
      </c>
    </row>
    <row r="26" spans="1:15121" x14ac:dyDescent="0.3">
      <c r="B26" s="149"/>
      <c r="C26" s="150" t="s">
        <v>133</v>
      </c>
      <c r="D26" s="155"/>
      <c r="E26" s="48" t="s">
        <v>16</v>
      </c>
      <c r="F26" s="135"/>
      <c r="G26" s="135"/>
      <c r="H26" s="135"/>
      <c r="I26" s="135"/>
      <c r="J26" s="135"/>
      <c r="K26" s="135">
        <v>287820</v>
      </c>
      <c r="L26" s="135">
        <v>898730</v>
      </c>
      <c r="M26" s="135">
        <v>215457</v>
      </c>
      <c r="N26" s="135"/>
      <c r="O26" s="135"/>
      <c r="P26" s="135"/>
      <c r="Q26" s="135">
        <v>291650</v>
      </c>
      <c r="R26" s="135">
        <v>666588</v>
      </c>
      <c r="S26" s="135">
        <v>328854</v>
      </c>
      <c r="T26" s="135">
        <v>767192</v>
      </c>
      <c r="U26" s="135"/>
      <c r="V26" s="135"/>
      <c r="W26" s="135"/>
      <c r="X26" s="135"/>
      <c r="Y26" s="135"/>
      <c r="Z26" s="135">
        <v>471742</v>
      </c>
      <c r="AA26" s="135">
        <v>464103</v>
      </c>
      <c r="AB26" s="135">
        <v>766281</v>
      </c>
      <c r="AC26" s="135">
        <v>466510</v>
      </c>
      <c r="AD26" s="135"/>
      <c r="AE26" s="135"/>
      <c r="AF26" s="135"/>
      <c r="AG26" s="136"/>
      <c r="AH26" s="136"/>
      <c r="AI26" s="136"/>
      <c r="AJ26" s="137"/>
      <c r="AK26" s="16"/>
      <c r="AL26" s="138">
        <f>SUM(F26:AJ26)</f>
        <v>5624927</v>
      </c>
    </row>
    <row r="27" spans="1:15121" x14ac:dyDescent="0.3">
      <c r="B27" s="149"/>
      <c r="C27" s="150" t="s">
        <v>83</v>
      </c>
      <c r="D27" s="155"/>
      <c r="E27" s="48" t="s">
        <v>16</v>
      </c>
      <c r="F27" s="135"/>
      <c r="G27" s="135"/>
      <c r="H27" s="135"/>
      <c r="I27" s="135"/>
      <c r="J27" s="135"/>
      <c r="K27" s="135">
        <v>123015</v>
      </c>
      <c r="L27" s="135">
        <v>384309</v>
      </c>
      <c r="M27" s="135">
        <v>92150</v>
      </c>
      <c r="N27" s="135"/>
      <c r="O27" s="135"/>
      <c r="P27" s="135"/>
      <c r="Q27" s="135">
        <v>124950</v>
      </c>
      <c r="R27" s="135">
        <f>320542-6100-29100</f>
        <v>285342</v>
      </c>
      <c r="S27" s="135">
        <f>276263-116300</f>
        <v>159963</v>
      </c>
      <c r="T27" s="135">
        <v>328023</v>
      </c>
      <c r="U27" s="135"/>
      <c r="V27" s="135"/>
      <c r="W27" s="135"/>
      <c r="X27" s="135"/>
      <c r="Y27" s="135"/>
      <c r="Z27" s="135">
        <f>206980-4810</f>
        <v>202170</v>
      </c>
      <c r="AA27" s="156">
        <v>198500</v>
      </c>
      <c r="AB27" s="135">
        <v>327926</v>
      </c>
      <c r="AC27" s="135">
        <v>183200</v>
      </c>
      <c r="AD27" s="135"/>
      <c r="AE27" s="135"/>
      <c r="AF27" s="135"/>
      <c r="AG27" s="136"/>
      <c r="AH27" s="136"/>
      <c r="AI27" s="136"/>
      <c r="AJ27" s="137"/>
      <c r="AK27" s="16"/>
      <c r="AL27" s="138">
        <f>SUM(F27:AJ27)</f>
        <v>2409548</v>
      </c>
    </row>
    <row r="28" spans="1:15121" x14ac:dyDescent="0.3">
      <c r="B28" s="149"/>
      <c r="C28" s="151" t="s">
        <v>116</v>
      </c>
      <c r="D28" s="165"/>
      <c r="E28" s="153"/>
      <c r="F28" s="122"/>
      <c r="G28" s="122"/>
      <c r="H28" s="122"/>
      <c r="I28" s="166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67"/>
      <c r="Z28" s="168"/>
      <c r="AA28" s="162"/>
      <c r="AB28" s="167"/>
      <c r="AC28" s="167"/>
      <c r="AD28" s="167"/>
      <c r="AE28" s="167"/>
      <c r="AF28" s="167"/>
      <c r="AG28" s="169"/>
      <c r="AH28" s="169"/>
      <c r="AI28" s="169"/>
      <c r="AJ28" s="170"/>
      <c r="AK28" s="16"/>
      <c r="AL28" s="154" t="s">
        <v>126</v>
      </c>
    </row>
    <row r="29" spans="1:15121" s="35" customFormat="1" x14ac:dyDescent="0.25">
      <c r="A29" s="17"/>
      <c r="B29" s="171"/>
      <c r="C29" s="106" t="s">
        <v>81</v>
      </c>
      <c r="D29" s="172"/>
      <c r="E29" s="173" t="s">
        <v>16</v>
      </c>
      <c r="F29" s="135"/>
      <c r="G29" s="135">
        <f>G30/G41*100</f>
        <v>593461.45632065495</v>
      </c>
      <c r="H29" s="135">
        <f>H30/H41*100</f>
        <v>28452.626184375153</v>
      </c>
      <c r="I29" s="135"/>
      <c r="J29" s="135"/>
      <c r="K29" s="135"/>
      <c r="L29" s="135"/>
      <c r="M29" s="135"/>
      <c r="N29" s="135"/>
      <c r="O29" s="135"/>
      <c r="P29" s="135"/>
      <c r="Q29" s="342"/>
      <c r="R29" s="135">
        <f>R30/R41*100</f>
        <v>122495.04612510945</v>
      </c>
      <c r="S29" s="135">
        <f>S30/S41*100</f>
        <v>488216.20145682007</v>
      </c>
      <c r="T29" s="135"/>
      <c r="U29" s="135"/>
      <c r="V29" s="135"/>
      <c r="W29" s="135">
        <f>W30/W41*100</f>
        <v>258353.17284834865</v>
      </c>
      <c r="X29" s="135">
        <f>X30/X41*100</f>
        <v>333911.62338422611</v>
      </c>
      <c r="Y29" s="135">
        <f>Y30/Y41*100</f>
        <v>8584.8955404009048</v>
      </c>
      <c r="Z29" s="135">
        <f>Z30/Z41*100</f>
        <v>20119.548147757097</v>
      </c>
      <c r="AA29" s="135"/>
      <c r="AB29" s="135"/>
      <c r="AC29" s="135"/>
      <c r="AD29" s="174"/>
      <c r="AE29" s="174"/>
      <c r="AF29" s="174"/>
      <c r="AG29" s="175">
        <f>AG30/AG41*100</f>
        <v>170181.57590361824</v>
      </c>
      <c r="AH29" s="175">
        <f>AH30/AH41*100</f>
        <v>1123003.5913743502</v>
      </c>
      <c r="AI29" s="175">
        <f>AI30/AI41*100</f>
        <v>10292.230978868591</v>
      </c>
      <c r="AJ29" s="176"/>
      <c r="AK29" s="91"/>
      <c r="AL29" s="177">
        <f>SUM(F29:AJ29)</f>
        <v>3157071.968264529</v>
      </c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6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/>
      <c r="IZ29" s="17"/>
      <c r="JA29" s="17"/>
      <c r="JB29" s="17"/>
      <c r="JC29" s="17"/>
      <c r="JD29" s="17"/>
      <c r="JE29" s="17"/>
      <c r="JF29" s="17"/>
      <c r="JG29" s="17"/>
      <c r="JH29" s="17"/>
      <c r="JI29" s="17"/>
      <c r="JJ29" s="17"/>
      <c r="JK29" s="17"/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  <c r="KO29" s="17"/>
      <c r="KP29" s="17"/>
      <c r="KQ29" s="17"/>
      <c r="KR29" s="17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/>
      <c r="MC29" s="17"/>
      <c r="MD29" s="17"/>
      <c r="ME29" s="17"/>
      <c r="MF29" s="17"/>
      <c r="MG29" s="17"/>
      <c r="MH29" s="17"/>
      <c r="MI29" s="17"/>
      <c r="MJ29" s="17"/>
      <c r="MK29" s="17"/>
      <c r="ML29" s="17"/>
      <c r="MM29" s="17"/>
      <c r="MN29" s="17"/>
      <c r="MO29" s="17"/>
      <c r="MP29" s="17"/>
      <c r="MQ29" s="17"/>
      <c r="MR29" s="17"/>
      <c r="MS29" s="17"/>
      <c r="MT29" s="17"/>
      <c r="MU29" s="17"/>
      <c r="MV29" s="17"/>
      <c r="MW29" s="17"/>
      <c r="MX29" s="17"/>
      <c r="MY29" s="17"/>
      <c r="MZ29" s="17"/>
      <c r="NA29" s="17"/>
      <c r="NB29" s="17"/>
      <c r="NC29" s="17"/>
      <c r="ND29" s="17"/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/>
      <c r="BEW29" s="17"/>
      <c r="BEX29" s="17"/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/>
      <c r="BLA29" s="17"/>
      <c r="BLB29" s="17"/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  <c r="BYJ29" s="17"/>
      <c r="BYK29" s="17"/>
      <c r="BYL29" s="17"/>
      <c r="BYM29" s="17"/>
      <c r="BYN29" s="17"/>
      <c r="BYO29" s="17"/>
      <c r="BYP29" s="17"/>
      <c r="BYQ29" s="17"/>
      <c r="BYR29" s="17"/>
      <c r="BYS29" s="17"/>
      <c r="BYT29" s="17"/>
      <c r="BYU29" s="17"/>
      <c r="BYV29" s="17"/>
      <c r="BYW29" s="17"/>
      <c r="BYX29" s="17"/>
      <c r="BYY29" s="17"/>
      <c r="BYZ29" s="17"/>
      <c r="BZA29" s="17"/>
      <c r="BZB29" s="17"/>
      <c r="BZC29" s="17"/>
      <c r="BZD29" s="17"/>
      <c r="BZE29" s="17"/>
      <c r="BZF29" s="17"/>
      <c r="BZG29" s="17"/>
      <c r="BZH29" s="17"/>
      <c r="BZI29" s="17"/>
      <c r="BZJ29" s="17"/>
      <c r="BZK29" s="17"/>
      <c r="BZL29" s="17"/>
      <c r="BZM29" s="17"/>
      <c r="BZN29" s="17"/>
      <c r="BZO29" s="17"/>
      <c r="BZP29" s="17"/>
      <c r="BZQ29" s="17"/>
      <c r="BZR29" s="17"/>
      <c r="BZS29" s="17"/>
      <c r="BZT29" s="17"/>
      <c r="BZU29" s="17"/>
      <c r="BZV29" s="17"/>
      <c r="BZW29" s="17"/>
      <c r="BZX29" s="17"/>
      <c r="BZY29" s="17"/>
      <c r="BZZ29" s="17"/>
      <c r="CAA29" s="17"/>
      <c r="CAB29" s="17"/>
      <c r="CAC29" s="17"/>
      <c r="CAD29" s="17"/>
      <c r="CAE29" s="17"/>
      <c r="CAF29" s="17"/>
      <c r="CAG29" s="17"/>
      <c r="CAH29" s="17"/>
      <c r="CAI29" s="17"/>
      <c r="CAJ29" s="17"/>
      <c r="CAK29" s="17"/>
      <c r="CAL29" s="17"/>
      <c r="CAM29" s="17"/>
      <c r="CAN29" s="17"/>
      <c r="CAO29" s="17"/>
      <c r="CAP29" s="17"/>
      <c r="CAQ29" s="17"/>
      <c r="CAR29" s="17"/>
      <c r="CAS29" s="17"/>
      <c r="CAT29" s="17"/>
      <c r="CAU29" s="17"/>
      <c r="CAV29" s="17"/>
      <c r="CAW29" s="17"/>
      <c r="CAX29" s="17"/>
      <c r="CAY29" s="17"/>
      <c r="CAZ29" s="17"/>
      <c r="CBA29" s="17"/>
      <c r="CBB29" s="17"/>
      <c r="CBC29" s="17"/>
      <c r="CBD29" s="17"/>
      <c r="CBE29" s="17"/>
      <c r="CBF29" s="17"/>
      <c r="CBG29" s="17"/>
      <c r="CBH29" s="17"/>
      <c r="CBI29" s="17"/>
      <c r="CBJ29" s="17"/>
      <c r="CBK29" s="17"/>
      <c r="CBL29" s="17"/>
      <c r="CBM29" s="17"/>
      <c r="CBN29" s="17"/>
      <c r="CBO29" s="17"/>
      <c r="CBP29" s="17"/>
      <c r="CBQ29" s="17"/>
      <c r="CBR29" s="17"/>
      <c r="CBS29" s="17"/>
      <c r="CBT29" s="17"/>
      <c r="CBU29" s="17"/>
      <c r="CBV29" s="17"/>
      <c r="CBW29" s="17"/>
      <c r="CBX29" s="17"/>
      <c r="CBY29" s="17"/>
      <c r="CBZ29" s="17"/>
      <c r="CCA29" s="17"/>
      <c r="CCB29" s="17"/>
      <c r="CCC29" s="17"/>
      <c r="CCD29" s="17"/>
      <c r="CCE29" s="17"/>
      <c r="CCF29" s="17"/>
      <c r="CCG29" s="17"/>
      <c r="CCH29" s="17"/>
      <c r="CCI29" s="17"/>
      <c r="CCJ29" s="17"/>
      <c r="CCK29" s="17"/>
      <c r="CCL29" s="17"/>
      <c r="CCM29" s="17"/>
      <c r="CCN29" s="17"/>
      <c r="CCO29" s="17"/>
      <c r="CCP29" s="17"/>
      <c r="CCQ29" s="17"/>
      <c r="CCR29" s="17"/>
      <c r="CCS29" s="17"/>
      <c r="CCT29" s="17"/>
      <c r="CCU29" s="17"/>
      <c r="CCV29" s="17"/>
      <c r="CCW29" s="17"/>
      <c r="CCX29" s="17"/>
      <c r="CCY29" s="17"/>
      <c r="CCZ29" s="17"/>
      <c r="CDA29" s="17"/>
      <c r="CDB29" s="17"/>
      <c r="CDC29" s="17"/>
      <c r="CDD29" s="17"/>
      <c r="CDE29" s="17"/>
      <c r="CDF29" s="17"/>
      <c r="CDG29" s="17"/>
      <c r="CDH29" s="17"/>
      <c r="CDI29" s="17"/>
      <c r="CDJ29" s="17"/>
      <c r="CDK29" s="17"/>
      <c r="CDL29" s="17"/>
      <c r="CDM29" s="17"/>
      <c r="CDN29" s="17"/>
      <c r="CDO29" s="17"/>
      <c r="CDP29" s="17"/>
      <c r="CDQ29" s="17"/>
      <c r="CDR29" s="17"/>
      <c r="CDS29" s="17"/>
      <c r="CDT29" s="17"/>
      <c r="CDU29" s="17"/>
      <c r="CDV29" s="17"/>
      <c r="CDW29" s="17"/>
      <c r="CDX29" s="17"/>
      <c r="CDY29" s="17"/>
      <c r="CDZ29" s="17"/>
      <c r="CEA29" s="17"/>
      <c r="CEB29" s="17"/>
      <c r="CEC29" s="17"/>
      <c r="CED29" s="17"/>
      <c r="CEE29" s="17"/>
      <c r="CEF29" s="17"/>
      <c r="CEG29" s="17"/>
      <c r="CEH29" s="17"/>
      <c r="CEI29" s="17"/>
      <c r="CEJ29" s="17"/>
      <c r="CEK29" s="17"/>
      <c r="CEL29" s="17"/>
      <c r="CEM29" s="17"/>
      <c r="CEN29" s="17"/>
      <c r="CEO29" s="17"/>
      <c r="CEP29" s="17"/>
      <c r="CEQ29" s="17"/>
      <c r="CER29" s="17"/>
      <c r="CES29" s="17"/>
      <c r="CET29" s="17"/>
      <c r="CEU29" s="17"/>
      <c r="CEV29" s="17"/>
      <c r="CEW29" s="17"/>
      <c r="CEX29" s="17"/>
      <c r="CEY29" s="17"/>
      <c r="CEZ29" s="17"/>
      <c r="CFA29" s="17"/>
      <c r="CFB29" s="17"/>
      <c r="CFC29" s="17"/>
      <c r="CFD29" s="17"/>
      <c r="CFE29" s="17"/>
      <c r="CFF29" s="17"/>
      <c r="CFG29" s="17"/>
      <c r="CFH29" s="17"/>
      <c r="CFI29" s="17"/>
      <c r="CFJ29" s="17"/>
      <c r="CFK29" s="17"/>
      <c r="CFL29" s="17"/>
      <c r="CFM29" s="17"/>
      <c r="CFN29" s="17"/>
      <c r="CFO29" s="17"/>
      <c r="CFP29" s="17"/>
      <c r="CFQ29" s="17"/>
      <c r="CFR29" s="17"/>
      <c r="CFS29" s="17"/>
      <c r="CFT29" s="17"/>
      <c r="CFU29" s="17"/>
      <c r="CFV29" s="17"/>
      <c r="CFW29" s="17"/>
      <c r="CFX29" s="17"/>
      <c r="CFY29" s="17"/>
      <c r="CFZ29" s="17"/>
      <c r="CGA29" s="17"/>
      <c r="CGB29" s="17"/>
      <c r="CGC29" s="17"/>
      <c r="CGD29" s="17"/>
      <c r="CGE29" s="17"/>
      <c r="CGF29" s="17"/>
      <c r="CGG29" s="17"/>
      <c r="CGH29" s="17"/>
      <c r="CGI29" s="17"/>
      <c r="CGJ29" s="17"/>
      <c r="CGK29" s="17"/>
      <c r="CGL29" s="17"/>
      <c r="CGM29" s="17"/>
      <c r="CGN29" s="17"/>
      <c r="CGO29" s="17"/>
      <c r="CGP29" s="17"/>
      <c r="CGQ29" s="17"/>
      <c r="CGR29" s="17"/>
      <c r="CGS29" s="17"/>
      <c r="CGT29" s="17"/>
      <c r="CGU29" s="17"/>
      <c r="CGV29" s="17"/>
      <c r="CGW29" s="17"/>
      <c r="CGX29" s="17"/>
      <c r="CGY29" s="17"/>
      <c r="CGZ29" s="17"/>
      <c r="CHA29" s="17"/>
      <c r="CHB29" s="17"/>
      <c r="CHC29" s="17"/>
      <c r="CHD29" s="17"/>
      <c r="CHE29" s="17"/>
      <c r="CHF29" s="17"/>
      <c r="CHG29" s="17"/>
      <c r="CHH29" s="17"/>
      <c r="CHI29" s="17"/>
      <c r="CHJ29" s="17"/>
      <c r="CHK29" s="17"/>
      <c r="CHL29" s="17"/>
      <c r="CHM29" s="17"/>
      <c r="CHN29" s="17"/>
      <c r="CHO29" s="17"/>
      <c r="CHP29" s="17"/>
      <c r="CHQ29" s="17"/>
      <c r="CHR29" s="17"/>
      <c r="CHS29" s="17"/>
      <c r="CHT29" s="17"/>
      <c r="CHU29" s="17"/>
      <c r="CHV29" s="17"/>
      <c r="CHW29" s="17"/>
      <c r="CHX29" s="17"/>
      <c r="CHY29" s="17"/>
      <c r="CHZ29" s="17"/>
      <c r="CIA29" s="17"/>
      <c r="CIB29" s="17"/>
      <c r="CIC29" s="17"/>
      <c r="CID29" s="17"/>
      <c r="CIE29" s="17"/>
      <c r="CIF29" s="17"/>
      <c r="CIG29" s="17"/>
      <c r="CIH29" s="17"/>
      <c r="CII29" s="17"/>
      <c r="CIJ29" s="17"/>
      <c r="CIK29" s="17"/>
      <c r="CIL29" s="17"/>
      <c r="CIM29" s="17"/>
      <c r="CIN29" s="17"/>
      <c r="CIO29" s="17"/>
      <c r="CIP29" s="17"/>
      <c r="CIQ29" s="17"/>
      <c r="CIR29" s="17"/>
      <c r="CIS29" s="17"/>
      <c r="CIT29" s="17"/>
      <c r="CIU29" s="17"/>
      <c r="CIV29" s="17"/>
      <c r="CIW29" s="17"/>
      <c r="CIX29" s="17"/>
      <c r="CIY29" s="17"/>
      <c r="CIZ29" s="17"/>
      <c r="CJA29" s="17"/>
      <c r="CJB29" s="17"/>
      <c r="CJC29" s="17"/>
      <c r="CJD29" s="17"/>
      <c r="CJE29" s="17"/>
      <c r="CJF29" s="17"/>
      <c r="CJG29" s="17"/>
      <c r="CJH29" s="17"/>
      <c r="CJI29" s="17"/>
      <c r="CJJ29" s="17"/>
      <c r="CJK29" s="17"/>
      <c r="CJL29" s="17"/>
      <c r="CJM29" s="17"/>
      <c r="CJN29" s="17"/>
      <c r="CJO29" s="17"/>
      <c r="CJP29" s="17"/>
      <c r="CJQ29" s="17"/>
      <c r="CJR29" s="17"/>
      <c r="CJS29" s="17"/>
      <c r="CJT29" s="17"/>
      <c r="CJU29" s="17"/>
      <c r="CJV29" s="17"/>
      <c r="CJW29" s="17"/>
      <c r="CJX29" s="17"/>
      <c r="CJY29" s="17"/>
      <c r="CJZ29" s="17"/>
      <c r="CKA29" s="17"/>
      <c r="CKB29" s="17"/>
      <c r="CKC29" s="17"/>
      <c r="CKD29" s="17"/>
      <c r="CKE29" s="17"/>
      <c r="CKF29" s="17"/>
      <c r="CKG29" s="17"/>
      <c r="CKH29" s="17"/>
      <c r="CKI29" s="17"/>
      <c r="CKJ29" s="17"/>
      <c r="CKK29" s="17"/>
      <c r="CKL29" s="17"/>
      <c r="CKM29" s="17"/>
      <c r="CKN29" s="17"/>
      <c r="CKO29" s="17"/>
      <c r="CKP29" s="17"/>
      <c r="CKQ29" s="17"/>
      <c r="CKR29" s="17"/>
      <c r="CKS29" s="17"/>
      <c r="CKT29" s="17"/>
      <c r="CKU29" s="17"/>
      <c r="CKV29" s="17"/>
      <c r="CKW29" s="17"/>
      <c r="CKX29" s="17"/>
      <c r="CKY29" s="17"/>
      <c r="CKZ29" s="17"/>
      <c r="CLA29" s="17"/>
      <c r="CLB29" s="17"/>
      <c r="CLC29" s="17"/>
      <c r="CLD29" s="17"/>
      <c r="CLE29" s="17"/>
      <c r="CLF29" s="17"/>
      <c r="CLG29" s="17"/>
      <c r="CLH29" s="17"/>
      <c r="CLI29" s="17"/>
      <c r="CLJ29" s="17"/>
      <c r="CLK29" s="17"/>
      <c r="CLL29" s="17"/>
      <c r="CLM29" s="17"/>
      <c r="CLN29" s="17"/>
      <c r="CLO29" s="17"/>
      <c r="CLP29" s="17"/>
      <c r="CLQ29" s="17"/>
      <c r="CLR29" s="17"/>
      <c r="CLS29" s="17"/>
      <c r="CLT29" s="17"/>
      <c r="CLU29" s="17"/>
      <c r="CLV29" s="17"/>
      <c r="CLW29" s="17"/>
      <c r="CLX29" s="17"/>
      <c r="CLY29" s="17"/>
      <c r="CLZ29" s="17"/>
      <c r="CMA29" s="17"/>
      <c r="CMB29" s="17"/>
      <c r="CMC29" s="17"/>
      <c r="CMD29" s="17"/>
      <c r="CME29" s="17"/>
      <c r="CMF29" s="17"/>
      <c r="CMG29" s="17"/>
      <c r="CMH29" s="17"/>
      <c r="CMI29" s="17"/>
      <c r="CMJ29" s="17"/>
      <c r="CMK29" s="17"/>
      <c r="CML29" s="17"/>
      <c r="CMM29" s="17"/>
      <c r="CMN29" s="17"/>
      <c r="CMO29" s="17"/>
      <c r="CMP29" s="17"/>
      <c r="CMQ29" s="17"/>
      <c r="CMR29" s="17"/>
      <c r="CMS29" s="17"/>
      <c r="CMT29" s="17"/>
      <c r="CMU29" s="17"/>
      <c r="CMV29" s="17"/>
      <c r="CMW29" s="17"/>
      <c r="CMX29" s="17"/>
      <c r="CMY29" s="17"/>
      <c r="CMZ29" s="17"/>
      <c r="CNA29" s="17"/>
      <c r="CNB29" s="17"/>
      <c r="CNC29" s="17"/>
      <c r="CND29" s="17"/>
      <c r="CNE29" s="17"/>
      <c r="CNF29" s="17"/>
      <c r="CNG29" s="17"/>
      <c r="CNH29" s="17"/>
      <c r="CNI29" s="17"/>
      <c r="CNJ29" s="17"/>
      <c r="CNK29" s="17"/>
      <c r="CNL29" s="17"/>
      <c r="CNM29" s="17"/>
      <c r="CNN29" s="17"/>
      <c r="CNO29" s="17"/>
      <c r="CNP29" s="17"/>
      <c r="CNQ29" s="17"/>
      <c r="CNR29" s="17"/>
      <c r="CNS29" s="17"/>
      <c r="CNT29" s="17"/>
      <c r="CNU29" s="17"/>
      <c r="CNV29" s="17"/>
      <c r="CNW29" s="17"/>
      <c r="CNX29" s="17"/>
      <c r="CNY29" s="17"/>
      <c r="CNZ29" s="17"/>
      <c r="COA29" s="17"/>
      <c r="COB29" s="17"/>
      <c r="COC29" s="17"/>
      <c r="COD29" s="17"/>
      <c r="COE29" s="17"/>
      <c r="COF29" s="17"/>
      <c r="COG29" s="17"/>
      <c r="COH29" s="17"/>
      <c r="COI29" s="17"/>
      <c r="COJ29" s="17"/>
      <c r="COK29" s="17"/>
      <c r="COL29" s="17"/>
      <c r="COM29" s="17"/>
      <c r="CON29" s="17"/>
      <c r="COO29" s="17"/>
      <c r="COP29" s="17"/>
      <c r="COQ29" s="17"/>
      <c r="COR29" s="17"/>
      <c r="COS29" s="17"/>
      <c r="COT29" s="17"/>
      <c r="COU29" s="17"/>
      <c r="COV29" s="17"/>
      <c r="COW29" s="17"/>
      <c r="COX29" s="17"/>
      <c r="COY29" s="17"/>
      <c r="COZ29" s="17"/>
      <c r="CPA29" s="17"/>
      <c r="CPB29" s="17"/>
      <c r="CPC29" s="17"/>
      <c r="CPD29" s="17"/>
      <c r="CPE29" s="17"/>
      <c r="CPF29" s="17"/>
      <c r="CPG29" s="17"/>
      <c r="CPH29" s="17"/>
      <c r="CPI29" s="17"/>
      <c r="CPJ29" s="17"/>
      <c r="CPK29" s="17"/>
      <c r="CPL29" s="17"/>
      <c r="CPM29" s="17"/>
      <c r="CPN29" s="17"/>
      <c r="CPO29" s="17"/>
      <c r="CPP29" s="17"/>
      <c r="CPQ29" s="17"/>
      <c r="CPR29" s="17"/>
      <c r="CPS29" s="17"/>
      <c r="CPT29" s="17"/>
      <c r="CPU29" s="17"/>
      <c r="CPV29" s="17"/>
      <c r="CPW29" s="17"/>
      <c r="CPX29" s="17"/>
      <c r="CPY29" s="17"/>
      <c r="CPZ29" s="17"/>
      <c r="CQA29" s="17"/>
      <c r="CQB29" s="17"/>
      <c r="CQC29" s="17"/>
      <c r="CQD29" s="17"/>
      <c r="CQE29" s="17"/>
      <c r="CQF29" s="17"/>
      <c r="CQG29" s="17"/>
      <c r="CQH29" s="17"/>
      <c r="CQI29" s="17"/>
      <c r="CQJ29" s="17"/>
      <c r="CQK29" s="17"/>
      <c r="CQL29" s="17"/>
      <c r="CQM29" s="17"/>
      <c r="CQN29" s="17"/>
      <c r="CQO29" s="17"/>
      <c r="CQP29" s="17"/>
      <c r="CQQ29" s="17"/>
      <c r="CQR29" s="17"/>
      <c r="CQS29" s="17"/>
      <c r="CQT29" s="17"/>
      <c r="CQU29" s="17"/>
      <c r="CQV29" s="17"/>
      <c r="CQW29" s="17"/>
      <c r="CQX29" s="17"/>
      <c r="CQY29" s="17"/>
      <c r="CQZ29" s="17"/>
      <c r="CRA29" s="17"/>
      <c r="CRB29" s="17"/>
      <c r="CRC29" s="17"/>
      <c r="CRD29" s="17"/>
      <c r="CRE29" s="17"/>
      <c r="CRF29" s="17"/>
      <c r="CRG29" s="17"/>
      <c r="CRH29" s="17"/>
      <c r="CRI29" s="17"/>
      <c r="CRJ29" s="17"/>
      <c r="CRK29" s="17"/>
      <c r="CRL29" s="17"/>
      <c r="CRM29" s="17"/>
      <c r="CRN29" s="17"/>
      <c r="CRO29" s="17"/>
      <c r="CRP29" s="17"/>
      <c r="CRQ29" s="17"/>
      <c r="CRR29" s="17"/>
      <c r="CRS29" s="17"/>
      <c r="CRT29" s="17"/>
      <c r="CRU29" s="17"/>
      <c r="CRV29" s="17"/>
      <c r="CRW29" s="17"/>
      <c r="CRX29" s="17"/>
      <c r="CRY29" s="17"/>
      <c r="CRZ29" s="17"/>
      <c r="CSA29" s="17"/>
      <c r="CSB29" s="17"/>
      <c r="CSC29" s="17"/>
      <c r="CSD29" s="17"/>
      <c r="CSE29" s="17"/>
      <c r="CSF29" s="17"/>
      <c r="CSG29" s="17"/>
      <c r="CSH29" s="17"/>
      <c r="CSI29" s="17"/>
      <c r="CSJ29" s="17"/>
      <c r="CSK29" s="17"/>
      <c r="CSL29" s="17"/>
      <c r="CSM29" s="17"/>
      <c r="CSN29" s="17"/>
      <c r="CSO29" s="17"/>
      <c r="CSP29" s="17"/>
      <c r="CSQ29" s="17"/>
      <c r="CSR29" s="17"/>
      <c r="CSS29" s="17"/>
      <c r="CST29" s="17"/>
      <c r="CSU29" s="17"/>
      <c r="CSV29" s="17"/>
      <c r="CSW29" s="17"/>
      <c r="CSX29" s="17"/>
      <c r="CSY29" s="17"/>
      <c r="CSZ29" s="17"/>
      <c r="CTA29" s="17"/>
      <c r="CTB29" s="17"/>
      <c r="CTC29" s="17"/>
      <c r="CTD29" s="17"/>
      <c r="CTE29" s="17"/>
      <c r="CTF29" s="17"/>
      <c r="CTG29" s="17"/>
      <c r="CTH29" s="17"/>
      <c r="CTI29" s="17"/>
      <c r="CTJ29" s="17"/>
      <c r="CTK29" s="17"/>
      <c r="CTL29" s="17"/>
      <c r="CTM29" s="17"/>
      <c r="CTN29" s="17"/>
      <c r="CTO29" s="17"/>
      <c r="CTP29" s="17"/>
      <c r="CTQ29" s="17"/>
      <c r="CTR29" s="17"/>
      <c r="CTS29" s="17"/>
      <c r="CTT29" s="17"/>
      <c r="CTU29" s="17"/>
      <c r="CTV29" s="17"/>
      <c r="CTW29" s="17"/>
      <c r="CTX29" s="17"/>
      <c r="CTY29" s="17"/>
      <c r="CTZ29" s="17"/>
      <c r="CUA29" s="17"/>
      <c r="CUB29" s="17"/>
      <c r="CUC29" s="17"/>
      <c r="CUD29" s="17"/>
      <c r="CUE29" s="17"/>
      <c r="CUF29" s="17"/>
      <c r="CUG29" s="17"/>
      <c r="CUH29" s="17"/>
      <c r="CUI29" s="17"/>
      <c r="CUJ29" s="17"/>
      <c r="CUK29" s="17"/>
      <c r="CUL29" s="17"/>
      <c r="CUM29" s="17"/>
      <c r="CUN29" s="17"/>
      <c r="CUO29" s="17"/>
      <c r="CUP29" s="17"/>
      <c r="CUQ29" s="17"/>
      <c r="CUR29" s="17"/>
      <c r="CUS29" s="17"/>
      <c r="CUT29" s="17"/>
      <c r="CUU29" s="17"/>
      <c r="CUV29" s="17"/>
      <c r="CUW29" s="17"/>
      <c r="CUX29" s="17"/>
      <c r="CUY29" s="17"/>
      <c r="CUZ29" s="17"/>
      <c r="CVA29" s="17"/>
      <c r="CVB29" s="17"/>
      <c r="CVC29" s="17"/>
      <c r="CVD29" s="17"/>
      <c r="CVE29" s="17"/>
      <c r="CVF29" s="17"/>
      <c r="CVG29" s="17"/>
      <c r="CVH29" s="17"/>
      <c r="CVI29" s="17"/>
      <c r="CVJ29" s="17"/>
      <c r="CVK29" s="17"/>
      <c r="CVL29" s="17"/>
      <c r="CVM29" s="17"/>
      <c r="CVN29" s="17"/>
      <c r="CVO29" s="17"/>
      <c r="CVP29" s="17"/>
      <c r="CVQ29" s="17"/>
      <c r="CVR29" s="17"/>
      <c r="CVS29" s="17"/>
      <c r="CVT29" s="17"/>
      <c r="CVU29" s="17"/>
      <c r="CVV29" s="17"/>
      <c r="CVW29" s="17"/>
      <c r="CVX29" s="17"/>
      <c r="CVY29" s="17"/>
      <c r="CVZ29" s="17"/>
      <c r="CWA29" s="17"/>
      <c r="CWB29" s="17"/>
      <c r="CWC29" s="17"/>
      <c r="CWD29" s="17"/>
      <c r="CWE29" s="17"/>
      <c r="CWF29" s="17"/>
      <c r="CWG29" s="17"/>
      <c r="CWH29" s="17"/>
      <c r="CWI29" s="17"/>
      <c r="CWJ29" s="17"/>
      <c r="CWK29" s="17"/>
      <c r="CWL29" s="17"/>
      <c r="CWM29" s="17"/>
      <c r="CWN29" s="17"/>
      <c r="CWO29" s="17"/>
      <c r="CWP29" s="17"/>
      <c r="CWQ29" s="17"/>
      <c r="CWR29" s="17"/>
      <c r="CWS29" s="17"/>
      <c r="CWT29" s="17"/>
      <c r="CWU29" s="17"/>
      <c r="CWV29" s="17"/>
      <c r="CWW29" s="17"/>
      <c r="CWX29" s="17"/>
      <c r="CWY29" s="17"/>
      <c r="CWZ29" s="17"/>
      <c r="CXA29" s="17"/>
      <c r="CXB29" s="17"/>
      <c r="CXC29" s="17"/>
      <c r="CXD29" s="17"/>
      <c r="CXE29" s="17"/>
      <c r="CXF29" s="17"/>
      <c r="CXG29" s="17"/>
      <c r="CXH29" s="17"/>
      <c r="CXI29" s="17"/>
      <c r="CXJ29" s="17"/>
      <c r="CXK29" s="17"/>
      <c r="CXL29" s="17"/>
      <c r="CXM29" s="17"/>
      <c r="CXN29" s="17"/>
      <c r="CXO29" s="17"/>
      <c r="CXP29" s="17"/>
      <c r="CXQ29" s="17"/>
      <c r="CXR29" s="17"/>
      <c r="CXS29" s="17"/>
      <c r="CXT29" s="17"/>
      <c r="CXU29" s="17"/>
      <c r="CXV29" s="17"/>
      <c r="CXW29" s="17"/>
      <c r="CXX29" s="17"/>
      <c r="CXY29" s="17"/>
      <c r="CXZ29" s="17"/>
      <c r="CYA29" s="17"/>
      <c r="CYB29" s="17"/>
      <c r="CYC29" s="17"/>
      <c r="CYD29" s="17"/>
      <c r="CYE29" s="17"/>
      <c r="CYF29" s="17"/>
      <c r="CYG29" s="17"/>
      <c r="CYH29" s="17"/>
      <c r="CYI29" s="17"/>
      <c r="CYJ29" s="17"/>
      <c r="CYK29" s="17"/>
      <c r="CYL29" s="17"/>
      <c r="CYM29" s="17"/>
      <c r="CYN29" s="17"/>
      <c r="CYO29" s="17"/>
      <c r="CYP29" s="17"/>
      <c r="CYQ29" s="17"/>
      <c r="CYR29" s="17"/>
      <c r="CYS29" s="17"/>
      <c r="CYT29" s="17"/>
      <c r="CYU29" s="17"/>
      <c r="CYV29" s="17"/>
      <c r="CYW29" s="17"/>
      <c r="CYX29" s="17"/>
      <c r="CYY29" s="17"/>
      <c r="CYZ29" s="17"/>
      <c r="CZA29" s="17"/>
      <c r="CZB29" s="17"/>
      <c r="CZC29" s="17"/>
      <c r="CZD29" s="17"/>
      <c r="CZE29" s="17"/>
      <c r="CZF29" s="17"/>
      <c r="CZG29" s="17"/>
      <c r="CZH29" s="17"/>
      <c r="CZI29" s="17"/>
      <c r="CZJ29" s="17"/>
      <c r="CZK29" s="17"/>
      <c r="CZL29" s="17"/>
      <c r="CZM29" s="17"/>
      <c r="CZN29" s="17"/>
      <c r="CZO29" s="17"/>
      <c r="CZP29" s="17"/>
      <c r="CZQ29" s="17"/>
      <c r="CZR29" s="17"/>
      <c r="CZS29" s="17"/>
      <c r="CZT29" s="17"/>
      <c r="CZU29" s="17"/>
      <c r="CZV29" s="17"/>
      <c r="CZW29" s="17"/>
      <c r="CZX29" s="17"/>
      <c r="CZY29" s="17"/>
      <c r="CZZ29" s="17"/>
      <c r="DAA29" s="17"/>
      <c r="DAB29" s="17"/>
      <c r="DAC29" s="17"/>
      <c r="DAD29" s="17"/>
      <c r="DAE29" s="17"/>
      <c r="DAF29" s="17"/>
      <c r="DAG29" s="17"/>
      <c r="DAH29" s="17"/>
      <c r="DAI29" s="17"/>
      <c r="DAJ29" s="17"/>
      <c r="DAK29" s="17"/>
      <c r="DAL29" s="17"/>
      <c r="DAM29" s="17"/>
      <c r="DAN29" s="17"/>
      <c r="DAO29" s="17"/>
      <c r="DAP29" s="17"/>
      <c r="DAQ29" s="17"/>
      <c r="DAR29" s="17"/>
      <c r="DAS29" s="17"/>
      <c r="DAT29" s="17"/>
      <c r="DAU29" s="17"/>
      <c r="DAV29" s="17"/>
      <c r="DAW29" s="17"/>
      <c r="DAX29" s="17"/>
      <c r="DAY29" s="17"/>
      <c r="DAZ29" s="17"/>
      <c r="DBA29" s="17"/>
      <c r="DBB29" s="17"/>
      <c r="DBC29" s="17"/>
      <c r="DBD29" s="17"/>
      <c r="DBE29" s="17"/>
      <c r="DBF29" s="17"/>
      <c r="DBG29" s="17"/>
      <c r="DBH29" s="17"/>
      <c r="DBI29" s="17"/>
      <c r="DBJ29" s="17"/>
      <c r="DBK29" s="17"/>
      <c r="DBL29" s="17"/>
      <c r="DBM29" s="17"/>
      <c r="DBN29" s="17"/>
      <c r="DBO29" s="17"/>
      <c r="DBP29" s="17"/>
      <c r="DBQ29" s="17"/>
      <c r="DBR29" s="17"/>
      <c r="DBS29" s="17"/>
      <c r="DBT29" s="17"/>
      <c r="DBU29" s="17"/>
      <c r="DBV29" s="17"/>
      <c r="DBW29" s="17"/>
      <c r="DBX29" s="17"/>
      <c r="DBY29" s="17"/>
      <c r="DBZ29" s="17"/>
      <c r="DCA29" s="17"/>
      <c r="DCB29" s="17"/>
      <c r="DCC29" s="17"/>
      <c r="DCD29" s="17"/>
      <c r="DCE29" s="17"/>
      <c r="DCF29" s="17"/>
      <c r="DCG29" s="17"/>
      <c r="DCH29" s="17"/>
      <c r="DCI29" s="17"/>
      <c r="DCJ29" s="17"/>
      <c r="DCK29" s="17"/>
      <c r="DCL29" s="17"/>
      <c r="DCM29" s="17"/>
      <c r="DCN29" s="17"/>
      <c r="DCO29" s="17"/>
      <c r="DCP29" s="17"/>
      <c r="DCQ29" s="17"/>
      <c r="DCR29" s="17"/>
      <c r="DCS29" s="17"/>
      <c r="DCT29" s="17"/>
      <c r="DCU29" s="17"/>
      <c r="DCV29" s="17"/>
      <c r="DCW29" s="17"/>
      <c r="DCX29" s="17"/>
      <c r="DCY29" s="17"/>
      <c r="DCZ29" s="17"/>
      <c r="DDA29" s="17"/>
      <c r="DDB29" s="17"/>
      <c r="DDC29" s="17"/>
      <c r="DDD29" s="17"/>
      <c r="DDE29" s="17"/>
      <c r="DDF29" s="17"/>
      <c r="DDG29" s="17"/>
      <c r="DDH29" s="17"/>
      <c r="DDI29" s="17"/>
      <c r="DDJ29" s="17"/>
      <c r="DDK29" s="17"/>
      <c r="DDL29" s="17"/>
      <c r="DDM29" s="17"/>
      <c r="DDN29" s="17"/>
      <c r="DDO29" s="17"/>
      <c r="DDP29" s="17"/>
      <c r="DDQ29" s="17"/>
      <c r="DDR29" s="17"/>
      <c r="DDS29" s="17"/>
      <c r="DDT29" s="17"/>
      <c r="DDU29" s="17"/>
      <c r="DDV29" s="17"/>
      <c r="DDW29" s="17"/>
      <c r="DDX29" s="17"/>
      <c r="DDY29" s="17"/>
      <c r="DDZ29" s="17"/>
      <c r="DEA29" s="17"/>
      <c r="DEB29" s="17"/>
      <c r="DEC29" s="17"/>
      <c r="DED29" s="17"/>
      <c r="DEE29" s="17"/>
      <c r="DEF29" s="17"/>
      <c r="DEG29" s="17"/>
      <c r="DEH29" s="17"/>
      <c r="DEI29" s="17"/>
      <c r="DEJ29" s="17"/>
      <c r="DEK29" s="17"/>
      <c r="DEL29" s="17"/>
      <c r="DEM29" s="17"/>
      <c r="DEN29" s="17"/>
      <c r="DEO29" s="17"/>
      <c r="DEP29" s="17"/>
      <c r="DEQ29" s="17"/>
      <c r="DER29" s="17"/>
      <c r="DES29" s="17"/>
      <c r="DET29" s="17"/>
      <c r="DEU29" s="17"/>
      <c r="DEV29" s="17"/>
      <c r="DEW29" s="17"/>
      <c r="DEX29" s="17"/>
      <c r="DEY29" s="17"/>
      <c r="DEZ29" s="17"/>
      <c r="DFA29" s="17"/>
      <c r="DFB29" s="17"/>
      <c r="DFC29" s="17"/>
      <c r="DFD29" s="17"/>
      <c r="DFE29" s="17"/>
      <c r="DFF29" s="17"/>
      <c r="DFG29" s="17"/>
      <c r="DFH29" s="17"/>
      <c r="DFI29" s="17"/>
      <c r="DFJ29" s="17"/>
      <c r="DFK29" s="17"/>
      <c r="DFL29" s="17"/>
      <c r="DFM29" s="17"/>
      <c r="DFN29" s="17"/>
      <c r="DFO29" s="17"/>
      <c r="DFP29" s="17"/>
      <c r="DFQ29" s="17"/>
      <c r="DFR29" s="17"/>
      <c r="DFS29" s="17"/>
      <c r="DFT29" s="17"/>
      <c r="DFU29" s="17"/>
      <c r="DFV29" s="17"/>
      <c r="DFW29" s="17"/>
      <c r="DFX29" s="17"/>
      <c r="DFY29" s="17"/>
      <c r="DFZ29" s="17"/>
      <c r="DGA29" s="17"/>
      <c r="DGB29" s="17"/>
      <c r="DGC29" s="17"/>
      <c r="DGD29" s="17"/>
      <c r="DGE29" s="17"/>
      <c r="DGF29" s="17"/>
      <c r="DGG29" s="17"/>
      <c r="DGH29" s="17"/>
      <c r="DGI29" s="17"/>
      <c r="DGJ29" s="17"/>
      <c r="DGK29" s="17"/>
      <c r="DGL29" s="17"/>
      <c r="DGM29" s="17"/>
      <c r="DGN29" s="17"/>
      <c r="DGO29" s="17"/>
      <c r="DGP29" s="17"/>
      <c r="DGQ29" s="17"/>
      <c r="DGR29" s="17"/>
      <c r="DGS29" s="17"/>
      <c r="DGT29" s="17"/>
      <c r="DGU29" s="17"/>
      <c r="DGV29" s="17"/>
      <c r="DGW29" s="17"/>
      <c r="DGX29" s="17"/>
      <c r="DGY29" s="17"/>
      <c r="DGZ29" s="17"/>
      <c r="DHA29" s="17"/>
      <c r="DHB29" s="17"/>
      <c r="DHC29" s="17"/>
      <c r="DHD29" s="17"/>
      <c r="DHE29" s="17"/>
      <c r="DHF29" s="17"/>
      <c r="DHG29" s="17"/>
      <c r="DHH29" s="17"/>
      <c r="DHI29" s="17"/>
      <c r="DHJ29" s="17"/>
      <c r="DHK29" s="17"/>
      <c r="DHL29" s="17"/>
      <c r="DHM29" s="17"/>
      <c r="DHN29" s="17"/>
      <c r="DHO29" s="17"/>
      <c r="DHP29" s="17"/>
      <c r="DHQ29" s="17"/>
      <c r="DHR29" s="17"/>
      <c r="DHS29" s="17"/>
      <c r="DHT29" s="17"/>
      <c r="DHU29" s="17"/>
      <c r="DHV29" s="17"/>
      <c r="DHW29" s="17"/>
      <c r="DHX29" s="17"/>
      <c r="DHY29" s="17"/>
      <c r="DHZ29" s="17"/>
      <c r="DIA29" s="17"/>
      <c r="DIB29" s="17"/>
      <c r="DIC29" s="17"/>
      <c r="DID29" s="17"/>
      <c r="DIE29" s="17"/>
      <c r="DIF29" s="17"/>
      <c r="DIG29" s="17"/>
      <c r="DIH29" s="17"/>
      <c r="DII29" s="17"/>
      <c r="DIJ29" s="17"/>
      <c r="DIK29" s="17"/>
      <c r="DIL29" s="17"/>
      <c r="DIM29" s="17"/>
      <c r="DIN29" s="17"/>
      <c r="DIO29" s="17"/>
      <c r="DIP29" s="17"/>
      <c r="DIQ29" s="17"/>
      <c r="DIR29" s="17"/>
      <c r="DIS29" s="17"/>
      <c r="DIT29" s="17"/>
      <c r="DIU29" s="17"/>
      <c r="DIV29" s="17"/>
      <c r="DIW29" s="17"/>
      <c r="DIX29" s="17"/>
      <c r="DIY29" s="17"/>
      <c r="DIZ29" s="17"/>
      <c r="DJA29" s="17"/>
      <c r="DJB29" s="17"/>
      <c r="DJC29" s="17"/>
      <c r="DJD29" s="17"/>
      <c r="DJE29" s="17"/>
      <c r="DJF29" s="17"/>
      <c r="DJG29" s="17"/>
      <c r="DJH29" s="17"/>
      <c r="DJI29" s="17"/>
      <c r="DJJ29" s="17"/>
      <c r="DJK29" s="17"/>
      <c r="DJL29" s="17"/>
      <c r="DJM29" s="17"/>
      <c r="DJN29" s="17"/>
      <c r="DJO29" s="17"/>
      <c r="DJP29" s="17"/>
      <c r="DJQ29" s="17"/>
      <c r="DJR29" s="17"/>
      <c r="DJS29" s="17"/>
      <c r="DJT29" s="17"/>
      <c r="DJU29" s="17"/>
      <c r="DJV29" s="17"/>
      <c r="DJW29" s="17"/>
      <c r="DJX29" s="17"/>
      <c r="DJY29" s="17"/>
      <c r="DJZ29" s="17"/>
      <c r="DKA29" s="17"/>
      <c r="DKB29" s="17"/>
      <c r="DKC29" s="17"/>
      <c r="DKD29" s="17"/>
      <c r="DKE29" s="17"/>
      <c r="DKF29" s="17"/>
      <c r="DKG29" s="17"/>
      <c r="DKH29" s="17"/>
      <c r="DKI29" s="17"/>
      <c r="DKJ29" s="17"/>
      <c r="DKK29" s="17"/>
      <c r="DKL29" s="17"/>
      <c r="DKM29" s="17"/>
      <c r="DKN29" s="17"/>
      <c r="DKO29" s="17"/>
      <c r="DKP29" s="17"/>
      <c r="DKQ29" s="17"/>
      <c r="DKR29" s="17"/>
      <c r="DKS29" s="17"/>
      <c r="DKT29" s="17"/>
      <c r="DKU29" s="17"/>
      <c r="DKV29" s="17"/>
      <c r="DKW29" s="17"/>
      <c r="DKX29" s="17"/>
      <c r="DKY29" s="17"/>
      <c r="DKZ29" s="17"/>
      <c r="DLA29" s="17"/>
      <c r="DLB29" s="17"/>
      <c r="DLC29" s="17"/>
      <c r="DLD29" s="17"/>
      <c r="DLE29" s="17"/>
      <c r="DLF29" s="17"/>
      <c r="DLG29" s="17"/>
      <c r="DLH29" s="17"/>
      <c r="DLI29" s="17"/>
      <c r="DLJ29" s="17"/>
      <c r="DLK29" s="17"/>
      <c r="DLL29" s="17"/>
      <c r="DLM29" s="17"/>
      <c r="DLN29" s="17"/>
      <c r="DLO29" s="17"/>
      <c r="DLP29" s="17"/>
      <c r="DLQ29" s="17"/>
      <c r="DLR29" s="17"/>
      <c r="DLS29" s="17"/>
      <c r="DLT29" s="17"/>
      <c r="DLU29" s="17"/>
      <c r="DLV29" s="17"/>
      <c r="DLW29" s="17"/>
      <c r="DLX29" s="17"/>
      <c r="DLY29" s="17"/>
      <c r="DLZ29" s="17"/>
      <c r="DMA29" s="17"/>
      <c r="DMB29" s="17"/>
      <c r="DMC29" s="17"/>
      <c r="DMD29" s="17"/>
      <c r="DME29" s="17"/>
      <c r="DMF29" s="17"/>
      <c r="DMG29" s="17"/>
      <c r="DMH29" s="17"/>
      <c r="DMI29" s="17"/>
      <c r="DMJ29" s="17"/>
      <c r="DMK29" s="17"/>
      <c r="DML29" s="17"/>
      <c r="DMM29" s="17"/>
      <c r="DMN29" s="17"/>
      <c r="DMO29" s="17"/>
      <c r="DMP29" s="17"/>
      <c r="DMQ29" s="17"/>
      <c r="DMR29" s="17"/>
      <c r="DMS29" s="17"/>
      <c r="DMT29" s="17"/>
      <c r="DMU29" s="17"/>
      <c r="DMV29" s="17"/>
      <c r="DMW29" s="17"/>
      <c r="DMX29" s="17"/>
      <c r="DMY29" s="17"/>
      <c r="DMZ29" s="17"/>
      <c r="DNA29" s="17"/>
      <c r="DNB29" s="17"/>
      <c r="DNC29" s="17"/>
      <c r="DND29" s="17"/>
      <c r="DNE29" s="17"/>
      <c r="DNF29" s="17"/>
      <c r="DNG29" s="17"/>
      <c r="DNH29" s="17"/>
      <c r="DNI29" s="17"/>
      <c r="DNJ29" s="17"/>
      <c r="DNK29" s="17"/>
      <c r="DNL29" s="17"/>
      <c r="DNM29" s="17"/>
      <c r="DNN29" s="17"/>
      <c r="DNO29" s="17"/>
      <c r="DNP29" s="17"/>
      <c r="DNQ29" s="17"/>
      <c r="DNR29" s="17"/>
      <c r="DNS29" s="17"/>
      <c r="DNT29" s="17"/>
      <c r="DNU29" s="17"/>
      <c r="DNV29" s="17"/>
      <c r="DNW29" s="17"/>
      <c r="DNX29" s="17"/>
      <c r="DNY29" s="17"/>
      <c r="DNZ29" s="17"/>
      <c r="DOA29" s="17"/>
      <c r="DOB29" s="17"/>
      <c r="DOC29" s="17"/>
      <c r="DOD29" s="17"/>
      <c r="DOE29" s="17"/>
      <c r="DOF29" s="17"/>
      <c r="DOG29" s="17"/>
      <c r="DOH29" s="17"/>
      <c r="DOI29" s="17"/>
      <c r="DOJ29" s="17"/>
      <c r="DOK29" s="17"/>
      <c r="DOL29" s="17"/>
      <c r="DOM29" s="17"/>
      <c r="DON29" s="17"/>
      <c r="DOO29" s="17"/>
      <c r="DOP29" s="17"/>
      <c r="DOQ29" s="17"/>
      <c r="DOR29" s="17"/>
      <c r="DOS29" s="17"/>
      <c r="DOT29" s="17"/>
      <c r="DOU29" s="17"/>
      <c r="DOV29" s="17"/>
      <c r="DOW29" s="17"/>
      <c r="DOX29" s="17"/>
      <c r="DOY29" s="17"/>
      <c r="DOZ29" s="17"/>
      <c r="DPA29" s="17"/>
      <c r="DPB29" s="17"/>
      <c r="DPC29" s="17"/>
      <c r="DPD29" s="17"/>
      <c r="DPE29" s="17"/>
      <c r="DPF29" s="17"/>
      <c r="DPG29" s="17"/>
      <c r="DPH29" s="17"/>
      <c r="DPI29" s="17"/>
      <c r="DPJ29" s="17"/>
      <c r="DPK29" s="17"/>
      <c r="DPL29" s="17"/>
      <c r="DPM29" s="17"/>
      <c r="DPN29" s="17"/>
      <c r="DPO29" s="17"/>
      <c r="DPP29" s="17"/>
      <c r="DPQ29" s="17"/>
      <c r="DPR29" s="17"/>
      <c r="DPS29" s="17"/>
      <c r="DPT29" s="17"/>
      <c r="DPU29" s="17"/>
      <c r="DPV29" s="17"/>
      <c r="DPW29" s="17"/>
      <c r="DPX29" s="17"/>
      <c r="DPY29" s="17"/>
      <c r="DPZ29" s="17"/>
      <c r="DQA29" s="17"/>
      <c r="DQB29" s="17"/>
      <c r="DQC29" s="17"/>
      <c r="DQD29" s="17"/>
      <c r="DQE29" s="17"/>
      <c r="DQF29" s="17"/>
      <c r="DQG29" s="17"/>
      <c r="DQH29" s="17"/>
      <c r="DQI29" s="17"/>
      <c r="DQJ29" s="17"/>
      <c r="DQK29" s="17"/>
      <c r="DQL29" s="17"/>
      <c r="DQM29" s="17"/>
      <c r="DQN29" s="17"/>
      <c r="DQO29" s="17"/>
      <c r="DQP29" s="17"/>
      <c r="DQQ29" s="17"/>
      <c r="DQR29" s="17"/>
      <c r="DQS29" s="17"/>
      <c r="DQT29" s="17"/>
      <c r="DQU29" s="17"/>
      <c r="DQV29" s="17"/>
      <c r="DQW29" s="17"/>
      <c r="DQX29" s="17"/>
      <c r="DQY29" s="17"/>
      <c r="DQZ29" s="17"/>
      <c r="DRA29" s="17"/>
      <c r="DRB29" s="17"/>
      <c r="DRC29" s="17"/>
      <c r="DRD29" s="17"/>
      <c r="DRE29" s="17"/>
      <c r="DRF29" s="17"/>
      <c r="DRG29" s="17"/>
      <c r="DRH29" s="17"/>
      <c r="DRI29" s="17"/>
      <c r="DRJ29" s="17"/>
      <c r="DRK29" s="17"/>
      <c r="DRL29" s="17"/>
      <c r="DRM29" s="17"/>
      <c r="DRN29" s="17"/>
      <c r="DRO29" s="17"/>
      <c r="DRP29" s="17"/>
      <c r="DRQ29" s="17"/>
      <c r="DRR29" s="17"/>
      <c r="DRS29" s="17"/>
      <c r="DRT29" s="17"/>
      <c r="DRU29" s="17"/>
      <c r="DRV29" s="17"/>
      <c r="DRW29" s="17"/>
      <c r="DRX29" s="17"/>
      <c r="DRY29" s="17"/>
      <c r="DRZ29" s="17"/>
      <c r="DSA29" s="17"/>
      <c r="DSB29" s="17"/>
      <c r="DSC29" s="17"/>
      <c r="DSD29" s="17"/>
      <c r="DSE29" s="17"/>
      <c r="DSF29" s="17"/>
      <c r="DSG29" s="17"/>
      <c r="DSH29" s="17"/>
      <c r="DSI29" s="17"/>
      <c r="DSJ29" s="17"/>
      <c r="DSK29" s="17"/>
      <c r="DSL29" s="17"/>
      <c r="DSM29" s="17"/>
      <c r="DSN29" s="17"/>
      <c r="DSO29" s="17"/>
      <c r="DSP29" s="17"/>
      <c r="DSQ29" s="17"/>
      <c r="DSR29" s="17"/>
      <c r="DSS29" s="17"/>
      <c r="DST29" s="17"/>
      <c r="DSU29" s="17"/>
      <c r="DSV29" s="17"/>
      <c r="DSW29" s="17"/>
      <c r="DSX29" s="17"/>
      <c r="DSY29" s="17"/>
      <c r="DSZ29" s="17"/>
      <c r="DTA29" s="17"/>
      <c r="DTB29" s="17"/>
      <c r="DTC29" s="17"/>
      <c r="DTD29" s="17"/>
      <c r="DTE29" s="17"/>
      <c r="DTF29" s="17"/>
      <c r="DTG29" s="17"/>
      <c r="DTH29" s="17"/>
      <c r="DTI29" s="17"/>
      <c r="DTJ29" s="17"/>
      <c r="DTK29" s="17"/>
      <c r="DTL29" s="17"/>
      <c r="DTM29" s="17"/>
      <c r="DTN29" s="17"/>
      <c r="DTO29" s="17"/>
      <c r="DTP29" s="17"/>
      <c r="DTQ29" s="17"/>
      <c r="DTR29" s="17"/>
      <c r="DTS29" s="17"/>
      <c r="DTT29" s="17"/>
      <c r="DTU29" s="17"/>
      <c r="DTV29" s="17"/>
      <c r="DTW29" s="17"/>
      <c r="DTX29" s="17"/>
      <c r="DTY29" s="17"/>
      <c r="DTZ29" s="17"/>
      <c r="DUA29" s="17"/>
      <c r="DUB29" s="17"/>
      <c r="DUC29" s="17"/>
      <c r="DUD29" s="17"/>
      <c r="DUE29" s="17"/>
      <c r="DUF29" s="17"/>
      <c r="DUG29" s="17"/>
      <c r="DUH29" s="17"/>
      <c r="DUI29" s="17"/>
      <c r="DUJ29" s="17"/>
      <c r="DUK29" s="17"/>
      <c r="DUL29" s="17"/>
      <c r="DUM29" s="17"/>
      <c r="DUN29" s="17"/>
      <c r="DUO29" s="17"/>
      <c r="DUP29" s="17"/>
      <c r="DUQ29" s="17"/>
      <c r="DUR29" s="17"/>
      <c r="DUS29" s="17"/>
      <c r="DUT29" s="17"/>
      <c r="DUU29" s="17"/>
      <c r="DUV29" s="17"/>
      <c r="DUW29" s="17"/>
      <c r="DUX29" s="17"/>
      <c r="DUY29" s="17"/>
      <c r="DUZ29" s="17"/>
      <c r="DVA29" s="17"/>
      <c r="DVB29" s="17"/>
      <c r="DVC29" s="17"/>
      <c r="DVD29" s="17"/>
      <c r="DVE29" s="17"/>
      <c r="DVF29" s="17"/>
      <c r="DVG29" s="17"/>
      <c r="DVH29" s="17"/>
      <c r="DVI29" s="17"/>
      <c r="DVJ29" s="17"/>
      <c r="DVK29" s="17"/>
      <c r="DVL29" s="17"/>
      <c r="DVM29" s="17"/>
      <c r="DVN29" s="17"/>
      <c r="DVO29" s="17"/>
      <c r="DVP29" s="17"/>
      <c r="DVQ29" s="17"/>
      <c r="DVR29" s="17"/>
      <c r="DVS29" s="17"/>
      <c r="DVT29" s="17"/>
      <c r="DVU29" s="17"/>
      <c r="DVV29" s="17"/>
      <c r="DVW29" s="17"/>
      <c r="DVX29" s="17"/>
      <c r="DVY29" s="17"/>
      <c r="DVZ29" s="17"/>
      <c r="DWA29" s="17"/>
      <c r="DWB29" s="17"/>
      <c r="DWC29" s="17"/>
      <c r="DWD29" s="17"/>
      <c r="DWE29" s="17"/>
      <c r="DWF29" s="17"/>
      <c r="DWG29" s="17"/>
      <c r="DWH29" s="17"/>
      <c r="DWI29" s="17"/>
      <c r="DWJ29" s="17"/>
      <c r="DWK29" s="17"/>
      <c r="DWL29" s="17"/>
      <c r="DWM29" s="17"/>
      <c r="DWN29" s="17"/>
      <c r="DWO29" s="17"/>
      <c r="DWP29" s="17"/>
      <c r="DWQ29" s="17"/>
      <c r="DWR29" s="17"/>
      <c r="DWS29" s="17"/>
      <c r="DWT29" s="17"/>
      <c r="DWU29" s="17"/>
      <c r="DWV29" s="17"/>
      <c r="DWW29" s="17"/>
      <c r="DWX29" s="17"/>
      <c r="DWY29" s="17"/>
      <c r="DWZ29" s="17"/>
      <c r="DXA29" s="17"/>
      <c r="DXB29" s="17"/>
      <c r="DXC29" s="17"/>
      <c r="DXD29" s="17"/>
      <c r="DXE29" s="17"/>
      <c r="DXF29" s="17"/>
      <c r="DXG29" s="17"/>
      <c r="DXH29" s="17"/>
      <c r="DXI29" s="17"/>
      <c r="DXJ29" s="17"/>
      <c r="DXK29" s="17"/>
      <c r="DXL29" s="17"/>
      <c r="DXM29" s="17"/>
      <c r="DXN29" s="17"/>
      <c r="DXO29" s="17"/>
      <c r="DXP29" s="17"/>
      <c r="DXQ29" s="17"/>
      <c r="DXR29" s="17"/>
      <c r="DXS29" s="17"/>
      <c r="DXT29" s="17"/>
      <c r="DXU29" s="17"/>
      <c r="DXV29" s="17"/>
      <c r="DXW29" s="17"/>
      <c r="DXX29" s="17"/>
      <c r="DXY29" s="17"/>
      <c r="DXZ29" s="17"/>
      <c r="DYA29" s="17"/>
      <c r="DYB29" s="17"/>
      <c r="DYC29" s="17"/>
      <c r="DYD29" s="17"/>
      <c r="DYE29" s="17"/>
      <c r="DYF29" s="17"/>
      <c r="DYG29" s="17"/>
      <c r="DYH29" s="17"/>
      <c r="DYI29" s="17"/>
      <c r="DYJ29" s="17"/>
      <c r="DYK29" s="17"/>
      <c r="DYL29" s="17"/>
      <c r="DYM29" s="17"/>
      <c r="DYN29" s="17"/>
      <c r="DYO29" s="17"/>
      <c r="DYP29" s="17"/>
      <c r="DYQ29" s="17"/>
      <c r="DYR29" s="17"/>
      <c r="DYS29" s="17"/>
      <c r="DYT29" s="17"/>
      <c r="DYU29" s="17"/>
      <c r="DYV29" s="17"/>
      <c r="DYW29" s="17"/>
      <c r="DYX29" s="17"/>
      <c r="DYY29" s="17"/>
      <c r="DYZ29" s="17"/>
      <c r="DZA29" s="17"/>
      <c r="DZB29" s="17"/>
      <c r="DZC29" s="17"/>
      <c r="DZD29" s="17"/>
      <c r="DZE29" s="17"/>
      <c r="DZF29" s="17"/>
      <c r="DZG29" s="17"/>
      <c r="DZH29" s="17"/>
      <c r="DZI29" s="17"/>
      <c r="DZJ29" s="17"/>
      <c r="DZK29" s="17"/>
      <c r="DZL29" s="17"/>
      <c r="DZM29" s="17"/>
      <c r="DZN29" s="17"/>
      <c r="DZO29" s="17"/>
      <c r="DZP29" s="17"/>
      <c r="DZQ29" s="17"/>
      <c r="DZR29" s="17"/>
      <c r="DZS29" s="17"/>
      <c r="DZT29" s="17"/>
      <c r="DZU29" s="17"/>
      <c r="DZV29" s="17"/>
      <c r="DZW29" s="17"/>
      <c r="DZX29" s="17"/>
      <c r="DZY29" s="17"/>
      <c r="DZZ29" s="17"/>
      <c r="EAA29" s="17"/>
      <c r="EAB29" s="17"/>
      <c r="EAC29" s="17"/>
      <c r="EAD29" s="17"/>
      <c r="EAE29" s="17"/>
      <c r="EAF29" s="17"/>
      <c r="EAG29" s="17"/>
      <c r="EAH29" s="17"/>
      <c r="EAI29" s="17"/>
      <c r="EAJ29" s="17"/>
      <c r="EAK29" s="17"/>
      <c r="EAL29" s="17"/>
      <c r="EAM29" s="17"/>
      <c r="EAN29" s="17"/>
      <c r="EAO29" s="17"/>
      <c r="EAP29" s="17"/>
      <c r="EAQ29" s="17"/>
      <c r="EAR29" s="17"/>
      <c r="EAS29" s="17"/>
      <c r="EAT29" s="17"/>
      <c r="EAU29" s="17"/>
      <c r="EAV29" s="17"/>
      <c r="EAW29" s="17"/>
      <c r="EAX29" s="17"/>
      <c r="EAY29" s="17"/>
      <c r="EAZ29" s="17"/>
      <c r="EBA29" s="17"/>
      <c r="EBB29" s="17"/>
      <c r="EBC29" s="17"/>
      <c r="EBD29" s="17"/>
      <c r="EBE29" s="17"/>
      <c r="EBF29" s="17"/>
      <c r="EBG29" s="17"/>
      <c r="EBH29" s="17"/>
      <c r="EBI29" s="17"/>
      <c r="EBJ29" s="17"/>
      <c r="EBK29" s="17"/>
      <c r="EBL29" s="17"/>
      <c r="EBM29" s="17"/>
      <c r="EBN29" s="17"/>
      <c r="EBO29" s="17"/>
      <c r="EBP29" s="17"/>
      <c r="EBQ29" s="17"/>
      <c r="EBR29" s="17"/>
      <c r="EBS29" s="17"/>
      <c r="EBT29" s="17"/>
      <c r="EBU29" s="17"/>
      <c r="EBV29" s="17"/>
      <c r="EBW29" s="17"/>
      <c r="EBX29" s="17"/>
      <c r="EBY29" s="17"/>
      <c r="EBZ29" s="17"/>
      <c r="ECA29" s="17"/>
      <c r="ECB29" s="17"/>
      <c r="ECC29" s="17"/>
      <c r="ECD29" s="17"/>
      <c r="ECE29" s="17"/>
      <c r="ECF29" s="17"/>
      <c r="ECG29" s="17"/>
      <c r="ECH29" s="17"/>
      <c r="ECI29" s="17"/>
      <c r="ECJ29" s="17"/>
      <c r="ECK29" s="17"/>
      <c r="ECL29" s="17"/>
      <c r="ECM29" s="17"/>
      <c r="ECN29" s="17"/>
      <c r="ECO29" s="17"/>
      <c r="ECP29" s="17"/>
      <c r="ECQ29" s="17"/>
      <c r="ECR29" s="17"/>
      <c r="ECS29" s="17"/>
      <c r="ECT29" s="17"/>
      <c r="ECU29" s="17"/>
      <c r="ECV29" s="17"/>
      <c r="ECW29" s="17"/>
      <c r="ECX29" s="17"/>
      <c r="ECY29" s="17"/>
      <c r="ECZ29" s="17"/>
      <c r="EDA29" s="17"/>
      <c r="EDB29" s="17"/>
      <c r="EDC29" s="17"/>
      <c r="EDD29" s="17"/>
      <c r="EDE29" s="17"/>
      <c r="EDF29" s="17"/>
      <c r="EDG29" s="17"/>
      <c r="EDH29" s="17"/>
      <c r="EDI29" s="17"/>
      <c r="EDJ29" s="17"/>
      <c r="EDK29" s="17"/>
      <c r="EDL29" s="17"/>
      <c r="EDM29" s="17"/>
      <c r="EDN29" s="17"/>
      <c r="EDO29" s="17"/>
      <c r="EDP29" s="17"/>
      <c r="EDQ29" s="17"/>
      <c r="EDR29" s="17"/>
      <c r="EDS29" s="17"/>
      <c r="EDT29" s="17"/>
      <c r="EDU29" s="17"/>
      <c r="EDV29" s="17"/>
      <c r="EDW29" s="17"/>
      <c r="EDX29" s="17"/>
      <c r="EDY29" s="17"/>
      <c r="EDZ29" s="17"/>
      <c r="EEA29" s="17"/>
      <c r="EEB29" s="17"/>
      <c r="EEC29" s="17"/>
      <c r="EED29" s="17"/>
      <c r="EEE29" s="17"/>
      <c r="EEF29" s="17"/>
      <c r="EEG29" s="17"/>
      <c r="EEH29" s="17"/>
      <c r="EEI29" s="17"/>
      <c r="EEJ29" s="17"/>
      <c r="EEK29" s="17"/>
      <c r="EEL29" s="17"/>
      <c r="EEM29" s="17"/>
      <c r="EEN29" s="17"/>
      <c r="EEO29" s="17"/>
      <c r="EEP29" s="17"/>
      <c r="EEQ29" s="17"/>
      <c r="EER29" s="17"/>
      <c r="EES29" s="17"/>
      <c r="EET29" s="17"/>
      <c r="EEU29" s="17"/>
      <c r="EEV29" s="17"/>
      <c r="EEW29" s="17"/>
      <c r="EEX29" s="17"/>
      <c r="EEY29" s="17"/>
      <c r="EEZ29" s="17"/>
      <c r="EFA29" s="17"/>
      <c r="EFB29" s="17"/>
      <c r="EFC29" s="17"/>
      <c r="EFD29" s="17"/>
      <c r="EFE29" s="17"/>
      <c r="EFF29" s="17"/>
      <c r="EFG29" s="17"/>
      <c r="EFH29" s="17"/>
      <c r="EFI29" s="17"/>
      <c r="EFJ29" s="17"/>
      <c r="EFK29" s="17"/>
      <c r="EFL29" s="17"/>
      <c r="EFM29" s="17"/>
      <c r="EFN29" s="17"/>
      <c r="EFO29" s="17"/>
      <c r="EFP29" s="17"/>
      <c r="EFQ29" s="17"/>
      <c r="EFR29" s="17"/>
      <c r="EFS29" s="17"/>
      <c r="EFT29" s="17"/>
      <c r="EFU29" s="17"/>
      <c r="EFV29" s="17"/>
      <c r="EFW29" s="17"/>
      <c r="EFX29" s="17"/>
      <c r="EFY29" s="17"/>
      <c r="EFZ29" s="17"/>
      <c r="EGA29" s="17"/>
      <c r="EGB29" s="17"/>
      <c r="EGC29" s="17"/>
      <c r="EGD29" s="17"/>
      <c r="EGE29" s="17"/>
      <c r="EGF29" s="17"/>
      <c r="EGG29" s="17"/>
      <c r="EGH29" s="17"/>
      <c r="EGI29" s="17"/>
      <c r="EGJ29" s="17"/>
      <c r="EGK29" s="17"/>
      <c r="EGL29" s="17"/>
      <c r="EGM29" s="17"/>
      <c r="EGN29" s="17"/>
      <c r="EGO29" s="17"/>
      <c r="EGP29" s="17"/>
      <c r="EGQ29" s="17"/>
      <c r="EGR29" s="17"/>
      <c r="EGS29" s="17"/>
      <c r="EGT29" s="17"/>
      <c r="EGU29" s="17"/>
      <c r="EGV29" s="17"/>
      <c r="EGW29" s="17"/>
      <c r="EGX29" s="17"/>
      <c r="EGY29" s="17"/>
      <c r="EGZ29" s="17"/>
      <c r="EHA29" s="17"/>
      <c r="EHB29" s="17"/>
      <c r="EHC29" s="17"/>
      <c r="EHD29" s="17"/>
      <c r="EHE29" s="17"/>
      <c r="EHF29" s="17"/>
      <c r="EHG29" s="17"/>
      <c r="EHH29" s="17"/>
      <c r="EHI29" s="17"/>
      <c r="EHJ29" s="17"/>
      <c r="EHK29" s="17"/>
      <c r="EHL29" s="17"/>
      <c r="EHM29" s="17"/>
      <c r="EHN29" s="17"/>
      <c r="EHO29" s="17"/>
      <c r="EHP29" s="17"/>
      <c r="EHQ29" s="17"/>
      <c r="EHR29" s="17"/>
      <c r="EHS29" s="17"/>
      <c r="EHT29" s="17"/>
      <c r="EHU29" s="17"/>
      <c r="EHV29" s="17"/>
      <c r="EHW29" s="17"/>
      <c r="EHX29" s="17"/>
      <c r="EHY29" s="17"/>
      <c r="EHZ29" s="17"/>
      <c r="EIA29" s="17"/>
      <c r="EIB29" s="17"/>
      <c r="EIC29" s="17"/>
      <c r="EID29" s="17"/>
      <c r="EIE29" s="17"/>
      <c r="EIF29" s="17"/>
      <c r="EIG29" s="17"/>
      <c r="EIH29" s="17"/>
      <c r="EII29" s="17"/>
      <c r="EIJ29" s="17"/>
      <c r="EIK29" s="17"/>
      <c r="EIL29" s="17"/>
      <c r="EIM29" s="17"/>
      <c r="EIN29" s="17"/>
      <c r="EIO29" s="17"/>
      <c r="EIP29" s="17"/>
      <c r="EIQ29" s="17"/>
      <c r="EIR29" s="17"/>
      <c r="EIS29" s="17"/>
      <c r="EIT29" s="17"/>
      <c r="EIU29" s="17"/>
      <c r="EIV29" s="17"/>
      <c r="EIW29" s="17"/>
      <c r="EIX29" s="17"/>
      <c r="EIY29" s="17"/>
      <c r="EIZ29" s="17"/>
      <c r="EJA29" s="17"/>
      <c r="EJB29" s="17"/>
      <c r="EJC29" s="17"/>
      <c r="EJD29" s="17"/>
      <c r="EJE29" s="17"/>
      <c r="EJF29" s="17"/>
      <c r="EJG29" s="17"/>
      <c r="EJH29" s="17"/>
      <c r="EJI29" s="17"/>
      <c r="EJJ29" s="17"/>
      <c r="EJK29" s="17"/>
      <c r="EJL29" s="17"/>
      <c r="EJM29" s="17"/>
      <c r="EJN29" s="17"/>
      <c r="EJO29" s="17"/>
      <c r="EJP29" s="17"/>
      <c r="EJQ29" s="17"/>
      <c r="EJR29" s="17"/>
      <c r="EJS29" s="17"/>
      <c r="EJT29" s="17"/>
      <c r="EJU29" s="17"/>
      <c r="EJV29" s="17"/>
      <c r="EJW29" s="17"/>
      <c r="EJX29" s="17"/>
      <c r="EJY29" s="17"/>
      <c r="EJZ29" s="17"/>
      <c r="EKA29" s="17"/>
      <c r="EKB29" s="17"/>
      <c r="EKC29" s="17"/>
      <c r="EKD29" s="17"/>
      <c r="EKE29" s="17"/>
      <c r="EKF29" s="17"/>
      <c r="EKG29" s="17"/>
      <c r="EKH29" s="17"/>
      <c r="EKI29" s="17"/>
      <c r="EKJ29" s="17"/>
      <c r="EKK29" s="17"/>
      <c r="EKL29" s="17"/>
      <c r="EKM29" s="17"/>
      <c r="EKN29" s="17"/>
      <c r="EKO29" s="17"/>
      <c r="EKP29" s="17"/>
      <c r="EKQ29" s="17"/>
      <c r="EKR29" s="17"/>
      <c r="EKS29" s="17"/>
      <c r="EKT29" s="17"/>
      <c r="EKU29" s="17"/>
      <c r="EKV29" s="17"/>
      <c r="EKW29" s="17"/>
      <c r="EKX29" s="17"/>
      <c r="EKY29" s="17"/>
      <c r="EKZ29" s="17"/>
      <c r="ELA29" s="17"/>
      <c r="ELB29" s="17"/>
      <c r="ELC29" s="17"/>
      <c r="ELD29" s="17"/>
      <c r="ELE29" s="17"/>
      <c r="ELF29" s="17"/>
      <c r="ELG29" s="17"/>
      <c r="ELH29" s="17"/>
      <c r="ELI29" s="17"/>
      <c r="ELJ29" s="17"/>
      <c r="ELK29" s="17"/>
      <c r="ELL29" s="17"/>
      <c r="ELM29" s="17"/>
      <c r="ELN29" s="17"/>
      <c r="ELO29" s="17"/>
      <c r="ELP29" s="17"/>
      <c r="ELQ29" s="17"/>
      <c r="ELR29" s="17"/>
      <c r="ELS29" s="17"/>
      <c r="ELT29" s="17"/>
      <c r="ELU29" s="17"/>
      <c r="ELV29" s="17"/>
      <c r="ELW29" s="17"/>
      <c r="ELX29" s="17"/>
      <c r="ELY29" s="17"/>
      <c r="ELZ29" s="17"/>
      <c r="EMA29" s="17"/>
      <c r="EMB29" s="17"/>
      <c r="EMC29" s="17"/>
      <c r="EMD29" s="17"/>
      <c r="EME29" s="17"/>
      <c r="EMF29" s="17"/>
      <c r="EMG29" s="17"/>
      <c r="EMH29" s="17"/>
      <c r="EMI29" s="17"/>
      <c r="EMJ29" s="17"/>
      <c r="EMK29" s="17"/>
      <c r="EML29" s="17"/>
      <c r="EMM29" s="17"/>
      <c r="EMN29" s="17"/>
      <c r="EMO29" s="17"/>
      <c r="EMP29" s="17"/>
      <c r="EMQ29" s="17"/>
      <c r="EMR29" s="17"/>
      <c r="EMS29" s="17"/>
      <c r="EMT29" s="17"/>
      <c r="EMU29" s="17"/>
      <c r="EMV29" s="17"/>
      <c r="EMW29" s="17"/>
      <c r="EMX29" s="17"/>
      <c r="EMY29" s="17"/>
      <c r="EMZ29" s="17"/>
      <c r="ENA29" s="17"/>
      <c r="ENB29" s="17"/>
      <c r="ENC29" s="17"/>
      <c r="END29" s="17"/>
      <c r="ENE29" s="17"/>
      <c r="ENF29" s="17"/>
      <c r="ENG29" s="17"/>
      <c r="ENH29" s="17"/>
      <c r="ENI29" s="17"/>
      <c r="ENJ29" s="17"/>
      <c r="ENK29" s="17"/>
      <c r="ENL29" s="17"/>
      <c r="ENM29" s="17"/>
      <c r="ENN29" s="17"/>
      <c r="ENO29" s="17"/>
      <c r="ENP29" s="17"/>
      <c r="ENQ29" s="17"/>
      <c r="ENR29" s="17"/>
      <c r="ENS29" s="17"/>
      <c r="ENT29" s="17"/>
      <c r="ENU29" s="17"/>
      <c r="ENV29" s="17"/>
      <c r="ENW29" s="17"/>
      <c r="ENX29" s="17"/>
      <c r="ENY29" s="17"/>
      <c r="ENZ29" s="17"/>
      <c r="EOA29" s="17"/>
      <c r="EOB29" s="17"/>
      <c r="EOC29" s="17"/>
      <c r="EOD29" s="17"/>
      <c r="EOE29" s="17"/>
      <c r="EOF29" s="17"/>
      <c r="EOG29" s="17"/>
      <c r="EOH29" s="17"/>
      <c r="EOI29" s="17"/>
      <c r="EOJ29" s="17"/>
      <c r="EOK29" s="17"/>
      <c r="EOL29" s="17"/>
      <c r="EOM29" s="17"/>
      <c r="EON29" s="17"/>
      <c r="EOO29" s="17"/>
      <c r="EOP29" s="17"/>
      <c r="EOQ29" s="17"/>
      <c r="EOR29" s="17"/>
      <c r="EOS29" s="17"/>
      <c r="EOT29" s="17"/>
      <c r="EOU29" s="17"/>
      <c r="EOV29" s="17"/>
      <c r="EOW29" s="17"/>
      <c r="EOX29" s="17"/>
      <c r="EOY29" s="17"/>
      <c r="EOZ29" s="17"/>
      <c r="EPA29" s="17"/>
      <c r="EPB29" s="17"/>
      <c r="EPC29" s="17"/>
      <c r="EPD29" s="17"/>
      <c r="EPE29" s="17"/>
      <c r="EPF29" s="17"/>
      <c r="EPG29" s="17"/>
      <c r="EPH29" s="17"/>
      <c r="EPI29" s="17"/>
      <c r="EPJ29" s="17"/>
      <c r="EPK29" s="17"/>
      <c r="EPL29" s="17"/>
      <c r="EPM29" s="17"/>
      <c r="EPN29" s="17"/>
      <c r="EPO29" s="17"/>
      <c r="EPP29" s="17"/>
      <c r="EPQ29" s="17"/>
      <c r="EPR29" s="17"/>
      <c r="EPS29" s="17"/>
      <c r="EPT29" s="17"/>
      <c r="EPU29" s="17"/>
      <c r="EPV29" s="17"/>
      <c r="EPW29" s="17"/>
      <c r="EPX29" s="17"/>
      <c r="EPY29" s="17"/>
      <c r="EPZ29" s="17"/>
      <c r="EQA29" s="17"/>
      <c r="EQB29" s="17"/>
      <c r="EQC29" s="17"/>
      <c r="EQD29" s="17"/>
      <c r="EQE29" s="17"/>
      <c r="EQF29" s="17"/>
      <c r="EQG29" s="17"/>
      <c r="EQH29" s="17"/>
      <c r="EQI29" s="17"/>
      <c r="EQJ29" s="17"/>
      <c r="EQK29" s="17"/>
      <c r="EQL29" s="17"/>
      <c r="EQM29" s="17"/>
      <c r="EQN29" s="17"/>
      <c r="EQO29" s="17"/>
      <c r="EQP29" s="17"/>
      <c r="EQQ29" s="17"/>
      <c r="EQR29" s="17"/>
      <c r="EQS29" s="17"/>
      <c r="EQT29" s="17"/>
      <c r="EQU29" s="17"/>
      <c r="EQV29" s="17"/>
      <c r="EQW29" s="17"/>
      <c r="EQX29" s="17"/>
      <c r="EQY29" s="17"/>
      <c r="EQZ29" s="17"/>
      <c r="ERA29" s="17"/>
      <c r="ERB29" s="17"/>
      <c r="ERC29" s="17"/>
      <c r="ERD29" s="17"/>
      <c r="ERE29" s="17"/>
      <c r="ERF29" s="17"/>
      <c r="ERG29" s="17"/>
      <c r="ERH29" s="17"/>
      <c r="ERI29" s="17"/>
      <c r="ERJ29" s="17"/>
      <c r="ERK29" s="17"/>
      <c r="ERL29" s="17"/>
      <c r="ERM29" s="17"/>
      <c r="ERN29" s="17"/>
      <c r="ERO29" s="17"/>
      <c r="ERP29" s="17"/>
      <c r="ERQ29" s="17"/>
      <c r="ERR29" s="17"/>
      <c r="ERS29" s="17"/>
      <c r="ERT29" s="17"/>
      <c r="ERU29" s="17"/>
      <c r="ERV29" s="17"/>
      <c r="ERW29" s="17"/>
      <c r="ERX29" s="17"/>
      <c r="ERY29" s="17"/>
      <c r="ERZ29" s="17"/>
      <c r="ESA29" s="17"/>
      <c r="ESB29" s="17"/>
      <c r="ESC29" s="17"/>
      <c r="ESD29" s="17"/>
      <c r="ESE29" s="17"/>
      <c r="ESF29" s="17"/>
      <c r="ESG29" s="17"/>
      <c r="ESH29" s="17"/>
      <c r="ESI29" s="17"/>
      <c r="ESJ29" s="17"/>
      <c r="ESK29" s="17"/>
      <c r="ESL29" s="17"/>
      <c r="ESM29" s="17"/>
      <c r="ESN29" s="17"/>
      <c r="ESO29" s="17"/>
      <c r="ESP29" s="17"/>
      <c r="ESQ29" s="17"/>
      <c r="ESR29" s="17"/>
      <c r="ESS29" s="17"/>
      <c r="EST29" s="17"/>
      <c r="ESU29" s="17"/>
      <c r="ESV29" s="17"/>
      <c r="ESW29" s="17"/>
      <c r="ESX29" s="17"/>
      <c r="ESY29" s="17"/>
      <c r="ESZ29" s="17"/>
      <c r="ETA29" s="17"/>
      <c r="ETB29" s="17"/>
      <c r="ETC29" s="17"/>
      <c r="ETD29" s="17"/>
      <c r="ETE29" s="17"/>
      <c r="ETF29" s="17"/>
      <c r="ETG29" s="17"/>
      <c r="ETH29" s="17"/>
      <c r="ETI29" s="17"/>
      <c r="ETJ29" s="17"/>
      <c r="ETK29" s="17"/>
      <c r="ETL29" s="17"/>
      <c r="ETM29" s="17"/>
      <c r="ETN29" s="17"/>
      <c r="ETO29" s="17"/>
      <c r="ETP29" s="17"/>
      <c r="ETQ29" s="17"/>
      <c r="ETR29" s="17"/>
      <c r="ETS29" s="17"/>
      <c r="ETT29" s="17"/>
      <c r="ETU29" s="17"/>
      <c r="ETV29" s="17"/>
      <c r="ETW29" s="17"/>
      <c r="ETX29" s="17"/>
      <c r="ETY29" s="17"/>
      <c r="ETZ29" s="17"/>
      <c r="EUA29" s="17"/>
      <c r="EUB29" s="17"/>
      <c r="EUC29" s="17"/>
      <c r="EUD29" s="17"/>
      <c r="EUE29" s="17"/>
      <c r="EUF29" s="17"/>
      <c r="EUG29" s="17"/>
      <c r="EUH29" s="17"/>
      <c r="EUI29" s="17"/>
      <c r="EUJ29" s="17"/>
      <c r="EUK29" s="17"/>
      <c r="EUL29" s="17"/>
      <c r="EUM29" s="17"/>
      <c r="EUN29" s="17"/>
      <c r="EUO29" s="17"/>
      <c r="EUP29" s="17"/>
      <c r="EUQ29" s="17"/>
      <c r="EUR29" s="17"/>
      <c r="EUS29" s="17"/>
      <c r="EUT29" s="17"/>
      <c r="EUU29" s="17"/>
      <c r="EUV29" s="17"/>
      <c r="EUW29" s="17"/>
      <c r="EUX29" s="17"/>
      <c r="EUY29" s="17"/>
      <c r="EUZ29" s="17"/>
      <c r="EVA29" s="17"/>
      <c r="EVB29" s="17"/>
      <c r="EVC29" s="17"/>
      <c r="EVD29" s="17"/>
      <c r="EVE29" s="17"/>
      <c r="EVF29" s="17"/>
      <c r="EVG29" s="17"/>
      <c r="EVH29" s="17"/>
      <c r="EVI29" s="17"/>
      <c r="EVJ29" s="17"/>
      <c r="EVK29" s="17"/>
      <c r="EVL29" s="17"/>
      <c r="EVM29" s="17"/>
      <c r="EVN29" s="17"/>
      <c r="EVO29" s="17"/>
      <c r="EVP29" s="17"/>
      <c r="EVQ29" s="17"/>
      <c r="EVR29" s="17"/>
      <c r="EVS29" s="17"/>
      <c r="EVT29" s="17"/>
      <c r="EVU29" s="17"/>
      <c r="EVV29" s="17"/>
      <c r="EVW29" s="17"/>
      <c r="EVX29" s="17"/>
      <c r="EVY29" s="17"/>
      <c r="EVZ29" s="17"/>
      <c r="EWA29" s="17"/>
      <c r="EWB29" s="17"/>
      <c r="EWC29" s="17"/>
      <c r="EWD29" s="17"/>
      <c r="EWE29" s="17"/>
      <c r="EWF29" s="17"/>
      <c r="EWG29" s="17"/>
      <c r="EWH29" s="17"/>
      <c r="EWI29" s="17"/>
      <c r="EWJ29" s="17"/>
      <c r="EWK29" s="17"/>
      <c r="EWL29" s="17"/>
      <c r="EWM29" s="17"/>
      <c r="EWN29" s="17"/>
      <c r="EWO29" s="17"/>
      <c r="EWP29" s="17"/>
      <c r="EWQ29" s="17"/>
      <c r="EWR29" s="17"/>
      <c r="EWS29" s="17"/>
      <c r="EWT29" s="17"/>
      <c r="EWU29" s="17"/>
      <c r="EWV29" s="17"/>
      <c r="EWW29" s="17"/>
      <c r="EWX29" s="17"/>
      <c r="EWY29" s="17"/>
      <c r="EWZ29" s="17"/>
      <c r="EXA29" s="17"/>
      <c r="EXB29" s="17"/>
      <c r="EXC29" s="17"/>
      <c r="EXD29" s="17"/>
      <c r="EXE29" s="17"/>
      <c r="EXF29" s="17"/>
      <c r="EXG29" s="17"/>
      <c r="EXH29" s="17"/>
      <c r="EXI29" s="17"/>
      <c r="EXJ29" s="17"/>
      <c r="EXK29" s="17"/>
      <c r="EXL29" s="17"/>
      <c r="EXM29" s="17"/>
      <c r="EXN29" s="17"/>
      <c r="EXO29" s="17"/>
      <c r="EXP29" s="17"/>
      <c r="EXQ29" s="17"/>
      <c r="EXR29" s="17"/>
      <c r="EXS29" s="17"/>
      <c r="EXT29" s="17"/>
      <c r="EXU29" s="17"/>
      <c r="EXV29" s="17"/>
      <c r="EXW29" s="17"/>
      <c r="EXX29" s="17"/>
      <c r="EXY29" s="17"/>
      <c r="EXZ29" s="17"/>
      <c r="EYA29" s="17"/>
      <c r="EYB29" s="17"/>
      <c r="EYC29" s="17"/>
      <c r="EYD29" s="17"/>
      <c r="EYE29" s="17"/>
      <c r="EYF29" s="17"/>
      <c r="EYG29" s="17"/>
      <c r="EYH29" s="17"/>
      <c r="EYI29" s="17"/>
      <c r="EYJ29" s="17"/>
      <c r="EYK29" s="17"/>
      <c r="EYL29" s="17"/>
      <c r="EYM29" s="17"/>
      <c r="EYN29" s="17"/>
      <c r="EYO29" s="17"/>
      <c r="EYP29" s="17"/>
      <c r="EYQ29" s="17"/>
      <c r="EYR29" s="17"/>
      <c r="EYS29" s="17"/>
      <c r="EYT29" s="17"/>
      <c r="EYU29" s="17"/>
      <c r="EYV29" s="17"/>
      <c r="EYW29" s="17"/>
      <c r="EYX29" s="17"/>
      <c r="EYY29" s="17"/>
      <c r="EYZ29" s="17"/>
      <c r="EZA29" s="17"/>
      <c r="EZB29" s="17"/>
      <c r="EZC29" s="17"/>
      <c r="EZD29" s="17"/>
      <c r="EZE29" s="17"/>
      <c r="EZF29" s="17"/>
      <c r="EZG29" s="17"/>
      <c r="EZH29" s="17"/>
      <c r="EZI29" s="17"/>
      <c r="EZJ29" s="17"/>
      <c r="EZK29" s="17"/>
      <c r="EZL29" s="17"/>
      <c r="EZM29" s="17"/>
      <c r="EZN29" s="17"/>
      <c r="EZO29" s="17"/>
      <c r="EZP29" s="17"/>
      <c r="EZQ29" s="17"/>
      <c r="EZR29" s="17"/>
      <c r="EZS29" s="17"/>
      <c r="EZT29" s="17"/>
      <c r="EZU29" s="17"/>
      <c r="EZV29" s="17"/>
      <c r="EZW29" s="17"/>
      <c r="EZX29" s="17"/>
      <c r="EZY29" s="17"/>
      <c r="EZZ29" s="17"/>
      <c r="FAA29" s="17"/>
      <c r="FAB29" s="17"/>
      <c r="FAC29" s="17"/>
      <c r="FAD29" s="17"/>
      <c r="FAE29" s="17"/>
      <c r="FAF29" s="17"/>
      <c r="FAG29" s="17"/>
      <c r="FAH29" s="17"/>
      <c r="FAI29" s="17"/>
      <c r="FAJ29" s="17"/>
      <c r="FAK29" s="17"/>
      <c r="FAL29" s="17"/>
      <c r="FAM29" s="17"/>
      <c r="FAN29" s="17"/>
      <c r="FAO29" s="17"/>
      <c r="FAP29" s="17"/>
      <c r="FAQ29" s="17"/>
      <c r="FAR29" s="17"/>
      <c r="FAS29" s="17"/>
      <c r="FAT29" s="17"/>
      <c r="FAU29" s="17"/>
      <c r="FAV29" s="17"/>
      <c r="FAW29" s="17"/>
      <c r="FAX29" s="17"/>
      <c r="FAY29" s="17"/>
      <c r="FAZ29" s="17"/>
      <c r="FBA29" s="17"/>
      <c r="FBB29" s="17"/>
      <c r="FBC29" s="17"/>
      <c r="FBD29" s="17"/>
      <c r="FBE29" s="17"/>
      <c r="FBF29" s="17"/>
      <c r="FBG29" s="17"/>
      <c r="FBH29" s="17"/>
      <c r="FBI29" s="17"/>
      <c r="FBJ29" s="17"/>
      <c r="FBK29" s="17"/>
      <c r="FBL29" s="17"/>
      <c r="FBM29" s="17"/>
      <c r="FBN29" s="17"/>
      <c r="FBO29" s="17"/>
      <c r="FBP29" s="17"/>
      <c r="FBQ29" s="17"/>
      <c r="FBR29" s="17"/>
      <c r="FBS29" s="17"/>
      <c r="FBT29" s="17"/>
      <c r="FBU29" s="17"/>
      <c r="FBV29" s="17"/>
      <c r="FBW29" s="17"/>
      <c r="FBX29" s="17"/>
      <c r="FBY29" s="17"/>
      <c r="FBZ29" s="17"/>
      <c r="FCA29" s="17"/>
      <c r="FCB29" s="17"/>
      <c r="FCC29" s="17"/>
      <c r="FCD29" s="17"/>
      <c r="FCE29" s="17"/>
      <c r="FCF29" s="17"/>
      <c r="FCG29" s="17"/>
      <c r="FCH29" s="17"/>
      <c r="FCI29" s="17"/>
      <c r="FCJ29" s="17"/>
      <c r="FCK29" s="17"/>
      <c r="FCL29" s="17"/>
      <c r="FCM29" s="17"/>
      <c r="FCN29" s="17"/>
      <c r="FCO29" s="17"/>
      <c r="FCP29" s="17"/>
      <c r="FCQ29" s="17"/>
      <c r="FCR29" s="17"/>
      <c r="FCS29" s="17"/>
      <c r="FCT29" s="17"/>
      <c r="FCU29" s="17"/>
      <c r="FCV29" s="17"/>
      <c r="FCW29" s="17"/>
      <c r="FCX29" s="17"/>
      <c r="FCY29" s="17"/>
      <c r="FCZ29" s="17"/>
      <c r="FDA29" s="17"/>
      <c r="FDB29" s="17"/>
      <c r="FDC29" s="17"/>
      <c r="FDD29" s="17"/>
      <c r="FDE29" s="17"/>
      <c r="FDF29" s="17"/>
      <c r="FDG29" s="17"/>
      <c r="FDH29" s="17"/>
      <c r="FDI29" s="17"/>
      <c r="FDJ29" s="17"/>
      <c r="FDK29" s="17"/>
      <c r="FDL29" s="17"/>
      <c r="FDM29" s="17"/>
      <c r="FDN29" s="17"/>
      <c r="FDO29" s="17"/>
      <c r="FDP29" s="17"/>
      <c r="FDQ29" s="17"/>
      <c r="FDR29" s="17"/>
      <c r="FDS29" s="17"/>
      <c r="FDT29" s="17"/>
      <c r="FDU29" s="17"/>
      <c r="FDV29" s="17"/>
      <c r="FDW29" s="17"/>
      <c r="FDX29" s="17"/>
      <c r="FDY29" s="17"/>
      <c r="FDZ29" s="17"/>
      <c r="FEA29" s="17"/>
      <c r="FEB29" s="17"/>
      <c r="FEC29" s="17"/>
      <c r="FED29" s="17"/>
      <c r="FEE29" s="17"/>
      <c r="FEF29" s="17"/>
      <c r="FEG29" s="17"/>
      <c r="FEH29" s="17"/>
      <c r="FEI29" s="17"/>
      <c r="FEJ29" s="17"/>
      <c r="FEK29" s="17"/>
      <c r="FEL29" s="17"/>
      <c r="FEM29" s="17"/>
      <c r="FEN29" s="17"/>
      <c r="FEO29" s="17"/>
      <c r="FEP29" s="17"/>
      <c r="FEQ29" s="17"/>
      <c r="FER29" s="17"/>
      <c r="FES29" s="17"/>
      <c r="FET29" s="17"/>
      <c r="FEU29" s="17"/>
      <c r="FEV29" s="17"/>
      <c r="FEW29" s="17"/>
      <c r="FEX29" s="17"/>
      <c r="FEY29" s="17"/>
      <c r="FEZ29" s="17"/>
      <c r="FFA29" s="17"/>
      <c r="FFB29" s="17"/>
      <c r="FFC29" s="17"/>
      <c r="FFD29" s="17"/>
      <c r="FFE29" s="17"/>
      <c r="FFF29" s="17"/>
      <c r="FFG29" s="17"/>
      <c r="FFH29" s="17"/>
      <c r="FFI29" s="17"/>
      <c r="FFJ29" s="17"/>
      <c r="FFK29" s="17"/>
      <c r="FFL29" s="17"/>
      <c r="FFM29" s="17"/>
      <c r="FFN29" s="17"/>
      <c r="FFO29" s="17"/>
      <c r="FFP29" s="17"/>
      <c r="FFQ29" s="17"/>
      <c r="FFR29" s="17"/>
      <c r="FFS29" s="17"/>
      <c r="FFT29" s="17"/>
      <c r="FFU29" s="17"/>
      <c r="FFV29" s="17"/>
      <c r="FFW29" s="17"/>
      <c r="FFX29" s="17"/>
      <c r="FFY29" s="17"/>
      <c r="FFZ29" s="17"/>
      <c r="FGA29" s="17"/>
      <c r="FGB29" s="17"/>
      <c r="FGC29" s="17"/>
      <c r="FGD29" s="17"/>
      <c r="FGE29" s="17"/>
      <c r="FGF29" s="17"/>
      <c r="FGG29" s="17"/>
      <c r="FGH29" s="17"/>
      <c r="FGI29" s="17"/>
      <c r="FGJ29" s="17"/>
      <c r="FGK29" s="17"/>
      <c r="FGL29" s="17"/>
      <c r="FGM29" s="17"/>
      <c r="FGN29" s="17"/>
      <c r="FGO29" s="17"/>
      <c r="FGP29" s="17"/>
      <c r="FGQ29" s="17"/>
      <c r="FGR29" s="17"/>
      <c r="FGS29" s="17"/>
      <c r="FGT29" s="17"/>
      <c r="FGU29" s="17"/>
      <c r="FGV29" s="17"/>
      <c r="FGW29" s="17"/>
      <c r="FGX29" s="17"/>
      <c r="FGY29" s="17"/>
      <c r="FGZ29" s="17"/>
      <c r="FHA29" s="17"/>
      <c r="FHB29" s="17"/>
      <c r="FHC29" s="17"/>
      <c r="FHD29" s="17"/>
      <c r="FHE29" s="17"/>
      <c r="FHF29" s="17"/>
      <c r="FHG29" s="17"/>
      <c r="FHH29" s="17"/>
      <c r="FHI29" s="17"/>
      <c r="FHJ29" s="17"/>
      <c r="FHK29" s="17"/>
      <c r="FHL29" s="17"/>
      <c r="FHM29" s="17"/>
      <c r="FHN29" s="17"/>
      <c r="FHO29" s="17"/>
      <c r="FHP29" s="17"/>
      <c r="FHQ29" s="17"/>
      <c r="FHR29" s="17"/>
      <c r="FHS29" s="17"/>
      <c r="FHT29" s="17"/>
      <c r="FHU29" s="17"/>
      <c r="FHV29" s="17"/>
      <c r="FHW29" s="17"/>
      <c r="FHX29" s="17"/>
      <c r="FHY29" s="17"/>
      <c r="FHZ29" s="17"/>
      <c r="FIA29" s="17"/>
      <c r="FIB29" s="17"/>
      <c r="FIC29" s="17"/>
      <c r="FID29" s="17"/>
      <c r="FIE29" s="17"/>
      <c r="FIF29" s="17"/>
      <c r="FIG29" s="17"/>
      <c r="FIH29" s="17"/>
      <c r="FII29" s="17"/>
      <c r="FIJ29" s="17"/>
      <c r="FIK29" s="17"/>
      <c r="FIL29" s="17"/>
      <c r="FIM29" s="17"/>
      <c r="FIN29" s="17"/>
      <c r="FIO29" s="17"/>
      <c r="FIP29" s="17"/>
      <c r="FIQ29" s="17"/>
      <c r="FIR29" s="17"/>
      <c r="FIS29" s="17"/>
      <c r="FIT29" s="17"/>
      <c r="FIU29" s="17"/>
      <c r="FIV29" s="17"/>
      <c r="FIW29" s="17"/>
      <c r="FIX29" s="17"/>
      <c r="FIY29" s="17"/>
      <c r="FIZ29" s="17"/>
      <c r="FJA29" s="17"/>
      <c r="FJB29" s="17"/>
      <c r="FJC29" s="17"/>
      <c r="FJD29" s="17"/>
      <c r="FJE29" s="17"/>
      <c r="FJF29" s="17"/>
      <c r="FJG29" s="17"/>
      <c r="FJH29" s="17"/>
      <c r="FJI29" s="17"/>
      <c r="FJJ29" s="17"/>
      <c r="FJK29" s="17"/>
      <c r="FJL29" s="17"/>
      <c r="FJM29" s="17"/>
      <c r="FJN29" s="17"/>
      <c r="FJO29" s="17"/>
      <c r="FJP29" s="17"/>
      <c r="FJQ29" s="17"/>
      <c r="FJR29" s="17"/>
      <c r="FJS29" s="17"/>
      <c r="FJT29" s="17"/>
      <c r="FJU29" s="17"/>
      <c r="FJV29" s="17"/>
      <c r="FJW29" s="17"/>
      <c r="FJX29" s="17"/>
      <c r="FJY29" s="17"/>
      <c r="FJZ29" s="17"/>
      <c r="FKA29" s="17"/>
      <c r="FKB29" s="17"/>
      <c r="FKC29" s="17"/>
      <c r="FKD29" s="17"/>
      <c r="FKE29" s="17"/>
      <c r="FKF29" s="17"/>
      <c r="FKG29" s="17"/>
      <c r="FKH29" s="17"/>
      <c r="FKI29" s="17"/>
      <c r="FKJ29" s="17"/>
      <c r="FKK29" s="17"/>
      <c r="FKL29" s="17"/>
      <c r="FKM29" s="17"/>
      <c r="FKN29" s="17"/>
      <c r="FKO29" s="17"/>
      <c r="FKP29" s="17"/>
      <c r="FKQ29" s="17"/>
      <c r="FKR29" s="17"/>
      <c r="FKS29" s="17"/>
      <c r="FKT29" s="17"/>
      <c r="FKU29" s="17"/>
      <c r="FKV29" s="17"/>
      <c r="FKW29" s="17"/>
      <c r="FKX29" s="17"/>
      <c r="FKY29" s="17"/>
      <c r="FKZ29" s="17"/>
      <c r="FLA29" s="17"/>
      <c r="FLB29" s="17"/>
      <c r="FLC29" s="17"/>
      <c r="FLD29" s="17"/>
      <c r="FLE29" s="17"/>
      <c r="FLF29" s="17"/>
      <c r="FLG29" s="17"/>
      <c r="FLH29" s="17"/>
      <c r="FLI29" s="17"/>
      <c r="FLJ29" s="17"/>
      <c r="FLK29" s="17"/>
      <c r="FLL29" s="17"/>
      <c r="FLM29" s="17"/>
      <c r="FLN29" s="17"/>
      <c r="FLO29" s="17"/>
      <c r="FLP29" s="17"/>
      <c r="FLQ29" s="17"/>
      <c r="FLR29" s="17"/>
      <c r="FLS29" s="17"/>
      <c r="FLT29" s="17"/>
      <c r="FLU29" s="17"/>
      <c r="FLV29" s="17"/>
      <c r="FLW29" s="17"/>
      <c r="FLX29" s="17"/>
      <c r="FLY29" s="17"/>
      <c r="FLZ29" s="17"/>
      <c r="FMA29" s="17"/>
      <c r="FMB29" s="17"/>
      <c r="FMC29" s="17"/>
      <c r="FMD29" s="17"/>
      <c r="FME29" s="17"/>
      <c r="FMF29" s="17"/>
      <c r="FMG29" s="17"/>
      <c r="FMH29" s="17"/>
      <c r="FMI29" s="17"/>
      <c r="FMJ29" s="17"/>
      <c r="FMK29" s="17"/>
      <c r="FML29" s="17"/>
      <c r="FMM29" s="17"/>
      <c r="FMN29" s="17"/>
      <c r="FMO29" s="17"/>
      <c r="FMP29" s="17"/>
      <c r="FMQ29" s="17"/>
      <c r="FMR29" s="17"/>
      <c r="FMS29" s="17"/>
      <c r="FMT29" s="17"/>
      <c r="FMU29" s="17"/>
      <c r="FMV29" s="17"/>
      <c r="FMW29" s="17"/>
      <c r="FMX29" s="17"/>
      <c r="FMY29" s="17"/>
      <c r="FMZ29" s="17"/>
      <c r="FNA29" s="17"/>
      <c r="FNB29" s="17"/>
      <c r="FNC29" s="17"/>
      <c r="FND29" s="17"/>
      <c r="FNE29" s="17"/>
      <c r="FNF29" s="17"/>
      <c r="FNG29" s="17"/>
      <c r="FNH29" s="17"/>
      <c r="FNI29" s="17"/>
      <c r="FNJ29" s="17"/>
      <c r="FNK29" s="17"/>
      <c r="FNL29" s="17"/>
      <c r="FNM29" s="17"/>
      <c r="FNN29" s="17"/>
      <c r="FNO29" s="17"/>
      <c r="FNP29" s="17"/>
      <c r="FNQ29" s="17"/>
      <c r="FNR29" s="17"/>
      <c r="FNS29" s="17"/>
      <c r="FNT29" s="17"/>
      <c r="FNU29" s="17"/>
      <c r="FNV29" s="17"/>
      <c r="FNW29" s="17"/>
      <c r="FNX29" s="17"/>
      <c r="FNY29" s="17"/>
      <c r="FNZ29" s="17"/>
      <c r="FOA29" s="17"/>
      <c r="FOB29" s="17"/>
      <c r="FOC29" s="17"/>
      <c r="FOD29" s="17"/>
      <c r="FOE29" s="17"/>
      <c r="FOF29" s="17"/>
      <c r="FOG29" s="17"/>
      <c r="FOH29" s="17"/>
      <c r="FOI29" s="17"/>
      <c r="FOJ29" s="17"/>
      <c r="FOK29" s="17"/>
      <c r="FOL29" s="17"/>
      <c r="FOM29" s="17"/>
      <c r="FON29" s="17"/>
      <c r="FOO29" s="17"/>
      <c r="FOP29" s="17"/>
      <c r="FOQ29" s="17"/>
      <c r="FOR29" s="17"/>
      <c r="FOS29" s="17"/>
      <c r="FOT29" s="17"/>
      <c r="FOU29" s="17"/>
      <c r="FOV29" s="17"/>
      <c r="FOW29" s="17"/>
      <c r="FOX29" s="17"/>
      <c r="FOY29" s="17"/>
      <c r="FOZ29" s="17"/>
      <c r="FPA29" s="17"/>
      <c r="FPB29" s="17"/>
      <c r="FPC29" s="17"/>
      <c r="FPD29" s="17"/>
      <c r="FPE29" s="17"/>
      <c r="FPF29" s="17"/>
      <c r="FPG29" s="17"/>
      <c r="FPH29" s="17"/>
      <c r="FPI29" s="17"/>
      <c r="FPJ29" s="17"/>
      <c r="FPK29" s="17"/>
      <c r="FPL29" s="17"/>
      <c r="FPM29" s="17"/>
      <c r="FPN29" s="17"/>
      <c r="FPO29" s="17"/>
      <c r="FPP29" s="17"/>
      <c r="FPQ29" s="17"/>
      <c r="FPR29" s="17"/>
      <c r="FPS29" s="17"/>
      <c r="FPT29" s="17"/>
      <c r="FPU29" s="17"/>
      <c r="FPV29" s="17"/>
      <c r="FPW29" s="17"/>
      <c r="FPX29" s="17"/>
      <c r="FPY29" s="17"/>
      <c r="FPZ29" s="17"/>
      <c r="FQA29" s="17"/>
      <c r="FQB29" s="17"/>
      <c r="FQC29" s="17"/>
      <c r="FQD29" s="17"/>
      <c r="FQE29" s="17"/>
      <c r="FQF29" s="17"/>
      <c r="FQG29" s="17"/>
      <c r="FQH29" s="17"/>
      <c r="FQI29" s="17"/>
      <c r="FQJ29" s="17"/>
      <c r="FQK29" s="17"/>
      <c r="FQL29" s="17"/>
      <c r="FQM29" s="17"/>
      <c r="FQN29" s="17"/>
      <c r="FQO29" s="17"/>
      <c r="FQP29" s="17"/>
      <c r="FQQ29" s="17"/>
      <c r="FQR29" s="17"/>
      <c r="FQS29" s="17"/>
      <c r="FQT29" s="17"/>
      <c r="FQU29" s="17"/>
      <c r="FQV29" s="17"/>
      <c r="FQW29" s="17"/>
      <c r="FQX29" s="17"/>
      <c r="FQY29" s="17"/>
      <c r="FQZ29" s="17"/>
      <c r="FRA29" s="17"/>
      <c r="FRB29" s="17"/>
      <c r="FRC29" s="17"/>
      <c r="FRD29" s="17"/>
      <c r="FRE29" s="17"/>
      <c r="FRF29" s="17"/>
      <c r="FRG29" s="17"/>
      <c r="FRH29" s="17"/>
      <c r="FRI29" s="17"/>
      <c r="FRJ29" s="17"/>
      <c r="FRK29" s="17"/>
      <c r="FRL29" s="17"/>
      <c r="FRM29" s="17"/>
      <c r="FRN29" s="17"/>
      <c r="FRO29" s="17"/>
      <c r="FRP29" s="17"/>
      <c r="FRQ29" s="17"/>
      <c r="FRR29" s="17"/>
      <c r="FRS29" s="17"/>
      <c r="FRT29" s="17"/>
      <c r="FRU29" s="17"/>
      <c r="FRV29" s="17"/>
      <c r="FRW29" s="17"/>
      <c r="FRX29" s="17"/>
      <c r="FRY29" s="17"/>
      <c r="FRZ29" s="17"/>
      <c r="FSA29" s="17"/>
      <c r="FSB29" s="17"/>
      <c r="FSC29" s="17"/>
      <c r="FSD29" s="17"/>
      <c r="FSE29" s="17"/>
      <c r="FSF29" s="17"/>
      <c r="FSG29" s="17"/>
      <c r="FSH29" s="17"/>
      <c r="FSI29" s="17"/>
      <c r="FSJ29" s="17"/>
      <c r="FSK29" s="17"/>
      <c r="FSL29" s="17"/>
      <c r="FSM29" s="17"/>
      <c r="FSN29" s="17"/>
      <c r="FSO29" s="17"/>
      <c r="FSP29" s="17"/>
      <c r="FSQ29" s="17"/>
      <c r="FSR29" s="17"/>
      <c r="FSS29" s="17"/>
      <c r="FST29" s="17"/>
      <c r="FSU29" s="17"/>
      <c r="FSV29" s="17"/>
      <c r="FSW29" s="17"/>
      <c r="FSX29" s="17"/>
      <c r="FSY29" s="17"/>
      <c r="FSZ29" s="17"/>
      <c r="FTA29" s="17"/>
      <c r="FTB29" s="17"/>
      <c r="FTC29" s="17"/>
      <c r="FTD29" s="17"/>
      <c r="FTE29" s="17"/>
      <c r="FTF29" s="17"/>
      <c r="FTG29" s="17"/>
      <c r="FTH29" s="17"/>
      <c r="FTI29" s="17"/>
      <c r="FTJ29" s="17"/>
      <c r="FTK29" s="17"/>
      <c r="FTL29" s="17"/>
      <c r="FTM29" s="17"/>
      <c r="FTN29" s="17"/>
      <c r="FTO29" s="17"/>
      <c r="FTP29" s="17"/>
      <c r="FTQ29" s="17"/>
      <c r="FTR29" s="17"/>
      <c r="FTS29" s="17"/>
      <c r="FTT29" s="17"/>
      <c r="FTU29" s="17"/>
      <c r="FTV29" s="17"/>
      <c r="FTW29" s="17"/>
      <c r="FTX29" s="17"/>
      <c r="FTY29" s="17"/>
      <c r="FTZ29" s="17"/>
      <c r="FUA29" s="17"/>
      <c r="FUB29" s="17"/>
      <c r="FUC29" s="17"/>
      <c r="FUD29" s="17"/>
      <c r="FUE29" s="17"/>
      <c r="FUF29" s="17"/>
      <c r="FUG29" s="17"/>
      <c r="FUH29" s="17"/>
      <c r="FUI29" s="17"/>
      <c r="FUJ29" s="17"/>
      <c r="FUK29" s="17"/>
      <c r="FUL29" s="17"/>
      <c r="FUM29" s="17"/>
      <c r="FUN29" s="17"/>
      <c r="FUO29" s="17"/>
      <c r="FUP29" s="17"/>
      <c r="FUQ29" s="17"/>
      <c r="FUR29" s="17"/>
      <c r="FUS29" s="17"/>
      <c r="FUT29" s="17"/>
      <c r="FUU29" s="17"/>
      <c r="FUV29" s="17"/>
      <c r="FUW29" s="17"/>
      <c r="FUX29" s="17"/>
      <c r="FUY29" s="17"/>
      <c r="FUZ29" s="17"/>
      <c r="FVA29" s="17"/>
      <c r="FVB29" s="17"/>
      <c r="FVC29" s="17"/>
      <c r="FVD29" s="17"/>
      <c r="FVE29" s="17"/>
      <c r="FVF29" s="17"/>
      <c r="FVG29" s="17"/>
      <c r="FVH29" s="17"/>
      <c r="FVI29" s="17"/>
      <c r="FVJ29" s="17"/>
      <c r="FVK29" s="17"/>
      <c r="FVL29" s="17"/>
      <c r="FVM29" s="17"/>
      <c r="FVN29" s="17"/>
      <c r="FVO29" s="17"/>
      <c r="FVP29" s="17"/>
      <c r="FVQ29" s="17"/>
      <c r="FVR29" s="17"/>
      <c r="FVS29" s="17"/>
      <c r="FVT29" s="17"/>
      <c r="FVU29" s="17"/>
      <c r="FVV29" s="17"/>
      <c r="FVW29" s="17"/>
      <c r="FVX29" s="17"/>
      <c r="FVY29" s="17"/>
      <c r="FVZ29" s="17"/>
      <c r="FWA29" s="17"/>
      <c r="FWB29" s="17"/>
      <c r="FWC29" s="17"/>
      <c r="FWD29" s="17"/>
      <c r="FWE29" s="17"/>
      <c r="FWF29" s="17"/>
      <c r="FWG29" s="17"/>
      <c r="FWH29" s="17"/>
      <c r="FWI29" s="17"/>
      <c r="FWJ29" s="17"/>
      <c r="FWK29" s="17"/>
      <c r="FWL29" s="17"/>
      <c r="FWM29" s="17"/>
      <c r="FWN29" s="17"/>
      <c r="FWO29" s="17"/>
      <c r="FWP29" s="17"/>
      <c r="FWQ29" s="17"/>
      <c r="FWR29" s="17"/>
      <c r="FWS29" s="17"/>
      <c r="FWT29" s="17"/>
      <c r="FWU29" s="17"/>
      <c r="FWV29" s="17"/>
      <c r="FWW29" s="17"/>
      <c r="FWX29" s="17"/>
      <c r="FWY29" s="17"/>
      <c r="FWZ29" s="17"/>
      <c r="FXA29" s="17"/>
      <c r="FXB29" s="17"/>
      <c r="FXC29" s="17"/>
      <c r="FXD29" s="17"/>
      <c r="FXE29" s="17"/>
      <c r="FXF29" s="17"/>
      <c r="FXG29" s="17"/>
      <c r="FXH29" s="17"/>
      <c r="FXI29" s="17"/>
      <c r="FXJ29" s="17"/>
      <c r="FXK29" s="17"/>
      <c r="FXL29" s="17"/>
      <c r="FXM29" s="17"/>
      <c r="FXN29" s="17"/>
      <c r="FXO29" s="17"/>
      <c r="FXP29" s="17"/>
      <c r="FXQ29" s="17"/>
      <c r="FXR29" s="17"/>
      <c r="FXS29" s="17"/>
      <c r="FXT29" s="17"/>
      <c r="FXU29" s="17"/>
      <c r="FXV29" s="17"/>
      <c r="FXW29" s="17"/>
      <c r="FXX29" s="17"/>
      <c r="FXY29" s="17"/>
      <c r="FXZ29" s="17"/>
      <c r="FYA29" s="17"/>
      <c r="FYB29" s="17"/>
      <c r="FYC29" s="17"/>
      <c r="FYD29" s="17"/>
      <c r="FYE29" s="17"/>
      <c r="FYF29" s="17"/>
      <c r="FYG29" s="17"/>
      <c r="FYH29" s="17"/>
      <c r="FYI29" s="17"/>
      <c r="FYJ29" s="17"/>
      <c r="FYK29" s="17"/>
      <c r="FYL29" s="17"/>
      <c r="FYM29" s="17"/>
      <c r="FYN29" s="17"/>
      <c r="FYO29" s="17"/>
      <c r="FYP29" s="17"/>
      <c r="FYQ29" s="17"/>
      <c r="FYR29" s="17"/>
      <c r="FYS29" s="17"/>
      <c r="FYT29" s="17"/>
      <c r="FYU29" s="17"/>
      <c r="FYV29" s="17"/>
      <c r="FYW29" s="17"/>
      <c r="FYX29" s="17"/>
      <c r="FYY29" s="17"/>
      <c r="FYZ29" s="17"/>
      <c r="FZA29" s="17"/>
      <c r="FZB29" s="17"/>
      <c r="FZC29" s="17"/>
      <c r="FZD29" s="17"/>
      <c r="FZE29" s="17"/>
      <c r="FZF29" s="17"/>
      <c r="FZG29" s="17"/>
      <c r="FZH29" s="17"/>
      <c r="FZI29" s="17"/>
      <c r="FZJ29" s="17"/>
      <c r="FZK29" s="17"/>
      <c r="FZL29" s="17"/>
      <c r="FZM29" s="17"/>
      <c r="FZN29" s="17"/>
      <c r="FZO29" s="17"/>
      <c r="FZP29" s="17"/>
      <c r="FZQ29" s="17"/>
      <c r="FZR29" s="17"/>
      <c r="FZS29" s="17"/>
      <c r="FZT29" s="17"/>
      <c r="FZU29" s="17"/>
      <c r="FZV29" s="17"/>
      <c r="FZW29" s="17"/>
      <c r="FZX29" s="17"/>
      <c r="FZY29" s="17"/>
      <c r="FZZ29" s="17"/>
      <c r="GAA29" s="17"/>
      <c r="GAB29" s="17"/>
      <c r="GAC29" s="17"/>
      <c r="GAD29" s="17"/>
      <c r="GAE29" s="17"/>
      <c r="GAF29" s="17"/>
      <c r="GAG29" s="17"/>
      <c r="GAH29" s="17"/>
      <c r="GAI29" s="17"/>
      <c r="GAJ29" s="17"/>
      <c r="GAK29" s="17"/>
      <c r="GAL29" s="17"/>
      <c r="GAM29" s="17"/>
      <c r="GAN29" s="17"/>
      <c r="GAO29" s="17"/>
      <c r="GAP29" s="17"/>
      <c r="GAQ29" s="17"/>
      <c r="GAR29" s="17"/>
      <c r="GAS29" s="17"/>
      <c r="GAT29" s="17"/>
      <c r="GAU29" s="17"/>
      <c r="GAV29" s="17"/>
      <c r="GAW29" s="17"/>
      <c r="GAX29" s="17"/>
      <c r="GAY29" s="17"/>
      <c r="GAZ29" s="17"/>
      <c r="GBA29" s="17"/>
      <c r="GBB29" s="17"/>
      <c r="GBC29" s="17"/>
      <c r="GBD29" s="17"/>
      <c r="GBE29" s="17"/>
      <c r="GBF29" s="17"/>
      <c r="GBG29" s="17"/>
      <c r="GBH29" s="17"/>
      <c r="GBI29" s="17"/>
      <c r="GBJ29" s="17"/>
      <c r="GBK29" s="17"/>
      <c r="GBL29" s="17"/>
      <c r="GBM29" s="17"/>
      <c r="GBN29" s="17"/>
      <c r="GBO29" s="17"/>
      <c r="GBP29" s="17"/>
      <c r="GBQ29" s="17"/>
      <c r="GBR29" s="17"/>
      <c r="GBS29" s="17"/>
      <c r="GBT29" s="17"/>
      <c r="GBU29" s="17"/>
      <c r="GBV29" s="17"/>
      <c r="GBW29" s="17"/>
      <c r="GBX29" s="17"/>
      <c r="GBY29" s="17"/>
      <c r="GBZ29" s="17"/>
      <c r="GCA29" s="17"/>
      <c r="GCB29" s="17"/>
      <c r="GCC29" s="17"/>
      <c r="GCD29" s="17"/>
      <c r="GCE29" s="17"/>
      <c r="GCF29" s="17"/>
      <c r="GCG29" s="17"/>
      <c r="GCH29" s="17"/>
      <c r="GCI29" s="17"/>
      <c r="GCJ29" s="17"/>
      <c r="GCK29" s="17"/>
      <c r="GCL29" s="17"/>
      <c r="GCM29" s="17"/>
      <c r="GCN29" s="17"/>
      <c r="GCO29" s="17"/>
      <c r="GCP29" s="17"/>
      <c r="GCQ29" s="17"/>
      <c r="GCR29" s="17"/>
      <c r="GCS29" s="17"/>
      <c r="GCT29" s="17"/>
      <c r="GCU29" s="17"/>
      <c r="GCV29" s="17"/>
      <c r="GCW29" s="17"/>
      <c r="GCX29" s="17"/>
      <c r="GCY29" s="17"/>
      <c r="GCZ29" s="17"/>
      <c r="GDA29" s="17"/>
      <c r="GDB29" s="17"/>
      <c r="GDC29" s="17"/>
      <c r="GDD29" s="17"/>
      <c r="GDE29" s="17"/>
      <c r="GDF29" s="17"/>
      <c r="GDG29" s="17"/>
      <c r="GDH29" s="17"/>
      <c r="GDI29" s="17"/>
      <c r="GDJ29" s="17"/>
      <c r="GDK29" s="17"/>
      <c r="GDL29" s="17"/>
      <c r="GDM29" s="17"/>
      <c r="GDN29" s="17"/>
      <c r="GDO29" s="17"/>
      <c r="GDP29" s="17"/>
      <c r="GDQ29" s="17"/>
      <c r="GDR29" s="17"/>
      <c r="GDS29" s="17"/>
      <c r="GDT29" s="17"/>
      <c r="GDU29" s="17"/>
      <c r="GDV29" s="17"/>
      <c r="GDW29" s="17"/>
      <c r="GDX29" s="17"/>
      <c r="GDY29" s="17"/>
      <c r="GDZ29" s="17"/>
      <c r="GEA29" s="17"/>
      <c r="GEB29" s="17"/>
      <c r="GEC29" s="17"/>
      <c r="GED29" s="17"/>
      <c r="GEE29" s="17"/>
      <c r="GEF29" s="17"/>
      <c r="GEG29" s="17"/>
      <c r="GEH29" s="17"/>
      <c r="GEI29" s="17"/>
      <c r="GEJ29" s="17"/>
      <c r="GEK29" s="17"/>
      <c r="GEL29" s="17"/>
      <c r="GEM29" s="17"/>
      <c r="GEN29" s="17"/>
      <c r="GEO29" s="17"/>
      <c r="GEP29" s="17"/>
      <c r="GEQ29" s="17"/>
      <c r="GER29" s="17"/>
      <c r="GES29" s="17"/>
      <c r="GET29" s="17"/>
      <c r="GEU29" s="17"/>
      <c r="GEV29" s="17"/>
      <c r="GEW29" s="17"/>
      <c r="GEX29" s="17"/>
      <c r="GEY29" s="17"/>
      <c r="GEZ29" s="17"/>
      <c r="GFA29" s="17"/>
      <c r="GFB29" s="17"/>
      <c r="GFC29" s="17"/>
      <c r="GFD29" s="17"/>
      <c r="GFE29" s="17"/>
      <c r="GFF29" s="17"/>
      <c r="GFG29" s="17"/>
      <c r="GFH29" s="17"/>
      <c r="GFI29" s="17"/>
      <c r="GFJ29" s="17"/>
      <c r="GFK29" s="17"/>
      <c r="GFL29" s="17"/>
      <c r="GFM29" s="17"/>
      <c r="GFN29" s="17"/>
      <c r="GFO29" s="17"/>
      <c r="GFP29" s="17"/>
      <c r="GFQ29" s="17"/>
      <c r="GFR29" s="17"/>
      <c r="GFS29" s="17"/>
      <c r="GFT29" s="17"/>
      <c r="GFU29" s="17"/>
      <c r="GFV29" s="17"/>
      <c r="GFW29" s="17"/>
      <c r="GFX29" s="17"/>
      <c r="GFY29" s="17"/>
      <c r="GFZ29" s="17"/>
      <c r="GGA29" s="17"/>
      <c r="GGB29" s="17"/>
      <c r="GGC29" s="17"/>
      <c r="GGD29" s="17"/>
      <c r="GGE29" s="17"/>
      <c r="GGF29" s="17"/>
      <c r="GGG29" s="17"/>
      <c r="GGH29" s="17"/>
      <c r="GGI29" s="17"/>
      <c r="GGJ29" s="17"/>
      <c r="GGK29" s="17"/>
      <c r="GGL29" s="17"/>
      <c r="GGM29" s="17"/>
      <c r="GGN29" s="17"/>
      <c r="GGO29" s="17"/>
      <c r="GGP29" s="17"/>
      <c r="GGQ29" s="17"/>
      <c r="GGR29" s="17"/>
      <c r="GGS29" s="17"/>
      <c r="GGT29" s="17"/>
      <c r="GGU29" s="17"/>
      <c r="GGV29" s="17"/>
      <c r="GGW29" s="17"/>
      <c r="GGX29" s="17"/>
      <c r="GGY29" s="17"/>
      <c r="GGZ29" s="17"/>
      <c r="GHA29" s="17"/>
      <c r="GHB29" s="17"/>
      <c r="GHC29" s="17"/>
      <c r="GHD29" s="17"/>
      <c r="GHE29" s="17"/>
      <c r="GHF29" s="17"/>
      <c r="GHG29" s="17"/>
      <c r="GHH29" s="17"/>
      <c r="GHI29" s="17"/>
      <c r="GHJ29" s="17"/>
      <c r="GHK29" s="17"/>
      <c r="GHL29" s="17"/>
      <c r="GHM29" s="17"/>
      <c r="GHN29" s="17"/>
      <c r="GHO29" s="17"/>
      <c r="GHP29" s="17"/>
      <c r="GHQ29" s="17"/>
      <c r="GHR29" s="17"/>
      <c r="GHS29" s="17"/>
      <c r="GHT29" s="17"/>
      <c r="GHU29" s="17"/>
      <c r="GHV29" s="17"/>
      <c r="GHW29" s="17"/>
      <c r="GHX29" s="17"/>
      <c r="GHY29" s="17"/>
      <c r="GHZ29" s="17"/>
      <c r="GIA29" s="17"/>
      <c r="GIB29" s="17"/>
      <c r="GIC29" s="17"/>
      <c r="GID29" s="17"/>
      <c r="GIE29" s="17"/>
      <c r="GIF29" s="17"/>
      <c r="GIG29" s="17"/>
      <c r="GIH29" s="17"/>
      <c r="GII29" s="17"/>
      <c r="GIJ29" s="17"/>
      <c r="GIK29" s="17"/>
      <c r="GIL29" s="17"/>
      <c r="GIM29" s="17"/>
      <c r="GIN29" s="17"/>
      <c r="GIO29" s="17"/>
      <c r="GIP29" s="17"/>
      <c r="GIQ29" s="17"/>
      <c r="GIR29" s="17"/>
      <c r="GIS29" s="17"/>
      <c r="GIT29" s="17"/>
      <c r="GIU29" s="17"/>
      <c r="GIV29" s="17"/>
      <c r="GIW29" s="17"/>
      <c r="GIX29" s="17"/>
      <c r="GIY29" s="17"/>
      <c r="GIZ29" s="17"/>
      <c r="GJA29" s="17"/>
      <c r="GJB29" s="17"/>
      <c r="GJC29" s="17"/>
      <c r="GJD29" s="17"/>
      <c r="GJE29" s="17"/>
      <c r="GJF29" s="17"/>
      <c r="GJG29" s="17"/>
      <c r="GJH29" s="17"/>
      <c r="GJI29" s="17"/>
      <c r="GJJ29" s="17"/>
      <c r="GJK29" s="17"/>
      <c r="GJL29" s="17"/>
      <c r="GJM29" s="17"/>
      <c r="GJN29" s="17"/>
      <c r="GJO29" s="17"/>
      <c r="GJP29" s="17"/>
      <c r="GJQ29" s="17"/>
      <c r="GJR29" s="17"/>
      <c r="GJS29" s="17"/>
      <c r="GJT29" s="17"/>
      <c r="GJU29" s="17"/>
      <c r="GJV29" s="17"/>
      <c r="GJW29" s="17"/>
      <c r="GJX29" s="17"/>
      <c r="GJY29" s="17"/>
      <c r="GJZ29" s="17"/>
      <c r="GKA29" s="17"/>
      <c r="GKB29" s="17"/>
      <c r="GKC29" s="17"/>
      <c r="GKD29" s="17"/>
      <c r="GKE29" s="17"/>
      <c r="GKF29" s="17"/>
      <c r="GKG29" s="17"/>
      <c r="GKH29" s="17"/>
      <c r="GKI29" s="17"/>
      <c r="GKJ29" s="17"/>
      <c r="GKK29" s="17"/>
      <c r="GKL29" s="17"/>
      <c r="GKM29" s="17"/>
      <c r="GKN29" s="17"/>
      <c r="GKO29" s="17"/>
      <c r="GKP29" s="17"/>
      <c r="GKQ29" s="17"/>
      <c r="GKR29" s="17"/>
      <c r="GKS29" s="17"/>
      <c r="GKT29" s="17"/>
      <c r="GKU29" s="17"/>
      <c r="GKV29" s="17"/>
      <c r="GKW29" s="17"/>
      <c r="GKX29" s="17"/>
      <c r="GKY29" s="17"/>
      <c r="GKZ29" s="17"/>
      <c r="GLA29" s="17"/>
      <c r="GLB29" s="17"/>
      <c r="GLC29" s="17"/>
      <c r="GLD29" s="17"/>
      <c r="GLE29" s="17"/>
      <c r="GLF29" s="17"/>
      <c r="GLG29" s="17"/>
      <c r="GLH29" s="17"/>
      <c r="GLI29" s="17"/>
      <c r="GLJ29" s="17"/>
      <c r="GLK29" s="17"/>
      <c r="GLL29" s="17"/>
      <c r="GLM29" s="17"/>
      <c r="GLN29" s="17"/>
      <c r="GLO29" s="17"/>
      <c r="GLP29" s="17"/>
      <c r="GLQ29" s="17"/>
      <c r="GLR29" s="17"/>
      <c r="GLS29" s="17"/>
      <c r="GLT29" s="17"/>
      <c r="GLU29" s="17"/>
      <c r="GLV29" s="17"/>
      <c r="GLW29" s="17"/>
      <c r="GLX29" s="17"/>
      <c r="GLY29" s="17"/>
      <c r="GLZ29" s="17"/>
      <c r="GMA29" s="17"/>
      <c r="GMB29" s="17"/>
      <c r="GMC29" s="17"/>
      <c r="GMD29" s="17"/>
      <c r="GME29" s="17"/>
      <c r="GMF29" s="17"/>
      <c r="GMG29" s="17"/>
      <c r="GMH29" s="17"/>
      <c r="GMI29" s="17"/>
      <c r="GMJ29" s="17"/>
      <c r="GMK29" s="17"/>
      <c r="GML29" s="17"/>
      <c r="GMM29" s="17"/>
      <c r="GMN29" s="17"/>
      <c r="GMO29" s="17"/>
      <c r="GMP29" s="17"/>
      <c r="GMQ29" s="17"/>
      <c r="GMR29" s="17"/>
      <c r="GMS29" s="17"/>
      <c r="GMT29" s="17"/>
      <c r="GMU29" s="17"/>
      <c r="GMV29" s="17"/>
      <c r="GMW29" s="17"/>
      <c r="GMX29" s="17"/>
      <c r="GMY29" s="17"/>
      <c r="GMZ29" s="17"/>
      <c r="GNA29" s="17"/>
      <c r="GNB29" s="17"/>
      <c r="GNC29" s="17"/>
      <c r="GND29" s="17"/>
      <c r="GNE29" s="17"/>
      <c r="GNF29" s="17"/>
      <c r="GNG29" s="17"/>
      <c r="GNH29" s="17"/>
      <c r="GNI29" s="17"/>
      <c r="GNJ29" s="17"/>
      <c r="GNK29" s="17"/>
      <c r="GNL29" s="17"/>
      <c r="GNM29" s="17"/>
      <c r="GNN29" s="17"/>
      <c r="GNO29" s="17"/>
      <c r="GNP29" s="17"/>
      <c r="GNQ29" s="17"/>
      <c r="GNR29" s="17"/>
      <c r="GNS29" s="17"/>
      <c r="GNT29" s="17"/>
      <c r="GNU29" s="17"/>
      <c r="GNV29" s="17"/>
      <c r="GNW29" s="17"/>
      <c r="GNX29" s="17"/>
      <c r="GNY29" s="17"/>
      <c r="GNZ29" s="17"/>
      <c r="GOA29" s="17"/>
      <c r="GOB29" s="17"/>
      <c r="GOC29" s="17"/>
      <c r="GOD29" s="17"/>
      <c r="GOE29" s="17"/>
      <c r="GOF29" s="17"/>
      <c r="GOG29" s="17"/>
      <c r="GOH29" s="17"/>
      <c r="GOI29" s="17"/>
      <c r="GOJ29" s="17"/>
      <c r="GOK29" s="17"/>
      <c r="GOL29" s="17"/>
      <c r="GOM29" s="17"/>
      <c r="GON29" s="17"/>
      <c r="GOO29" s="17"/>
      <c r="GOP29" s="17"/>
      <c r="GOQ29" s="17"/>
      <c r="GOR29" s="17"/>
      <c r="GOS29" s="17"/>
      <c r="GOT29" s="17"/>
      <c r="GOU29" s="17"/>
      <c r="GOV29" s="17"/>
      <c r="GOW29" s="17"/>
      <c r="GOX29" s="17"/>
      <c r="GOY29" s="17"/>
      <c r="GOZ29" s="17"/>
      <c r="GPA29" s="17"/>
      <c r="GPB29" s="17"/>
      <c r="GPC29" s="17"/>
      <c r="GPD29" s="17"/>
      <c r="GPE29" s="17"/>
      <c r="GPF29" s="17"/>
      <c r="GPG29" s="17"/>
      <c r="GPH29" s="17"/>
      <c r="GPI29" s="17"/>
      <c r="GPJ29" s="17"/>
      <c r="GPK29" s="17"/>
      <c r="GPL29" s="17"/>
      <c r="GPM29" s="17"/>
      <c r="GPN29" s="17"/>
      <c r="GPO29" s="17"/>
      <c r="GPP29" s="17"/>
      <c r="GPQ29" s="17"/>
      <c r="GPR29" s="17"/>
      <c r="GPS29" s="17"/>
      <c r="GPT29" s="17"/>
      <c r="GPU29" s="17"/>
      <c r="GPV29" s="17"/>
      <c r="GPW29" s="17"/>
      <c r="GPX29" s="17"/>
      <c r="GPY29" s="17"/>
      <c r="GPZ29" s="17"/>
      <c r="GQA29" s="17"/>
      <c r="GQB29" s="17"/>
      <c r="GQC29" s="17"/>
      <c r="GQD29" s="17"/>
      <c r="GQE29" s="17"/>
      <c r="GQF29" s="17"/>
      <c r="GQG29" s="17"/>
      <c r="GQH29" s="17"/>
      <c r="GQI29" s="17"/>
      <c r="GQJ29" s="17"/>
      <c r="GQK29" s="17"/>
      <c r="GQL29" s="17"/>
      <c r="GQM29" s="17"/>
      <c r="GQN29" s="17"/>
      <c r="GQO29" s="17"/>
      <c r="GQP29" s="17"/>
      <c r="GQQ29" s="17"/>
      <c r="GQR29" s="17"/>
      <c r="GQS29" s="17"/>
      <c r="GQT29" s="17"/>
      <c r="GQU29" s="17"/>
      <c r="GQV29" s="17"/>
      <c r="GQW29" s="17"/>
      <c r="GQX29" s="17"/>
      <c r="GQY29" s="17"/>
      <c r="GQZ29" s="17"/>
      <c r="GRA29" s="17"/>
      <c r="GRB29" s="17"/>
      <c r="GRC29" s="17"/>
      <c r="GRD29" s="17"/>
      <c r="GRE29" s="17"/>
      <c r="GRF29" s="17"/>
      <c r="GRG29" s="17"/>
      <c r="GRH29" s="17"/>
      <c r="GRI29" s="17"/>
      <c r="GRJ29" s="17"/>
      <c r="GRK29" s="17"/>
      <c r="GRL29" s="17"/>
      <c r="GRM29" s="17"/>
      <c r="GRN29" s="17"/>
      <c r="GRO29" s="17"/>
      <c r="GRP29" s="17"/>
      <c r="GRQ29" s="17"/>
      <c r="GRR29" s="17"/>
      <c r="GRS29" s="17"/>
      <c r="GRT29" s="17"/>
      <c r="GRU29" s="17"/>
      <c r="GRV29" s="17"/>
      <c r="GRW29" s="17"/>
      <c r="GRX29" s="17"/>
      <c r="GRY29" s="17"/>
      <c r="GRZ29" s="17"/>
      <c r="GSA29" s="17"/>
      <c r="GSB29" s="17"/>
      <c r="GSC29" s="17"/>
      <c r="GSD29" s="17"/>
      <c r="GSE29" s="17"/>
      <c r="GSF29" s="17"/>
      <c r="GSG29" s="17"/>
      <c r="GSH29" s="17"/>
      <c r="GSI29" s="17"/>
      <c r="GSJ29" s="17"/>
      <c r="GSK29" s="17"/>
      <c r="GSL29" s="17"/>
      <c r="GSM29" s="17"/>
      <c r="GSN29" s="17"/>
      <c r="GSO29" s="17"/>
      <c r="GSP29" s="17"/>
      <c r="GSQ29" s="17"/>
      <c r="GSR29" s="17"/>
      <c r="GSS29" s="17"/>
      <c r="GST29" s="17"/>
      <c r="GSU29" s="17"/>
      <c r="GSV29" s="17"/>
      <c r="GSW29" s="17"/>
      <c r="GSX29" s="17"/>
      <c r="GSY29" s="17"/>
      <c r="GSZ29" s="17"/>
      <c r="GTA29" s="17"/>
      <c r="GTB29" s="17"/>
      <c r="GTC29" s="17"/>
      <c r="GTD29" s="17"/>
      <c r="GTE29" s="17"/>
      <c r="GTF29" s="17"/>
      <c r="GTG29" s="17"/>
      <c r="GTH29" s="17"/>
      <c r="GTI29" s="17"/>
      <c r="GTJ29" s="17"/>
      <c r="GTK29" s="17"/>
      <c r="GTL29" s="17"/>
      <c r="GTM29" s="17"/>
      <c r="GTN29" s="17"/>
      <c r="GTO29" s="17"/>
      <c r="GTP29" s="17"/>
      <c r="GTQ29" s="17"/>
      <c r="GTR29" s="17"/>
      <c r="GTS29" s="17"/>
      <c r="GTT29" s="17"/>
      <c r="GTU29" s="17"/>
      <c r="GTV29" s="17"/>
      <c r="GTW29" s="17"/>
      <c r="GTX29" s="17"/>
      <c r="GTY29" s="17"/>
      <c r="GTZ29" s="17"/>
      <c r="GUA29" s="17"/>
      <c r="GUB29" s="17"/>
      <c r="GUC29" s="17"/>
      <c r="GUD29" s="17"/>
      <c r="GUE29" s="17"/>
      <c r="GUF29" s="17"/>
      <c r="GUG29" s="17"/>
      <c r="GUH29" s="17"/>
      <c r="GUI29" s="17"/>
      <c r="GUJ29" s="17"/>
      <c r="GUK29" s="17"/>
      <c r="GUL29" s="17"/>
      <c r="GUM29" s="17"/>
      <c r="GUN29" s="17"/>
      <c r="GUO29" s="17"/>
      <c r="GUP29" s="17"/>
      <c r="GUQ29" s="17"/>
      <c r="GUR29" s="17"/>
      <c r="GUS29" s="17"/>
      <c r="GUT29" s="17"/>
      <c r="GUU29" s="17"/>
      <c r="GUV29" s="17"/>
      <c r="GUW29" s="17"/>
      <c r="GUX29" s="17"/>
      <c r="GUY29" s="17"/>
      <c r="GUZ29" s="17"/>
      <c r="GVA29" s="17"/>
      <c r="GVB29" s="17"/>
      <c r="GVC29" s="17"/>
      <c r="GVD29" s="17"/>
      <c r="GVE29" s="17"/>
      <c r="GVF29" s="17"/>
      <c r="GVG29" s="17"/>
      <c r="GVH29" s="17"/>
      <c r="GVI29" s="17"/>
      <c r="GVJ29" s="17"/>
      <c r="GVK29" s="17"/>
      <c r="GVL29" s="17"/>
      <c r="GVM29" s="17"/>
      <c r="GVN29" s="17"/>
      <c r="GVO29" s="17"/>
      <c r="GVP29" s="17"/>
      <c r="GVQ29" s="17"/>
      <c r="GVR29" s="17"/>
      <c r="GVS29" s="17"/>
      <c r="GVT29" s="17"/>
      <c r="GVU29" s="17"/>
      <c r="GVV29" s="17"/>
      <c r="GVW29" s="17"/>
      <c r="GVX29" s="17"/>
      <c r="GVY29" s="17"/>
      <c r="GVZ29" s="17"/>
      <c r="GWA29" s="17"/>
      <c r="GWB29" s="17"/>
      <c r="GWC29" s="17"/>
      <c r="GWD29" s="17"/>
      <c r="GWE29" s="17"/>
      <c r="GWF29" s="17"/>
      <c r="GWG29" s="17"/>
      <c r="GWH29" s="17"/>
      <c r="GWI29" s="17"/>
      <c r="GWJ29" s="17"/>
      <c r="GWK29" s="17"/>
      <c r="GWL29" s="17"/>
      <c r="GWM29" s="17"/>
      <c r="GWN29" s="17"/>
      <c r="GWO29" s="17"/>
      <c r="GWP29" s="17"/>
      <c r="GWQ29" s="17"/>
      <c r="GWR29" s="17"/>
      <c r="GWS29" s="17"/>
      <c r="GWT29" s="17"/>
      <c r="GWU29" s="17"/>
      <c r="GWV29" s="17"/>
      <c r="GWW29" s="17"/>
      <c r="GWX29" s="17"/>
      <c r="GWY29" s="17"/>
      <c r="GWZ29" s="17"/>
      <c r="GXA29" s="17"/>
      <c r="GXB29" s="17"/>
      <c r="GXC29" s="17"/>
      <c r="GXD29" s="17"/>
      <c r="GXE29" s="17"/>
      <c r="GXF29" s="17"/>
      <c r="GXG29" s="17"/>
      <c r="GXH29" s="17"/>
      <c r="GXI29" s="17"/>
      <c r="GXJ29" s="17"/>
      <c r="GXK29" s="17"/>
      <c r="GXL29" s="17"/>
      <c r="GXM29" s="17"/>
      <c r="GXN29" s="17"/>
      <c r="GXO29" s="17"/>
      <c r="GXP29" s="17"/>
      <c r="GXQ29" s="17"/>
      <c r="GXR29" s="17"/>
      <c r="GXS29" s="17"/>
      <c r="GXT29" s="17"/>
      <c r="GXU29" s="17"/>
      <c r="GXV29" s="17"/>
      <c r="GXW29" s="17"/>
      <c r="GXX29" s="17"/>
      <c r="GXY29" s="17"/>
      <c r="GXZ29" s="17"/>
      <c r="GYA29" s="17"/>
      <c r="GYB29" s="17"/>
      <c r="GYC29" s="17"/>
      <c r="GYD29" s="17"/>
      <c r="GYE29" s="17"/>
      <c r="GYF29" s="17"/>
      <c r="GYG29" s="17"/>
      <c r="GYH29" s="17"/>
      <c r="GYI29" s="17"/>
      <c r="GYJ29" s="17"/>
      <c r="GYK29" s="17"/>
      <c r="GYL29" s="17"/>
      <c r="GYM29" s="17"/>
      <c r="GYN29" s="17"/>
      <c r="GYO29" s="17"/>
      <c r="GYP29" s="17"/>
      <c r="GYQ29" s="17"/>
      <c r="GYR29" s="17"/>
      <c r="GYS29" s="17"/>
      <c r="GYT29" s="17"/>
      <c r="GYU29" s="17"/>
      <c r="GYV29" s="17"/>
      <c r="GYW29" s="17"/>
      <c r="GYX29" s="17"/>
      <c r="GYY29" s="17"/>
      <c r="GYZ29" s="17"/>
      <c r="GZA29" s="17"/>
      <c r="GZB29" s="17"/>
      <c r="GZC29" s="17"/>
      <c r="GZD29" s="17"/>
      <c r="GZE29" s="17"/>
      <c r="GZF29" s="17"/>
      <c r="GZG29" s="17"/>
      <c r="GZH29" s="17"/>
      <c r="GZI29" s="17"/>
      <c r="GZJ29" s="17"/>
      <c r="GZK29" s="17"/>
      <c r="GZL29" s="17"/>
      <c r="GZM29" s="17"/>
      <c r="GZN29" s="17"/>
      <c r="GZO29" s="17"/>
      <c r="GZP29" s="17"/>
      <c r="GZQ29" s="17"/>
      <c r="GZR29" s="17"/>
      <c r="GZS29" s="17"/>
      <c r="GZT29" s="17"/>
      <c r="GZU29" s="17"/>
      <c r="GZV29" s="17"/>
      <c r="GZW29" s="17"/>
      <c r="GZX29" s="17"/>
      <c r="GZY29" s="17"/>
      <c r="GZZ29" s="17"/>
      <c r="HAA29" s="17"/>
      <c r="HAB29" s="17"/>
      <c r="HAC29" s="17"/>
      <c r="HAD29" s="17"/>
      <c r="HAE29" s="17"/>
      <c r="HAF29" s="17"/>
      <c r="HAG29" s="17"/>
      <c r="HAH29" s="17"/>
      <c r="HAI29" s="17"/>
      <c r="HAJ29" s="17"/>
      <c r="HAK29" s="17"/>
      <c r="HAL29" s="17"/>
      <c r="HAM29" s="17"/>
      <c r="HAN29" s="17"/>
      <c r="HAO29" s="17"/>
      <c r="HAP29" s="17"/>
      <c r="HAQ29" s="17"/>
      <c r="HAR29" s="17"/>
      <c r="HAS29" s="17"/>
      <c r="HAT29" s="17"/>
      <c r="HAU29" s="17"/>
      <c r="HAV29" s="17"/>
      <c r="HAW29" s="17"/>
      <c r="HAX29" s="17"/>
      <c r="HAY29" s="17"/>
      <c r="HAZ29" s="17"/>
      <c r="HBA29" s="17"/>
      <c r="HBB29" s="17"/>
      <c r="HBC29" s="17"/>
      <c r="HBD29" s="17"/>
      <c r="HBE29" s="17"/>
      <c r="HBF29" s="17"/>
      <c r="HBG29" s="17"/>
      <c r="HBH29" s="17"/>
      <c r="HBI29" s="17"/>
      <c r="HBJ29" s="17"/>
      <c r="HBK29" s="17"/>
      <c r="HBL29" s="17"/>
      <c r="HBM29" s="17"/>
      <c r="HBN29" s="17"/>
      <c r="HBO29" s="17"/>
      <c r="HBP29" s="17"/>
      <c r="HBQ29" s="17"/>
      <c r="HBR29" s="17"/>
      <c r="HBS29" s="17"/>
      <c r="HBT29" s="17"/>
      <c r="HBU29" s="17"/>
      <c r="HBV29" s="17"/>
      <c r="HBW29" s="17"/>
      <c r="HBX29" s="17"/>
      <c r="HBY29" s="17"/>
      <c r="HBZ29" s="17"/>
      <c r="HCA29" s="17"/>
      <c r="HCB29" s="17"/>
      <c r="HCC29" s="17"/>
      <c r="HCD29" s="17"/>
      <c r="HCE29" s="17"/>
      <c r="HCF29" s="17"/>
      <c r="HCG29" s="17"/>
      <c r="HCH29" s="17"/>
      <c r="HCI29" s="17"/>
      <c r="HCJ29" s="17"/>
      <c r="HCK29" s="17"/>
      <c r="HCL29" s="17"/>
      <c r="HCM29" s="17"/>
      <c r="HCN29" s="17"/>
      <c r="HCO29" s="17"/>
      <c r="HCP29" s="17"/>
      <c r="HCQ29" s="17"/>
      <c r="HCR29" s="17"/>
      <c r="HCS29" s="17"/>
      <c r="HCT29" s="17"/>
      <c r="HCU29" s="17"/>
      <c r="HCV29" s="17"/>
      <c r="HCW29" s="17"/>
      <c r="HCX29" s="17"/>
      <c r="HCY29" s="17"/>
      <c r="HCZ29" s="17"/>
      <c r="HDA29" s="17"/>
      <c r="HDB29" s="17"/>
      <c r="HDC29" s="17"/>
      <c r="HDD29" s="17"/>
      <c r="HDE29" s="17"/>
      <c r="HDF29" s="17"/>
      <c r="HDG29" s="17"/>
      <c r="HDH29" s="17"/>
      <c r="HDI29" s="17"/>
      <c r="HDJ29" s="17"/>
      <c r="HDK29" s="17"/>
      <c r="HDL29" s="17"/>
      <c r="HDM29" s="17"/>
      <c r="HDN29" s="17"/>
      <c r="HDO29" s="17"/>
      <c r="HDP29" s="17"/>
      <c r="HDQ29" s="17"/>
      <c r="HDR29" s="17"/>
      <c r="HDS29" s="17"/>
      <c r="HDT29" s="17"/>
      <c r="HDU29" s="17"/>
      <c r="HDV29" s="17"/>
      <c r="HDW29" s="17"/>
      <c r="HDX29" s="17"/>
      <c r="HDY29" s="17"/>
      <c r="HDZ29" s="17"/>
      <c r="HEA29" s="17"/>
      <c r="HEB29" s="17"/>
      <c r="HEC29" s="17"/>
      <c r="HED29" s="17"/>
      <c r="HEE29" s="17"/>
      <c r="HEF29" s="17"/>
      <c r="HEG29" s="17"/>
      <c r="HEH29" s="17"/>
      <c r="HEI29" s="17"/>
      <c r="HEJ29" s="17"/>
      <c r="HEK29" s="17"/>
      <c r="HEL29" s="17"/>
      <c r="HEM29" s="17"/>
      <c r="HEN29" s="17"/>
      <c r="HEO29" s="17"/>
      <c r="HEP29" s="17"/>
      <c r="HEQ29" s="17"/>
      <c r="HER29" s="17"/>
      <c r="HES29" s="17"/>
      <c r="HET29" s="17"/>
      <c r="HEU29" s="17"/>
      <c r="HEV29" s="17"/>
      <c r="HEW29" s="17"/>
      <c r="HEX29" s="17"/>
      <c r="HEY29" s="17"/>
      <c r="HEZ29" s="17"/>
      <c r="HFA29" s="17"/>
      <c r="HFB29" s="17"/>
      <c r="HFC29" s="17"/>
      <c r="HFD29" s="17"/>
      <c r="HFE29" s="17"/>
      <c r="HFF29" s="17"/>
      <c r="HFG29" s="17"/>
      <c r="HFH29" s="17"/>
      <c r="HFI29" s="17"/>
      <c r="HFJ29" s="17"/>
      <c r="HFK29" s="17"/>
      <c r="HFL29" s="17"/>
      <c r="HFM29" s="17"/>
      <c r="HFN29" s="17"/>
      <c r="HFO29" s="17"/>
      <c r="HFP29" s="17"/>
      <c r="HFQ29" s="17"/>
      <c r="HFR29" s="17"/>
      <c r="HFS29" s="17"/>
      <c r="HFT29" s="17"/>
      <c r="HFU29" s="17"/>
      <c r="HFV29" s="17"/>
      <c r="HFW29" s="17"/>
      <c r="HFX29" s="17"/>
      <c r="HFY29" s="17"/>
      <c r="HFZ29" s="17"/>
      <c r="HGA29" s="17"/>
      <c r="HGB29" s="17"/>
      <c r="HGC29" s="17"/>
      <c r="HGD29" s="17"/>
      <c r="HGE29" s="17"/>
      <c r="HGF29" s="17"/>
      <c r="HGG29" s="17"/>
      <c r="HGH29" s="17"/>
      <c r="HGI29" s="17"/>
      <c r="HGJ29" s="17"/>
      <c r="HGK29" s="17"/>
      <c r="HGL29" s="17"/>
      <c r="HGM29" s="17"/>
      <c r="HGN29" s="17"/>
      <c r="HGO29" s="17"/>
      <c r="HGP29" s="17"/>
      <c r="HGQ29" s="17"/>
      <c r="HGR29" s="17"/>
      <c r="HGS29" s="17"/>
      <c r="HGT29" s="17"/>
      <c r="HGU29" s="17"/>
      <c r="HGV29" s="17"/>
      <c r="HGW29" s="17"/>
      <c r="HGX29" s="17"/>
      <c r="HGY29" s="17"/>
      <c r="HGZ29" s="17"/>
      <c r="HHA29" s="17"/>
      <c r="HHB29" s="17"/>
      <c r="HHC29" s="17"/>
      <c r="HHD29" s="17"/>
      <c r="HHE29" s="17"/>
      <c r="HHF29" s="17"/>
      <c r="HHG29" s="17"/>
      <c r="HHH29" s="17"/>
      <c r="HHI29" s="17"/>
      <c r="HHJ29" s="17"/>
      <c r="HHK29" s="17"/>
      <c r="HHL29" s="17"/>
      <c r="HHM29" s="17"/>
      <c r="HHN29" s="17"/>
      <c r="HHO29" s="17"/>
      <c r="HHP29" s="17"/>
      <c r="HHQ29" s="17"/>
      <c r="HHR29" s="17"/>
      <c r="HHS29" s="17"/>
      <c r="HHT29" s="17"/>
      <c r="HHU29" s="17"/>
      <c r="HHV29" s="17"/>
      <c r="HHW29" s="17"/>
      <c r="HHX29" s="17"/>
      <c r="HHY29" s="17"/>
      <c r="HHZ29" s="17"/>
      <c r="HIA29" s="17"/>
      <c r="HIB29" s="17"/>
      <c r="HIC29" s="17"/>
      <c r="HID29" s="17"/>
      <c r="HIE29" s="17"/>
      <c r="HIF29" s="17"/>
      <c r="HIG29" s="17"/>
      <c r="HIH29" s="17"/>
      <c r="HII29" s="17"/>
      <c r="HIJ29" s="17"/>
      <c r="HIK29" s="17"/>
      <c r="HIL29" s="17"/>
      <c r="HIM29" s="17"/>
      <c r="HIN29" s="17"/>
      <c r="HIO29" s="17"/>
      <c r="HIP29" s="17"/>
      <c r="HIQ29" s="17"/>
      <c r="HIR29" s="17"/>
      <c r="HIS29" s="17"/>
      <c r="HIT29" s="17"/>
      <c r="HIU29" s="17"/>
      <c r="HIV29" s="17"/>
      <c r="HIW29" s="17"/>
      <c r="HIX29" s="17"/>
      <c r="HIY29" s="17"/>
      <c r="HIZ29" s="17"/>
      <c r="HJA29" s="17"/>
      <c r="HJB29" s="17"/>
      <c r="HJC29" s="17"/>
      <c r="HJD29" s="17"/>
      <c r="HJE29" s="17"/>
      <c r="HJF29" s="17"/>
      <c r="HJG29" s="17"/>
      <c r="HJH29" s="17"/>
      <c r="HJI29" s="17"/>
      <c r="HJJ29" s="17"/>
      <c r="HJK29" s="17"/>
      <c r="HJL29" s="17"/>
      <c r="HJM29" s="17"/>
      <c r="HJN29" s="17"/>
      <c r="HJO29" s="17"/>
      <c r="HJP29" s="17"/>
      <c r="HJQ29" s="17"/>
      <c r="HJR29" s="17"/>
      <c r="HJS29" s="17"/>
      <c r="HJT29" s="17"/>
      <c r="HJU29" s="17"/>
      <c r="HJV29" s="17"/>
      <c r="HJW29" s="17"/>
      <c r="HJX29" s="17"/>
      <c r="HJY29" s="17"/>
      <c r="HJZ29" s="17"/>
      <c r="HKA29" s="17"/>
      <c r="HKB29" s="17"/>
      <c r="HKC29" s="17"/>
      <c r="HKD29" s="17"/>
      <c r="HKE29" s="17"/>
      <c r="HKF29" s="17"/>
      <c r="HKG29" s="17"/>
      <c r="HKH29" s="17"/>
      <c r="HKI29" s="17"/>
      <c r="HKJ29" s="17"/>
      <c r="HKK29" s="17"/>
      <c r="HKL29" s="17"/>
      <c r="HKM29" s="17"/>
      <c r="HKN29" s="17"/>
      <c r="HKO29" s="17"/>
      <c r="HKP29" s="17"/>
      <c r="HKQ29" s="17"/>
      <c r="HKR29" s="17"/>
      <c r="HKS29" s="17"/>
      <c r="HKT29" s="17"/>
      <c r="HKU29" s="17"/>
      <c r="HKV29" s="17"/>
      <c r="HKW29" s="17"/>
      <c r="HKX29" s="17"/>
      <c r="HKY29" s="17"/>
      <c r="HKZ29" s="17"/>
      <c r="HLA29" s="17"/>
      <c r="HLB29" s="17"/>
      <c r="HLC29" s="17"/>
      <c r="HLD29" s="17"/>
      <c r="HLE29" s="17"/>
      <c r="HLF29" s="17"/>
      <c r="HLG29" s="17"/>
      <c r="HLH29" s="17"/>
      <c r="HLI29" s="17"/>
      <c r="HLJ29" s="17"/>
      <c r="HLK29" s="17"/>
      <c r="HLL29" s="17"/>
      <c r="HLM29" s="17"/>
      <c r="HLN29" s="17"/>
      <c r="HLO29" s="17"/>
      <c r="HLP29" s="17"/>
      <c r="HLQ29" s="17"/>
      <c r="HLR29" s="17"/>
      <c r="HLS29" s="17"/>
      <c r="HLT29" s="17"/>
      <c r="HLU29" s="17"/>
      <c r="HLV29" s="17"/>
      <c r="HLW29" s="17"/>
      <c r="HLX29" s="17"/>
      <c r="HLY29" s="17"/>
      <c r="HLZ29" s="17"/>
      <c r="HMA29" s="17"/>
      <c r="HMB29" s="17"/>
      <c r="HMC29" s="17"/>
      <c r="HMD29" s="17"/>
      <c r="HME29" s="17"/>
      <c r="HMF29" s="17"/>
      <c r="HMG29" s="17"/>
      <c r="HMH29" s="17"/>
      <c r="HMI29" s="17"/>
      <c r="HMJ29" s="17"/>
      <c r="HMK29" s="17"/>
      <c r="HML29" s="17"/>
      <c r="HMM29" s="17"/>
      <c r="HMN29" s="17"/>
      <c r="HMO29" s="17"/>
      <c r="HMP29" s="17"/>
      <c r="HMQ29" s="17"/>
      <c r="HMR29" s="17"/>
      <c r="HMS29" s="17"/>
      <c r="HMT29" s="17"/>
      <c r="HMU29" s="17"/>
      <c r="HMV29" s="17"/>
      <c r="HMW29" s="17"/>
      <c r="HMX29" s="17"/>
      <c r="HMY29" s="17"/>
      <c r="HMZ29" s="17"/>
      <c r="HNA29" s="17"/>
      <c r="HNB29" s="17"/>
      <c r="HNC29" s="17"/>
      <c r="HND29" s="17"/>
      <c r="HNE29" s="17"/>
      <c r="HNF29" s="17"/>
      <c r="HNG29" s="17"/>
      <c r="HNH29" s="17"/>
      <c r="HNI29" s="17"/>
      <c r="HNJ29" s="17"/>
      <c r="HNK29" s="17"/>
      <c r="HNL29" s="17"/>
      <c r="HNM29" s="17"/>
      <c r="HNN29" s="17"/>
      <c r="HNO29" s="17"/>
      <c r="HNP29" s="17"/>
      <c r="HNQ29" s="17"/>
      <c r="HNR29" s="17"/>
      <c r="HNS29" s="17"/>
      <c r="HNT29" s="17"/>
      <c r="HNU29" s="17"/>
      <c r="HNV29" s="17"/>
      <c r="HNW29" s="17"/>
      <c r="HNX29" s="17"/>
      <c r="HNY29" s="17"/>
      <c r="HNZ29" s="17"/>
      <c r="HOA29" s="17"/>
      <c r="HOB29" s="17"/>
      <c r="HOC29" s="17"/>
      <c r="HOD29" s="17"/>
      <c r="HOE29" s="17"/>
      <c r="HOF29" s="17"/>
      <c r="HOG29" s="17"/>
      <c r="HOH29" s="17"/>
      <c r="HOI29" s="17"/>
      <c r="HOJ29" s="17"/>
      <c r="HOK29" s="17"/>
      <c r="HOL29" s="17"/>
      <c r="HOM29" s="17"/>
      <c r="HON29" s="17"/>
      <c r="HOO29" s="17"/>
      <c r="HOP29" s="17"/>
      <c r="HOQ29" s="17"/>
      <c r="HOR29" s="17"/>
      <c r="HOS29" s="17"/>
      <c r="HOT29" s="17"/>
      <c r="HOU29" s="17"/>
      <c r="HOV29" s="17"/>
      <c r="HOW29" s="17"/>
      <c r="HOX29" s="17"/>
      <c r="HOY29" s="17"/>
      <c r="HOZ29" s="17"/>
      <c r="HPA29" s="17"/>
      <c r="HPB29" s="17"/>
      <c r="HPC29" s="17"/>
      <c r="HPD29" s="17"/>
      <c r="HPE29" s="17"/>
      <c r="HPF29" s="17"/>
      <c r="HPG29" s="17"/>
      <c r="HPH29" s="17"/>
      <c r="HPI29" s="17"/>
      <c r="HPJ29" s="17"/>
      <c r="HPK29" s="17"/>
      <c r="HPL29" s="17"/>
      <c r="HPM29" s="17"/>
      <c r="HPN29" s="17"/>
      <c r="HPO29" s="17"/>
      <c r="HPP29" s="17"/>
      <c r="HPQ29" s="17"/>
      <c r="HPR29" s="17"/>
      <c r="HPS29" s="17"/>
      <c r="HPT29" s="17"/>
      <c r="HPU29" s="17"/>
      <c r="HPV29" s="17"/>
      <c r="HPW29" s="17"/>
      <c r="HPX29" s="17"/>
      <c r="HPY29" s="17"/>
      <c r="HPZ29" s="17"/>
      <c r="HQA29" s="17"/>
      <c r="HQB29" s="17"/>
      <c r="HQC29" s="17"/>
      <c r="HQD29" s="17"/>
      <c r="HQE29" s="17"/>
      <c r="HQF29" s="17"/>
      <c r="HQG29" s="17"/>
      <c r="HQH29" s="17"/>
      <c r="HQI29" s="17"/>
      <c r="HQJ29" s="17"/>
      <c r="HQK29" s="17"/>
      <c r="HQL29" s="17"/>
      <c r="HQM29" s="17"/>
      <c r="HQN29" s="17"/>
      <c r="HQO29" s="17"/>
      <c r="HQP29" s="17"/>
      <c r="HQQ29" s="17"/>
      <c r="HQR29" s="17"/>
      <c r="HQS29" s="17"/>
      <c r="HQT29" s="17"/>
      <c r="HQU29" s="17"/>
      <c r="HQV29" s="17"/>
      <c r="HQW29" s="17"/>
      <c r="HQX29" s="17"/>
      <c r="HQY29" s="17"/>
      <c r="HQZ29" s="17"/>
      <c r="HRA29" s="17"/>
      <c r="HRB29" s="17"/>
      <c r="HRC29" s="17"/>
      <c r="HRD29" s="17"/>
      <c r="HRE29" s="17"/>
      <c r="HRF29" s="17"/>
      <c r="HRG29" s="17"/>
      <c r="HRH29" s="17"/>
      <c r="HRI29" s="17"/>
      <c r="HRJ29" s="17"/>
      <c r="HRK29" s="17"/>
      <c r="HRL29" s="17"/>
      <c r="HRM29" s="17"/>
      <c r="HRN29" s="17"/>
      <c r="HRO29" s="17"/>
      <c r="HRP29" s="17"/>
      <c r="HRQ29" s="17"/>
      <c r="HRR29" s="17"/>
      <c r="HRS29" s="17"/>
      <c r="HRT29" s="17"/>
      <c r="HRU29" s="17"/>
      <c r="HRV29" s="17"/>
      <c r="HRW29" s="17"/>
      <c r="HRX29" s="17"/>
      <c r="HRY29" s="17"/>
      <c r="HRZ29" s="17"/>
      <c r="HSA29" s="17"/>
      <c r="HSB29" s="17"/>
      <c r="HSC29" s="17"/>
      <c r="HSD29" s="17"/>
      <c r="HSE29" s="17"/>
      <c r="HSF29" s="17"/>
      <c r="HSG29" s="17"/>
      <c r="HSH29" s="17"/>
      <c r="HSI29" s="17"/>
      <c r="HSJ29" s="17"/>
      <c r="HSK29" s="17"/>
      <c r="HSL29" s="17"/>
      <c r="HSM29" s="17"/>
      <c r="HSN29" s="17"/>
      <c r="HSO29" s="17"/>
      <c r="HSP29" s="17"/>
      <c r="HSQ29" s="17"/>
      <c r="HSR29" s="17"/>
      <c r="HSS29" s="17"/>
      <c r="HST29" s="17"/>
      <c r="HSU29" s="17"/>
      <c r="HSV29" s="17"/>
      <c r="HSW29" s="17"/>
      <c r="HSX29" s="17"/>
      <c r="HSY29" s="17"/>
      <c r="HSZ29" s="17"/>
      <c r="HTA29" s="17"/>
      <c r="HTB29" s="17"/>
      <c r="HTC29" s="17"/>
      <c r="HTD29" s="17"/>
      <c r="HTE29" s="17"/>
      <c r="HTF29" s="17"/>
      <c r="HTG29" s="17"/>
      <c r="HTH29" s="17"/>
      <c r="HTI29" s="17"/>
      <c r="HTJ29" s="17"/>
      <c r="HTK29" s="17"/>
      <c r="HTL29" s="17"/>
      <c r="HTM29" s="17"/>
      <c r="HTN29" s="17"/>
      <c r="HTO29" s="17"/>
      <c r="HTP29" s="17"/>
      <c r="HTQ29" s="17"/>
      <c r="HTR29" s="17"/>
      <c r="HTS29" s="17"/>
      <c r="HTT29" s="17"/>
      <c r="HTU29" s="17"/>
      <c r="HTV29" s="17"/>
      <c r="HTW29" s="17"/>
      <c r="HTX29" s="17"/>
      <c r="HTY29" s="17"/>
      <c r="HTZ29" s="17"/>
      <c r="HUA29" s="17"/>
      <c r="HUB29" s="17"/>
      <c r="HUC29" s="17"/>
      <c r="HUD29" s="17"/>
      <c r="HUE29" s="17"/>
      <c r="HUF29" s="17"/>
      <c r="HUG29" s="17"/>
      <c r="HUH29" s="17"/>
      <c r="HUI29" s="17"/>
      <c r="HUJ29" s="17"/>
      <c r="HUK29" s="17"/>
      <c r="HUL29" s="17"/>
      <c r="HUM29" s="17"/>
      <c r="HUN29" s="17"/>
      <c r="HUO29" s="17"/>
      <c r="HUP29" s="17"/>
      <c r="HUQ29" s="17"/>
      <c r="HUR29" s="17"/>
      <c r="HUS29" s="17"/>
      <c r="HUT29" s="17"/>
      <c r="HUU29" s="17"/>
      <c r="HUV29" s="17"/>
      <c r="HUW29" s="17"/>
      <c r="HUX29" s="17"/>
      <c r="HUY29" s="17"/>
      <c r="HUZ29" s="17"/>
      <c r="HVA29" s="17"/>
      <c r="HVB29" s="17"/>
      <c r="HVC29" s="17"/>
      <c r="HVD29" s="17"/>
      <c r="HVE29" s="17"/>
      <c r="HVF29" s="17"/>
      <c r="HVG29" s="17"/>
      <c r="HVH29" s="17"/>
      <c r="HVI29" s="17"/>
      <c r="HVJ29" s="17"/>
      <c r="HVK29" s="17"/>
      <c r="HVL29" s="17"/>
      <c r="HVM29" s="17"/>
      <c r="HVN29" s="17"/>
      <c r="HVO29" s="17"/>
      <c r="HVP29" s="17"/>
      <c r="HVQ29" s="17"/>
      <c r="HVR29" s="17"/>
      <c r="HVS29" s="17"/>
      <c r="HVT29" s="17"/>
      <c r="HVU29" s="17"/>
      <c r="HVV29" s="17"/>
      <c r="HVW29" s="17"/>
      <c r="HVX29" s="17"/>
      <c r="HVY29" s="17"/>
      <c r="HVZ29" s="17"/>
      <c r="HWA29" s="17"/>
      <c r="HWB29" s="17"/>
      <c r="HWC29" s="17"/>
      <c r="HWD29" s="17"/>
      <c r="HWE29" s="17"/>
      <c r="HWF29" s="17"/>
      <c r="HWG29" s="17"/>
      <c r="HWH29" s="17"/>
      <c r="HWI29" s="17"/>
      <c r="HWJ29" s="17"/>
      <c r="HWK29" s="17"/>
      <c r="HWL29" s="17"/>
      <c r="HWM29" s="17"/>
      <c r="HWN29" s="17"/>
      <c r="HWO29" s="17"/>
      <c r="HWP29" s="17"/>
      <c r="HWQ29" s="17"/>
      <c r="HWR29" s="17"/>
      <c r="HWS29" s="17"/>
      <c r="HWT29" s="17"/>
      <c r="HWU29" s="17"/>
      <c r="HWV29" s="17"/>
      <c r="HWW29" s="17"/>
      <c r="HWX29" s="17"/>
      <c r="HWY29" s="17"/>
      <c r="HWZ29" s="17"/>
      <c r="HXA29" s="17"/>
      <c r="HXB29" s="17"/>
      <c r="HXC29" s="17"/>
      <c r="HXD29" s="17"/>
      <c r="HXE29" s="17"/>
      <c r="HXF29" s="17"/>
      <c r="HXG29" s="17"/>
      <c r="HXH29" s="17"/>
      <c r="HXI29" s="17"/>
      <c r="HXJ29" s="17"/>
      <c r="HXK29" s="17"/>
      <c r="HXL29" s="17"/>
      <c r="HXM29" s="17"/>
      <c r="HXN29" s="17"/>
      <c r="HXO29" s="17"/>
      <c r="HXP29" s="17"/>
      <c r="HXQ29" s="17"/>
      <c r="HXR29" s="17"/>
      <c r="HXS29" s="17"/>
      <c r="HXT29" s="17"/>
      <c r="HXU29" s="17"/>
      <c r="HXV29" s="17"/>
      <c r="HXW29" s="17"/>
      <c r="HXX29" s="17"/>
      <c r="HXY29" s="17"/>
      <c r="HXZ29" s="17"/>
      <c r="HYA29" s="17"/>
      <c r="HYB29" s="17"/>
      <c r="HYC29" s="17"/>
      <c r="HYD29" s="17"/>
      <c r="HYE29" s="17"/>
      <c r="HYF29" s="17"/>
      <c r="HYG29" s="17"/>
      <c r="HYH29" s="17"/>
      <c r="HYI29" s="17"/>
      <c r="HYJ29" s="17"/>
      <c r="HYK29" s="17"/>
      <c r="HYL29" s="17"/>
      <c r="HYM29" s="17"/>
      <c r="HYN29" s="17"/>
      <c r="HYO29" s="17"/>
      <c r="HYP29" s="17"/>
      <c r="HYQ29" s="17"/>
      <c r="HYR29" s="17"/>
      <c r="HYS29" s="17"/>
      <c r="HYT29" s="17"/>
      <c r="HYU29" s="17"/>
      <c r="HYV29" s="17"/>
      <c r="HYW29" s="17"/>
      <c r="HYX29" s="17"/>
      <c r="HYY29" s="17"/>
      <c r="HYZ29" s="17"/>
      <c r="HZA29" s="17"/>
      <c r="HZB29" s="17"/>
      <c r="HZC29" s="17"/>
      <c r="HZD29" s="17"/>
      <c r="HZE29" s="17"/>
      <c r="HZF29" s="17"/>
      <c r="HZG29" s="17"/>
      <c r="HZH29" s="17"/>
      <c r="HZI29" s="17"/>
      <c r="HZJ29" s="17"/>
      <c r="HZK29" s="17"/>
      <c r="HZL29" s="17"/>
      <c r="HZM29" s="17"/>
      <c r="HZN29" s="17"/>
      <c r="HZO29" s="17"/>
      <c r="HZP29" s="17"/>
      <c r="HZQ29" s="17"/>
      <c r="HZR29" s="17"/>
      <c r="HZS29" s="17"/>
      <c r="HZT29" s="17"/>
      <c r="HZU29" s="17"/>
      <c r="HZV29" s="17"/>
      <c r="HZW29" s="17"/>
      <c r="HZX29" s="17"/>
      <c r="HZY29" s="17"/>
      <c r="HZZ29" s="17"/>
      <c r="IAA29" s="17"/>
      <c r="IAB29" s="17"/>
      <c r="IAC29" s="17"/>
      <c r="IAD29" s="17"/>
      <c r="IAE29" s="17"/>
      <c r="IAF29" s="17"/>
      <c r="IAG29" s="17"/>
      <c r="IAH29" s="17"/>
      <c r="IAI29" s="17"/>
      <c r="IAJ29" s="17"/>
      <c r="IAK29" s="17"/>
      <c r="IAL29" s="17"/>
      <c r="IAM29" s="17"/>
      <c r="IAN29" s="17"/>
      <c r="IAO29" s="17"/>
      <c r="IAP29" s="17"/>
      <c r="IAQ29" s="17"/>
      <c r="IAR29" s="17"/>
      <c r="IAS29" s="17"/>
      <c r="IAT29" s="17"/>
      <c r="IAU29" s="17"/>
      <c r="IAV29" s="17"/>
      <c r="IAW29" s="17"/>
      <c r="IAX29" s="17"/>
      <c r="IAY29" s="17"/>
      <c r="IAZ29" s="17"/>
      <c r="IBA29" s="17"/>
      <c r="IBB29" s="17"/>
      <c r="IBC29" s="17"/>
      <c r="IBD29" s="17"/>
      <c r="IBE29" s="17"/>
      <c r="IBF29" s="17"/>
      <c r="IBG29" s="17"/>
      <c r="IBH29" s="17"/>
      <c r="IBI29" s="17"/>
      <c r="IBJ29" s="17"/>
      <c r="IBK29" s="17"/>
      <c r="IBL29" s="17"/>
      <c r="IBM29" s="17"/>
      <c r="IBN29" s="17"/>
      <c r="IBO29" s="17"/>
      <c r="IBP29" s="17"/>
      <c r="IBQ29" s="17"/>
      <c r="IBR29" s="17"/>
      <c r="IBS29" s="17"/>
      <c r="IBT29" s="17"/>
      <c r="IBU29" s="17"/>
      <c r="IBV29" s="17"/>
      <c r="IBW29" s="17"/>
      <c r="IBX29" s="17"/>
      <c r="IBY29" s="17"/>
      <c r="IBZ29" s="17"/>
      <c r="ICA29" s="17"/>
      <c r="ICB29" s="17"/>
      <c r="ICC29" s="17"/>
      <c r="ICD29" s="17"/>
      <c r="ICE29" s="17"/>
      <c r="ICF29" s="17"/>
      <c r="ICG29" s="17"/>
      <c r="ICH29" s="17"/>
      <c r="ICI29" s="17"/>
      <c r="ICJ29" s="17"/>
      <c r="ICK29" s="17"/>
      <c r="ICL29" s="17"/>
      <c r="ICM29" s="17"/>
      <c r="ICN29" s="17"/>
      <c r="ICO29" s="17"/>
      <c r="ICP29" s="17"/>
      <c r="ICQ29" s="17"/>
      <c r="ICR29" s="17"/>
      <c r="ICS29" s="17"/>
      <c r="ICT29" s="17"/>
      <c r="ICU29" s="17"/>
      <c r="ICV29" s="17"/>
      <c r="ICW29" s="17"/>
      <c r="ICX29" s="17"/>
      <c r="ICY29" s="17"/>
      <c r="ICZ29" s="17"/>
      <c r="IDA29" s="17"/>
      <c r="IDB29" s="17"/>
      <c r="IDC29" s="17"/>
      <c r="IDD29" s="17"/>
      <c r="IDE29" s="17"/>
      <c r="IDF29" s="17"/>
      <c r="IDG29" s="17"/>
      <c r="IDH29" s="17"/>
      <c r="IDI29" s="17"/>
      <c r="IDJ29" s="17"/>
      <c r="IDK29" s="17"/>
      <c r="IDL29" s="17"/>
      <c r="IDM29" s="17"/>
      <c r="IDN29" s="17"/>
      <c r="IDO29" s="17"/>
      <c r="IDP29" s="17"/>
      <c r="IDQ29" s="17"/>
      <c r="IDR29" s="17"/>
      <c r="IDS29" s="17"/>
      <c r="IDT29" s="17"/>
      <c r="IDU29" s="17"/>
      <c r="IDV29" s="17"/>
      <c r="IDW29" s="17"/>
      <c r="IDX29" s="17"/>
      <c r="IDY29" s="17"/>
      <c r="IDZ29" s="17"/>
      <c r="IEA29" s="17"/>
      <c r="IEB29" s="17"/>
      <c r="IEC29" s="17"/>
      <c r="IED29" s="17"/>
      <c r="IEE29" s="17"/>
      <c r="IEF29" s="17"/>
      <c r="IEG29" s="17"/>
      <c r="IEH29" s="17"/>
      <c r="IEI29" s="17"/>
      <c r="IEJ29" s="17"/>
      <c r="IEK29" s="17"/>
      <c r="IEL29" s="17"/>
      <c r="IEM29" s="17"/>
      <c r="IEN29" s="17"/>
      <c r="IEO29" s="17"/>
      <c r="IEP29" s="17"/>
      <c r="IEQ29" s="17"/>
      <c r="IER29" s="17"/>
      <c r="IES29" s="17"/>
      <c r="IET29" s="17"/>
      <c r="IEU29" s="17"/>
      <c r="IEV29" s="17"/>
      <c r="IEW29" s="17"/>
      <c r="IEX29" s="17"/>
      <c r="IEY29" s="17"/>
      <c r="IEZ29" s="17"/>
      <c r="IFA29" s="17"/>
      <c r="IFB29" s="17"/>
      <c r="IFC29" s="17"/>
      <c r="IFD29" s="17"/>
      <c r="IFE29" s="17"/>
      <c r="IFF29" s="17"/>
      <c r="IFG29" s="17"/>
      <c r="IFH29" s="17"/>
      <c r="IFI29" s="17"/>
      <c r="IFJ29" s="17"/>
      <c r="IFK29" s="17"/>
      <c r="IFL29" s="17"/>
      <c r="IFM29" s="17"/>
      <c r="IFN29" s="17"/>
      <c r="IFO29" s="17"/>
      <c r="IFP29" s="17"/>
      <c r="IFQ29" s="17"/>
      <c r="IFR29" s="17"/>
      <c r="IFS29" s="17"/>
      <c r="IFT29" s="17"/>
      <c r="IFU29" s="17"/>
      <c r="IFV29" s="17"/>
      <c r="IFW29" s="17"/>
      <c r="IFX29" s="17"/>
      <c r="IFY29" s="17"/>
      <c r="IFZ29" s="17"/>
      <c r="IGA29" s="17"/>
      <c r="IGB29" s="17"/>
      <c r="IGC29" s="17"/>
      <c r="IGD29" s="17"/>
      <c r="IGE29" s="17"/>
      <c r="IGF29" s="17"/>
      <c r="IGG29" s="17"/>
      <c r="IGH29" s="17"/>
      <c r="IGI29" s="17"/>
      <c r="IGJ29" s="17"/>
      <c r="IGK29" s="17"/>
      <c r="IGL29" s="17"/>
      <c r="IGM29" s="17"/>
      <c r="IGN29" s="17"/>
      <c r="IGO29" s="17"/>
      <c r="IGP29" s="17"/>
      <c r="IGQ29" s="17"/>
      <c r="IGR29" s="17"/>
      <c r="IGS29" s="17"/>
      <c r="IGT29" s="17"/>
      <c r="IGU29" s="17"/>
      <c r="IGV29" s="17"/>
      <c r="IGW29" s="17"/>
      <c r="IGX29" s="17"/>
      <c r="IGY29" s="17"/>
      <c r="IGZ29" s="17"/>
      <c r="IHA29" s="17"/>
      <c r="IHB29" s="17"/>
      <c r="IHC29" s="17"/>
      <c r="IHD29" s="17"/>
      <c r="IHE29" s="17"/>
      <c r="IHF29" s="17"/>
      <c r="IHG29" s="17"/>
      <c r="IHH29" s="17"/>
      <c r="IHI29" s="17"/>
      <c r="IHJ29" s="17"/>
      <c r="IHK29" s="17"/>
      <c r="IHL29" s="17"/>
      <c r="IHM29" s="17"/>
      <c r="IHN29" s="17"/>
      <c r="IHO29" s="17"/>
      <c r="IHP29" s="17"/>
      <c r="IHQ29" s="17"/>
      <c r="IHR29" s="17"/>
      <c r="IHS29" s="17"/>
      <c r="IHT29" s="17"/>
      <c r="IHU29" s="17"/>
      <c r="IHV29" s="17"/>
      <c r="IHW29" s="17"/>
      <c r="IHX29" s="17"/>
      <c r="IHY29" s="17"/>
      <c r="IHZ29" s="17"/>
      <c r="IIA29" s="17"/>
      <c r="IIB29" s="17"/>
      <c r="IIC29" s="17"/>
      <c r="IID29" s="17"/>
      <c r="IIE29" s="17"/>
      <c r="IIF29" s="17"/>
      <c r="IIG29" s="17"/>
      <c r="IIH29" s="17"/>
      <c r="III29" s="17"/>
      <c r="IIJ29" s="17"/>
      <c r="IIK29" s="17"/>
      <c r="IIL29" s="17"/>
      <c r="IIM29" s="17"/>
      <c r="IIN29" s="17"/>
      <c r="IIO29" s="17"/>
      <c r="IIP29" s="17"/>
      <c r="IIQ29" s="17"/>
      <c r="IIR29" s="17"/>
      <c r="IIS29" s="17"/>
      <c r="IIT29" s="17"/>
      <c r="IIU29" s="17"/>
      <c r="IIV29" s="17"/>
      <c r="IIW29" s="17"/>
      <c r="IIX29" s="17"/>
      <c r="IIY29" s="17"/>
      <c r="IIZ29" s="17"/>
      <c r="IJA29" s="17"/>
      <c r="IJB29" s="17"/>
      <c r="IJC29" s="17"/>
      <c r="IJD29" s="17"/>
      <c r="IJE29" s="17"/>
      <c r="IJF29" s="17"/>
      <c r="IJG29" s="17"/>
      <c r="IJH29" s="17"/>
      <c r="IJI29" s="17"/>
      <c r="IJJ29" s="17"/>
      <c r="IJK29" s="17"/>
      <c r="IJL29" s="17"/>
      <c r="IJM29" s="17"/>
      <c r="IJN29" s="17"/>
      <c r="IJO29" s="17"/>
      <c r="IJP29" s="17"/>
      <c r="IJQ29" s="17"/>
      <c r="IJR29" s="17"/>
      <c r="IJS29" s="17"/>
      <c r="IJT29" s="17"/>
      <c r="IJU29" s="17"/>
      <c r="IJV29" s="17"/>
      <c r="IJW29" s="17"/>
      <c r="IJX29" s="17"/>
      <c r="IJY29" s="17"/>
      <c r="IJZ29" s="17"/>
      <c r="IKA29" s="17"/>
      <c r="IKB29" s="17"/>
      <c r="IKC29" s="17"/>
      <c r="IKD29" s="17"/>
      <c r="IKE29" s="17"/>
      <c r="IKF29" s="17"/>
      <c r="IKG29" s="17"/>
      <c r="IKH29" s="17"/>
      <c r="IKI29" s="17"/>
      <c r="IKJ29" s="17"/>
      <c r="IKK29" s="17"/>
      <c r="IKL29" s="17"/>
      <c r="IKM29" s="17"/>
      <c r="IKN29" s="17"/>
      <c r="IKO29" s="17"/>
      <c r="IKP29" s="17"/>
      <c r="IKQ29" s="17"/>
      <c r="IKR29" s="17"/>
      <c r="IKS29" s="17"/>
      <c r="IKT29" s="17"/>
      <c r="IKU29" s="17"/>
      <c r="IKV29" s="17"/>
      <c r="IKW29" s="17"/>
      <c r="IKX29" s="17"/>
      <c r="IKY29" s="17"/>
      <c r="IKZ29" s="17"/>
      <c r="ILA29" s="17"/>
      <c r="ILB29" s="17"/>
      <c r="ILC29" s="17"/>
      <c r="ILD29" s="17"/>
      <c r="ILE29" s="17"/>
      <c r="ILF29" s="17"/>
      <c r="ILG29" s="17"/>
      <c r="ILH29" s="17"/>
      <c r="ILI29" s="17"/>
      <c r="ILJ29" s="17"/>
      <c r="ILK29" s="17"/>
      <c r="ILL29" s="17"/>
      <c r="ILM29" s="17"/>
      <c r="ILN29" s="17"/>
      <c r="ILO29" s="17"/>
      <c r="ILP29" s="17"/>
      <c r="ILQ29" s="17"/>
      <c r="ILR29" s="17"/>
      <c r="ILS29" s="17"/>
      <c r="ILT29" s="17"/>
      <c r="ILU29" s="17"/>
      <c r="ILV29" s="17"/>
      <c r="ILW29" s="17"/>
      <c r="ILX29" s="17"/>
      <c r="ILY29" s="17"/>
      <c r="ILZ29" s="17"/>
      <c r="IMA29" s="17"/>
      <c r="IMB29" s="17"/>
      <c r="IMC29" s="17"/>
      <c r="IMD29" s="17"/>
      <c r="IME29" s="17"/>
      <c r="IMF29" s="17"/>
      <c r="IMG29" s="17"/>
      <c r="IMH29" s="17"/>
      <c r="IMI29" s="17"/>
      <c r="IMJ29" s="17"/>
      <c r="IMK29" s="17"/>
      <c r="IML29" s="17"/>
      <c r="IMM29" s="17"/>
      <c r="IMN29" s="17"/>
      <c r="IMO29" s="17"/>
      <c r="IMP29" s="17"/>
      <c r="IMQ29" s="17"/>
      <c r="IMR29" s="17"/>
      <c r="IMS29" s="17"/>
      <c r="IMT29" s="17"/>
      <c r="IMU29" s="17"/>
      <c r="IMV29" s="17"/>
      <c r="IMW29" s="17"/>
      <c r="IMX29" s="17"/>
      <c r="IMY29" s="17"/>
      <c r="IMZ29" s="17"/>
      <c r="INA29" s="17"/>
      <c r="INB29" s="17"/>
      <c r="INC29" s="17"/>
      <c r="IND29" s="17"/>
      <c r="INE29" s="17"/>
      <c r="INF29" s="17"/>
      <c r="ING29" s="17"/>
      <c r="INH29" s="17"/>
      <c r="INI29" s="17"/>
      <c r="INJ29" s="17"/>
      <c r="INK29" s="17"/>
      <c r="INL29" s="17"/>
      <c r="INM29" s="17"/>
      <c r="INN29" s="17"/>
      <c r="INO29" s="17"/>
      <c r="INP29" s="17"/>
      <c r="INQ29" s="17"/>
      <c r="INR29" s="17"/>
      <c r="INS29" s="17"/>
      <c r="INT29" s="17"/>
      <c r="INU29" s="17"/>
      <c r="INV29" s="17"/>
      <c r="INW29" s="17"/>
      <c r="INX29" s="17"/>
      <c r="INY29" s="17"/>
      <c r="INZ29" s="17"/>
      <c r="IOA29" s="17"/>
      <c r="IOB29" s="17"/>
      <c r="IOC29" s="17"/>
      <c r="IOD29" s="17"/>
      <c r="IOE29" s="17"/>
      <c r="IOF29" s="17"/>
      <c r="IOG29" s="17"/>
      <c r="IOH29" s="17"/>
      <c r="IOI29" s="17"/>
      <c r="IOJ29" s="17"/>
      <c r="IOK29" s="17"/>
      <c r="IOL29" s="17"/>
      <c r="IOM29" s="17"/>
      <c r="ION29" s="17"/>
      <c r="IOO29" s="17"/>
      <c r="IOP29" s="17"/>
      <c r="IOQ29" s="17"/>
      <c r="IOR29" s="17"/>
      <c r="IOS29" s="17"/>
      <c r="IOT29" s="17"/>
      <c r="IOU29" s="17"/>
      <c r="IOV29" s="17"/>
      <c r="IOW29" s="17"/>
      <c r="IOX29" s="17"/>
      <c r="IOY29" s="17"/>
      <c r="IOZ29" s="17"/>
      <c r="IPA29" s="17"/>
      <c r="IPB29" s="17"/>
      <c r="IPC29" s="17"/>
      <c r="IPD29" s="17"/>
      <c r="IPE29" s="17"/>
      <c r="IPF29" s="17"/>
      <c r="IPG29" s="17"/>
      <c r="IPH29" s="17"/>
      <c r="IPI29" s="17"/>
      <c r="IPJ29" s="17"/>
      <c r="IPK29" s="17"/>
      <c r="IPL29" s="17"/>
      <c r="IPM29" s="17"/>
      <c r="IPN29" s="17"/>
      <c r="IPO29" s="17"/>
      <c r="IPP29" s="17"/>
      <c r="IPQ29" s="17"/>
      <c r="IPR29" s="17"/>
      <c r="IPS29" s="17"/>
      <c r="IPT29" s="17"/>
      <c r="IPU29" s="17"/>
      <c r="IPV29" s="17"/>
      <c r="IPW29" s="17"/>
      <c r="IPX29" s="17"/>
      <c r="IPY29" s="17"/>
      <c r="IPZ29" s="17"/>
      <c r="IQA29" s="17"/>
      <c r="IQB29" s="17"/>
      <c r="IQC29" s="17"/>
      <c r="IQD29" s="17"/>
      <c r="IQE29" s="17"/>
      <c r="IQF29" s="17"/>
      <c r="IQG29" s="17"/>
      <c r="IQH29" s="17"/>
      <c r="IQI29" s="17"/>
      <c r="IQJ29" s="17"/>
      <c r="IQK29" s="17"/>
      <c r="IQL29" s="17"/>
      <c r="IQM29" s="17"/>
      <c r="IQN29" s="17"/>
      <c r="IQO29" s="17"/>
      <c r="IQP29" s="17"/>
      <c r="IQQ29" s="17"/>
      <c r="IQR29" s="17"/>
      <c r="IQS29" s="17"/>
      <c r="IQT29" s="17"/>
      <c r="IQU29" s="17"/>
      <c r="IQV29" s="17"/>
      <c r="IQW29" s="17"/>
      <c r="IQX29" s="17"/>
      <c r="IQY29" s="17"/>
      <c r="IQZ29" s="17"/>
      <c r="IRA29" s="17"/>
      <c r="IRB29" s="17"/>
      <c r="IRC29" s="17"/>
      <c r="IRD29" s="17"/>
      <c r="IRE29" s="17"/>
      <c r="IRF29" s="17"/>
      <c r="IRG29" s="17"/>
      <c r="IRH29" s="17"/>
      <c r="IRI29" s="17"/>
      <c r="IRJ29" s="17"/>
      <c r="IRK29" s="17"/>
      <c r="IRL29" s="17"/>
      <c r="IRM29" s="17"/>
      <c r="IRN29" s="17"/>
      <c r="IRO29" s="17"/>
      <c r="IRP29" s="17"/>
      <c r="IRQ29" s="17"/>
      <c r="IRR29" s="17"/>
      <c r="IRS29" s="17"/>
      <c r="IRT29" s="17"/>
      <c r="IRU29" s="17"/>
      <c r="IRV29" s="17"/>
      <c r="IRW29" s="17"/>
      <c r="IRX29" s="17"/>
      <c r="IRY29" s="17"/>
      <c r="IRZ29" s="17"/>
      <c r="ISA29" s="17"/>
      <c r="ISB29" s="17"/>
      <c r="ISC29" s="17"/>
      <c r="ISD29" s="17"/>
      <c r="ISE29" s="17"/>
      <c r="ISF29" s="17"/>
      <c r="ISG29" s="17"/>
      <c r="ISH29" s="17"/>
      <c r="ISI29" s="17"/>
      <c r="ISJ29" s="17"/>
      <c r="ISK29" s="17"/>
      <c r="ISL29" s="17"/>
      <c r="ISM29" s="17"/>
      <c r="ISN29" s="17"/>
      <c r="ISO29" s="17"/>
      <c r="ISP29" s="17"/>
      <c r="ISQ29" s="17"/>
      <c r="ISR29" s="17"/>
      <c r="ISS29" s="17"/>
      <c r="IST29" s="17"/>
      <c r="ISU29" s="17"/>
      <c r="ISV29" s="17"/>
      <c r="ISW29" s="17"/>
      <c r="ISX29" s="17"/>
      <c r="ISY29" s="17"/>
      <c r="ISZ29" s="17"/>
      <c r="ITA29" s="17"/>
      <c r="ITB29" s="17"/>
      <c r="ITC29" s="17"/>
      <c r="ITD29" s="17"/>
      <c r="ITE29" s="17"/>
      <c r="ITF29" s="17"/>
      <c r="ITG29" s="17"/>
      <c r="ITH29" s="17"/>
      <c r="ITI29" s="17"/>
      <c r="ITJ29" s="17"/>
      <c r="ITK29" s="17"/>
      <c r="ITL29" s="17"/>
      <c r="ITM29" s="17"/>
      <c r="ITN29" s="17"/>
      <c r="ITO29" s="17"/>
      <c r="ITP29" s="17"/>
      <c r="ITQ29" s="17"/>
      <c r="ITR29" s="17"/>
      <c r="ITS29" s="17"/>
      <c r="ITT29" s="17"/>
      <c r="ITU29" s="17"/>
      <c r="ITV29" s="17"/>
      <c r="ITW29" s="17"/>
      <c r="ITX29" s="17"/>
      <c r="ITY29" s="17"/>
      <c r="ITZ29" s="17"/>
      <c r="IUA29" s="17"/>
      <c r="IUB29" s="17"/>
      <c r="IUC29" s="17"/>
      <c r="IUD29" s="17"/>
      <c r="IUE29" s="17"/>
      <c r="IUF29" s="17"/>
      <c r="IUG29" s="17"/>
      <c r="IUH29" s="17"/>
      <c r="IUI29" s="17"/>
      <c r="IUJ29" s="17"/>
      <c r="IUK29" s="17"/>
      <c r="IUL29" s="17"/>
      <c r="IUM29" s="17"/>
      <c r="IUN29" s="17"/>
      <c r="IUO29" s="17"/>
      <c r="IUP29" s="17"/>
      <c r="IUQ29" s="17"/>
      <c r="IUR29" s="17"/>
      <c r="IUS29" s="17"/>
      <c r="IUT29" s="17"/>
      <c r="IUU29" s="17"/>
      <c r="IUV29" s="17"/>
      <c r="IUW29" s="17"/>
      <c r="IUX29" s="17"/>
      <c r="IUY29" s="17"/>
      <c r="IUZ29" s="17"/>
      <c r="IVA29" s="17"/>
      <c r="IVB29" s="17"/>
      <c r="IVC29" s="17"/>
      <c r="IVD29" s="17"/>
      <c r="IVE29" s="17"/>
      <c r="IVF29" s="17"/>
      <c r="IVG29" s="17"/>
      <c r="IVH29" s="17"/>
      <c r="IVI29" s="17"/>
      <c r="IVJ29" s="17"/>
      <c r="IVK29" s="17"/>
      <c r="IVL29" s="17"/>
      <c r="IVM29" s="17"/>
      <c r="IVN29" s="17"/>
      <c r="IVO29" s="17"/>
      <c r="IVP29" s="17"/>
      <c r="IVQ29" s="17"/>
      <c r="IVR29" s="17"/>
      <c r="IVS29" s="17"/>
      <c r="IVT29" s="17"/>
      <c r="IVU29" s="17"/>
      <c r="IVV29" s="17"/>
      <c r="IVW29" s="17"/>
      <c r="IVX29" s="17"/>
      <c r="IVY29" s="17"/>
      <c r="IVZ29" s="17"/>
      <c r="IWA29" s="17"/>
      <c r="IWB29" s="17"/>
      <c r="IWC29" s="17"/>
      <c r="IWD29" s="17"/>
      <c r="IWE29" s="17"/>
      <c r="IWF29" s="17"/>
      <c r="IWG29" s="17"/>
      <c r="IWH29" s="17"/>
      <c r="IWI29" s="17"/>
      <c r="IWJ29" s="17"/>
      <c r="IWK29" s="17"/>
      <c r="IWL29" s="17"/>
      <c r="IWM29" s="17"/>
      <c r="IWN29" s="17"/>
      <c r="IWO29" s="17"/>
      <c r="IWP29" s="17"/>
      <c r="IWQ29" s="17"/>
      <c r="IWR29" s="17"/>
      <c r="IWS29" s="17"/>
      <c r="IWT29" s="17"/>
      <c r="IWU29" s="17"/>
      <c r="IWV29" s="17"/>
      <c r="IWW29" s="17"/>
      <c r="IWX29" s="17"/>
      <c r="IWY29" s="17"/>
      <c r="IWZ29" s="17"/>
      <c r="IXA29" s="17"/>
      <c r="IXB29" s="17"/>
      <c r="IXC29" s="17"/>
      <c r="IXD29" s="17"/>
      <c r="IXE29" s="17"/>
      <c r="IXF29" s="17"/>
      <c r="IXG29" s="17"/>
      <c r="IXH29" s="17"/>
      <c r="IXI29" s="17"/>
      <c r="IXJ29" s="17"/>
      <c r="IXK29" s="17"/>
      <c r="IXL29" s="17"/>
      <c r="IXM29" s="17"/>
      <c r="IXN29" s="17"/>
      <c r="IXO29" s="17"/>
      <c r="IXP29" s="17"/>
      <c r="IXQ29" s="17"/>
      <c r="IXR29" s="17"/>
      <c r="IXS29" s="17"/>
      <c r="IXT29" s="17"/>
      <c r="IXU29" s="17"/>
      <c r="IXV29" s="17"/>
      <c r="IXW29" s="17"/>
      <c r="IXX29" s="17"/>
      <c r="IXY29" s="17"/>
      <c r="IXZ29" s="17"/>
      <c r="IYA29" s="17"/>
      <c r="IYB29" s="17"/>
      <c r="IYC29" s="17"/>
      <c r="IYD29" s="17"/>
      <c r="IYE29" s="17"/>
      <c r="IYF29" s="17"/>
      <c r="IYG29" s="17"/>
      <c r="IYH29" s="17"/>
      <c r="IYI29" s="17"/>
      <c r="IYJ29" s="17"/>
      <c r="IYK29" s="17"/>
      <c r="IYL29" s="17"/>
      <c r="IYM29" s="17"/>
      <c r="IYN29" s="17"/>
      <c r="IYO29" s="17"/>
      <c r="IYP29" s="17"/>
      <c r="IYQ29" s="17"/>
      <c r="IYR29" s="17"/>
      <c r="IYS29" s="17"/>
      <c r="IYT29" s="17"/>
      <c r="IYU29" s="17"/>
      <c r="IYV29" s="17"/>
      <c r="IYW29" s="17"/>
      <c r="IYX29" s="17"/>
      <c r="IYY29" s="17"/>
      <c r="IYZ29" s="17"/>
      <c r="IZA29" s="17"/>
      <c r="IZB29" s="17"/>
      <c r="IZC29" s="17"/>
      <c r="IZD29" s="17"/>
      <c r="IZE29" s="17"/>
      <c r="IZF29" s="17"/>
      <c r="IZG29" s="17"/>
      <c r="IZH29" s="17"/>
      <c r="IZI29" s="17"/>
      <c r="IZJ29" s="17"/>
      <c r="IZK29" s="17"/>
      <c r="IZL29" s="17"/>
      <c r="IZM29" s="17"/>
      <c r="IZN29" s="17"/>
      <c r="IZO29" s="17"/>
      <c r="IZP29" s="17"/>
      <c r="IZQ29" s="17"/>
      <c r="IZR29" s="17"/>
      <c r="IZS29" s="17"/>
      <c r="IZT29" s="17"/>
      <c r="IZU29" s="17"/>
      <c r="IZV29" s="17"/>
      <c r="IZW29" s="17"/>
      <c r="IZX29" s="17"/>
      <c r="IZY29" s="17"/>
      <c r="IZZ29" s="17"/>
      <c r="JAA29" s="17"/>
      <c r="JAB29" s="17"/>
      <c r="JAC29" s="17"/>
      <c r="JAD29" s="17"/>
      <c r="JAE29" s="17"/>
      <c r="JAF29" s="17"/>
      <c r="JAG29" s="17"/>
      <c r="JAH29" s="17"/>
      <c r="JAI29" s="17"/>
      <c r="JAJ29" s="17"/>
      <c r="JAK29" s="17"/>
      <c r="JAL29" s="17"/>
      <c r="JAM29" s="17"/>
      <c r="JAN29" s="17"/>
      <c r="JAO29" s="17"/>
      <c r="JAP29" s="17"/>
      <c r="JAQ29" s="17"/>
      <c r="JAR29" s="17"/>
      <c r="JAS29" s="17"/>
      <c r="JAT29" s="17"/>
      <c r="JAU29" s="17"/>
      <c r="JAV29" s="17"/>
      <c r="JAW29" s="17"/>
      <c r="JAX29" s="17"/>
      <c r="JAY29" s="17"/>
      <c r="JAZ29" s="17"/>
      <c r="JBA29" s="17"/>
      <c r="JBB29" s="17"/>
      <c r="JBC29" s="17"/>
      <c r="JBD29" s="17"/>
      <c r="JBE29" s="17"/>
      <c r="JBF29" s="17"/>
      <c r="JBG29" s="17"/>
      <c r="JBH29" s="17"/>
      <c r="JBI29" s="17"/>
      <c r="JBJ29" s="17"/>
      <c r="JBK29" s="17"/>
      <c r="JBL29" s="17"/>
      <c r="JBM29" s="17"/>
      <c r="JBN29" s="17"/>
      <c r="JBO29" s="17"/>
      <c r="JBP29" s="17"/>
      <c r="JBQ29" s="17"/>
      <c r="JBR29" s="17"/>
      <c r="JBS29" s="17"/>
      <c r="JBT29" s="17"/>
      <c r="JBU29" s="17"/>
      <c r="JBV29" s="17"/>
      <c r="JBW29" s="17"/>
      <c r="JBX29" s="17"/>
      <c r="JBY29" s="17"/>
      <c r="JBZ29" s="17"/>
      <c r="JCA29" s="17"/>
      <c r="JCB29" s="17"/>
      <c r="JCC29" s="17"/>
      <c r="JCD29" s="17"/>
      <c r="JCE29" s="17"/>
      <c r="JCF29" s="17"/>
      <c r="JCG29" s="17"/>
      <c r="JCH29" s="17"/>
      <c r="JCI29" s="17"/>
      <c r="JCJ29" s="17"/>
      <c r="JCK29" s="17"/>
      <c r="JCL29" s="17"/>
      <c r="JCM29" s="17"/>
      <c r="JCN29" s="17"/>
      <c r="JCO29" s="17"/>
      <c r="JCP29" s="17"/>
      <c r="JCQ29" s="17"/>
      <c r="JCR29" s="17"/>
      <c r="JCS29" s="17"/>
      <c r="JCT29" s="17"/>
      <c r="JCU29" s="17"/>
      <c r="JCV29" s="17"/>
      <c r="JCW29" s="17"/>
      <c r="JCX29" s="17"/>
      <c r="JCY29" s="17"/>
      <c r="JCZ29" s="17"/>
      <c r="JDA29" s="17"/>
      <c r="JDB29" s="17"/>
      <c r="JDC29" s="17"/>
      <c r="JDD29" s="17"/>
      <c r="JDE29" s="17"/>
      <c r="JDF29" s="17"/>
      <c r="JDG29" s="17"/>
      <c r="JDH29" s="17"/>
      <c r="JDI29" s="17"/>
      <c r="JDJ29" s="17"/>
      <c r="JDK29" s="17"/>
      <c r="JDL29" s="17"/>
      <c r="JDM29" s="17"/>
      <c r="JDN29" s="17"/>
      <c r="JDO29" s="17"/>
      <c r="JDP29" s="17"/>
      <c r="JDQ29" s="17"/>
      <c r="JDR29" s="17"/>
      <c r="JDS29" s="17"/>
      <c r="JDT29" s="17"/>
      <c r="JDU29" s="17"/>
      <c r="JDV29" s="17"/>
      <c r="JDW29" s="17"/>
      <c r="JDX29" s="17"/>
      <c r="JDY29" s="17"/>
      <c r="JDZ29" s="17"/>
      <c r="JEA29" s="17"/>
      <c r="JEB29" s="17"/>
      <c r="JEC29" s="17"/>
      <c r="JED29" s="17"/>
      <c r="JEE29" s="17"/>
      <c r="JEF29" s="17"/>
      <c r="JEG29" s="17"/>
      <c r="JEH29" s="17"/>
      <c r="JEI29" s="17"/>
      <c r="JEJ29" s="17"/>
      <c r="JEK29" s="17"/>
      <c r="JEL29" s="17"/>
      <c r="JEM29" s="17"/>
      <c r="JEN29" s="17"/>
      <c r="JEO29" s="17"/>
      <c r="JEP29" s="17"/>
      <c r="JEQ29" s="17"/>
      <c r="JER29" s="17"/>
      <c r="JES29" s="17"/>
      <c r="JET29" s="17"/>
      <c r="JEU29" s="17"/>
      <c r="JEV29" s="17"/>
      <c r="JEW29" s="17"/>
      <c r="JEX29" s="17"/>
      <c r="JEY29" s="17"/>
      <c r="JEZ29" s="17"/>
      <c r="JFA29" s="17"/>
      <c r="JFB29" s="17"/>
      <c r="JFC29" s="17"/>
      <c r="JFD29" s="17"/>
      <c r="JFE29" s="17"/>
      <c r="JFF29" s="17"/>
      <c r="JFG29" s="17"/>
      <c r="JFH29" s="17"/>
      <c r="JFI29" s="17"/>
      <c r="JFJ29" s="17"/>
      <c r="JFK29" s="17"/>
      <c r="JFL29" s="17"/>
      <c r="JFM29" s="17"/>
      <c r="JFN29" s="17"/>
      <c r="JFO29" s="17"/>
      <c r="JFP29" s="17"/>
      <c r="JFQ29" s="17"/>
      <c r="JFR29" s="17"/>
      <c r="JFS29" s="17"/>
      <c r="JFT29" s="17"/>
      <c r="JFU29" s="17"/>
      <c r="JFV29" s="17"/>
      <c r="JFW29" s="17"/>
      <c r="JFX29" s="17"/>
      <c r="JFY29" s="17"/>
      <c r="JFZ29" s="17"/>
      <c r="JGA29" s="17"/>
      <c r="JGB29" s="17"/>
      <c r="JGC29" s="17"/>
      <c r="JGD29" s="17"/>
      <c r="JGE29" s="17"/>
      <c r="JGF29" s="17"/>
      <c r="JGG29" s="17"/>
      <c r="JGH29" s="17"/>
      <c r="JGI29" s="17"/>
      <c r="JGJ29" s="17"/>
      <c r="JGK29" s="17"/>
      <c r="JGL29" s="17"/>
      <c r="JGM29" s="17"/>
      <c r="JGN29" s="17"/>
      <c r="JGO29" s="17"/>
      <c r="JGP29" s="17"/>
      <c r="JGQ29" s="17"/>
      <c r="JGR29" s="17"/>
      <c r="JGS29" s="17"/>
      <c r="JGT29" s="17"/>
      <c r="JGU29" s="17"/>
      <c r="JGV29" s="17"/>
      <c r="JGW29" s="17"/>
      <c r="JGX29" s="17"/>
      <c r="JGY29" s="17"/>
      <c r="JGZ29" s="17"/>
      <c r="JHA29" s="17"/>
      <c r="JHB29" s="17"/>
      <c r="JHC29" s="17"/>
      <c r="JHD29" s="17"/>
      <c r="JHE29" s="17"/>
      <c r="JHF29" s="17"/>
      <c r="JHG29" s="17"/>
      <c r="JHH29" s="17"/>
      <c r="JHI29" s="17"/>
      <c r="JHJ29" s="17"/>
      <c r="JHK29" s="17"/>
      <c r="JHL29" s="17"/>
      <c r="JHM29" s="17"/>
      <c r="JHN29" s="17"/>
      <c r="JHO29" s="17"/>
      <c r="JHP29" s="17"/>
      <c r="JHQ29" s="17"/>
      <c r="JHR29" s="17"/>
      <c r="JHS29" s="17"/>
      <c r="JHT29" s="17"/>
      <c r="JHU29" s="17"/>
      <c r="JHV29" s="17"/>
      <c r="JHW29" s="17"/>
      <c r="JHX29" s="17"/>
      <c r="JHY29" s="17"/>
      <c r="JHZ29" s="17"/>
      <c r="JIA29" s="17"/>
      <c r="JIB29" s="17"/>
      <c r="JIC29" s="17"/>
      <c r="JID29" s="17"/>
      <c r="JIE29" s="17"/>
      <c r="JIF29" s="17"/>
      <c r="JIG29" s="17"/>
      <c r="JIH29" s="17"/>
      <c r="JII29" s="17"/>
      <c r="JIJ29" s="17"/>
      <c r="JIK29" s="17"/>
      <c r="JIL29" s="17"/>
      <c r="JIM29" s="17"/>
      <c r="JIN29" s="17"/>
      <c r="JIO29" s="17"/>
      <c r="JIP29" s="17"/>
      <c r="JIQ29" s="17"/>
      <c r="JIR29" s="17"/>
      <c r="JIS29" s="17"/>
      <c r="JIT29" s="17"/>
      <c r="JIU29" s="17"/>
      <c r="JIV29" s="17"/>
      <c r="JIW29" s="17"/>
      <c r="JIX29" s="17"/>
      <c r="JIY29" s="17"/>
      <c r="JIZ29" s="17"/>
      <c r="JJA29" s="17"/>
      <c r="JJB29" s="17"/>
      <c r="JJC29" s="17"/>
      <c r="JJD29" s="17"/>
      <c r="JJE29" s="17"/>
      <c r="JJF29" s="17"/>
      <c r="JJG29" s="17"/>
      <c r="JJH29" s="17"/>
      <c r="JJI29" s="17"/>
      <c r="JJJ29" s="17"/>
      <c r="JJK29" s="17"/>
      <c r="JJL29" s="17"/>
      <c r="JJM29" s="17"/>
      <c r="JJN29" s="17"/>
      <c r="JJO29" s="17"/>
      <c r="JJP29" s="17"/>
      <c r="JJQ29" s="17"/>
      <c r="JJR29" s="17"/>
      <c r="JJS29" s="17"/>
      <c r="JJT29" s="17"/>
      <c r="JJU29" s="17"/>
      <c r="JJV29" s="17"/>
      <c r="JJW29" s="17"/>
      <c r="JJX29" s="17"/>
      <c r="JJY29" s="17"/>
      <c r="JJZ29" s="17"/>
      <c r="JKA29" s="17"/>
      <c r="JKB29" s="17"/>
      <c r="JKC29" s="17"/>
      <c r="JKD29" s="17"/>
      <c r="JKE29" s="17"/>
      <c r="JKF29" s="17"/>
      <c r="JKG29" s="17"/>
      <c r="JKH29" s="17"/>
      <c r="JKI29" s="17"/>
      <c r="JKJ29" s="17"/>
      <c r="JKK29" s="17"/>
      <c r="JKL29" s="17"/>
      <c r="JKM29" s="17"/>
      <c r="JKN29" s="17"/>
      <c r="JKO29" s="17"/>
      <c r="JKP29" s="17"/>
      <c r="JKQ29" s="17"/>
      <c r="JKR29" s="17"/>
      <c r="JKS29" s="17"/>
      <c r="JKT29" s="17"/>
      <c r="JKU29" s="17"/>
      <c r="JKV29" s="17"/>
      <c r="JKW29" s="17"/>
      <c r="JKX29" s="17"/>
      <c r="JKY29" s="17"/>
      <c r="JKZ29" s="17"/>
      <c r="JLA29" s="17"/>
      <c r="JLB29" s="17"/>
      <c r="JLC29" s="17"/>
      <c r="JLD29" s="17"/>
      <c r="JLE29" s="17"/>
      <c r="JLF29" s="17"/>
      <c r="JLG29" s="17"/>
      <c r="JLH29" s="17"/>
      <c r="JLI29" s="17"/>
      <c r="JLJ29" s="17"/>
      <c r="JLK29" s="17"/>
      <c r="JLL29" s="17"/>
      <c r="JLM29" s="17"/>
      <c r="JLN29" s="17"/>
      <c r="JLO29" s="17"/>
      <c r="JLP29" s="17"/>
      <c r="JLQ29" s="17"/>
      <c r="JLR29" s="17"/>
      <c r="JLS29" s="17"/>
      <c r="JLT29" s="17"/>
      <c r="JLU29" s="17"/>
      <c r="JLV29" s="17"/>
      <c r="JLW29" s="17"/>
      <c r="JLX29" s="17"/>
      <c r="JLY29" s="17"/>
      <c r="JLZ29" s="17"/>
      <c r="JMA29" s="17"/>
      <c r="JMB29" s="17"/>
      <c r="JMC29" s="17"/>
      <c r="JMD29" s="17"/>
      <c r="JME29" s="17"/>
      <c r="JMF29" s="17"/>
      <c r="JMG29" s="17"/>
      <c r="JMH29" s="17"/>
      <c r="JMI29" s="17"/>
      <c r="JMJ29" s="17"/>
      <c r="JMK29" s="17"/>
      <c r="JML29" s="17"/>
      <c r="JMM29" s="17"/>
      <c r="JMN29" s="17"/>
      <c r="JMO29" s="17"/>
      <c r="JMP29" s="17"/>
      <c r="JMQ29" s="17"/>
      <c r="JMR29" s="17"/>
      <c r="JMS29" s="17"/>
      <c r="JMT29" s="17"/>
      <c r="JMU29" s="17"/>
      <c r="JMV29" s="17"/>
      <c r="JMW29" s="17"/>
      <c r="JMX29" s="17"/>
      <c r="JMY29" s="17"/>
      <c r="JMZ29" s="17"/>
      <c r="JNA29" s="17"/>
      <c r="JNB29" s="17"/>
      <c r="JNC29" s="17"/>
      <c r="JND29" s="17"/>
      <c r="JNE29" s="17"/>
      <c r="JNF29" s="17"/>
      <c r="JNG29" s="17"/>
      <c r="JNH29" s="17"/>
      <c r="JNI29" s="17"/>
      <c r="JNJ29" s="17"/>
      <c r="JNK29" s="17"/>
      <c r="JNL29" s="17"/>
      <c r="JNM29" s="17"/>
      <c r="JNN29" s="17"/>
      <c r="JNO29" s="17"/>
      <c r="JNP29" s="17"/>
      <c r="JNQ29" s="17"/>
      <c r="JNR29" s="17"/>
      <c r="JNS29" s="17"/>
      <c r="JNT29" s="17"/>
      <c r="JNU29" s="17"/>
      <c r="JNV29" s="17"/>
      <c r="JNW29" s="17"/>
      <c r="JNX29" s="17"/>
      <c r="JNY29" s="17"/>
      <c r="JNZ29" s="17"/>
      <c r="JOA29" s="17"/>
      <c r="JOB29" s="17"/>
      <c r="JOC29" s="17"/>
      <c r="JOD29" s="17"/>
      <c r="JOE29" s="17"/>
      <c r="JOF29" s="17"/>
      <c r="JOG29" s="17"/>
      <c r="JOH29" s="17"/>
      <c r="JOI29" s="17"/>
      <c r="JOJ29" s="17"/>
      <c r="JOK29" s="17"/>
      <c r="JOL29" s="17"/>
      <c r="JOM29" s="17"/>
      <c r="JON29" s="17"/>
      <c r="JOO29" s="17"/>
      <c r="JOP29" s="17"/>
      <c r="JOQ29" s="17"/>
      <c r="JOR29" s="17"/>
      <c r="JOS29" s="17"/>
      <c r="JOT29" s="17"/>
      <c r="JOU29" s="17"/>
      <c r="JOV29" s="17"/>
      <c r="JOW29" s="17"/>
      <c r="JOX29" s="17"/>
      <c r="JOY29" s="17"/>
      <c r="JOZ29" s="17"/>
      <c r="JPA29" s="17"/>
      <c r="JPB29" s="17"/>
      <c r="JPC29" s="17"/>
      <c r="JPD29" s="17"/>
      <c r="JPE29" s="17"/>
      <c r="JPF29" s="17"/>
      <c r="JPG29" s="17"/>
      <c r="JPH29" s="17"/>
      <c r="JPI29" s="17"/>
      <c r="JPJ29" s="17"/>
      <c r="JPK29" s="17"/>
      <c r="JPL29" s="17"/>
      <c r="JPM29" s="17"/>
      <c r="JPN29" s="17"/>
      <c r="JPO29" s="17"/>
      <c r="JPP29" s="17"/>
      <c r="JPQ29" s="17"/>
      <c r="JPR29" s="17"/>
      <c r="JPS29" s="17"/>
      <c r="JPT29" s="17"/>
      <c r="JPU29" s="17"/>
      <c r="JPV29" s="17"/>
      <c r="JPW29" s="17"/>
      <c r="JPX29" s="17"/>
      <c r="JPY29" s="17"/>
      <c r="JPZ29" s="17"/>
      <c r="JQA29" s="17"/>
      <c r="JQB29" s="17"/>
      <c r="JQC29" s="17"/>
      <c r="JQD29" s="17"/>
      <c r="JQE29" s="17"/>
      <c r="JQF29" s="17"/>
      <c r="JQG29" s="17"/>
      <c r="JQH29" s="17"/>
      <c r="JQI29" s="17"/>
      <c r="JQJ29" s="17"/>
      <c r="JQK29" s="17"/>
      <c r="JQL29" s="17"/>
      <c r="JQM29" s="17"/>
      <c r="JQN29" s="17"/>
      <c r="JQO29" s="17"/>
      <c r="JQP29" s="17"/>
      <c r="JQQ29" s="17"/>
      <c r="JQR29" s="17"/>
      <c r="JQS29" s="17"/>
      <c r="JQT29" s="17"/>
      <c r="JQU29" s="17"/>
      <c r="JQV29" s="17"/>
      <c r="JQW29" s="17"/>
      <c r="JQX29" s="17"/>
      <c r="JQY29" s="17"/>
      <c r="JQZ29" s="17"/>
      <c r="JRA29" s="17"/>
      <c r="JRB29" s="17"/>
      <c r="JRC29" s="17"/>
      <c r="JRD29" s="17"/>
      <c r="JRE29" s="17"/>
      <c r="JRF29" s="17"/>
      <c r="JRG29" s="17"/>
      <c r="JRH29" s="17"/>
      <c r="JRI29" s="17"/>
      <c r="JRJ29" s="17"/>
      <c r="JRK29" s="17"/>
      <c r="JRL29" s="17"/>
      <c r="JRM29" s="17"/>
      <c r="JRN29" s="17"/>
      <c r="JRO29" s="17"/>
      <c r="JRP29" s="17"/>
      <c r="JRQ29" s="17"/>
      <c r="JRR29" s="17"/>
      <c r="JRS29" s="17"/>
      <c r="JRT29" s="17"/>
      <c r="JRU29" s="17"/>
      <c r="JRV29" s="17"/>
      <c r="JRW29" s="17"/>
      <c r="JRX29" s="17"/>
      <c r="JRY29" s="17"/>
      <c r="JRZ29" s="17"/>
      <c r="JSA29" s="17"/>
      <c r="JSB29" s="17"/>
      <c r="JSC29" s="17"/>
      <c r="JSD29" s="17"/>
      <c r="JSE29" s="17"/>
      <c r="JSF29" s="17"/>
      <c r="JSG29" s="17"/>
      <c r="JSH29" s="17"/>
      <c r="JSI29" s="17"/>
      <c r="JSJ29" s="17"/>
      <c r="JSK29" s="17"/>
      <c r="JSL29" s="17"/>
      <c r="JSM29" s="17"/>
      <c r="JSN29" s="17"/>
      <c r="JSO29" s="17"/>
      <c r="JSP29" s="17"/>
      <c r="JSQ29" s="17"/>
      <c r="JSR29" s="17"/>
      <c r="JSS29" s="17"/>
      <c r="JST29" s="17"/>
      <c r="JSU29" s="17"/>
      <c r="JSV29" s="17"/>
      <c r="JSW29" s="17"/>
      <c r="JSX29" s="17"/>
      <c r="JSY29" s="17"/>
      <c r="JSZ29" s="17"/>
      <c r="JTA29" s="17"/>
      <c r="JTB29" s="17"/>
      <c r="JTC29" s="17"/>
      <c r="JTD29" s="17"/>
      <c r="JTE29" s="17"/>
      <c r="JTF29" s="17"/>
      <c r="JTG29" s="17"/>
      <c r="JTH29" s="17"/>
      <c r="JTI29" s="17"/>
      <c r="JTJ29" s="17"/>
      <c r="JTK29" s="17"/>
      <c r="JTL29" s="17"/>
      <c r="JTM29" s="17"/>
      <c r="JTN29" s="17"/>
      <c r="JTO29" s="17"/>
      <c r="JTP29" s="17"/>
      <c r="JTQ29" s="17"/>
      <c r="JTR29" s="17"/>
      <c r="JTS29" s="17"/>
      <c r="JTT29" s="17"/>
      <c r="JTU29" s="17"/>
      <c r="JTV29" s="17"/>
      <c r="JTW29" s="17"/>
      <c r="JTX29" s="17"/>
      <c r="JTY29" s="17"/>
      <c r="JTZ29" s="17"/>
      <c r="JUA29" s="17"/>
      <c r="JUB29" s="17"/>
      <c r="JUC29" s="17"/>
      <c r="JUD29" s="17"/>
      <c r="JUE29" s="17"/>
      <c r="JUF29" s="17"/>
      <c r="JUG29" s="17"/>
      <c r="JUH29" s="17"/>
      <c r="JUI29" s="17"/>
      <c r="JUJ29" s="17"/>
      <c r="JUK29" s="17"/>
      <c r="JUL29" s="17"/>
      <c r="JUM29" s="17"/>
      <c r="JUN29" s="17"/>
      <c r="JUO29" s="17"/>
      <c r="JUP29" s="17"/>
      <c r="JUQ29" s="17"/>
      <c r="JUR29" s="17"/>
      <c r="JUS29" s="17"/>
      <c r="JUT29" s="17"/>
      <c r="JUU29" s="17"/>
      <c r="JUV29" s="17"/>
      <c r="JUW29" s="17"/>
      <c r="JUX29" s="17"/>
      <c r="JUY29" s="17"/>
      <c r="JUZ29" s="17"/>
      <c r="JVA29" s="17"/>
      <c r="JVB29" s="17"/>
      <c r="JVC29" s="17"/>
      <c r="JVD29" s="17"/>
      <c r="JVE29" s="17"/>
      <c r="JVF29" s="17"/>
      <c r="JVG29" s="17"/>
      <c r="JVH29" s="17"/>
      <c r="JVI29" s="17"/>
      <c r="JVJ29" s="17"/>
      <c r="JVK29" s="17"/>
      <c r="JVL29" s="17"/>
      <c r="JVM29" s="17"/>
      <c r="JVN29" s="17"/>
      <c r="JVO29" s="17"/>
      <c r="JVP29" s="17"/>
      <c r="JVQ29" s="17"/>
      <c r="JVR29" s="17"/>
      <c r="JVS29" s="17"/>
      <c r="JVT29" s="17"/>
      <c r="JVU29" s="17"/>
      <c r="JVV29" s="17"/>
      <c r="JVW29" s="17"/>
      <c r="JVX29" s="17"/>
      <c r="JVY29" s="17"/>
      <c r="JVZ29" s="17"/>
      <c r="JWA29" s="17"/>
      <c r="JWB29" s="17"/>
      <c r="JWC29" s="17"/>
      <c r="JWD29" s="17"/>
      <c r="JWE29" s="17"/>
      <c r="JWF29" s="17"/>
      <c r="JWG29" s="17"/>
      <c r="JWH29" s="17"/>
      <c r="JWI29" s="17"/>
      <c r="JWJ29" s="17"/>
      <c r="JWK29" s="17"/>
      <c r="JWL29" s="17"/>
      <c r="JWM29" s="17"/>
      <c r="JWN29" s="17"/>
      <c r="JWO29" s="17"/>
      <c r="JWP29" s="17"/>
      <c r="JWQ29" s="17"/>
      <c r="JWR29" s="17"/>
      <c r="JWS29" s="17"/>
      <c r="JWT29" s="17"/>
      <c r="JWU29" s="17"/>
      <c r="JWV29" s="17"/>
      <c r="JWW29" s="17"/>
      <c r="JWX29" s="17"/>
      <c r="JWY29" s="17"/>
      <c r="JWZ29" s="17"/>
      <c r="JXA29" s="17"/>
      <c r="JXB29" s="17"/>
      <c r="JXC29" s="17"/>
      <c r="JXD29" s="17"/>
      <c r="JXE29" s="17"/>
      <c r="JXF29" s="17"/>
      <c r="JXG29" s="17"/>
      <c r="JXH29" s="17"/>
      <c r="JXI29" s="17"/>
      <c r="JXJ29" s="17"/>
      <c r="JXK29" s="17"/>
      <c r="JXL29" s="17"/>
      <c r="JXM29" s="17"/>
      <c r="JXN29" s="17"/>
      <c r="JXO29" s="17"/>
      <c r="JXP29" s="17"/>
      <c r="JXQ29" s="17"/>
      <c r="JXR29" s="17"/>
      <c r="JXS29" s="17"/>
      <c r="JXT29" s="17"/>
      <c r="JXU29" s="17"/>
      <c r="JXV29" s="17"/>
      <c r="JXW29" s="17"/>
      <c r="JXX29" s="17"/>
      <c r="JXY29" s="17"/>
      <c r="JXZ29" s="17"/>
      <c r="JYA29" s="17"/>
      <c r="JYB29" s="17"/>
      <c r="JYC29" s="17"/>
      <c r="JYD29" s="17"/>
      <c r="JYE29" s="17"/>
      <c r="JYF29" s="17"/>
      <c r="JYG29" s="17"/>
      <c r="JYH29" s="17"/>
      <c r="JYI29" s="17"/>
      <c r="JYJ29" s="17"/>
      <c r="JYK29" s="17"/>
      <c r="JYL29" s="17"/>
      <c r="JYM29" s="17"/>
      <c r="JYN29" s="17"/>
      <c r="JYO29" s="17"/>
      <c r="JYP29" s="17"/>
      <c r="JYQ29" s="17"/>
      <c r="JYR29" s="17"/>
      <c r="JYS29" s="17"/>
      <c r="JYT29" s="17"/>
      <c r="JYU29" s="17"/>
      <c r="JYV29" s="17"/>
      <c r="JYW29" s="17"/>
      <c r="JYX29" s="17"/>
      <c r="JYY29" s="17"/>
      <c r="JYZ29" s="17"/>
      <c r="JZA29" s="17"/>
      <c r="JZB29" s="17"/>
      <c r="JZC29" s="17"/>
      <c r="JZD29" s="17"/>
      <c r="JZE29" s="17"/>
      <c r="JZF29" s="17"/>
      <c r="JZG29" s="17"/>
      <c r="JZH29" s="17"/>
      <c r="JZI29" s="17"/>
      <c r="JZJ29" s="17"/>
      <c r="JZK29" s="17"/>
      <c r="JZL29" s="17"/>
      <c r="JZM29" s="17"/>
      <c r="JZN29" s="17"/>
      <c r="JZO29" s="17"/>
      <c r="JZP29" s="17"/>
      <c r="JZQ29" s="17"/>
      <c r="JZR29" s="17"/>
      <c r="JZS29" s="17"/>
      <c r="JZT29" s="17"/>
      <c r="JZU29" s="17"/>
      <c r="JZV29" s="17"/>
      <c r="JZW29" s="17"/>
      <c r="JZX29" s="17"/>
      <c r="JZY29" s="17"/>
      <c r="JZZ29" s="17"/>
      <c r="KAA29" s="17"/>
      <c r="KAB29" s="17"/>
      <c r="KAC29" s="17"/>
      <c r="KAD29" s="17"/>
      <c r="KAE29" s="17"/>
      <c r="KAF29" s="17"/>
      <c r="KAG29" s="17"/>
      <c r="KAH29" s="17"/>
      <c r="KAI29" s="17"/>
      <c r="KAJ29" s="17"/>
      <c r="KAK29" s="17"/>
      <c r="KAL29" s="17"/>
      <c r="KAM29" s="17"/>
      <c r="KAN29" s="17"/>
      <c r="KAO29" s="17"/>
      <c r="KAP29" s="17"/>
      <c r="KAQ29" s="17"/>
      <c r="KAR29" s="17"/>
      <c r="KAS29" s="17"/>
      <c r="KAT29" s="17"/>
      <c r="KAU29" s="17"/>
      <c r="KAV29" s="17"/>
      <c r="KAW29" s="17"/>
      <c r="KAX29" s="17"/>
      <c r="KAY29" s="17"/>
      <c r="KAZ29" s="17"/>
      <c r="KBA29" s="17"/>
      <c r="KBB29" s="17"/>
      <c r="KBC29" s="17"/>
      <c r="KBD29" s="17"/>
      <c r="KBE29" s="17"/>
      <c r="KBF29" s="17"/>
      <c r="KBG29" s="17"/>
      <c r="KBH29" s="17"/>
      <c r="KBI29" s="17"/>
      <c r="KBJ29" s="17"/>
      <c r="KBK29" s="17"/>
      <c r="KBL29" s="17"/>
      <c r="KBM29" s="17"/>
      <c r="KBN29" s="17"/>
      <c r="KBO29" s="17"/>
      <c r="KBP29" s="17"/>
      <c r="KBQ29" s="17"/>
      <c r="KBR29" s="17"/>
      <c r="KBS29" s="17"/>
      <c r="KBT29" s="17"/>
      <c r="KBU29" s="17"/>
      <c r="KBV29" s="17"/>
      <c r="KBW29" s="17"/>
      <c r="KBX29" s="17"/>
      <c r="KBY29" s="17"/>
      <c r="KBZ29" s="17"/>
      <c r="KCA29" s="17"/>
      <c r="KCB29" s="17"/>
      <c r="KCC29" s="17"/>
      <c r="KCD29" s="17"/>
      <c r="KCE29" s="17"/>
      <c r="KCF29" s="17"/>
      <c r="KCG29" s="17"/>
      <c r="KCH29" s="17"/>
      <c r="KCI29" s="17"/>
      <c r="KCJ29" s="17"/>
      <c r="KCK29" s="17"/>
      <c r="KCL29" s="17"/>
      <c r="KCM29" s="17"/>
      <c r="KCN29" s="17"/>
      <c r="KCO29" s="17"/>
      <c r="KCP29" s="17"/>
      <c r="KCQ29" s="17"/>
      <c r="KCR29" s="17"/>
      <c r="KCS29" s="17"/>
      <c r="KCT29" s="17"/>
      <c r="KCU29" s="17"/>
      <c r="KCV29" s="17"/>
      <c r="KCW29" s="17"/>
      <c r="KCX29" s="17"/>
      <c r="KCY29" s="17"/>
      <c r="KCZ29" s="17"/>
      <c r="KDA29" s="17"/>
      <c r="KDB29" s="17"/>
      <c r="KDC29" s="17"/>
      <c r="KDD29" s="17"/>
      <c r="KDE29" s="17"/>
      <c r="KDF29" s="17"/>
      <c r="KDG29" s="17"/>
      <c r="KDH29" s="17"/>
      <c r="KDI29" s="17"/>
      <c r="KDJ29" s="17"/>
      <c r="KDK29" s="17"/>
      <c r="KDL29" s="17"/>
      <c r="KDM29" s="17"/>
      <c r="KDN29" s="17"/>
      <c r="KDO29" s="17"/>
      <c r="KDP29" s="17"/>
      <c r="KDQ29" s="17"/>
      <c r="KDR29" s="17"/>
      <c r="KDS29" s="17"/>
      <c r="KDT29" s="17"/>
      <c r="KDU29" s="17"/>
      <c r="KDV29" s="17"/>
      <c r="KDW29" s="17"/>
      <c r="KDX29" s="17"/>
      <c r="KDY29" s="17"/>
      <c r="KDZ29" s="17"/>
      <c r="KEA29" s="17"/>
      <c r="KEB29" s="17"/>
      <c r="KEC29" s="17"/>
      <c r="KED29" s="17"/>
      <c r="KEE29" s="17"/>
      <c r="KEF29" s="17"/>
      <c r="KEG29" s="17"/>
      <c r="KEH29" s="17"/>
      <c r="KEI29" s="17"/>
      <c r="KEJ29" s="17"/>
      <c r="KEK29" s="17"/>
      <c r="KEL29" s="17"/>
      <c r="KEM29" s="17"/>
      <c r="KEN29" s="17"/>
      <c r="KEO29" s="17"/>
      <c r="KEP29" s="17"/>
      <c r="KEQ29" s="17"/>
      <c r="KER29" s="17"/>
      <c r="KES29" s="17"/>
      <c r="KET29" s="17"/>
      <c r="KEU29" s="17"/>
      <c r="KEV29" s="17"/>
      <c r="KEW29" s="17"/>
      <c r="KEX29" s="17"/>
      <c r="KEY29" s="17"/>
      <c r="KEZ29" s="17"/>
      <c r="KFA29" s="17"/>
      <c r="KFB29" s="17"/>
      <c r="KFC29" s="17"/>
      <c r="KFD29" s="17"/>
      <c r="KFE29" s="17"/>
      <c r="KFF29" s="17"/>
      <c r="KFG29" s="17"/>
      <c r="KFH29" s="17"/>
      <c r="KFI29" s="17"/>
      <c r="KFJ29" s="17"/>
      <c r="KFK29" s="17"/>
      <c r="KFL29" s="17"/>
      <c r="KFM29" s="17"/>
      <c r="KFN29" s="17"/>
      <c r="KFO29" s="17"/>
      <c r="KFP29" s="17"/>
      <c r="KFQ29" s="17"/>
      <c r="KFR29" s="17"/>
      <c r="KFS29" s="17"/>
      <c r="KFT29" s="17"/>
      <c r="KFU29" s="17"/>
      <c r="KFV29" s="17"/>
      <c r="KFW29" s="17"/>
      <c r="KFX29" s="17"/>
      <c r="KFY29" s="17"/>
      <c r="KFZ29" s="17"/>
      <c r="KGA29" s="17"/>
      <c r="KGB29" s="17"/>
      <c r="KGC29" s="17"/>
      <c r="KGD29" s="17"/>
      <c r="KGE29" s="17"/>
      <c r="KGF29" s="17"/>
      <c r="KGG29" s="17"/>
      <c r="KGH29" s="17"/>
      <c r="KGI29" s="17"/>
      <c r="KGJ29" s="17"/>
      <c r="KGK29" s="17"/>
      <c r="KGL29" s="17"/>
      <c r="KGM29" s="17"/>
      <c r="KGN29" s="17"/>
      <c r="KGO29" s="17"/>
      <c r="KGP29" s="17"/>
      <c r="KGQ29" s="17"/>
      <c r="KGR29" s="17"/>
      <c r="KGS29" s="17"/>
      <c r="KGT29" s="17"/>
      <c r="KGU29" s="17"/>
      <c r="KGV29" s="17"/>
      <c r="KGW29" s="17"/>
      <c r="KGX29" s="17"/>
      <c r="KGY29" s="17"/>
      <c r="KGZ29" s="17"/>
      <c r="KHA29" s="17"/>
      <c r="KHB29" s="17"/>
      <c r="KHC29" s="17"/>
      <c r="KHD29" s="17"/>
      <c r="KHE29" s="17"/>
      <c r="KHF29" s="17"/>
      <c r="KHG29" s="17"/>
      <c r="KHH29" s="17"/>
      <c r="KHI29" s="17"/>
      <c r="KHJ29" s="17"/>
      <c r="KHK29" s="17"/>
      <c r="KHL29" s="17"/>
      <c r="KHM29" s="17"/>
      <c r="KHN29" s="17"/>
      <c r="KHO29" s="17"/>
      <c r="KHP29" s="17"/>
      <c r="KHQ29" s="17"/>
      <c r="KHR29" s="17"/>
      <c r="KHS29" s="17"/>
      <c r="KHT29" s="17"/>
      <c r="KHU29" s="17"/>
      <c r="KHV29" s="17"/>
      <c r="KHW29" s="17"/>
      <c r="KHX29" s="17"/>
      <c r="KHY29" s="17"/>
      <c r="KHZ29" s="17"/>
      <c r="KIA29" s="17"/>
      <c r="KIB29" s="17"/>
      <c r="KIC29" s="17"/>
      <c r="KID29" s="17"/>
      <c r="KIE29" s="17"/>
      <c r="KIF29" s="17"/>
      <c r="KIG29" s="17"/>
      <c r="KIH29" s="17"/>
      <c r="KII29" s="17"/>
      <c r="KIJ29" s="17"/>
      <c r="KIK29" s="17"/>
      <c r="KIL29" s="17"/>
      <c r="KIM29" s="17"/>
      <c r="KIN29" s="17"/>
      <c r="KIO29" s="17"/>
      <c r="KIP29" s="17"/>
      <c r="KIQ29" s="17"/>
      <c r="KIR29" s="17"/>
      <c r="KIS29" s="17"/>
      <c r="KIT29" s="17"/>
      <c r="KIU29" s="17"/>
      <c r="KIV29" s="17"/>
      <c r="KIW29" s="17"/>
      <c r="KIX29" s="17"/>
      <c r="KIY29" s="17"/>
      <c r="KIZ29" s="17"/>
      <c r="KJA29" s="17"/>
      <c r="KJB29" s="17"/>
      <c r="KJC29" s="17"/>
      <c r="KJD29" s="17"/>
      <c r="KJE29" s="17"/>
      <c r="KJF29" s="17"/>
      <c r="KJG29" s="17"/>
      <c r="KJH29" s="17"/>
      <c r="KJI29" s="17"/>
      <c r="KJJ29" s="17"/>
      <c r="KJK29" s="17"/>
      <c r="KJL29" s="17"/>
      <c r="KJM29" s="17"/>
      <c r="KJN29" s="17"/>
      <c r="KJO29" s="17"/>
      <c r="KJP29" s="17"/>
      <c r="KJQ29" s="17"/>
      <c r="KJR29" s="17"/>
      <c r="KJS29" s="17"/>
      <c r="KJT29" s="17"/>
      <c r="KJU29" s="17"/>
      <c r="KJV29" s="17"/>
      <c r="KJW29" s="17"/>
      <c r="KJX29" s="17"/>
      <c r="KJY29" s="17"/>
      <c r="KJZ29" s="17"/>
      <c r="KKA29" s="17"/>
      <c r="KKB29" s="17"/>
      <c r="KKC29" s="17"/>
      <c r="KKD29" s="17"/>
      <c r="KKE29" s="17"/>
      <c r="KKF29" s="17"/>
      <c r="KKG29" s="17"/>
      <c r="KKH29" s="17"/>
      <c r="KKI29" s="17"/>
      <c r="KKJ29" s="17"/>
      <c r="KKK29" s="17"/>
      <c r="KKL29" s="17"/>
      <c r="KKM29" s="17"/>
      <c r="KKN29" s="17"/>
      <c r="KKO29" s="17"/>
      <c r="KKP29" s="17"/>
      <c r="KKQ29" s="17"/>
      <c r="KKR29" s="17"/>
      <c r="KKS29" s="17"/>
      <c r="KKT29" s="17"/>
      <c r="KKU29" s="17"/>
      <c r="KKV29" s="17"/>
      <c r="KKW29" s="17"/>
      <c r="KKX29" s="17"/>
      <c r="KKY29" s="17"/>
      <c r="KKZ29" s="17"/>
      <c r="KLA29" s="17"/>
      <c r="KLB29" s="17"/>
      <c r="KLC29" s="17"/>
      <c r="KLD29" s="17"/>
      <c r="KLE29" s="17"/>
      <c r="KLF29" s="17"/>
      <c r="KLG29" s="17"/>
      <c r="KLH29" s="17"/>
      <c r="KLI29" s="17"/>
      <c r="KLJ29" s="17"/>
      <c r="KLK29" s="17"/>
      <c r="KLL29" s="17"/>
      <c r="KLM29" s="17"/>
      <c r="KLN29" s="17"/>
      <c r="KLO29" s="17"/>
      <c r="KLP29" s="17"/>
      <c r="KLQ29" s="17"/>
      <c r="KLR29" s="17"/>
      <c r="KLS29" s="17"/>
      <c r="KLT29" s="17"/>
      <c r="KLU29" s="17"/>
      <c r="KLV29" s="17"/>
      <c r="KLW29" s="17"/>
      <c r="KLX29" s="17"/>
      <c r="KLY29" s="17"/>
      <c r="KLZ29" s="17"/>
      <c r="KMA29" s="17"/>
      <c r="KMB29" s="17"/>
      <c r="KMC29" s="17"/>
      <c r="KMD29" s="17"/>
      <c r="KME29" s="17"/>
      <c r="KMF29" s="17"/>
      <c r="KMG29" s="17"/>
      <c r="KMH29" s="17"/>
      <c r="KMI29" s="17"/>
      <c r="KMJ29" s="17"/>
      <c r="KMK29" s="17"/>
      <c r="KML29" s="17"/>
      <c r="KMM29" s="17"/>
      <c r="KMN29" s="17"/>
      <c r="KMO29" s="17"/>
      <c r="KMP29" s="17"/>
      <c r="KMQ29" s="17"/>
      <c r="KMR29" s="17"/>
      <c r="KMS29" s="17"/>
      <c r="KMT29" s="17"/>
      <c r="KMU29" s="17"/>
      <c r="KMV29" s="17"/>
      <c r="KMW29" s="17"/>
      <c r="KMX29" s="17"/>
      <c r="KMY29" s="17"/>
      <c r="KMZ29" s="17"/>
      <c r="KNA29" s="17"/>
      <c r="KNB29" s="17"/>
      <c r="KNC29" s="17"/>
      <c r="KND29" s="17"/>
      <c r="KNE29" s="17"/>
      <c r="KNF29" s="17"/>
      <c r="KNG29" s="17"/>
      <c r="KNH29" s="17"/>
      <c r="KNI29" s="17"/>
      <c r="KNJ29" s="17"/>
      <c r="KNK29" s="17"/>
      <c r="KNL29" s="17"/>
      <c r="KNM29" s="17"/>
      <c r="KNN29" s="17"/>
      <c r="KNO29" s="17"/>
      <c r="KNP29" s="17"/>
      <c r="KNQ29" s="17"/>
      <c r="KNR29" s="17"/>
      <c r="KNS29" s="17"/>
      <c r="KNT29" s="17"/>
      <c r="KNU29" s="17"/>
      <c r="KNV29" s="17"/>
      <c r="KNW29" s="17"/>
      <c r="KNX29" s="17"/>
      <c r="KNY29" s="17"/>
      <c r="KNZ29" s="17"/>
      <c r="KOA29" s="17"/>
      <c r="KOB29" s="17"/>
      <c r="KOC29" s="17"/>
      <c r="KOD29" s="17"/>
      <c r="KOE29" s="17"/>
      <c r="KOF29" s="17"/>
      <c r="KOG29" s="17"/>
      <c r="KOH29" s="17"/>
      <c r="KOI29" s="17"/>
      <c r="KOJ29" s="17"/>
      <c r="KOK29" s="17"/>
      <c r="KOL29" s="17"/>
      <c r="KOM29" s="17"/>
      <c r="KON29" s="17"/>
      <c r="KOO29" s="17"/>
      <c r="KOP29" s="17"/>
      <c r="KOQ29" s="17"/>
      <c r="KOR29" s="17"/>
      <c r="KOS29" s="17"/>
      <c r="KOT29" s="17"/>
      <c r="KOU29" s="17"/>
      <c r="KOV29" s="17"/>
      <c r="KOW29" s="17"/>
      <c r="KOX29" s="17"/>
      <c r="KOY29" s="17"/>
      <c r="KOZ29" s="17"/>
      <c r="KPA29" s="17"/>
      <c r="KPB29" s="17"/>
      <c r="KPC29" s="17"/>
      <c r="KPD29" s="17"/>
      <c r="KPE29" s="17"/>
      <c r="KPF29" s="17"/>
      <c r="KPG29" s="17"/>
      <c r="KPH29" s="17"/>
      <c r="KPI29" s="17"/>
      <c r="KPJ29" s="17"/>
      <c r="KPK29" s="17"/>
      <c r="KPL29" s="17"/>
      <c r="KPM29" s="17"/>
      <c r="KPN29" s="17"/>
      <c r="KPO29" s="17"/>
      <c r="KPP29" s="17"/>
      <c r="KPQ29" s="17"/>
      <c r="KPR29" s="17"/>
      <c r="KPS29" s="17"/>
      <c r="KPT29" s="17"/>
      <c r="KPU29" s="17"/>
      <c r="KPV29" s="17"/>
      <c r="KPW29" s="17"/>
      <c r="KPX29" s="17"/>
      <c r="KPY29" s="17"/>
      <c r="KPZ29" s="17"/>
      <c r="KQA29" s="17"/>
      <c r="KQB29" s="17"/>
      <c r="KQC29" s="17"/>
      <c r="KQD29" s="17"/>
      <c r="KQE29" s="17"/>
      <c r="KQF29" s="17"/>
      <c r="KQG29" s="17"/>
      <c r="KQH29" s="17"/>
      <c r="KQI29" s="17"/>
      <c r="KQJ29" s="17"/>
      <c r="KQK29" s="17"/>
      <c r="KQL29" s="17"/>
      <c r="KQM29" s="17"/>
      <c r="KQN29" s="17"/>
      <c r="KQO29" s="17"/>
      <c r="KQP29" s="17"/>
      <c r="KQQ29" s="17"/>
      <c r="KQR29" s="17"/>
      <c r="KQS29" s="17"/>
      <c r="KQT29" s="17"/>
      <c r="KQU29" s="17"/>
      <c r="KQV29" s="17"/>
      <c r="KQW29" s="17"/>
      <c r="KQX29" s="17"/>
      <c r="KQY29" s="17"/>
      <c r="KQZ29" s="17"/>
      <c r="KRA29" s="17"/>
      <c r="KRB29" s="17"/>
      <c r="KRC29" s="17"/>
      <c r="KRD29" s="17"/>
      <c r="KRE29" s="17"/>
      <c r="KRF29" s="17"/>
      <c r="KRG29" s="17"/>
      <c r="KRH29" s="17"/>
      <c r="KRI29" s="17"/>
      <c r="KRJ29" s="17"/>
      <c r="KRK29" s="17"/>
      <c r="KRL29" s="17"/>
      <c r="KRM29" s="17"/>
      <c r="KRN29" s="17"/>
      <c r="KRO29" s="17"/>
      <c r="KRP29" s="17"/>
      <c r="KRQ29" s="17"/>
      <c r="KRR29" s="17"/>
      <c r="KRS29" s="17"/>
      <c r="KRT29" s="17"/>
      <c r="KRU29" s="17"/>
      <c r="KRV29" s="17"/>
      <c r="KRW29" s="17"/>
      <c r="KRX29" s="17"/>
      <c r="KRY29" s="17"/>
      <c r="KRZ29" s="17"/>
      <c r="KSA29" s="17"/>
      <c r="KSB29" s="17"/>
      <c r="KSC29" s="17"/>
      <c r="KSD29" s="17"/>
      <c r="KSE29" s="17"/>
      <c r="KSF29" s="17"/>
      <c r="KSG29" s="17"/>
      <c r="KSH29" s="17"/>
      <c r="KSI29" s="17"/>
      <c r="KSJ29" s="17"/>
      <c r="KSK29" s="17"/>
      <c r="KSL29" s="17"/>
      <c r="KSM29" s="17"/>
      <c r="KSN29" s="17"/>
      <c r="KSO29" s="17"/>
      <c r="KSP29" s="17"/>
      <c r="KSQ29" s="17"/>
      <c r="KSR29" s="17"/>
      <c r="KSS29" s="17"/>
      <c r="KST29" s="17"/>
      <c r="KSU29" s="17"/>
      <c r="KSV29" s="17"/>
      <c r="KSW29" s="17"/>
      <c r="KSX29" s="17"/>
      <c r="KSY29" s="17"/>
      <c r="KSZ29" s="17"/>
      <c r="KTA29" s="17"/>
      <c r="KTB29" s="17"/>
      <c r="KTC29" s="17"/>
      <c r="KTD29" s="17"/>
      <c r="KTE29" s="17"/>
      <c r="KTF29" s="17"/>
      <c r="KTG29" s="17"/>
      <c r="KTH29" s="17"/>
      <c r="KTI29" s="17"/>
      <c r="KTJ29" s="17"/>
      <c r="KTK29" s="17"/>
      <c r="KTL29" s="17"/>
      <c r="KTM29" s="17"/>
      <c r="KTN29" s="17"/>
      <c r="KTO29" s="17"/>
      <c r="KTP29" s="17"/>
      <c r="KTQ29" s="17"/>
      <c r="KTR29" s="17"/>
      <c r="KTS29" s="17"/>
      <c r="KTT29" s="17"/>
      <c r="KTU29" s="17"/>
      <c r="KTV29" s="17"/>
      <c r="KTW29" s="17"/>
      <c r="KTX29" s="17"/>
      <c r="KTY29" s="17"/>
      <c r="KTZ29" s="17"/>
      <c r="KUA29" s="17"/>
      <c r="KUB29" s="17"/>
      <c r="KUC29" s="17"/>
      <c r="KUD29" s="17"/>
      <c r="KUE29" s="17"/>
      <c r="KUF29" s="17"/>
      <c r="KUG29" s="17"/>
      <c r="KUH29" s="17"/>
      <c r="KUI29" s="17"/>
      <c r="KUJ29" s="17"/>
      <c r="KUK29" s="17"/>
      <c r="KUL29" s="17"/>
      <c r="KUM29" s="17"/>
      <c r="KUN29" s="17"/>
      <c r="KUO29" s="17"/>
      <c r="KUP29" s="17"/>
      <c r="KUQ29" s="17"/>
      <c r="KUR29" s="17"/>
      <c r="KUS29" s="17"/>
      <c r="KUT29" s="17"/>
      <c r="KUU29" s="17"/>
      <c r="KUV29" s="17"/>
      <c r="KUW29" s="17"/>
      <c r="KUX29" s="17"/>
      <c r="KUY29" s="17"/>
      <c r="KUZ29" s="17"/>
      <c r="KVA29" s="17"/>
      <c r="KVB29" s="17"/>
      <c r="KVC29" s="17"/>
      <c r="KVD29" s="17"/>
      <c r="KVE29" s="17"/>
      <c r="KVF29" s="17"/>
      <c r="KVG29" s="17"/>
      <c r="KVH29" s="17"/>
      <c r="KVI29" s="17"/>
      <c r="KVJ29" s="17"/>
      <c r="KVK29" s="17"/>
      <c r="KVL29" s="17"/>
      <c r="KVM29" s="17"/>
      <c r="KVN29" s="17"/>
      <c r="KVO29" s="17"/>
      <c r="KVP29" s="17"/>
      <c r="KVQ29" s="17"/>
      <c r="KVR29" s="17"/>
      <c r="KVS29" s="17"/>
      <c r="KVT29" s="17"/>
      <c r="KVU29" s="17"/>
      <c r="KVV29" s="17"/>
      <c r="KVW29" s="17"/>
      <c r="KVX29" s="17"/>
      <c r="KVY29" s="17"/>
      <c r="KVZ29" s="17"/>
      <c r="KWA29" s="17"/>
      <c r="KWB29" s="17"/>
      <c r="KWC29" s="17"/>
      <c r="KWD29" s="17"/>
      <c r="KWE29" s="17"/>
      <c r="KWF29" s="17"/>
      <c r="KWG29" s="17"/>
      <c r="KWH29" s="17"/>
      <c r="KWI29" s="17"/>
      <c r="KWJ29" s="17"/>
      <c r="KWK29" s="17"/>
      <c r="KWL29" s="17"/>
      <c r="KWM29" s="17"/>
      <c r="KWN29" s="17"/>
      <c r="KWO29" s="17"/>
      <c r="KWP29" s="17"/>
      <c r="KWQ29" s="17"/>
      <c r="KWR29" s="17"/>
      <c r="KWS29" s="17"/>
      <c r="KWT29" s="17"/>
      <c r="KWU29" s="17"/>
      <c r="KWV29" s="17"/>
      <c r="KWW29" s="17"/>
      <c r="KWX29" s="17"/>
      <c r="KWY29" s="17"/>
      <c r="KWZ29" s="17"/>
      <c r="KXA29" s="17"/>
      <c r="KXB29" s="17"/>
      <c r="KXC29" s="17"/>
      <c r="KXD29" s="17"/>
      <c r="KXE29" s="17"/>
      <c r="KXF29" s="17"/>
      <c r="KXG29" s="17"/>
      <c r="KXH29" s="17"/>
      <c r="KXI29" s="17"/>
      <c r="KXJ29" s="17"/>
      <c r="KXK29" s="17"/>
      <c r="KXL29" s="17"/>
      <c r="KXM29" s="17"/>
      <c r="KXN29" s="17"/>
      <c r="KXO29" s="17"/>
      <c r="KXP29" s="17"/>
      <c r="KXQ29" s="17"/>
      <c r="KXR29" s="17"/>
      <c r="KXS29" s="17"/>
      <c r="KXT29" s="17"/>
      <c r="KXU29" s="17"/>
      <c r="KXV29" s="17"/>
      <c r="KXW29" s="17"/>
      <c r="KXX29" s="17"/>
      <c r="KXY29" s="17"/>
      <c r="KXZ29" s="17"/>
      <c r="KYA29" s="17"/>
      <c r="KYB29" s="17"/>
      <c r="KYC29" s="17"/>
      <c r="KYD29" s="17"/>
      <c r="KYE29" s="17"/>
      <c r="KYF29" s="17"/>
      <c r="KYG29" s="17"/>
      <c r="KYH29" s="17"/>
      <c r="KYI29" s="17"/>
      <c r="KYJ29" s="17"/>
      <c r="KYK29" s="17"/>
      <c r="KYL29" s="17"/>
      <c r="KYM29" s="17"/>
      <c r="KYN29" s="17"/>
      <c r="KYO29" s="17"/>
      <c r="KYP29" s="17"/>
      <c r="KYQ29" s="17"/>
      <c r="KYR29" s="17"/>
      <c r="KYS29" s="17"/>
      <c r="KYT29" s="17"/>
      <c r="KYU29" s="17"/>
      <c r="KYV29" s="17"/>
      <c r="KYW29" s="17"/>
      <c r="KYX29" s="17"/>
      <c r="KYY29" s="17"/>
      <c r="KYZ29" s="17"/>
      <c r="KZA29" s="17"/>
      <c r="KZB29" s="17"/>
      <c r="KZC29" s="17"/>
      <c r="KZD29" s="17"/>
      <c r="KZE29" s="17"/>
      <c r="KZF29" s="17"/>
      <c r="KZG29" s="17"/>
      <c r="KZH29" s="17"/>
      <c r="KZI29" s="17"/>
      <c r="KZJ29" s="17"/>
      <c r="KZK29" s="17"/>
      <c r="KZL29" s="17"/>
      <c r="KZM29" s="17"/>
      <c r="KZN29" s="17"/>
      <c r="KZO29" s="17"/>
      <c r="KZP29" s="17"/>
      <c r="KZQ29" s="17"/>
      <c r="KZR29" s="17"/>
      <c r="KZS29" s="17"/>
      <c r="KZT29" s="17"/>
      <c r="KZU29" s="17"/>
      <c r="KZV29" s="17"/>
      <c r="KZW29" s="17"/>
      <c r="KZX29" s="17"/>
      <c r="KZY29" s="17"/>
      <c r="KZZ29" s="17"/>
      <c r="LAA29" s="17"/>
      <c r="LAB29" s="17"/>
      <c r="LAC29" s="17"/>
      <c r="LAD29" s="17"/>
      <c r="LAE29" s="17"/>
      <c r="LAF29" s="17"/>
      <c r="LAG29" s="17"/>
      <c r="LAH29" s="17"/>
      <c r="LAI29" s="17"/>
      <c r="LAJ29" s="17"/>
      <c r="LAK29" s="17"/>
      <c r="LAL29" s="17"/>
      <c r="LAM29" s="17"/>
      <c r="LAN29" s="17"/>
      <c r="LAO29" s="17"/>
      <c r="LAP29" s="17"/>
      <c r="LAQ29" s="17"/>
      <c r="LAR29" s="17"/>
      <c r="LAS29" s="17"/>
      <c r="LAT29" s="17"/>
      <c r="LAU29" s="17"/>
      <c r="LAV29" s="17"/>
      <c r="LAW29" s="17"/>
      <c r="LAX29" s="17"/>
      <c r="LAY29" s="17"/>
      <c r="LAZ29" s="17"/>
      <c r="LBA29" s="17"/>
      <c r="LBB29" s="17"/>
      <c r="LBC29" s="17"/>
      <c r="LBD29" s="17"/>
      <c r="LBE29" s="17"/>
      <c r="LBF29" s="17"/>
      <c r="LBG29" s="17"/>
      <c r="LBH29" s="17"/>
      <c r="LBI29" s="17"/>
      <c r="LBJ29" s="17"/>
      <c r="LBK29" s="17"/>
      <c r="LBL29" s="17"/>
      <c r="LBM29" s="17"/>
      <c r="LBN29" s="17"/>
      <c r="LBO29" s="17"/>
      <c r="LBP29" s="17"/>
      <c r="LBQ29" s="17"/>
      <c r="LBR29" s="17"/>
      <c r="LBS29" s="17"/>
      <c r="LBT29" s="17"/>
      <c r="LBU29" s="17"/>
      <c r="LBV29" s="17"/>
      <c r="LBW29" s="17"/>
      <c r="LBX29" s="17"/>
      <c r="LBY29" s="17"/>
      <c r="LBZ29" s="17"/>
      <c r="LCA29" s="17"/>
      <c r="LCB29" s="17"/>
      <c r="LCC29" s="17"/>
      <c r="LCD29" s="17"/>
      <c r="LCE29" s="17"/>
      <c r="LCF29" s="17"/>
      <c r="LCG29" s="17"/>
      <c r="LCH29" s="17"/>
      <c r="LCI29" s="17"/>
      <c r="LCJ29" s="17"/>
      <c r="LCK29" s="17"/>
      <c r="LCL29" s="17"/>
      <c r="LCM29" s="17"/>
      <c r="LCN29" s="17"/>
      <c r="LCO29" s="17"/>
      <c r="LCP29" s="17"/>
      <c r="LCQ29" s="17"/>
      <c r="LCR29" s="17"/>
      <c r="LCS29" s="17"/>
      <c r="LCT29" s="17"/>
      <c r="LCU29" s="17"/>
      <c r="LCV29" s="17"/>
      <c r="LCW29" s="17"/>
      <c r="LCX29" s="17"/>
      <c r="LCY29" s="17"/>
      <c r="LCZ29" s="17"/>
      <c r="LDA29" s="17"/>
      <c r="LDB29" s="17"/>
      <c r="LDC29" s="17"/>
      <c r="LDD29" s="17"/>
      <c r="LDE29" s="17"/>
      <c r="LDF29" s="17"/>
      <c r="LDG29" s="17"/>
      <c r="LDH29" s="17"/>
      <c r="LDI29" s="17"/>
      <c r="LDJ29" s="17"/>
      <c r="LDK29" s="17"/>
      <c r="LDL29" s="17"/>
      <c r="LDM29" s="17"/>
      <c r="LDN29" s="17"/>
      <c r="LDO29" s="17"/>
      <c r="LDP29" s="17"/>
      <c r="LDQ29" s="17"/>
      <c r="LDR29" s="17"/>
      <c r="LDS29" s="17"/>
      <c r="LDT29" s="17"/>
      <c r="LDU29" s="17"/>
      <c r="LDV29" s="17"/>
      <c r="LDW29" s="17"/>
      <c r="LDX29" s="17"/>
      <c r="LDY29" s="17"/>
      <c r="LDZ29" s="17"/>
      <c r="LEA29" s="17"/>
      <c r="LEB29" s="17"/>
      <c r="LEC29" s="17"/>
      <c r="LED29" s="17"/>
      <c r="LEE29" s="17"/>
      <c r="LEF29" s="17"/>
      <c r="LEG29" s="17"/>
      <c r="LEH29" s="17"/>
      <c r="LEI29" s="17"/>
      <c r="LEJ29" s="17"/>
      <c r="LEK29" s="17"/>
      <c r="LEL29" s="17"/>
      <c r="LEM29" s="17"/>
      <c r="LEN29" s="17"/>
      <c r="LEO29" s="17"/>
      <c r="LEP29" s="17"/>
      <c r="LEQ29" s="17"/>
      <c r="LER29" s="17"/>
      <c r="LES29" s="17"/>
      <c r="LET29" s="17"/>
      <c r="LEU29" s="17"/>
      <c r="LEV29" s="17"/>
      <c r="LEW29" s="17"/>
      <c r="LEX29" s="17"/>
      <c r="LEY29" s="17"/>
      <c r="LEZ29" s="17"/>
      <c r="LFA29" s="17"/>
      <c r="LFB29" s="17"/>
      <c r="LFC29" s="17"/>
      <c r="LFD29" s="17"/>
      <c r="LFE29" s="17"/>
      <c r="LFF29" s="17"/>
      <c r="LFG29" s="17"/>
      <c r="LFH29" s="17"/>
      <c r="LFI29" s="17"/>
      <c r="LFJ29" s="17"/>
      <c r="LFK29" s="17"/>
      <c r="LFL29" s="17"/>
      <c r="LFM29" s="17"/>
      <c r="LFN29" s="17"/>
      <c r="LFO29" s="17"/>
      <c r="LFP29" s="17"/>
      <c r="LFQ29" s="17"/>
      <c r="LFR29" s="17"/>
      <c r="LFS29" s="17"/>
      <c r="LFT29" s="17"/>
      <c r="LFU29" s="17"/>
      <c r="LFV29" s="17"/>
      <c r="LFW29" s="17"/>
      <c r="LFX29" s="17"/>
      <c r="LFY29" s="17"/>
      <c r="LFZ29" s="17"/>
      <c r="LGA29" s="17"/>
      <c r="LGB29" s="17"/>
      <c r="LGC29" s="17"/>
      <c r="LGD29" s="17"/>
      <c r="LGE29" s="17"/>
      <c r="LGF29" s="17"/>
      <c r="LGG29" s="17"/>
      <c r="LGH29" s="17"/>
      <c r="LGI29" s="17"/>
      <c r="LGJ29" s="17"/>
      <c r="LGK29" s="17"/>
      <c r="LGL29" s="17"/>
      <c r="LGM29" s="17"/>
      <c r="LGN29" s="17"/>
      <c r="LGO29" s="17"/>
      <c r="LGP29" s="17"/>
      <c r="LGQ29" s="17"/>
      <c r="LGR29" s="17"/>
      <c r="LGS29" s="17"/>
      <c r="LGT29" s="17"/>
      <c r="LGU29" s="17"/>
      <c r="LGV29" s="17"/>
      <c r="LGW29" s="17"/>
      <c r="LGX29" s="17"/>
      <c r="LGY29" s="17"/>
      <c r="LGZ29" s="17"/>
      <c r="LHA29" s="17"/>
      <c r="LHB29" s="17"/>
      <c r="LHC29" s="17"/>
      <c r="LHD29" s="17"/>
      <c r="LHE29" s="17"/>
      <c r="LHF29" s="17"/>
      <c r="LHG29" s="17"/>
      <c r="LHH29" s="17"/>
      <c r="LHI29" s="17"/>
      <c r="LHJ29" s="17"/>
      <c r="LHK29" s="17"/>
      <c r="LHL29" s="17"/>
      <c r="LHM29" s="17"/>
      <c r="LHN29" s="17"/>
      <c r="LHO29" s="17"/>
      <c r="LHP29" s="17"/>
      <c r="LHQ29" s="17"/>
      <c r="LHR29" s="17"/>
      <c r="LHS29" s="17"/>
      <c r="LHT29" s="17"/>
      <c r="LHU29" s="17"/>
      <c r="LHV29" s="17"/>
      <c r="LHW29" s="17"/>
      <c r="LHX29" s="17"/>
      <c r="LHY29" s="17"/>
      <c r="LHZ29" s="17"/>
      <c r="LIA29" s="17"/>
      <c r="LIB29" s="17"/>
      <c r="LIC29" s="17"/>
      <c r="LID29" s="17"/>
      <c r="LIE29" s="17"/>
      <c r="LIF29" s="17"/>
      <c r="LIG29" s="17"/>
      <c r="LIH29" s="17"/>
      <c r="LII29" s="17"/>
      <c r="LIJ29" s="17"/>
      <c r="LIK29" s="17"/>
      <c r="LIL29" s="17"/>
      <c r="LIM29" s="17"/>
      <c r="LIN29" s="17"/>
      <c r="LIO29" s="17"/>
      <c r="LIP29" s="17"/>
      <c r="LIQ29" s="17"/>
      <c r="LIR29" s="17"/>
      <c r="LIS29" s="17"/>
      <c r="LIT29" s="17"/>
      <c r="LIU29" s="17"/>
      <c r="LIV29" s="17"/>
      <c r="LIW29" s="17"/>
      <c r="LIX29" s="17"/>
      <c r="LIY29" s="17"/>
      <c r="LIZ29" s="17"/>
      <c r="LJA29" s="17"/>
      <c r="LJB29" s="17"/>
      <c r="LJC29" s="17"/>
      <c r="LJD29" s="17"/>
      <c r="LJE29" s="17"/>
      <c r="LJF29" s="17"/>
      <c r="LJG29" s="17"/>
      <c r="LJH29" s="17"/>
      <c r="LJI29" s="17"/>
      <c r="LJJ29" s="17"/>
      <c r="LJK29" s="17"/>
      <c r="LJL29" s="17"/>
      <c r="LJM29" s="17"/>
      <c r="LJN29" s="17"/>
      <c r="LJO29" s="17"/>
      <c r="LJP29" s="17"/>
      <c r="LJQ29" s="17"/>
      <c r="LJR29" s="17"/>
      <c r="LJS29" s="17"/>
      <c r="LJT29" s="17"/>
      <c r="LJU29" s="17"/>
      <c r="LJV29" s="17"/>
      <c r="LJW29" s="17"/>
      <c r="LJX29" s="17"/>
      <c r="LJY29" s="17"/>
      <c r="LJZ29" s="17"/>
      <c r="LKA29" s="17"/>
      <c r="LKB29" s="17"/>
      <c r="LKC29" s="17"/>
      <c r="LKD29" s="17"/>
      <c r="LKE29" s="17"/>
      <c r="LKF29" s="17"/>
      <c r="LKG29" s="17"/>
      <c r="LKH29" s="17"/>
      <c r="LKI29" s="17"/>
      <c r="LKJ29" s="17"/>
      <c r="LKK29" s="17"/>
      <c r="LKL29" s="17"/>
      <c r="LKM29" s="17"/>
      <c r="LKN29" s="17"/>
      <c r="LKO29" s="17"/>
      <c r="LKP29" s="17"/>
      <c r="LKQ29" s="17"/>
      <c r="LKR29" s="17"/>
      <c r="LKS29" s="17"/>
      <c r="LKT29" s="17"/>
      <c r="LKU29" s="17"/>
      <c r="LKV29" s="17"/>
      <c r="LKW29" s="17"/>
      <c r="LKX29" s="17"/>
      <c r="LKY29" s="17"/>
      <c r="LKZ29" s="17"/>
      <c r="LLA29" s="17"/>
      <c r="LLB29" s="17"/>
      <c r="LLC29" s="17"/>
      <c r="LLD29" s="17"/>
      <c r="LLE29" s="17"/>
      <c r="LLF29" s="17"/>
      <c r="LLG29" s="17"/>
      <c r="LLH29" s="17"/>
      <c r="LLI29" s="17"/>
      <c r="LLJ29" s="17"/>
      <c r="LLK29" s="17"/>
      <c r="LLL29" s="17"/>
      <c r="LLM29" s="17"/>
      <c r="LLN29" s="17"/>
      <c r="LLO29" s="17"/>
      <c r="LLP29" s="17"/>
      <c r="LLQ29" s="17"/>
      <c r="LLR29" s="17"/>
      <c r="LLS29" s="17"/>
      <c r="LLT29" s="17"/>
      <c r="LLU29" s="17"/>
      <c r="LLV29" s="17"/>
      <c r="LLW29" s="17"/>
      <c r="LLX29" s="17"/>
      <c r="LLY29" s="17"/>
      <c r="LLZ29" s="17"/>
      <c r="LMA29" s="17"/>
      <c r="LMB29" s="17"/>
      <c r="LMC29" s="17"/>
      <c r="LMD29" s="17"/>
      <c r="LME29" s="17"/>
      <c r="LMF29" s="17"/>
      <c r="LMG29" s="17"/>
      <c r="LMH29" s="17"/>
      <c r="LMI29" s="17"/>
      <c r="LMJ29" s="17"/>
      <c r="LMK29" s="17"/>
      <c r="LML29" s="17"/>
      <c r="LMM29" s="17"/>
      <c r="LMN29" s="17"/>
      <c r="LMO29" s="17"/>
      <c r="LMP29" s="17"/>
      <c r="LMQ29" s="17"/>
      <c r="LMR29" s="17"/>
      <c r="LMS29" s="17"/>
      <c r="LMT29" s="17"/>
      <c r="LMU29" s="17"/>
      <c r="LMV29" s="17"/>
      <c r="LMW29" s="17"/>
      <c r="LMX29" s="17"/>
      <c r="LMY29" s="17"/>
      <c r="LMZ29" s="17"/>
      <c r="LNA29" s="17"/>
      <c r="LNB29" s="17"/>
      <c r="LNC29" s="17"/>
      <c r="LND29" s="17"/>
      <c r="LNE29" s="17"/>
      <c r="LNF29" s="17"/>
      <c r="LNG29" s="17"/>
      <c r="LNH29" s="17"/>
      <c r="LNI29" s="17"/>
      <c r="LNJ29" s="17"/>
      <c r="LNK29" s="17"/>
      <c r="LNL29" s="17"/>
      <c r="LNM29" s="17"/>
      <c r="LNN29" s="17"/>
      <c r="LNO29" s="17"/>
      <c r="LNP29" s="17"/>
      <c r="LNQ29" s="17"/>
      <c r="LNR29" s="17"/>
      <c r="LNS29" s="17"/>
      <c r="LNT29" s="17"/>
      <c r="LNU29" s="17"/>
      <c r="LNV29" s="17"/>
      <c r="LNW29" s="17"/>
      <c r="LNX29" s="17"/>
      <c r="LNY29" s="17"/>
      <c r="LNZ29" s="17"/>
      <c r="LOA29" s="17"/>
      <c r="LOB29" s="17"/>
      <c r="LOC29" s="17"/>
      <c r="LOD29" s="17"/>
      <c r="LOE29" s="17"/>
      <c r="LOF29" s="17"/>
      <c r="LOG29" s="17"/>
      <c r="LOH29" s="17"/>
      <c r="LOI29" s="17"/>
      <c r="LOJ29" s="17"/>
      <c r="LOK29" s="17"/>
      <c r="LOL29" s="17"/>
      <c r="LOM29" s="17"/>
      <c r="LON29" s="17"/>
      <c r="LOO29" s="17"/>
      <c r="LOP29" s="17"/>
      <c r="LOQ29" s="17"/>
      <c r="LOR29" s="17"/>
      <c r="LOS29" s="17"/>
      <c r="LOT29" s="17"/>
      <c r="LOU29" s="17"/>
      <c r="LOV29" s="17"/>
      <c r="LOW29" s="17"/>
      <c r="LOX29" s="17"/>
      <c r="LOY29" s="17"/>
      <c r="LOZ29" s="17"/>
      <c r="LPA29" s="17"/>
      <c r="LPB29" s="17"/>
      <c r="LPC29" s="17"/>
      <c r="LPD29" s="17"/>
      <c r="LPE29" s="17"/>
      <c r="LPF29" s="17"/>
      <c r="LPG29" s="17"/>
      <c r="LPH29" s="17"/>
      <c r="LPI29" s="17"/>
      <c r="LPJ29" s="17"/>
      <c r="LPK29" s="17"/>
      <c r="LPL29" s="17"/>
      <c r="LPM29" s="17"/>
      <c r="LPN29" s="17"/>
      <c r="LPO29" s="17"/>
      <c r="LPP29" s="17"/>
      <c r="LPQ29" s="17"/>
      <c r="LPR29" s="17"/>
      <c r="LPS29" s="17"/>
      <c r="LPT29" s="17"/>
      <c r="LPU29" s="17"/>
      <c r="LPV29" s="17"/>
      <c r="LPW29" s="17"/>
      <c r="LPX29" s="17"/>
      <c r="LPY29" s="17"/>
      <c r="LPZ29" s="17"/>
      <c r="LQA29" s="17"/>
      <c r="LQB29" s="17"/>
      <c r="LQC29" s="17"/>
      <c r="LQD29" s="17"/>
      <c r="LQE29" s="17"/>
      <c r="LQF29" s="17"/>
      <c r="LQG29" s="17"/>
      <c r="LQH29" s="17"/>
      <c r="LQI29" s="17"/>
      <c r="LQJ29" s="17"/>
      <c r="LQK29" s="17"/>
      <c r="LQL29" s="17"/>
      <c r="LQM29" s="17"/>
      <c r="LQN29" s="17"/>
      <c r="LQO29" s="17"/>
      <c r="LQP29" s="17"/>
      <c r="LQQ29" s="17"/>
      <c r="LQR29" s="17"/>
      <c r="LQS29" s="17"/>
      <c r="LQT29" s="17"/>
      <c r="LQU29" s="17"/>
      <c r="LQV29" s="17"/>
      <c r="LQW29" s="17"/>
      <c r="LQX29" s="17"/>
      <c r="LQY29" s="17"/>
      <c r="LQZ29" s="17"/>
      <c r="LRA29" s="17"/>
      <c r="LRB29" s="17"/>
      <c r="LRC29" s="17"/>
      <c r="LRD29" s="17"/>
      <c r="LRE29" s="17"/>
      <c r="LRF29" s="17"/>
      <c r="LRG29" s="17"/>
      <c r="LRH29" s="17"/>
      <c r="LRI29" s="17"/>
      <c r="LRJ29" s="17"/>
      <c r="LRK29" s="17"/>
      <c r="LRL29" s="17"/>
      <c r="LRM29" s="17"/>
      <c r="LRN29" s="17"/>
      <c r="LRO29" s="17"/>
      <c r="LRP29" s="17"/>
      <c r="LRQ29" s="17"/>
      <c r="LRR29" s="17"/>
      <c r="LRS29" s="17"/>
      <c r="LRT29" s="17"/>
      <c r="LRU29" s="17"/>
      <c r="LRV29" s="17"/>
      <c r="LRW29" s="17"/>
      <c r="LRX29" s="17"/>
      <c r="LRY29" s="17"/>
      <c r="LRZ29" s="17"/>
      <c r="LSA29" s="17"/>
      <c r="LSB29" s="17"/>
      <c r="LSC29" s="17"/>
      <c r="LSD29" s="17"/>
      <c r="LSE29" s="17"/>
      <c r="LSF29" s="17"/>
      <c r="LSG29" s="17"/>
      <c r="LSH29" s="17"/>
      <c r="LSI29" s="17"/>
      <c r="LSJ29" s="17"/>
      <c r="LSK29" s="17"/>
      <c r="LSL29" s="17"/>
      <c r="LSM29" s="17"/>
      <c r="LSN29" s="17"/>
      <c r="LSO29" s="17"/>
      <c r="LSP29" s="17"/>
      <c r="LSQ29" s="17"/>
      <c r="LSR29" s="17"/>
      <c r="LSS29" s="17"/>
      <c r="LST29" s="17"/>
      <c r="LSU29" s="17"/>
      <c r="LSV29" s="17"/>
      <c r="LSW29" s="17"/>
      <c r="LSX29" s="17"/>
      <c r="LSY29" s="17"/>
      <c r="LSZ29" s="17"/>
      <c r="LTA29" s="17"/>
      <c r="LTB29" s="17"/>
      <c r="LTC29" s="17"/>
      <c r="LTD29" s="17"/>
      <c r="LTE29" s="17"/>
      <c r="LTF29" s="17"/>
      <c r="LTG29" s="17"/>
      <c r="LTH29" s="17"/>
      <c r="LTI29" s="17"/>
      <c r="LTJ29" s="17"/>
      <c r="LTK29" s="17"/>
      <c r="LTL29" s="17"/>
      <c r="LTM29" s="17"/>
      <c r="LTN29" s="17"/>
      <c r="LTO29" s="17"/>
      <c r="LTP29" s="17"/>
      <c r="LTQ29" s="17"/>
      <c r="LTR29" s="17"/>
      <c r="LTS29" s="17"/>
      <c r="LTT29" s="17"/>
      <c r="LTU29" s="17"/>
      <c r="LTV29" s="17"/>
      <c r="LTW29" s="17"/>
      <c r="LTX29" s="17"/>
      <c r="LTY29" s="17"/>
      <c r="LTZ29" s="17"/>
      <c r="LUA29" s="17"/>
      <c r="LUB29" s="17"/>
      <c r="LUC29" s="17"/>
      <c r="LUD29" s="17"/>
      <c r="LUE29" s="17"/>
      <c r="LUF29" s="17"/>
      <c r="LUG29" s="17"/>
      <c r="LUH29" s="17"/>
      <c r="LUI29" s="17"/>
      <c r="LUJ29" s="17"/>
      <c r="LUK29" s="17"/>
      <c r="LUL29" s="17"/>
      <c r="LUM29" s="17"/>
      <c r="LUN29" s="17"/>
      <c r="LUO29" s="17"/>
      <c r="LUP29" s="17"/>
      <c r="LUQ29" s="17"/>
      <c r="LUR29" s="17"/>
      <c r="LUS29" s="17"/>
      <c r="LUT29" s="17"/>
      <c r="LUU29" s="17"/>
      <c r="LUV29" s="17"/>
      <c r="LUW29" s="17"/>
      <c r="LUX29" s="17"/>
      <c r="LUY29" s="17"/>
      <c r="LUZ29" s="17"/>
      <c r="LVA29" s="17"/>
      <c r="LVB29" s="17"/>
      <c r="LVC29" s="17"/>
      <c r="LVD29" s="17"/>
      <c r="LVE29" s="17"/>
      <c r="LVF29" s="17"/>
      <c r="LVG29" s="17"/>
      <c r="LVH29" s="17"/>
      <c r="LVI29" s="17"/>
      <c r="LVJ29" s="17"/>
      <c r="LVK29" s="17"/>
      <c r="LVL29" s="17"/>
      <c r="LVM29" s="17"/>
      <c r="LVN29" s="17"/>
      <c r="LVO29" s="17"/>
      <c r="LVP29" s="17"/>
      <c r="LVQ29" s="17"/>
      <c r="LVR29" s="17"/>
      <c r="LVS29" s="17"/>
      <c r="LVT29" s="17"/>
      <c r="LVU29" s="17"/>
      <c r="LVV29" s="17"/>
      <c r="LVW29" s="17"/>
      <c r="LVX29" s="17"/>
      <c r="LVY29" s="17"/>
      <c r="LVZ29" s="17"/>
      <c r="LWA29" s="17"/>
      <c r="LWB29" s="17"/>
      <c r="LWC29" s="17"/>
      <c r="LWD29" s="17"/>
      <c r="LWE29" s="17"/>
      <c r="LWF29" s="17"/>
      <c r="LWG29" s="17"/>
      <c r="LWH29" s="17"/>
      <c r="LWI29" s="17"/>
      <c r="LWJ29" s="17"/>
      <c r="LWK29" s="17"/>
      <c r="LWL29" s="17"/>
      <c r="LWM29" s="17"/>
      <c r="LWN29" s="17"/>
      <c r="LWO29" s="17"/>
      <c r="LWP29" s="17"/>
      <c r="LWQ29" s="17"/>
      <c r="LWR29" s="17"/>
      <c r="LWS29" s="17"/>
      <c r="LWT29" s="17"/>
      <c r="LWU29" s="17"/>
      <c r="LWV29" s="17"/>
      <c r="LWW29" s="17"/>
      <c r="LWX29" s="17"/>
      <c r="LWY29" s="17"/>
      <c r="LWZ29" s="17"/>
      <c r="LXA29" s="17"/>
      <c r="LXB29" s="17"/>
      <c r="LXC29" s="17"/>
      <c r="LXD29" s="17"/>
      <c r="LXE29" s="17"/>
      <c r="LXF29" s="17"/>
      <c r="LXG29" s="17"/>
      <c r="LXH29" s="17"/>
      <c r="LXI29" s="17"/>
      <c r="LXJ29" s="17"/>
      <c r="LXK29" s="17"/>
      <c r="LXL29" s="17"/>
      <c r="LXM29" s="17"/>
      <c r="LXN29" s="17"/>
      <c r="LXO29" s="17"/>
      <c r="LXP29" s="17"/>
      <c r="LXQ29" s="17"/>
      <c r="LXR29" s="17"/>
      <c r="LXS29" s="17"/>
      <c r="LXT29" s="17"/>
      <c r="LXU29" s="17"/>
      <c r="LXV29" s="17"/>
      <c r="LXW29" s="17"/>
      <c r="LXX29" s="17"/>
      <c r="LXY29" s="17"/>
      <c r="LXZ29" s="17"/>
      <c r="LYA29" s="17"/>
      <c r="LYB29" s="17"/>
      <c r="LYC29" s="17"/>
      <c r="LYD29" s="17"/>
      <c r="LYE29" s="17"/>
      <c r="LYF29" s="17"/>
      <c r="LYG29" s="17"/>
      <c r="LYH29" s="17"/>
      <c r="LYI29" s="17"/>
      <c r="LYJ29" s="17"/>
      <c r="LYK29" s="17"/>
      <c r="LYL29" s="17"/>
      <c r="LYM29" s="17"/>
      <c r="LYN29" s="17"/>
      <c r="LYO29" s="17"/>
      <c r="LYP29" s="17"/>
      <c r="LYQ29" s="17"/>
      <c r="LYR29" s="17"/>
      <c r="LYS29" s="17"/>
      <c r="LYT29" s="17"/>
      <c r="LYU29" s="17"/>
      <c r="LYV29" s="17"/>
      <c r="LYW29" s="17"/>
      <c r="LYX29" s="17"/>
      <c r="LYY29" s="17"/>
      <c r="LYZ29" s="17"/>
      <c r="LZA29" s="17"/>
      <c r="LZB29" s="17"/>
      <c r="LZC29" s="17"/>
      <c r="LZD29" s="17"/>
      <c r="LZE29" s="17"/>
      <c r="LZF29" s="17"/>
      <c r="LZG29" s="17"/>
      <c r="LZH29" s="17"/>
      <c r="LZI29" s="17"/>
      <c r="LZJ29" s="17"/>
      <c r="LZK29" s="17"/>
      <c r="LZL29" s="17"/>
      <c r="LZM29" s="17"/>
      <c r="LZN29" s="17"/>
      <c r="LZO29" s="17"/>
      <c r="LZP29" s="17"/>
      <c r="LZQ29" s="17"/>
      <c r="LZR29" s="17"/>
      <c r="LZS29" s="17"/>
      <c r="LZT29" s="17"/>
      <c r="LZU29" s="17"/>
      <c r="LZV29" s="17"/>
      <c r="LZW29" s="17"/>
      <c r="LZX29" s="17"/>
      <c r="LZY29" s="17"/>
      <c r="LZZ29" s="17"/>
      <c r="MAA29" s="17"/>
      <c r="MAB29" s="17"/>
      <c r="MAC29" s="17"/>
      <c r="MAD29" s="17"/>
      <c r="MAE29" s="17"/>
      <c r="MAF29" s="17"/>
      <c r="MAG29" s="17"/>
      <c r="MAH29" s="17"/>
      <c r="MAI29" s="17"/>
      <c r="MAJ29" s="17"/>
      <c r="MAK29" s="17"/>
      <c r="MAL29" s="17"/>
      <c r="MAM29" s="17"/>
      <c r="MAN29" s="17"/>
      <c r="MAO29" s="17"/>
      <c r="MAP29" s="17"/>
      <c r="MAQ29" s="17"/>
      <c r="MAR29" s="17"/>
      <c r="MAS29" s="17"/>
      <c r="MAT29" s="17"/>
      <c r="MAU29" s="17"/>
      <c r="MAV29" s="17"/>
      <c r="MAW29" s="17"/>
      <c r="MAX29" s="17"/>
      <c r="MAY29" s="17"/>
      <c r="MAZ29" s="17"/>
      <c r="MBA29" s="17"/>
      <c r="MBB29" s="17"/>
      <c r="MBC29" s="17"/>
      <c r="MBD29" s="17"/>
      <c r="MBE29" s="17"/>
      <c r="MBF29" s="17"/>
      <c r="MBG29" s="17"/>
      <c r="MBH29" s="17"/>
      <c r="MBI29" s="17"/>
      <c r="MBJ29" s="17"/>
      <c r="MBK29" s="17"/>
      <c r="MBL29" s="17"/>
      <c r="MBM29" s="17"/>
      <c r="MBN29" s="17"/>
      <c r="MBO29" s="17"/>
      <c r="MBP29" s="17"/>
      <c r="MBQ29" s="17"/>
      <c r="MBR29" s="17"/>
      <c r="MBS29" s="17"/>
      <c r="MBT29" s="17"/>
      <c r="MBU29" s="17"/>
      <c r="MBV29" s="17"/>
      <c r="MBW29" s="17"/>
      <c r="MBX29" s="17"/>
      <c r="MBY29" s="17"/>
      <c r="MBZ29" s="17"/>
      <c r="MCA29" s="17"/>
      <c r="MCB29" s="17"/>
      <c r="MCC29" s="17"/>
      <c r="MCD29" s="17"/>
      <c r="MCE29" s="17"/>
      <c r="MCF29" s="17"/>
      <c r="MCG29" s="17"/>
      <c r="MCH29" s="17"/>
      <c r="MCI29" s="17"/>
      <c r="MCJ29" s="17"/>
      <c r="MCK29" s="17"/>
      <c r="MCL29" s="17"/>
      <c r="MCM29" s="17"/>
      <c r="MCN29" s="17"/>
      <c r="MCO29" s="17"/>
      <c r="MCP29" s="17"/>
      <c r="MCQ29" s="17"/>
      <c r="MCR29" s="17"/>
      <c r="MCS29" s="17"/>
      <c r="MCT29" s="17"/>
      <c r="MCU29" s="17"/>
      <c r="MCV29" s="17"/>
      <c r="MCW29" s="17"/>
      <c r="MCX29" s="17"/>
      <c r="MCY29" s="17"/>
      <c r="MCZ29" s="17"/>
      <c r="MDA29" s="17"/>
      <c r="MDB29" s="17"/>
      <c r="MDC29" s="17"/>
      <c r="MDD29" s="17"/>
      <c r="MDE29" s="17"/>
      <c r="MDF29" s="17"/>
      <c r="MDG29" s="17"/>
      <c r="MDH29" s="17"/>
      <c r="MDI29" s="17"/>
      <c r="MDJ29" s="17"/>
      <c r="MDK29" s="17"/>
      <c r="MDL29" s="17"/>
      <c r="MDM29" s="17"/>
      <c r="MDN29" s="17"/>
      <c r="MDO29" s="17"/>
      <c r="MDP29" s="17"/>
      <c r="MDQ29" s="17"/>
      <c r="MDR29" s="17"/>
      <c r="MDS29" s="17"/>
      <c r="MDT29" s="17"/>
      <c r="MDU29" s="17"/>
      <c r="MDV29" s="17"/>
      <c r="MDW29" s="17"/>
      <c r="MDX29" s="17"/>
      <c r="MDY29" s="17"/>
      <c r="MDZ29" s="17"/>
      <c r="MEA29" s="17"/>
      <c r="MEB29" s="17"/>
      <c r="MEC29" s="17"/>
      <c r="MED29" s="17"/>
      <c r="MEE29" s="17"/>
      <c r="MEF29" s="17"/>
      <c r="MEG29" s="17"/>
      <c r="MEH29" s="17"/>
      <c r="MEI29" s="17"/>
      <c r="MEJ29" s="17"/>
      <c r="MEK29" s="17"/>
      <c r="MEL29" s="17"/>
      <c r="MEM29" s="17"/>
      <c r="MEN29" s="17"/>
      <c r="MEO29" s="17"/>
      <c r="MEP29" s="17"/>
      <c r="MEQ29" s="17"/>
      <c r="MER29" s="17"/>
      <c r="MES29" s="17"/>
      <c r="MET29" s="17"/>
      <c r="MEU29" s="17"/>
      <c r="MEV29" s="17"/>
      <c r="MEW29" s="17"/>
      <c r="MEX29" s="17"/>
      <c r="MEY29" s="17"/>
      <c r="MEZ29" s="17"/>
      <c r="MFA29" s="17"/>
      <c r="MFB29" s="17"/>
      <c r="MFC29" s="17"/>
      <c r="MFD29" s="17"/>
      <c r="MFE29" s="17"/>
      <c r="MFF29" s="17"/>
      <c r="MFG29" s="17"/>
      <c r="MFH29" s="17"/>
      <c r="MFI29" s="17"/>
      <c r="MFJ29" s="17"/>
      <c r="MFK29" s="17"/>
      <c r="MFL29" s="17"/>
      <c r="MFM29" s="17"/>
      <c r="MFN29" s="17"/>
      <c r="MFO29" s="17"/>
      <c r="MFP29" s="17"/>
      <c r="MFQ29" s="17"/>
      <c r="MFR29" s="17"/>
      <c r="MFS29" s="17"/>
      <c r="MFT29" s="17"/>
      <c r="MFU29" s="17"/>
      <c r="MFV29" s="17"/>
      <c r="MFW29" s="17"/>
      <c r="MFX29" s="17"/>
      <c r="MFY29" s="17"/>
      <c r="MFZ29" s="17"/>
      <c r="MGA29" s="17"/>
      <c r="MGB29" s="17"/>
      <c r="MGC29" s="17"/>
      <c r="MGD29" s="17"/>
      <c r="MGE29" s="17"/>
      <c r="MGF29" s="17"/>
      <c r="MGG29" s="17"/>
      <c r="MGH29" s="17"/>
      <c r="MGI29" s="17"/>
      <c r="MGJ29" s="17"/>
      <c r="MGK29" s="17"/>
      <c r="MGL29" s="17"/>
      <c r="MGM29" s="17"/>
      <c r="MGN29" s="17"/>
      <c r="MGO29" s="17"/>
      <c r="MGP29" s="17"/>
      <c r="MGQ29" s="17"/>
      <c r="MGR29" s="17"/>
      <c r="MGS29" s="17"/>
      <c r="MGT29" s="17"/>
      <c r="MGU29" s="17"/>
      <c r="MGV29" s="17"/>
      <c r="MGW29" s="17"/>
      <c r="MGX29" s="17"/>
      <c r="MGY29" s="17"/>
      <c r="MGZ29" s="17"/>
      <c r="MHA29" s="17"/>
      <c r="MHB29" s="17"/>
      <c r="MHC29" s="17"/>
      <c r="MHD29" s="17"/>
      <c r="MHE29" s="17"/>
      <c r="MHF29" s="17"/>
      <c r="MHG29" s="17"/>
      <c r="MHH29" s="17"/>
      <c r="MHI29" s="17"/>
      <c r="MHJ29" s="17"/>
      <c r="MHK29" s="17"/>
      <c r="MHL29" s="17"/>
      <c r="MHM29" s="17"/>
      <c r="MHN29" s="17"/>
      <c r="MHO29" s="17"/>
      <c r="MHP29" s="17"/>
      <c r="MHQ29" s="17"/>
      <c r="MHR29" s="17"/>
      <c r="MHS29" s="17"/>
      <c r="MHT29" s="17"/>
      <c r="MHU29" s="17"/>
      <c r="MHV29" s="17"/>
      <c r="MHW29" s="17"/>
      <c r="MHX29" s="17"/>
      <c r="MHY29" s="17"/>
      <c r="MHZ29" s="17"/>
      <c r="MIA29" s="17"/>
      <c r="MIB29" s="17"/>
      <c r="MIC29" s="17"/>
      <c r="MID29" s="17"/>
      <c r="MIE29" s="17"/>
      <c r="MIF29" s="17"/>
      <c r="MIG29" s="17"/>
      <c r="MIH29" s="17"/>
      <c r="MII29" s="17"/>
      <c r="MIJ29" s="17"/>
      <c r="MIK29" s="17"/>
      <c r="MIL29" s="17"/>
      <c r="MIM29" s="17"/>
      <c r="MIN29" s="17"/>
      <c r="MIO29" s="17"/>
      <c r="MIP29" s="17"/>
      <c r="MIQ29" s="17"/>
      <c r="MIR29" s="17"/>
      <c r="MIS29" s="17"/>
      <c r="MIT29" s="17"/>
      <c r="MIU29" s="17"/>
      <c r="MIV29" s="17"/>
      <c r="MIW29" s="17"/>
      <c r="MIX29" s="17"/>
      <c r="MIY29" s="17"/>
      <c r="MIZ29" s="17"/>
      <c r="MJA29" s="17"/>
      <c r="MJB29" s="17"/>
      <c r="MJC29" s="17"/>
      <c r="MJD29" s="17"/>
      <c r="MJE29" s="17"/>
      <c r="MJF29" s="17"/>
      <c r="MJG29" s="17"/>
      <c r="MJH29" s="17"/>
      <c r="MJI29" s="17"/>
      <c r="MJJ29" s="17"/>
      <c r="MJK29" s="17"/>
      <c r="MJL29" s="17"/>
      <c r="MJM29" s="17"/>
      <c r="MJN29" s="17"/>
      <c r="MJO29" s="17"/>
      <c r="MJP29" s="17"/>
      <c r="MJQ29" s="17"/>
      <c r="MJR29" s="17"/>
      <c r="MJS29" s="17"/>
      <c r="MJT29" s="17"/>
      <c r="MJU29" s="17"/>
      <c r="MJV29" s="17"/>
      <c r="MJW29" s="17"/>
      <c r="MJX29" s="17"/>
      <c r="MJY29" s="17"/>
      <c r="MJZ29" s="17"/>
      <c r="MKA29" s="17"/>
      <c r="MKB29" s="17"/>
      <c r="MKC29" s="17"/>
      <c r="MKD29" s="17"/>
      <c r="MKE29" s="17"/>
      <c r="MKF29" s="17"/>
      <c r="MKG29" s="17"/>
      <c r="MKH29" s="17"/>
      <c r="MKI29" s="17"/>
      <c r="MKJ29" s="17"/>
      <c r="MKK29" s="17"/>
      <c r="MKL29" s="17"/>
      <c r="MKM29" s="17"/>
      <c r="MKN29" s="17"/>
      <c r="MKO29" s="17"/>
      <c r="MKP29" s="17"/>
      <c r="MKQ29" s="17"/>
      <c r="MKR29" s="17"/>
      <c r="MKS29" s="17"/>
      <c r="MKT29" s="17"/>
      <c r="MKU29" s="17"/>
      <c r="MKV29" s="17"/>
      <c r="MKW29" s="17"/>
      <c r="MKX29" s="17"/>
      <c r="MKY29" s="17"/>
      <c r="MKZ29" s="17"/>
      <c r="MLA29" s="17"/>
      <c r="MLB29" s="17"/>
      <c r="MLC29" s="17"/>
      <c r="MLD29" s="17"/>
      <c r="MLE29" s="17"/>
      <c r="MLF29" s="17"/>
      <c r="MLG29" s="17"/>
      <c r="MLH29" s="17"/>
      <c r="MLI29" s="17"/>
      <c r="MLJ29" s="17"/>
      <c r="MLK29" s="17"/>
      <c r="MLL29" s="17"/>
      <c r="MLM29" s="17"/>
      <c r="MLN29" s="17"/>
      <c r="MLO29" s="17"/>
      <c r="MLP29" s="17"/>
      <c r="MLQ29" s="17"/>
      <c r="MLR29" s="17"/>
      <c r="MLS29" s="17"/>
      <c r="MLT29" s="17"/>
      <c r="MLU29" s="17"/>
      <c r="MLV29" s="17"/>
      <c r="MLW29" s="17"/>
      <c r="MLX29" s="17"/>
      <c r="MLY29" s="17"/>
      <c r="MLZ29" s="17"/>
      <c r="MMA29" s="17"/>
      <c r="MMB29" s="17"/>
      <c r="MMC29" s="17"/>
      <c r="MMD29" s="17"/>
      <c r="MME29" s="17"/>
      <c r="MMF29" s="17"/>
      <c r="MMG29" s="17"/>
      <c r="MMH29" s="17"/>
      <c r="MMI29" s="17"/>
      <c r="MMJ29" s="17"/>
      <c r="MMK29" s="17"/>
      <c r="MML29" s="17"/>
      <c r="MMM29" s="17"/>
      <c r="MMN29" s="17"/>
      <c r="MMO29" s="17"/>
      <c r="MMP29" s="17"/>
      <c r="MMQ29" s="17"/>
      <c r="MMR29" s="17"/>
      <c r="MMS29" s="17"/>
      <c r="MMT29" s="17"/>
      <c r="MMU29" s="17"/>
      <c r="MMV29" s="17"/>
      <c r="MMW29" s="17"/>
      <c r="MMX29" s="17"/>
      <c r="MMY29" s="17"/>
      <c r="MMZ29" s="17"/>
      <c r="MNA29" s="17"/>
      <c r="MNB29" s="17"/>
      <c r="MNC29" s="17"/>
      <c r="MND29" s="17"/>
      <c r="MNE29" s="17"/>
      <c r="MNF29" s="17"/>
      <c r="MNG29" s="17"/>
      <c r="MNH29" s="17"/>
      <c r="MNI29" s="17"/>
      <c r="MNJ29" s="17"/>
      <c r="MNK29" s="17"/>
      <c r="MNL29" s="17"/>
      <c r="MNM29" s="17"/>
      <c r="MNN29" s="17"/>
      <c r="MNO29" s="17"/>
      <c r="MNP29" s="17"/>
      <c r="MNQ29" s="17"/>
      <c r="MNR29" s="17"/>
      <c r="MNS29" s="17"/>
      <c r="MNT29" s="17"/>
      <c r="MNU29" s="17"/>
      <c r="MNV29" s="17"/>
      <c r="MNW29" s="17"/>
      <c r="MNX29" s="17"/>
      <c r="MNY29" s="17"/>
      <c r="MNZ29" s="17"/>
      <c r="MOA29" s="17"/>
      <c r="MOB29" s="17"/>
      <c r="MOC29" s="17"/>
      <c r="MOD29" s="17"/>
      <c r="MOE29" s="17"/>
      <c r="MOF29" s="17"/>
      <c r="MOG29" s="17"/>
      <c r="MOH29" s="17"/>
      <c r="MOI29" s="17"/>
      <c r="MOJ29" s="17"/>
      <c r="MOK29" s="17"/>
      <c r="MOL29" s="17"/>
      <c r="MOM29" s="17"/>
      <c r="MON29" s="17"/>
      <c r="MOO29" s="17"/>
      <c r="MOP29" s="17"/>
      <c r="MOQ29" s="17"/>
      <c r="MOR29" s="17"/>
      <c r="MOS29" s="17"/>
      <c r="MOT29" s="17"/>
      <c r="MOU29" s="17"/>
      <c r="MOV29" s="17"/>
      <c r="MOW29" s="17"/>
      <c r="MOX29" s="17"/>
      <c r="MOY29" s="17"/>
      <c r="MOZ29" s="17"/>
      <c r="MPA29" s="17"/>
      <c r="MPB29" s="17"/>
      <c r="MPC29" s="17"/>
      <c r="MPD29" s="17"/>
      <c r="MPE29" s="17"/>
      <c r="MPF29" s="17"/>
      <c r="MPG29" s="17"/>
      <c r="MPH29" s="17"/>
      <c r="MPI29" s="17"/>
      <c r="MPJ29" s="17"/>
      <c r="MPK29" s="17"/>
      <c r="MPL29" s="17"/>
      <c r="MPM29" s="17"/>
      <c r="MPN29" s="17"/>
      <c r="MPO29" s="17"/>
      <c r="MPP29" s="17"/>
      <c r="MPQ29" s="17"/>
      <c r="MPR29" s="17"/>
      <c r="MPS29" s="17"/>
      <c r="MPT29" s="17"/>
      <c r="MPU29" s="17"/>
      <c r="MPV29" s="17"/>
      <c r="MPW29" s="17"/>
      <c r="MPX29" s="17"/>
      <c r="MPY29" s="17"/>
      <c r="MPZ29" s="17"/>
      <c r="MQA29" s="17"/>
      <c r="MQB29" s="17"/>
      <c r="MQC29" s="17"/>
      <c r="MQD29" s="17"/>
      <c r="MQE29" s="17"/>
      <c r="MQF29" s="17"/>
      <c r="MQG29" s="17"/>
      <c r="MQH29" s="17"/>
      <c r="MQI29" s="17"/>
      <c r="MQJ29" s="17"/>
      <c r="MQK29" s="17"/>
      <c r="MQL29" s="17"/>
      <c r="MQM29" s="17"/>
      <c r="MQN29" s="17"/>
      <c r="MQO29" s="17"/>
      <c r="MQP29" s="17"/>
      <c r="MQQ29" s="17"/>
      <c r="MQR29" s="17"/>
      <c r="MQS29" s="17"/>
      <c r="MQT29" s="17"/>
      <c r="MQU29" s="17"/>
      <c r="MQV29" s="17"/>
      <c r="MQW29" s="17"/>
      <c r="MQX29" s="17"/>
      <c r="MQY29" s="17"/>
      <c r="MQZ29" s="17"/>
      <c r="MRA29" s="17"/>
      <c r="MRB29" s="17"/>
      <c r="MRC29" s="17"/>
      <c r="MRD29" s="17"/>
      <c r="MRE29" s="17"/>
      <c r="MRF29" s="17"/>
      <c r="MRG29" s="17"/>
      <c r="MRH29" s="17"/>
      <c r="MRI29" s="17"/>
      <c r="MRJ29" s="17"/>
      <c r="MRK29" s="17"/>
      <c r="MRL29" s="17"/>
      <c r="MRM29" s="17"/>
      <c r="MRN29" s="17"/>
      <c r="MRO29" s="17"/>
      <c r="MRP29" s="17"/>
      <c r="MRQ29" s="17"/>
      <c r="MRR29" s="17"/>
      <c r="MRS29" s="17"/>
      <c r="MRT29" s="17"/>
      <c r="MRU29" s="17"/>
      <c r="MRV29" s="17"/>
      <c r="MRW29" s="17"/>
      <c r="MRX29" s="17"/>
      <c r="MRY29" s="17"/>
      <c r="MRZ29" s="17"/>
      <c r="MSA29" s="17"/>
      <c r="MSB29" s="17"/>
      <c r="MSC29" s="17"/>
      <c r="MSD29" s="17"/>
      <c r="MSE29" s="17"/>
      <c r="MSF29" s="17"/>
      <c r="MSG29" s="17"/>
      <c r="MSH29" s="17"/>
      <c r="MSI29" s="17"/>
      <c r="MSJ29" s="17"/>
      <c r="MSK29" s="17"/>
      <c r="MSL29" s="17"/>
      <c r="MSM29" s="17"/>
      <c r="MSN29" s="17"/>
      <c r="MSO29" s="17"/>
      <c r="MSP29" s="17"/>
      <c r="MSQ29" s="17"/>
      <c r="MSR29" s="17"/>
      <c r="MSS29" s="17"/>
      <c r="MST29" s="17"/>
      <c r="MSU29" s="17"/>
      <c r="MSV29" s="17"/>
      <c r="MSW29" s="17"/>
      <c r="MSX29" s="17"/>
      <c r="MSY29" s="17"/>
      <c r="MSZ29" s="17"/>
      <c r="MTA29" s="17"/>
      <c r="MTB29" s="17"/>
      <c r="MTC29" s="17"/>
      <c r="MTD29" s="17"/>
      <c r="MTE29" s="17"/>
      <c r="MTF29" s="17"/>
      <c r="MTG29" s="17"/>
      <c r="MTH29" s="17"/>
      <c r="MTI29" s="17"/>
      <c r="MTJ29" s="17"/>
      <c r="MTK29" s="17"/>
      <c r="MTL29" s="17"/>
      <c r="MTM29" s="17"/>
      <c r="MTN29" s="17"/>
      <c r="MTO29" s="17"/>
      <c r="MTP29" s="17"/>
      <c r="MTQ29" s="17"/>
      <c r="MTR29" s="17"/>
      <c r="MTS29" s="17"/>
      <c r="MTT29" s="17"/>
      <c r="MTU29" s="17"/>
      <c r="MTV29" s="17"/>
      <c r="MTW29" s="17"/>
      <c r="MTX29" s="17"/>
      <c r="MTY29" s="17"/>
      <c r="MTZ29" s="17"/>
      <c r="MUA29" s="17"/>
      <c r="MUB29" s="17"/>
      <c r="MUC29" s="17"/>
      <c r="MUD29" s="17"/>
      <c r="MUE29" s="17"/>
      <c r="MUF29" s="17"/>
      <c r="MUG29" s="17"/>
      <c r="MUH29" s="17"/>
      <c r="MUI29" s="17"/>
      <c r="MUJ29" s="17"/>
      <c r="MUK29" s="17"/>
      <c r="MUL29" s="17"/>
      <c r="MUM29" s="17"/>
      <c r="MUN29" s="17"/>
      <c r="MUO29" s="17"/>
      <c r="MUP29" s="17"/>
      <c r="MUQ29" s="17"/>
      <c r="MUR29" s="17"/>
      <c r="MUS29" s="17"/>
      <c r="MUT29" s="17"/>
      <c r="MUU29" s="17"/>
      <c r="MUV29" s="17"/>
      <c r="MUW29" s="17"/>
      <c r="MUX29" s="17"/>
      <c r="MUY29" s="17"/>
      <c r="MUZ29" s="17"/>
      <c r="MVA29" s="17"/>
      <c r="MVB29" s="17"/>
      <c r="MVC29" s="17"/>
      <c r="MVD29" s="17"/>
      <c r="MVE29" s="17"/>
      <c r="MVF29" s="17"/>
      <c r="MVG29" s="17"/>
      <c r="MVH29" s="17"/>
      <c r="MVI29" s="17"/>
      <c r="MVJ29" s="17"/>
      <c r="MVK29" s="17"/>
      <c r="MVL29" s="17"/>
      <c r="MVM29" s="17"/>
      <c r="MVN29" s="17"/>
      <c r="MVO29" s="17"/>
      <c r="MVP29" s="17"/>
      <c r="MVQ29" s="17"/>
      <c r="MVR29" s="17"/>
      <c r="MVS29" s="17"/>
      <c r="MVT29" s="17"/>
      <c r="MVU29" s="17"/>
      <c r="MVV29" s="17"/>
      <c r="MVW29" s="17"/>
      <c r="MVX29" s="17"/>
      <c r="MVY29" s="17"/>
      <c r="MVZ29" s="17"/>
      <c r="MWA29" s="17"/>
      <c r="MWB29" s="17"/>
      <c r="MWC29" s="17"/>
      <c r="MWD29" s="17"/>
      <c r="MWE29" s="17"/>
      <c r="MWF29" s="17"/>
      <c r="MWG29" s="17"/>
      <c r="MWH29" s="17"/>
      <c r="MWI29" s="17"/>
      <c r="MWJ29" s="17"/>
      <c r="MWK29" s="17"/>
      <c r="MWL29" s="17"/>
      <c r="MWM29" s="17"/>
      <c r="MWN29" s="17"/>
      <c r="MWO29" s="17"/>
      <c r="MWP29" s="17"/>
      <c r="MWQ29" s="17"/>
      <c r="MWR29" s="17"/>
      <c r="MWS29" s="17"/>
      <c r="MWT29" s="17"/>
      <c r="MWU29" s="17"/>
      <c r="MWV29" s="17"/>
      <c r="MWW29" s="17"/>
      <c r="MWX29" s="17"/>
      <c r="MWY29" s="17"/>
      <c r="MWZ29" s="17"/>
      <c r="MXA29" s="17"/>
      <c r="MXB29" s="17"/>
      <c r="MXC29" s="17"/>
      <c r="MXD29" s="17"/>
      <c r="MXE29" s="17"/>
      <c r="MXF29" s="17"/>
      <c r="MXG29" s="17"/>
      <c r="MXH29" s="17"/>
      <c r="MXI29" s="17"/>
      <c r="MXJ29" s="17"/>
      <c r="MXK29" s="17"/>
      <c r="MXL29" s="17"/>
      <c r="MXM29" s="17"/>
      <c r="MXN29" s="17"/>
      <c r="MXO29" s="17"/>
      <c r="MXP29" s="17"/>
      <c r="MXQ29" s="17"/>
      <c r="MXR29" s="17"/>
      <c r="MXS29" s="17"/>
      <c r="MXT29" s="17"/>
      <c r="MXU29" s="17"/>
      <c r="MXV29" s="17"/>
      <c r="MXW29" s="17"/>
      <c r="MXX29" s="17"/>
      <c r="MXY29" s="17"/>
      <c r="MXZ29" s="17"/>
      <c r="MYA29" s="17"/>
      <c r="MYB29" s="17"/>
      <c r="MYC29" s="17"/>
      <c r="MYD29" s="17"/>
      <c r="MYE29" s="17"/>
      <c r="MYF29" s="17"/>
      <c r="MYG29" s="17"/>
      <c r="MYH29" s="17"/>
      <c r="MYI29" s="17"/>
      <c r="MYJ29" s="17"/>
      <c r="MYK29" s="17"/>
      <c r="MYL29" s="17"/>
      <c r="MYM29" s="17"/>
      <c r="MYN29" s="17"/>
      <c r="MYO29" s="17"/>
      <c r="MYP29" s="17"/>
      <c r="MYQ29" s="17"/>
      <c r="MYR29" s="17"/>
      <c r="MYS29" s="17"/>
      <c r="MYT29" s="17"/>
      <c r="MYU29" s="17"/>
      <c r="MYV29" s="17"/>
      <c r="MYW29" s="17"/>
      <c r="MYX29" s="17"/>
      <c r="MYY29" s="17"/>
      <c r="MYZ29" s="17"/>
      <c r="MZA29" s="17"/>
      <c r="MZB29" s="17"/>
      <c r="MZC29" s="17"/>
      <c r="MZD29" s="17"/>
      <c r="MZE29" s="17"/>
      <c r="MZF29" s="17"/>
      <c r="MZG29" s="17"/>
      <c r="MZH29" s="17"/>
      <c r="MZI29" s="17"/>
      <c r="MZJ29" s="17"/>
      <c r="MZK29" s="17"/>
      <c r="MZL29" s="17"/>
      <c r="MZM29" s="17"/>
      <c r="MZN29" s="17"/>
      <c r="MZO29" s="17"/>
      <c r="MZP29" s="17"/>
      <c r="MZQ29" s="17"/>
      <c r="MZR29" s="17"/>
      <c r="MZS29" s="17"/>
      <c r="MZT29" s="17"/>
      <c r="MZU29" s="17"/>
      <c r="MZV29" s="17"/>
      <c r="MZW29" s="17"/>
      <c r="MZX29" s="17"/>
      <c r="MZY29" s="17"/>
      <c r="MZZ29" s="17"/>
      <c r="NAA29" s="17"/>
      <c r="NAB29" s="17"/>
      <c r="NAC29" s="17"/>
      <c r="NAD29" s="17"/>
      <c r="NAE29" s="17"/>
      <c r="NAF29" s="17"/>
      <c r="NAG29" s="17"/>
      <c r="NAH29" s="17"/>
      <c r="NAI29" s="17"/>
      <c r="NAJ29" s="17"/>
      <c r="NAK29" s="17"/>
      <c r="NAL29" s="17"/>
      <c r="NAM29" s="17"/>
      <c r="NAN29" s="17"/>
      <c r="NAO29" s="17"/>
      <c r="NAP29" s="17"/>
      <c r="NAQ29" s="17"/>
      <c r="NAR29" s="17"/>
      <c r="NAS29" s="17"/>
      <c r="NAT29" s="17"/>
      <c r="NAU29" s="17"/>
      <c r="NAV29" s="17"/>
      <c r="NAW29" s="17"/>
      <c r="NAX29" s="17"/>
      <c r="NAY29" s="17"/>
      <c r="NAZ29" s="17"/>
      <c r="NBA29" s="17"/>
      <c r="NBB29" s="17"/>
      <c r="NBC29" s="17"/>
      <c r="NBD29" s="17"/>
      <c r="NBE29" s="17"/>
      <c r="NBF29" s="17"/>
      <c r="NBG29" s="17"/>
      <c r="NBH29" s="17"/>
      <c r="NBI29" s="17"/>
      <c r="NBJ29" s="17"/>
      <c r="NBK29" s="17"/>
      <c r="NBL29" s="17"/>
      <c r="NBM29" s="17"/>
      <c r="NBN29" s="17"/>
      <c r="NBO29" s="17"/>
      <c r="NBP29" s="17"/>
      <c r="NBQ29" s="17"/>
      <c r="NBR29" s="17"/>
      <c r="NBS29" s="17"/>
      <c r="NBT29" s="17"/>
      <c r="NBU29" s="17"/>
      <c r="NBV29" s="17"/>
      <c r="NBW29" s="17"/>
      <c r="NBX29" s="17"/>
      <c r="NBY29" s="17"/>
      <c r="NBZ29" s="17"/>
      <c r="NCA29" s="17"/>
      <c r="NCB29" s="17"/>
      <c r="NCC29" s="17"/>
      <c r="NCD29" s="17"/>
      <c r="NCE29" s="17"/>
      <c r="NCF29" s="17"/>
      <c r="NCG29" s="17"/>
      <c r="NCH29" s="17"/>
      <c r="NCI29" s="17"/>
      <c r="NCJ29" s="17"/>
      <c r="NCK29" s="17"/>
      <c r="NCL29" s="17"/>
      <c r="NCM29" s="17"/>
      <c r="NCN29" s="17"/>
      <c r="NCO29" s="17"/>
      <c r="NCP29" s="17"/>
      <c r="NCQ29" s="17"/>
      <c r="NCR29" s="17"/>
      <c r="NCS29" s="17"/>
      <c r="NCT29" s="17"/>
      <c r="NCU29" s="17"/>
      <c r="NCV29" s="17"/>
      <c r="NCW29" s="17"/>
      <c r="NCX29" s="17"/>
      <c r="NCY29" s="17"/>
      <c r="NCZ29" s="17"/>
      <c r="NDA29" s="17"/>
      <c r="NDB29" s="17"/>
      <c r="NDC29" s="17"/>
      <c r="NDD29" s="17"/>
      <c r="NDE29" s="17"/>
      <c r="NDF29" s="17"/>
      <c r="NDG29" s="17"/>
      <c r="NDH29" s="17"/>
      <c r="NDI29" s="17"/>
      <c r="NDJ29" s="17"/>
      <c r="NDK29" s="17"/>
      <c r="NDL29" s="17"/>
      <c r="NDM29" s="17"/>
      <c r="NDN29" s="17"/>
      <c r="NDO29" s="17"/>
      <c r="NDP29" s="17"/>
      <c r="NDQ29" s="17"/>
      <c r="NDR29" s="17"/>
      <c r="NDS29" s="17"/>
      <c r="NDT29" s="17"/>
      <c r="NDU29" s="17"/>
      <c r="NDV29" s="17"/>
      <c r="NDW29" s="17"/>
      <c r="NDX29" s="17"/>
      <c r="NDY29" s="17"/>
      <c r="NDZ29" s="17"/>
      <c r="NEA29" s="17"/>
      <c r="NEB29" s="17"/>
      <c r="NEC29" s="17"/>
      <c r="NED29" s="17"/>
      <c r="NEE29" s="17"/>
      <c r="NEF29" s="17"/>
      <c r="NEG29" s="17"/>
      <c r="NEH29" s="17"/>
      <c r="NEI29" s="17"/>
      <c r="NEJ29" s="17"/>
      <c r="NEK29" s="17"/>
      <c r="NEL29" s="17"/>
      <c r="NEM29" s="17"/>
      <c r="NEN29" s="17"/>
      <c r="NEO29" s="17"/>
      <c r="NEP29" s="17"/>
      <c r="NEQ29" s="17"/>
      <c r="NER29" s="17"/>
      <c r="NES29" s="17"/>
      <c r="NET29" s="17"/>
      <c r="NEU29" s="17"/>
      <c r="NEV29" s="17"/>
      <c r="NEW29" s="17"/>
      <c r="NEX29" s="17"/>
      <c r="NEY29" s="17"/>
      <c r="NEZ29" s="17"/>
      <c r="NFA29" s="17"/>
      <c r="NFB29" s="17"/>
      <c r="NFC29" s="17"/>
      <c r="NFD29" s="17"/>
      <c r="NFE29" s="17"/>
      <c r="NFF29" s="17"/>
      <c r="NFG29" s="17"/>
      <c r="NFH29" s="17"/>
      <c r="NFI29" s="17"/>
      <c r="NFJ29" s="17"/>
      <c r="NFK29" s="17"/>
      <c r="NFL29" s="17"/>
      <c r="NFM29" s="17"/>
      <c r="NFN29" s="17"/>
      <c r="NFO29" s="17"/>
      <c r="NFP29" s="17"/>
      <c r="NFQ29" s="17"/>
      <c r="NFR29" s="17"/>
      <c r="NFS29" s="17"/>
      <c r="NFT29" s="17"/>
      <c r="NFU29" s="17"/>
      <c r="NFV29" s="17"/>
      <c r="NFW29" s="17"/>
      <c r="NFX29" s="17"/>
      <c r="NFY29" s="17"/>
      <c r="NFZ29" s="17"/>
      <c r="NGA29" s="17"/>
      <c r="NGB29" s="17"/>
      <c r="NGC29" s="17"/>
      <c r="NGD29" s="17"/>
      <c r="NGE29" s="17"/>
      <c r="NGF29" s="17"/>
      <c r="NGG29" s="17"/>
      <c r="NGH29" s="17"/>
      <c r="NGI29" s="17"/>
      <c r="NGJ29" s="17"/>
      <c r="NGK29" s="17"/>
      <c r="NGL29" s="17"/>
      <c r="NGM29" s="17"/>
      <c r="NGN29" s="17"/>
      <c r="NGO29" s="17"/>
      <c r="NGP29" s="17"/>
      <c r="NGQ29" s="17"/>
      <c r="NGR29" s="17"/>
      <c r="NGS29" s="17"/>
      <c r="NGT29" s="17"/>
      <c r="NGU29" s="17"/>
      <c r="NGV29" s="17"/>
      <c r="NGW29" s="17"/>
      <c r="NGX29" s="17"/>
      <c r="NGY29" s="17"/>
      <c r="NGZ29" s="17"/>
      <c r="NHA29" s="17"/>
      <c r="NHB29" s="17"/>
      <c r="NHC29" s="17"/>
      <c r="NHD29" s="17"/>
      <c r="NHE29" s="17"/>
      <c r="NHF29" s="17"/>
      <c r="NHG29" s="17"/>
      <c r="NHH29" s="17"/>
      <c r="NHI29" s="17"/>
      <c r="NHJ29" s="17"/>
      <c r="NHK29" s="17"/>
      <c r="NHL29" s="17"/>
      <c r="NHM29" s="17"/>
      <c r="NHN29" s="17"/>
      <c r="NHO29" s="17"/>
      <c r="NHP29" s="17"/>
      <c r="NHQ29" s="17"/>
      <c r="NHR29" s="17"/>
      <c r="NHS29" s="17"/>
      <c r="NHT29" s="17"/>
      <c r="NHU29" s="17"/>
      <c r="NHV29" s="17"/>
      <c r="NHW29" s="17"/>
      <c r="NHX29" s="17"/>
      <c r="NHY29" s="17"/>
      <c r="NHZ29" s="17"/>
      <c r="NIA29" s="17"/>
      <c r="NIB29" s="17"/>
      <c r="NIC29" s="17"/>
      <c r="NID29" s="17"/>
      <c r="NIE29" s="17"/>
      <c r="NIF29" s="17"/>
      <c r="NIG29" s="17"/>
      <c r="NIH29" s="17"/>
      <c r="NII29" s="17"/>
      <c r="NIJ29" s="17"/>
      <c r="NIK29" s="17"/>
      <c r="NIL29" s="17"/>
      <c r="NIM29" s="17"/>
      <c r="NIN29" s="17"/>
      <c r="NIO29" s="17"/>
      <c r="NIP29" s="17"/>
      <c r="NIQ29" s="17"/>
      <c r="NIR29" s="17"/>
      <c r="NIS29" s="17"/>
      <c r="NIT29" s="17"/>
      <c r="NIU29" s="17"/>
      <c r="NIV29" s="17"/>
      <c r="NIW29" s="17"/>
      <c r="NIX29" s="17"/>
      <c r="NIY29" s="17"/>
      <c r="NIZ29" s="17"/>
      <c r="NJA29" s="17"/>
      <c r="NJB29" s="17"/>
      <c r="NJC29" s="17"/>
      <c r="NJD29" s="17"/>
      <c r="NJE29" s="17"/>
      <c r="NJF29" s="17"/>
      <c r="NJG29" s="17"/>
      <c r="NJH29" s="17"/>
      <c r="NJI29" s="17"/>
      <c r="NJJ29" s="17"/>
      <c r="NJK29" s="17"/>
      <c r="NJL29" s="17"/>
      <c r="NJM29" s="17"/>
      <c r="NJN29" s="17"/>
      <c r="NJO29" s="17"/>
      <c r="NJP29" s="17"/>
      <c r="NJQ29" s="17"/>
      <c r="NJR29" s="17"/>
      <c r="NJS29" s="17"/>
      <c r="NJT29" s="17"/>
      <c r="NJU29" s="17"/>
      <c r="NJV29" s="17"/>
      <c r="NJW29" s="17"/>
      <c r="NJX29" s="17"/>
      <c r="NJY29" s="17"/>
      <c r="NJZ29" s="17"/>
      <c r="NKA29" s="17"/>
      <c r="NKB29" s="17"/>
      <c r="NKC29" s="17"/>
      <c r="NKD29" s="17"/>
      <c r="NKE29" s="17"/>
      <c r="NKF29" s="17"/>
      <c r="NKG29" s="17"/>
      <c r="NKH29" s="17"/>
      <c r="NKI29" s="17"/>
      <c r="NKJ29" s="17"/>
      <c r="NKK29" s="17"/>
      <c r="NKL29" s="17"/>
      <c r="NKM29" s="17"/>
      <c r="NKN29" s="17"/>
      <c r="NKO29" s="17"/>
      <c r="NKP29" s="17"/>
      <c r="NKQ29" s="17"/>
      <c r="NKR29" s="17"/>
      <c r="NKS29" s="17"/>
      <c r="NKT29" s="17"/>
      <c r="NKU29" s="17"/>
      <c r="NKV29" s="17"/>
      <c r="NKW29" s="17"/>
      <c r="NKX29" s="17"/>
      <c r="NKY29" s="17"/>
      <c r="NKZ29" s="17"/>
      <c r="NLA29" s="17"/>
      <c r="NLB29" s="17"/>
      <c r="NLC29" s="17"/>
      <c r="NLD29" s="17"/>
      <c r="NLE29" s="17"/>
      <c r="NLF29" s="17"/>
      <c r="NLG29" s="17"/>
      <c r="NLH29" s="17"/>
      <c r="NLI29" s="17"/>
      <c r="NLJ29" s="17"/>
      <c r="NLK29" s="17"/>
      <c r="NLL29" s="17"/>
      <c r="NLM29" s="17"/>
      <c r="NLN29" s="17"/>
      <c r="NLO29" s="17"/>
      <c r="NLP29" s="17"/>
      <c r="NLQ29" s="17"/>
      <c r="NLR29" s="17"/>
      <c r="NLS29" s="17"/>
      <c r="NLT29" s="17"/>
      <c r="NLU29" s="17"/>
      <c r="NLV29" s="17"/>
      <c r="NLW29" s="17"/>
      <c r="NLX29" s="17"/>
      <c r="NLY29" s="17"/>
      <c r="NLZ29" s="17"/>
      <c r="NMA29" s="17"/>
      <c r="NMB29" s="17"/>
      <c r="NMC29" s="17"/>
      <c r="NMD29" s="17"/>
      <c r="NME29" s="17"/>
      <c r="NMF29" s="17"/>
      <c r="NMG29" s="17"/>
      <c r="NMH29" s="17"/>
      <c r="NMI29" s="17"/>
      <c r="NMJ29" s="17"/>
      <c r="NMK29" s="17"/>
      <c r="NML29" s="17"/>
      <c r="NMM29" s="17"/>
      <c r="NMN29" s="17"/>
      <c r="NMO29" s="17"/>
      <c r="NMP29" s="17"/>
      <c r="NMQ29" s="17"/>
      <c r="NMR29" s="17"/>
      <c r="NMS29" s="17"/>
      <c r="NMT29" s="17"/>
      <c r="NMU29" s="17"/>
      <c r="NMV29" s="17"/>
      <c r="NMW29" s="17"/>
      <c r="NMX29" s="17"/>
      <c r="NMY29" s="17"/>
      <c r="NMZ29" s="17"/>
      <c r="NNA29" s="17"/>
      <c r="NNB29" s="17"/>
      <c r="NNC29" s="17"/>
      <c r="NND29" s="17"/>
      <c r="NNE29" s="17"/>
      <c r="NNF29" s="17"/>
      <c r="NNG29" s="17"/>
      <c r="NNH29" s="17"/>
      <c r="NNI29" s="17"/>
      <c r="NNJ29" s="17"/>
      <c r="NNK29" s="17"/>
      <c r="NNL29" s="17"/>
      <c r="NNM29" s="17"/>
      <c r="NNN29" s="17"/>
      <c r="NNO29" s="17"/>
      <c r="NNP29" s="17"/>
      <c r="NNQ29" s="17"/>
      <c r="NNR29" s="17"/>
      <c r="NNS29" s="17"/>
      <c r="NNT29" s="17"/>
      <c r="NNU29" s="17"/>
      <c r="NNV29" s="17"/>
      <c r="NNW29" s="17"/>
      <c r="NNX29" s="17"/>
      <c r="NNY29" s="17"/>
      <c r="NNZ29" s="17"/>
      <c r="NOA29" s="17"/>
      <c r="NOB29" s="17"/>
      <c r="NOC29" s="17"/>
      <c r="NOD29" s="17"/>
      <c r="NOE29" s="17"/>
      <c r="NOF29" s="17"/>
      <c r="NOG29" s="17"/>
      <c r="NOH29" s="17"/>
      <c r="NOI29" s="17"/>
      <c r="NOJ29" s="17"/>
      <c r="NOK29" s="17"/>
      <c r="NOL29" s="17"/>
      <c r="NOM29" s="17"/>
      <c r="NON29" s="17"/>
      <c r="NOO29" s="17"/>
      <c r="NOP29" s="17"/>
      <c r="NOQ29" s="17"/>
      <c r="NOR29" s="17"/>
      <c r="NOS29" s="17"/>
      <c r="NOT29" s="17"/>
      <c r="NOU29" s="17"/>
      <c r="NOV29" s="17"/>
      <c r="NOW29" s="17"/>
      <c r="NOX29" s="17"/>
      <c r="NOY29" s="17"/>
      <c r="NOZ29" s="17"/>
      <c r="NPA29" s="17"/>
      <c r="NPB29" s="17"/>
      <c r="NPC29" s="17"/>
      <c r="NPD29" s="17"/>
      <c r="NPE29" s="17"/>
      <c r="NPF29" s="17"/>
      <c r="NPG29" s="17"/>
      <c r="NPH29" s="17"/>
      <c r="NPI29" s="17"/>
      <c r="NPJ29" s="17"/>
      <c r="NPK29" s="17"/>
      <c r="NPL29" s="17"/>
      <c r="NPM29" s="17"/>
      <c r="NPN29" s="17"/>
      <c r="NPO29" s="17"/>
      <c r="NPP29" s="17"/>
      <c r="NPQ29" s="17"/>
      <c r="NPR29" s="17"/>
      <c r="NPS29" s="17"/>
      <c r="NPT29" s="17"/>
      <c r="NPU29" s="17"/>
      <c r="NPV29" s="17"/>
      <c r="NPW29" s="17"/>
      <c r="NPX29" s="17"/>
      <c r="NPY29" s="17"/>
      <c r="NPZ29" s="17"/>
      <c r="NQA29" s="17"/>
      <c r="NQB29" s="17"/>
      <c r="NQC29" s="17"/>
      <c r="NQD29" s="17"/>
      <c r="NQE29" s="17"/>
      <c r="NQF29" s="17"/>
      <c r="NQG29" s="17"/>
      <c r="NQH29" s="17"/>
      <c r="NQI29" s="17"/>
      <c r="NQJ29" s="17"/>
      <c r="NQK29" s="17"/>
      <c r="NQL29" s="17"/>
      <c r="NQM29" s="17"/>
      <c r="NQN29" s="17"/>
      <c r="NQO29" s="17"/>
      <c r="NQP29" s="17"/>
      <c r="NQQ29" s="17"/>
      <c r="NQR29" s="17"/>
      <c r="NQS29" s="17"/>
      <c r="NQT29" s="17"/>
      <c r="NQU29" s="17"/>
      <c r="NQV29" s="17"/>
      <c r="NQW29" s="17"/>
      <c r="NQX29" s="17"/>
      <c r="NQY29" s="17"/>
      <c r="NQZ29" s="17"/>
      <c r="NRA29" s="17"/>
      <c r="NRB29" s="17"/>
      <c r="NRC29" s="17"/>
      <c r="NRD29" s="17"/>
      <c r="NRE29" s="17"/>
      <c r="NRF29" s="17"/>
      <c r="NRG29" s="17"/>
      <c r="NRH29" s="17"/>
      <c r="NRI29" s="17"/>
      <c r="NRJ29" s="17"/>
      <c r="NRK29" s="17"/>
      <c r="NRL29" s="17"/>
      <c r="NRM29" s="17"/>
      <c r="NRN29" s="17"/>
      <c r="NRO29" s="17"/>
      <c r="NRP29" s="17"/>
      <c r="NRQ29" s="17"/>
      <c r="NRR29" s="17"/>
      <c r="NRS29" s="17"/>
      <c r="NRT29" s="17"/>
      <c r="NRU29" s="17"/>
      <c r="NRV29" s="17"/>
      <c r="NRW29" s="17"/>
      <c r="NRX29" s="17"/>
      <c r="NRY29" s="17"/>
      <c r="NRZ29" s="17"/>
      <c r="NSA29" s="17"/>
      <c r="NSB29" s="17"/>
      <c r="NSC29" s="17"/>
      <c r="NSD29" s="17"/>
      <c r="NSE29" s="17"/>
      <c r="NSF29" s="17"/>
      <c r="NSG29" s="17"/>
      <c r="NSH29" s="17"/>
      <c r="NSI29" s="17"/>
      <c r="NSJ29" s="17"/>
      <c r="NSK29" s="17"/>
      <c r="NSL29" s="17"/>
      <c r="NSM29" s="17"/>
      <c r="NSN29" s="17"/>
      <c r="NSO29" s="17"/>
      <c r="NSP29" s="17"/>
      <c r="NSQ29" s="17"/>
      <c r="NSR29" s="17"/>
      <c r="NSS29" s="17"/>
      <c r="NST29" s="17"/>
      <c r="NSU29" s="17"/>
      <c r="NSV29" s="17"/>
      <c r="NSW29" s="17"/>
      <c r="NSX29" s="17"/>
      <c r="NSY29" s="17"/>
      <c r="NSZ29" s="17"/>
      <c r="NTA29" s="17"/>
      <c r="NTB29" s="17"/>
      <c r="NTC29" s="17"/>
      <c r="NTD29" s="17"/>
      <c r="NTE29" s="17"/>
      <c r="NTF29" s="17"/>
      <c r="NTG29" s="17"/>
      <c r="NTH29" s="17"/>
      <c r="NTI29" s="17"/>
      <c r="NTJ29" s="17"/>
      <c r="NTK29" s="17"/>
      <c r="NTL29" s="17"/>
      <c r="NTM29" s="17"/>
      <c r="NTN29" s="17"/>
      <c r="NTO29" s="17"/>
      <c r="NTP29" s="17"/>
      <c r="NTQ29" s="17"/>
      <c r="NTR29" s="17"/>
      <c r="NTS29" s="17"/>
      <c r="NTT29" s="17"/>
      <c r="NTU29" s="17"/>
      <c r="NTV29" s="17"/>
      <c r="NTW29" s="17"/>
      <c r="NTX29" s="17"/>
      <c r="NTY29" s="17"/>
      <c r="NTZ29" s="17"/>
      <c r="NUA29" s="17"/>
      <c r="NUB29" s="17"/>
      <c r="NUC29" s="17"/>
      <c r="NUD29" s="17"/>
      <c r="NUE29" s="17"/>
      <c r="NUF29" s="17"/>
      <c r="NUG29" s="17"/>
      <c r="NUH29" s="17"/>
      <c r="NUI29" s="17"/>
      <c r="NUJ29" s="17"/>
      <c r="NUK29" s="17"/>
      <c r="NUL29" s="17"/>
      <c r="NUM29" s="17"/>
      <c r="NUN29" s="17"/>
      <c r="NUO29" s="17"/>
      <c r="NUP29" s="17"/>
      <c r="NUQ29" s="17"/>
      <c r="NUR29" s="17"/>
      <c r="NUS29" s="17"/>
      <c r="NUT29" s="17"/>
      <c r="NUU29" s="17"/>
      <c r="NUV29" s="17"/>
      <c r="NUW29" s="17"/>
      <c r="NUX29" s="17"/>
      <c r="NUY29" s="17"/>
      <c r="NUZ29" s="17"/>
      <c r="NVA29" s="17"/>
      <c r="NVB29" s="17"/>
      <c r="NVC29" s="17"/>
      <c r="NVD29" s="17"/>
      <c r="NVE29" s="17"/>
      <c r="NVF29" s="17"/>
      <c r="NVG29" s="17"/>
      <c r="NVH29" s="17"/>
      <c r="NVI29" s="17"/>
      <c r="NVJ29" s="17"/>
      <c r="NVK29" s="17"/>
      <c r="NVL29" s="17"/>
      <c r="NVM29" s="17"/>
      <c r="NVN29" s="17"/>
      <c r="NVO29" s="17"/>
      <c r="NVP29" s="17"/>
      <c r="NVQ29" s="17"/>
      <c r="NVR29" s="17"/>
      <c r="NVS29" s="17"/>
      <c r="NVT29" s="17"/>
      <c r="NVU29" s="17"/>
      <c r="NVV29" s="17"/>
      <c r="NVW29" s="17"/>
      <c r="NVX29" s="17"/>
      <c r="NVY29" s="17"/>
      <c r="NVZ29" s="17"/>
      <c r="NWA29" s="17"/>
      <c r="NWB29" s="17"/>
      <c r="NWC29" s="17"/>
      <c r="NWD29" s="17"/>
      <c r="NWE29" s="17"/>
      <c r="NWF29" s="17"/>
      <c r="NWG29" s="17"/>
      <c r="NWH29" s="17"/>
      <c r="NWI29" s="17"/>
      <c r="NWJ29" s="17"/>
      <c r="NWK29" s="17"/>
      <c r="NWL29" s="17"/>
      <c r="NWM29" s="17"/>
      <c r="NWN29" s="17"/>
      <c r="NWO29" s="17"/>
      <c r="NWP29" s="17"/>
      <c r="NWQ29" s="17"/>
      <c r="NWR29" s="17"/>
      <c r="NWS29" s="17"/>
      <c r="NWT29" s="17"/>
      <c r="NWU29" s="17"/>
      <c r="NWV29" s="17"/>
      <c r="NWW29" s="17"/>
      <c r="NWX29" s="17"/>
      <c r="NWY29" s="17"/>
      <c r="NWZ29" s="17"/>
      <c r="NXA29" s="17"/>
      <c r="NXB29" s="17"/>
      <c r="NXC29" s="17"/>
      <c r="NXD29" s="17"/>
      <c r="NXE29" s="17"/>
      <c r="NXF29" s="17"/>
      <c r="NXG29" s="17"/>
      <c r="NXH29" s="17"/>
      <c r="NXI29" s="17"/>
      <c r="NXJ29" s="17"/>
      <c r="NXK29" s="17"/>
      <c r="NXL29" s="17"/>
      <c r="NXM29" s="17"/>
      <c r="NXN29" s="17"/>
      <c r="NXO29" s="17"/>
      <c r="NXP29" s="17"/>
      <c r="NXQ29" s="17"/>
      <c r="NXR29" s="17"/>
      <c r="NXS29" s="17"/>
      <c r="NXT29" s="17"/>
      <c r="NXU29" s="17"/>
      <c r="NXV29" s="17"/>
      <c r="NXW29" s="17"/>
      <c r="NXX29" s="17"/>
      <c r="NXY29" s="17"/>
      <c r="NXZ29" s="17"/>
      <c r="NYA29" s="17"/>
      <c r="NYB29" s="17"/>
      <c r="NYC29" s="17"/>
      <c r="NYD29" s="17"/>
      <c r="NYE29" s="17"/>
      <c r="NYF29" s="17"/>
      <c r="NYG29" s="17"/>
      <c r="NYH29" s="17"/>
      <c r="NYI29" s="17"/>
      <c r="NYJ29" s="17"/>
      <c r="NYK29" s="17"/>
      <c r="NYL29" s="17"/>
      <c r="NYM29" s="17"/>
      <c r="NYN29" s="17"/>
      <c r="NYO29" s="17"/>
      <c r="NYP29" s="17"/>
      <c r="NYQ29" s="17"/>
      <c r="NYR29" s="17"/>
      <c r="NYS29" s="17"/>
      <c r="NYT29" s="17"/>
      <c r="NYU29" s="17"/>
      <c r="NYV29" s="17"/>
      <c r="NYW29" s="17"/>
      <c r="NYX29" s="17"/>
      <c r="NYY29" s="17"/>
      <c r="NYZ29" s="17"/>
      <c r="NZA29" s="17"/>
      <c r="NZB29" s="17"/>
      <c r="NZC29" s="17"/>
      <c r="NZD29" s="17"/>
      <c r="NZE29" s="17"/>
      <c r="NZF29" s="17"/>
      <c r="NZG29" s="17"/>
      <c r="NZH29" s="17"/>
      <c r="NZI29" s="17"/>
      <c r="NZJ29" s="17"/>
      <c r="NZK29" s="17"/>
      <c r="NZL29" s="17"/>
      <c r="NZM29" s="17"/>
      <c r="NZN29" s="17"/>
      <c r="NZO29" s="17"/>
      <c r="NZP29" s="17"/>
      <c r="NZQ29" s="17"/>
      <c r="NZR29" s="17"/>
      <c r="NZS29" s="17"/>
      <c r="NZT29" s="17"/>
      <c r="NZU29" s="17"/>
      <c r="NZV29" s="17"/>
      <c r="NZW29" s="17"/>
      <c r="NZX29" s="17"/>
      <c r="NZY29" s="17"/>
      <c r="NZZ29" s="17"/>
      <c r="OAA29" s="17"/>
      <c r="OAB29" s="17"/>
      <c r="OAC29" s="17"/>
      <c r="OAD29" s="17"/>
      <c r="OAE29" s="17"/>
      <c r="OAF29" s="17"/>
      <c r="OAG29" s="17"/>
      <c r="OAH29" s="17"/>
      <c r="OAI29" s="17"/>
      <c r="OAJ29" s="17"/>
      <c r="OAK29" s="17"/>
      <c r="OAL29" s="17"/>
      <c r="OAM29" s="17"/>
      <c r="OAN29" s="17"/>
      <c r="OAO29" s="17"/>
      <c r="OAP29" s="17"/>
      <c r="OAQ29" s="17"/>
      <c r="OAR29" s="17"/>
      <c r="OAS29" s="17"/>
      <c r="OAT29" s="17"/>
      <c r="OAU29" s="17"/>
      <c r="OAV29" s="17"/>
      <c r="OAW29" s="17"/>
      <c r="OAX29" s="17"/>
      <c r="OAY29" s="17"/>
      <c r="OAZ29" s="17"/>
      <c r="OBA29" s="17"/>
      <c r="OBB29" s="17"/>
      <c r="OBC29" s="17"/>
      <c r="OBD29" s="17"/>
      <c r="OBE29" s="17"/>
      <c r="OBF29" s="17"/>
      <c r="OBG29" s="17"/>
      <c r="OBH29" s="17"/>
      <c r="OBI29" s="17"/>
      <c r="OBJ29" s="17"/>
      <c r="OBK29" s="17"/>
      <c r="OBL29" s="17"/>
      <c r="OBM29" s="17"/>
      <c r="OBN29" s="17"/>
      <c r="OBO29" s="17"/>
      <c r="OBP29" s="17"/>
      <c r="OBQ29" s="17"/>
      <c r="OBR29" s="17"/>
      <c r="OBS29" s="17"/>
      <c r="OBT29" s="17"/>
      <c r="OBU29" s="17"/>
      <c r="OBV29" s="17"/>
      <c r="OBW29" s="17"/>
      <c r="OBX29" s="17"/>
      <c r="OBY29" s="17"/>
      <c r="OBZ29" s="17"/>
      <c r="OCA29" s="17"/>
      <c r="OCB29" s="17"/>
      <c r="OCC29" s="17"/>
      <c r="OCD29" s="17"/>
      <c r="OCE29" s="17"/>
      <c r="OCF29" s="17"/>
      <c r="OCG29" s="17"/>
      <c r="OCH29" s="17"/>
      <c r="OCI29" s="17"/>
      <c r="OCJ29" s="17"/>
      <c r="OCK29" s="17"/>
      <c r="OCL29" s="17"/>
      <c r="OCM29" s="17"/>
      <c r="OCN29" s="17"/>
      <c r="OCO29" s="17"/>
      <c r="OCP29" s="17"/>
      <c r="OCQ29" s="17"/>
      <c r="OCR29" s="17"/>
      <c r="OCS29" s="17"/>
      <c r="OCT29" s="17"/>
      <c r="OCU29" s="17"/>
      <c r="OCV29" s="17"/>
      <c r="OCW29" s="17"/>
      <c r="OCX29" s="17"/>
      <c r="OCY29" s="17"/>
      <c r="OCZ29" s="17"/>
      <c r="ODA29" s="17"/>
      <c r="ODB29" s="17"/>
      <c r="ODC29" s="17"/>
      <c r="ODD29" s="17"/>
      <c r="ODE29" s="17"/>
      <c r="ODF29" s="17"/>
      <c r="ODG29" s="17"/>
      <c r="ODH29" s="17"/>
      <c r="ODI29" s="17"/>
      <c r="ODJ29" s="17"/>
      <c r="ODK29" s="17"/>
      <c r="ODL29" s="17"/>
      <c r="ODM29" s="17"/>
      <c r="ODN29" s="17"/>
      <c r="ODO29" s="17"/>
      <c r="ODP29" s="17"/>
      <c r="ODQ29" s="17"/>
      <c r="ODR29" s="17"/>
      <c r="ODS29" s="17"/>
      <c r="ODT29" s="17"/>
      <c r="ODU29" s="17"/>
      <c r="ODV29" s="17"/>
      <c r="ODW29" s="17"/>
      <c r="ODX29" s="17"/>
      <c r="ODY29" s="17"/>
      <c r="ODZ29" s="17"/>
      <c r="OEA29" s="17"/>
      <c r="OEB29" s="17"/>
      <c r="OEC29" s="17"/>
      <c r="OED29" s="17"/>
      <c r="OEE29" s="17"/>
      <c r="OEF29" s="17"/>
      <c r="OEG29" s="17"/>
      <c r="OEH29" s="17"/>
      <c r="OEI29" s="17"/>
      <c r="OEJ29" s="17"/>
      <c r="OEK29" s="17"/>
      <c r="OEL29" s="17"/>
      <c r="OEM29" s="17"/>
      <c r="OEN29" s="17"/>
      <c r="OEO29" s="17"/>
      <c r="OEP29" s="17"/>
      <c r="OEQ29" s="17"/>
      <c r="OER29" s="17"/>
      <c r="OES29" s="17"/>
      <c r="OET29" s="17"/>
      <c r="OEU29" s="17"/>
      <c r="OEV29" s="17"/>
      <c r="OEW29" s="17"/>
      <c r="OEX29" s="17"/>
      <c r="OEY29" s="17"/>
      <c r="OEZ29" s="17"/>
      <c r="OFA29" s="17"/>
      <c r="OFB29" s="17"/>
      <c r="OFC29" s="17"/>
      <c r="OFD29" s="17"/>
      <c r="OFE29" s="17"/>
      <c r="OFF29" s="17"/>
      <c r="OFG29" s="17"/>
      <c r="OFH29" s="17"/>
      <c r="OFI29" s="17"/>
      <c r="OFJ29" s="17"/>
      <c r="OFK29" s="17"/>
      <c r="OFL29" s="17"/>
      <c r="OFM29" s="17"/>
      <c r="OFN29" s="17"/>
      <c r="OFO29" s="17"/>
      <c r="OFP29" s="17"/>
      <c r="OFQ29" s="17"/>
      <c r="OFR29" s="17"/>
      <c r="OFS29" s="17"/>
      <c r="OFT29" s="17"/>
      <c r="OFU29" s="17"/>
      <c r="OFV29" s="17"/>
      <c r="OFW29" s="17"/>
      <c r="OFX29" s="17"/>
      <c r="OFY29" s="17"/>
      <c r="OFZ29" s="17"/>
      <c r="OGA29" s="17"/>
      <c r="OGB29" s="17"/>
      <c r="OGC29" s="17"/>
      <c r="OGD29" s="17"/>
      <c r="OGE29" s="17"/>
      <c r="OGF29" s="17"/>
      <c r="OGG29" s="17"/>
      <c r="OGH29" s="17"/>
      <c r="OGI29" s="17"/>
      <c r="OGJ29" s="17"/>
      <c r="OGK29" s="17"/>
      <c r="OGL29" s="17"/>
      <c r="OGM29" s="17"/>
      <c r="OGN29" s="17"/>
      <c r="OGO29" s="17"/>
      <c r="OGP29" s="17"/>
      <c r="OGQ29" s="17"/>
      <c r="OGR29" s="17"/>
      <c r="OGS29" s="17"/>
      <c r="OGT29" s="17"/>
      <c r="OGU29" s="17"/>
      <c r="OGV29" s="17"/>
      <c r="OGW29" s="17"/>
      <c r="OGX29" s="17"/>
      <c r="OGY29" s="17"/>
      <c r="OGZ29" s="17"/>
      <c r="OHA29" s="17"/>
      <c r="OHB29" s="17"/>
      <c r="OHC29" s="17"/>
      <c r="OHD29" s="17"/>
      <c r="OHE29" s="17"/>
      <c r="OHF29" s="17"/>
      <c r="OHG29" s="17"/>
      <c r="OHH29" s="17"/>
      <c r="OHI29" s="17"/>
      <c r="OHJ29" s="17"/>
      <c r="OHK29" s="17"/>
      <c r="OHL29" s="17"/>
      <c r="OHM29" s="17"/>
      <c r="OHN29" s="17"/>
      <c r="OHO29" s="17"/>
      <c r="OHP29" s="17"/>
      <c r="OHQ29" s="17"/>
      <c r="OHR29" s="17"/>
      <c r="OHS29" s="17"/>
      <c r="OHT29" s="17"/>
      <c r="OHU29" s="17"/>
      <c r="OHV29" s="17"/>
      <c r="OHW29" s="17"/>
      <c r="OHX29" s="17"/>
      <c r="OHY29" s="17"/>
      <c r="OHZ29" s="17"/>
      <c r="OIA29" s="17"/>
      <c r="OIB29" s="17"/>
      <c r="OIC29" s="17"/>
      <c r="OID29" s="17"/>
      <c r="OIE29" s="17"/>
      <c r="OIF29" s="17"/>
      <c r="OIG29" s="17"/>
      <c r="OIH29" s="17"/>
      <c r="OII29" s="17"/>
      <c r="OIJ29" s="17"/>
      <c r="OIK29" s="17"/>
      <c r="OIL29" s="17"/>
      <c r="OIM29" s="17"/>
      <c r="OIN29" s="17"/>
      <c r="OIO29" s="17"/>
      <c r="OIP29" s="17"/>
      <c r="OIQ29" s="17"/>
      <c r="OIR29" s="17"/>
      <c r="OIS29" s="17"/>
      <c r="OIT29" s="17"/>
      <c r="OIU29" s="17"/>
      <c r="OIV29" s="17"/>
      <c r="OIW29" s="17"/>
      <c r="OIX29" s="17"/>
      <c r="OIY29" s="17"/>
      <c r="OIZ29" s="17"/>
      <c r="OJA29" s="17"/>
      <c r="OJB29" s="17"/>
      <c r="OJC29" s="17"/>
      <c r="OJD29" s="17"/>
      <c r="OJE29" s="17"/>
      <c r="OJF29" s="17"/>
      <c r="OJG29" s="17"/>
      <c r="OJH29" s="17"/>
      <c r="OJI29" s="17"/>
      <c r="OJJ29" s="17"/>
      <c r="OJK29" s="17"/>
      <c r="OJL29" s="17"/>
      <c r="OJM29" s="17"/>
      <c r="OJN29" s="17"/>
      <c r="OJO29" s="17"/>
      <c r="OJP29" s="17"/>
      <c r="OJQ29" s="17"/>
      <c r="OJR29" s="17"/>
      <c r="OJS29" s="17"/>
      <c r="OJT29" s="17"/>
      <c r="OJU29" s="17"/>
      <c r="OJV29" s="17"/>
      <c r="OJW29" s="17"/>
      <c r="OJX29" s="17"/>
      <c r="OJY29" s="17"/>
      <c r="OJZ29" s="17"/>
      <c r="OKA29" s="17"/>
      <c r="OKB29" s="17"/>
      <c r="OKC29" s="17"/>
      <c r="OKD29" s="17"/>
      <c r="OKE29" s="17"/>
      <c r="OKF29" s="17"/>
      <c r="OKG29" s="17"/>
      <c r="OKH29" s="17"/>
      <c r="OKI29" s="17"/>
      <c r="OKJ29" s="17"/>
      <c r="OKK29" s="17"/>
      <c r="OKL29" s="17"/>
      <c r="OKM29" s="17"/>
      <c r="OKN29" s="17"/>
      <c r="OKO29" s="17"/>
      <c r="OKP29" s="17"/>
      <c r="OKQ29" s="17"/>
      <c r="OKR29" s="17"/>
      <c r="OKS29" s="17"/>
      <c r="OKT29" s="17"/>
      <c r="OKU29" s="17"/>
      <c r="OKV29" s="17"/>
      <c r="OKW29" s="17"/>
      <c r="OKX29" s="17"/>
      <c r="OKY29" s="17"/>
      <c r="OKZ29" s="17"/>
      <c r="OLA29" s="17"/>
      <c r="OLB29" s="17"/>
      <c r="OLC29" s="17"/>
      <c r="OLD29" s="17"/>
      <c r="OLE29" s="17"/>
      <c r="OLF29" s="17"/>
      <c r="OLG29" s="17"/>
      <c r="OLH29" s="17"/>
      <c r="OLI29" s="17"/>
      <c r="OLJ29" s="17"/>
      <c r="OLK29" s="17"/>
      <c r="OLL29" s="17"/>
      <c r="OLM29" s="17"/>
      <c r="OLN29" s="17"/>
      <c r="OLO29" s="17"/>
      <c r="OLP29" s="17"/>
      <c r="OLQ29" s="17"/>
      <c r="OLR29" s="17"/>
      <c r="OLS29" s="17"/>
      <c r="OLT29" s="17"/>
      <c r="OLU29" s="17"/>
      <c r="OLV29" s="17"/>
      <c r="OLW29" s="17"/>
      <c r="OLX29" s="17"/>
      <c r="OLY29" s="17"/>
      <c r="OLZ29" s="17"/>
      <c r="OMA29" s="17"/>
      <c r="OMB29" s="17"/>
      <c r="OMC29" s="17"/>
      <c r="OMD29" s="17"/>
      <c r="OME29" s="17"/>
      <c r="OMF29" s="17"/>
      <c r="OMG29" s="17"/>
      <c r="OMH29" s="17"/>
      <c r="OMI29" s="17"/>
      <c r="OMJ29" s="17"/>
      <c r="OMK29" s="17"/>
      <c r="OML29" s="17"/>
      <c r="OMM29" s="17"/>
      <c r="OMN29" s="17"/>
      <c r="OMO29" s="17"/>
      <c r="OMP29" s="17"/>
      <c r="OMQ29" s="17"/>
      <c r="OMR29" s="17"/>
      <c r="OMS29" s="17"/>
      <c r="OMT29" s="17"/>
      <c r="OMU29" s="17"/>
      <c r="OMV29" s="17"/>
      <c r="OMW29" s="17"/>
      <c r="OMX29" s="17"/>
      <c r="OMY29" s="17"/>
      <c r="OMZ29" s="17"/>
      <c r="ONA29" s="17"/>
      <c r="ONB29" s="17"/>
      <c r="ONC29" s="17"/>
      <c r="OND29" s="17"/>
      <c r="ONE29" s="17"/>
      <c r="ONF29" s="17"/>
      <c r="ONG29" s="17"/>
      <c r="ONH29" s="17"/>
      <c r="ONI29" s="17"/>
      <c r="ONJ29" s="17"/>
      <c r="ONK29" s="17"/>
      <c r="ONL29" s="17"/>
      <c r="ONM29" s="17"/>
      <c r="ONN29" s="17"/>
      <c r="ONO29" s="17"/>
      <c r="ONP29" s="17"/>
      <c r="ONQ29" s="17"/>
      <c r="ONR29" s="17"/>
      <c r="ONS29" s="17"/>
      <c r="ONT29" s="17"/>
      <c r="ONU29" s="17"/>
      <c r="ONV29" s="17"/>
      <c r="ONW29" s="17"/>
      <c r="ONX29" s="17"/>
      <c r="ONY29" s="17"/>
      <c r="ONZ29" s="17"/>
      <c r="OOA29" s="17"/>
      <c r="OOB29" s="17"/>
      <c r="OOC29" s="17"/>
      <c r="OOD29" s="17"/>
      <c r="OOE29" s="17"/>
      <c r="OOF29" s="17"/>
      <c r="OOG29" s="17"/>
      <c r="OOH29" s="17"/>
      <c r="OOI29" s="17"/>
      <c r="OOJ29" s="17"/>
      <c r="OOK29" s="17"/>
      <c r="OOL29" s="17"/>
      <c r="OOM29" s="17"/>
      <c r="OON29" s="17"/>
      <c r="OOO29" s="17"/>
      <c r="OOP29" s="17"/>
      <c r="OOQ29" s="17"/>
      <c r="OOR29" s="17"/>
      <c r="OOS29" s="17"/>
      <c r="OOT29" s="17"/>
      <c r="OOU29" s="17"/>
      <c r="OOV29" s="17"/>
      <c r="OOW29" s="17"/>
      <c r="OOX29" s="17"/>
      <c r="OOY29" s="17"/>
      <c r="OOZ29" s="17"/>
      <c r="OPA29" s="17"/>
      <c r="OPB29" s="17"/>
      <c r="OPC29" s="17"/>
      <c r="OPD29" s="17"/>
      <c r="OPE29" s="17"/>
      <c r="OPF29" s="17"/>
      <c r="OPG29" s="17"/>
      <c r="OPH29" s="17"/>
      <c r="OPI29" s="17"/>
      <c r="OPJ29" s="17"/>
      <c r="OPK29" s="17"/>
      <c r="OPL29" s="17"/>
      <c r="OPM29" s="17"/>
      <c r="OPN29" s="17"/>
      <c r="OPO29" s="17"/>
      <c r="OPP29" s="17"/>
      <c r="OPQ29" s="17"/>
      <c r="OPR29" s="17"/>
      <c r="OPS29" s="17"/>
      <c r="OPT29" s="17"/>
      <c r="OPU29" s="17"/>
      <c r="OPV29" s="17"/>
      <c r="OPW29" s="17"/>
      <c r="OPX29" s="17"/>
      <c r="OPY29" s="17"/>
      <c r="OPZ29" s="17"/>
      <c r="OQA29" s="17"/>
      <c r="OQB29" s="17"/>
      <c r="OQC29" s="17"/>
      <c r="OQD29" s="17"/>
      <c r="OQE29" s="17"/>
      <c r="OQF29" s="17"/>
      <c r="OQG29" s="17"/>
      <c r="OQH29" s="17"/>
      <c r="OQI29" s="17"/>
      <c r="OQJ29" s="17"/>
      <c r="OQK29" s="17"/>
      <c r="OQL29" s="17"/>
      <c r="OQM29" s="17"/>
      <c r="OQN29" s="17"/>
      <c r="OQO29" s="17"/>
      <c r="OQP29" s="17"/>
      <c r="OQQ29" s="17"/>
      <c r="OQR29" s="17"/>
      <c r="OQS29" s="17"/>
      <c r="OQT29" s="17"/>
      <c r="OQU29" s="17"/>
      <c r="OQV29" s="17"/>
      <c r="OQW29" s="17"/>
      <c r="OQX29" s="17"/>
      <c r="OQY29" s="17"/>
      <c r="OQZ29" s="17"/>
      <c r="ORA29" s="17"/>
      <c r="ORB29" s="17"/>
      <c r="ORC29" s="17"/>
      <c r="ORD29" s="17"/>
      <c r="ORE29" s="17"/>
      <c r="ORF29" s="17"/>
      <c r="ORG29" s="17"/>
      <c r="ORH29" s="17"/>
      <c r="ORI29" s="17"/>
      <c r="ORJ29" s="17"/>
      <c r="ORK29" s="17"/>
      <c r="ORL29" s="17"/>
      <c r="ORM29" s="17"/>
      <c r="ORN29" s="17"/>
      <c r="ORO29" s="17"/>
      <c r="ORP29" s="17"/>
      <c r="ORQ29" s="17"/>
      <c r="ORR29" s="17"/>
      <c r="ORS29" s="17"/>
      <c r="ORT29" s="17"/>
      <c r="ORU29" s="17"/>
      <c r="ORV29" s="17"/>
      <c r="ORW29" s="17"/>
      <c r="ORX29" s="17"/>
      <c r="ORY29" s="17"/>
      <c r="ORZ29" s="17"/>
      <c r="OSA29" s="17"/>
      <c r="OSB29" s="17"/>
      <c r="OSC29" s="17"/>
      <c r="OSD29" s="17"/>
      <c r="OSE29" s="17"/>
      <c r="OSF29" s="17"/>
      <c r="OSG29" s="17"/>
      <c r="OSH29" s="17"/>
      <c r="OSI29" s="17"/>
      <c r="OSJ29" s="17"/>
      <c r="OSK29" s="17"/>
      <c r="OSL29" s="17"/>
      <c r="OSM29" s="17"/>
      <c r="OSN29" s="17"/>
      <c r="OSO29" s="17"/>
      <c r="OSP29" s="17"/>
      <c r="OSQ29" s="17"/>
      <c r="OSR29" s="17"/>
      <c r="OSS29" s="17"/>
      <c r="OST29" s="17"/>
      <c r="OSU29" s="17"/>
      <c r="OSV29" s="17"/>
      <c r="OSW29" s="17"/>
      <c r="OSX29" s="17"/>
      <c r="OSY29" s="17"/>
      <c r="OSZ29" s="17"/>
      <c r="OTA29" s="17"/>
      <c r="OTB29" s="17"/>
      <c r="OTC29" s="17"/>
      <c r="OTD29" s="17"/>
      <c r="OTE29" s="17"/>
      <c r="OTF29" s="17"/>
      <c r="OTG29" s="17"/>
      <c r="OTH29" s="17"/>
      <c r="OTI29" s="17"/>
      <c r="OTJ29" s="17"/>
      <c r="OTK29" s="17"/>
      <c r="OTL29" s="17"/>
      <c r="OTM29" s="17"/>
      <c r="OTN29" s="17"/>
      <c r="OTO29" s="17"/>
      <c r="OTP29" s="17"/>
      <c r="OTQ29" s="17"/>
      <c r="OTR29" s="17"/>
      <c r="OTS29" s="17"/>
      <c r="OTT29" s="17"/>
      <c r="OTU29" s="17"/>
      <c r="OTV29" s="17"/>
      <c r="OTW29" s="17"/>
      <c r="OTX29" s="17"/>
      <c r="OTY29" s="17"/>
      <c r="OTZ29" s="17"/>
      <c r="OUA29" s="17"/>
      <c r="OUB29" s="17"/>
      <c r="OUC29" s="17"/>
      <c r="OUD29" s="17"/>
      <c r="OUE29" s="17"/>
      <c r="OUF29" s="17"/>
      <c r="OUG29" s="17"/>
      <c r="OUH29" s="17"/>
      <c r="OUI29" s="17"/>
      <c r="OUJ29" s="17"/>
      <c r="OUK29" s="17"/>
      <c r="OUL29" s="17"/>
      <c r="OUM29" s="17"/>
      <c r="OUN29" s="17"/>
      <c r="OUO29" s="17"/>
      <c r="OUP29" s="17"/>
      <c r="OUQ29" s="17"/>
      <c r="OUR29" s="17"/>
      <c r="OUS29" s="17"/>
      <c r="OUT29" s="17"/>
      <c r="OUU29" s="17"/>
      <c r="OUV29" s="17"/>
      <c r="OUW29" s="17"/>
      <c r="OUX29" s="17"/>
      <c r="OUY29" s="17"/>
      <c r="OUZ29" s="17"/>
      <c r="OVA29" s="17"/>
      <c r="OVB29" s="17"/>
      <c r="OVC29" s="17"/>
      <c r="OVD29" s="17"/>
      <c r="OVE29" s="17"/>
      <c r="OVF29" s="17"/>
      <c r="OVG29" s="17"/>
      <c r="OVH29" s="17"/>
      <c r="OVI29" s="17"/>
      <c r="OVJ29" s="17"/>
      <c r="OVK29" s="17"/>
      <c r="OVL29" s="17"/>
      <c r="OVM29" s="17"/>
      <c r="OVN29" s="17"/>
      <c r="OVO29" s="17"/>
      <c r="OVP29" s="17"/>
      <c r="OVQ29" s="17"/>
      <c r="OVR29" s="17"/>
      <c r="OVS29" s="17"/>
      <c r="OVT29" s="17"/>
      <c r="OVU29" s="17"/>
      <c r="OVV29" s="17"/>
      <c r="OVW29" s="17"/>
      <c r="OVX29" s="17"/>
      <c r="OVY29" s="17"/>
      <c r="OVZ29" s="17"/>
      <c r="OWA29" s="17"/>
      <c r="OWB29" s="17"/>
      <c r="OWC29" s="17"/>
      <c r="OWD29" s="17"/>
      <c r="OWE29" s="17"/>
      <c r="OWF29" s="17"/>
      <c r="OWG29" s="17"/>
      <c r="OWH29" s="17"/>
      <c r="OWI29" s="17"/>
      <c r="OWJ29" s="17"/>
      <c r="OWK29" s="17"/>
      <c r="OWL29" s="17"/>
      <c r="OWM29" s="17"/>
      <c r="OWN29" s="17"/>
      <c r="OWO29" s="17"/>
      <c r="OWP29" s="17"/>
      <c r="OWQ29" s="17"/>
      <c r="OWR29" s="17"/>
      <c r="OWS29" s="17"/>
      <c r="OWT29" s="17"/>
      <c r="OWU29" s="17"/>
      <c r="OWV29" s="17"/>
      <c r="OWW29" s="17"/>
      <c r="OWX29" s="17"/>
      <c r="OWY29" s="17"/>
      <c r="OWZ29" s="17"/>
      <c r="OXA29" s="17"/>
      <c r="OXB29" s="17"/>
      <c r="OXC29" s="17"/>
      <c r="OXD29" s="17"/>
      <c r="OXE29" s="17"/>
      <c r="OXF29" s="17"/>
      <c r="OXG29" s="17"/>
      <c r="OXH29" s="17"/>
      <c r="OXI29" s="17"/>
      <c r="OXJ29" s="17"/>
      <c r="OXK29" s="17"/>
      <c r="OXL29" s="17"/>
      <c r="OXM29" s="17"/>
      <c r="OXN29" s="17"/>
      <c r="OXO29" s="17"/>
      <c r="OXP29" s="17"/>
      <c r="OXQ29" s="17"/>
      <c r="OXR29" s="17"/>
      <c r="OXS29" s="17"/>
      <c r="OXT29" s="17"/>
      <c r="OXU29" s="17"/>
      <c r="OXV29" s="17"/>
      <c r="OXW29" s="17"/>
      <c r="OXX29" s="17"/>
      <c r="OXY29" s="17"/>
      <c r="OXZ29" s="17"/>
      <c r="OYA29" s="17"/>
      <c r="OYB29" s="17"/>
      <c r="OYC29" s="17"/>
      <c r="OYD29" s="17"/>
      <c r="OYE29" s="17"/>
      <c r="OYF29" s="17"/>
      <c r="OYG29" s="17"/>
      <c r="OYH29" s="17"/>
      <c r="OYI29" s="17"/>
      <c r="OYJ29" s="17"/>
      <c r="OYK29" s="17"/>
      <c r="OYL29" s="17"/>
      <c r="OYM29" s="17"/>
      <c r="OYN29" s="17"/>
      <c r="OYO29" s="17"/>
      <c r="OYP29" s="17"/>
      <c r="OYQ29" s="17"/>
      <c r="OYR29" s="17"/>
      <c r="OYS29" s="17"/>
      <c r="OYT29" s="17"/>
      <c r="OYU29" s="17"/>
      <c r="OYV29" s="17"/>
      <c r="OYW29" s="17"/>
      <c r="OYX29" s="17"/>
      <c r="OYY29" s="17"/>
      <c r="OYZ29" s="17"/>
      <c r="OZA29" s="17"/>
      <c r="OZB29" s="17"/>
      <c r="OZC29" s="17"/>
      <c r="OZD29" s="17"/>
      <c r="OZE29" s="17"/>
      <c r="OZF29" s="17"/>
      <c r="OZG29" s="17"/>
      <c r="OZH29" s="17"/>
      <c r="OZI29" s="17"/>
      <c r="OZJ29" s="17"/>
      <c r="OZK29" s="17"/>
      <c r="OZL29" s="17"/>
      <c r="OZM29" s="17"/>
      <c r="OZN29" s="17"/>
      <c r="OZO29" s="17"/>
      <c r="OZP29" s="17"/>
      <c r="OZQ29" s="17"/>
      <c r="OZR29" s="17"/>
      <c r="OZS29" s="17"/>
      <c r="OZT29" s="17"/>
      <c r="OZU29" s="17"/>
      <c r="OZV29" s="17"/>
      <c r="OZW29" s="17"/>
      <c r="OZX29" s="17"/>
      <c r="OZY29" s="17"/>
      <c r="OZZ29" s="17"/>
      <c r="PAA29" s="17"/>
      <c r="PAB29" s="17"/>
      <c r="PAC29" s="17"/>
      <c r="PAD29" s="17"/>
      <c r="PAE29" s="17"/>
      <c r="PAF29" s="17"/>
      <c r="PAG29" s="17"/>
      <c r="PAH29" s="17"/>
      <c r="PAI29" s="17"/>
      <c r="PAJ29" s="17"/>
      <c r="PAK29" s="17"/>
      <c r="PAL29" s="17"/>
      <c r="PAM29" s="17"/>
      <c r="PAN29" s="17"/>
      <c r="PAO29" s="17"/>
      <c r="PAP29" s="17"/>
      <c r="PAQ29" s="17"/>
      <c r="PAR29" s="17"/>
      <c r="PAS29" s="17"/>
      <c r="PAT29" s="17"/>
      <c r="PAU29" s="17"/>
      <c r="PAV29" s="17"/>
      <c r="PAW29" s="17"/>
      <c r="PAX29" s="17"/>
      <c r="PAY29" s="17"/>
      <c r="PAZ29" s="17"/>
      <c r="PBA29" s="17"/>
      <c r="PBB29" s="17"/>
      <c r="PBC29" s="17"/>
      <c r="PBD29" s="17"/>
      <c r="PBE29" s="17"/>
      <c r="PBF29" s="17"/>
      <c r="PBG29" s="17"/>
      <c r="PBH29" s="17"/>
      <c r="PBI29" s="17"/>
      <c r="PBJ29" s="17"/>
      <c r="PBK29" s="17"/>
      <c r="PBL29" s="17"/>
      <c r="PBM29" s="17"/>
      <c r="PBN29" s="17"/>
      <c r="PBO29" s="17"/>
      <c r="PBP29" s="17"/>
      <c r="PBQ29" s="17"/>
      <c r="PBR29" s="17"/>
      <c r="PBS29" s="17"/>
      <c r="PBT29" s="17"/>
      <c r="PBU29" s="17"/>
      <c r="PBV29" s="17"/>
      <c r="PBW29" s="17"/>
      <c r="PBX29" s="17"/>
      <c r="PBY29" s="17"/>
      <c r="PBZ29" s="17"/>
      <c r="PCA29" s="17"/>
      <c r="PCB29" s="17"/>
      <c r="PCC29" s="17"/>
      <c r="PCD29" s="17"/>
      <c r="PCE29" s="17"/>
      <c r="PCF29" s="17"/>
      <c r="PCG29" s="17"/>
      <c r="PCH29" s="17"/>
      <c r="PCI29" s="17"/>
      <c r="PCJ29" s="17"/>
      <c r="PCK29" s="17"/>
      <c r="PCL29" s="17"/>
      <c r="PCM29" s="17"/>
      <c r="PCN29" s="17"/>
      <c r="PCO29" s="17"/>
      <c r="PCP29" s="17"/>
      <c r="PCQ29" s="17"/>
      <c r="PCR29" s="17"/>
      <c r="PCS29" s="17"/>
      <c r="PCT29" s="17"/>
      <c r="PCU29" s="17"/>
      <c r="PCV29" s="17"/>
      <c r="PCW29" s="17"/>
      <c r="PCX29" s="17"/>
      <c r="PCY29" s="17"/>
      <c r="PCZ29" s="17"/>
      <c r="PDA29" s="17"/>
      <c r="PDB29" s="17"/>
      <c r="PDC29" s="17"/>
      <c r="PDD29" s="17"/>
      <c r="PDE29" s="17"/>
      <c r="PDF29" s="17"/>
      <c r="PDG29" s="17"/>
      <c r="PDH29" s="17"/>
      <c r="PDI29" s="17"/>
      <c r="PDJ29" s="17"/>
      <c r="PDK29" s="17"/>
      <c r="PDL29" s="17"/>
      <c r="PDM29" s="17"/>
      <c r="PDN29" s="17"/>
      <c r="PDO29" s="17"/>
      <c r="PDP29" s="17"/>
      <c r="PDQ29" s="17"/>
      <c r="PDR29" s="17"/>
      <c r="PDS29" s="17"/>
      <c r="PDT29" s="17"/>
      <c r="PDU29" s="17"/>
      <c r="PDV29" s="17"/>
      <c r="PDW29" s="17"/>
      <c r="PDX29" s="17"/>
      <c r="PDY29" s="17"/>
      <c r="PDZ29" s="17"/>
      <c r="PEA29" s="17"/>
      <c r="PEB29" s="17"/>
      <c r="PEC29" s="17"/>
      <c r="PED29" s="17"/>
      <c r="PEE29" s="17"/>
      <c r="PEF29" s="17"/>
      <c r="PEG29" s="17"/>
      <c r="PEH29" s="17"/>
      <c r="PEI29" s="17"/>
      <c r="PEJ29" s="17"/>
      <c r="PEK29" s="17"/>
      <c r="PEL29" s="17"/>
      <c r="PEM29" s="17"/>
      <c r="PEN29" s="17"/>
      <c r="PEO29" s="17"/>
      <c r="PEP29" s="17"/>
      <c r="PEQ29" s="17"/>
      <c r="PER29" s="17"/>
      <c r="PES29" s="17"/>
      <c r="PET29" s="17"/>
      <c r="PEU29" s="17"/>
      <c r="PEV29" s="17"/>
      <c r="PEW29" s="17"/>
      <c r="PEX29" s="17"/>
      <c r="PEY29" s="17"/>
      <c r="PEZ29" s="17"/>
      <c r="PFA29" s="17"/>
      <c r="PFB29" s="17"/>
      <c r="PFC29" s="17"/>
      <c r="PFD29" s="17"/>
      <c r="PFE29" s="17"/>
      <c r="PFF29" s="17"/>
      <c r="PFG29" s="17"/>
      <c r="PFH29" s="17"/>
      <c r="PFI29" s="17"/>
      <c r="PFJ29" s="17"/>
      <c r="PFK29" s="17"/>
      <c r="PFL29" s="17"/>
      <c r="PFM29" s="17"/>
      <c r="PFN29" s="17"/>
      <c r="PFO29" s="17"/>
      <c r="PFP29" s="17"/>
      <c r="PFQ29" s="17"/>
      <c r="PFR29" s="17"/>
      <c r="PFS29" s="17"/>
      <c r="PFT29" s="17"/>
      <c r="PFU29" s="17"/>
      <c r="PFV29" s="17"/>
      <c r="PFW29" s="17"/>
      <c r="PFX29" s="17"/>
      <c r="PFY29" s="17"/>
      <c r="PFZ29" s="17"/>
      <c r="PGA29" s="17"/>
      <c r="PGB29" s="17"/>
      <c r="PGC29" s="17"/>
      <c r="PGD29" s="17"/>
      <c r="PGE29" s="17"/>
      <c r="PGF29" s="17"/>
      <c r="PGG29" s="17"/>
      <c r="PGH29" s="17"/>
      <c r="PGI29" s="17"/>
      <c r="PGJ29" s="17"/>
      <c r="PGK29" s="17"/>
      <c r="PGL29" s="17"/>
      <c r="PGM29" s="17"/>
      <c r="PGN29" s="17"/>
      <c r="PGO29" s="17"/>
      <c r="PGP29" s="17"/>
      <c r="PGQ29" s="17"/>
      <c r="PGR29" s="17"/>
      <c r="PGS29" s="17"/>
      <c r="PGT29" s="17"/>
      <c r="PGU29" s="17"/>
      <c r="PGV29" s="17"/>
      <c r="PGW29" s="17"/>
      <c r="PGX29" s="17"/>
      <c r="PGY29" s="17"/>
      <c r="PGZ29" s="17"/>
      <c r="PHA29" s="17"/>
      <c r="PHB29" s="17"/>
      <c r="PHC29" s="17"/>
      <c r="PHD29" s="17"/>
      <c r="PHE29" s="17"/>
      <c r="PHF29" s="17"/>
      <c r="PHG29" s="17"/>
      <c r="PHH29" s="17"/>
      <c r="PHI29" s="17"/>
      <c r="PHJ29" s="17"/>
      <c r="PHK29" s="17"/>
      <c r="PHL29" s="17"/>
      <c r="PHM29" s="17"/>
      <c r="PHN29" s="17"/>
      <c r="PHO29" s="17"/>
      <c r="PHP29" s="17"/>
      <c r="PHQ29" s="17"/>
      <c r="PHR29" s="17"/>
      <c r="PHS29" s="17"/>
      <c r="PHT29" s="17"/>
      <c r="PHU29" s="17"/>
      <c r="PHV29" s="17"/>
      <c r="PHW29" s="17"/>
      <c r="PHX29" s="17"/>
      <c r="PHY29" s="17"/>
      <c r="PHZ29" s="17"/>
      <c r="PIA29" s="17"/>
      <c r="PIB29" s="17"/>
      <c r="PIC29" s="17"/>
      <c r="PID29" s="17"/>
      <c r="PIE29" s="17"/>
      <c r="PIF29" s="17"/>
      <c r="PIG29" s="17"/>
      <c r="PIH29" s="17"/>
      <c r="PII29" s="17"/>
      <c r="PIJ29" s="17"/>
      <c r="PIK29" s="17"/>
      <c r="PIL29" s="17"/>
      <c r="PIM29" s="17"/>
      <c r="PIN29" s="17"/>
      <c r="PIO29" s="17"/>
      <c r="PIP29" s="17"/>
      <c r="PIQ29" s="17"/>
      <c r="PIR29" s="17"/>
      <c r="PIS29" s="17"/>
      <c r="PIT29" s="17"/>
      <c r="PIU29" s="17"/>
      <c r="PIV29" s="17"/>
      <c r="PIW29" s="17"/>
      <c r="PIX29" s="17"/>
      <c r="PIY29" s="17"/>
      <c r="PIZ29" s="17"/>
      <c r="PJA29" s="17"/>
      <c r="PJB29" s="17"/>
      <c r="PJC29" s="17"/>
      <c r="PJD29" s="17"/>
      <c r="PJE29" s="17"/>
      <c r="PJF29" s="17"/>
      <c r="PJG29" s="17"/>
      <c r="PJH29" s="17"/>
      <c r="PJI29" s="17"/>
      <c r="PJJ29" s="17"/>
      <c r="PJK29" s="17"/>
      <c r="PJL29" s="17"/>
      <c r="PJM29" s="17"/>
      <c r="PJN29" s="17"/>
      <c r="PJO29" s="17"/>
      <c r="PJP29" s="17"/>
      <c r="PJQ29" s="17"/>
      <c r="PJR29" s="17"/>
      <c r="PJS29" s="17"/>
      <c r="PJT29" s="17"/>
      <c r="PJU29" s="17"/>
      <c r="PJV29" s="17"/>
      <c r="PJW29" s="17"/>
      <c r="PJX29" s="17"/>
      <c r="PJY29" s="17"/>
      <c r="PJZ29" s="17"/>
      <c r="PKA29" s="17"/>
      <c r="PKB29" s="17"/>
      <c r="PKC29" s="17"/>
      <c r="PKD29" s="17"/>
      <c r="PKE29" s="17"/>
      <c r="PKF29" s="17"/>
      <c r="PKG29" s="17"/>
      <c r="PKH29" s="17"/>
      <c r="PKI29" s="17"/>
      <c r="PKJ29" s="17"/>
      <c r="PKK29" s="17"/>
      <c r="PKL29" s="17"/>
      <c r="PKM29" s="17"/>
      <c r="PKN29" s="17"/>
      <c r="PKO29" s="17"/>
      <c r="PKP29" s="17"/>
      <c r="PKQ29" s="17"/>
      <c r="PKR29" s="17"/>
      <c r="PKS29" s="17"/>
      <c r="PKT29" s="17"/>
      <c r="PKU29" s="17"/>
      <c r="PKV29" s="17"/>
      <c r="PKW29" s="17"/>
      <c r="PKX29" s="17"/>
      <c r="PKY29" s="17"/>
      <c r="PKZ29" s="17"/>
      <c r="PLA29" s="17"/>
      <c r="PLB29" s="17"/>
      <c r="PLC29" s="17"/>
      <c r="PLD29" s="17"/>
      <c r="PLE29" s="17"/>
      <c r="PLF29" s="17"/>
      <c r="PLG29" s="17"/>
      <c r="PLH29" s="17"/>
      <c r="PLI29" s="17"/>
      <c r="PLJ29" s="17"/>
      <c r="PLK29" s="17"/>
      <c r="PLL29" s="17"/>
      <c r="PLM29" s="17"/>
      <c r="PLN29" s="17"/>
      <c r="PLO29" s="17"/>
      <c r="PLP29" s="17"/>
      <c r="PLQ29" s="17"/>
      <c r="PLR29" s="17"/>
      <c r="PLS29" s="17"/>
      <c r="PLT29" s="17"/>
      <c r="PLU29" s="17"/>
      <c r="PLV29" s="17"/>
      <c r="PLW29" s="17"/>
      <c r="PLX29" s="17"/>
      <c r="PLY29" s="17"/>
      <c r="PLZ29" s="17"/>
      <c r="PMA29" s="17"/>
      <c r="PMB29" s="17"/>
      <c r="PMC29" s="17"/>
      <c r="PMD29" s="17"/>
      <c r="PME29" s="17"/>
      <c r="PMF29" s="17"/>
      <c r="PMG29" s="17"/>
      <c r="PMH29" s="17"/>
      <c r="PMI29" s="17"/>
      <c r="PMJ29" s="17"/>
      <c r="PMK29" s="17"/>
      <c r="PML29" s="17"/>
      <c r="PMM29" s="17"/>
      <c r="PMN29" s="17"/>
      <c r="PMO29" s="17"/>
      <c r="PMP29" s="17"/>
      <c r="PMQ29" s="17"/>
      <c r="PMR29" s="17"/>
      <c r="PMS29" s="17"/>
      <c r="PMT29" s="17"/>
      <c r="PMU29" s="17"/>
      <c r="PMV29" s="17"/>
      <c r="PMW29" s="17"/>
      <c r="PMX29" s="17"/>
      <c r="PMY29" s="17"/>
      <c r="PMZ29" s="17"/>
      <c r="PNA29" s="17"/>
      <c r="PNB29" s="17"/>
      <c r="PNC29" s="17"/>
      <c r="PND29" s="17"/>
      <c r="PNE29" s="17"/>
      <c r="PNF29" s="17"/>
      <c r="PNG29" s="17"/>
      <c r="PNH29" s="17"/>
      <c r="PNI29" s="17"/>
      <c r="PNJ29" s="17"/>
      <c r="PNK29" s="17"/>
      <c r="PNL29" s="17"/>
      <c r="PNM29" s="17"/>
      <c r="PNN29" s="17"/>
      <c r="PNO29" s="17"/>
      <c r="PNP29" s="17"/>
      <c r="PNQ29" s="17"/>
      <c r="PNR29" s="17"/>
      <c r="PNS29" s="17"/>
      <c r="PNT29" s="17"/>
      <c r="PNU29" s="17"/>
      <c r="PNV29" s="17"/>
      <c r="PNW29" s="17"/>
      <c r="PNX29" s="17"/>
      <c r="PNY29" s="17"/>
      <c r="PNZ29" s="17"/>
      <c r="POA29" s="17"/>
      <c r="POB29" s="17"/>
      <c r="POC29" s="17"/>
      <c r="POD29" s="17"/>
      <c r="POE29" s="17"/>
      <c r="POF29" s="17"/>
      <c r="POG29" s="17"/>
      <c r="POH29" s="17"/>
      <c r="POI29" s="17"/>
      <c r="POJ29" s="17"/>
      <c r="POK29" s="17"/>
      <c r="POL29" s="17"/>
      <c r="POM29" s="17"/>
      <c r="PON29" s="17"/>
      <c r="POO29" s="17"/>
      <c r="POP29" s="17"/>
      <c r="POQ29" s="17"/>
      <c r="POR29" s="17"/>
      <c r="POS29" s="17"/>
      <c r="POT29" s="17"/>
      <c r="POU29" s="17"/>
      <c r="POV29" s="17"/>
      <c r="POW29" s="17"/>
      <c r="POX29" s="17"/>
      <c r="POY29" s="17"/>
      <c r="POZ29" s="17"/>
      <c r="PPA29" s="17"/>
      <c r="PPB29" s="17"/>
      <c r="PPC29" s="17"/>
      <c r="PPD29" s="17"/>
      <c r="PPE29" s="17"/>
      <c r="PPF29" s="17"/>
      <c r="PPG29" s="17"/>
      <c r="PPH29" s="17"/>
      <c r="PPI29" s="17"/>
      <c r="PPJ29" s="17"/>
      <c r="PPK29" s="17"/>
      <c r="PPL29" s="17"/>
      <c r="PPM29" s="17"/>
      <c r="PPN29" s="17"/>
      <c r="PPO29" s="17"/>
      <c r="PPP29" s="17"/>
      <c r="PPQ29" s="17"/>
      <c r="PPR29" s="17"/>
      <c r="PPS29" s="17"/>
      <c r="PPT29" s="17"/>
      <c r="PPU29" s="17"/>
      <c r="PPV29" s="17"/>
      <c r="PPW29" s="17"/>
      <c r="PPX29" s="17"/>
      <c r="PPY29" s="17"/>
      <c r="PPZ29" s="17"/>
      <c r="PQA29" s="17"/>
      <c r="PQB29" s="17"/>
      <c r="PQC29" s="17"/>
      <c r="PQD29" s="17"/>
      <c r="PQE29" s="17"/>
      <c r="PQF29" s="17"/>
      <c r="PQG29" s="17"/>
      <c r="PQH29" s="17"/>
      <c r="PQI29" s="17"/>
      <c r="PQJ29" s="17"/>
      <c r="PQK29" s="17"/>
      <c r="PQL29" s="17"/>
      <c r="PQM29" s="17"/>
      <c r="PQN29" s="17"/>
      <c r="PQO29" s="17"/>
      <c r="PQP29" s="17"/>
      <c r="PQQ29" s="17"/>
      <c r="PQR29" s="17"/>
      <c r="PQS29" s="17"/>
      <c r="PQT29" s="17"/>
      <c r="PQU29" s="17"/>
      <c r="PQV29" s="17"/>
      <c r="PQW29" s="17"/>
      <c r="PQX29" s="17"/>
      <c r="PQY29" s="17"/>
      <c r="PQZ29" s="17"/>
      <c r="PRA29" s="17"/>
      <c r="PRB29" s="17"/>
      <c r="PRC29" s="17"/>
      <c r="PRD29" s="17"/>
      <c r="PRE29" s="17"/>
      <c r="PRF29" s="17"/>
      <c r="PRG29" s="17"/>
      <c r="PRH29" s="17"/>
      <c r="PRI29" s="17"/>
      <c r="PRJ29" s="17"/>
      <c r="PRK29" s="17"/>
      <c r="PRL29" s="17"/>
      <c r="PRM29" s="17"/>
      <c r="PRN29" s="17"/>
      <c r="PRO29" s="17"/>
      <c r="PRP29" s="17"/>
      <c r="PRQ29" s="17"/>
      <c r="PRR29" s="17"/>
      <c r="PRS29" s="17"/>
      <c r="PRT29" s="17"/>
      <c r="PRU29" s="17"/>
      <c r="PRV29" s="17"/>
      <c r="PRW29" s="17"/>
      <c r="PRX29" s="17"/>
      <c r="PRY29" s="17"/>
      <c r="PRZ29" s="17"/>
      <c r="PSA29" s="17"/>
      <c r="PSB29" s="17"/>
      <c r="PSC29" s="17"/>
      <c r="PSD29" s="17"/>
      <c r="PSE29" s="17"/>
      <c r="PSF29" s="17"/>
      <c r="PSG29" s="17"/>
      <c r="PSH29" s="17"/>
      <c r="PSI29" s="17"/>
      <c r="PSJ29" s="17"/>
      <c r="PSK29" s="17"/>
      <c r="PSL29" s="17"/>
      <c r="PSM29" s="17"/>
      <c r="PSN29" s="17"/>
      <c r="PSO29" s="17"/>
      <c r="PSP29" s="17"/>
      <c r="PSQ29" s="17"/>
      <c r="PSR29" s="17"/>
      <c r="PSS29" s="17"/>
      <c r="PST29" s="17"/>
      <c r="PSU29" s="17"/>
      <c r="PSV29" s="17"/>
      <c r="PSW29" s="17"/>
      <c r="PSX29" s="17"/>
      <c r="PSY29" s="17"/>
      <c r="PSZ29" s="17"/>
      <c r="PTA29" s="17"/>
      <c r="PTB29" s="17"/>
      <c r="PTC29" s="17"/>
      <c r="PTD29" s="17"/>
      <c r="PTE29" s="17"/>
      <c r="PTF29" s="17"/>
      <c r="PTG29" s="17"/>
      <c r="PTH29" s="17"/>
      <c r="PTI29" s="17"/>
      <c r="PTJ29" s="17"/>
      <c r="PTK29" s="17"/>
      <c r="PTL29" s="17"/>
      <c r="PTM29" s="17"/>
      <c r="PTN29" s="17"/>
      <c r="PTO29" s="17"/>
      <c r="PTP29" s="17"/>
      <c r="PTQ29" s="17"/>
      <c r="PTR29" s="17"/>
      <c r="PTS29" s="17"/>
      <c r="PTT29" s="17"/>
      <c r="PTU29" s="17"/>
      <c r="PTV29" s="17"/>
      <c r="PTW29" s="17"/>
      <c r="PTX29" s="17"/>
      <c r="PTY29" s="17"/>
      <c r="PTZ29" s="17"/>
      <c r="PUA29" s="17"/>
      <c r="PUB29" s="17"/>
      <c r="PUC29" s="17"/>
      <c r="PUD29" s="17"/>
      <c r="PUE29" s="17"/>
      <c r="PUF29" s="17"/>
      <c r="PUG29" s="17"/>
      <c r="PUH29" s="17"/>
      <c r="PUI29" s="17"/>
      <c r="PUJ29" s="17"/>
      <c r="PUK29" s="17"/>
      <c r="PUL29" s="17"/>
      <c r="PUM29" s="17"/>
      <c r="PUN29" s="17"/>
      <c r="PUO29" s="17"/>
      <c r="PUP29" s="17"/>
      <c r="PUQ29" s="17"/>
      <c r="PUR29" s="17"/>
      <c r="PUS29" s="17"/>
      <c r="PUT29" s="17"/>
      <c r="PUU29" s="17"/>
      <c r="PUV29" s="17"/>
      <c r="PUW29" s="17"/>
      <c r="PUX29" s="17"/>
      <c r="PUY29" s="17"/>
      <c r="PUZ29" s="17"/>
      <c r="PVA29" s="17"/>
      <c r="PVB29" s="17"/>
      <c r="PVC29" s="17"/>
      <c r="PVD29" s="17"/>
      <c r="PVE29" s="17"/>
      <c r="PVF29" s="17"/>
      <c r="PVG29" s="17"/>
      <c r="PVH29" s="17"/>
      <c r="PVI29" s="17"/>
      <c r="PVJ29" s="17"/>
      <c r="PVK29" s="17"/>
      <c r="PVL29" s="17"/>
      <c r="PVM29" s="17"/>
      <c r="PVN29" s="17"/>
      <c r="PVO29" s="17"/>
      <c r="PVP29" s="17"/>
      <c r="PVQ29" s="17"/>
      <c r="PVR29" s="17"/>
      <c r="PVS29" s="17"/>
      <c r="PVT29" s="17"/>
      <c r="PVU29" s="17"/>
      <c r="PVV29" s="17"/>
      <c r="PVW29" s="17"/>
      <c r="PVX29" s="17"/>
      <c r="PVY29" s="17"/>
      <c r="PVZ29" s="17"/>
      <c r="PWA29" s="17"/>
      <c r="PWB29" s="17"/>
      <c r="PWC29" s="17"/>
      <c r="PWD29" s="17"/>
      <c r="PWE29" s="17"/>
      <c r="PWF29" s="17"/>
      <c r="PWG29" s="17"/>
      <c r="PWH29" s="17"/>
      <c r="PWI29" s="17"/>
      <c r="PWJ29" s="17"/>
      <c r="PWK29" s="17"/>
      <c r="PWL29" s="17"/>
      <c r="PWM29" s="17"/>
      <c r="PWN29" s="17"/>
      <c r="PWO29" s="17"/>
      <c r="PWP29" s="17"/>
      <c r="PWQ29" s="17"/>
      <c r="PWR29" s="17"/>
      <c r="PWS29" s="17"/>
      <c r="PWT29" s="17"/>
      <c r="PWU29" s="17"/>
      <c r="PWV29" s="17"/>
      <c r="PWW29" s="17"/>
      <c r="PWX29" s="17"/>
      <c r="PWY29" s="17"/>
      <c r="PWZ29" s="17"/>
      <c r="PXA29" s="17"/>
      <c r="PXB29" s="17"/>
      <c r="PXC29" s="17"/>
      <c r="PXD29" s="17"/>
      <c r="PXE29" s="17"/>
      <c r="PXF29" s="17"/>
      <c r="PXG29" s="17"/>
      <c r="PXH29" s="17"/>
      <c r="PXI29" s="17"/>
      <c r="PXJ29" s="17"/>
      <c r="PXK29" s="17"/>
      <c r="PXL29" s="17"/>
      <c r="PXM29" s="17"/>
      <c r="PXN29" s="17"/>
      <c r="PXO29" s="17"/>
      <c r="PXP29" s="17"/>
      <c r="PXQ29" s="17"/>
      <c r="PXR29" s="17"/>
      <c r="PXS29" s="17"/>
      <c r="PXT29" s="17"/>
      <c r="PXU29" s="17"/>
      <c r="PXV29" s="17"/>
      <c r="PXW29" s="17"/>
      <c r="PXX29" s="17"/>
      <c r="PXY29" s="17"/>
      <c r="PXZ29" s="17"/>
      <c r="PYA29" s="17"/>
      <c r="PYB29" s="17"/>
      <c r="PYC29" s="17"/>
      <c r="PYD29" s="17"/>
      <c r="PYE29" s="17"/>
      <c r="PYF29" s="17"/>
      <c r="PYG29" s="17"/>
      <c r="PYH29" s="17"/>
      <c r="PYI29" s="17"/>
      <c r="PYJ29" s="17"/>
      <c r="PYK29" s="17"/>
      <c r="PYL29" s="17"/>
      <c r="PYM29" s="17"/>
      <c r="PYN29" s="17"/>
      <c r="PYO29" s="17"/>
      <c r="PYP29" s="17"/>
      <c r="PYQ29" s="17"/>
      <c r="PYR29" s="17"/>
      <c r="PYS29" s="17"/>
      <c r="PYT29" s="17"/>
      <c r="PYU29" s="17"/>
      <c r="PYV29" s="17"/>
      <c r="PYW29" s="17"/>
      <c r="PYX29" s="17"/>
      <c r="PYY29" s="17"/>
      <c r="PYZ29" s="17"/>
      <c r="PZA29" s="17"/>
      <c r="PZB29" s="17"/>
      <c r="PZC29" s="17"/>
      <c r="PZD29" s="17"/>
      <c r="PZE29" s="17"/>
      <c r="PZF29" s="17"/>
      <c r="PZG29" s="17"/>
      <c r="PZH29" s="17"/>
      <c r="PZI29" s="17"/>
      <c r="PZJ29" s="17"/>
      <c r="PZK29" s="17"/>
      <c r="PZL29" s="17"/>
      <c r="PZM29" s="17"/>
      <c r="PZN29" s="17"/>
      <c r="PZO29" s="17"/>
      <c r="PZP29" s="17"/>
      <c r="PZQ29" s="17"/>
      <c r="PZR29" s="17"/>
      <c r="PZS29" s="17"/>
      <c r="PZT29" s="17"/>
      <c r="PZU29" s="17"/>
      <c r="PZV29" s="17"/>
      <c r="PZW29" s="17"/>
      <c r="PZX29" s="17"/>
      <c r="PZY29" s="17"/>
      <c r="PZZ29" s="17"/>
      <c r="QAA29" s="17"/>
      <c r="QAB29" s="17"/>
      <c r="QAC29" s="17"/>
      <c r="QAD29" s="17"/>
      <c r="QAE29" s="17"/>
      <c r="QAF29" s="17"/>
      <c r="QAG29" s="17"/>
      <c r="QAH29" s="17"/>
      <c r="QAI29" s="17"/>
      <c r="QAJ29" s="17"/>
      <c r="QAK29" s="17"/>
      <c r="QAL29" s="17"/>
      <c r="QAM29" s="17"/>
      <c r="QAN29" s="17"/>
      <c r="QAO29" s="17"/>
      <c r="QAP29" s="17"/>
      <c r="QAQ29" s="17"/>
      <c r="QAR29" s="17"/>
      <c r="QAS29" s="17"/>
      <c r="QAT29" s="17"/>
      <c r="QAU29" s="17"/>
      <c r="QAV29" s="17"/>
      <c r="QAW29" s="17"/>
      <c r="QAX29" s="17"/>
      <c r="QAY29" s="17"/>
      <c r="QAZ29" s="17"/>
      <c r="QBA29" s="17"/>
      <c r="QBB29" s="17"/>
      <c r="QBC29" s="17"/>
      <c r="QBD29" s="17"/>
      <c r="QBE29" s="17"/>
      <c r="QBF29" s="17"/>
      <c r="QBG29" s="17"/>
      <c r="QBH29" s="17"/>
      <c r="QBI29" s="17"/>
      <c r="QBJ29" s="17"/>
      <c r="QBK29" s="17"/>
      <c r="QBL29" s="17"/>
      <c r="QBM29" s="17"/>
      <c r="QBN29" s="17"/>
      <c r="QBO29" s="17"/>
      <c r="QBP29" s="17"/>
      <c r="QBQ29" s="17"/>
      <c r="QBR29" s="17"/>
      <c r="QBS29" s="17"/>
      <c r="QBT29" s="17"/>
      <c r="QBU29" s="17"/>
      <c r="QBV29" s="17"/>
      <c r="QBW29" s="17"/>
      <c r="QBX29" s="17"/>
      <c r="QBY29" s="17"/>
      <c r="QBZ29" s="17"/>
      <c r="QCA29" s="17"/>
      <c r="QCB29" s="17"/>
      <c r="QCC29" s="17"/>
      <c r="QCD29" s="17"/>
      <c r="QCE29" s="17"/>
      <c r="QCF29" s="17"/>
      <c r="QCG29" s="17"/>
      <c r="QCH29" s="17"/>
      <c r="QCI29" s="17"/>
      <c r="QCJ29" s="17"/>
      <c r="QCK29" s="17"/>
      <c r="QCL29" s="17"/>
      <c r="QCM29" s="17"/>
      <c r="QCN29" s="17"/>
      <c r="QCO29" s="17"/>
      <c r="QCP29" s="17"/>
      <c r="QCQ29" s="17"/>
      <c r="QCR29" s="17"/>
      <c r="QCS29" s="17"/>
      <c r="QCT29" s="17"/>
      <c r="QCU29" s="17"/>
      <c r="QCV29" s="17"/>
      <c r="QCW29" s="17"/>
      <c r="QCX29" s="17"/>
      <c r="QCY29" s="17"/>
      <c r="QCZ29" s="17"/>
      <c r="QDA29" s="17"/>
      <c r="QDB29" s="17"/>
      <c r="QDC29" s="17"/>
      <c r="QDD29" s="17"/>
      <c r="QDE29" s="17"/>
      <c r="QDF29" s="17"/>
      <c r="QDG29" s="17"/>
      <c r="QDH29" s="17"/>
      <c r="QDI29" s="17"/>
      <c r="QDJ29" s="17"/>
      <c r="QDK29" s="17"/>
      <c r="QDL29" s="17"/>
      <c r="QDM29" s="17"/>
      <c r="QDN29" s="17"/>
      <c r="QDO29" s="17"/>
      <c r="QDP29" s="17"/>
      <c r="QDQ29" s="17"/>
      <c r="QDR29" s="17"/>
      <c r="QDS29" s="17"/>
      <c r="QDT29" s="17"/>
      <c r="QDU29" s="17"/>
      <c r="QDV29" s="17"/>
      <c r="QDW29" s="17"/>
      <c r="QDX29" s="17"/>
      <c r="QDY29" s="17"/>
      <c r="QDZ29" s="17"/>
      <c r="QEA29" s="17"/>
      <c r="QEB29" s="17"/>
      <c r="QEC29" s="17"/>
      <c r="QED29" s="17"/>
      <c r="QEE29" s="17"/>
      <c r="QEF29" s="17"/>
      <c r="QEG29" s="17"/>
      <c r="QEH29" s="17"/>
      <c r="QEI29" s="17"/>
      <c r="QEJ29" s="17"/>
      <c r="QEK29" s="17"/>
      <c r="QEL29" s="17"/>
      <c r="QEM29" s="17"/>
      <c r="QEN29" s="17"/>
      <c r="QEO29" s="17"/>
      <c r="QEP29" s="17"/>
      <c r="QEQ29" s="17"/>
      <c r="QER29" s="17"/>
      <c r="QES29" s="17"/>
      <c r="QET29" s="17"/>
      <c r="QEU29" s="17"/>
      <c r="QEV29" s="17"/>
      <c r="QEW29" s="17"/>
      <c r="QEX29" s="17"/>
      <c r="QEY29" s="17"/>
      <c r="QEZ29" s="17"/>
      <c r="QFA29" s="17"/>
      <c r="QFB29" s="17"/>
      <c r="QFC29" s="17"/>
      <c r="QFD29" s="17"/>
      <c r="QFE29" s="17"/>
      <c r="QFF29" s="17"/>
      <c r="QFG29" s="17"/>
      <c r="QFH29" s="17"/>
      <c r="QFI29" s="17"/>
      <c r="QFJ29" s="17"/>
      <c r="QFK29" s="17"/>
      <c r="QFL29" s="17"/>
      <c r="QFM29" s="17"/>
      <c r="QFN29" s="17"/>
      <c r="QFO29" s="17"/>
      <c r="QFP29" s="17"/>
      <c r="QFQ29" s="17"/>
      <c r="QFR29" s="17"/>
      <c r="QFS29" s="17"/>
      <c r="QFT29" s="17"/>
      <c r="QFU29" s="17"/>
      <c r="QFV29" s="17"/>
      <c r="QFW29" s="17"/>
      <c r="QFX29" s="17"/>
      <c r="QFY29" s="17"/>
      <c r="QFZ29" s="17"/>
      <c r="QGA29" s="17"/>
      <c r="QGB29" s="17"/>
      <c r="QGC29" s="17"/>
      <c r="QGD29" s="17"/>
      <c r="QGE29" s="17"/>
      <c r="QGF29" s="17"/>
      <c r="QGG29" s="17"/>
      <c r="QGH29" s="17"/>
      <c r="QGI29" s="17"/>
      <c r="QGJ29" s="17"/>
      <c r="QGK29" s="17"/>
      <c r="QGL29" s="17"/>
      <c r="QGM29" s="17"/>
      <c r="QGN29" s="17"/>
      <c r="QGO29" s="17"/>
      <c r="QGP29" s="17"/>
      <c r="QGQ29" s="17"/>
      <c r="QGR29" s="17"/>
      <c r="QGS29" s="17"/>
      <c r="QGT29" s="17"/>
      <c r="QGU29" s="17"/>
      <c r="QGV29" s="17"/>
      <c r="QGW29" s="17"/>
      <c r="QGX29" s="17"/>
      <c r="QGY29" s="17"/>
      <c r="QGZ29" s="17"/>
      <c r="QHA29" s="17"/>
      <c r="QHB29" s="17"/>
      <c r="QHC29" s="17"/>
      <c r="QHD29" s="17"/>
      <c r="QHE29" s="17"/>
      <c r="QHF29" s="17"/>
      <c r="QHG29" s="17"/>
      <c r="QHH29" s="17"/>
      <c r="QHI29" s="17"/>
      <c r="QHJ29" s="17"/>
      <c r="QHK29" s="17"/>
      <c r="QHL29" s="17"/>
      <c r="QHM29" s="17"/>
      <c r="QHN29" s="17"/>
      <c r="QHO29" s="17"/>
      <c r="QHP29" s="17"/>
      <c r="QHQ29" s="17"/>
      <c r="QHR29" s="17"/>
      <c r="QHS29" s="17"/>
      <c r="QHT29" s="17"/>
      <c r="QHU29" s="17"/>
      <c r="QHV29" s="17"/>
      <c r="QHW29" s="17"/>
      <c r="QHX29" s="17"/>
      <c r="QHY29" s="17"/>
      <c r="QHZ29" s="17"/>
      <c r="QIA29" s="17"/>
      <c r="QIB29" s="17"/>
      <c r="QIC29" s="17"/>
      <c r="QID29" s="17"/>
      <c r="QIE29" s="17"/>
      <c r="QIF29" s="17"/>
      <c r="QIG29" s="17"/>
      <c r="QIH29" s="17"/>
      <c r="QII29" s="17"/>
      <c r="QIJ29" s="17"/>
      <c r="QIK29" s="17"/>
      <c r="QIL29" s="17"/>
      <c r="QIM29" s="17"/>
      <c r="QIN29" s="17"/>
      <c r="QIO29" s="17"/>
      <c r="QIP29" s="17"/>
      <c r="QIQ29" s="17"/>
      <c r="QIR29" s="17"/>
      <c r="QIS29" s="17"/>
      <c r="QIT29" s="17"/>
      <c r="QIU29" s="17"/>
      <c r="QIV29" s="17"/>
      <c r="QIW29" s="17"/>
      <c r="QIX29" s="17"/>
      <c r="QIY29" s="17"/>
      <c r="QIZ29" s="17"/>
      <c r="QJA29" s="17"/>
      <c r="QJB29" s="17"/>
      <c r="QJC29" s="17"/>
      <c r="QJD29" s="17"/>
      <c r="QJE29" s="17"/>
      <c r="QJF29" s="17"/>
      <c r="QJG29" s="17"/>
      <c r="QJH29" s="17"/>
      <c r="QJI29" s="17"/>
      <c r="QJJ29" s="17"/>
      <c r="QJK29" s="17"/>
      <c r="QJL29" s="17"/>
      <c r="QJM29" s="17"/>
      <c r="QJN29" s="17"/>
      <c r="QJO29" s="17"/>
      <c r="QJP29" s="17"/>
      <c r="QJQ29" s="17"/>
      <c r="QJR29" s="17"/>
      <c r="QJS29" s="17"/>
      <c r="QJT29" s="17"/>
      <c r="QJU29" s="17"/>
      <c r="QJV29" s="17"/>
      <c r="QJW29" s="17"/>
      <c r="QJX29" s="17"/>
      <c r="QJY29" s="17"/>
      <c r="QJZ29" s="17"/>
      <c r="QKA29" s="17"/>
      <c r="QKB29" s="17"/>
      <c r="QKC29" s="17"/>
      <c r="QKD29" s="17"/>
      <c r="QKE29" s="17"/>
      <c r="QKF29" s="17"/>
      <c r="QKG29" s="17"/>
      <c r="QKH29" s="17"/>
      <c r="QKI29" s="17"/>
      <c r="QKJ29" s="17"/>
      <c r="QKK29" s="17"/>
      <c r="QKL29" s="17"/>
      <c r="QKM29" s="17"/>
      <c r="QKN29" s="17"/>
      <c r="QKO29" s="17"/>
      <c r="QKP29" s="17"/>
      <c r="QKQ29" s="17"/>
      <c r="QKR29" s="17"/>
      <c r="QKS29" s="17"/>
      <c r="QKT29" s="17"/>
      <c r="QKU29" s="17"/>
      <c r="QKV29" s="17"/>
      <c r="QKW29" s="17"/>
      <c r="QKX29" s="17"/>
      <c r="QKY29" s="17"/>
      <c r="QKZ29" s="17"/>
      <c r="QLA29" s="17"/>
      <c r="QLB29" s="17"/>
      <c r="QLC29" s="17"/>
      <c r="QLD29" s="17"/>
      <c r="QLE29" s="17"/>
      <c r="QLF29" s="17"/>
      <c r="QLG29" s="17"/>
      <c r="QLH29" s="17"/>
      <c r="QLI29" s="17"/>
      <c r="QLJ29" s="17"/>
      <c r="QLK29" s="17"/>
      <c r="QLL29" s="17"/>
      <c r="QLM29" s="17"/>
      <c r="QLN29" s="17"/>
      <c r="QLO29" s="17"/>
      <c r="QLP29" s="17"/>
      <c r="QLQ29" s="17"/>
      <c r="QLR29" s="17"/>
      <c r="QLS29" s="17"/>
      <c r="QLT29" s="17"/>
      <c r="QLU29" s="17"/>
      <c r="QLV29" s="17"/>
      <c r="QLW29" s="17"/>
      <c r="QLX29" s="17"/>
      <c r="QLY29" s="17"/>
      <c r="QLZ29" s="17"/>
      <c r="QMA29" s="17"/>
      <c r="QMB29" s="17"/>
      <c r="QMC29" s="17"/>
      <c r="QMD29" s="17"/>
      <c r="QME29" s="17"/>
      <c r="QMF29" s="17"/>
      <c r="QMG29" s="17"/>
      <c r="QMH29" s="17"/>
      <c r="QMI29" s="17"/>
      <c r="QMJ29" s="17"/>
      <c r="QMK29" s="17"/>
      <c r="QML29" s="17"/>
      <c r="QMM29" s="17"/>
      <c r="QMN29" s="17"/>
      <c r="QMO29" s="17"/>
      <c r="QMP29" s="17"/>
      <c r="QMQ29" s="17"/>
      <c r="QMR29" s="17"/>
      <c r="QMS29" s="17"/>
      <c r="QMT29" s="17"/>
      <c r="QMU29" s="17"/>
      <c r="QMV29" s="17"/>
      <c r="QMW29" s="17"/>
      <c r="QMX29" s="17"/>
      <c r="QMY29" s="17"/>
      <c r="QMZ29" s="17"/>
      <c r="QNA29" s="17"/>
      <c r="QNB29" s="17"/>
      <c r="QNC29" s="17"/>
      <c r="QND29" s="17"/>
      <c r="QNE29" s="17"/>
      <c r="QNF29" s="17"/>
      <c r="QNG29" s="17"/>
      <c r="QNH29" s="17"/>
      <c r="QNI29" s="17"/>
      <c r="QNJ29" s="17"/>
      <c r="QNK29" s="17"/>
      <c r="QNL29" s="17"/>
      <c r="QNM29" s="17"/>
      <c r="QNN29" s="17"/>
      <c r="QNO29" s="17"/>
      <c r="QNP29" s="17"/>
      <c r="QNQ29" s="17"/>
      <c r="QNR29" s="17"/>
      <c r="QNS29" s="17"/>
      <c r="QNT29" s="17"/>
      <c r="QNU29" s="17"/>
      <c r="QNV29" s="17"/>
      <c r="QNW29" s="17"/>
      <c r="QNX29" s="17"/>
      <c r="QNY29" s="17"/>
      <c r="QNZ29" s="17"/>
      <c r="QOA29" s="17"/>
      <c r="QOB29" s="17"/>
      <c r="QOC29" s="17"/>
      <c r="QOD29" s="17"/>
      <c r="QOE29" s="17"/>
      <c r="QOF29" s="17"/>
      <c r="QOG29" s="17"/>
      <c r="QOH29" s="17"/>
      <c r="QOI29" s="17"/>
      <c r="QOJ29" s="17"/>
      <c r="QOK29" s="17"/>
      <c r="QOL29" s="17"/>
      <c r="QOM29" s="17"/>
      <c r="QON29" s="17"/>
      <c r="QOO29" s="17"/>
      <c r="QOP29" s="17"/>
      <c r="QOQ29" s="17"/>
      <c r="QOR29" s="17"/>
      <c r="QOS29" s="17"/>
      <c r="QOT29" s="17"/>
      <c r="QOU29" s="17"/>
      <c r="QOV29" s="17"/>
      <c r="QOW29" s="17"/>
      <c r="QOX29" s="17"/>
      <c r="QOY29" s="17"/>
      <c r="QOZ29" s="17"/>
      <c r="QPA29" s="17"/>
      <c r="QPB29" s="17"/>
      <c r="QPC29" s="17"/>
      <c r="QPD29" s="17"/>
      <c r="QPE29" s="17"/>
      <c r="QPF29" s="17"/>
      <c r="QPG29" s="17"/>
      <c r="QPH29" s="17"/>
      <c r="QPI29" s="17"/>
      <c r="QPJ29" s="17"/>
      <c r="QPK29" s="17"/>
      <c r="QPL29" s="17"/>
      <c r="QPM29" s="17"/>
      <c r="QPN29" s="17"/>
      <c r="QPO29" s="17"/>
      <c r="QPP29" s="17"/>
      <c r="QPQ29" s="17"/>
      <c r="QPR29" s="17"/>
      <c r="QPS29" s="17"/>
      <c r="QPT29" s="17"/>
      <c r="QPU29" s="17"/>
      <c r="QPV29" s="17"/>
      <c r="QPW29" s="17"/>
      <c r="QPX29" s="17"/>
      <c r="QPY29" s="17"/>
      <c r="QPZ29" s="17"/>
      <c r="QQA29" s="17"/>
      <c r="QQB29" s="17"/>
      <c r="QQC29" s="17"/>
      <c r="QQD29" s="17"/>
      <c r="QQE29" s="17"/>
      <c r="QQF29" s="17"/>
      <c r="QQG29" s="17"/>
      <c r="QQH29" s="17"/>
      <c r="QQI29" s="17"/>
      <c r="QQJ29" s="17"/>
      <c r="QQK29" s="17"/>
      <c r="QQL29" s="17"/>
      <c r="QQM29" s="17"/>
      <c r="QQN29" s="17"/>
      <c r="QQO29" s="17"/>
      <c r="QQP29" s="17"/>
      <c r="QQQ29" s="17"/>
      <c r="QQR29" s="17"/>
      <c r="QQS29" s="17"/>
      <c r="QQT29" s="17"/>
      <c r="QQU29" s="17"/>
      <c r="QQV29" s="17"/>
      <c r="QQW29" s="17"/>
      <c r="QQX29" s="17"/>
      <c r="QQY29" s="17"/>
      <c r="QQZ29" s="17"/>
      <c r="QRA29" s="17"/>
      <c r="QRB29" s="17"/>
      <c r="QRC29" s="17"/>
      <c r="QRD29" s="17"/>
      <c r="QRE29" s="17"/>
      <c r="QRF29" s="17"/>
      <c r="QRG29" s="17"/>
      <c r="QRH29" s="17"/>
      <c r="QRI29" s="17"/>
      <c r="QRJ29" s="17"/>
      <c r="QRK29" s="17"/>
      <c r="QRL29" s="17"/>
      <c r="QRM29" s="17"/>
      <c r="QRN29" s="17"/>
      <c r="QRO29" s="17"/>
      <c r="QRP29" s="17"/>
      <c r="QRQ29" s="17"/>
      <c r="QRR29" s="17"/>
      <c r="QRS29" s="17"/>
      <c r="QRT29" s="17"/>
      <c r="QRU29" s="17"/>
      <c r="QRV29" s="17"/>
      <c r="QRW29" s="17"/>
      <c r="QRX29" s="17"/>
      <c r="QRY29" s="17"/>
      <c r="QRZ29" s="17"/>
      <c r="QSA29" s="17"/>
      <c r="QSB29" s="17"/>
      <c r="QSC29" s="17"/>
      <c r="QSD29" s="17"/>
      <c r="QSE29" s="17"/>
      <c r="QSF29" s="17"/>
      <c r="QSG29" s="17"/>
      <c r="QSH29" s="17"/>
      <c r="QSI29" s="17"/>
      <c r="QSJ29" s="17"/>
      <c r="QSK29" s="17"/>
      <c r="QSL29" s="17"/>
      <c r="QSM29" s="17"/>
      <c r="QSN29" s="17"/>
      <c r="QSO29" s="17"/>
      <c r="QSP29" s="17"/>
      <c r="QSQ29" s="17"/>
      <c r="QSR29" s="17"/>
      <c r="QSS29" s="17"/>
      <c r="QST29" s="17"/>
      <c r="QSU29" s="17"/>
      <c r="QSV29" s="17"/>
      <c r="QSW29" s="17"/>
      <c r="QSX29" s="17"/>
      <c r="QSY29" s="17"/>
      <c r="QSZ29" s="17"/>
      <c r="QTA29" s="17"/>
      <c r="QTB29" s="17"/>
      <c r="QTC29" s="17"/>
      <c r="QTD29" s="17"/>
      <c r="QTE29" s="17"/>
      <c r="QTF29" s="17"/>
      <c r="QTG29" s="17"/>
      <c r="QTH29" s="17"/>
      <c r="QTI29" s="17"/>
      <c r="QTJ29" s="17"/>
      <c r="QTK29" s="17"/>
      <c r="QTL29" s="17"/>
      <c r="QTM29" s="17"/>
      <c r="QTN29" s="17"/>
      <c r="QTO29" s="17"/>
      <c r="QTP29" s="17"/>
      <c r="QTQ29" s="17"/>
      <c r="QTR29" s="17"/>
      <c r="QTS29" s="17"/>
      <c r="QTT29" s="17"/>
      <c r="QTU29" s="17"/>
      <c r="QTV29" s="17"/>
      <c r="QTW29" s="17"/>
      <c r="QTX29" s="17"/>
      <c r="QTY29" s="17"/>
      <c r="QTZ29" s="17"/>
      <c r="QUA29" s="17"/>
      <c r="QUB29" s="17"/>
      <c r="QUC29" s="17"/>
      <c r="QUD29" s="17"/>
      <c r="QUE29" s="17"/>
      <c r="QUF29" s="17"/>
      <c r="QUG29" s="17"/>
      <c r="QUH29" s="17"/>
      <c r="QUI29" s="17"/>
      <c r="QUJ29" s="17"/>
      <c r="QUK29" s="17"/>
      <c r="QUL29" s="17"/>
      <c r="QUM29" s="17"/>
      <c r="QUN29" s="17"/>
      <c r="QUO29" s="17"/>
      <c r="QUP29" s="17"/>
      <c r="QUQ29" s="17"/>
      <c r="QUR29" s="17"/>
      <c r="QUS29" s="17"/>
      <c r="QUT29" s="17"/>
      <c r="QUU29" s="17"/>
      <c r="QUV29" s="17"/>
      <c r="QUW29" s="17"/>
      <c r="QUX29" s="17"/>
      <c r="QUY29" s="17"/>
      <c r="QUZ29" s="17"/>
      <c r="QVA29" s="17"/>
      <c r="QVB29" s="17"/>
      <c r="QVC29" s="17"/>
      <c r="QVD29" s="17"/>
      <c r="QVE29" s="17"/>
      <c r="QVF29" s="17"/>
      <c r="QVG29" s="17"/>
      <c r="QVH29" s="17"/>
      <c r="QVI29" s="17"/>
      <c r="QVJ29" s="17"/>
      <c r="QVK29" s="17"/>
      <c r="QVL29" s="17"/>
      <c r="QVM29" s="17"/>
      <c r="QVN29" s="17"/>
      <c r="QVO29" s="17"/>
      <c r="QVP29" s="17"/>
      <c r="QVQ29" s="17"/>
      <c r="QVR29" s="17"/>
      <c r="QVS29" s="17"/>
      <c r="QVT29" s="17"/>
      <c r="QVU29" s="17"/>
      <c r="QVV29" s="17"/>
      <c r="QVW29" s="17"/>
      <c r="QVX29" s="17"/>
      <c r="QVY29" s="17"/>
      <c r="QVZ29" s="17"/>
      <c r="QWA29" s="17"/>
      <c r="QWB29" s="17"/>
      <c r="QWC29" s="17"/>
      <c r="QWD29" s="17"/>
      <c r="QWE29" s="17"/>
      <c r="QWF29" s="17"/>
      <c r="QWG29" s="17"/>
      <c r="QWH29" s="17"/>
      <c r="QWI29" s="17"/>
      <c r="QWJ29" s="17"/>
      <c r="QWK29" s="17"/>
      <c r="QWL29" s="17"/>
      <c r="QWM29" s="17"/>
      <c r="QWN29" s="17"/>
      <c r="QWO29" s="17"/>
      <c r="QWP29" s="17"/>
      <c r="QWQ29" s="17"/>
      <c r="QWR29" s="17"/>
      <c r="QWS29" s="17"/>
      <c r="QWT29" s="17"/>
      <c r="QWU29" s="17"/>
      <c r="QWV29" s="17"/>
      <c r="QWW29" s="17"/>
      <c r="QWX29" s="17"/>
      <c r="QWY29" s="17"/>
      <c r="QWZ29" s="17"/>
      <c r="QXA29" s="17"/>
      <c r="QXB29" s="17"/>
      <c r="QXC29" s="17"/>
      <c r="QXD29" s="17"/>
      <c r="QXE29" s="17"/>
      <c r="QXF29" s="17"/>
      <c r="QXG29" s="17"/>
      <c r="QXH29" s="17"/>
      <c r="QXI29" s="17"/>
      <c r="QXJ29" s="17"/>
      <c r="QXK29" s="17"/>
      <c r="QXL29" s="17"/>
      <c r="QXM29" s="17"/>
      <c r="QXN29" s="17"/>
      <c r="QXO29" s="17"/>
      <c r="QXP29" s="17"/>
      <c r="QXQ29" s="17"/>
      <c r="QXR29" s="17"/>
      <c r="QXS29" s="17"/>
      <c r="QXT29" s="17"/>
      <c r="QXU29" s="17"/>
      <c r="QXV29" s="17"/>
      <c r="QXW29" s="17"/>
      <c r="QXX29" s="17"/>
      <c r="QXY29" s="17"/>
      <c r="QXZ29" s="17"/>
      <c r="QYA29" s="17"/>
      <c r="QYB29" s="17"/>
      <c r="QYC29" s="17"/>
      <c r="QYD29" s="17"/>
      <c r="QYE29" s="17"/>
      <c r="QYF29" s="17"/>
      <c r="QYG29" s="17"/>
      <c r="QYH29" s="17"/>
      <c r="QYI29" s="17"/>
      <c r="QYJ29" s="17"/>
      <c r="QYK29" s="17"/>
      <c r="QYL29" s="17"/>
      <c r="QYM29" s="17"/>
      <c r="QYN29" s="17"/>
      <c r="QYO29" s="17"/>
      <c r="QYP29" s="17"/>
      <c r="QYQ29" s="17"/>
      <c r="QYR29" s="17"/>
      <c r="QYS29" s="17"/>
      <c r="QYT29" s="17"/>
      <c r="QYU29" s="17"/>
      <c r="QYV29" s="17"/>
      <c r="QYW29" s="17"/>
      <c r="QYX29" s="17"/>
      <c r="QYY29" s="17"/>
      <c r="QYZ29" s="17"/>
      <c r="QZA29" s="17"/>
      <c r="QZB29" s="17"/>
      <c r="QZC29" s="17"/>
      <c r="QZD29" s="17"/>
      <c r="QZE29" s="17"/>
      <c r="QZF29" s="17"/>
      <c r="QZG29" s="17"/>
      <c r="QZH29" s="17"/>
      <c r="QZI29" s="17"/>
      <c r="QZJ29" s="17"/>
      <c r="QZK29" s="17"/>
      <c r="QZL29" s="17"/>
      <c r="QZM29" s="17"/>
      <c r="QZN29" s="17"/>
      <c r="QZO29" s="17"/>
      <c r="QZP29" s="17"/>
      <c r="QZQ29" s="17"/>
      <c r="QZR29" s="17"/>
      <c r="QZS29" s="17"/>
      <c r="QZT29" s="17"/>
      <c r="QZU29" s="17"/>
      <c r="QZV29" s="17"/>
      <c r="QZW29" s="17"/>
      <c r="QZX29" s="17"/>
      <c r="QZY29" s="17"/>
      <c r="QZZ29" s="17"/>
      <c r="RAA29" s="17"/>
      <c r="RAB29" s="17"/>
      <c r="RAC29" s="17"/>
      <c r="RAD29" s="17"/>
      <c r="RAE29" s="17"/>
      <c r="RAF29" s="17"/>
      <c r="RAG29" s="17"/>
      <c r="RAH29" s="17"/>
      <c r="RAI29" s="17"/>
      <c r="RAJ29" s="17"/>
      <c r="RAK29" s="17"/>
      <c r="RAL29" s="17"/>
      <c r="RAM29" s="17"/>
      <c r="RAN29" s="17"/>
      <c r="RAO29" s="17"/>
      <c r="RAP29" s="17"/>
      <c r="RAQ29" s="17"/>
      <c r="RAR29" s="17"/>
      <c r="RAS29" s="17"/>
      <c r="RAT29" s="17"/>
      <c r="RAU29" s="17"/>
      <c r="RAV29" s="17"/>
      <c r="RAW29" s="17"/>
      <c r="RAX29" s="17"/>
      <c r="RAY29" s="17"/>
      <c r="RAZ29" s="17"/>
      <c r="RBA29" s="17"/>
      <c r="RBB29" s="17"/>
      <c r="RBC29" s="17"/>
      <c r="RBD29" s="17"/>
      <c r="RBE29" s="17"/>
      <c r="RBF29" s="17"/>
      <c r="RBG29" s="17"/>
      <c r="RBH29" s="17"/>
      <c r="RBI29" s="17"/>
      <c r="RBJ29" s="17"/>
      <c r="RBK29" s="17"/>
      <c r="RBL29" s="17"/>
      <c r="RBM29" s="17"/>
      <c r="RBN29" s="17"/>
      <c r="RBO29" s="17"/>
      <c r="RBP29" s="17"/>
      <c r="RBQ29" s="17"/>
      <c r="RBR29" s="17"/>
      <c r="RBS29" s="17"/>
      <c r="RBT29" s="17"/>
      <c r="RBU29" s="17"/>
      <c r="RBV29" s="17"/>
      <c r="RBW29" s="17"/>
      <c r="RBX29" s="17"/>
      <c r="RBY29" s="17"/>
      <c r="RBZ29" s="17"/>
      <c r="RCA29" s="17"/>
      <c r="RCB29" s="17"/>
      <c r="RCC29" s="17"/>
      <c r="RCD29" s="17"/>
      <c r="RCE29" s="17"/>
      <c r="RCF29" s="17"/>
      <c r="RCG29" s="17"/>
      <c r="RCH29" s="17"/>
      <c r="RCI29" s="17"/>
      <c r="RCJ29" s="17"/>
      <c r="RCK29" s="17"/>
      <c r="RCL29" s="17"/>
      <c r="RCM29" s="17"/>
      <c r="RCN29" s="17"/>
      <c r="RCO29" s="17"/>
      <c r="RCP29" s="17"/>
      <c r="RCQ29" s="17"/>
      <c r="RCR29" s="17"/>
      <c r="RCS29" s="17"/>
      <c r="RCT29" s="17"/>
      <c r="RCU29" s="17"/>
      <c r="RCV29" s="17"/>
      <c r="RCW29" s="17"/>
      <c r="RCX29" s="17"/>
      <c r="RCY29" s="17"/>
      <c r="RCZ29" s="17"/>
      <c r="RDA29" s="17"/>
      <c r="RDB29" s="17"/>
      <c r="RDC29" s="17"/>
      <c r="RDD29" s="17"/>
      <c r="RDE29" s="17"/>
      <c r="RDF29" s="17"/>
      <c r="RDG29" s="17"/>
      <c r="RDH29" s="17"/>
      <c r="RDI29" s="17"/>
      <c r="RDJ29" s="17"/>
      <c r="RDK29" s="17"/>
      <c r="RDL29" s="17"/>
      <c r="RDM29" s="17"/>
      <c r="RDN29" s="17"/>
      <c r="RDO29" s="17"/>
      <c r="RDP29" s="17"/>
      <c r="RDQ29" s="17"/>
      <c r="RDR29" s="17"/>
      <c r="RDS29" s="17"/>
      <c r="RDT29" s="17"/>
      <c r="RDU29" s="17"/>
      <c r="RDV29" s="17"/>
      <c r="RDW29" s="17"/>
      <c r="RDX29" s="17"/>
      <c r="RDY29" s="17"/>
      <c r="RDZ29" s="17"/>
      <c r="REA29" s="17"/>
      <c r="REB29" s="17"/>
      <c r="REC29" s="17"/>
      <c r="RED29" s="17"/>
      <c r="REE29" s="17"/>
      <c r="REF29" s="17"/>
      <c r="REG29" s="17"/>
      <c r="REH29" s="17"/>
      <c r="REI29" s="17"/>
      <c r="REJ29" s="17"/>
      <c r="REK29" s="17"/>
      <c r="REL29" s="17"/>
      <c r="REM29" s="17"/>
      <c r="REN29" s="17"/>
      <c r="REO29" s="17"/>
      <c r="REP29" s="17"/>
      <c r="REQ29" s="17"/>
      <c r="RER29" s="17"/>
      <c r="RES29" s="17"/>
      <c r="RET29" s="17"/>
      <c r="REU29" s="17"/>
      <c r="REV29" s="17"/>
      <c r="REW29" s="17"/>
      <c r="REX29" s="17"/>
      <c r="REY29" s="17"/>
      <c r="REZ29" s="17"/>
      <c r="RFA29" s="17"/>
      <c r="RFB29" s="17"/>
      <c r="RFC29" s="17"/>
      <c r="RFD29" s="17"/>
      <c r="RFE29" s="17"/>
      <c r="RFF29" s="17"/>
      <c r="RFG29" s="17"/>
      <c r="RFH29" s="17"/>
      <c r="RFI29" s="17"/>
      <c r="RFJ29" s="17"/>
      <c r="RFK29" s="17"/>
      <c r="RFL29" s="17"/>
      <c r="RFM29" s="17"/>
      <c r="RFN29" s="17"/>
      <c r="RFO29" s="17"/>
      <c r="RFP29" s="17"/>
      <c r="RFQ29" s="17"/>
      <c r="RFR29" s="17"/>
      <c r="RFS29" s="17"/>
      <c r="RFT29" s="17"/>
      <c r="RFU29" s="17"/>
      <c r="RFV29" s="17"/>
      <c r="RFW29" s="17"/>
      <c r="RFX29" s="17"/>
      <c r="RFY29" s="17"/>
      <c r="RFZ29" s="17"/>
      <c r="RGA29" s="17"/>
      <c r="RGB29" s="17"/>
      <c r="RGC29" s="17"/>
      <c r="RGD29" s="17"/>
      <c r="RGE29" s="17"/>
      <c r="RGF29" s="17"/>
      <c r="RGG29" s="17"/>
      <c r="RGH29" s="17"/>
      <c r="RGI29" s="17"/>
      <c r="RGJ29" s="17"/>
      <c r="RGK29" s="17"/>
      <c r="RGL29" s="17"/>
      <c r="RGM29" s="17"/>
      <c r="RGN29" s="17"/>
      <c r="RGO29" s="17"/>
      <c r="RGP29" s="17"/>
      <c r="RGQ29" s="17"/>
      <c r="RGR29" s="17"/>
      <c r="RGS29" s="17"/>
      <c r="RGT29" s="17"/>
      <c r="RGU29" s="17"/>
      <c r="RGV29" s="17"/>
      <c r="RGW29" s="17"/>
      <c r="RGX29" s="17"/>
      <c r="RGY29" s="17"/>
      <c r="RGZ29" s="17"/>
      <c r="RHA29" s="17"/>
      <c r="RHB29" s="17"/>
      <c r="RHC29" s="17"/>
      <c r="RHD29" s="17"/>
      <c r="RHE29" s="17"/>
      <c r="RHF29" s="17"/>
      <c r="RHG29" s="17"/>
      <c r="RHH29" s="17"/>
      <c r="RHI29" s="17"/>
      <c r="RHJ29" s="17"/>
      <c r="RHK29" s="17"/>
      <c r="RHL29" s="17"/>
      <c r="RHM29" s="17"/>
      <c r="RHN29" s="17"/>
      <c r="RHO29" s="17"/>
      <c r="RHP29" s="17"/>
      <c r="RHQ29" s="17"/>
      <c r="RHR29" s="17"/>
      <c r="RHS29" s="17"/>
      <c r="RHT29" s="17"/>
      <c r="RHU29" s="17"/>
      <c r="RHV29" s="17"/>
      <c r="RHW29" s="17"/>
      <c r="RHX29" s="17"/>
      <c r="RHY29" s="17"/>
      <c r="RHZ29" s="17"/>
      <c r="RIA29" s="17"/>
      <c r="RIB29" s="17"/>
      <c r="RIC29" s="17"/>
      <c r="RID29" s="17"/>
      <c r="RIE29" s="17"/>
      <c r="RIF29" s="17"/>
      <c r="RIG29" s="17"/>
      <c r="RIH29" s="17"/>
      <c r="RII29" s="17"/>
      <c r="RIJ29" s="17"/>
      <c r="RIK29" s="17"/>
      <c r="RIL29" s="17"/>
      <c r="RIM29" s="17"/>
      <c r="RIN29" s="17"/>
      <c r="RIO29" s="17"/>
      <c r="RIP29" s="17"/>
      <c r="RIQ29" s="17"/>
      <c r="RIR29" s="17"/>
      <c r="RIS29" s="17"/>
      <c r="RIT29" s="17"/>
      <c r="RIU29" s="17"/>
      <c r="RIV29" s="17"/>
      <c r="RIW29" s="17"/>
      <c r="RIX29" s="17"/>
      <c r="RIY29" s="17"/>
      <c r="RIZ29" s="17"/>
      <c r="RJA29" s="17"/>
      <c r="RJB29" s="17"/>
      <c r="RJC29" s="17"/>
      <c r="RJD29" s="17"/>
      <c r="RJE29" s="17"/>
      <c r="RJF29" s="17"/>
      <c r="RJG29" s="17"/>
      <c r="RJH29" s="17"/>
      <c r="RJI29" s="17"/>
      <c r="RJJ29" s="17"/>
      <c r="RJK29" s="17"/>
      <c r="RJL29" s="17"/>
      <c r="RJM29" s="17"/>
      <c r="RJN29" s="17"/>
      <c r="RJO29" s="17"/>
      <c r="RJP29" s="17"/>
      <c r="RJQ29" s="17"/>
      <c r="RJR29" s="17"/>
      <c r="RJS29" s="17"/>
      <c r="RJT29" s="17"/>
      <c r="RJU29" s="17"/>
      <c r="RJV29" s="17"/>
      <c r="RJW29" s="17"/>
      <c r="RJX29" s="17"/>
      <c r="RJY29" s="17"/>
      <c r="RJZ29" s="17"/>
      <c r="RKA29" s="17"/>
      <c r="RKB29" s="17"/>
      <c r="RKC29" s="17"/>
      <c r="RKD29" s="17"/>
      <c r="RKE29" s="17"/>
      <c r="RKF29" s="17"/>
      <c r="RKG29" s="17"/>
      <c r="RKH29" s="17"/>
      <c r="RKI29" s="17"/>
      <c r="RKJ29" s="17"/>
      <c r="RKK29" s="17"/>
      <c r="RKL29" s="17"/>
      <c r="RKM29" s="17"/>
      <c r="RKN29" s="17"/>
      <c r="RKO29" s="17"/>
      <c r="RKP29" s="17"/>
      <c r="RKQ29" s="17"/>
      <c r="RKR29" s="17"/>
      <c r="RKS29" s="17"/>
      <c r="RKT29" s="17"/>
      <c r="RKU29" s="17"/>
      <c r="RKV29" s="17"/>
      <c r="RKW29" s="17"/>
      <c r="RKX29" s="17"/>
      <c r="RKY29" s="17"/>
      <c r="RKZ29" s="17"/>
      <c r="RLA29" s="17"/>
      <c r="RLB29" s="17"/>
      <c r="RLC29" s="17"/>
      <c r="RLD29" s="17"/>
      <c r="RLE29" s="17"/>
      <c r="RLF29" s="17"/>
      <c r="RLG29" s="17"/>
      <c r="RLH29" s="17"/>
      <c r="RLI29" s="17"/>
      <c r="RLJ29" s="17"/>
      <c r="RLK29" s="17"/>
      <c r="RLL29" s="17"/>
      <c r="RLM29" s="17"/>
      <c r="RLN29" s="17"/>
      <c r="RLO29" s="17"/>
      <c r="RLP29" s="17"/>
      <c r="RLQ29" s="17"/>
      <c r="RLR29" s="17"/>
      <c r="RLS29" s="17"/>
      <c r="RLT29" s="17"/>
      <c r="RLU29" s="17"/>
      <c r="RLV29" s="17"/>
      <c r="RLW29" s="17"/>
      <c r="RLX29" s="17"/>
      <c r="RLY29" s="17"/>
      <c r="RLZ29" s="17"/>
      <c r="RMA29" s="17"/>
      <c r="RMB29" s="17"/>
      <c r="RMC29" s="17"/>
      <c r="RMD29" s="17"/>
      <c r="RME29" s="17"/>
      <c r="RMF29" s="17"/>
      <c r="RMG29" s="17"/>
      <c r="RMH29" s="17"/>
      <c r="RMI29" s="17"/>
      <c r="RMJ29" s="17"/>
      <c r="RMK29" s="17"/>
      <c r="RML29" s="17"/>
      <c r="RMM29" s="17"/>
      <c r="RMN29" s="17"/>
      <c r="RMO29" s="17"/>
      <c r="RMP29" s="17"/>
      <c r="RMQ29" s="17"/>
      <c r="RMR29" s="17"/>
      <c r="RMS29" s="17"/>
      <c r="RMT29" s="17"/>
      <c r="RMU29" s="17"/>
      <c r="RMV29" s="17"/>
      <c r="RMW29" s="17"/>
      <c r="RMX29" s="17"/>
      <c r="RMY29" s="17"/>
      <c r="RMZ29" s="17"/>
      <c r="RNA29" s="17"/>
      <c r="RNB29" s="17"/>
      <c r="RNC29" s="17"/>
      <c r="RND29" s="17"/>
      <c r="RNE29" s="17"/>
      <c r="RNF29" s="17"/>
      <c r="RNG29" s="17"/>
      <c r="RNH29" s="17"/>
      <c r="RNI29" s="17"/>
      <c r="RNJ29" s="17"/>
      <c r="RNK29" s="17"/>
      <c r="RNL29" s="17"/>
      <c r="RNM29" s="17"/>
      <c r="RNN29" s="17"/>
      <c r="RNO29" s="17"/>
      <c r="RNP29" s="17"/>
      <c r="RNQ29" s="17"/>
      <c r="RNR29" s="17"/>
      <c r="RNS29" s="17"/>
      <c r="RNT29" s="17"/>
      <c r="RNU29" s="17"/>
      <c r="RNV29" s="17"/>
      <c r="RNW29" s="17"/>
      <c r="RNX29" s="17"/>
      <c r="RNY29" s="17"/>
      <c r="RNZ29" s="17"/>
      <c r="ROA29" s="17"/>
      <c r="ROB29" s="17"/>
      <c r="ROC29" s="17"/>
      <c r="ROD29" s="17"/>
      <c r="ROE29" s="17"/>
      <c r="ROF29" s="17"/>
      <c r="ROG29" s="17"/>
      <c r="ROH29" s="17"/>
      <c r="ROI29" s="17"/>
      <c r="ROJ29" s="17"/>
      <c r="ROK29" s="17"/>
      <c r="ROL29" s="17"/>
      <c r="ROM29" s="17"/>
      <c r="RON29" s="17"/>
      <c r="ROO29" s="17"/>
      <c r="ROP29" s="17"/>
      <c r="ROQ29" s="17"/>
      <c r="ROR29" s="17"/>
      <c r="ROS29" s="17"/>
      <c r="ROT29" s="17"/>
      <c r="ROU29" s="17"/>
      <c r="ROV29" s="17"/>
      <c r="ROW29" s="17"/>
      <c r="ROX29" s="17"/>
      <c r="ROY29" s="17"/>
      <c r="ROZ29" s="17"/>
      <c r="RPA29" s="17"/>
      <c r="RPB29" s="17"/>
      <c r="RPC29" s="17"/>
      <c r="RPD29" s="17"/>
      <c r="RPE29" s="17"/>
      <c r="RPF29" s="17"/>
      <c r="RPG29" s="17"/>
      <c r="RPH29" s="17"/>
      <c r="RPI29" s="17"/>
      <c r="RPJ29" s="17"/>
      <c r="RPK29" s="17"/>
      <c r="RPL29" s="17"/>
      <c r="RPM29" s="17"/>
      <c r="RPN29" s="17"/>
      <c r="RPO29" s="17"/>
      <c r="RPP29" s="17"/>
      <c r="RPQ29" s="17"/>
      <c r="RPR29" s="17"/>
      <c r="RPS29" s="17"/>
      <c r="RPT29" s="17"/>
      <c r="RPU29" s="17"/>
      <c r="RPV29" s="17"/>
      <c r="RPW29" s="17"/>
      <c r="RPX29" s="17"/>
      <c r="RPY29" s="17"/>
      <c r="RPZ29" s="17"/>
      <c r="RQA29" s="17"/>
      <c r="RQB29" s="17"/>
      <c r="RQC29" s="17"/>
      <c r="RQD29" s="17"/>
      <c r="RQE29" s="17"/>
      <c r="RQF29" s="17"/>
      <c r="RQG29" s="17"/>
      <c r="RQH29" s="17"/>
      <c r="RQI29" s="17"/>
      <c r="RQJ29" s="17"/>
      <c r="RQK29" s="17"/>
      <c r="RQL29" s="17"/>
      <c r="RQM29" s="17"/>
      <c r="RQN29" s="17"/>
      <c r="RQO29" s="17"/>
      <c r="RQP29" s="17"/>
      <c r="RQQ29" s="17"/>
      <c r="RQR29" s="17"/>
      <c r="RQS29" s="17"/>
      <c r="RQT29" s="17"/>
      <c r="RQU29" s="17"/>
      <c r="RQV29" s="17"/>
      <c r="RQW29" s="17"/>
      <c r="RQX29" s="17"/>
      <c r="RQY29" s="17"/>
      <c r="RQZ29" s="17"/>
      <c r="RRA29" s="17"/>
      <c r="RRB29" s="17"/>
      <c r="RRC29" s="17"/>
      <c r="RRD29" s="17"/>
      <c r="RRE29" s="17"/>
      <c r="RRF29" s="17"/>
      <c r="RRG29" s="17"/>
      <c r="RRH29" s="17"/>
      <c r="RRI29" s="17"/>
      <c r="RRJ29" s="17"/>
      <c r="RRK29" s="17"/>
      <c r="RRL29" s="17"/>
      <c r="RRM29" s="17"/>
      <c r="RRN29" s="17"/>
      <c r="RRO29" s="17"/>
      <c r="RRP29" s="17"/>
      <c r="RRQ29" s="17"/>
      <c r="RRR29" s="17"/>
      <c r="RRS29" s="17"/>
      <c r="RRT29" s="17"/>
      <c r="RRU29" s="17"/>
      <c r="RRV29" s="17"/>
      <c r="RRW29" s="17"/>
      <c r="RRX29" s="17"/>
      <c r="RRY29" s="17"/>
      <c r="RRZ29" s="17"/>
      <c r="RSA29" s="17"/>
      <c r="RSB29" s="17"/>
      <c r="RSC29" s="17"/>
      <c r="RSD29" s="17"/>
      <c r="RSE29" s="17"/>
      <c r="RSF29" s="17"/>
      <c r="RSG29" s="17"/>
      <c r="RSH29" s="17"/>
      <c r="RSI29" s="17"/>
      <c r="RSJ29" s="17"/>
      <c r="RSK29" s="17"/>
      <c r="RSL29" s="17"/>
      <c r="RSM29" s="17"/>
      <c r="RSN29" s="17"/>
      <c r="RSO29" s="17"/>
      <c r="RSP29" s="17"/>
      <c r="RSQ29" s="17"/>
      <c r="RSR29" s="17"/>
      <c r="RSS29" s="17"/>
      <c r="RST29" s="17"/>
      <c r="RSU29" s="17"/>
      <c r="RSV29" s="17"/>
      <c r="RSW29" s="17"/>
      <c r="RSX29" s="17"/>
      <c r="RSY29" s="17"/>
      <c r="RSZ29" s="17"/>
      <c r="RTA29" s="17"/>
      <c r="RTB29" s="17"/>
      <c r="RTC29" s="17"/>
      <c r="RTD29" s="17"/>
      <c r="RTE29" s="17"/>
      <c r="RTF29" s="17"/>
      <c r="RTG29" s="17"/>
      <c r="RTH29" s="17"/>
      <c r="RTI29" s="17"/>
      <c r="RTJ29" s="17"/>
      <c r="RTK29" s="17"/>
      <c r="RTL29" s="17"/>
      <c r="RTM29" s="17"/>
      <c r="RTN29" s="17"/>
      <c r="RTO29" s="17"/>
      <c r="RTP29" s="17"/>
      <c r="RTQ29" s="17"/>
      <c r="RTR29" s="17"/>
      <c r="RTS29" s="17"/>
      <c r="RTT29" s="17"/>
      <c r="RTU29" s="17"/>
      <c r="RTV29" s="17"/>
      <c r="RTW29" s="17"/>
      <c r="RTX29" s="17"/>
      <c r="RTY29" s="17"/>
      <c r="RTZ29" s="17"/>
      <c r="RUA29" s="17"/>
      <c r="RUB29" s="17"/>
      <c r="RUC29" s="17"/>
      <c r="RUD29" s="17"/>
      <c r="RUE29" s="17"/>
      <c r="RUF29" s="17"/>
      <c r="RUG29" s="17"/>
      <c r="RUH29" s="17"/>
      <c r="RUI29" s="17"/>
      <c r="RUJ29" s="17"/>
      <c r="RUK29" s="17"/>
      <c r="RUL29" s="17"/>
      <c r="RUM29" s="17"/>
      <c r="RUN29" s="17"/>
      <c r="RUO29" s="17"/>
      <c r="RUP29" s="17"/>
      <c r="RUQ29" s="17"/>
      <c r="RUR29" s="17"/>
      <c r="RUS29" s="17"/>
      <c r="RUT29" s="17"/>
      <c r="RUU29" s="17"/>
      <c r="RUV29" s="17"/>
      <c r="RUW29" s="17"/>
      <c r="RUX29" s="17"/>
      <c r="RUY29" s="17"/>
      <c r="RUZ29" s="17"/>
      <c r="RVA29" s="17"/>
      <c r="RVB29" s="17"/>
      <c r="RVC29" s="17"/>
      <c r="RVD29" s="17"/>
      <c r="RVE29" s="17"/>
      <c r="RVF29" s="17"/>
      <c r="RVG29" s="17"/>
      <c r="RVH29" s="17"/>
      <c r="RVI29" s="17"/>
      <c r="RVJ29" s="17"/>
      <c r="RVK29" s="17"/>
      <c r="RVL29" s="17"/>
      <c r="RVM29" s="17"/>
      <c r="RVN29" s="17"/>
      <c r="RVO29" s="17"/>
      <c r="RVP29" s="17"/>
      <c r="RVQ29" s="17"/>
      <c r="RVR29" s="17"/>
      <c r="RVS29" s="17"/>
      <c r="RVT29" s="17"/>
      <c r="RVU29" s="17"/>
      <c r="RVV29" s="17"/>
      <c r="RVW29" s="17"/>
      <c r="RVX29" s="17"/>
      <c r="RVY29" s="17"/>
      <c r="RVZ29" s="17"/>
      <c r="RWA29" s="17"/>
      <c r="RWB29" s="17"/>
      <c r="RWC29" s="17"/>
      <c r="RWD29" s="17"/>
      <c r="RWE29" s="17"/>
      <c r="RWF29" s="17"/>
      <c r="RWG29" s="17"/>
      <c r="RWH29" s="17"/>
      <c r="RWI29" s="17"/>
      <c r="RWJ29" s="17"/>
      <c r="RWK29" s="17"/>
      <c r="RWL29" s="17"/>
      <c r="RWM29" s="17"/>
      <c r="RWN29" s="17"/>
      <c r="RWO29" s="17"/>
      <c r="RWP29" s="17"/>
      <c r="RWQ29" s="17"/>
      <c r="RWR29" s="17"/>
      <c r="RWS29" s="17"/>
      <c r="RWT29" s="17"/>
      <c r="RWU29" s="17"/>
      <c r="RWV29" s="17"/>
      <c r="RWW29" s="17"/>
      <c r="RWX29" s="17"/>
      <c r="RWY29" s="17"/>
      <c r="RWZ29" s="17"/>
      <c r="RXA29" s="17"/>
      <c r="RXB29" s="17"/>
      <c r="RXC29" s="17"/>
      <c r="RXD29" s="17"/>
      <c r="RXE29" s="17"/>
      <c r="RXF29" s="17"/>
      <c r="RXG29" s="17"/>
      <c r="RXH29" s="17"/>
      <c r="RXI29" s="17"/>
      <c r="RXJ29" s="17"/>
      <c r="RXK29" s="17"/>
      <c r="RXL29" s="17"/>
      <c r="RXM29" s="17"/>
      <c r="RXN29" s="17"/>
      <c r="RXO29" s="17"/>
      <c r="RXP29" s="17"/>
      <c r="RXQ29" s="17"/>
      <c r="RXR29" s="17"/>
      <c r="RXS29" s="17"/>
      <c r="RXT29" s="17"/>
      <c r="RXU29" s="17"/>
      <c r="RXV29" s="17"/>
      <c r="RXW29" s="17"/>
      <c r="RXX29" s="17"/>
      <c r="RXY29" s="17"/>
      <c r="RXZ29" s="17"/>
      <c r="RYA29" s="17"/>
      <c r="RYB29" s="17"/>
      <c r="RYC29" s="17"/>
      <c r="RYD29" s="17"/>
      <c r="RYE29" s="17"/>
      <c r="RYF29" s="17"/>
      <c r="RYG29" s="17"/>
      <c r="RYH29" s="17"/>
      <c r="RYI29" s="17"/>
      <c r="RYJ29" s="17"/>
      <c r="RYK29" s="17"/>
      <c r="RYL29" s="17"/>
      <c r="RYM29" s="17"/>
      <c r="RYN29" s="17"/>
      <c r="RYO29" s="17"/>
      <c r="RYP29" s="17"/>
      <c r="RYQ29" s="17"/>
      <c r="RYR29" s="17"/>
      <c r="RYS29" s="17"/>
      <c r="RYT29" s="17"/>
      <c r="RYU29" s="17"/>
      <c r="RYV29" s="17"/>
      <c r="RYW29" s="17"/>
      <c r="RYX29" s="17"/>
      <c r="RYY29" s="17"/>
      <c r="RYZ29" s="17"/>
      <c r="RZA29" s="17"/>
      <c r="RZB29" s="17"/>
      <c r="RZC29" s="17"/>
      <c r="RZD29" s="17"/>
      <c r="RZE29" s="17"/>
      <c r="RZF29" s="17"/>
      <c r="RZG29" s="17"/>
      <c r="RZH29" s="17"/>
      <c r="RZI29" s="17"/>
      <c r="RZJ29" s="17"/>
      <c r="RZK29" s="17"/>
      <c r="RZL29" s="17"/>
      <c r="RZM29" s="17"/>
      <c r="RZN29" s="17"/>
      <c r="RZO29" s="17"/>
      <c r="RZP29" s="17"/>
      <c r="RZQ29" s="17"/>
      <c r="RZR29" s="17"/>
      <c r="RZS29" s="17"/>
      <c r="RZT29" s="17"/>
      <c r="RZU29" s="17"/>
      <c r="RZV29" s="17"/>
      <c r="RZW29" s="17"/>
      <c r="RZX29" s="17"/>
      <c r="RZY29" s="17"/>
      <c r="RZZ29" s="17"/>
      <c r="SAA29" s="17"/>
      <c r="SAB29" s="17"/>
      <c r="SAC29" s="17"/>
      <c r="SAD29" s="17"/>
      <c r="SAE29" s="17"/>
      <c r="SAF29" s="17"/>
      <c r="SAG29" s="17"/>
      <c r="SAH29" s="17"/>
      <c r="SAI29" s="17"/>
      <c r="SAJ29" s="17"/>
      <c r="SAK29" s="17"/>
      <c r="SAL29" s="17"/>
      <c r="SAM29" s="17"/>
      <c r="SAN29" s="17"/>
      <c r="SAO29" s="17"/>
      <c r="SAP29" s="17"/>
      <c r="SAQ29" s="17"/>
      <c r="SAR29" s="17"/>
      <c r="SAS29" s="17"/>
      <c r="SAT29" s="17"/>
      <c r="SAU29" s="17"/>
      <c r="SAV29" s="17"/>
      <c r="SAW29" s="17"/>
      <c r="SAX29" s="17"/>
      <c r="SAY29" s="17"/>
      <c r="SAZ29" s="17"/>
      <c r="SBA29" s="17"/>
      <c r="SBB29" s="17"/>
      <c r="SBC29" s="17"/>
      <c r="SBD29" s="17"/>
      <c r="SBE29" s="17"/>
      <c r="SBF29" s="17"/>
      <c r="SBG29" s="17"/>
      <c r="SBH29" s="17"/>
      <c r="SBI29" s="17"/>
      <c r="SBJ29" s="17"/>
      <c r="SBK29" s="17"/>
      <c r="SBL29" s="17"/>
      <c r="SBM29" s="17"/>
      <c r="SBN29" s="17"/>
      <c r="SBO29" s="17"/>
      <c r="SBP29" s="17"/>
      <c r="SBQ29" s="17"/>
      <c r="SBR29" s="17"/>
      <c r="SBS29" s="17"/>
      <c r="SBT29" s="17"/>
      <c r="SBU29" s="17"/>
      <c r="SBV29" s="17"/>
      <c r="SBW29" s="17"/>
      <c r="SBX29" s="17"/>
      <c r="SBY29" s="17"/>
      <c r="SBZ29" s="17"/>
      <c r="SCA29" s="17"/>
      <c r="SCB29" s="17"/>
      <c r="SCC29" s="17"/>
      <c r="SCD29" s="17"/>
      <c r="SCE29" s="17"/>
      <c r="SCF29" s="17"/>
      <c r="SCG29" s="17"/>
      <c r="SCH29" s="17"/>
      <c r="SCI29" s="17"/>
      <c r="SCJ29" s="17"/>
      <c r="SCK29" s="17"/>
      <c r="SCL29" s="17"/>
      <c r="SCM29" s="17"/>
      <c r="SCN29" s="17"/>
      <c r="SCO29" s="17"/>
      <c r="SCP29" s="17"/>
      <c r="SCQ29" s="17"/>
      <c r="SCR29" s="17"/>
      <c r="SCS29" s="17"/>
      <c r="SCT29" s="17"/>
      <c r="SCU29" s="17"/>
      <c r="SCV29" s="17"/>
      <c r="SCW29" s="17"/>
      <c r="SCX29" s="17"/>
      <c r="SCY29" s="17"/>
      <c r="SCZ29" s="17"/>
      <c r="SDA29" s="17"/>
      <c r="SDB29" s="17"/>
      <c r="SDC29" s="17"/>
      <c r="SDD29" s="17"/>
      <c r="SDE29" s="17"/>
      <c r="SDF29" s="17"/>
      <c r="SDG29" s="17"/>
      <c r="SDH29" s="17"/>
      <c r="SDI29" s="17"/>
      <c r="SDJ29" s="17"/>
      <c r="SDK29" s="17"/>
      <c r="SDL29" s="17"/>
      <c r="SDM29" s="17"/>
      <c r="SDN29" s="17"/>
      <c r="SDO29" s="17"/>
      <c r="SDP29" s="17"/>
      <c r="SDQ29" s="17"/>
      <c r="SDR29" s="17"/>
      <c r="SDS29" s="17"/>
      <c r="SDT29" s="17"/>
      <c r="SDU29" s="17"/>
      <c r="SDV29" s="17"/>
      <c r="SDW29" s="17"/>
      <c r="SDX29" s="17"/>
      <c r="SDY29" s="17"/>
      <c r="SDZ29" s="17"/>
      <c r="SEA29" s="17"/>
      <c r="SEB29" s="17"/>
      <c r="SEC29" s="17"/>
      <c r="SED29" s="17"/>
      <c r="SEE29" s="17"/>
      <c r="SEF29" s="17"/>
      <c r="SEG29" s="17"/>
      <c r="SEH29" s="17"/>
      <c r="SEI29" s="17"/>
      <c r="SEJ29" s="17"/>
      <c r="SEK29" s="17"/>
      <c r="SEL29" s="17"/>
      <c r="SEM29" s="17"/>
      <c r="SEN29" s="17"/>
      <c r="SEO29" s="17"/>
      <c r="SEP29" s="17"/>
      <c r="SEQ29" s="17"/>
      <c r="SER29" s="17"/>
      <c r="SES29" s="17"/>
      <c r="SET29" s="17"/>
      <c r="SEU29" s="17"/>
      <c r="SEV29" s="17"/>
      <c r="SEW29" s="17"/>
      <c r="SEX29" s="17"/>
      <c r="SEY29" s="17"/>
      <c r="SEZ29" s="17"/>
      <c r="SFA29" s="17"/>
      <c r="SFB29" s="17"/>
      <c r="SFC29" s="17"/>
      <c r="SFD29" s="17"/>
      <c r="SFE29" s="17"/>
      <c r="SFF29" s="17"/>
      <c r="SFG29" s="17"/>
      <c r="SFH29" s="17"/>
      <c r="SFI29" s="17"/>
      <c r="SFJ29" s="17"/>
      <c r="SFK29" s="17"/>
      <c r="SFL29" s="17"/>
      <c r="SFM29" s="17"/>
      <c r="SFN29" s="17"/>
      <c r="SFO29" s="17"/>
      <c r="SFP29" s="17"/>
      <c r="SFQ29" s="17"/>
      <c r="SFR29" s="17"/>
      <c r="SFS29" s="17"/>
      <c r="SFT29" s="17"/>
      <c r="SFU29" s="17"/>
      <c r="SFV29" s="17"/>
      <c r="SFW29" s="17"/>
      <c r="SFX29" s="17"/>
      <c r="SFY29" s="17"/>
      <c r="SFZ29" s="17"/>
      <c r="SGA29" s="17"/>
      <c r="SGB29" s="17"/>
      <c r="SGC29" s="17"/>
      <c r="SGD29" s="17"/>
      <c r="SGE29" s="17"/>
      <c r="SGF29" s="17"/>
      <c r="SGG29" s="17"/>
      <c r="SGH29" s="17"/>
      <c r="SGI29" s="17"/>
      <c r="SGJ29" s="17"/>
      <c r="SGK29" s="17"/>
      <c r="SGL29" s="17"/>
      <c r="SGM29" s="17"/>
      <c r="SGN29" s="17"/>
      <c r="SGO29" s="17"/>
      <c r="SGP29" s="17"/>
      <c r="SGQ29" s="17"/>
      <c r="SGR29" s="17"/>
      <c r="SGS29" s="17"/>
      <c r="SGT29" s="17"/>
      <c r="SGU29" s="17"/>
      <c r="SGV29" s="17"/>
      <c r="SGW29" s="17"/>
      <c r="SGX29" s="17"/>
      <c r="SGY29" s="17"/>
      <c r="SGZ29" s="17"/>
      <c r="SHA29" s="17"/>
      <c r="SHB29" s="17"/>
      <c r="SHC29" s="17"/>
      <c r="SHD29" s="17"/>
      <c r="SHE29" s="17"/>
      <c r="SHF29" s="17"/>
      <c r="SHG29" s="17"/>
      <c r="SHH29" s="17"/>
      <c r="SHI29" s="17"/>
      <c r="SHJ29" s="17"/>
      <c r="SHK29" s="17"/>
      <c r="SHL29" s="17"/>
      <c r="SHM29" s="17"/>
      <c r="SHN29" s="17"/>
      <c r="SHO29" s="17"/>
      <c r="SHP29" s="17"/>
      <c r="SHQ29" s="17"/>
      <c r="SHR29" s="17"/>
      <c r="SHS29" s="17"/>
      <c r="SHT29" s="17"/>
      <c r="SHU29" s="17"/>
      <c r="SHV29" s="17"/>
      <c r="SHW29" s="17"/>
      <c r="SHX29" s="17"/>
      <c r="SHY29" s="17"/>
      <c r="SHZ29" s="17"/>
      <c r="SIA29" s="17"/>
      <c r="SIB29" s="17"/>
      <c r="SIC29" s="17"/>
      <c r="SID29" s="17"/>
      <c r="SIE29" s="17"/>
      <c r="SIF29" s="17"/>
      <c r="SIG29" s="17"/>
      <c r="SIH29" s="17"/>
      <c r="SII29" s="17"/>
      <c r="SIJ29" s="17"/>
      <c r="SIK29" s="17"/>
      <c r="SIL29" s="17"/>
      <c r="SIM29" s="17"/>
      <c r="SIN29" s="17"/>
      <c r="SIO29" s="17"/>
      <c r="SIP29" s="17"/>
      <c r="SIQ29" s="17"/>
      <c r="SIR29" s="17"/>
      <c r="SIS29" s="17"/>
      <c r="SIT29" s="17"/>
      <c r="SIU29" s="17"/>
      <c r="SIV29" s="17"/>
      <c r="SIW29" s="17"/>
      <c r="SIX29" s="17"/>
      <c r="SIY29" s="17"/>
      <c r="SIZ29" s="17"/>
      <c r="SJA29" s="17"/>
      <c r="SJB29" s="17"/>
      <c r="SJC29" s="17"/>
      <c r="SJD29" s="17"/>
      <c r="SJE29" s="17"/>
      <c r="SJF29" s="17"/>
      <c r="SJG29" s="17"/>
      <c r="SJH29" s="17"/>
      <c r="SJI29" s="17"/>
      <c r="SJJ29" s="17"/>
      <c r="SJK29" s="17"/>
      <c r="SJL29" s="17"/>
      <c r="SJM29" s="17"/>
      <c r="SJN29" s="17"/>
      <c r="SJO29" s="17"/>
      <c r="SJP29" s="17"/>
      <c r="SJQ29" s="17"/>
      <c r="SJR29" s="17"/>
      <c r="SJS29" s="17"/>
      <c r="SJT29" s="17"/>
      <c r="SJU29" s="17"/>
      <c r="SJV29" s="17"/>
      <c r="SJW29" s="17"/>
      <c r="SJX29" s="17"/>
      <c r="SJY29" s="17"/>
      <c r="SJZ29" s="17"/>
      <c r="SKA29" s="17"/>
      <c r="SKB29" s="17"/>
      <c r="SKC29" s="17"/>
      <c r="SKD29" s="17"/>
      <c r="SKE29" s="17"/>
      <c r="SKF29" s="17"/>
      <c r="SKG29" s="17"/>
      <c r="SKH29" s="17"/>
      <c r="SKI29" s="17"/>
      <c r="SKJ29" s="17"/>
      <c r="SKK29" s="17"/>
      <c r="SKL29" s="17"/>
      <c r="SKM29" s="17"/>
      <c r="SKN29" s="17"/>
      <c r="SKO29" s="17"/>
      <c r="SKP29" s="17"/>
      <c r="SKQ29" s="17"/>
      <c r="SKR29" s="17"/>
      <c r="SKS29" s="17"/>
      <c r="SKT29" s="17"/>
      <c r="SKU29" s="17"/>
      <c r="SKV29" s="17"/>
      <c r="SKW29" s="17"/>
      <c r="SKX29" s="17"/>
      <c r="SKY29" s="17"/>
      <c r="SKZ29" s="17"/>
      <c r="SLA29" s="17"/>
      <c r="SLB29" s="17"/>
      <c r="SLC29" s="17"/>
      <c r="SLD29" s="17"/>
      <c r="SLE29" s="17"/>
      <c r="SLF29" s="17"/>
      <c r="SLG29" s="17"/>
      <c r="SLH29" s="17"/>
      <c r="SLI29" s="17"/>
      <c r="SLJ29" s="17"/>
      <c r="SLK29" s="17"/>
      <c r="SLL29" s="17"/>
      <c r="SLM29" s="17"/>
      <c r="SLN29" s="17"/>
      <c r="SLO29" s="17"/>
      <c r="SLP29" s="17"/>
      <c r="SLQ29" s="17"/>
      <c r="SLR29" s="17"/>
      <c r="SLS29" s="17"/>
      <c r="SLT29" s="17"/>
      <c r="SLU29" s="17"/>
      <c r="SLV29" s="17"/>
      <c r="SLW29" s="17"/>
      <c r="SLX29" s="17"/>
      <c r="SLY29" s="17"/>
      <c r="SLZ29" s="17"/>
      <c r="SMA29" s="17"/>
      <c r="SMB29" s="17"/>
      <c r="SMC29" s="17"/>
      <c r="SMD29" s="17"/>
      <c r="SME29" s="17"/>
      <c r="SMF29" s="17"/>
      <c r="SMG29" s="17"/>
      <c r="SMH29" s="17"/>
      <c r="SMI29" s="17"/>
      <c r="SMJ29" s="17"/>
      <c r="SMK29" s="17"/>
      <c r="SML29" s="17"/>
      <c r="SMM29" s="17"/>
      <c r="SMN29" s="17"/>
      <c r="SMO29" s="17"/>
      <c r="SMP29" s="17"/>
      <c r="SMQ29" s="17"/>
      <c r="SMR29" s="17"/>
      <c r="SMS29" s="17"/>
      <c r="SMT29" s="17"/>
      <c r="SMU29" s="17"/>
      <c r="SMV29" s="17"/>
      <c r="SMW29" s="17"/>
      <c r="SMX29" s="17"/>
      <c r="SMY29" s="17"/>
      <c r="SMZ29" s="17"/>
      <c r="SNA29" s="17"/>
      <c r="SNB29" s="17"/>
      <c r="SNC29" s="17"/>
      <c r="SND29" s="17"/>
      <c r="SNE29" s="17"/>
      <c r="SNF29" s="17"/>
      <c r="SNG29" s="17"/>
      <c r="SNH29" s="17"/>
      <c r="SNI29" s="17"/>
      <c r="SNJ29" s="17"/>
      <c r="SNK29" s="17"/>
      <c r="SNL29" s="17"/>
      <c r="SNM29" s="17"/>
      <c r="SNN29" s="17"/>
      <c r="SNO29" s="17"/>
      <c r="SNP29" s="17"/>
      <c r="SNQ29" s="17"/>
      <c r="SNR29" s="17"/>
      <c r="SNS29" s="17"/>
      <c r="SNT29" s="17"/>
      <c r="SNU29" s="17"/>
      <c r="SNV29" s="17"/>
      <c r="SNW29" s="17"/>
      <c r="SNX29" s="17"/>
      <c r="SNY29" s="17"/>
      <c r="SNZ29" s="17"/>
      <c r="SOA29" s="17"/>
      <c r="SOB29" s="17"/>
      <c r="SOC29" s="17"/>
      <c r="SOD29" s="17"/>
      <c r="SOE29" s="17"/>
      <c r="SOF29" s="17"/>
      <c r="SOG29" s="17"/>
      <c r="SOH29" s="17"/>
      <c r="SOI29" s="17"/>
      <c r="SOJ29" s="17"/>
      <c r="SOK29" s="17"/>
      <c r="SOL29" s="17"/>
      <c r="SOM29" s="17"/>
      <c r="SON29" s="17"/>
      <c r="SOO29" s="17"/>
      <c r="SOP29" s="17"/>
      <c r="SOQ29" s="17"/>
      <c r="SOR29" s="17"/>
      <c r="SOS29" s="17"/>
      <c r="SOT29" s="17"/>
      <c r="SOU29" s="17"/>
      <c r="SOV29" s="17"/>
      <c r="SOW29" s="17"/>
      <c r="SOX29" s="17"/>
      <c r="SOY29" s="17"/>
      <c r="SOZ29" s="17"/>
      <c r="SPA29" s="17"/>
      <c r="SPB29" s="17"/>
      <c r="SPC29" s="17"/>
      <c r="SPD29" s="17"/>
      <c r="SPE29" s="17"/>
      <c r="SPF29" s="17"/>
      <c r="SPG29" s="17"/>
      <c r="SPH29" s="17"/>
      <c r="SPI29" s="17"/>
      <c r="SPJ29" s="17"/>
      <c r="SPK29" s="17"/>
      <c r="SPL29" s="17"/>
      <c r="SPM29" s="17"/>
      <c r="SPN29" s="17"/>
      <c r="SPO29" s="17"/>
      <c r="SPP29" s="17"/>
      <c r="SPQ29" s="17"/>
      <c r="SPR29" s="17"/>
      <c r="SPS29" s="17"/>
      <c r="SPT29" s="17"/>
      <c r="SPU29" s="17"/>
      <c r="SPV29" s="17"/>
      <c r="SPW29" s="17"/>
      <c r="SPX29" s="17"/>
      <c r="SPY29" s="17"/>
      <c r="SPZ29" s="17"/>
      <c r="SQA29" s="17"/>
      <c r="SQB29" s="17"/>
      <c r="SQC29" s="17"/>
      <c r="SQD29" s="17"/>
      <c r="SQE29" s="17"/>
      <c r="SQF29" s="17"/>
      <c r="SQG29" s="17"/>
      <c r="SQH29" s="17"/>
      <c r="SQI29" s="17"/>
      <c r="SQJ29" s="17"/>
      <c r="SQK29" s="17"/>
      <c r="SQL29" s="17"/>
      <c r="SQM29" s="17"/>
      <c r="SQN29" s="17"/>
      <c r="SQO29" s="17"/>
      <c r="SQP29" s="17"/>
      <c r="SQQ29" s="17"/>
      <c r="SQR29" s="17"/>
      <c r="SQS29" s="17"/>
      <c r="SQT29" s="17"/>
      <c r="SQU29" s="17"/>
      <c r="SQV29" s="17"/>
      <c r="SQW29" s="17"/>
      <c r="SQX29" s="17"/>
      <c r="SQY29" s="17"/>
      <c r="SQZ29" s="17"/>
      <c r="SRA29" s="17"/>
      <c r="SRB29" s="17"/>
      <c r="SRC29" s="17"/>
      <c r="SRD29" s="17"/>
      <c r="SRE29" s="17"/>
      <c r="SRF29" s="17"/>
      <c r="SRG29" s="17"/>
      <c r="SRH29" s="17"/>
      <c r="SRI29" s="17"/>
      <c r="SRJ29" s="17"/>
      <c r="SRK29" s="17"/>
      <c r="SRL29" s="17"/>
      <c r="SRM29" s="17"/>
      <c r="SRN29" s="17"/>
      <c r="SRO29" s="17"/>
      <c r="SRP29" s="17"/>
      <c r="SRQ29" s="17"/>
      <c r="SRR29" s="17"/>
      <c r="SRS29" s="17"/>
      <c r="SRT29" s="17"/>
      <c r="SRU29" s="17"/>
      <c r="SRV29" s="17"/>
      <c r="SRW29" s="17"/>
      <c r="SRX29" s="17"/>
      <c r="SRY29" s="17"/>
      <c r="SRZ29" s="17"/>
      <c r="SSA29" s="17"/>
      <c r="SSB29" s="17"/>
      <c r="SSC29" s="17"/>
      <c r="SSD29" s="17"/>
      <c r="SSE29" s="17"/>
      <c r="SSF29" s="17"/>
      <c r="SSG29" s="17"/>
      <c r="SSH29" s="17"/>
      <c r="SSI29" s="17"/>
      <c r="SSJ29" s="17"/>
      <c r="SSK29" s="17"/>
      <c r="SSL29" s="17"/>
      <c r="SSM29" s="17"/>
      <c r="SSN29" s="17"/>
      <c r="SSO29" s="17"/>
      <c r="SSP29" s="17"/>
      <c r="SSQ29" s="17"/>
      <c r="SSR29" s="17"/>
      <c r="SSS29" s="17"/>
      <c r="SST29" s="17"/>
      <c r="SSU29" s="17"/>
      <c r="SSV29" s="17"/>
      <c r="SSW29" s="17"/>
      <c r="SSX29" s="17"/>
      <c r="SSY29" s="17"/>
      <c r="SSZ29" s="17"/>
      <c r="STA29" s="17"/>
      <c r="STB29" s="17"/>
      <c r="STC29" s="17"/>
      <c r="STD29" s="17"/>
      <c r="STE29" s="17"/>
      <c r="STF29" s="17"/>
      <c r="STG29" s="17"/>
      <c r="STH29" s="17"/>
      <c r="STI29" s="17"/>
      <c r="STJ29" s="17"/>
      <c r="STK29" s="17"/>
      <c r="STL29" s="17"/>
      <c r="STM29" s="17"/>
      <c r="STN29" s="17"/>
      <c r="STO29" s="17"/>
      <c r="STP29" s="17"/>
      <c r="STQ29" s="17"/>
      <c r="STR29" s="17"/>
      <c r="STS29" s="17"/>
      <c r="STT29" s="17"/>
      <c r="STU29" s="17"/>
      <c r="STV29" s="17"/>
      <c r="STW29" s="17"/>
      <c r="STX29" s="17"/>
      <c r="STY29" s="17"/>
      <c r="STZ29" s="17"/>
      <c r="SUA29" s="17"/>
      <c r="SUB29" s="17"/>
      <c r="SUC29" s="17"/>
      <c r="SUD29" s="17"/>
      <c r="SUE29" s="17"/>
      <c r="SUF29" s="17"/>
      <c r="SUG29" s="17"/>
      <c r="SUH29" s="17"/>
      <c r="SUI29" s="17"/>
      <c r="SUJ29" s="17"/>
      <c r="SUK29" s="17"/>
      <c r="SUL29" s="17"/>
      <c r="SUM29" s="17"/>
      <c r="SUN29" s="17"/>
      <c r="SUO29" s="17"/>
      <c r="SUP29" s="17"/>
      <c r="SUQ29" s="17"/>
      <c r="SUR29" s="17"/>
      <c r="SUS29" s="17"/>
      <c r="SUT29" s="17"/>
      <c r="SUU29" s="17"/>
      <c r="SUV29" s="17"/>
      <c r="SUW29" s="17"/>
      <c r="SUX29" s="17"/>
      <c r="SUY29" s="17"/>
      <c r="SUZ29" s="17"/>
      <c r="SVA29" s="17"/>
      <c r="SVB29" s="17"/>
      <c r="SVC29" s="17"/>
      <c r="SVD29" s="17"/>
      <c r="SVE29" s="17"/>
      <c r="SVF29" s="17"/>
      <c r="SVG29" s="17"/>
      <c r="SVH29" s="17"/>
      <c r="SVI29" s="17"/>
      <c r="SVJ29" s="17"/>
      <c r="SVK29" s="17"/>
      <c r="SVL29" s="17"/>
      <c r="SVM29" s="17"/>
      <c r="SVN29" s="17"/>
      <c r="SVO29" s="17"/>
      <c r="SVP29" s="17"/>
      <c r="SVQ29" s="17"/>
      <c r="SVR29" s="17"/>
      <c r="SVS29" s="17"/>
      <c r="SVT29" s="17"/>
      <c r="SVU29" s="17"/>
      <c r="SVV29" s="17"/>
      <c r="SVW29" s="17"/>
      <c r="SVX29" s="17"/>
      <c r="SVY29" s="17"/>
      <c r="SVZ29" s="17"/>
      <c r="SWA29" s="17"/>
      <c r="SWB29" s="17"/>
      <c r="SWC29" s="17"/>
      <c r="SWD29" s="17"/>
      <c r="SWE29" s="17"/>
      <c r="SWF29" s="17"/>
      <c r="SWG29" s="17"/>
      <c r="SWH29" s="17"/>
      <c r="SWI29" s="17"/>
      <c r="SWJ29" s="17"/>
      <c r="SWK29" s="17"/>
      <c r="SWL29" s="17"/>
      <c r="SWM29" s="17"/>
      <c r="SWN29" s="17"/>
      <c r="SWO29" s="17"/>
      <c r="SWP29" s="17"/>
      <c r="SWQ29" s="17"/>
      <c r="SWR29" s="17"/>
      <c r="SWS29" s="17"/>
      <c r="SWT29" s="17"/>
      <c r="SWU29" s="17"/>
      <c r="SWV29" s="17"/>
      <c r="SWW29" s="17"/>
      <c r="SWX29" s="17"/>
      <c r="SWY29" s="17"/>
      <c r="SWZ29" s="17"/>
      <c r="SXA29" s="17"/>
      <c r="SXB29" s="17"/>
      <c r="SXC29" s="17"/>
      <c r="SXD29" s="17"/>
      <c r="SXE29" s="17"/>
      <c r="SXF29" s="17"/>
      <c r="SXG29" s="17"/>
      <c r="SXH29" s="17"/>
      <c r="SXI29" s="17"/>
      <c r="SXJ29" s="17"/>
      <c r="SXK29" s="17"/>
      <c r="SXL29" s="17"/>
      <c r="SXM29" s="17"/>
      <c r="SXN29" s="17"/>
      <c r="SXO29" s="17"/>
      <c r="SXP29" s="17"/>
      <c r="SXQ29" s="17"/>
      <c r="SXR29" s="17"/>
      <c r="SXS29" s="17"/>
      <c r="SXT29" s="17"/>
      <c r="SXU29" s="17"/>
      <c r="SXV29" s="17"/>
      <c r="SXW29" s="17"/>
      <c r="SXX29" s="17"/>
      <c r="SXY29" s="17"/>
      <c r="SXZ29" s="17"/>
      <c r="SYA29" s="17"/>
      <c r="SYB29" s="17"/>
      <c r="SYC29" s="17"/>
      <c r="SYD29" s="17"/>
      <c r="SYE29" s="17"/>
      <c r="SYF29" s="17"/>
      <c r="SYG29" s="17"/>
      <c r="SYH29" s="17"/>
      <c r="SYI29" s="17"/>
      <c r="SYJ29" s="17"/>
      <c r="SYK29" s="17"/>
      <c r="SYL29" s="17"/>
      <c r="SYM29" s="17"/>
      <c r="SYN29" s="17"/>
      <c r="SYO29" s="17"/>
      <c r="SYP29" s="17"/>
      <c r="SYQ29" s="17"/>
      <c r="SYR29" s="17"/>
      <c r="SYS29" s="17"/>
      <c r="SYT29" s="17"/>
      <c r="SYU29" s="17"/>
      <c r="SYV29" s="17"/>
      <c r="SYW29" s="17"/>
      <c r="SYX29" s="17"/>
      <c r="SYY29" s="17"/>
      <c r="SYZ29" s="17"/>
      <c r="SZA29" s="17"/>
      <c r="SZB29" s="17"/>
      <c r="SZC29" s="17"/>
      <c r="SZD29" s="17"/>
      <c r="SZE29" s="17"/>
      <c r="SZF29" s="17"/>
      <c r="SZG29" s="17"/>
      <c r="SZH29" s="17"/>
      <c r="SZI29" s="17"/>
      <c r="SZJ29" s="17"/>
      <c r="SZK29" s="17"/>
      <c r="SZL29" s="17"/>
      <c r="SZM29" s="17"/>
      <c r="SZN29" s="17"/>
      <c r="SZO29" s="17"/>
      <c r="SZP29" s="17"/>
      <c r="SZQ29" s="17"/>
      <c r="SZR29" s="17"/>
      <c r="SZS29" s="17"/>
      <c r="SZT29" s="17"/>
      <c r="SZU29" s="17"/>
      <c r="SZV29" s="17"/>
      <c r="SZW29" s="17"/>
      <c r="SZX29" s="17"/>
      <c r="SZY29" s="17"/>
      <c r="SZZ29" s="17"/>
      <c r="TAA29" s="17"/>
      <c r="TAB29" s="17"/>
      <c r="TAC29" s="17"/>
      <c r="TAD29" s="17"/>
      <c r="TAE29" s="17"/>
      <c r="TAF29" s="17"/>
      <c r="TAG29" s="17"/>
      <c r="TAH29" s="17"/>
      <c r="TAI29" s="17"/>
      <c r="TAJ29" s="17"/>
      <c r="TAK29" s="17"/>
      <c r="TAL29" s="17"/>
      <c r="TAM29" s="17"/>
      <c r="TAN29" s="17"/>
      <c r="TAO29" s="17"/>
      <c r="TAP29" s="17"/>
      <c r="TAQ29" s="17"/>
      <c r="TAR29" s="17"/>
      <c r="TAS29" s="17"/>
      <c r="TAT29" s="17"/>
      <c r="TAU29" s="17"/>
      <c r="TAV29" s="17"/>
      <c r="TAW29" s="17"/>
      <c r="TAX29" s="17"/>
      <c r="TAY29" s="17"/>
      <c r="TAZ29" s="17"/>
      <c r="TBA29" s="17"/>
      <c r="TBB29" s="17"/>
      <c r="TBC29" s="17"/>
      <c r="TBD29" s="17"/>
      <c r="TBE29" s="17"/>
      <c r="TBF29" s="17"/>
      <c r="TBG29" s="17"/>
      <c r="TBH29" s="17"/>
      <c r="TBI29" s="17"/>
      <c r="TBJ29" s="17"/>
      <c r="TBK29" s="17"/>
      <c r="TBL29" s="17"/>
      <c r="TBM29" s="17"/>
      <c r="TBN29" s="17"/>
      <c r="TBO29" s="17"/>
      <c r="TBP29" s="17"/>
      <c r="TBQ29" s="17"/>
      <c r="TBR29" s="17"/>
      <c r="TBS29" s="17"/>
      <c r="TBT29" s="17"/>
      <c r="TBU29" s="17"/>
      <c r="TBV29" s="17"/>
      <c r="TBW29" s="17"/>
      <c r="TBX29" s="17"/>
      <c r="TBY29" s="17"/>
      <c r="TBZ29" s="17"/>
      <c r="TCA29" s="17"/>
      <c r="TCB29" s="17"/>
      <c r="TCC29" s="17"/>
      <c r="TCD29" s="17"/>
      <c r="TCE29" s="17"/>
      <c r="TCF29" s="17"/>
      <c r="TCG29" s="17"/>
      <c r="TCH29" s="17"/>
      <c r="TCI29" s="17"/>
      <c r="TCJ29" s="17"/>
      <c r="TCK29" s="17"/>
      <c r="TCL29" s="17"/>
      <c r="TCM29" s="17"/>
      <c r="TCN29" s="17"/>
      <c r="TCO29" s="17"/>
      <c r="TCP29" s="17"/>
      <c r="TCQ29" s="17"/>
      <c r="TCR29" s="17"/>
      <c r="TCS29" s="17"/>
      <c r="TCT29" s="17"/>
      <c r="TCU29" s="17"/>
      <c r="TCV29" s="17"/>
      <c r="TCW29" s="17"/>
      <c r="TCX29" s="17"/>
      <c r="TCY29" s="17"/>
      <c r="TCZ29" s="17"/>
      <c r="TDA29" s="17"/>
      <c r="TDB29" s="17"/>
      <c r="TDC29" s="17"/>
      <c r="TDD29" s="17"/>
      <c r="TDE29" s="17"/>
      <c r="TDF29" s="17"/>
      <c r="TDG29" s="17"/>
      <c r="TDH29" s="17"/>
      <c r="TDI29" s="17"/>
      <c r="TDJ29" s="17"/>
      <c r="TDK29" s="17"/>
      <c r="TDL29" s="17"/>
      <c r="TDM29" s="17"/>
      <c r="TDN29" s="17"/>
      <c r="TDO29" s="17"/>
      <c r="TDP29" s="17"/>
      <c r="TDQ29" s="17"/>
      <c r="TDR29" s="17"/>
      <c r="TDS29" s="17"/>
      <c r="TDT29" s="17"/>
      <c r="TDU29" s="17"/>
      <c r="TDV29" s="17"/>
      <c r="TDW29" s="17"/>
      <c r="TDX29" s="17"/>
      <c r="TDY29" s="17"/>
      <c r="TDZ29" s="17"/>
      <c r="TEA29" s="17"/>
      <c r="TEB29" s="17"/>
      <c r="TEC29" s="17"/>
      <c r="TED29" s="17"/>
      <c r="TEE29" s="17"/>
      <c r="TEF29" s="17"/>
      <c r="TEG29" s="17"/>
      <c r="TEH29" s="17"/>
      <c r="TEI29" s="17"/>
      <c r="TEJ29" s="17"/>
      <c r="TEK29" s="17"/>
      <c r="TEL29" s="17"/>
      <c r="TEM29" s="17"/>
      <c r="TEN29" s="17"/>
      <c r="TEO29" s="17"/>
      <c r="TEP29" s="17"/>
      <c r="TEQ29" s="17"/>
      <c r="TER29" s="17"/>
      <c r="TES29" s="17"/>
      <c r="TET29" s="17"/>
      <c r="TEU29" s="17"/>
      <c r="TEV29" s="17"/>
      <c r="TEW29" s="17"/>
      <c r="TEX29" s="17"/>
      <c r="TEY29" s="17"/>
      <c r="TEZ29" s="17"/>
      <c r="TFA29" s="17"/>
      <c r="TFB29" s="17"/>
      <c r="TFC29" s="17"/>
      <c r="TFD29" s="17"/>
      <c r="TFE29" s="17"/>
      <c r="TFF29" s="17"/>
      <c r="TFG29" s="17"/>
      <c r="TFH29" s="17"/>
      <c r="TFI29" s="17"/>
      <c r="TFJ29" s="17"/>
      <c r="TFK29" s="17"/>
      <c r="TFL29" s="17"/>
      <c r="TFM29" s="17"/>
      <c r="TFN29" s="17"/>
      <c r="TFO29" s="17"/>
      <c r="TFP29" s="17"/>
      <c r="TFQ29" s="17"/>
      <c r="TFR29" s="17"/>
      <c r="TFS29" s="17"/>
      <c r="TFT29" s="17"/>
      <c r="TFU29" s="17"/>
      <c r="TFV29" s="17"/>
      <c r="TFW29" s="17"/>
      <c r="TFX29" s="17"/>
      <c r="TFY29" s="17"/>
      <c r="TFZ29" s="17"/>
      <c r="TGA29" s="17"/>
      <c r="TGB29" s="17"/>
      <c r="TGC29" s="17"/>
      <c r="TGD29" s="17"/>
      <c r="TGE29" s="17"/>
      <c r="TGF29" s="17"/>
      <c r="TGG29" s="17"/>
      <c r="TGH29" s="17"/>
      <c r="TGI29" s="17"/>
      <c r="TGJ29" s="17"/>
      <c r="TGK29" s="17"/>
      <c r="TGL29" s="17"/>
      <c r="TGM29" s="17"/>
      <c r="TGN29" s="17"/>
      <c r="TGO29" s="17"/>
      <c r="TGP29" s="17"/>
      <c r="TGQ29" s="17"/>
      <c r="TGR29" s="17"/>
      <c r="TGS29" s="17"/>
      <c r="TGT29" s="17"/>
      <c r="TGU29" s="17"/>
      <c r="TGV29" s="17"/>
      <c r="TGW29" s="17"/>
      <c r="TGX29" s="17"/>
      <c r="TGY29" s="17"/>
      <c r="TGZ29" s="17"/>
      <c r="THA29" s="17"/>
      <c r="THB29" s="17"/>
      <c r="THC29" s="17"/>
      <c r="THD29" s="17"/>
      <c r="THE29" s="17"/>
      <c r="THF29" s="17"/>
      <c r="THG29" s="17"/>
      <c r="THH29" s="17"/>
      <c r="THI29" s="17"/>
      <c r="THJ29" s="17"/>
      <c r="THK29" s="17"/>
      <c r="THL29" s="17"/>
      <c r="THM29" s="17"/>
      <c r="THN29" s="17"/>
      <c r="THO29" s="17"/>
      <c r="THP29" s="17"/>
      <c r="THQ29" s="17"/>
      <c r="THR29" s="17"/>
      <c r="THS29" s="17"/>
      <c r="THT29" s="17"/>
      <c r="THU29" s="17"/>
      <c r="THV29" s="17"/>
      <c r="THW29" s="17"/>
      <c r="THX29" s="17"/>
      <c r="THY29" s="17"/>
      <c r="THZ29" s="17"/>
      <c r="TIA29" s="17"/>
      <c r="TIB29" s="17"/>
      <c r="TIC29" s="17"/>
      <c r="TID29" s="17"/>
      <c r="TIE29" s="17"/>
      <c r="TIF29" s="17"/>
      <c r="TIG29" s="17"/>
      <c r="TIH29" s="17"/>
      <c r="TII29" s="17"/>
      <c r="TIJ29" s="17"/>
      <c r="TIK29" s="17"/>
      <c r="TIL29" s="17"/>
      <c r="TIM29" s="17"/>
      <c r="TIN29" s="17"/>
      <c r="TIO29" s="17"/>
      <c r="TIP29" s="17"/>
      <c r="TIQ29" s="17"/>
      <c r="TIR29" s="17"/>
      <c r="TIS29" s="17"/>
      <c r="TIT29" s="17"/>
      <c r="TIU29" s="17"/>
      <c r="TIV29" s="17"/>
      <c r="TIW29" s="17"/>
      <c r="TIX29" s="17"/>
      <c r="TIY29" s="17"/>
      <c r="TIZ29" s="17"/>
      <c r="TJA29" s="17"/>
      <c r="TJB29" s="17"/>
      <c r="TJC29" s="17"/>
      <c r="TJD29" s="17"/>
      <c r="TJE29" s="17"/>
      <c r="TJF29" s="17"/>
      <c r="TJG29" s="17"/>
      <c r="TJH29" s="17"/>
      <c r="TJI29" s="17"/>
      <c r="TJJ29" s="17"/>
      <c r="TJK29" s="17"/>
      <c r="TJL29" s="17"/>
      <c r="TJM29" s="17"/>
      <c r="TJN29" s="17"/>
      <c r="TJO29" s="17"/>
      <c r="TJP29" s="17"/>
      <c r="TJQ29" s="17"/>
      <c r="TJR29" s="17"/>
      <c r="TJS29" s="17"/>
      <c r="TJT29" s="17"/>
      <c r="TJU29" s="17"/>
      <c r="TJV29" s="17"/>
      <c r="TJW29" s="17"/>
      <c r="TJX29" s="17"/>
      <c r="TJY29" s="17"/>
      <c r="TJZ29" s="17"/>
      <c r="TKA29" s="17"/>
      <c r="TKB29" s="17"/>
      <c r="TKC29" s="17"/>
      <c r="TKD29" s="17"/>
      <c r="TKE29" s="17"/>
      <c r="TKF29" s="17"/>
      <c r="TKG29" s="17"/>
      <c r="TKH29" s="17"/>
      <c r="TKI29" s="17"/>
      <c r="TKJ29" s="17"/>
      <c r="TKK29" s="17"/>
      <c r="TKL29" s="17"/>
      <c r="TKM29" s="17"/>
      <c r="TKN29" s="17"/>
      <c r="TKO29" s="17"/>
      <c r="TKP29" s="17"/>
      <c r="TKQ29" s="17"/>
      <c r="TKR29" s="17"/>
      <c r="TKS29" s="17"/>
      <c r="TKT29" s="17"/>
      <c r="TKU29" s="17"/>
      <c r="TKV29" s="17"/>
      <c r="TKW29" s="17"/>
      <c r="TKX29" s="17"/>
      <c r="TKY29" s="17"/>
      <c r="TKZ29" s="17"/>
      <c r="TLA29" s="17"/>
      <c r="TLB29" s="17"/>
      <c r="TLC29" s="17"/>
      <c r="TLD29" s="17"/>
      <c r="TLE29" s="17"/>
      <c r="TLF29" s="17"/>
      <c r="TLG29" s="17"/>
      <c r="TLH29" s="17"/>
      <c r="TLI29" s="17"/>
      <c r="TLJ29" s="17"/>
      <c r="TLK29" s="17"/>
      <c r="TLL29" s="17"/>
      <c r="TLM29" s="17"/>
      <c r="TLN29" s="17"/>
      <c r="TLO29" s="17"/>
      <c r="TLP29" s="17"/>
      <c r="TLQ29" s="17"/>
      <c r="TLR29" s="17"/>
      <c r="TLS29" s="17"/>
      <c r="TLT29" s="17"/>
      <c r="TLU29" s="17"/>
      <c r="TLV29" s="17"/>
      <c r="TLW29" s="17"/>
      <c r="TLX29" s="17"/>
      <c r="TLY29" s="17"/>
      <c r="TLZ29" s="17"/>
      <c r="TMA29" s="17"/>
      <c r="TMB29" s="17"/>
      <c r="TMC29" s="17"/>
      <c r="TMD29" s="17"/>
      <c r="TME29" s="17"/>
      <c r="TMF29" s="17"/>
      <c r="TMG29" s="17"/>
      <c r="TMH29" s="17"/>
      <c r="TMI29" s="17"/>
      <c r="TMJ29" s="17"/>
      <c r="TMK29" s="17"/>
      <c r="TML29" s="17"/>
      <c r="TMM29" s="17"/>
      <c r="TMN29" s="17"/>
      <c r="TMO29" s="17"/>
      <c r="TMP29" s="17"/>
      <c r="TMQ29" s="17"/>
      <c r="TMR29" s="17"/>
      <c r="TMS29" s="17"/>
      <c r="TMT29" s="17"/>
      <c r="TMU29" s="17"/>
      <c r="TMV29" s="17"/>
      <c r="TMW29" s="17"/>
      <c r="TMX29" s="17"/>
      <c r="TMY29" s="17"/>
      <c r="TMZ29" s="17"/>
      <c r="TNA29" s="17"/>
      <c r="TNB29" s="17"/>
      <c r="TNC29" s="17"/>
      <c r="TND29" s="17"/>
      <c r="TNE29" s="17"/>
      <c r="TNF29" s="17"/>
      <c r="TNG29" s="17"/>
      <c r="TNH29" s="17"/>
      <c r="TNI29" s="17"/>
      <c r="TNJ29" s="17"/>
      <c r="TNK29" s="17"/>
      <c r="TNL29" s="17"/>
      <c r="TNM29" s="17"/>
      <c r="TNN29" s="17"/>
      <c r="TNO29" s="17"/>
      <c r="TNP29" s="17"/>
      <c r="TNQ29" s="17"/>
      <c r="TNR29" s="17"/>
      <c r="TNS29" s="17"/>
      <c r="TNT29" s="17"/>
      <c r="TNU29" s="17"/>
      <c r="TNV29" s="17"/>
      <c r="TNW29" s="17"/>
      <c r="TNX29" s="17"/>
      <c r="TNY29" s="17"/>
      <c r="TNZ29" s="17"/>
      <c r="TOA29" s="17"/>
      <c r="TOB29" s="17"/>
      <c r="TOC29" s="17"/>
      <c r="TOD29" s="17"/>
      <c r="TOE29" s="17"/>
      <c r="TOF29" s="17"/>
      <c r="TOG29" s="17"/>
      <c r="TOH29" s="17"/>
      <c r="TOI29" s="17"/>
      <c r="TOJ29" s="17"/>
      <c r="TOK29" s="17"/>
      <c r="TOL29" s="17"/>
      <c r="TOM29" s="17"/>
      <c r="TON29" s="17"/>
      <c r="TOO29" s="17"/>
      <c r="TOP29" s="17"/>
      <c r="TOQ29" s="17"/>
      <c r="TOR29" s="17"/>
      <c r="TOS29" s="17"/>
      <c r="TOT29" s="17"/>
      <c r="TOU29" s="17"/>
      <c r="TOV29" s="17"/>
      <c r="TOW29" s="17"/>
      <c r="TOX29" s="17"/>
      <c r="TOY29" s="17"/>
      <c r="TOZ29" s="17"/>
      <c r="TPA29" s="17"/>
      <c r="TPB29" s="17"/>
      <c r="TPC29" s="17"/>
      <c r="TPD29" s="17"/>
      <c r="TPE29" s="17"/>
      <c r="TPF29" s="17"/>
      <c r="TPG29" s="17"/>
      <c r="TPH29" s="17"/>
      <c r="TPI29" s="17"/>
      <c r="TPJ29" s="17"/>
      <c r="TPK29" s="17"/>
      <c r="TPL29" s="17"/>
      <c r="TPM29" s="17"/>
      <c r="TPN29" s="17"/>
      <c r="TPO29" s="17"/>
      <c r="TPP29" s="17"/>
      <c r="TPQ29" s="17"/>
      <c r="TPR29" s="17"/>
      <c r="TPS29" s="17"/>
      <c r="TPT29" s="17"/>
      <c r="TPU29" s="17"/>
      <c r="TPV29" s="17"/>
      <c r="TPW29" s="17"/>
      <c r="TPX29" s="17"/>
      <c r="TPY29" s="17"/>
      <c r="TPZ29" s="17"/>
      <c r="TQA29" s="17"/>
      <c r="TQB29" s="17"/>
      <c r="TQC29" s="17"/>
      <c r="TQD29" s="17"/>
      <c r="TQE29" s="17"/>
      <c r="TQF29" s="17"/>
      <c r="TQG29" s="17"/>
      <c r="TQH29" s="17"/>
      <c r="TQI29" s="17"/>
      <c r="TQJ29" s="17"/>
      <c r="TQK29" s="17"/>
      <c r="TQL29" s="17"/>
      <c r="TQM29" s="17"/>
      <c r="TQN29" s="17"/>
      <c r="TQO29" s="17"/>
      <c r="TQP29" s="17"/>
      <c r="TQQ29" s="17"/>
      <c r="TQR29" s="17"/>
      <c r="TQS29" s="17"/>
      <c r="TQT29" s="17"/>
      <c r="TQU29" s="17"/>
      <c r="TQV29" s="17"/>
      <c r="TQW29" s="17"/>
      <c r="TQX29" s="17"/>
      <c r="TQY29" s="17"/>
      <c r="TQZ29" s="17"/>
      <c r="TRA29" s="17"/>
      <c r="TRB29" s="17"/>
      <c r="TRC29" s="17"/>
      <c r="TRD29" s="17"/>
      <c r="TRE29" s="17"/>
      <c r="TRF29" s="17"/>
      <c r="TRG29" s="17"/>
      <c r="TRH29" s="17"/>
      <c r="TRI29" s="17"/>
      <c r="TRJ29" s="17"/>
      <c r="TRK29" s="17"/>
      <c r="TRL29" s="17"/>
      <c r="TRM29" s="17"/>
      <c r="TRN29" s="17"/>
      <c r="TRO29" s="17"/>
      <c r="TRP29" s="17"/>
      <c r="TRQ29" s="17"/>
      <c r="TRR29" s="17"/>
      <c r="TRS29" s="17"/>
      <c r="TRT29" s="17"/>
      <c r="TRU29" s="17"/>
      <c r="TRV29" s="17"/>
      <c r="TRW29" s="17"/>
      <c r="TRX29" s="17"/>
      <c r="TRY29" s="17"/>
      <c r="TRZ29" s="17"/>
      <c r="TSA29" s="17"/>
      <c r="TSB29" s="17"/>
      <c r="TSC29" s="17"/>
      <c r="TSD29" s="17"/>
      <c r="TSE29" s="17"/>
      <c r="TSF29" s="17"/>
      <c r="TSG29" s="17"/>
      <c r="TSH29" s="17"/>
      <c r="TSI29" s="17"/>
      <c r="TSJ29" s="17"/>
      <c r="TSK29" s="17"/>
      <c r="TSL29" s="17"/>
      <c r="TSM29" s="17"/>
      <c r="TSN29" s="17"/>
      <c r="TSO29" s="17"/>
      <c r="TSP29" s="17"/>
      <c r="TSQ29" s="17"/>
      <c r="TSR29" s="17"/>
      <c r="TSS29" s="17"/>
      <c r="TST29" s="17"/>
      <c r="TSU29" s="17"/>
      <c r="TSV29" s="17"/>
      <c r="TSW29" s="17"/>
      <c r="TSX29" s="17"/>
      <c r="TSY29" s="17"/>
      <c r="TSZ29" s="17"/>
      <c r="TTA29" s="17"/>
      <c r="TTB29" s="17"/>
      <c r="TTC29" s="17"/>
      <c r="TTD29" s="17"/>
      <c r="TTE29" s="17"/>
      <c r="TTF29" s="17"/>
      <c r="TTG29" s="17"/>
      <c r="TTH29" s="17"/>
      <c r="TTI29" s="17"/>
      <c r="TTJ29" s="17"/>
      <c r="TTK29" s="17"/>
      <c r="TTL29" s="17"/>
      <c r="TTM29" s="17"/>
      <c r="TTN29" s="17"/>
      <c r="TTO29" s="17"/>
      <c r="TTP29" s="17"/>
      <c r="TTQ29" s="17"/>
      <c r="TTR29" s="17"/>
      <c r="TTS29" s="17"/>
      <c r="TTT29" s="17"/>
      <c r="TTU29" s="17"/>
      <c r="TTV29" s="17"/>
      <c r="TTW29" s="17"/>
      <c r="TTX29" s="17"/>
      <c r="TTY29" s="17"/>
      <c r="TTZ29" s="17"/>
      <c r="TUA29" s="17"/>
      <c r="TUB29" s="17"/>
      <c r="TUC29" s="17"/>
      <c r="TUD29" s="17"/>
      <c r="TUE29" s="17"/>
      <c r="TUF29" s="17"/>
      <c r="TUG29" s="17"/>
      <c r="TUH29" s="17"/>
      <c r="TUI29" s="17"/>
      <c r="TUJ29" s="17"/>
      <c r="TUK29" s="17"/>
      <c r="TUL29" s="17"/>
      <c r="TUM29" s="17"/>
      <c r="TUN29" s="17"/>
      <c r="TUO29" s="17"/>
      <c r="TUP29" s="17"/>
      <c r="TUQ29" s="17"/>
      <c r="TUR29" s="17"/>
      <c r="TUS29" s="17"/>
      <c r="TUT29" s="17"/>
      <c r="TUU29" s="17"/>
      <c r="TUV29" s="17"/>
      <c r="TUW29" s="17"/>
      <c r="TUX29" s="17"/>
      <c r="TUY29" s="17"/>
      <c r="TUZ29" s="17"/>
      <c r="TVA29" s="17"/>
      <c r="TVB29" s="17"/>
      <c r="TVC29" s="17"/>
      <c r="TVD29" s="17"/>
      <c r="TVE29" s="17"/>
      <c r="TVF29" s="17"/>
      <c r="TVG29" s="17"/>
      <c r="TVH29" s="17"/>
      <c r="TVI29" s="17"/>
      <c r="TVJ29" s="17"/>
      <c r="TVK29" s="17"/>
      <c r="TVL29" s="17"/>
      <c r="TVM29" s="17"/>
      <c r="TVN29" s="17"/>
      <c r="TVO29" s="17"/>
      <c r="TVP29" s="17"/>
      <c r="TVQ29" s="17"/>
      <c r="TVR29" s="17"/>
      <c r="TVS29" s="17"/>
      <c r="TVT29" s="17"/>
      <c r="TVU29" s="17"/>
      <c r="TVV29" s="17"/>
      <c r="TVW29" s="17"/>
      <c r="TVX29" s="17"/>
      <c r="TVY29" s="17"/>
      <c r="TVZ29" s="17"/>
      <c r="TWA29" s="17"/>
      <c r="TWB29" s="17"/>
      <c r="TWC29" s="17"/>
      <c r="TWD29" s="17"/>
      <c r="TWE29" s="17"/>
      <c r="TWF29" s="17"/>
      <c r="TWG29" s="17"/>
      <c r="TWH29" s="17"/>
      <c r="TWI29" s="17"/>
      <c r="TWJ29" s="17"/>
      <c r="TWK29" s="17"/>
      <c r="TWL29" s="17"/>
      <c r="TWM29" s="17"/>
      <c r="TWN29" s="17"/>
      <c r="TWO29" s="17"/>
      <c r="TWP29" s="17"/>
      <c r="TWQ29" s="17"/>
      <c r="TWR29" s="17"/>
      <c r="TWS29" s="17"/>
      <c r="TWT29" s="17"/>
      <c r="TWU29" s="17"/>
      <c r="TWV29" s="17"/>
      <c r="TWW29" s="17"/>
      <c r="TWX29" s="17"/>
      <c r="TWY29" s="17"/>
      <c r="TWZ29" s="17"/>
      <c r="TXA29" s="17"/>
      <c r="TXB29" s="17"/>
      <c r="TXC29" s="17"/>
      <c r="TXD29" s="17"/>
      <c r="TXE29" s="17"/>
      <c r="TXF29" s="17"/>
      <c r="TXG29" s="17"/>
      <c r="TXH29" s="17"/>
      <c r="TXI29" s="17"/>
      <c r="TXJ29" s="17"/>
      <c r="TXK29" s="17"/>
      <c r="TXL29" s="17"/>
      <c r="TXM29" s="17"/>
      <c r="TXN29" s="17"/>
      <c r="TXO29" s="17"/>
      <c r="TXP29" s="17"/>
      <c r="TXQ29" s="17"/>
      <c r="TXR29" s="17"/>
      <c r="TXS29" s="17"/>
      <c r="TXT29" s="17"/>
      <c r="TXU29" s="17"/>
      <c r="TXV29" s="17"/>
      <c r="TXW29" s="17"/>
      <c r="TXX29" s="17"/>
      <c r="TXY29" s="17"/>
      <c r="TXZ29" s="17"/>
      <c r="TYA29" s="17"/>
      <c r="TYB29" s="17"/>
      <c r="TYC29" s="17"/>
      <c r="TYD29" s="17"/>
      <c r="TYE29" s="17"/>
      <c r="TYF29" s="17"/>
      <c r="TYG29" s="17"/>
      <c r="TYH29" s="17"/>
      <c r="TYI29" s="17"/>
      <c r="TYJ29" s="17"/>
      <c r="TYK29" s="17"/>
      <c r="TYL29" s="17"/>
      <c r="TYM29" s="17"/>
      <c r="TYN29" s="17"/>
      <c r="TYO29" s="17"/>
      <c r="TYP29" s="17"/>
      <c r="TYQ29" s="17"/>
      <c r="TYR29" s="17"/>
      <c r="TYS29" s="17"/>
      <c r="TYT29" s="17"/>
      <c r="TYU29" s="17"/>
      <c r="TYV29" s="17"/>
      <c r="TYW29" s="17"/>
      <c r="TYX29" s="17"/>
      <c r="TYY29" s="17"/>
      <c r="TYZ29" s="17"/>
      <c r="TZA29" s="17"/>
      <c r="TZB29" s="17"/>
      <c r="TZC29" s="17"/>
      <c r="TZD29" s="17"/>
      <c r="TZE29" s="17"/>
      <c r="TZF29" s="17"/>
      <c r="TZG29" s="17"/>
      <c r="TZH29" s="17"/>
      <c r="TZI29" s="17"/>
      <c r="TZJ29" s="17"/>
      <c r="TZK29" s="17"/>
      <c r="TZL29" s="17"/>
      <c r="TZM29" s="17"/>
      <c r="TZN29" s="17"/>
      <c r="TZO29" s="17"/>
      <c r="TZP29" s="17"/>
      <c r="TZQ29" s="17"/>
      <c r="TZR29" s="17"/>
      <c r="TZS29" s="17"/>
      <c r="TZT29" s="17"/>
      <c r="TZU29" s="17"/>
      <c r="TZV29" s="17"/>
      <c r="TZW29" s="17"/>
      <c r="TZX29" s="17"/>
      <c r="TZY29" s="17"/>
      <c r="TZZ29" s="17"/>
      <c r="UAA29" s="17"/>
      <c r="UAB29" s="17"/>
      <c r="UAC29" s="17"/>
      <c r="UAD29" s="17"/>
      <c r="UAE29" s="17"/>
      <c r="UAF29" s="17"/>
      <c r="UAG29" s="17"/>
      <c r="UAH29" s="17"/>
      <c r="UAI29" s="17"/>
      <c r="UAJ29" s="17"/>
      <c r="UAK29" s="17"/>
      <c r="UAL29" s="17"/>
      <c r="UAM29" s="17"/>
      <c r="UAN29" s="17"/>
      <c r="UAO29" s="17"/>
      <c r="UAP29" s="17"/>
      <c r="UAQ29" s="17"/>
      <c r="UAR29" s="17"/>
      <c r="UAS29" s="17"/>
      <c r="UAT29" s="17"/>
      <c r="UAU29" s="17"/>
      <c r="UAV29" s="17"/>
      <c r="UAW29" s="17"/>
      <c r="UAX29" s="17"/>
      <c r="UAY29" s="17"/>
      <c r="UAZ29" s="17"/>
      <c r="UBA29" s="17"/>
      <c r="UBB29" s="17"/>
      <c r="UBC29" s="17"/>
      <c r="UBD29" s="17"/>
      <c r="UBE29" s="17"/>
      <c r="UBF29" s="17"/>
      <c r="UBG29" s="17"/>
      <c r="UBH29" s="17"/>
      <c r="UBI29" s="17"/>
      <c r="UBJ29" s="17"/>
      <c r="UBK29" s="17"/>
      <c r="UBL29" s="17"/>
      <c r="UBM29" s="17"/>
      <c r="UBN29" s="17"/>
      <c r="UBO29" s="17"/>
      <c r="UBP29" s="17"/>
      <c r="UBQ29" s="17"/>
      <c r="UBR29" s="17"/>
      <c r="UBS29" s="17"/>
      <c r="UBT29" s="17"/>
      <c r="UBU29" s="17"/>
      <c r="UBV29" s="17"/>
      <c r="UBW29" s="17"/>
      <c r="UBX29" s="17"/>
      <c r="UBY29" s="17"/>
      <c r="UBZ29" s="17"/>
      <c r="UCA29" s="17"/>
      <c r="UCB29" s="17"/>
      <c r="UCC29" s="17"/>
      <c r="UCD29" s="17"/>
      <c r="UCE29" s="17"/>
      <c r="UCF29" s="17"/>
      <c r="UCG29" s="17"/>
      <c r="UCH29" s="17"/>
      <c r="UCI29" s="17"/>
      <c r="UCJ29" s="17"/>
      <c r="UCK29" s="17"/>
      <c r="UCL29" s="17"/>
      <c r="UCM29" s="17"/>
      <c r="UCN29" s="17"/>
      <c r="UCO29" s="17"/>
      <c r="UCP29" s="17"/>
      <c r="UCQ29" s="17"/>
      <c r="UCR29" s="17"/>
      <c r="UCS29" s="17"/>
      <c r="UCT29" s="17"/>
      <c r="UCU29" s="17"/>
      <c r="UCV29" s="17"/>
      <c r="UCW29" s="17"/>
      <c r="UCX29" s="17"/>
      <c r="UCY29" s="17"/>
      <c r="UCZ29" s="17"/>
      <c r="UDA29" s="17"/>
      <c r="UDB29" s="17"/>
      <c r="UDC29" s="17"/>
      <c r="UDD29" s="17"/>
      <c r="UDE29" s="17"/>
      <c r="UDF29" s="17"/>
      <c r="UDG29" s="17"/>
      <c r="UDH29" s="17"/>
      <c r="UDI29" s="17"/>
      <c r="UDJ29" s="17"/>
      <c r="UDK29" s="17"/>
      <c r="UDL29" s="17"/>
      <c r="UDM29" s="17"/>
      <c r="UDN29" s="17"/>
      <c r="UDO29" s="17"/>
      <c r="UDP29" s="17"/>
      <c r="UDQ29" s="17"/>
      <c r="UDR29" s="17"/>
      <c r="UDS29" s="17"/>
      <c r="UDT29" s="17"/>
      <c r="UDU29" s="17"/>
      <c r="UDV29" s="17"/>
      <c r="UDW29" s="17"/>
      <c r="UDX29" s="17"/>
      <c r="UDY29" s="17"/>
      <c r="UDZ29" s="17"/>
      <c r="UEA29" s="17"/>
      <c r="UEB29" s="17"/>
      <c r="UEC29" s="17"/>
      <c r="UED29" s="17"/>
      <c r="UEE29" s="17"/>
      <c r="UEF29" s="17"/>
      <c r="UEG29" s="17"/>
      <c r="UEH29" s="17"/>
      <c r="UEI29" s="17"/>
      <c r="UEJ29" s="17"/>
      <c r="UEK29" s="17"/>
      <c r="UEL29" s="17"/>
      <c r="UEM29" s="17"/>
      <c r="UEN29" s="17"/>
      <c r="UEO29" s="17"/>
      <c r="UEP29" s="17"/>
      <c r="UEQ29" s="17"/>
      <c r="UER29" s="17"/>
      <c r="UES29" s="17"/>
      <c r="UET29" s="17"/>
      <c r="UEU29" s="17"/>
      <c r="UEV29" s="17"/>
      <c r="UEW29" s="17"/>
      <c r="UEX29" s="17"/>
      <c r="UEY29" s="17"/>
      <c r="UEZ29" s="17"/>
      <c r="UFA29" s="17"/>
      <c r="UFB29" s="17"/>
      <c r="UFC29" s="17"/>
      <c r="UFD29" s="17"/>
      <c r="UFE29" s="17"/>
      <c r="UFF29" s="17"/>
      <c r="UFG29" s="17"/>
      <c r="UFH29" s="17"/>
      <c r="UFI29" s="17"/>
      <c r="UFJ29" s="17"/>
      <c r="UFK29" s="17"/>
      <c r="UFL29" s="17"/>
      <c r="UFM29" s="17"/>
      <c r="UFN29" s="17"/>
      <c r="UFO29" s="17"/>
      <c r="UFP29" s="17"/>
      <c r="UFQ29" s="17"/>
      <c r="UFR29" s="17"/>
      <c r="UFS29" s="17"/>
      <c r="UFT29" s="17"/>
      <c r="UFU29" s="17"/>
      <c r="UFV29" s="17"/>
      <c r="UFW29" s="17"/>
      <c r="UFX29" s="17"/>
      <c r="UFY29" s="17"/>
      <c r="UFZ29" s="17"/>
      <c r="UGA29" s="17"/>
      <c r="UGB29" s="17"/>
      <c r="UGC29" s="17"/>
      <c r="UGD29" s="17"/>
      <c r="UGE29" s="17"/>
      <c r="UGF29" s="17"/>
      <c r="UGG29" s="17"/>
      <c r="UGH29" s="17"/>
      <c r="UGI29" s="17"/>
      <c r="UGJ29" s="17"/>
      <c r="UGK29" s="17"/>
      <c r="UGL29" s="17"/>
      <c r="UGM29" s="17"/>
      <c r="UGN29" s="17"/>
      <c r="UGO29" s="17"/>
      <c r="UGP29" s="17"/>
      <c r="UGQ29" s="17"/>
      <c r="UGR29" s="17"/>
      <c r="UGS29" s="17"/>
      <c r="UGT29" s="17"/>
      <c r="UGU29" s="17"/>
      <c r="UGV29" s="17"/>
      <c r="UGW29" s="17"/>
      <c r="UGX29" s="17"/>
      <c r="UGY29" s="17"/>
      <c r="UGZ29" s="17"/>
      <c r="UHA29" s="17"/>
      <c r="UHB29" s="17"/>
      <c r="UHC29" s="17"/>
      <c r="UHD29" s="17"/>
      <c r="UHE29" s="17"/>
      <c r="UHF29" s="17"/>
      <c r="UHG29" s="17"/>
      <c r="UHH29" s="17"/>
      <c r="UHI29" s="17"/>
      <c r="UHJ29" s="17"/>
      <c r="UHK29" s="17"/>
      <c r="UHL29" s="17"/>
      <c r="UHM29" s="17"/>
      <c r="UHN29" s="17"/>
      <c r="UHO29" s="17"/>
      <c r="UHP29" s="17"/>
      <c r="UHQ29" s="17"/>
      <c r="UHR29" s="17"/>
      <c r="UHS29" s="17"/>
      <c r="UHT29" s="17"/>
      <c r="UHU29" s="17"/>
      <c r="UHV29" s="17"/>
      <c r="UHW29" s="17"/>
      <c r="UHX29" s="17"/>
      <c r="UHY29" s="17"/>
      <c r="UHZ29" s="17"/>
      <c r="UIA29" s="17"/>
      <c r="UIB29" s="17"/>
      <c r="UIC29" s="17"/>
      <c r="UID29" s="17"/>
      <c r="UIE29" s="17"/>
      <c r="UIF29" s="17"/>
      <c r="UIG29" s="17"/>
      <c r="UIH29" s="17"/>
      <c r="UII29" s="17"/>
      <c r="UIJ29" s="17"/>
      <c r="UIK29" s="17"/>
      <c r="UIL29" s="17"/>
      <c r="UIM29" s="17"/>
      <c r="UIN29" s="17"/>
      <c r="UIO29" s="17"/>
      <c r="UIP29" s="17"/>
      <c r="UIQ29" s="17"/>
      <c r="UIR29" s="17"/>
      <c r="UIS29" s="17"/>
      <c r="UIT29" s="17"/>
      <c r="UIU29" s="17"/>
      <c r="UIV29" s="17"/>
      <c r="UIW29" s="17"/>
      <c r="UIX29" s="17"/>
      <c r="UIY29" s="17"/>
      <c r="UIZ29" s="17"/>
      <c r="UJA29" s="17"/>
      <c r="UJB29" s="17"/>
      <c r="UJC29" s="17"/>
      <c r="UJD29" s="17"/>
      <c r="UJE29" s="17"/>
      <c r="UJF29" s="17"/>
      <c r="UJG29" s="17"/>
      <c r="UJH29" s="17"/>
      <c r="UJI29" s="17"/>
      <c r="UJJ29" s="17"/>
      <c r="UJK29" s="17"/>
      <c r="UJL29" s="17"/>
      <c r="UJM29" s="17"/>
      <c r="UJN29" s="17"/>
      <c r="UJO29" s="17"/>
      <c r="UJP29" s="17"/>
      <c r="UJQ29" s="17"/>
      <c r="UJR29" s="17"/>
      <c r="UJS29" s="17"/>
      <c r="UJT29" s="17"/>
      <c r="UJU29" s="17"/>
      <c r="UJV29" s="17"/>
      <c r="UJW29" s="17"/>
      <c r="UJX29" s="17"/>
      <c r="UJY29" s="17"/>
      <c r="UJZ29" s="17"/>
      <c r="UKA29" s="17"/>
      <c r="UKB29" s="17"/>
      <c r="UKC29" s="17"/>
      <c r="UKD29" s="17"/>
      <c r="UKE29" s="17"/>
      <c r="UKF29" s="17"/>
      <c r="UKG29" s="17"/>
      <c r="UKH29" s="17"/>
      <c r="UKI29" s="17"/>
      <c r="UKJ29" s="17"/>
      <c r="UKK29" s="17"/>
      <c r="UKL29" s="17"/>
      <c r="UKM29" s="17"/>
      <c r="UKN29" s="17"/>
      <c r="UKO29" s="17"/>
      <c r="UKP29" s="17"/>
      <c r="UKQ29" s="17"/>
      <c r="UKR29" s="17"/>
      <c r="UKS29" s="17"/>
      <c r="UKT29" s="17"/>
      <c r="UKU29" s="17"/>
      <c r="UKV29" s="17"/>
      <c r="UKW29" s="17"/>
      <c r="UKX29" s="17"/>
      <c r="UKY29" s="17"/>
      <c r="UKZ29" s="17"/>
      <c r="ULA29" s="17"/>
      <c r="ULB29" s="17"/>
      <c r="ULC29" s="17"/>
      <c r="ULD29" s="17"/>
      <c r="ULE29" s="17"/>
      <c r="ULF29" s="17"/>
      <c r="ULG29" s="17"/>
      <c r="ULH29" s="17"/>
      <c r="ULI29" s="17"/>
      <c r="ULJ29" s="17"/>
      <c r="ULK29" s="17"/>
      <c r="ULL29" s="17"/>
      <c r="ULM29" s="17"/>
      <c r="ULN29" s="17"/>
      <c r="ULO29" s="17"/>
      <c r="ULP29" s="17"/>
      <c r="ULQ29" s="17"/>
      <c r="ULR29" s="17"/>
      <c r="ULS29" s="17"/>
      <c r="ULT29" s="17"/>
      <c r="ULU29" s="17"/>
      <c r="ULV29" s="17"/>
      <c r="ULW29" s="17"/>
      <c r="ULX29" s="17"/>
      <c r="ULY29" s="17"/>
      <c r="ULZ29" s="17"/>
      <c r="UMA29" s="17"/>
      <c r="UMB29" s="17"/>
      <c r="UMC29" s="17"/>
      <c r="UMD29" s="17"/>
      <c r="UME29" s="17"/>
      <c r="UMF29" s="17"/>
      <c r="UMG29" s="17"/>
      <c r="UMH29" s="17"/>
      <c r="UMI29" s="17"/>
      <c r="UMJ29" s="17"/>
      <c r="UMK29" s="17"/>
      <c r="UML29" s="17"/>
      <c r="UMM29" s="17"/>
      <c r="UMN29" s="17"/>
      <c r="UMO29" s="17"/>
      <c r="UMP29" s="17"/>
      <c r="UMQ29" s="17"/>
      <c r="UMR29" s="17"/>
      <c r="UMS29" s="17"/>
      <c r="UMT29" s="17"/>
      <c r="UMU29" s="17"/>
      <c r="UMV29" s="17"/>
      <c r="UMW29" s="17"/>
      <c r="UMX29" s="17"/>
      <c r="UMY29" s="17"/>
      <c r="UMZ29" s="17"/>
      <c r="UNA29" s="17"/>
      <c r="UNB29" s="17"/>
      <c r="UNC29" s="17"/>
      <c r="UND29" s="17"/>
      <c r="UNE29" s="17"/>
      <c r="UNF29" s="17"/>
      <c r="UNG29" s="17"/>
      <c r="UNH29" s="17"/>
      <c r="UNI29" s="17"/>
      <c r="UNJ29" s="17"/>
      <c r="UNK29" s="17"/>
      <c r="UNL29" s="17"/>
      <c r="UNM29" s="17"/>
      <c r="UNN29" s="17"/>
      <c r="UNO29" s="17"/>
      <c r="UNP29" s="17"/>
      <c r="UNQ29" s="17"/>
      <c r="UNR29" s="17"/>
      <c r="UNS29" s="17"/>
      <c r="UNT29" s="17"/>
      <c r="UNU29" s="17"/>
      <c r="UNV29" s="17"/>
      <c r="UNW29" s="17"/>
      <c r="UNX29" s="17"/>
      <c r="UNY29" s="17"/>
      <c r="UNZ29" s="17"/>
      <c r="UOA29" s="17"/>
      <c r="UOB29" s="17"/>
      <c r="UOC29" s="17"/>
      <c r="UOD29" s="17"/>
      <c r="UOE29" s="17"/>
      <c r="UOF29" s="17"/>
      <c r="UOG29" s="17"/>
      <c r="UOH29" s="17"/>
      <c r="UOI29" s="17"/>
      <c r="UOJ29" s="17"/>
      <c r="UOK29" s="17"/>
      <c r="UOL29" s="17"/>
      <c r="UOM29" s="17"/>
      <c r="UON29" s="17"/>
      <c r="UOO29" s="17"/>
      <c r="UOP29" s="17"/>
      <c r="UOQ29" s="17"/>
      <c r="UOR29" s="17"/>
      <c r="UOS29" s="17"/>
      <c r="UOT29" s="17"/>
      <c r="UOU29" s="17"/>
      <c r="UOV29" s="17"/>
      <c r="UOW29" s="17"/>
      <c r="UOX29" s="17"/>
      <c r="UOY29" s="17"/>
      <c r="UOZ29" s="17"/>
      <c r="UPA29" s="17"/>
      <c r="UPB29" s="17"/>
      <c r="UPC29" s="17"/>
      <c r="UPD29" s="17"/>
      <c r="UPE29" s="17"/>
      <c r="UPF29" s="17"/>
      <c r="UPG29" s="17"/>
      <c r="UPH29" s="17"/>
      <c r="UPI29" s="17"/>
      <c r="UPJ29" s="17"/>
      <c r="UPK29" s="17"/>
      <c r="UPL29" s="17"/>
      <c r="UPM29" s="17"/>
      <c r="UPN29" s="17"/>
      <c r="UPO29" s="17"/>
      <c r="UPP29" s="17"/>
      <c r="UPQ29" s="17"/>
      <c r="UPR29" s="17"/>
      <c r="UPS29" s="17"/>
      <c r="UPT29" s="17"/>
      <c r="UPU29" s="17"/>
      <c r="UPV29" s="17"/>
      <c r="UPW29" s="17"/>
      <c r="UPX29" s="17"/>
      <c r="UPY29" s="17"/>
      <c r="UPZ29" s="17"/>
      <c r="UQA29" s="17"/>
      <c r="UQB29" s="17"/>
      <c r="UQC29" s="17"/>
      <c r="UQD29" s="17"/>
      <c r="UQE29" s="17"/>
      <c r="UQF29" s="17"/>
      <c r="UQG29" s="17"/>
      <c r="UQH29" s="17"/>
      <c r="UQI29" s="17"/>
      <c r="UQJ29" s="17"/>
      <c r="UQK29" s="17"/>
      <c r="UQL29" s="17"/>
      <c r="UQM29" s="17"/>
      <c r="UQN29" s="17"/>
      <c r="UQO29" s="17"/>
      <c r="UQP29" s="17"/>
      <c r="UQQ29" s="17"/>
      <c r="UQR29" s="17"/>
      <c r="UQS29" s="17"/>
      <c r="UQT29" s="17"/>
      <c r="UQU29" s="17"/>
      <c r="UQV29" s="17"/>
      <c r="UQW29" s="17"/>
      <c r="UQX29" s="17"/>
      <c r="UQY29" s="17"/>
      <c r="UQZ29" s="17"/>
      <c r="URA29" s="17"/>
      <c r="URB29" s="17"/>
      <c r="URC29" s="17"/>
      <c r="URD29" s="17"/>
      <c r="URE29" s="17"/>
      <c r="URF29" s="17"/>
      <c r="URG29" s="17"/>
      <c r="URH29" s="17"/>
      <c r="URI29" s="17"/>
      <c r="URJ29" s="17"/>
      <c r="URK29" s="17"/>
      <c r="URL29" s="17"/>
      <c r="URM29" s="17"/>
      <c r="URN29" s="17"/>
      <c r="URO29" s="17"/>
      <c r="URP29" s="17"/>
      <c r="URQ29" s="17"/>
      <c r="URR29" s="17"/>
      <c r="URS29" s="17"/>
      <c r="URT29" s="17"/>
      <c r="URU29" s="17"/>
      <c r="URV29" s="17"/>
      <c r="URW29" s="17"/>
      <c r="URX29" s="17"/>
      <c r="URY29" s="17"/>
      <c r="URZ29" s="17"/>
      <c r="USA29" s="17"/>
      <c r="USB29" s="17"/>
      <c r="USC29" s="17"/>
      <c r="USD29" s="17"/>
      <c r="USE29" s="17"/>
      <c r="USF29" s="17"/>
      <c r="USG29" s="17"/>
      <c r="USH29" s="17"/>
      <c r="USI29" s="17"/>
      <c r="USJ29" s="17"/>
      <c r="USK29" s="17"/>
      <c r="USL29" s="17"/>
      <c r="USM29" s="17"/>
      <c r="USN29" s="17"/>
      <c r="USO29" s="17"/>
      <c r="USP29" s="17"/>
      <c r="USQ29" s="17"/>
      <c r="USR29" s="17"/>
      <c r="USS29" s="17"/>
      <c r="UST29" s="17"/>
      <c r="USU29" s="17"/>
      <c r="USV29" s="17"/>
      <c r="USW29" s="17"/>
      <c r="USX29" s="17"/>
      <c r="USY29" s="17"/>
      <c r="USZ29" s="17"/>
      <c r="UTA29" s="17"/>
      <c r="UTB29" s="17"/>
      <c r="UTC29" s="17"/>
      <c r="UTD29" s="17"/>
      <c r="UTE29" s="17"/>
      <c r="UTF29" s="17"/>
      <c r="UTG29" s="17"/>
      <c r="UTH29" s="17"/>
      <c r="UTI29" s="17"/>
      <c r="UTJ29" s="17"/>
      <c r="UTK29" s="17"/>
      <c r="UTL29" s="17"/>
      <c r="UTM29" s="17"/>
      <c r="UTN29" s="17"/>
      <c r="UTO29" s="17"/>
      <c r="UTP29" s="17"/>
      <c r="UTQ29" s="17"/>
      <c r="UTR29" s="17"/>
      <c r="UTS29" s="17"/>
      <c r="UTT29" s="17"/>
      <c r="UTU29" s="17"/>
      <c r="UTV29" s="17"/>
      <c r="UTW29" s="17"/>
      <c r="UTX29" s="17"/>
      <c r="UTY29" s="17"/>
      <c r="UTZ29" s="17"/>
      <c r="UUA29" s="17"/>
      <c r="UUB29" s="17"/>
      <c r="UUC29" s="17"/>
      <c r="UUD29" s="17"/>
      <c r="UUE29" s="17"/>
      <c r="UUF29" s="17"/>
      <c r="UUG29" s="17"/>
      <c r="UUH29" s="17"/>
      <c r="UUI29" s="17"/>
      <c r="UUJ29" s="17"/>
      <c r="UUK29" s="17"/>
      <c r="UUL29" s="17"/>
      <c r="UUM29" s="17"/>
      <c r="UUN29" s="17"/>
      <c r="UUO29" s="17"/>
      <c r="UUP29" s="17"/>
      <c r="UUQ29" s="17"/>
      <c r="UUR29" s="17"/>
      <c r="UUS29" s="17"/>
      <c r="UUT29" s="17"/>
      <c r="UUU29" s="17"/>
      <c r="UUV29" s="17"/>
      <c r="UUW29" s="17"/>
      <c r="UUX29" s="17"/>
      <c r="UUY29" s="17"/>
      <c r="UUZ29" s="17"/>
      <c r="UVA29" s="17"/>
      <c r="UVB29" s="17"/>
      <c r="UVC29" s="17"/>
      <c r="UVD29" s="17"/>
      <c r="UVE29" s="17"/>
      <c r="UVF29" s="17"/>
      <c r="UVG29" s="17"/>
      <c r="UVH29" s="17"/>
      <c r="UVI29" s="17"/>
      <c r="UVJ29" s="17"/>
      <c r="UVK29" s="17"/>
      <c r="UVL29" s="17"/>
      <c r="UVM29" s="17"/>
      <c r="UVN29" s="17"/>
      <c r="UVO29" s="17"/>
      <c r="UVP29" s="17"/>
      <c r="UVQ29" s="17"/>
      <c r="UVR29" s="17"/>
      <c r="UVS29" s="17"/>
      <c r="UVT29" s="17"/>
      <c r="UVU29" s="17"/>
      <c r="UVV29" s="17"/>
      <c r="UVW29" s="17"/>
      <c r="UVX29" s="17"/>
      <c r="UVY29" s="17"/>
      <c r="UVZ29" s="17"/>
      <c r="UWA29" s="17"/>
      <c r="UWB29" s="17"/>
      <c r="UWC29" s="17"/>
      <c r="UWD29" s="17"/>
      <c r="UWE29" s="17"/>
      <c r="UWF29" s="17"/>
      <c r="UWG29" s="17"/>
      <c r="UWH29" s="17"/>
      <c r="UWI29" s="17"/>
      <c r="UWJ29" s="17"/>
      <c r="UWK29" s="17"/>
      <c r="UWL29" s="17"/>
      <c r="UWM29" s="17"/>
      <c r="UWN29" s="17"/>
      <c r="UWO29" s="17"/>
      <c r="UWP29" s="17"/>
      <c r="UWQ29" s="17"/>
      <c r="UWR29" s="17"/>
      <c r="UWS29" s="17"/>
      <c r="UWT29" s="17"/>
      <c r="UWU29" s="17"/>
      <c r="UWV29" s="17"/>
      <c r="UWW29" s="17"/>
      <c r="UWX29" s="17"/>
      <c r="UWY29" s="17"/>
      <c r="UWZ29" s="17"/>
      <c r="UXA29" s="17"/>
      <c r="UXB29" s="17"/>
      <c r="UXC29" s="17"/>
      <c r="UXD29" s="17"/>
      <c r="UXE29" s="17"/>
      <c r="UXF29" s="17"/>
      <c r="UXG29" s="17"/>
      <c r="UXH29" s="17"/>
      <c r="UXI29" s="17"/>
      <c r="UXJ29" s="17"/>
      <c r="UXK29" s="17"/>
      <c r="UXL29" s="17"/>
      <c r="UXM29" s="17"/>
      <c r="UXN29" s="17"/>
      <c r="UXO29" s="17"/>
      <c r="UXP29" s="17"/>
      <c r="UXQ29" s="17"/>
      <c r="UXR29" s="17"/>
      <c r="UXS29" s="17"/>
      <c r="UXT29" s="17"/>
      <c r="UXU29" s="17"/>
      <c r="UXV29" s="17"/>
      <c r="UXW29" s="17"/>
      <c r="UXX29" s="17"/>
      <c r="UXY29" s="17"/>
      <c r="UXZ29" s="17"/>
      <c r="UYA29" s="17"/>
      <c r="UYB29" s="17"/>
      <c r="UYC29" s="17"/>
      <c r="UYD29" s="17"/>
      <c r="UYE29" s="17"/>
      <c r="UYF29" s="17"/>
      <c r="UYG29" s="17"/>
      <c r="UYH29" s="17"/>
      <c r="UYI29" s="17"/>
      <c r="UYJ29" s="17"/>
      <c r="UYK29" s="17"/>
      <c r="UYL29" s="17"/>
      <c r="UYM29" s="17"/>
      <c r="UYN29" s="17"/>
      <c r="UYO29" s="17"/>
      <c r="UYP29" s="17"/>
      <c r="UYQ29" s="17"/>
      <c r="UYR29" s="17"/>
      <c r="UYS29" s="17"/>
      <c r="UYT29" s="17"/>
      <c r="UYU29" s="17"/>
      <c r="UYV29" s="17"/>
      <c r="UYW29" s="17"/>
      <c r="UYX29" s="17"/>
      <c r="UYY29" s="17"/>
      <c r="UYZ29" s="17"/>
      <c r="UZA29" s="17"/>
      <c r="UZB29" s="17"/>
      <c r="UZC29" s="17"/>
      <c r="UZD29" s="17"/>
      <c r="UZE29" s="17"/>
      <c r="UZF29" s="17"/>
      <c r="UZG29" s="17"/>
      <c r="UZH29" s="17"/>
      <c r="UZI29" s="17"/>
      <c r="UZJ29" s="17"/>
      <c r="UZK29" s="17"/>
      <c r="UZL29" s="17"/>
      <c r="UZM29" s="17"/>
      <c r="UZN29" s="17"/>
      <c r="UZO29" s="17"/>
      <c r="UZP29" s="17"/>
      <c r="UZQ29" s="17"/>
      <c r="UZR29" s="17"/>
      <c r="UZS29" s="17"/>
      <c r="UZT29" s="17"/>
      <c r="UZU29" s="17"/>
      <c r="UZV29" s="17"/>
      <c r="UZW29" s="17"/>
      <c r="UZX29" s="17"/>
      <c r="UZY29" s="17"/>
      <c r="UZZ29" s="17"/>
      <c r="VAA29" s="17"/>
      <c r="VAB29" s="17"/>
      <c r="VAC29" s="17"/>
      <c r="VAD29" s="17"/>
      <c r="VAE29" s="17"/>
      <c r="VAF29" s="17"/>
      <c r="VAG29" s="17"/>
      <c r="VAH29" s="17"/>
      <c r="VAI29" s="17"/>
      <c r="VAJ29" s="17"/>
      <c r="VAK29" s="17"/>
      <c r="VAL29" s="17"/>
      <c r="VAM29" s="17"/>
      <c r="VAN29" s="17"/>
      <c r="VAO29" s="17"/>
      <c r="VAP29" s="17"/>
      <c r="VAQ29" s="17"/>
      <c r="VAR29" s="17"/>
      <c r="VAS29" s="17"/>
      <c r="VAT29" s="17"/>
      <c r="VAU29" s="17"/>
      <c r="VAV29" s="17"/>
      <c r="VAW29" s="17"/>
      <c r="VAX29" s="17"/>
      <c r="VAY29" s="17"/>
      <c r="VAZ29" s="17"/>
      <c r="VBA29" s="17"/>
      <c r="VBB29" s="17"/>
      <c r="VBC29" s="17"/>
      <c r="VBD29" s="17"/>
      <c r="VBE29" s="17"/>
      <c r="VBF29" s="17"/>
      <c r="VBG29" s="17"/>
      <c r="VBH29" s="17"/>
      <c r="VBI29" s="17"/>
      <c r="VBJ29" s="17"/>
      <c r="VBK29" s="17"/>
      <c r="VBL29" s="17"/>
      <c r="VBM29" s="17"/>
      <c r="VBN29" s="17"/>
      <c r="VBO29" s="17"/>
      <c r="VBP29" s="17"/>
      <c r="VBQ29" s="17"/>
      <c r="VBR29" s="17"/>
      <c r="VBS29" s="17"/>
      <c r="VBT29" s="17"/>
      <c r="VBU29" s="17"/>
      <c r="VBV29" s="17"/>
      <c r="VBW29" s="17"/>
      <c r="VBX29" s="17"/>
      <c r="VBY29" s="17"/>
      <c r="VBZ29" s="17"/>
      <c r="VCA29" s="17"/>
      <c r="VCB29" s="17"/>
      <c r="VCC29" s="17"/>
      <c r="VCD29" s="17"/>
      <c r="VCE29" s="17"/>
      <c r="VCF29" s="17"/>
      <c r="VCG29" s="17"/>
      <c r="VCH29" s="17"/>
      <c r="VCI29" s="17"/>
      <c r="VCJ29" s="17"/>
      <c r="VCK29" s="17"/>
      <c r="VCL29" s="17"/>
      <c r="VCM29" s="17"/>
      <c r="VCN29" s="17"/>
      <c r="VCO29" s="17"/>
      <c r="VCP29" s="17"/>
      <c r="VCQ29" s="17"/>
      <c r="VCR29" s="17"/>
      <c r="VCS29" s="17"/>
      <c r="VCT29" s="17"/>
      <c r="VCU29" s="17"/>
      <c r="VCV29" s="17"/>
      <c r="VCW29" s="17"/>
      <c r="VCX29" s="17"/>
      <c r="VCY29" s="17"/>
      <c r="VCZ29" s="17"/>
      <c r="VDA29" s="17"/>
      <c r="VDB29" s="17"/>
      <c r="VDC29" s="17"/>
      <c r="VDD29" s="17"/>
      <c r="VDE29" s="17"/>
      <c r="VDF29" s="17"/>
      <c r="VDG29" s="17"/>
      <c r="VDH29" s="17"/>
      <c r="VDI29" s="17"/>
      <c r="VDJ29" s="17"/>
      <c r="VDK29" s="17"/>
      <c r="VDL29" s="17"/>
      <c r="VDM29" s="17"/>
      <c r="VDN29" s="17"/>
      <c r="VDO29" s="17"/>
      <c r="VDP29" s="17"/>
      <c r="VDQ29" s="17"/>
      <c r="VDR29" s="17"/>
      <c r="VDS29" s="17"/>
      <c r="VDT29" s="17"/>
      <c r="VDU29" s="17"/>
      <c r="VDV29" s="17"/>
      <c r="VDW29" s="17"/>
      <c r="VDX29" s="17"/>
      <c r="VDY29" s="17"/>
      <c r="VDZ29" s="17"/>
      <c r="VEA29" s="17"/>
      <c r="VEB29" s="17"/>
      <c r="VEC29" s="17"/>
      <c r="VED29" s="17"/>
      <c r="VEE29" s="17"/>
      <c r="VEF29" s="17"/>
      <c r="VEG29" s="17"/>
      <c r="VEH29" s="17"/>
      <c r="VEI29" s="17"/>
      <c r="VEJ29" s="17"/>
      <c r="VEK29" s="17"/>
      <c r="VEL29" s="17"/>
      <c r="VEM29" s="17"/>
      <c r="VEN29" s="17"/>
      <c r="VEO29" s="17"/>
      <c r="VEP29" s="17"/>
      <c r="VEQ29" s="17"/>
      <c r="VER29" s="17"/>
      <c r="VES29" s="17"/>
      <c r="VET29" s="17"/>
      <c r="VEU29" s="17"/>
      <c r="VEV29" s="17"/>
      <c r="VEW29" s="17"/>
      <c r="VEX29" s="17"/>
      <c r="VEY29" s="17"/>
      <c r="VEZ29" s="17"/>
      <c r="VFA29" s="17"/>
      <c r="VFB29" s="17"/>
      <c r="VFC29" s="17"/>
      <c r="VFD29" s="17"/>
      <c r="VFE29" s="17"/>
      <c r="VFF29" s="17"/>
      <c r="VFG29" s="17"/>
      <c r="VFH29" s="17"/>
      <c r="VFI29" s="17"/>
      <c r="VFJ29" s="17"/>
      <c r="VFK29" s="17"/>
      <c r="VFL29" s="17"/>
      <c r="VFM29" s="17"/>
      <c r="VFN29" s="17"/>
      <c r="VFO29" s="17"/>
      <c r="VFP29" s="17"/>
      <c r="VFQ29" s="17"/>
      <c r="VFR29" s="17"/>
      <c r="VFS29" s="17"/>
      <c r="VFT29" s="17"/>
      <c r="VFU29" s="17"/>
      <c r="VFV29" s="17"/>
      <c r="VFW29" s="17"/>
      <c r="VFX29" s="17"/>
      <c r="VFY29" s="17"/>
      <c r="VFZ29" s="17"/>
      <c r="VGA29" s="17"/>
      <c r="VGB29" s="17"/>
      <c r="VGC29" s="17"/>
      <c r="VGD29" s="17"/>
      <c r="VGE29" s="17"/>
      <c r="VGF29" s="17"/>
      <c r="VGG29" s="17"/>
      <c r="VGH29" s="17"/>
      <c r="VGI29" s="17"/>
      <c r="VGJ29" s="17"/>
      <c r="VGK29" s="17"/>
      <c r="VGL29" s="17"/>
      <c r="VGM29" s="17"/>
      <c r="VGN29" s="17"/>
      <c r="VGO29" s="17"/>
      <c r="VGP29" s="17"/>
      <c r="VGQ29" s="17"/>
      <c r="VGR29" s="17"/>
      <c r="VGS29" s="17"/>
    </row>
    <row r="30" spans="1:15121" s="1" customFormat="1" ht="13.8" x14ac:dyDescent="0.25">
      <c r="B30" s="149"/>
      <c r="C30" s="150" t="s">
        <v>80</v>
      </c>
      <c r="D30" s="155">
        <f>SUM(D31:D32)</f>
        <v>1001606.94</v>
      </c>
      <c r="E30" s="48" t="s">
        <v>16</v>
      </c>
      <c r="F30" s="135">
        <f>F31+F32</f>
        <v>0</v>
      </c>
      <c r="G30" s="135">
        <f t="shared" ref="G30:O30" si="6">G31+G32</f>
        <v>562647</v>
      </c>
      <c r="H30" s="135">
        <f t="shared" si="6"/>
        <v>27031</v>
      </c>
      <c r="I30" s="135">
        <f t="shared" si="6"/>
        <v>0</v>
      </c>
      <c r="J30" s="135">
        <f t="shared" si="6"/>
        <v>0</v>
      </c>
      <c r="K30" s="135">
        <f t="shared" si="6"/>
        <v>0</v>
      </c>
      <c r="L30" s="135">
        <f t="shared" si="6"/>
        <v>0</v>
      </c>
      <c r="M30" s="135">
        <f t="shared" si="6"/>
        <v>0</v>
      </c>
      <c r="N30" s="135">
        <f t="shared" si="6"/>
        <v>0</v>
      </c>
      <c r="O30" s="135">
        <f t="shared" si="6"/>
        <v>0</v>
      </c>
      <c r="P30" s="135"/>
      <c r="Q30" s="343"/>
      <c r="R30" s="135">
        <f t="shared" ref="R30:X30" si="7">R31+R32</f>
        <v>116650</v>
      </c>
      <c r="S30" s="135">
        <f t="shared" si="7"/>
        <v>465302</v>
      </c>
      <c r="T30" s="135">
        <f t="shared" si="7"/>
        <v>0</v>
      </c>
      <c r="U30" s="135">
        <f t="shared" si="7"/>
        <v>0</v>
      </c>
      <c r="V30" s="135">
        <f t="shared" si="7"/>
        <v>0</v>
      </c>
      <c r="W30" s="135">
        <f t="shared" si="7"/>
        <v>246548</v>
      </c>
      <c r="X30" s="135">
        <f t="shared" si="7"/>
        <v>315206</v>
      </c>
      <c r="Y30" s="135">
        <f t="shared" ref="Y30:AJ30" si="8">SUM(Y31:Y32)</f>
        <v>8147</v>
      </c>
      <c r="Z30" s="135">
        <f t="shared" si="8"/>
        <v>19269</v>
      </c>
      <c r="AA30" s="135">
        <f t="shared" si="8"/>
        <v>0</v>
      </c>
      <c r="AB30" s="135">
        <f t="shared" si="8"/>
        <v>0</v>
      </c>
      <c r="AC30" s="135">
        <f t="shared" si="8"/>
        <v>0</v>
      </c>
      <c r="AD30" s="135">
        <f t="shared" si="8"/>
        <v>0</v>
      </c>
      <c r="AE30" s="135">
        <f t="shared" si="8"/>
        <v>0</v>
      </c>
      <c r="AF30" s="135">
        <f t="shared" si="8"/>
        <v>0</v>
      </c>
      <c r="AG30" s="135">
        <f t="shared" si="8"/>
        <v>161961</v>
      </c>
      <c r="AH30" s="135">
        <f t="shared" si="8"/>
        <v>1073045</v>
      </c>
      <c r="AI30" s="135">
        <f t="shared" si="8"/>
        <v>9679</v>
      </c>
      <c r="AJ30" s="137">
        <f t="shared" si="8"/>
        <v>0</v>
      </c>
      <c r="AK30" s="16"/>
      <c r="AL30" s="177">
        <f>SUM(F30:AJ30)</f>
        <v>3005485</v>
      </c>
      <c r="DD30" s="13"/>
    </row>
    <row r="31" spans="1:15121" s="1" customFormat="1" ht="13.8" x14ac:dyDescent="0.25">
      <c r="B31" s="149"/>
      <c r="C31" s="150" t="s">
        <v>117</v>
      </c>
      <c r="D31" s="155">
        <v>701124.85800000001</v>
      </c>
      <c r="E31" s="48" t="s">
        <v>16</v>
      </c>
      <c r="F31" s="135"/>
      <c r="G31" s="135">
        <v>422147</v>
      </c>
      <c r="H31" s="135">
        <v>20281</v>
      </c>
      <c r="I31" s="135"/>
      <c r="J31" s="135"/>
      <c r="K31" s="135"/>
      <c r="L31" s="135"/>
      <c r="M31" s="135"/>
      <c r="N31" s="135"/>
      <c r="O31" s="135"/>
      <c r="P31" s="135"/>
      <c r="Q31" s="135"/>
      <c r="R31" s="135">
        <v>87550</v>
      </c>
      <c r="S31" s="135">
        <v>349002</v>
      </c>
      <c r="T31" s="135"/>
      <c r="U31" s="135"/>
      <c r="V31" s="135"/>
      <c r="W31" s="135">
        <v>185471</v>
      </c>
      <c r="X31" s="135">
        <v>236556</v>
      </c>
      <c r="Y31" s="135">
        <v>6117</v>
      </c>
      <c r="Z31" s="135">
        <v>14459</v>
      </c>
      <c r="AA31" s="135"/>
      <c r="AB31" s="135"/>
      <c r="AC31" s="135"/>
      <c r="AD31" s="135"/>
      <c r="AE31" s="135"/>
      <c r="AF31" s="135"/>
      <c r="AG31" s="136">
        <v>121511</v>
      </c>
      <c r="AH31" s="136">
        <v>805008</v>
      </c>
      <c r="AI31" s="136">
        <v>7261</v>
      </c>
      <c r="AJ31" s="137"/>
      <c r="AK31" s="16"/>
      <c r="AL31" s="178">
        <f>SUM(F31:AJ31)</f>
        <v>2255363</v>
      </c>
      <c r="DD31" s="13"/>
    </row>
    <row r="32" spans="1:15121" s="1" customFormat="1" ht="13.8" x14ac:dyDescent="0.25">
      <c r="B32" s="149"/>
      <c r="C32" s="132" t="s">
        <v>83</v>
      </c>
      <c r="D32" s="155">
        <v>300482.08199999999</v>
      </c>
      <c r="E32" s="48" t="s">
        <v>16</v>
      </c>
      <c r="F32" s="135"/>
      <c r="G32" s="135">
        <v>140500</v>
      </c>
      <c r="H32" s="135">
        <v>6750</v>
      </c>
      <c r="I32" s="135"/>
      <c r="J32" s="135"/>
      <c r="K32" s="135"/>
      <c r="L32" s="135"/>
      <c r="M32" s="135"/>
      <c r="N32" s="135"/>
      <c r="O32" s="135"/>
      <c r="P32" s="135"/>
      <c r="Q32" s="135"/>
      <c r="R32" s="135">
        <v>29100</v>
      </c>
      <c r="S32" s="135">
        <v>116300</v>
      </c>
      <c r="T32" s="135"/>
      <c r="U32" s="135"/>
      <c r="V32" s="135"/>
      <c r="W32" s="135">
        <f>163077-102000</f>
        <v>61077</v>
      </c>
      <c r="X32" s="135">
        <v>78650</v>
      </c>
      <c r="Y32" s="135">
        <v>2030</v>
      </c>
      <c r="Z32" s="135">
        <v>4810</v>
      </c>
      <c r="AA32" s="135"/>
      <c r="AB32" s="135"/>
      <c r="AC32" s="135"/>
      <c r="AD32" s="135"/>
      <c r="AE32" s="135"/>
      <c r="AF32" s="135"/>
      <c r="AG32" s="136">
        <v>40450</v>
      </c>
      <c r="AH32" s="136">
        <v>268037</v>
      </c>
      <c r="AI32" s="136">
        <v>2418</v>
      </c>
      <c r="AJ32" s="137"/>
      <c r="AK32" s="16"/>
      <c r="AL32" s="177">
        <f>SUM(F32:AJ32)</f>
        <v>750122</v>
      </c>
      <c r="DD32" s="13"/>
    </row>
    <row r="33" spans="1:15073" x14ac:dyDescent="0.3">
      <c r="B33" s="149"/>
      <c r="C33" s="151" t="s">
        <v>82</v>
      </c>
      <c r="D33" s="165"/>
      <c r="E33" s="153"/>
      <c r="F33" s="122"/>
      <c r="G33" s="122"/>
      <c r="H33" s="122"/>
      <c r="I33" s="166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67"/>
      <c r="AE33" s="167"/>
      <c r="AF33" s="167"/>
      <c r="AG33" s="169"/>
      <c r="AH33" s="169"/>
      <c r="AI33" s="169"/>
      <c r="AJ33" s="170"/>
      <c r="AK33" s="16"/>
      <c r="AL33" s="154" t="s">
        <v>69</v>
      </c>
    </row>
    <row r="34" spans="1:15073" s="35" customFormat="1" x14ac:dyDescent="0.25">
      <c r="A34" s="17"/>
      <c r="B34" s="171"/>
      <c r="C34" s="106" t="s">
        <v>81</v>
      </c>
      <c r="D34" s="172"/>
      <c r="E34" s="173" t="s">
        <v>16</v>
      </c>
      <c r="F34" s="135"/>
      <c r="G34" s="135">
        <f>G35/G41*100</f>
        <v>90288.050342484828</v>
      </c>
      <c r="H34" s="135">
        <f>H35/H41*100</f>
        <v>78576.025476808281</v>
      </c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>
        <f>W35/W41*100</f>
        <v>267314.65837732912</v>
      </c>
      <c r="X34" s="135"/>
      <c r="Y34" s="135">
        <f>Y35/Y41*100</f>
        <v>252320.26968810565</v>
      </c>
      <c r="Z34" s="135"/>
      <c r="AA34" s="135"/>
      <c r="AB34" s="135"/>
      <c r="AC34" s="135"/>
      <c r="AD34" s="174"/>
      <c r="AE34" s="174"/>
      <c r="AF34" s="174"/>
      <c r="AG34" s="175"/>
      <c r="AH34" s="175"/>
      <c r="AI34" s="175">
        <f>AI35/AI41*100</f>
        <v>174018.34897115867</v>
      </c>
      <c r="AJ34" s="176"/>
      <c r="AK34" s="91"/>
      <c r="AL34" s="177">
        <f>SUM(F34:AJ34)</f>
        <v>862517.35285588657</v>
      </c>
      <c r="AM34" s="17"/>
      <c r="AN34" s="17"/>
      <c r="AO34" s="17"/>
      <c r="AP34" s="17"/>
      <c r="AQ34" s="17"/>
      <c r="AR34" s="6"/>
      <c r="AS34" s="6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96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6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/>
      <c r="JF34" s="17"/>
      <c r="JG34" s="17"/>
      <c r="JH34" s="17"/>
      <c r="JI34" s="17"/>
      <c r="JJ34" s="17"/>
      <c r="JK34" s="17"/>
      <c r="JL34" s="17"/>
      <c r="JM34" s="17"/>
      <c r="JN34" s="17"/>
      <c r="JO34" s="17"/>
      <c r="JP34" s="17"/>
      <c r="JQ34" s="17"/>
      <c r="JR34" s="17"/>
      <c r="JS34" s="17"/>
      <c r="JT34" s="17"/>
      <c r="JU34" s="17"/>
      <c r="JV34" s="17"/>
      <c r="JW34" s="17"/>
      <c r="JX34" s="17"/>
      <c r="JY34" s="17"/>
      <c r="JZ34" s="17"/>
      <c r="KA34" s="17"/>
      <c r="KB34" s="17"/>
      <c r="KC34" s="17"/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17"/>
      <c r="LJ34" s="17"/>
      <c r="LK34" s="17"/>
      <c r="LL34" s="17"/>
      <c r="LM34" s="17"/>
      <c r="LN34" s="17"/>
      <c r="LO34" s="17"/>
      <c r="LP34" s="17"/>
      <c r="LQ34" s="17"/>
      <c r="LR34" s="17"/>
      <c r="LS34" s="17"/>
      <c r="LT34" s="17"/>
      <c r="LU34" s="17"/>
      <c r="LV34" s="17"/>
      <c r="LW34" s="17"/>
      <c r="LX34" s="17"/>
      <c r="LY34" s="17"/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/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/>
      <c r="NC34" s="17"/>
      <c r="ND34" s="17"/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/>
      <c r="QG34" s="17"/>
      <c r="QH34" s="17"/>
      <c r="QI34" s="17"/>
      <c r="QJ34" s="17"/>
      <c r="QK34" s="17"/>
      <c r="QL34" s="17"/>
      <c r="QM34" s="17"/>
      <c r="QN34" s="17"/>
      <c r="QO34" s="17"/>
      <c r="QP34" s="17"/>
      <c r="QQ34" s="17"/>
      <c r="QR34" s="17"/>
      <c r="QS34" s="17"/>
      <c r="QT34" s="17"/>
      <c r="QU34" s="17"/>
      <c r="QV34" s="17"/>
      <c r="QW34" s="17"/>
      <c r="QX34" s="17"/>
      <c r="QY34" s="17"/>
      <c r="QZ34" s="17"/>
      <c r="RA34" s="17"/>
      <c r="RB34" s="17"/>
      <c r="RC34" s="17"/>
      <c r="RD34" s="17"/>
      <c r="RE34" s="17"/>
      <c r="RF34" s="17"/>
      <c r="RG34" s="17"/>
      <c r="RH34" s="17"/>
      <c r="RI34" s="17"/>
      <c r="RJ34" s="17"/>
      <c r="RK34" s="17"/>
      <c r="RL34" s="17"/>
      <c r="RM34" s="17"/>
      <c r="RN34" s="17"/>
      <c r="RO34" s="17"/>
      <c r="RP34" s="17"/>
      <c r="RQ34" s="17"/>
      <c r="RR34" s="17"/>
      <c r="RS34" s="17"/>
      <c r="RT34" s="17"/>
      <c r="RU34" s="17"/>
      <c r="RV34" s="17"/>
      <c r="RW34" s="17"/>
      <c r="RX34" s="17"/>
      <c r="RY34" s="17"/>
      <c r="RZ34" s="17"/>
      <c r="SA34" s="17"/>
      <c r="SB34" s="17"/>
      <c r="SC34" s="17"/>
      <c r="SD34" s="17"/>
      <c r="SE34" s="17"/>
      <c r="SF34" s="17"/>
      <c r="SG34" s="17"/>
      <c r="SH34" s="17"/>
      <c r="SI34" s="17"/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/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  <c r="ADE34" s="17"/>
      <c r="ADF34" s="17"/>
      <c r="ADG34" s="17"/>
      <c r="ADH34" s="17"/>
      <c r="ADI34" s="17"/>
      <c r="ADJ34" s="17"/>
      <c r="ADK34" s="17"/>
      <c r="ADL34" s="17"/>
      <c r="ADM34" s="17"/>
      <c r="ADN34" s="17"/>
      <c r="ADO34" s="17"/>
      <c r="ADP34" s="17"/>
      <c r="ADQ34" s="17"/>
      <c r="ADR34" s="17"/>
      <c r="ADS34" s="17"/>
      <c r="ADT34" s="17"/>
      <c r="ADU34" s="17"/>
      <c r="ADV34" s="17"/>
      <c r="ADW34" s="17"/>
      <c r="ADX34" s="17"/>
      <c r="ADY34" s="17"/>
      <c r="ADZ34" s="17"/>
      <c r="AEA34" s="17"/>
      <c r="AEB34" s="17"/>
      <c r="AEC34" s="17"/>
      <c r="AED34" s="17"/>
      <c r="AEE34" s="17"/>
      <c r="AEF34" s="17"/>
      <c r="AEG34" s="17"/>
      <c r="AEH34" s="17"/>
      <c r="AEI34" s="17"/>
      <c r="AEJ34" s="17"/>
      <c r="AEK34" s="17"/>
      <c r="AEL34" s="17"/>
      <c r="AEM34" s="17"/>
      <c r="AEN34" s="17"/>
      <c r="AEO34" s="17"/>
      <c r="AEP34" s="17"/>
      <c r="AEQ34" s="17"/>
      <c r="AER34" s="17"/>
      <c r="AES34" s="17"/>
      <c r="AET34" s="17"/>
      <c r="AEU34" s="17"/>
      <c r="AEV34" s="17"/>
      <c r="AEW34" s="17"/>
      <c r="AEX34" s="17"/>
      <c r="AEY34" s="17"/>
      <c r="AEZ34" s="17"/>
      <c r="AFA34" s="17"/>
      <c r="AFB34" s="17"/>
      <c r="AFC34" s="17"/>
      <c r="AFD34" s="17"/>
      <c r="AFE34" s="17"/>
      <c r="AFF34" s="17"/>
      <c r="AFG34" s="17"/>
      <c r="AFH34" s="17"/>
      <c r="AFI34" s="17"/>
      <c r="AFJ34" s="17"/>
      <c r="AFK34" s="17"/>
      <c r="AFL34" s="17"/>
      <c r="AFM34" s="17"/>
      <c r="AFN34" s="17"/>
      <c r="AFO34" s="17"/>
      <c r="AFP34" s="17"/>
      <c r="AFQ34" s="17"/>
      <c r="AFR34" s="17"/>
      <c r="AFS34" s="17"/>
      <c r="AFT34" s="17"/>
      <c r="AFU34" s="17"/>
      <c r="AFV34" s="17"/>
      <c r="AFW34" s="17"/>
      <c r="AFX34" s="17"/>
      <c r="AFY34" s="17"/>
      <c r="AFZ34" s="17"/>
      <c r="AGA34" s="17"/>
      <c r="AGB34" s="17"/>
      <c r="AGC34" s="17"/>
      <c r="AGD34" s="17"/>
      <c r="AGE34" s="17"/>
      <c r="AGF34" s="17"/>
      <c r="AGG34" s="17"/>
      <c r="AGH34" s="17"/>
      <c r="AGI34" s="17"/>
      <c r="AGJ34" s="17"/>
      <c r="AGK34" s="17"/>
      <c r="AGL34" s="17"/>
      <c r="AGM34" s="17"/>
      <c r="AGN34" s="17"/>
      <c r="AGO34" s="17"/>
      <c r="AGP34" s="17"/>
      <c r="AGQ34" s="17"/>
      <c r="AGR34" s="17"/>
      <c r="AGS34" s="17"/>
      <c r="AGT34" s="17"/>
      <c r="AGU34" s="17"/>
      <c r="AGV34" s="17"/>
      <c r="AGW34" s="17"/>
      <c r="AGX34" s="17"/>
      <c r="AGY34" s="17"/>
      <c r="AGZ34" s="17"/>
      <c r="AHA34" s="17"/>
      <c r="AHB34" s="17"/>
      <c r="AHC34" s="17"/>
      <c r="AHD34" s="17"/>
      <c r="AHE34" s="17"/>
      <c r="AHF34" s="17"/>
      <c r="AHG34" s="17"/>
      <c r="AHH34" s="17"/>
      <c r="AHI34" s="17"/>
      <c r="AHJ34" s="17"/>
      <c r="AHK34" s="17"/>
      <c r="AHL34" s="17"/>
      <c r="AHM34" s="17"/>
      <c r="AHN34" s="17"/>
      <c r="AHO34" s="17"/>
      <c r="AHP34" s="17"/>
      <c r="AHQ34" s="17"/>
      <c r="AHR34" s="17"/>
      <c r="AHS34" s="17"/>
      <c r="AHT34" s="17"/>
      <c r="AHU34" s="17"/>
      <c r="AHV34" s="17"/>
      <c r="AHW34" s="17"/>
      <c r="AHX34" s="17"/>
      <c r="AHY34" s="17"/>
      <c r="AHZ34" s="17"/>
      <c r="AIA34" s="17"/>
      <c r="AIB34" s="17"/>
      <c r="AIC34" s="17"/>
      <c r="AID34" s="17"/>
      <c r="AIE34" s="17"/>
      <c r="AIF34" s="17"/>
      <c r="AIG34" s="17"/>
      <c r="AIH34" s="17"/>
      <c r="AII34" s="17"/>
      <c r="AIJ34" s="17"/>
      <c r="AIK34" s="17"/>
      <c r="AIL34" s="17"/>
      <c r="AIM34" s="17"/>
      <c r="AIN34" s="17"/>
      <c r="AIO34" s="17"/>
      <c r="AIP34" s="17"/>
      <c r="AIQ34" s="17"/>
      <c r="AIR34" s="17"/>
      <c r="AIS34" s="17"/>
      <c r="AIT34" s="17"/>
      <c r="AIU34" s="17"/>
      <c r="AIV34" s="17"/>
      <c r="AIW34" s="17"/>
      <c r="AIX34" s="17"/>
      <c r="AIY34" s="17"/>
      <c r="AIZ34" s="17"/>
      <c r="AJA34" s="17"/>
      <c r="AJB34" s="17"/>
      <c r="AJC34" s="17"/>
      <c r="AJD34" s="17"/>
      <c r="AJE34" s="17"/>
      <c r="AJF34" s="17"/>
      <c r="AJG34" s="17"/>
      <c r="AJH34" s="17"/>
      <c r="AJI34" s="17"/>
      <c r="AJJ34" s="17"/>
      <c r="AJK34" s="17"/>
      <c r="AJL34" s="17"/>
      <c r="AJM34" s="17"/>
      <c r="AJN34" s="17"/>
      <c r="AJO34" s="17"/>
      <c r="AJP34" s="17"/>
      <c r="AJQ34" s="17"/>
      <c r="AJR34" s="17"/>
      <c r="AJS34" s="17"/>
      <c r="AJT34" s="17"/>
      <c r="AJU34" s="17"/>
      <c r="AJV34" s="17"/>
      <c r="AJW34" s="17"/>
      <c r="AJX34" s="17"/>
      <c r="AJY34" s="17"/>
      <c r="AJZ34" s="17"/>
      <c r="AKA34" s="17"/>
      <c r="AKB34" s="17"/>
      <c r="AKC34" s="17"/>
      <c r="AKD34" s="17"/>
      <c r="AKE34" s="17"/>
      <c r="AKF34" s="17"/>
      <c r="AKG34" s="17"/>
      <c r="AKH34" s="17"/>
      <c r="AKI34" s="17"/>
      <c r="AKJ34" s="17"/>
      <c r="AKK34" s="17"/>
      <c r="AKL34" s="17"/>
      <c r="AKM34" s="17"/>
      <c r="AKN34" s="17"/>
      <c r="AKO34" s="17"/>
      <c r="AKP34" s="17"/>
      <c r="AKQ34" s="17"/>
      <c r="AKR34" s="17"/>
      <c r="AKS34" s="17"/>
      <c r="AKT34" s="17"/>
      <c r="AKU34" s="17"/>
      <c r="AKV34" s="17"/>
      <c r="AKW34" s="17"/>
      <c r="AKX34" s="17"/>
      <c r="AKY34" s="17"/>
      <c r="AKZ34" s="17"/>
      <c r="ALA34" s="17"/>
      <c r="ALB34" s="17"/>
      <c r="ALC34" s="17"/>
      <c r="ALD34" s="17"/>
      <c r="ALE34" s="17"/>
      <c r="ALF34" s="17"/>
      <c r="ALG34" s="17"/>
      <c r="ALH34" s="17"/>
      <c r="ALI34" s="17"/>
      <c r="ALJ34" s="17"/>
      <c r="ALK34" s="17"/>
      <c r="ALL34" s="17"/>
      <c r="ALM34" s="17"/>
      <c r="ALN34" s="17"/>
      <c r="ALO34" s="17"/>
      <c r="ALP34" s="17"/>
      <c r="ALQ34" s="17"/>
      <c r="ALR34" s="17"/>
      <c r="ALS34" s="17"/>
      <c r="ALT34" s="17"/>
      <c r="ALU34" s="17"/>
      <c r="ALV34" s="17"/>
      <c r="ALW34" s="17"/>
      <c r="ALX34" s="17"/>
      <c r="ALY34" s="17"/>
      <c r="ALZ34" s="17"/>
      <c r="AMA34" s="17"/>
      <c r="AMB34" s="17"/>
      <c r="AMC34" s="17"/>
      <c r="AMD34" s="17"/>
      <c r="AME34" s="17"/>
      <c r="AMF34" s="17"/>
      <c r="AMG34" s="17"/>
      <c r="AMH34" s="17"/>
      <c r="AMI34" s="17"/>
      <c r="AMJ34" s="17"/>
      <c r="AMK34" s="17"/>
      <c r="AML34" s="17"/>
      <c r="AMM34" s="17"/>
      <c r="AMN34" s="17"/>
      <c r="AMO34" s="17"/>
      <c r="AMP34" s="17"/>
      <c r="AMQ34" s="17"/>
      <c r="AMR34" s="17"/>
      <c r="AMS34" s="17"/>
      <c r="AMT34" s="17"/>
      <c r="AMU34" s="17"/>
      <c r="AMV34" s="17"/>
      <c r="AMW34" s="17"/>
      <c r="AMX34" s="17"/>
      <c r="AMY34" s="17"/>
      <c r="AMZ34" s="17"/>
      <c r="ANA34" s="17"/>
      <c r="ANB34" s="17"/>
      <c r="ANC34" s="17"/>
      <c r="AND34" s="17"/>
      <c r="ANE34" s="17"/>
      <c r="ANF34" s="17"/>
      <c r="ANG34" s="17"/>
      <c r="ANH34" s="17"/>
      <c r="ANI34" s="17"/>
      <c r="ANJ34" s="17"/>
      <c r="ANK34" s="17"/>
      <c r="ANL34" s="17"/>
      <c r="ANM34" s="17"/>
      <c r="ANN34" s="17"/>
      <c r="ANO34" s="17"/>
      <c r="ANP34" s="17"/>
      <c r="ANQ34" s="17"/>
      <c r="ANR34" s="17"/>
      <c r="ANS34" s="17"/>
      <c r="ANT34" s="17"/>
      <c r="ANU34" s="17"/>
      <c r="ANV34" s="17"/>
      <c r="ANW34" s="17"/>
      <c r="ANX34" s="17"/>
      <c r="ANY34" s="17"/>
      <c r="ANZ34" s="17"/>
      <c r="AOA34" s="17"/>
      <c r="AOB34" s="17"/>
      <c r="AOC34" s="17"/>
      <c r="AOD34" s="17"/>
      <c r="AOE34" s="17"/>
      <c r="AOF34" s="17"/>
      <c r="AOG34" s="17"/>
      <c r="AOH34" s="17"/>
      <c r="AOI34" s="17"/>
      <c r="AOJ34" s="17"/>
      <c r="AOK34" s="17"/>
      <c r="AOL34" s="17"/>
      <c r="AOM34" s="17"/>
      <c r="AON34" s="17"/>
      <c r="AOO34" s="17"/>
      <c r="AOP34" s="17"/>
      <c r="AOQ34" s="17"/>
      <c r="AOR34" s="17"/>
      <c r="AOS34" s="17"/>
      <c r="AOT34" s="17"/>
      <c r="AOU34" s="17"/>
      <c r="AOV34" s="17"/>
      <c r="AOW34" s="17"/>
      <c r="AOX34" s="17"/>
      <c r="AOY34" s="17"/>
      <c r="AOZ34" s="17"/>
      <c r="APA34" s="17"/>
      <c r="APB34" s="17"/>
      <c r="APC34" s="17"/>
      <c r="APD34" s="17"/>
      <c r="APE34" s="17"/>
      <c r="APF34" s="17"/>
      <c r="APG34" s="17"/>
      <c r="APH34" s="17"/>
      <c r="API34" s="17"/>
      <c r="APJ34" s="17"/>
      <c r="APK34" s="17"/>
      <c r="APL34" s="17"/>
      <c r="APM34" s="17"/>
      <c r="APN34" s="17"/>
      <c r="APO34" s="17"/>
      <c r="APP34" s="17"/>
      <c r="APQ34" s="17"/>
      <c r="APR34" s="17"/>
      <c r="APS34" s="17"/>
      <c r="APT34" s="17"/>
      <c r="APU34" s="17"/>
      <c r="APV34" s="17"/>
      <c r="APW34" s="17"/>
      <c r="APX34" s="17"/>
      <c r="APY34" s="17"/>
      <c r="APZ34" s="17"/>
      <c r="AQA34" s="17"/>
      <c r="AQB34" s="17"/>
      <c r="AQC34" s="17"/>
      <c r="AQD34" s="17"/>
      <c r="AQE34" s="17"/>
      <c r="AQF34" s="17"/>
      <c r="AQG34" s="17"/>
      <c r="AQH34" s="17"/>
      <c r="AQI34" s="17"/>
      <c r="AQJ34" s="17"/>
      <c r="AQK34" s="17"/>
      <c r="AQL34" s="17"/>
      <c r="AQM34" s="17"/>
      <c r="AQN34" s="17"/>
      <c r="AQO34" s="17"/>
      <c r="AQP34" s="17"/>
      <c r="AQQ34" s="17"/>
      <c r="AQR34" s="17"/>
      <c r="AQS34" s="17"/>
      <c r="AQT34" s="17"/>
      <c r="AQU34" s="17"/>
      <c r="AQV34" s="17"/>
      <c r="AQW34" s="17"/>
      <c r="AQX34" s="17"/>
      <c r="AQY34" s="17"/>
      <c r="AQZ34" s="17"/>
      <c r="ARA34" s="17"/>
      <c r="ARB34" s="17"/>
      <c r="ARC34" s="17"/>
      <c r="ARD34" s="17"/>
      <c r="ARE34" s="17"/>
      <c r="ARF34" s="17"/>
      <c r="ARG34" s="17"/>
      <c r="ARH34" s="17"/>
      <c r="ARI34" s="17"/>
      <c r="ARJ34" s="17"/>
      <c r="ARK34" s="17"/>
      <c r="ARL34" s="17"/>
      <c r="ARM34" s="17"/>
      <c r="ARN34" s="17"/>
      <c r="ARO34" s="17"/>
      <c r="ARP34" s="17"/>
      <c r="ARQ34" s="17"/>
      <c r="ARR34" s="17"/>
      <c r="ARS34" s="17"/>
      <c r="ART34" s="17"/>
      <c r="ARU34" s="17"/>
      <c r="ARV34" s="17"/>
      <c r="ARW34" s="17"/>
      <c r="ARX34" s="17"/>
      <c r="ARY34" s="17"/>
      <c r="ARZ34" s="17"/>
      <c r="ASA34" s="17"/>
      <c r="ASB34" s="17"/>
      <c r="ASC34" s="17"/>
      <c r="ASD34" s="17"/>
      <c r="ASE34" s="17"/>
      <c r="ASF34" s="17"/>
      <c r="ASG34" s="17"/>
      <c r="ASH34" s="17"/>
      <c r="ASI34" s="17"/>
      <c r="ASJ34" s="17"/>
      <c r="ASK34" s="17"/>
      <c r="ASL34" s="17"/>
      <c r="ASM34" s="17"/>
      <c r="ASN34" s="17"/>
      <c r="ASO34" s="17"/>
      <c r="ASP34" s="17"/>
      <c r="ASQ34" s="17"/>
      <c r="ASR34" s="17"/>
      <c r="ASS34" s="17"/>
      <c r="AST34" s="17"/>
      <c r="ASU34" s="17"/>
      <c r="ASV34" s="17"/>
      <c r="ASW34" s="17"/>
      <c r="ASX34" s="17"/>
      <c r="ASY34" s="17"/>
      <c r="ASZ34" s="17"/>
      <c r="ATA34" s="17"/>
      <c r="ATB34" s="17"/>
      <c r="ATC34" s="17"/>
      <c r="ATD34" s="17"/>
      <c r="ATE34" s="17"/>
      <c r="ATF34" s="17"/>
      <c r="ATG34" s="17"/>
      <c r="ATH34" s="17"/>
      <c r="ATI34" s="17"/>
      <c r="ATJ34" s="17"/>
      <c r="ATK34" s="17"/>
      <c r="ATL34" s="17"/>
      <c r="ATM34" s="17"/>
      <c r="ATN34" s="17"/>
      <c r="ATO34" s="17"/>
      <c r="ATP34" s="17"/>
      <c r="ATQ34" s="17"/>
      <c r="ATR34" s="17"/>
      <c r="ATS34" s="17"/>
      <c r="ATT34" s="17"/>
      <c r="ATU34" s="17"/>
      <c r="ATV34" s="17"/>
      <c r="ATW34" s="17"/>
      <c r="ATX34" s="17"/>
      <c r="ATY34" s="17"/>
      <c r="ATZ34" s="17"/>
      <c r="AUA34" s="17"/>
      <c r="AUB34" s="17"/>
      <c r="AUC34" s="17"/>
      <c r="AUD34" s="17"/>
      <c r="AUE34" s="17"/>
      <c r="AUF34" s="17"/>
      <c r="AUG34" s="17"/>
      <c r="AUH34" s="17"/>
      <c r="AUI34" s="17"/>
      <c r="AUJ34" s="17"/>
      <c r="AUK34" s="17"/>
      <c r="AUL34" s="17"/>
      <c r="AUM34" s="17"/>
      <c r="AUN34" s="17"/>
      <c r="AUO34" s="17"/>
      <c r="AUP34" s="17"/>
      <c r="AUQ34" s="17"/>
      <c r="AUR34" s="17"/>
      <c r="AUS34" s="17"/>
      <c r="AUT34" s="17"/>
      <c r="AUU34" s="17"/>
      <c r="AUV34" s="17"/>
      <c r="AUW34" s="17"/>
      <c r="AUX34" s="17"/>
      <c r="AUY34" s="17"/>
      <c r="AUZ34" s="17"/>
      <c r="AVA34" s="17"/>
      <c r="AVB34" s="17"/>
      <c r="AVC34" s="17"/>
      <c r="AVD34" s="17"/>
      <c r="AVE34" s="17"/>
      <c r="AVF34" s="17"/>
      <c r="AVG34" s="17"/>
      <c r="AVH34" s="17"/>
      <c r="AVI34" s="17"/>
      <c r="AVJ34" s="17"/>
      <c r="AVK34" s="17"/>
      <c r="AVL34" s="17"/>
      <c r="AVM34" s="17"/>
      <c r="AVN34" s="17"/>
      <c r="AVO34" s="17"/>
      <c r="AVP34" s="17"/>
      <c r="AVQ34" s="17"/>
      <c r="AVR34" s="17"/>
      <c r="AVS34" s="17"/>
      <c r="AVT34" s="17"/>
      <c r="AVU34" s="17"/>
      <c r="AVV34" s="17"/>
      <c r="AVW34" s="17"/>
      <c r="AVX34" s="17"/>
      <c r="AVY34" s="17"/>
      <c r="AVZ34" s="17"/>
      <c r="AWA34" s="17"/>
      <c r="AWB34" s="17"/>
      <c r="AWC34" s="17"/>
      <c r="AWD34" s="17"/>
      <c r="AWE34" s="17"/>
      <c r="AWF34" s="17"/>
      <c r="AWG34" s="17"/>
      <c r="AWH34" s="17"/>
      <c r="AWI34" s="17"/>
      <c r="AWJ34" s="17"/>
      <c r="AWK34" s="17"/>
      <c r="AWL34" s="17"/>
      <c r="AWM34" s="17"/>
      <c r="AWN34" s="17"/>
      <c r="AWO34" s="17"/>
      <c r="AWP34" s="17"/>
      <c r="AWQ34" s="17"/>
      <c r="AWR34" s="17"/>
      <c r="AWS34" s="17"/>
      <c r="AWT34" s="17"/>
      <c r="AWU34" s="17"/>
      <c r="AWV34" s="17"/>
      <c r="AWW34" s="17"/>
      <c r="AWX34" s="17"/>
      <c r="AWY34" s="17"/>
      <c r="AWZ34" s="17"/>
      <c r="AXA34" s="17"/>
      <c r="AXB34" s="17"/>
      <c r="AXC34" s="17"/>
      <c r="AXD34" s="17"/>
      <c r="AXE34" s="17"/>
      <c r="AXF34" s="17"/>
      <c r="AXG34" s="17"/>
      <c r="AXH34" s="17"/>
      <c r="AXI34" s="17"/>
      <c r="AXJ34" s="17"/>
      <c r="AXK34" s="17"/>
      <c r="AXL34" s="17"/>
      <c r="AXM34" s="17"/>
      <c r="AXN34" s="17"/>
      <c r="AXO34" s="17"/>
      <c r="AXP34" s="17"/>
      <c r="AXQ34" s="17"/>
      <c r="AXR34" s="17"/>
      <c r="AXS34" s="17"/>
      <c r="AXT34" s="17"/>
      <c r="AXU34" s="17"/>
      <c r="AXV34" s="17"/>
      <c r="AXW34" s="17"/>
      <c r="AXX34" s="17"/>
      <c r="AXY34" s="17"/>
      <c r="AXZ34" s="17"/>
      <c r="AYA34" s="17"/>
      <c r="AYB34" s="17"/>
      <c r="AYC34" s="17"/>
      <c r="AYD34" s="17"/>
      <c r="AYE34" s="17"/>
      <c r="AYF34" s="17"/>
      <c r="AYG34" s="17"/>
      <c r="AYH34" s="17"/>
      <c r="AYI34" s="17"/>
      <c r="AYJ34" s="17"/>
      <c r="AYK34" s="17"/>
      <c r="AYL34" s="17"/>
      <c r="AYM34" s="17"/>
      <c r="AYN34" s="17"/>
      <c r="AYO34" s="17"/>
      <c r="AYP34" s="17"/>
      <c r="AYQ34" s="17"/>
      <c r="AYR34" s="17"/>
      <c r="AYS34" s="17"/>
      <c r="AYT34" s="17"/>
      <c r="AYU34" s="17"/>
      <c r="AYV34" s="17"/>
      <c r="AYW34" s="17"/>
      <c r="AYX34" s="17"/>
      <c r="AYY34" s="17"/>
      <c r="AYZ34" s="17"/>
      <c r="AZA34" s="17"/>
      <c r="AZB34" s="17"/>
      <c r="AZC34" s="17"/>
      <c r="AZD34" s="17"/>
      <c r="AZE34" s="17"/>
      <c r="AZF34" s="17"/>
      <c r="AZG34" s="17"/>
      <c r="AZH34" s="17"/>
      <c r="AZI34" s="17"/>
      <c r="AZJ34" s="17"/>
      <c r="AZK34" s="17"/>
      <c r="AZL34" s="17"/>
      <c r="AZM34" s="17"/>
      <c r="AZN34" s="17"/>
      <c r="AZO34" s="17"/>
      <c r="AZP34" s="17"/>
      <c r="AZQ34" s="17"/>
      <c r="AZR34" s="17"/>
      <c r="AZS34" s="17"/>
      <c r="AZT34" s="17"/>
      <c r="AZU34" s="17"/>
      <c r="AZV34" s="17"/>
      <c r="AZW34" s="17"/>
      <c r="AZX34" s="17"/>
      <c r="AZY34" s="17"/>
      <c r="AZZ34" s="17"/>
      <c r="BAA34" s="17"/>
      <c r="BAB34" s="17"/>
      <c r="BAC34" s="17"/>
      <c r="BAD34" s="17"/>
      <c r="BAE34" s="17"/>
      <c r="BAF34" s="17"/>
      <c r="BAG34" s="17"/>
      <c r="BAH34" s="17"/>
      <c r="BAI34" s="17"/>
      <c r="BAJ34" s="17"/>
      <c r="BAK34" s="17"/>
      <c r="BAL34" s="17"/>
      <c r="BAM34" s="17"/>
      <c r="BAN34" s="17"/>
      <c r="BAO34" s="17"/>
      <c r="BAP34" s="17"/>
      <c r="BAQ34" s="17"/>
      <c r="BAR34" s="17"/>
      <c r="BAS34" s="17"/>
      <c r="BAT34" s="17"/>
      <c r="BAU34" s="17"/>
      <c r="BAV34" s="17"/>
      <c r="BAW34" s="17"/>
      <c r="BAX34" s="17"/>
      <c r="BAY34" s="17"/>
      <c r="BAZ34" s="17"/>
      <c r="BBA34" s="17"/>
      <c r="BBB34" s="17"/>
      <c r="BBC34" s="17"/>
      <c r="BBD34" s="17"/>
      <c r="BBE34" s="17"/>
      <c r="BBF34" s="17"/>
      <c r="BBG34" s="17"/>
      <c r="BBH34" s="17"/>
      <c r="BBI34" s="17"/>
      <c r="BBJ34" s="17"/>
      <c r="BBK34" s="17"/>
      <c r="BBL34" s="17"/>
      <c r="BBM34" s="17"/>
      <c r="BBN34" s="17"/>
      <c r="BBO34" s="17"/>
      <c r="BBP34" s="17"/>
      <c r="BBQ34" s="17"/>
      <c r="BBR34" s="17"/>
      <c r="BBS34" s="17"/>
      <c r="BBT34" s="17"/>
      <c r="BBU34" s="17"/>
      <c r="BBV34" s="17"/>
      <c r="BBW34" s="17"/>
      <c r="BBX34" s="17"/>
      <c r="BBY34" s="17"/>
      <c r="BBZ34" s="17"/>
      <c r="BCA34" s="17"/>
      <c r="BCB34" s="17"/>
      <c r="BCC34" s="17"/>
      <c r="BCD34" s="17"/>
      <c r="BCE34" s="17"/>
      <c r="BCF34" s="17"/>
      <c r="BCG34" s="17"/>
      <c r="BCH34" s="17"/>
      <c r="BCI34" s="17"/>
      <c r="BCJ34" s="17"/>
      <c r="BCK34" s="17"/>
      <c r="BCL34" s="17"/>
      <c r="BCM34" s="17"/>
      <c r="BCN34" s="17"/>
      <c r="BCO34" s="17"/>
      <c r="BCP34" s="17"/>
      <c r="BCQ34" s="17"/>
      <c r="BCR34" s="17"/>
      <c r="BCS34" s="17"/>
      <c r="BCT34" s="17"/>
      <c r="BCU34" s="17"/>
      <c r="BCV34" s="17"/>
      <c r="BCW34" s="17"/>
      <c r="BCX34" s="17"/>
      <c r="BCY34" s="17"/>
      <c r="BCZ34" s="17"/>
      <c r="BDA34" s="17"/>
      <c r="BDB34" s="17"/>
      <c r="BDC34" s="17"/>
      <c r="BDD34" s="17"/>
      <c r="BDE34" s="17"/>
      <c r="BDF34" s="17"/>
      <c r="BDG34" s="17"/>
      <c r="BDH34" s="17"/>
      <c r="BDI34" s="17"/>
      <c r="BDJ34" s="17"/>
      <c r="BDK34" s="17"/>
      <c r="BDL34" s="17"/>
      <c r="BDM34" s="17"/>
      <c r="BDN34" s="17"/>
      <c r="BDO34" s="17"/>
      <c r="BDP34" s="17"/>
      <c r="BDQ34" s="17"/>
      <c r="BDR34" s="17"/>
      <c r="BDS34" s="17"/>
      <c r="BDT34" s="17"/>
      <c r="BDU34" s="17"/>
      <c r="BDV34" s="17"/>
      <c r="BDW34" s="17"/>
      <c r="BDX34" s="17"/>
      <c r="BDY34" s="17"/>
      <c r="BDZ34" s="17"/>
      <c r="BEA34" s="17"/>
      <c r="BEB34" s="17"/>
      <c r="BEC34" s="17"/>
      <c r="BED34" s="17"/>
      <c r="BEE34" s="17"/>
      <c r="BEF34" s="17"/>
      <c r="BEG34" s="17"/>
      <c r="BEH34" s="17"/>
      <c r="BEI34" s="17"/>
      <c r="BEJ34" s="17"/>
      <c r="BEK34" s="17"/>
      <c r="BEL34" s="17"/>
      <c r="BEM34" s="17"/>
      <c r="BEN34" s="17"/>
      <c r="BEO34" s="17"/>
      <c r="BEP34" s="17"/>
      <c r="BEQ34" s="17"/>
      <c r="BER34" s="17"/>
      <c r="BES34" s="17"/>
      <c r="BET34" s="17"/>
      <c r="BEU34" s="17"/>
      <c r="BEV34" s="17"/>
      <c r="BEW34" s="17"/>
      <c r="BEX34" s="17"/>
      <c r="BEY34" s="17"/>
      <c r="BEZ34" s="17"/>
      <c r="BFA34" s="17"/>
      <c r="BFB34" s="17"/>
      <c r="BFC34" s="17"/>
      <c r="BFD34" s="17"/>
      <c r="BFE34" s="17"/>
      <c r="BFF34" s="17"/>
      <c r="BFG34" s="17"/>
      <c r="BFH34" s="17"/>
      <c r="BFI34" s="17"/>
      <c r="BFJ34" s="17"/>
      <c r="BFK34" s="17"/>
      <c r="BFL34" s="17"/>
      <c r="BFM34" s="17"/>
      <c r="BFN34" s="17"/>
      <c r="BFO34" s="17"/>
      <c r="BFP34" s="17"/>
      <c r="BFQ34" s="17"/>
      <c r="BFR34" s="17"/>
      <c r="BFS34" s="17"/>
      <c r="BFT34" s="17"/>
      <c r="BFU34" s="17"/>
      <c r="BFV34" s="17"/>
      <c r="BFW34" s="17"/>
      <c r="BFX34" s="17"/>
      <c r="BFY34" s="17"/>
      <c r="BFZ34" s="17"/>
      <c r="BGA34" s="17"/>
      <c r="BGB34" s="17"/>
      <c r="BGC34" s="17"/>
      <c r="BGD34" s="17"/>
      <c r="BGE34" s="17"/>
      <c r="BGF34" s="17"/>
      <c r="BGG34" s="17"/>
      <c r="BGH34" s="17"/>
      <c r="BGI34" s="17"/>
      <c r="BGJ34" s="17"/>
      <c r="BGK34" s="17"/>
      <c r="BGL34" s="17"/>
      <c r="BGM34" s="17"/>
      <c r="BGN34" s="17"/>
      <c r="BGO34" s="17"/>
      <c r="BGP34" s="17"/>
      <c r="BGQ34" s="17"/>
      <c r="BGR34" s="17"/>
      <c r="BGS34" s="17"/>
      <c r="BGT34" s="17"/>
      <c r="BGU34" s="17"/>
      <c r="BGV34" s="17"/>
      <c r="BGW34" s="17"/>
      <c r="BGX34" s="17"/>
      <c r="BGY34" s="17"/>
      <c r="BGZ34" s="17"/>
      <c r="BHA34" s="17"/>
      <c r="BHB34" s="17"/>
      <c r="BHC34" s="17"/>
      <c r="BHD34" s="17"/>
      <c r="BHE34" s="17"/>
      <c r="BHF34" s="17"/>
      <c r="BHG34" s="17"/>
      <c r="BHH34" s="17"/>
      <c r="BHI34" s="17"/>
      <c r="BHJ34" s="17"/>
      <c r="BHK34" s="17"/>
      <c r="BHL34" s="17"/>
      <c r="BHM34" s="17"/>
      <c r="BHN34" s="17"/>
      <c r="BHO34" s="17"/>
      <c r="BHP34" s="17"/>
      <c r="BHQ34" s="17"/>
      <c r="BHR34" s="17"/>
      <c r="BHS34" s="17"/>
      <c r="BHT34" s="17"/>
      <c r="BHU34" s="17"/>
      <c r="BHV34" s="17"/>
      <c r="BHW34" s="17"/>
      <c r="BHX34" s="17"/>
      <c r="BHY34" s="17"/>
      <c r="BHZ34" s="17"/>
      <c r="BIA34" s="17"/>
      <c r="BIB34" s="17"/>
      <c r="BIC34" s="17"/>
      <c r="BID34" s="17"/>
      <c r="BIE34" s="17"/>
      <c r="BIF34" s="17"/>
      <c r="BIG34" s="17"/>
      <c r="BIH34" s="17"/>
      <c r="BII34" s="17"/>
      <c r="BIJ34" s="17"/>
      <c r="BIK34" s="17"/>
      <c r="BIL34" s="17"/>
      <c r="BIM34" s="17"/>
      <c r="BIN34" s="17"/>
      <c r="BIO34" s="17"/>
      <c r="BIP34" s="17"/>
      <c r="BIQ34" s="17"/>
      <c r="BIR34" s="17"/>
      <c r="BIS34" s="17"/>
      <c r="BIT34" s="17"/>
      <c r="BIU34" s="17"/>
      <c r="BIV34" s="17"/>
      <c r="BIW34" s="17"/>
      <c r="BIX34" s="17"/>
      <c r="BIY34" s="17"/>
      <c r="BIZ34" s="17"/>
      <c r="BJA34" s="17"/>
      <c r="BJB34" s="17"/>
      <c r="BJC34" s="17"/>
      <c r="BJD34" s="17"/>
      <c r="BJE34" s="17"/>
      <c r="BJF34" s="17"/>
      <c r="BJG34" s="17"/>
      <c r="BJH34" s="17"/>
      <c r="BJI34" s="17"/>
      <c r="BJJ34" s="17"/>
      <c r="BJK34" s="17"/>
      <c r="BJL34" s="17"/>
      <c r="BJM34" s="17"/>
      <c r="BJN34" s="17"/>
      <c r="BJO34" s="17"/>
      <c r="BJP34" s="17"/>
      <c r="BJQ34" s="17"/>
      <c r="BJR34" s="17"/>
      <c r="BJS34" s="17"/>
      <c r="BJT34" s="17"/>
      <c r="BJU34" s="17"/>
      <c r="BJV34" s="17"/>
      <c r="BJW34" s="17"/>
      <c r="BJX34" s="17"/>
      <c r="BJY34" s="17"/>
      <c r="BJZ34" s="17"/>
      <c r="BKA34" s="17"/>
      <c r="BKB34" s="17"/>
      <c r="BKC34" s="17"/>
      <c r="BKD34" s="17"/>
      <c r="BKE34" s="17"/>
      <c r="BKF34" s="17"/>
      <c r="BKG34" s="17"/>
      <c r="BKH34" s="17"/>
      <c r="BKI34" s="17"/>
      <c r="BKJ34" s="17"/>
      <c r="BKK34" s="17"/>
      <c r="BKL34" s="17"/>
      <c r="BKM34" s="17"/>
      <c r="BKN34" s="17"/>
      <c r="BKO34" s="17"/>
      <c r="BKP34" s="17"/>
      <c r="BKQ34" s="17"/>
      <c r="BKR34" s="17"/>
      <c r="BKS34" s="17"/>
      <c r="BKT34" s="17"/>
      <c r="BKU34" s="17"/>
      <c r="BKV34" s="17"/>
      <c r="BKW34" s="17"/>
      <c r="BKX34" s="17"/>
      <c r="BKY34" s="17"/>
      <c r="BKZ34" s="17"/>
      <c r="BLA34" s="17"/>
      <c r="BLB34" s="17"/>
      <c r="BLC34" s="17"/>
      <c r="BLD34" s="17"/>
      <c r="BLE34" s="17"/>
      <c r="BLF34" s="17"/>
      <c r="BLG34" s="17"/>
      <c r="BLH34" s="17"/>
      <c r="BLI34" s="17"/>
      <c r="BLJ34" s="17"/>
      <c r="BLK34" s="17"/>
      <c r="BLL34" s="17"/>
      <c r="BLM34" s="17"/>
      <c r="BLN34" s="17"/>
      <c r="BLO34" s="17"/>
      <c r="BLP34" s="17"/>
      <c r="BLQ34" s="17"/>
      <c r="BLR34" s="17"/>
      <c r="BLS34" s="17"/>
      <c r="BLT34" s="17"/>
      <c r="BLU34" s="17"/>
      <c r="BLV34" s="17"/>
      <c r="BLW34" s="17"/>
      <c r="BLX34" s="17"/>
      <c r="BLY34" s="17"/>
      <c r="BLZ34" s="17"/>
      <c r="BMA34" s="17"/>
      <c r="BMB34" s="17"/>
      <c r="BMC34" s="17"/>
      <c r="BMD34" s="17"/>
      <c r="BME34" s="17"/>
      <c r="BMF34" s="17"/>
      <c r="BMG34" s="17"/>
      <c r="BMH34" s="17"/>
      <c r="BMI34" s="17"/>
      <c r="BMJ34" s="17"/>
      <c r="BMK34" s="17"/>
      <c r="BML34" s="17"/>
      <c r="BMM34" s="17"/>
      <c r="BMN34" s="17"/>
      <c r="BMO34" s="17"/>
      <c r="BMP34" s="17"/>
      <c r="BMQ34" s="17"/>
      <c r="BMR34" s="17"/>
      <c r="BMS34" s="17"/>
      <c r="BMT34" s="17"/>
      <c r="BMU34" s="17"/>
      <c r="BMV34" s="17"/>
      <c r="BMW34" s="17"/>
      <c r="BMX34" s="17"/>
      <c r="BMY34" s="17"/>
      <c r="BMZ34" s="17"/>
      <c r="BNA34" s="17"/>
      <c r="BNB34" s="17"/>
      <c r="BNC34" s="17"/>
      <c r="BND34" s="17"/>
      <c r="BNE34" s="17"/>
      <c r="BNF34" s="17"/>
      <c r="BNG34" s="17"/>
      <c r="BNH34" s="17"/>
      <c r="BNI34" s="17"/>
      <c r="BNJ34" s="17"/>
      <c r="BNK34" s="17"/>
      <c r="BNL34" s="17"/>
      <c r="BNM34" s="17"/>
      <c r="BNN34" s="17"/>
      <c r="BNO34" s="17"/>
      <c r="BNP34" s="17"/>
      <c r="BNQ34" s="17"/>
      <c r="BNR34" s="17"/>
      <c r="BNS34" s="17"/>
      <c r="BNT34" s="17"/>
      <c r="BNU34" s="17"/>
      <c r="BNV34" s="17"/>
      <c r="BNW34" s="17"/>
      <c r="BNX34" s="17"/>
      <c r="BNY34" s="17"/>
      <c r="BNZ34" s="17"/>
      <c r="BOA34" s="17"/>
      <c r="BOB34" s="17"/>
      <c r="BOC34" s="17"/>
      <c r="BOD34" s="17"/>
      <c r="BOE34" s="17"/>
      <c r="BOF34" s="17"/>
      <c r="BOG34" s="17"/>
      <c r="BOH34" s="17"/>
      <c r="BOI34" s="17"/>
      <c r="BOJ34" s="17"/>
      <c r="BOK34" s="17"/>
      <c r="BOL34" s="17"/>
      <c r="BOM34" s="17"/>
      <c r="BON34" s="17"/>
      <c r="BOO34" s="17"/>
      <c r="BOP34" s="17"/>
      <c r="BOQ34" s="17"/>
      <c r="BOR34" s="17"/>
      <c r="BOS34" s="17"/>
      <c r="BOT34" s="17"/>
      <c r="BOU34" s="17"/>
      <c r="BOV34" s="17"/>
      <c r="BOW34" s="17"/>
      <c r="BOX34" s="17"/>
      <c r="BOY34" s="17"/>
      <c r="BOZ34" s="17"/>
      <c r="BPA34" s="17"/>
      <c r="BPB34" s="17"/>
      <c r="BPC34" s="17"/>
      <c r="BPD34" s="17"/>
      <c r="BPE34" s="17"/>
      <c r="BPF34" s="17"/>
      <c r="BPG34" s="17"/>
      <c r="BPH34" s="17"/>
      <c r="BPI34" s="17"/>
      <c r="BPJ34" s="17"/>
      <c r="BPK34" s="17"/>
      <c r="BPL34" s="17"/>
      <c r="BPM34" s="17"/>
      <c r="BPN34" s="17"/>
      <c r="BPO34" s="17"/>
      <c r="BPP34" s="17"/>
      <c r="BPQ34" s="17"/>
      <c r="BPR34" s="17"/>
      <c r="BPS34" s="17"/>
      <c r="BPT34" s="17"/>
      <c r="BPU34" s="17"/>
      <c r="BPV34" s="17"/>
      <c r="BPW34" s="17"/>
      <c r="BPX34" s="17"/>
      <c r="BPY34" s="17"/>
      <c r="BPZ34" s="17"/>
      <c r="BQA34" s="17"/>
      <c r="BQB34" s="17"/>
      <c r="BQC34" s="17"/>
      <c r="BQD34" s="17"/>
      <c r="BQE34" s="17"/>
      <c r="BQF34" s="17"/>
      <c r="BQG34" s="17"/>
      <c r="BQH34" s="17"/>
      <c r="BQI34" s="17"/>
      <c r="BQJ34" s="17"/>
      <c r="BQK34" s="17"/>
      <c r="BQL34" s="17"/>
      <c r="BQM34" s="17"/>
      <c r="BQN34" s="17"/>
      <c r="BQO34" s="17"/>
      <c r="BQP34" s="17"/>
      <c r="BQQ34" s="17"/>
      <c r="BQR34" s="17"/>
      <c r="BQS34" s="17"/>
      <c r="BQT34" s="17"/>
      <c r="BQU34" s="17"/>
      <c r="BQV34" s="17"/>
      <c r="BQW34" s="17"/>
      <c r="BQX34" s="17"/>
      <c r="BQY34" s="17"/>
      <c r="BQZ34" s="17"/>
      <c r="BRA34" s="17"/>
      <c r="BRB34" s="17"/>
      <c r="BRC34" s="17"/>
      <c r="BRD34" s="17"/>
      <c r="BRE34" s="17"/>
      <c r="BRF34" s="17"/>
      <c r="BRG34" s="17"/>
      <c r="BRH34" s="17"/>
      <c r="BRI34" s="17"/>
      <c r="BRJ34" s="17"/>
      <c r="BRK34" s="17"/>
      <c r="BRL34" s="17"/>
      <c r="BRM34" s="17"/>
      <c r="BRN34" s="17"/>
      <c r="BRO34" s="17"/>
      <c r="BRP34" s="17"/>
      <c r="BRQ34" s="17"/>
      <c r="BRR34" s="17"/>
      <c r="BRS34" s="17"/>
      <c r="BRT34" s="17"/>
      <c r="BRU34" s="17"/>
      <c r="BRV34" s="17"/>
      <c r="BRW34" s="17"/>
      <c r="BRX34" s="17"/>
      <c r="BRY34" s="17"/>
      <c r="BRZ34" s="17"/>
      <c r="BSA34" s="17"/>
      <c r="BSB34" s="17"/>
      <c r="BSC34" s="17"/>
      <c r="BSD34" s="17"/>
      <c r="BSE34" s="17"/>
      <c r="BSF34" s="17"/>
      <c r="BSG34" s="17"/>
      <c r="BSH34" s="17"/>
      <c r="BSI34" s="17"/>
      <c r="BSJ34" s="17"/>
      <c r="BSK34" s="17"/>
      <c r="BSL34" s="17"/>
      <c r="BSM34" s="17"/>
      <c r="BSN34" s="17"/>
      <c r="BSO34" s="17"/>
      <c r="BSP34" s="17"/>
      <c r="BSQ34" s="17"/>
      <c r="BSR34" s="17"/>
      <c r="BSS34" s="17"/>
      <c r="BST34" s="17"/>
      <c r="BSU34" s="17"/>
      <c r="BSV34" s="17"/>
      <c r="BSW34" s="17"/>
      <c r="BSX34" s="17"/>
      <c r="BSY34" s="17"/>
      <c r="BSZ34" s="17"/>
      <c r="BTA34" s="17"/>
      <c r="BTB34" s="17"/>
      <c r="BTC34" s="17"/>
      <c r="BTD34" s="17"/>
      <c r="BTE34" s="17"/>
      <c r="BTF34" s="17"/>
      <c r="BTG34" s="17"/>
      <c r="BTH34" s="17"/>
      <c r="BTI34" s="17"/>
      <c r="BTJ34" s="17"/>
      <c r="BTK34" s="17"/>
      <c r="BTL34" s="17"/>
      <c r="BTM34" s="17"/>
      <c r="BTN34" s="17"/>
      <c r="BTO34" s="17"/>
      <c r="BTP34" s="17"/>
      <c r="BTQ34" s="17"/>
      <c r="BTR34" s="17"/>
      <c r="BTS34" s="17"/>
      <c r="BTT34" s="17"/>
      <c r="BTU34" s="17"/>
      <c r="BTV34" s="17"/>
      <c r="BTW34" s="17"/>
      <c r="BTX34" s="17"/>
      <c r="BTY34" s="17"/>
      <c r="BTZ34" s="17"/>
      <c r="BUA34" s="17"/>
      <c r="BUB34" s="17"/>
      <c r="BUC34" s="17"/>
      <c r="BUD34" s="17"/>
      <c r="BUE34" s="17"/>
      <c r="BUF34" s="17"/>
      <c r="BUG34" s="17"/>
      <c r="BUH34" s="17"/>
      <c r="BUI34" s="17"/>
      <c r="BUJ34" s="17"/>
      <c r="BUK34" s="17"/>
      <c r="BUL34" s="17"/>
      <c r="BUM34" s="17"/>
      <c r="BUN34" s="17"/>
      <c r="BUO34" s="17"/>
      <c r="BUP34" s="17"/>
      <c r="BUQ34" s="17"/>
      <c r="BUR34" s="17"/>
      <c r="BUS34" s="17"/>
      <c r="BUT34" s="17"/>
      <c r="BUU34" s="17"/>
      <c r="BUV34" s="17"/>
      <c r="BUW34" s="17"/>
      <c r="BUX34" s="17"/>
      <c r="BUY34" s="17"/>
      <c r="BUZ34" s="17"/>
      <c r="BVA34" s="17"/>
      <c r="BVB34" s="17"/>
      <c r="BVC34" s="17"/>
      <c r="BVD34" s="17"/>
      <c r="BVE34" s="17"/>
      <c r="BVF34" s="17"/>
      <c r="BVG34" s="17"/>
      <c r="BVH34" s="17"/>
      <c r="BVI34" s="17"/>
      <c r="BVJ34" s="17"/>
      <c r="BVK34" s="17"/>
      <c r="BVL34" s="17"/>
      <c r="BVM34" s="17"/>
      <c r="BVN34" s="17"/>
      <c r="BVO34" s="17"/>
      <c r="BVP34" s="17"/>
      <c r="BVQ34" s="17"/>
      <c r="BVR34" s="17"/>
      <c r="BVS34" s="17"/>
      <c r="BVT34" s="17"/>
      <c r="BVU34" s="17"/>
      <c r="BVV34" s="17"/>
      <c r="BVW34" s="17"/>
      <c r="BVX34" s="17"/>
      <c r="BVY34" s="17"/>
      <c r="BVZ34" s="17"/>
      <c r="BWA34" s="17"/>
      <c r="BWB34" s="17"/>
      <c r="BWC34" s="17"/>
      <c r="BWD34" s="17"/>
      <c r="BWE34" s="17"/>
      <c r="BWF34" s="17"/>
      <c r="BWG34" s="17"/>
      <c r="BWH34" s="17"/>
      <c r="BWI34" s="17"/>
      <c r="BWJ34" s="17"/>
      <c r="BWK34" s="17"/>
      <c r="BWL34" s="17"/>
      <c r="BWM34" s="17"/>
      <c r="BWN34" s="17"/>
      <c r="BWO34" s="17"/>
      <c r="BWP34" s="17"/>
      <c r="BWQ34" s="17"/>
      <c r="BWR34" s="17"/>
      <c r="BWS34" s="17"/>
      <c r="BWT34" s="17"/>
      <c r="BWU34" s="17"/>
      <c r="BWV34" s="17"/>
      <c r="BWW34" s="17"/>
      <c r="BWX34" s="17"/>
      <c r="BWY34" s="17"/>
      <c r="BWZ34" s="17"/>
      <c r="BXA34" s="17"/>
      <c r="BXB34" s="17"/>
      <c r="BXC34" s="17"/>
      <c r="BXD34" s="17"/>
      <c r="BXE34" s="17"/>
      <c r="BXF34" s="17"/>
      <c r="BXG34" s="17"/>
      <c r="BXH34" s="17"/>
      <c r="BXI34" s="17"/>
      <c r="BXJ34" s="17"/>
      <c r="BXK34" s="17"/>
      <c r="BXL34" s="17"/>
      <c r="BXM34" s="17"/>
      <c r="BXN34" s="17"/>
      <c r="BXO34" s="17"/>
      <c r="BXP34" s="17"/>
      <c r="BXQ34" s="17"/>
      <c r="BXR34" s="17"/>
      <c r="BXS34" s="17"/>
      <c r="BXT34" s="17"/>
      <c r="BXU34" s="17"/>
      <c r="BXV34" s="17"/>
      <c r="BXW34" s="17"/>
      <c r="BXX34" s="17"/>
      <c r="BXY34" s="17"/>
      <c r="BXZ34" s="17"/>
      <c r="BYA34" s="17"/>
      <c r="BYB34" s="17"/>
      <c r="BYC34" s="17"/>
      <c r="BYD34" s="17"/>
      <c r="BYE34" s="17"/>
      <c r="BYF34" s="17"/>
      <c r="BYG34" s="17"/>
      <c r="BYH34" s="17"/>
      <c r="BYI34" s="17"/>
      <c r="BYJ34" s="17"/>
      <c r="BYK34" s="17"/>
      <c r="BYL34" s="17"/>
      <c r="BYM34" s="17"/>
      <c r="BYN34" s="17"/>
      <c r="BYO34" s="17"/>
      <c r="BYP34" s="17"/>
      <c r="BYQ34" s="17"/>
      <c r="BYR34" s="17"/>
      <c r="BYS34" s="17"/>
      <c r="BYT34" s="17"/>
      <c r="BYU34" s="17"/>
      <c r="BYV34" s="17"/>
      <c r="BYW34" s="17"/>
      <c r="BYX34" s="17"/>
      <c r="BYY34" s="17"/>
      <c r="BYZ34" s="17"/>
      <c r="BZA34" s="17"/>
      <c r="BZB34" s="17"/>
      <c r="BZC34" s="17"/>
      <c r="BZD34" s="17"/>
      <c r="BZE34" s="17"/>
      <c r="BZF34" s="17"/>
      <c r="BZG34" s="17"/>
      <c r="BZH34" s="17"/>
      <c r="BZI34" s="17"/>
      <c r="BZJ34" s="17"/>
      <c r="BZK34" s="17"/>
      <c r="BZL34" s="17"/>
      <c r="BZM34" s="17"/>
      <c r="BZN34" s="17"/>
      <c r="BZO34" s="17"/>
      <c r="BZP34" s="17"/>
      <c r="BZQ34" s="17"/>
      <c r="BZR34" s="17"/>
      <c r="BZS34" s="17"/>
      <c r="BZT34" s="17"/>
      <c r="BZU34" s="17"/>
      <c r="BZV34" s="17"/>
      <c r="BZW34" s="17"/>
      <c r="BZX34" s="17"/>
      <c r="BZY34" s="17"/>
      <c r="BZZ34" s="17"/>
      <c r="CAA34" s="17"/>
      <c r="CAB34" s="17"/>
      <c r="CAC34" s="17"/>
      <c r="CAD34" s="17"/>
      <c r="CAE34" s="17"/>
      <c r="CAF34" s="17"/>
      <c r="CAG34" s="17"/>
      <c r="CAH34" s="17"/>
      <c r="CAI34" s="17"/>
      <c r="CAJ34" s="17"/>
      <c r="CAK34" s="17"/>
      <c r="CAL34" s="17"/>
      <c r="CAM34" s="17"/>
      <c r="CAN34" s="17"/>
      <c r="CAO34" s="17"/>
      <c r="CAP34" s="17"/>
      <c r="CAQ34" s="17"/>
      <c r="CAR34" s="17"/>
      <c r="CAS34" s="17"/>
      <c r="CAT34" s="17"/>
      <c r="CAU34" s="17"/>
      <c r="CAV34" s="17"/>
      <c r="CAW34" s="17"/>
      <c r="CAX34" s="17"/>
      <c r="CAY34" s="17"/>
      <c r="CAZ34" s="17"/>
      <c r="CBA34" s="17"/>
      <c r="CBB34" s="17"/>
      <c r="CBC34" s="17"/>
      <c r="CBD34" s="17"/>
      <c r="CBE34" s="17"/>
      <c r="CBF34" s="17"/>
      <c r="CBG34" s="17"/>
      <c r="CBH34" s="17"/>
      <c r="CBI34" s="17"/>
      <c r="CBJ34" s="17"/>
      <c r="CBK34" s="17"/>
      <c r="CBL34" s="17"/>
      <c r="CBM34" s="17"/>
      <c r="CBN34" s="17"/>
      <c r="CBO34" s="17"/>
      <c r="CBP34" s="17"/>
      <c r="CBQ34" s="17"/>
      <c r="CBR34" s="17"/>
      <c r="CBS34" s="17"/>
      <c r="CBT34" s="17"/>
      <c r="CBU34" s="17"/>
      <c r="CBV34" s="17"/>
      <c r="CBW34" s="17"/>
      <c r="CBX34" s="17"/>
      <c r="CBY34" s="17"/>
      <c r="CBZ34" s="17"/>
      <c r="CCA34" s="17"/>
      <c r="CCB34" s="17"/>
      <c r="CCC34" s="17"/>
      <c r="CCD34" s="17"/>
      <c r="CCE34" s="17"/>
      <c r="CCF34" s="17"/>
      <c r="CCG34" s="17"/>
      <c r="CCH34" s="17"/>
      <c r="CCI34" s="17"/>
      <c r="CCJ34" s="17"/>
      <c r="CCK34" s="17"/>
      <c r="CCL34" s="17"/>
      <c r="CCM34" s="17"/>
      <c r="CCN34" s="17"/>
      <c r="CCO34" s="17"/>
      <c r="CCP34" s="17"/>
      <c r="CCQ34" s="17"/>
      <c r="CCR34" s="17"/>
      <c r="CCS34" s="17"/>
      <c r="CCT34" s="17"/>
      <c r="CCU34" s="17"/>
      <c r="CCV34" s="17"/>
      <c r="CCW34" s="17"/>
      <c r="CCX34" s="17"/>
      <c r="CCY34" s="17"/>
      <c r="CCZ34" s="17"/>
      <c r="CDA34" s="17"/>
      <c r="CDB34" s="17"/>
      <c r="CDC34" s="17"/>
      <c r="CDD34" s="17"/>
      <c r="CDE34" s="17"/>
      <c r="CDF34" s="17"/>
      <c r="CDG34" s="17"/>
      <c r="CDH34" s="17"/>
      <c r="CDI34" s="17"/>
      <c r="CDJ34" s="17"/>
      <c r="CDK34" s="17"/>
      <c r="CDL34" s="17"/>
      <c r="CDM34" s="17"/>
      <c r="CDN34" s="17"/>
      <c r="CDO34" s="17"/>
      <c r="CDP34" s="17"/>
      <c r="CDQ34" s="17"/>
      <c r="CDR34" s="17"/>
      <c r="CDS34" s="17"/>
      <c r="CDT34" s="17"/>
      <c r="CDU34" s="17"/>
      <c r="CDV34" s="17"/>
      <c r="CDW34" s="17"/>
      <c r="CDX34" s="17"/>
      <c r="CDY34" s="17"/>
      <c r="CDZ34" s="17"/>
      <c r="CEA34" s="17"/>
      <c r="CEB34" s="17"/>
      <c r="CEC34" s="17"/>
      <c r="CED34" s="17"/>
      <c r="CEE34" s="17"/>
      <c r="CEF34" s="17"/>
      <c r="CEG34" s="17"/>
      <c r="CEH34" s="17"/>
      <c r="CEI34" s="17"/>
      <c r="CEJ34" s="17"/>
      <c r="CEK34" s="17"/>
      <c r="CEL34" s="17"/>
      <c r="CEM34" s="17"/>
      <c r="CEN34" s="17"/>
      <c r="CEO34" s="17"/>
      <c r="CEP34" s="17"/>
      <c r="CEQ34" s="17"/>
      <c r="CER34" s="17"/>
      <c r="CES34" s="17"/>
      <c r="CET34" s="17"/>
      <c r="CEU34" s="17"/>
      <c r="CEV34" s="17"/>
      <c r="CEW34" s="17"/>
      <c r="CEX34" s="17"/>
      <c r="CEY34" s="17"/>
      <c r="CEZ34" s="17"/>
      <c r="CFA34" s="17"/>
      <c r="CFB34" s="17"/>
      <c r="CFC34" s="17"/>
      <c r="CFD34" s="17"/>
      <c r="CFE34" s="17"/>
      <c r="CFF34" s="17"/>
      <c r="CFG34" s="17"/>
      <c r="CFH34" s="17"/>
      <c r="CFI34" s="17"/>
      <c r="CFJ34" s="17"/>
      <c r="CFK34" s="17"/>
      <c r="CFL34" s="17"/>
      <c r="CFM34" s="17"/>
      <c r="CFN34" s="17"/>
      <c r="CFO34" s="17"/>
      <c r="CFP34" s="17"/>
      <c r="CFQ34" s="17"/>
      <c r="CFR34" s="17"/>
      <c r="CFS34" s="17"/>
      <c r="CFT34" s="17"/>
      <c r="CFU34" s="17"/>
      <c r="CFV34" s="17"/>
      <c r="CFW34" s="17"/>
      <c r="CFX34" s="17"/>
      <c r="CFY34" s="17"/>
      <c r="CFZ34" s="17"/>
      <c r="CGA34" s="17"/>
      <c r="CGB34" s="17"/>
      <c r="CGC34" s="17"/>
      <c r="CGD34" s="17"/>
      <c r="CGE34" s="17"/>
      <c r="CGF34" s="17"/>
      <c r="CGG34" s="17"/>
      <c r="CGH34" s="17"/>
      <c r="CGI34" s="17"/>
      <c r="CGJ34" s="17"/>
      <c r="CGK34" s="17"/>
      <c r="CGL34" s="17"/>
      <c r="CGM34" s="17"/>
      <c r="CGN34" s="17"/>
      <c r="CGO34" s="17"/>
      <c r="CGP34" s="17"/>
      <c r="CGQ34" s="17"/>
      <c r="CGR34" s="17"/>
      <c r="CGS34" s="17"/>
      <c r="CGT34" s="17"/>
      <c r="CGU34" s="17"/>
      <c r="CGV34" s="17"/>
      <c r="CGW34" s="17"/>
      <c r="CGX34" s="17"/>
      <c r="CGY34" s="17"/>
      <c r="CGZ34" s="17"/>
      <c r="CHA34" s="17"/>
      <c r="CHB34" s="17"/>
      <c r="CHC34" s="17"/>
      <c r="CHD34" s="17"/>
      <c r="CHE34" s="17"/>
      <c r="CHF34" s="17"/>
      <c r="CHG34" s="17"/>
      <c r="CHH34" s="17"/>
      <c r="CHI34" s="17"/>
      <c r="CHJ34" s="17"/>
      <c r="CHK34" s="17"/>
      <c r="CHL34" s="17"/>
      <c r="CHM34" s="17"/>
      <c r="CHN34" s="17"/>
      <c r="CHO34" s="17"/>
      <c r="CHP34" s="17"/>
      <c r="CHQ34" s="17"/>
      <c r="CHR34" s="17"/>
      <c r="CHS34" s="17"/>
      <c r="CHT34" s="17"/>
      <c r="CHU34" s="17"/>
      <c r="CHV34" s="17"/>
      <c r="CHW34" s="17"/>
      <c r="CHX34" s="17"/>
      <c r="CHY34" s="17"/>
      <c r="CHZ34" s="17"/>
      <c r="CIA34" s="17"/>
      <c r="CIB34" s="17"/>
      <c r="CIC34" s="17"/>
      <c r="CID34" s="17"/>
      <c r="CIE34" s="17"/>
      <c r="CIF34" s="17"/>
      <c r="CIG34" s="17"/>
      <c r="CIH34" s="17"/>
      <c r="CII34" s="17"/>
      <c r="CIJ34" s="17"/>
      <c r="CIK34" s="17"/>
      <c r="CIL34" s="17"/>
      <c r="CIM34" s="17"/>
      <c r="CIN34" s="17"/>
      <c r="CIO34" s="17"/>
      <c r="CIP34" s="17"/>
      <c r="CIQ34" s="17"/>
      <c r="CIR34" s="17"/>
      <c r="CIS34" s="17"/>
      <c r="CIT34" s="17"/>
      <c r="CIU34" s="17"/>
      <c r="CIV34" s="17"/>
      <c r="CIW34" s="17"/>
      <c r="CIX34" s="17"/>
      <c r="CIY34" s="17"/>
      <c r="CIZ34" s="17"/>
      <c r="CJA34" s="17"/>
      <c r="CJB34" s="17"/>
      <c r="CJC34" s="17"/>
      <c r="CJD34" s="17"/>
      <c r="CJE34" s="17"/>
      <c r="CJF34" s="17"/>
      <c r="CJG34" s="17"/>
      <c r="CJH34" s="17"/>
      <c r="CJI34" s="17"/>
      <c r="CJJ34" s="17"/>
      <c r="CJK34" s="17"/>
      <c r="CJL34" s="17"/>
      <c r="CJM34" s="17"/>
      <c r="CJN34" s="17"/>
      <c r="CJO34" s="17"/>
      <c r="CJP34" s="17"/>
      <c r="CJQ34" s="17"/>
      <c r="CJR34" s="17"/>
      <c r="CJS34" s="17"/>
      <c r="CJT34" s="17"/>
      <c r="CJU34" s="17"/>
      <c r="CJV34" s="17"/>
      <c r="CJW34" s="17"/>
      <c r="CJX34" s="17"/>
      <c r="CJY34" s="17"/>
      <c r="CJZ34" s="17"/>
      <c r="CKA34" s="17"/>
      <c r="CKB34" s="17"/>
      <c r="CKC34" s="17"/>
      <c r="CKD34" s="17"/>
      <c r="CKE34" s="17"/>
      <c r="CKF34" s="17"/>
      <c r="CKG34" s="17"/>
      <c r="CKH34" s="17"/>
      <c r="CKI34" s="17"/>
      <c r="CKJ34" s="17"/>
      <c r="CKK34" s="17"/>
      <c r="CKL34" s="17"/>
      <c r="CKM34" s="17"/>
      <c r="CKN34" s="17"/>
      <c r="CKO34" s="17"/>
      <c r="CKP34" s="17"/>
      <c r="CKQ34" s="17"/>
      <c r="CKR34" s="17"/>
      <c r="CKS34" s="17"/>
      <c r="CKT34" s="17"/>
      <c r="CKU34" s="17"/>
      <c r="CKV34" s="17"/>
      <c r="CKW34" s="17"/>
      <c r="CKX34" s="17"/>
      <c r="CKY34" s="17"/>
      <c r="CKZ34" s="17"/>
      <c r="CLA34" s="17"/>
      <c r="CLB34" s="17"/>
      <c r="CLC34" s="17"/>
      <c r="CLD34" s="17"/>
      <c r="CLE34" s="17"/>
      <c r="CLF34" s="17"/>
      <c r="CLG34" s="17"/>
      <c r="CLH34" s="17"/>
      <c r="CLI34" s="17"/>
      <c r="CLJ34" s="17"/>
      <c r="CLK34" s="17"/>
      <c r="CLL34" s="17"/>
      <c r="CLM34" s="17"/>
      <c r="CLN34" s="17"/>
      <c r="CLO34" s="17"/>
      <c r="CLP34" s="17"/>
      <c r="CLQ34" s="17"/>
      <c r="CLR34" s="17"/>
      <c r="CLS34" s="17"/>
      <c r="CLT34" s="17"/>
      <c r="CLU34" s="17"/>
      <c r="CLV34" s="17"/>
      <c r="CLW34" s="17"/>
      <c r="CLX34" s="17"/>
      <c r="CLY34" s="17"/>
      <c r="CLZ34" s="17"/>
      <c r="CMA34" s="17"/>
      <c r="CMB34" s="17"/>
      <c r="CMC34" s="17"/>
      <c r="CMD34" s="17"/>
      <c r="CME34" s="17"/>
      <c r="CMF34" s="17"/>
      <c r="CMG34" s="17"/>
      <c r="CMH34" s="17"/>
      <c r="CMI34" s="17"/>
      <c r="CMJ34" s="17"/>
      <c r="CMK34" s="17"/>
      <c r="CML34" s="17"/>
      <c r="CMM34" s="17"/>
      <c r="CMN34" s="17"/>
      <c r="CMO34" s="17"/>
      <c r="CMP34" s="17"/>
      <c r="CMQ34" s="17"/>
      <c r="CMR34" s="17"/>
      <c r="CMS34" s="17"/>
      <c r="CMT34" s="17"/>
      <c r="CMU34" s="17"/>
      <c r="CMV34" s="17"/>
      <c r="CMW34" s="17"/>
      <c r="CMX34" s="17"/>
      <c r="CMY34" s="17"/>
      <c r="CMZ34" s="17"/>
      <c r="CNA34" s="17"/>
      <c r="CNB34" s="17"/>
      <c r="CNC34" s="17"/>
      <c r="CND34" s="17"/>
      <c r="CNE34" s="17"/>
      <c r="CNF34" s="17"/>
      <c r="CNG34" s="17"/>
      <c r="CNH34" s="17"/>
      <c r="CNI34" s="17"/>
      <c r="CNJ34" s="17"/>
      <c r="CNK34" s="17"/>
      <c r="CNL34" s="17"/>
      <c r="CNM34" s="17"/>
      <c r="CNN34" s="17"/>
      <c r="CNO34" s="17"/>
      <c r="CNP34" s="17"/>
      <c r="CNQ34" s="17"/>
      <c r="CNR34" s="17"/>
      <c r="CNS34" s="17"/>
      <c r="CNT34" s="17"/>
      <c r="CNU34" s="17"/>
      <c r="CNV34" s="17"/>
      <c r="CNW34" s="17"/>
      <c r="CNX34" s="17"/>
      <c r="CNY34" s="17"/>
      <c r="CNZ34" s="17"/>
      <c r="COA34" s="17"/>
      <c r="COB34" s="17"/>
      <c r="COC34" s="17"/>
      <c r="COD34" s="17"/>
      <c r="COE34" s="17"/>
      <c r="COF34" s="17"/>
      <c r="COG34" s="17"/>
      <c r="COH34" s="17"/>
      <c r="COI34" s="17"/>
      <c r="COJ34" s="17"/>
      <c r="COK34" s="17"/>
      <c r="COL34" s="17"/>
      <c r="COM34" s="17"/>
      <c r="CON34" s="17"/>
      <c r="COO34" s="17"/>
      <c r="COP34" s="17"/>
      <c r="COQ34" s="17"/>
      <c r="COR34" s="17"/>
      <c r="COS34" s="17"/>
      <c r="COT34" s="17"/>
      <c r="COU34" s="17"/>
      <c r="COV34" s="17"/>
      <c r="COW34" s="17"/>
      <c r="COX34" s="17"/>
      <c r="COY34" s="17"/>
      <c r="COZ34" s="17"/>
      <c r="CPA34" s="17"/>
      <c r="CPB34" s="17"/>
      <c r="CPC34" s="17"/>
      <c r="CPD34" s="17"/>
      <c r="CPE34" s="17"/>
      <c r="CPF34" s="17"/>
      <c r="CPG34" s="17"/>
      <c r="CPH34" s="17"/>
      <c r="CPI34" s="17"/>
      <c r="CPJ34" s="17"/>
      <c r="CPK34" s="17"/>
      <c r="CPL34" s="17"/>
      <c r="CPM34" s="17"/>
      <c r="CPN34" s="17"/>
      <c r="CPO34" s="17"/>
      <c r="CPP34" s="17"/>
      <c r="CPQ34" s="17"/>
      <c r="CPR34" s="17"/>
      <c r="CPS34" s="17"/>
      <c r="CPT34" s="17"/>
      <c r="CPU34" s="17"/>
      <c r="CPV34" s="17"/>
      <c r="CPW34" s="17"/>
      <c r="CPX34" s="17"/>
      <c r="CPY34" s="17"/>
      <c r="CPZ34" s="17"/>
      <c r="CQA34" s="17"/>
      <c r="CQB34" s="17"/>
      <c r="CQC34" s="17"/>
      <c r="CQD34" s="17"/>
      <c r="CQE34" s="17"/>
      <c r="CQF34" s="17"/>
      <c r="CQG34" s="17"/>
      <c r="CQH34" s="17"/>
      <c r="CQI34" s="17"/>
      <c r="CQJ34" s="17"/>
      <c r="CQK34" s="17"/>
      <c r="CQL34" s="17"/>
      <c r="CQM34" s="17"/>
      <c r="CQN34" s="17"/>
      <c r="CQO34" s="17"/>
      <c r="CQP34" s="17"/>
      <c r="CQQ34" s="17"/>
      <c r="CQR34" s="17"/>
      <c r="CQS34" s="17"/>
      <c r="CQT34" s="17"/>
      <c r="CQU34" s="17"/>
      <c r="CQV34" s="17"/>
      <c r="CQW34" s="17"/>
      <c r="CQX34" s="17"/>
      <c r="CQY34" s="17"/>
      <c r="CQZ34" s="17"/>
      <c r="CRA34" s="17"/>
      <c r="CRB34" s="17"/>
      <c r="CRC34" s="17"/>
      <c r="CRD34" s="17"/>
      <c r="CRE34" s="17"/>
      <c r="CRF34" s="17"/>
      <c r="CRG34" s="17"/>
      <c r="CRH34" s="17"/>
      <c r="CRI34" s="17"/>
      <c r="CRJ34" s="17"/>
      <c r="CRK34" s="17"/>
      <c r="CRL34" s="17"/>
      <c r="CRM34" s="17"/>
      <c r="CRN34" s="17"/>
      <c r="CRO34" s="17"/>
      <c r="CRP34" s="17"/>
      <c r="CRQ34" s="17"/>
      <c r="CRR34" s="17"/>
      <c r="CRS34" s="17"/>
      <c r="CRT34" s="17"/>
      <c r="CRU34" s="17"/>
      <c r="CRV34" s="17"/>
      <c r="CRW34" s="17"/>
      <c r="CRX34" s="17"/>
      <c r="CRY34" s="17"/>
      <c r="CRZ34" s="17"/>
      <c r="CSA34" s="17"/>
      <c r="CSB34" s="17"/>
      <c r="CSC34" s="17"/>
      <c r="CSD34" s="17"/>
      <c r="CSE34" s="17"/>
      <c r="CSF34" s="17"/>
      <c r="CSG34" s="17"/>
      <c r="CSH34" s="17"/>
      <c r="CSI34" s="17"/>
      <c r="CSJ34" s="17"/>
      <c r="CSK34" s="17"/>
      <c r="CSL34" s="17"/>
      <c r="CSM34" s="17"/>
      <c r="CSN34" s="17"/>
      <c r="CSO34" s="17"/>
      <c r="CSP34" s="17"/>
      <c r="CSQ34" s="17"/>
      <c r="CSR34" s="17"/>
      <c r="CSS34" s="17"/>
      <c r="CST34" s="17"/>
      <c r="CSU34" s="17"/>
      <c r="CSV34" s="17"/>
      <c r="CSW34" s="17"/>
      <c r="CSX34" s="17"/>
      <c r="CSY34" s="17"/>
      <c r="CSZ34" s="17"/>
      <c r="CTA34" s="17"/>
      <c r="CTB34" s="17"/>
      <c r="CTC34" s="17"/>
      <c r="CTD34" s="17"/>
      <c r="CTE34" s="17"/>
      <c r="CTF34" s="17"/>
      <c r="CTG34" s="17"/>
      <c r="CTH34" s="17"/>
      <c r="CTI34" s="17"/>
      <c r="CTJ34" s="17"/>
      <c r="CTK34" s="17"/>
      <c r="CTL34" s="17"/>
      <c r="CTM34" s="17"/>
      <c r="CTN34" s="17"/>
      <c r="CTO34" s="17"/>
      <c r="CTP34" s="17"/>
      <c r="CTQ34" s="17"/>
      <c r="CTR34" s="17"/>
      <c r="CTS34" s="17"/>
      <c r="CTT34" s="17"/>
      <c r="CTU34" s="17"/>
      <c r="CTV34" s="17"/>
      <c r="CTW34" s="17"/>
      <c r="CTX34" s="17"/>
      <c r="CTY34" s="17"/>
      <c r="CTZ34" s="17"/>
      <c r="CUA34" s="17"/>
      <c r="CUB34" s="17"/>
      <c r="CUC34" s="17"/>
      <c r="CUD34" s="17"/>
      <c r="CUE34" s="17"/>
      <c r="CUF34" s="17"/>
      <c r="CUG34" s="17"/>
      <c r="CUH34" s="17"/>
      <c r="CUI34" s="17"/>
      <c r="CUJ34" s="17"/>
      <c r="CUK34" s="17"/>
      <c r="CUL34" s="17"/>
      <c r="CUM34" s="17"/>
      <c r="CUN34" s="17"/>
      <c r="CUO34" s="17"/>
      <c r="CUP34" s="17"/>
      <c r="CUQ34" s="17"/>
      <c r="CUR34" s="17"/>
      <c r="CUS34" s="17"/>
      <c r="CUT34" s="17"/>
      <c r="CUU34" s="17"/>
      <c r="CUV34" s="17"/>
      <c r="CUW34" s="17"/>
      <c r="CUX34" s="17"/>
      <c r="CUY34" s="17"/>
      <c r="CUZ34" s="17"/>
      <c r="CVA34" s="17"/>
      <c r="CVB34" s="17"/>
      <c r="CVC34" s="17"/>
      <c r="CVD34" s="17"/>
      <c r="CVE34" s="17"/>
      <c r="CVF34" s="17"/>
      <c r="CVG34" s="17"/>
      <c r="CVH34" s="17"/>
      <c r="CVI34" s="17"/>
      <c r="CVJ34" s="17"/>
      <c r="CVK34" s="17"/>
      <c r="CVL34" s="17"/>
      <c r="CVM34" s="17"/>
      <c r="CVN34" s="17"/>
      <c r="CVO34" s="17"/>
      <c r="CVP34" s="17"/>
      <c r="CVQ34" s="17"/>
      <c r="CVR34" s="17"/>
      <c r="CVS34" s="17"/>
      <c r="CVT34" s="17"/>
      <c r="CVU34" s="17"/>
      <c r="CVV34" s="17"/>
      <c r="CVW34" s="17"/>
      <c r="CVX34" s="17"/>
      <c r="CVY34" s="17"/>
      <c r="CVZ34" s="17"/>
      <c r="CWA34" s="17"/>
      <c r="CWB34" s="17"/>
      <c r="CWC34" s="17"/>
      <c r="CWD34" s="17"/>
      <c r="CWE34" s="17"/>
      <c r="CWF34" s="17"/>
      <c r="CWG34" s="17"/>
      <c r="CWH34" s="17"/>
      <c r="CWI34" s="17"/>
      <c r="CWJ34" s="17"/>
      <c r="CWK34" s="17"/>
      <c r="CWL34" s="17"/>
      <c r="CWM34" s="17"/>
      <c r="CWN34" s="17"/>
      <c r="CWO34" s="17"/>
      <c r="CWP34" s="17"/>
      <c r="CWQ34" s="17"/>
      <c r="CWR34" s="17"/>
      <c r="CWS34" s="17"/>
      <c r="CWT34" s="17"/>
      <c r="CWU34" s="17"/>
      <c r="CWV34" s="17"/>
      <c r="CWW34" s="17"/>
      <c r="CWX34" s="17"/>
      <c r="CWY34" s="17"/>
      <c r="CWZ34" s="17"/>
      <c r="CXA34" s="17"/>
      <c r="CXB34" s="17"/>
      <c r="CXC34" s="17"/>
      <c r="CXD34" s="17"/>
      <c r="CXE34" s="17"/>
      <c r="CXF34" s="17"/>
      <c r="CXG34" s="17"/>
      <c r="CXH34" s="17"/>
      <c r="CXI34" s="17"/>
      <c r="CXJ34" s="17"/>
      <c r="CXK34" s="17"/>
      <c r="CXL34" s="17"/>
      <c r="CXM34" s="17"/>
      <c r="CXN34" s="17"/>
      <c r="CXO34" s="17"/>
      <c r="CXP34" s="17"/>
      <c r="CXQ34" s="17"/>
      <c r="CXR34" s="17"/>
      <c r="CXS34" s="17"/>
      <c r="CXT34" s="17"/>
      <c r="CXU34" s="17"/>
      <c r="CXV34" s="17"/>
      <c r="CXW34" s="17"/>
      <c r="CXX34" s="17"/>
      <c r="CXY34" s="17"/>
      <c r="CXZ34" s="17"/>
      <c r="CYA34" s="17"/>
      <c r="CYB34" s="17"/>
      <c r="CYC34" s="17"/>
      <c r="CYD34" s="17"/>
      <c r="CYE34" s="17"/>
      <c r="CYF34" s="17"/>
      <c r="CYG34" s="17"/>
      <c r="CYH34" s="17"/>
      <c r="CYI34" s="17"/>
      <c r="CYJ34" s="17"/>
      <c r="CYK34" s="17"/>
      <c r="CYL34" s="17"/>
      <c r="CYM34" s="17"/>
      <c r="CYN34" s="17"/>
      <c r="CYO34" s="17"/>
      <c r="CYP34" s="17"/>
      <c r="CYQ34" s="17"/>
      <c r="CYR34" s="17"/>
      <c r="CYS34" s="17"/>
      <c r="CYT34" s="17"/>
      <c r="CYU34" s="17"/>
      <c r="CYV34" s="17"/>
      <c r="CYW34" s="17"/>
      <c r="CYX34" s="17"/>
      <c r="CYY34" s="17"/>
      <c r="CYZ34" s="17"/>
      <c r="CZA34" s="17"/>
      <c r="CZB34" s="17"/>
      <c r="CZC34" s="17"/>
      <c r="CZD34" s="17"/>
      <c r="CZE34" s="17"/>
      <c r="CZF34" s="17"/>
      <c r="CZG34" s="17"/>
      <c r="CZH34" s="17"/>
      <c r="CZI34" s="17"/>
      <c r="CZJ34" s="17"/>
      <c r="CZK34" s="17"/>
      <c r="CZL34" s="17"/>
      <c r="CZM34" s="17"/>
      <c r="CZN34" s="17"/>
      <c r="CZO34" s="17"/>
      <c r="CZP34" s="17"/>
      <c r="CZQ34" s="17"/>
      <c r="CZR34" s="17"/>
      <c r="CZS34" s="17"/>
      <c r="CZT34" s="17"/>
      <c r="CZU34" s="17"/>
      <c r="CZV34" s="17"/>
      <c r="CZW34" s="17"/>
      <c r="CZX34" s="17"/>
      <c r="CZY34" s="17"/>
      <c r="CZZ34" s="17"/>
      <c r="DAA34" s="17"/>
      <c r="DAB34" s="17"/>
      <c r="DAC34" s="17"/>
      <c r="DAD34" s="17"/>
      <c r="DAE34" s="17"/>
      <c r="DAF34" s="17"/>
      <c r="DAG34" s="17"/>
      <c r="DAH34" s="17"/>
      <c r="DAI34" s="17"/>
      <c r="DAJ34" s="17"/>
      <c r="DAK34" s="17"/>
      <c r="DAL34" s="17"/>
      <c r="DAM34" s="17"/>
      <c r="DAN34" s="17"/>
      <c r="DAO34" s="17"/>
      <c r="DAP34" s="17"/>
      <c r="DAQ34" s="17"/>
      <c r="DAR34" s="17"/>
      <c r="DAS34" s="17"/>
      <c r="DAT34" s="17"/>
      <c r="DAU34" s="17"/>
      <c r="DAV34" s="17"/>
      <c r="DAW34" s="17"/>
      <c r="DAX34" s="17"/>
      <c r="DAY34" s="17"/>
      <c r="DAZ34" s="17"/>
      <c r="DBA34" s="17"/>
      <c r="DBB34" s="17"/>
      <c r="DBC34" s="17"/>
      <c r="DBD34" s="17"/>
      <c r="DBE34" s="17"/>
      <c r="DBF34" s="17"/>
      <c r="DBG34" s="17"/>
      <c r="DBH34" s="17"/>
      <c r="DBI34" s="17"/>
      <c r="DBJ34" s="17"/>
      <c r="DBK34" s="17"/>
      <c r="DBL34" s="17"/>
      <c r="DBM34" s="17"/>
      <c r="DBN34" s="17"/>
      <c r="DBO34" s="17"/>
      <c r="DBP34" s="17"/>
      <c r="DBQ34" s="17"/>
      <c r="DBR34" s="17"/>
      <c r="DBS34" s="17"/>
      <c r="DBT34" s="17"/>
      <c r="DBU34" s="17"/>
      <c r="DBV34" s="17"/>
      <c r="DBW34" s="17"/>
      <c r="DBX34" s="17"/>
      <c r="DBY34" s="17"/>
      <c r="DBZ34" s="17"/>
      <c r="DCA34" s="17"/>
      <c r="DCB34" s="17"/>
      <c r="DCC34" s="17"/>
      <c r="DCD34" s="17"/>
      <c r="DCE34" s="17"/>
      <c r="DCF34" s="17"/>
      <c r="DCG34" s="17"/>
      <c r="DCH34" s="17"/>
      <c r="DCI34" s="17"/>
      <c r="DCJ34" s="17"/>
      <c r="DCK34" s="17"/>
      <c r="DCL34" s="17"/>
      <c r="DCM34" s="17"/>
      <c r="DCN34" s="17"/>
      <c r="DCO34" s="17"/>
      <c r="DCP34" s="17"/>
      <c r="DCQ34" s="17"/>
      <c r="DCR34" s="17"/>
      <c r="DCS34" s="17"/>
      <c r="DCT34" s="17"/>
      <c r="DCU34" s="17"/>
      <c r="DCV34" s="17"/>
      <c r="DCW34" s="17"/>
      <c r="DCX34" s="17"/>
      <c r="DCY34" s="17"/>
      <c r="DCZ34" s="17"/>
      <c r="DDA34" s="17"/>
      <c r="DDB34" s="17"/>
      <c r="DDC34" s="17"/>
      <c r="DDD34" s="17"/>
      <c r="DDE34" s="17"/>
      <c r="DDF34" s="17"/>
      <c r="DDG34" s="17"/>
      <c r="DDH34" s="17"/>
      <c r="DDI34" s="17"/>
      <c r="DDJ34" s="17"/>
      <c r="DDK34" s="17"/>
      <c r="DDL34" s="17"/>
      <c r="DDM34" s="17"/>
      <c r="DDN34" s="17"/>
      <c r="DDO34" s="17"/>
      <c r="DDP34" s="17"/>
      <c r="DDQ34" s="17"/>
      <c r="DDR34" s="17"/>
      <c r="DDS34" s="17"/>
      <c r="DDT34" s="17"/>
      <c r="DDU34" s="17"/>
      <c r="DDV34" s="17"/>
      <c r="DDW34" s="17"/>
      <c r="DDX34" s="17"/>
      <c r="DDY34" s="17"/>
      <c r="DDZ34" s="17"/>
      <c r="DEA34" s="17"/>
      <c r="DEB34" s="17"/>
      <c r="DEC34" s="17"/>
      <c r="DED34" s="17"/>
      <c r="DEE34" s="17"/>
      <c r="DEF34" s="17"/>
      <c r="DEG34" s="17"/>
      <c r="DEH34" s="17"/>
      <c r="DEI34" s="17"/>
      <c r="DEJ34" s="17"/>
      <c r="DEK34" s="17"/>
      <c r="DEL34" s="17"/>
      <c r="DEM34" s="17"/>
      <c r="DEN34" s="17"/>
      <c r="DEO34" s="17"/>
      <c r="DEP34" s="17"/>
      <c r="DEQ34" s="17"/>
      <c r="DER34" s="17"/>
      <c r="DES34" s="17"/>
      <c r="DET34" s="17"/>
      <c r="DEU34" s="17"/>
      <c r="DEV34" s="17"/>
      <c r="DEW34" s="17"/>
      <c r="DEX34" s="17"/>
      <c r="DEY34" s="17"/>
      <c r="DEZ34" s="17"/>
      <c r="DFA34" s="17"/>
      <c r="DFB34" s="17"/>
      <c r="DFC34" s="17"/>
      <c r="DFD34" s="17"/>
      <c r="DFE34" s="17"/>
      <c r="DFF34" s="17"/>
      <c r="DFG34" s="17"/>
      <c r="DFH34" s="17"/>
      <c r="DFI34" s="17"/>
      <c r="DFJ34" s="17"/>
      <c r="DFK34" s="17"/>
      <c r="DFL34" s="17"/>
      <c r="DFM34" s="17"/>
      <c r="DFN34" s="17"/>
      <c r="DFO34" s="17"/>
      <c r="DFP34" s="17"/>
      <c r="DFQ34" s="17"/>
      <c r="DFR34" s="17"/>
      <c r="DFS34" s="17"/>
      <c r="DFT34" s="17"/>
      <c r="DFU34" s="17"/>
      <c r="DFV34" s="17"/>
      <c r="DFW34" s="17"/>
      <c r="DFX34" s="17"/>
      <c r="DFY34" s="17"/>
      <c r="DFZ34" s="17"/>
      <c r="DGA34" s="17"/>
      <c r="DGB34" s="17"/>
      <c r="DGC34" s="17"/>
      <c r="DGD34" s="17"/>
      <c r="DGE34" s="17"/>
      <c r="DGF34" s="17"/>
      <c r="DGG34" s="17"/>
      <c r="DGH34" s="17"/>
      <c r="DGI34" s="17"/>
      <c r="DGJ34" s="17"/>
      <c r="DGK34" s="17"/>
      <c r="DGL34" s="17"/>
      <c r="DGM34" s="17"/>
      <c r="DGN34" s="17"/>
      <c r="DGO34" s="17"/>
      <c r="DGP34" s="17"/>
      <c r="DGQ34" s="17"/>
      <c r="DGR34" s="17"/>
      <c r="DGS34" s="17"/>
      <c r="DGT34" s="17"/>
      <c r="DGU34" s="17"/>
      <c r="DGV34" s="17"/>
      <c r="DGW34" s="17"/>
      <c r="DGX34" s="17"/>
      <c r="DGY34" s="17"/>
      <c r="DGZ34" s="17"/>
      <c r="DHA34" s="17"/>
      <c r="DHB34" s="17"/>
      <c r="DHC34" s="17"/>
      <c r="DHD34" s="17"/>
      <c r="DHE34" s="17"/>
      <c r="DHF34" s="17"/>
      <c r="DHG34" s="17"/>
      <c r="DHH34" s="17"/>
      <c r="DHI34" s="17"/>
      <c r="DHJ34" s="17"/>
      <c r="DHK34" s="17"/>
      <c r="DHL34" s="17"/>
      <c r="DHM34" s="17"/>
      <c r="DHN34" s="17"/>
      <c r="DHO34" s="17"/>
      <c r="DHP34" s="17"/>
      <c r="DHQ34" s="17"/>
      <c r="DHR34" s="17"/>
      <c r="DHS34" s="17"/>
      <c r="DHT34" s="17"/>
      <c r="DHU34" s="17"/>
      <c r="DHV34" s="17"/>
      <c r="DHW34" s="17"/>
      <c r="DHX34" s="17"/>
      <c r="DHY34" s="17"/>
      <c r="DHZ34" s="17"/>
      <c r="DIA34" s="17"/>
      <c r="DIB34" s="17"/>
      <c r="DIC34" s="17"/>
      <c r="DID34" s="17"/>
      <c r="DIE34" s="17"/>
      <c r="DIF34" s="17"/>
      <c r="DIG34" s="17"/>
      <c r="DIH34" s="17"/>
      <c r="DII34" s="17"/>
      <c r="DIJ34" s="17"/>
      <c r="DIK34" s="17"/>
      <c r="DIL34" s="17"/>
      <c r="DIM34" s="17"/>
      <c r="DIN34" s="17"/>
      <c r="DIO34" s="17"/>
      <c r="DIP34" s="17"/>
      <c r="DIQ34" s="17"/>
      <c r="DIR34" s="17"/>
      <c r="DIS34" s="17"/>
      <c r="DIT34" s="17"/>
      <c r="DIU34" s="17"/>
      <c r="DIV34" s="17"/>
      <c r="DIW34" s="17"/>
      <c r="DIX34" s="17"/>
      <c r="DIY34" s="17"/>
      <c r="DIZ34" s="17"/>
      <c r="DJA34" s="17"/>
      <c r="DJB34" s="17"/>
      <c r="DJC34" s="17"/>
      <c r="DJD34" s="17"/>
      <c r="DJE34" s="17"/>
      <c r="DJF34" s="17"/>
      <c r="DJG34" s="17"/>
      <c r="DJH34" s="17"/>
      <c r="DJI34" s="17"/>
      <c r="DJJ34" s="17"/>
      <c r="DJK34" s="17"/>
      <c r="DJL34" s="17"/>
      <c r="DJM34" s="17"/>
      <c r="DJN34" s="17"/>
      <c r="DJO34" s="17"/>
      <c r="DJP34" s="17"/>
      <c r="DJQ34" s="17"/>
      <c r="DJR34" s="17"/>
      <c r="DJS34" s="17"/>
      <c r="DJT34" s="17"/>
      <c r="DJU34" s="17"/>
      <c r="DJV34" s="17"/>
      <c r="DJW34" s="17"/>
      <c r="DJX34" s="17"/>
      <c r="DJY34" s="17"/>
      <c r="DJZ34" s="17"/>
      <c r="DKA34" s="17"/>
      <c r="DKB34" s="17"/>
      <c r="DKC34" s="17"/>
      <c r="DKD34" s="17"/>
      <c r="DKE34" s="17"/>
      <c r="DKF34" s="17"/>
      <c r="DKG34" s="17"/>
      <c r="DKH34" s="17"/>
      <c r="DKI34" s="17"/>
      <c r="DKJ34" s="17"/>
      <c r="DKK34" s="17"/>
      <c r="DKL34" s="17"/>
      <c r="DKM34" s="17"/>
      <c r="DKN34" s="17"/>
      <c r="DKO34" s="17"/>
      <c r="DKP34" s="17"/>
      <c r="DKQ34" s="17"/>
      <c r="DKR34" s="17"/>
      <c r="DKS34" s="17"/>
      <c r="DKT34" s="17"/>
      <c r="DKU34" s="17"/>
      <c r="DKV34" s="17"/>
      <c r="DKW34" s="17"/>
      <c r="DKX34" s="17"/>
      <c r="DKY34" s="17"/>
      <c r="DKZ34" s="17"/>
      <c r="DLA34" s="17"/>
      <c r="DLB34" s="17"/>
      <c r="DLC34" s="17"/>
      <c r="DLD34" s="17"/>
      <c r="DLE34" s="17"/>
      <c r="DLF34" s="17"/>
      <c r="DLG34" s="17"/>
      <c r="DLH34" s="17"/>
      <c r="DLI34" s="17"/>
      <c r="DLJ34" s="17"/>
      <c r="DLK34" s="17"/>
      <c r="DLL34" s="17"/>
      <c r="DLM34" s="17"/>
      <c r="DLN34" s="17"/>
      <c r="DLO34" s="17"/>
      <c r="DLP34" s="17"/>
      <c r="DLQ34" s="17"/>
      <c r="DLR34" s="17"/>
      <c r="DLS34" s="17"/>
      <c r="DLT34" s="17"/>
      <c r="DLU34" s="17"/>
      <c r="DLV34" s="17"/>
      <c r="DLW34" s="17"/>
      <c r="DLX34" s="17"/>
      <c r="DLY34" s="17"/>
      <c r="DLZ34" s="17"/>
      <c r="DMA34" s="17"/>
      <c r="DMB34" s="17"/>
      <c r="DMC34" s="17"/>
      <c r="DMD34" s="17"/>
      <c r="DME34" s="17"/>
      <c r="DMF34" s="17"/>
      <c r="DMG34" s="17"/>
      <c r="DMH34" s="17"/>
      <c r="DMI34" s="17"/>
      <c r="DMJ34" s="17"/>
      <c r="DMK34" s="17"/>
      <c r="DML34" s="17"/>
      <c r="DMM34" s="17"/>
      <c r="DMN34" s="17"/>
      <c r="DMO34" s="17"/>
      <c r="DMP34" s="17"/>
      <c r="DMQ34" s="17"/>
      <c r="DMR34" s="17"/>
      <c r="DMS34" s="17"/>
      <c r="DMT34" s="17"/>
      <c r="DMU34" s="17"/>
      <c r="DMV34" s="17"/>
      <c r="DMW34" s="17"/>
      <c r="DMX34" s="17"/>
      <c r="DMY34" s="17"/>
      <c r="DMZ34" s="17"/>
      <c r="DNA34" s="17"/>
      <c r="DNB34" s="17"/>
      <c r="DNC34" s="17"/>
      <c r="DND34" s="17"/>
      <c r="DNE34" s="17"/>
      <c r="DNF34" s="17"/>
      <c r="DNG34" s="17"/>
      <c r="DNH34" s="17"/>
      <c r="DNI34" s="17"/>
      <c r="DNJ34" s="17"/>
      <c r="DNK34" s="17"/>
      <c r="DNL34" s="17"/>
      <c r="DNM34" s="17"/>
      <c r="DNN34" s="17"/>
      <c r="DNO34" s="17"/>
      <c r="DNP34" s="17"/>
      <c r="DNQ34" s="17"/>
      <c r="DNR34" s="17"/>
      <c r="DNS34" s="17"/>
      <c r="DNT34" s="17"/>
      <c r="DNU34" s="17"/>
      <c r="DNV34" s="17"/>
      <c r="DNW34" s="17"/>
      <c r="DNX34" s="17"/>
      <c r="DNY34" s="17"/>
      <c r="DNZ34" s="17"/>
      <c r="DOA34" s="17"/>
      <c r="DOB34" s="17"/>
      <c r="DOC34" s="17"/>
      <c r="DOD34" s="17"/>
      <c r="DOE34" s="17"/>
      <c r="DOF34" s="17"/>
      <c r="DOG34" s="17"/>
      <c r="DOH34" s="17"/>
      <c r="DOI34" s="17"/>
      <c r="DOJ34" s="17"/>
      <c r="DOK34" s="17"/>
      <c r="DOL34" s="17"/>
      <c r="DOM34" s="17"/>
      <c r="DON34" s="17"/>
      <c r="DOO34" s="17"/>
      <c r="DOP34" s="17"/>
      <c r="DOQ34" s="17"/>
      <c r="DOR34" s="17"/>
      <c r="DOS34" s="17"/>
      <c r="DOT34" s="17"/>
      <c r="DOU34" s="17"/>
      <c r="DOV34" s="17"/>
      <c r="DOW34" s="17"/>
      <c r="DOX34" s="17"/>
      <c r="DOY34" s="17"/>
      <c r="DOZ34" s="17"/>
      <c r="DPA34" s="17"/>
      <c r="DPB34" s="17"/>
      <c r="DPC34" s="17"/>
      <c r="DPD34" s="17"/>
      <c r="DPE34" s="17"/>
      <c r="DPF34" s="17"/>
      <c r="DPG34" s="17"/>
      <c r="DPH34" s="17"/>
      <c r="DPI34" s="17"/>
      <c r="DPJ34" s="17"/>
      <c r="DPK34" s="17"/>
      <c r="DPL34" s="17"/>
      <c r="DPM34" s="17"/>
      <c r="DPN34" s="17"/>
      <c r="DPO34" s="17"/>
      <c r="DPP34" s="17"/>
      <c r="DPQ34" s="17"/>
      <c r="DPR34" s="17"/>
      <c r="DPS34" s="17"/>
      <c r="DPT34" s="17"/>
      <c r="DPU34" s="17"/>
      <c r="DPV34" s="17"/>
      <c r="DPW34" s="17"/>
      <c r="DPX34" s="17"/>
      <c r="DPY34" s="17"/>
      <c r="DPZ34" s="17"/>
      <c r="DQA34" s="17"/>
      <c r="DQB34" s="17"/>
      <c r="DQC34" s="17"/>
      <c r="DQD34" s="17"/>
      <c r="DQE34" s="17"/>
      <c r="DQF34" s="17"/>
      <c r="DQG34" s="17"/>
      <c r="DQH34" s="17"/>
      <c r="DQI34" s="17"/>
      <c r="DQJ34" s="17"/>
      <c r="DQK34" s="17"/>
      <c r="DQL34" s="17"/>
      <c r="DQM34" s="17"/>
      <c r="DQN34" s="17"/>
      <c r="DQO34" s="17"/>
      <c r="DQP34" s="17"/>
      <c r="DQQ34" s="17"/>
      <c r="DQR34" s="17"/>
      <c r="DQS34" s="17"/>
      <c r="DQT34" s="17"/>
      <c r="DQU34" s="17"/>
      <c r="DQV34" s="17"/>
      <c r="DQW34" s="17"/>
      <c r="DQX34" s="17"/>
      <c r="DQY34" s="17"/>
      <c r="DQZ34" s="17"/>
      <c r="DRA34" s="17"/>
      <c r="DRB34" s="17"/>
      <c r="DRC34" s="17"/>
      <c r="DRD34" s="17"/>
      <c r="DRE34" s="17"/>
      <c r="DRF34" s="17"/>
      <c r="DRG34" s="17"/>
      <c r="DRH34" s="17"/>
      <c r="DRI34" s="17"/>
      <c r="DRJ34" s="17"/>
      <c r="DRK34" s="17"/>
      <c r="DRL34" s="17"/>
      <c r="DRM34" s="17"/>
      <c r="DRN34" s="17"/>
      <c r="DRO34" s="17"/>
      <c r="DRP34" s="17"/>
      <c r="DRQ34" s="17"/>
      <c r="DRR34" s="17"/>
      <c r="DRS34" s="17"/>
      <c r="DRT34" s="17"/>
      <c r="DRU34" s="17"/>
      <c r="DRV34" s="17"/>
      <c r="DRW34" s="17"/>
      <c r="DRX34" s="17"/>
      <c r="DRY34" s="17"/>
      <c r="DRZ34" s="17"/>
      <c r="DSA34" s="17"/>
      <c r="DSB34" s="17"/>
      <c r="DSC34" s="17"/>
      <c r="DSD34" s="17"/>
      <c r="DSE34" s="17"/>
      <c r="DSF34" s="17"/>
      <c r="DSG34" s="17"/>
      <c r="DSH34" s="17"/>
      <c r="DSI34" s="17"/>
      <c r="DSJ34" s="17"/>
      <c r="DSK34" s="17"/>
      <c r="DSL34" s="17"/>
      <c r="DSM34" s="17"/>
      <c r="DSN34" s="17"/>
      <c r="DSO34" s="17"/>
      <c r="DSP34" s="17"/>
      <c r="DSQ34" s="17"/>
      <c r="DSR34" s="17"/>
      <c r="DSS34" s="17"/>
      <c r="DST34" s="17"/>
      <c r="DSU34" s="17"/>
      <c r="DSV34" s="17"/>
      <c r="DSW34" s="17"/>
      <c r="DSX34" s="17"/>
      <c r="DSY34" s="17"/>
      <c r="DSZ34" s="17"/>
      <c r="DTA34" s="17"/>
      <c r="DTB34" s="17"/>
      <c r="DTC34" s="17"/>
      <c r="DTD34" s="17"/>
      <c r="DTE34" s="17"/>
      <c r="DTF34" s="17"/>
      <c r="DTG34" s="17"/>
      <c r="DTH34" s="17"/>
      <c r="DTI34" s="17"/>
      <c r="DTJ34" s="17"/>
      <c r="DTK34" s="17"/>
      <c r="DTL34" s="17"/>
      <c r="DTM34" s="17"/>
      <c r="DTN34" s="17"/>
      <c r="DTO34" s="17"/>
      <c r="DTP34" s="17"/>
      <c r="DTQ34" s="17"/>
      <c r="DTR34" s="17"/>
      <c r="DTS34" s="17"/>
      <c r="DTT34" s="17"/>
      <c r="DTU34" s="17"/>
      <c r="DTV34" s="17"/>
      <c r="DTW34" s="17"/>
      <c r="DTX34" s="17"/>
      <c r="DTY34" s="17"/>
      <c r="DTZ34" s="17"/>
      <c r="DUA34" s="17"/>
      <c r="DUB34" s="17"/>
      <c r="DUC34" s="17"/>
      <c r="DUD34" s="17"/>
      <c r="DUE34" s="17"/>
      <c r="DUF34" s="17"/>
      <c r="DUG34" s="17"/>
      <c r="DUH34" s="17"/>
      <c r="DUI34" s="17"/>
      <c r="DUJ34" s="17"/>
      <c r="DUK34" s="17"/>
      <c r="DUL34" s="17"/>
      <c r="DUM34" s="17"/>
      <c r="DUN34" s="17"/>
      <c r="DUO34" s="17"/>
      <c r="DUP34" s="17"/>
      <c r="DUQ34" s="17"/>
      <c r="DUR34" s="17"/>
      <c r="DUS34" s="17"/>
      <c r="DUT34" s="17"/>
      <c r="DUU34" s="17"/>
      <c r="DUV34" s="17"/>
      <c r="DUW34" s="17"/>
      <c r="DUX34" s="17"/>
      <c r="DUY34" s="17"/>
      <c r="DUZ34" s="17"/>
      <c r="DVA34" s="17"/>
      <c r="DVB34" s="17"/>
      <c r="DVC34" s="17"/>
      <c r="DVD34" s="17"/>
      <c r="DVE34" s="17"/>
      <c r="DVF34" s="17"/>
      <c r="DVG34" s="17"/>
      <c r="DVH34" s="17"/>
      <c r="DVI34" s="17"/>
      <c r="DVJ34" s="17"/>
      <c r="DVK34" s="17"/>
      <c r="DVL34" s="17"/>
      <c r="DVM34" s="17"/>
      <c r="DVN34" s="17"/>
      <c r="DVO34" s="17"/>
      <c r="DVP34" s="17"/>
      <c r="DVQ34" s="17"/>
      <c r="DVR34" s="17"/>
      <c r="DVS34" s="17"/>
      <c r="DVT34" s="17"/>
      <c r="DVU34" s="17"/>
      <c r="DVV34" s="17"/>
      <c r="DVW34" s="17"/>
      <c r="DVX34" s="17"/>
      <c r="DVY34" s="17"/>
      <c r="DVZ34" s="17"/>
      <c r="DWA34" s="17"/>
      <c r="DWB34" s="17"/>
      <c r="DWC34" s="17"/>
      <c r="DWD34" s="17"/>
      <c r="DWE34" s="17"/>
      <c r="DWF34" s="17"/>
      <c r="DWG34" s="17"/>
      <c r="DWH34" s="17"/>
      <c r="DWI34" s="17"/>
      <c r="DWJ34" s="17"/>
      <c r="DWK34" s="17"/>
      <c r="DWL34" s="17"/>
      <c r="DWM34" s="17"/>
      <c r="DWN34" s="17"/>
      <c r="DWO34" s="17"/>
      <c r="DWP34" s="17"/>
      <c r="DWQ34" s="17"/>
      <c r="DWR34" s="17"/>
      <c r="DWS34" s="17"/>
      <c r="DWT34" s="17"/>
      <c r="DWU34" s="17"/>
      <c r="DWV34" s="17"/>
      <c r="DWW34" s="17"/>
      <c r="DWX34" s="17"/>
      <c r="DWY34" s="17"/>
      <c r="DWZ34" s="17"/>
      <c r="DXA34" s="17"/>
      <c r="DXB34" s="17"/>
      <c r="DXC34" s="17"/>
      <c r="DXD34" s="17"/>
      <c r="DXE34" s="17"/>
      <c r="DXF34" s="17"/>
      <c r="DXG34" s="17"/>
      <c r="DXH34" s="17"/>
      <c r="DXI34" s="17"/>
      <c r="DXJ34" s="17"/>
      <c r="DXK34" s="17"/>
      <c r="DXL34" s="17"/>
      <c r="DXM34" s="17"/>
      <c r="DXN34" s="17"/>
      <c r="DXO34" s="17"/>
      <c r="DXP34" s="17"/>
      <c r="DXQ34" s="17"/>
      <c r="DXR34" s="17"/>
      <c r="DXS34" s="17"/>
      <c r="DXT34" s="17"/>
      <c r="DXU34" s="17"/>
      <c r="DXV34" s="17"/>
      <c r="DXW34" s="17"/>
      <c r="DXX34" s="17"/>
      <c r="DXY34" s="17"/>
      <c r="DXZ34" s="17"/>
      <c r="DYA34" s="17"/>
      <c r="DYB34" s="17"/>
      <c r="DYC34" s="17"/>
      <c r="DYD34" s="17"/>
      <c r="DYE34" s="17"/>
      <c r="DYF34" s="17"/>
      <c r="DYG34" s="17"/>
      <c r="DYH34" s="17"/>
      <c r="DYI34" s="17"/>
      <c r="DYJ34" s="17"/>
      <c r="DYK34" s="17"/>
      <c r="DYL34" s="17"/>
      <c r="DYM34" s="17"/>
      <c r="DYN34" s="17"/>
      <c r="DYO34" s="17"/>
      <c r="DYP34" s="17"/>
      <c r="DYQ34" s="17"/>
      <c r="DYR34" s="17"/>
      <c r="DYS34" s="17"/>
      <c r="DYT34" s="17"/>
      <c r="DYU34" s="17"/>
      <c r="DYV34" s="17"/>
      <c r="DYW34" s="17"/>
      <c r="DYX34" s="17"/>
      <c r="DYY34" s="17"/>
      <c r="DYZ34" s="17"/>
      <c r="DZA34" s="17"/>
      <c r="DZB34" s="17"/>
      <c r="DZC34" s="17"/>
      <c r="DZD34" s="17"/>
      <c r="DZE34" s="17"/>
      <c r="DZF34" s="17"/>
      <c r="DZG34" s="17"/>
      <c r="DZH34" s="17"/>
      <c r="DZI34" s="17"/>
      <c r="DZJ34" s="17"/>
      <c r="DZK34" s="17"/>
      <c r="DZL34" s="17"/>
      <c r="DZM34" s="17"/>
      <c r="DZN34" s="17"/>
      <c r="DZO34" s="17"/>
      <c r="DZP34" s="17"/>
      <c r="DZQ34" s="17"/>
      <c r="DZR34" s="17"/>
      <c r="DZS34" s="17"/>
      <c r="DZT34" s="17"/>
      <c r="DZU34" s="17"/>
      <c r="DZV34" s="17"/>
      <c r="DZW34" s="17"/>
      <c r="DZX34" s="17"/>
      <c r="DZY34" s="17"/>
      <c r="DZZ34" s="17"/>
      <c r="EAA34" s="17"/>
      <c r="EAB34" s="17"/>
      <c r="EAC34" s="17"/>
      <c r="EAD34" s="17"/>
      <c r="EAE34" s="17"/>
      <c r="EAF34" s="17"/>
      <c r="EAG34" s="17"/>
      <c r="EAH34" s="17"/>
      <c r="EAI34" s="17"/>
      <c r="EAJ34" s="17"/>
      <c r="EAK34" s="17"/>
      <c r="EAL34" s="17"/>
      <c r="EAM34" s="17"/>
      <c r="EAN34" s="17"/>
      <c r="EAO34" s="17"/>
      <c r="EAP34" s="17"/>
      <c r="EAQ34" s="17"/>
      <c r="EAR34" s="17"/>
      <c r="EAS34" s="17"/>
      <c r="EAT34" s="17"/>
      <c r="EAU34" s="17"/>
      <c r="EAV34" s="17"/>
      <c r="EAW34" s="17"/>
      <c r="EAX34" s="17"/>
      <c r="EAY34" s="17"/>
      <c r="EAZ34" s="17"/>
      <c r="EBA34" s="17"/>
      <c r="EBB34" s="17"/>
      <c r="EBC34" s="17"/>
      <c r="EBD34" s="17"/>
      <c r="EBE34" s="17"/>
      <c r="EBF34" s="17"/>
      <c r="EBG34" s="17"/>
      <c r="EBH34" s="17"/>
      <c r="EBI34" s="17"/>
      <c r="EBJ34" s="17"/>
      <c r="EBK34" s="17"/>
      <c r="EBL34" s="17"/>
      <c r="EBM34" s="17"/>
      <c r="EBN34" s="17"/>
      <c r="EBO34" s="17"/>
      <c r="EBP34" s="17"/>
      <c r="EBQ34" s="17"/>
      <c r="EBR34" s="17"/>
      <c r="EBS34" s="17"/>
      <c r="EBT34" s="17"/>
      <c r="EBU34" s="17"/>
      <c r="EBV34" s="17"/>
      <c r="EBW34" s="17"/>
      <c r="EBX34" s="17"/>
      <c r="EBY34" s="17"/>
      <c r="EBZ34" s="17"/>
      <c r="ECA34" s="17"/>
      <c r="ECB34" s="17"/>
      <c r="ECC34" s="17"/>
      <c r="ECD34" s="17"/>
      <c r="ECE34" s="17"/>
      <c r="ECF34" s="17"/>
      <c r="ECG34" s="17"/>
      <c r="ECH34" s="17"/>
      <c r="ECI34" s="17"/>
      <c r="ECJ34" s="17"/>
      <c r="ECK34" s="17"/>
      <c r="ECL34" s="17"/>
      <c r="ECM34" s="17"/>
      <c r="ECN34" s="17"/>
      <c r="ECO34" s="17"/>
      <c r="ECP34" s="17"/>
      <c r="ECQ34" s="17"/>
      <c r="ECR34" s="17"/>
      <c r="ECS34" s="17"/>
      <c r="ECT34" s="17"/>
      <c r="ECU34" s="17"/>
      <c r="ECV34" s="17"/>
      <c r="ECW34" s="17"/>
      <c r="ECX34" s="17"/>
      <c r="ECY34" s="17"/>
      <c r="ECZ34" s="17"/>
      <c r="EDA34" s="17"/>
      <c r="EDB34" s="17"/>
      <c r="EDC34" s="17"/>
      <c r="EDD34" s="17"/>
      <c r="EDE34" s="17"/>
      <c r="EDF34" s="17"/>
      <c r="EDG34" s="17"/>
      <c r="EDH34" s="17"/>
      <c r="EDI34" s="17"/>
      <c r="EDJ34" s="17"/>
      <c r="EDK34" s="17"/>
      <c r="EDL34" s="17"/>
      <c r="EDM34" s="17"/>
      <c r="EDN34" s="17"/>
      <c r="EDO34" s="17"/>
      <c r="EDP34" s="17"/>
      <c r="EDQ34" s="17"/>
      <c r="EDR34" s="17"/>
      <c r="EDS34" s="17"/>
      <c r="EDT34" s="17"/>
      <c r="EDU34" s="17"/>
      <c r="EDV34" s="17"/>
      <c r="EDW34" s="17"/>
      <c r="EDX34" s="17"/>
      <c r="EDY34" s="17"/>
      <c r="EDZ34" s="17"/>
      <c r="EEA34" s="17"/>
      <c r="EEB34" s="17"/>
      <c r="EEC34" s="17"/>
      <c r="EED34" s="17"/>
      <c r="EEE34" s="17"/>
      <c r="EEF34" s="17"/>
      <c r="EEG34" s="17"/>
      <c r="EEH34" s="17"/>
      <c r="EEI34" s="17"/>
      <c r="EEJ34" s="17"/>
      <c r="EEK34" s="17"/>
      <c r="EEL34" s="17"/>
      <c r="EEM34" s="17"/>
      <c r="EEN34" s="17"/>
      <c r="EEO34" s="17"/>
      <c r="EEP34" s="17"/>
      <c r="EEQ34" s="17"/>
      <c r="EER34" s="17"/>
      <c r="EES34" s="17"/>
      <c r="EET34" s="17"/>
      <c r="EEU34" s="17"/>
      <c r="EEV34" s="17"/>
      <c r="EEW34" s="17"/>
      <c r="EEX34" s="17"/>
      <c r="EEY34" s="17"/>
      <c r="EEZ34" s="17"/>
      <c r="EFA34" s="17"/>
      <c r="EFB34" s="17"/>
      <c r="EFC34" s="17"/>
      <c r="EFD34" s="17"/>
      <c r="EFE34" s="17"/>
      <c r="EFF34" s="17"/>
      <c r="EFG34" s="17"/>
      <c r="EFH34" s="17"/>
      <c r="EFI34" s="17"/>
      <c r="EFJ34" s="17"/>
      <c r="EFK34" s="17"/>
      <c r="EFL34" s="17"/>
      <c r="EFM34" s="17"/>
      <c r="EFN34" s="17"/>
      <c r="EFO34" s="17"/>
      <c r="EFP34" s="17"/>
      <c r="EFQ34" s="17"/>
      <c r="EFR34" s="17"/>
      <c r="EFS34" s="17"/>
      <c r="EFT34" s="17"/>
      <c r="EFU34" s="17"/>
      <c r="EFV34" s="17"/>
      <c r="EFW34" s="17"/>
      <c r="EFX34" s="17"/>
      <c r="EFY34" s="17"/>
      <c r="EFZ34" s="17"/>
      <c r="EGA34" s="17"/>
      <c r="EGB34" s="17"/>
      <c r="EGC34" s="17"/>
      <c r="EGD34" s="17"/>
      <c r="EGE34" s="17"/>
      <c r="EGF34" s="17"/>
      <c r="EGG34" s="17"/>
      <c r="EGH34" s="17"/>
      <c r="EGI34" s="17"/>
      <c r="EGJ34" s="17"/>
      <c r="EGK34" s="17"/>
      <c r="EGL34" s="17"/>
      <c r="EGM34" s="17"/>
      <c r="EGN34" s="17"/>
      <c r="EGO34" s="17"/>
      <c r="EGP34" s="17"/>
      <c r="EGQ34" s="17"/>
      <c r="EGR34" s="17"/>
      <c r="EGS34" s="17"/>
      <c r="EGT34" s="17"/>
      <c r="EGU34" s="17"/>
      <c r="EGV34" s="17"/>
      <c r="EGW34" s="17"/>
      <c r="EGX34" s="17"/>
      <c r="EGY34" s="17"/>
      <c r="EGZ34" s="17"/>
      <c r="EHA34" s="17"/>
      <c r="EHB34" s="17"/>
      <c r="EHC34" s="17"/>
      <c r="EHD34" s="17"/>
      <c r="EHE34" s="17"/>
      <c r="EHF34" s="17"/>
      <c r="EHG34" s="17"/>
      <c r="EHH34" s="17"/>
      <c r="EHI34" s="17"/>
      <c r="EHJ34" s="17"/>
      <c r="EHK34" s="17"/>
      <c r="EHL34" s="17"/>
      <c r="EHM34" s="17"/>
      <c r="EHN34" s="17"/>
      <c r="EHO34" s="17"/>
      <c r="EHP34" s="17"/>
      <c r="EHQ34" s="17"/>
      <c r="EHR34" s="17"/>
      <c r="EHS34" s="17"/>
      <c r="EHT34" s="17"/>
      <c r="EHU34" s="17"/>
      <c r="EHV34" s="17"/>
      <c r="EHW34" s="17"/>
      <c r="EHX34" s="17"/>
      <c r="EHY34" s="17"/>
      <c r="EHZ34" s="17"/>
      <c r="EIA34" s="17"/>
      <c r="EIB34" s="17"/>
      <c r="EIC34" s="17"/>
      <c r="EID34" s="17"/>
      <c r="EIE34" s="17"/>
      <c r="EIF34" s="17"/>
      <c r="EIG34" s="17"/>
      <c r="EIH34" s="17"/>
      <c r="EII34" s="17"/>
      <c r="EIJ34" s="17"/>
      <c r="EIK34" s="17"/>
      <c r="EIL34" s="17"/>
      <c r="EIM34" s="17"/>
      <c r="EIN34" s="17"/>
      <c r="EIO34" s="17"/>
      <c r="EIP34" s="17"/>
      <c r="EIQ34" s="17"/>
      <c r="EIR34" s="17"/>
      <c r="EIS34" s="17"/>
      <c r="EIT34" s="17"/>
      <c r="EIU34" s="17"/>
      <c r="EIV34" s="17"/>
      <c r="EIW34" s="17"/>
      <c r="EIX34" s="17"/>
      <c r="EIY34" s="17"/>
      <c r="EIZ34" s="17"/>
      <c r="EJA34" s="17"/>
      <c r="EJB34" s="17"/>
      <c r="EJC34" s="17"/>
      <c r="EJD34" s="17"/>
      <c r="EJE34" s="17"/>
      <c r="EJF34" s="17"/>
      <c r="EJG34" s="17"/>
      <c r="EJH34" s="17"/>
      <c r="EJI34" s="17"/>
      <c r="EJJ34" s="17"/>
      <c r="EJK34" s="17"/>
      <c r="EJL34" s="17"/>
      <c r="EJM34" s="17"/>
      <c r="EJN34" s="17"/>
      <c r="EJO34" s="17"/>
      <c r="EJP34" s="17"/>
      <c r="EJQ34" s="17"/>
      <c r="EJR34" s="17"/>
      <c r="EJS34" s="17"/>
      <c r="EJT34" s="17"/>
      <c r="EJU34" s="17"/>
      <c r="EJV34" s="17"/>
      <c r="EJW34" s="17"/>
      <c r="EJX34" s="17"/>
      <c r="EJY34" s="17"/>
      <c r="EJZ34" s="17"/>
      <c r="EKA34" s="17"/>
      <c r="EKB34" s="17"/>
      <c r="EKC34" s="17"/>
      <c r="EKD34" s="17"/>
      <c r="EKE34" s="17"/>
      <c r="EKF34" s="17"/>
      <c r="EKG34" s="17"/>
      <c r="EKH34" s="17"/>
      <c r="EKI34" s="17"/>
      <c r="EKJ34" s="17"/>
      <c r="EKK34" s="17"/>
      <c r="EKL34" s="17"/>
      <c r="EKM34" s="17"/>
      <c r="EKN34" s="17"/>
      <c r="EKO34" s="17"/>
      <c r="EKP34" s="17"/>
      <c r="EKQ34" s="17"/>
      <c r="EKR34" s="17"/>
      <c r="EKS34" s="17"/>
      <c r="EKT34" s="17"/>
      <c r="EKU34" s="17"/>
      <c r="EKV34" s="17"/>
      <c r="EKW34" s="17"/>
      <c r="EKX34" s="17"/>
      <c r="EKY34" s="17"/>
      <c r="EKZ34" s="17"/>
      <c r="ELA34" s="17"/>
      <c r="ELB34" s="17"/>
      <c r="ELC34" s="17"/>
      <c r="ELD34" s="17"/>
      <c r="ELE34" s="17"/>
      <c r="ELF34" s="17"/>
      <c r="ELG34" s="17"/>
      <c r="ELH34" s="17"/>
      <c r="ELI34" s="17"/>
      <c r="ELJ34" s="17"/>
      <c r="ELK34" s="17"/>
      <c r="ELL34" s="17"/>
      <c r="ELM34" s="17"/>
      <c r="ELN34" s="17"/>
      <c r="ELO34" s="17"/>
      <c r="ELP34" s="17"/>
      <c r="ELQ34" s="17"/>
      <c r="ELR34" s="17"/>
      <c r="ELS34" s="17"/>
      <c r="ELT34" s="17"/>
      <c r="ELU34" s="17"/>
      <c r="ELV34" s="17"/>
      <c r="ELW34" s="17"/>
      <c r="ELX34" s="17"/>
      <c r="ELY34" s="17"/>
      <c r="ELZ34" s="17"/>
      <c r="EMA34" s="17"/>
      <c r="EMB34" s="17"/>
      <c r="EMC34" s="17"/>
      <c r="EMD34" s="17"/>
      <c r="EME34" s="17"/>
      <c r="EMF34" s="17"/>
      <c r="EMG34" s="17"/>
      <c r="EMH34" s="17"/>
      <c r="EMI34" s="17"/>
      <c r="EMJ34" s="17"/>
      <c r="EMK34" s="17"/>
      <c r="EML34" s="17"/>
      <c r="EMM34" s="17"/>
      <c r="EMN34" s="17"/>
      <c r="EMO34" s="17"/>
      <c r="EMP34" s="17"/>
      <c r="EMQ34" s="17"/>
      <c r="EMR34" s="17"/>
      <c r="EMS34" s="17"/>
      <c r="EMT34" s="17"/>
      <c r="EMU34" s="17"/>
      <c r="EMV34" s="17"/>
      <c r="EMW34" s="17"/>
      <c r="EMX34" s="17"/>
      <c r="EMY34" s="17"/>
      <c r="EMZ34" s="17"/>
      <c r="ENA34" s="17"/>
      <c r="ENB34" s="17"/>
      <c r="ENC34" s="17"/>
      <c r="END34" s="17"/>
      <c r="ENE34" s="17"/>
      <c r="ENF34" s="17"/>
      <c r="ENG34" s="17"/>
      <c r="ENH34" s="17"/>
      <c r="ENI34" s="17"/>
      <c r="ENJ34" s="17"/>
      <c r="ENK34" s="17"/>
      <c r="ENL34" s="17"/>
      <c r="ENM34" s="17"/>
      <c r="ENN34" s="17"/>
      <c r="ENO34" s="17"/>
      <c r="ENP34" s="17"/>
      <c r="ENQ34" s="17"/>
      <c r="ENR34" s="17"/>
      <c r="ENS34" s="17"/>
      <c r="ENT34" s="17"/>
      <c r="ENU34" s="17"/>
      <c r="ENV34" s="17"/>
      <c r="ENW34" s="17"/>
      <c r="ENX34" s="17"/>
      <c r="ENY34" s="17"/>
      <c r="ENZ34" s="17"/>
      <c r="EOA34" s="17"/>
      <c r="EOB34" s="17"/>
      <c r="EOC34" s="17"/>
      <c r="EOD34" s="17"/>
      <c r="EOE34" s="17"/>
      <c r="EOF34" s="17"/>
      <c r="EOG34" s="17"/>
      <c r="EOH34" s="17"/>
      <c r="EOI34" s="17"/>
      <c r="EOJ34" s="17"/>
      <c r="EOK34" s="17"/>
      <c r="EOL34" s="17"/>
      <c r="EOM34" s="17"/>
      <c r="EON34" s="17"/>
      <c r="EOO34" s="17"/>
      <c r="EOP34" s="17"/>
      <c r="EOQ34" s="17"/>
      <c r="EOR34" s="17"/>
      <c r="EOS34" s="17"/>
      <c r="EOT34" s="17"/>
      <c r="EOU34" s="17"/>
      <c r="EOV34" s="17"/>
      <c r="EOW34" s="17"/>
      <c r="EOX34" s="17"/>
      <c r="EOY34" s="17"/>
      <c r="EOZ34" s="17"/>
      <c r="EPA34" s="17"/>
      <c r="EPB34" s="17"/>
      <c r="EPC34" s="17"/>
      <c r="EPD34" s="17"/>
      <c r="EPE34" s="17"/>
      <c r="EPF34" s="17"/>
      <c r="EPG34" s="17"/>
      <c r="EPH34" s="17"/>
      <c r="EPI34" s="17"/>
      <c r="EPJ34" s="17"/>
      <c r="EPK34" s="17"/>
      <c r="EPL34" s="17"/>
      <c r="EPM34" s="17"/>
      <c r="EPN34" s="17"/>
      <c r="EPO34" s="17"/>
      <c r="EPP34" s="17"/>
      <c r="EPQ34" s="17"/>
      <c r="EPR34" s="17"/>
      <c r="EPS34" s="17"/>
      <c r="EPT34" s="17"/>
      <c r="EPU34" s="17"/>
      <c r="EPV34" s="17"/>
      <c r="EPW34" s="17"/>
      <c r="EPX34" s="17"/>
      <c r="EPY34" s="17"/>
      <c r="EPZ34" s="17"/>
      <c r="EQA34" s="17"/>
      <c r="EQB34" s="17"/>
      <c r="EQC34" s="17"/>
      <c r="EQD34" s="17"/>
      <c r="EQE34" s="17"/>
      <c r="EQF34" s="17"/>
      <c r="EQG34" s="17"/>
      <c r="EQH34" s="17"/>
      <c r="EQI34" s="17"/>
      <c r="EQJ34" s="17"/>
      <c r="EQK34" s="17"/>
      <c r="EQL34" s="17"/>
      <c r="EQM34" s="17"/>
      <c r="EQN34" s="17"/>
      <c r="EQO34" s="17"/>
      <c r="EQP34" s="17"/>
      <c r="EQQ34" s="17"/>
      <c r="EQR34" s="17"/>
      <c r="EQS34" s="17"/>
      <c r="EQT34" s="17"/>
      <c r="EQU34" s="17"/>
      <c r="EQV34" s="17"/>
      <c r="EQW34" s="17"/>
      <c r="EQX34" s="17"/>
      <c r="EQY34" s="17"/>
      <c r="EQZ34" s="17"/>
      <c r="ERA34" s="17"/>
      <c r="ERB34" s="17"/>
      <c r="ERC34" s="17"/>
      <c r="ERD34" s="17"/>
      <c r="ERE34" s="17"/>
      <c r="ERF34" s="17"/>
      <c r="ERG34" s="17"/>
      <c r="ERH34" s="17"/>
      <c r="ERI34" s="17"/>
      <c r="ERJ34" s="17"/>
      <c r="ERK34" s="17"/>
      <c r="ERL34" s="17"/>
      <c r="ERM34" s="17"/>
      <c r="ERN34" s="17"/>
      <c r="ERO34" s="17"/>
      <c r="ERP34" s="17"/>
      <c r="ERQ34" s="17"/>
      <c r="ERR34" s="17"/>
      <c r="ERS34" s="17"/>
      <c r="ERT34" s="17"/>
      <c r="ERU34" s="17"/>
      <c r="ERV34" s="17"/>
      <c r="ERW34" s="17"/>
      <c r="ERX34" s="17"/>
      <c r="ERY34" s="17"/>
      <c r="ERZ34" s="17"/>
      <c r="ESA34" s="17"/>
      <c r="ESB34" s="17"/>
      <c r="ESC34" s="17"/>
      <c r="ESD34" s="17"/>
      <c r="ESE34" s="17"/>
      <c r="ESF34" s="17"/>
      <c r="ESG34" s="17"/>
      <c r="ESH34" s="17"/>
      <c r="ESI34" s="17"/>
      <c r="ESJ34" s="17"/>
      <c r="ESK34" s="17"/>
      <c r="ESL34" s="17"/>
      <c r="ESM34" s="17"/>
      <c r="ESN34" s="17"/>
      <c r="ESO34" s="17"/>
      <c r="ESP34" s="17"/>
      <c r="ESQ34" s="17"/>
      <c r="ESR34" s="17"/>
      <c r="ESS34" s="17"/>
      <c r="EST34" s="17"/>
      <c r="ESU34" s="17"/>
      <c r="ESV34" s="17"/>
      <c r="ESW34" s="17"/>
      <c r="ESX34" s="17"/>
      <c r="ESY34" s="17"/>
      <c r="ESZ34" s="17"/>
      <c r="ETA34" s="17"/>
      <c r="ETB34" s="17"/>
      <c r="ETC34" s="17"/>
      <c r="ETD34" s="17"/>
      <c r="ETE34" s="17"/>
      <c r="ETF34" s="17"/>
      <c r="ETG34" s="17"/>
      <c r="ETH34" s="17"/>
      <c r="ETI34" s="17"/>
      <c r="ETJ34" s="17"/>
      <c r="ETK34" s="17"/>
      <c r="ETL34" s="17"/>
      <c r="ETM34" s="17"/>
      <c r="ETN34" s="17"/>
      <c r="ETO34" s="17"/>
      <c r="ETP34" s="17"/>
      <c r="ETQ34" s="17"/>
      <c r="ETR34" s="17"/>
      <c r="ETS34" s="17"/>
      <c r="ETT34" s="17"/>
      <c r="ETU34" s="17"/>
      <c r="ETV34" s="17"/>
      <c r="ETW34" s="17"/>
      <c r="ETX34" s="17"/>
      <c r="ETY34" s="17"/>
      <c r="ETZ34" s="17"/>
      <c r="EUA34" s="17"/>
      <c r="EUB34" s="17"/>
      <c r="EUC34" s="17"/>
      <c r="EUD34" s="17"/>
      <c r="EUE34" s="17"/>
      <c r="EUF34" s="17"/>
      <c r="EUG34" s="17"/>
      <c r="EUH34" s="17"/>
      <c r="EUI34" s="17"/>
      <c r="EUJ34" s="17"/>
      <c r="EUK34" s="17"/>
      <c r="EUL34" s="17"/>
      <c r="EUM34" s="17"/>
      <c r="EUN34" s="17"/>
      <c r="EUO34" s="17"/>
      <c r="EUP34" s="17"/>
      <c r="EUQ34" s="17"/>
      <c r="EUR34" s="17"/>
      <c r="EUS34" s="17"/>
      <c r="EUT34" s="17"/>
      <c r="EUU34" s="17"/>
      <c r="EUV34" s="17"/>
      <c r="EUW34" s="17"/>
      <c r="EUX34" s="17"/>
      <c r="EUY34" s="17"/>
      <c r="EUZ34" s="17"/>
      <c r="EVA34" s="17"/>
      <c r="EVB34" s="17"/>
      <c r="EVC34" s="17"/>
      <c r="EVD34" s="17"/>
      <c r="EVE34" s="17"/>
      <c r="EVF34" s="17"/>
      <c r="EVG34" s="17"/>
      <c r="EVH34" s="17"/>
      <c r="EVI34" s="17"/>
      <c r="EVJ34" s="17"/>
      <c r="EVK34" s="17"/>
      <c r="EVL34" s="17"/>
      <c r="EVM34" s="17"/>
      <c r="EVN34" s="17"/>
      <c r="EVO34" s="17"/>
      <c r="EVP34" s="17"/>
      <c r="EVQ34" s="17"/>
      <c r="EVR34" s="17"/>
      <c r="EVS34" s="17"/>
      <c r="EVT34" s="17"/>
      <c r="EVU34" s="17"/>
      <c r="EVV34" s="17"/>
      <c r="EVW34" s="17"/>
      <c r="EVX34" s="17"/>
      <c r="EVY34" s="17"/>
      <c r="EVZ34" s="17"/>
      <c r="EWA34" s="17"/>
      <c r="EWB34" s="17"/>
      <c r="EWC34" s="17"/>
      <c r="EWD34" s="17"/>
      <c r="EWE34" s="17"/>
      <c r="EWF34" s="17"/>
      <c r="EWG34" s="17"/>
      <c r="EWH34" s="17"/>
      <c r="EWI34" s="17"/>
      <c r="EWJ34" s="17"/>
      <c r="EWK34" s="17"/>
      <c r="EWL34" s="17"/>
      <c r="EWM34" s="17"/>
      <c r="EWN34" s="17"/>
      <c r="EWO34" s="17"/>
      <c r="EWP34" s="17"/>
      <c r="EWQ34" s="17"/>
      <c r="EWR34" s="17"/>
      <c r="EWS34" s="17"/>
      <c r="EWT34" s="17"/>
      <c r="EWU34" s="17"/>
      <c r="EWV34" s="17"/>
      <c r="EWW34" s="17"/>
      <c r="EWX34" s="17"/>
      <c r="EWY34" s="17"/>
      <c r="EWZ34" s="17"/>
      <c r="EXA34" s="17"/>
      <c r="EXB34" s="17"/>
      <c r="EXC34" s="17"/>
      <c r="EXD34" s="17"/>
      <c r="EXE34" s="17"/>
      <c r="EXF34" s="17"/>
      <c r="EXG34" s="17"/>
      <c r="EXH34" s="17"/>
      <c r="EXI34" s="17"/>
      <c r="EXJ34" s="17"/>
      <c r="EXK34" s="17"/>
      <c r="EXL34" s="17"/>
      <c r="EXM34" s="17"/>
      <c r="EXN34" s="17"/>
      <c r="EXO34" s="17"/>
      <c r="EXP34" s="17"/>
      <c r="EXQ34" s="17"/>
      <c r="EXR34" s="17"/>
      <c r="EXS34" s="17"/>
      <c r="EXT34" s="17"/>
      <c r="EXU34" s="17"/>
      <c r="EXV34" s="17"/>
      <c r="EXW34" s="17"/>
      <c r="EXX34" s="17"/>
      <c r="EXY34" s="17"/>
      <c r="EXZ34" s="17"/>
      <c r="EYA34" s="17"/>
      <c r="EYB34" s="17"/>
      <c r="EYC34" s="17"/>
      <c r="EYD34" s="17"/>
      <c r="EYE34" s="17"/>
      <c r="EYF34" s="17"/>
      <c r="EYG34" s="17"/>
      <c r="EYH34" s="17"/>
      <c r="EYI34" s="17"/>
      <c r="EYJ34" s="17"/>
      <c r="EYK34" s="17"/>
      <c r="EYL34" s="17"/>
      <c r="EYM34" s="17"/>
      <c r="EYN34" s="17"/>
      <c r="EYO34" s="17"/>
      <c r="EYP34" s="17"/>
      <c r="EYQ34" s="17"/>
      <c r="EYR34" s="17"/>
      <c r="EYS34" s="17"/>
      <c r="EYT34" s="17"/>
      <c r="EYU34" s="17"/>
      <c r="EYV34" s="17"/>
      <c r="EYW34" s="17"/>
      <c r="EYX34" s="17"/>
      <c r="EYY34" s="17"/>
      <c r="EYZ34" s="17"/>
      <c r="EZA34" s="17"/>
      <c r="EZB34" s="17"/>
      <c r="EZC34" s="17"/>
      <c r="EZD34" s="17"/>
      <c r="EZE34" s="17"/>
      <c r="EZF34" s="17"/>
      <c r="EZG34" s="17"/>
      <c r="EZH34" s="17"/>
      <c r="EZI34" s="17"/>
      <c r="EZJ34" s="17"/>
      <c r="EZK34" s="17"/>
      <c r="EZL34" s="17"/>
      <c r="EZM34" s="17"/>
      <c r="EZN34" s="17"/>
      <c r="EZO34" s="17"/>
      <c r="EZP34" s="17"/>
      <c r="EZQ34" s="17"/>
      <c r="EZR34" s="17"/>
      <c r="EZS34" s="17"/>
      <c r="EZT34" s="17"/>
      <c r="EZU34" s="17"/>
      <c r="EZV34" s="17"/>
      <c r="EZW34" s="17"/>
      <c r="EZX34" s="17"/>
      <c r="EZY34" s="17"/>
      <c r="EZZ34" s="17"/>
      <c r="FAA34" s="17"/>
      <c r="FAB34" s="17"/>
      <c r="FAC34" s="17"/>
      <c r="FAD34" s="17"/>
      <c r="FAE34" s="17"/>
      <c r="FAF34" s="17"/>
      <c r="FAG34" s="17"/>
      <c r="FAH34" s="17"/>
      <c r="FAI34" s="17"/>
      <c r="FAJ34" s="17"/>
      <c r="FAK34" s="17"/>
      <c r="FAL34" s="17"/>
      <c r="FAM34" s="17"/>
      <c r="FAN34" s="17"/>
      <c r="FAO34" s="17"/>
      <c r="FAP34" s="17"/>
      <c r="FAQ34" s="17"/>
      <c r="FAR34" s="17"/>
      <c r="FAS34" s="17"/>
      <c r="FAT34" s="17"/>
      <c r="FAU34" s="17"/>
      <c r="FAV34" s="17"/>
      <c r="FAW34" s="17"/>
      <c r="FAX34" s="17"/>
      <c r="FAY34" s="17"/>
      <c r="FAZ34" s="17"/>
      <c r="FBA34" s="17"/>
      <c r="FBB34" s="17"/>
      <c r="FBC34" s="17"/>
      <c r="FBD34" s="17"/>
      <c r="FBE34" s="17"/>
      <c r="FBF34" s="17"/>
      <c r="FBG34" s="17"/>
      <c r="FBH34" s="17"/>
      <c r="FBI34" s="17"/>
      <c r="FBJ34" s="17"/>
      <c r="FBK34" s="17"/>
      <c r="FBL34" s="17"/>
      <c r="FBM34" s="17"/>
      <c r="FBN34" s="17"/>
      <c r="FBO34" s="17"/>
      <c r="FBP34" s="17"/>
      <c r="FBQ34" s="17"/>
      <c r="FBR34" s="17"/>
      <c r="FBS34" s="17"/>
      <c r="FBT34" s="17"/>
      <c r="FBU34" s="17"/>
      <c r="FBV34" s="17"/>
      <c r="FBW34" s="17"/>
      <c r="FBX34" s="17"/>
      <c r="FBY34" s="17"/>
      <c r="FBZ34" s="17"/>
      <c r="FCA34" s="17"/>
      <c r="FCB34" s="17"/>
      <c r="FCC34" s="17"/>
      <c r="FCD34" s="17"/>
      <c r="FCE34" s="17"/>
      <c r="FCF34" s="17"/>
      <c r="FCG34" s="17"/>
      <c r="FCH34" s="17"/>
      <c r="FCI34" s="17"/>
      <c r="FCJ34" s="17"/>
      <c r="FCK34" s="17"/>
      <c r="FCL34" s="17"/>
      <c r="FCM34" s="17"/>
      <c r="FCN34" s="17"/>
      <c r="FCO34" s="17"/>
      <c r="FCP34" s="17"/>
      <c r="FCQ34" s="17"/>
      <c r="FCR34" s="17"/>
      <c r="FCS34" s="17"/>
      <c r="FCT34" s="17"/>
      <c r="FCU34" s="17"/>
      <c r="FCV34" s="17"/>
      <c r="FCW34" s="17"/>
      <c r="FCX34" s="17"/>
      <c r="FCY34" s="17"/>
      <c r="FCZ34" s="17"/>
      <c r="FDA34" s="17"/>
      <c r="FDB34" s="17"/>
      <c r="FDC34" s="17"/>
      <c r="FDD34" s="17"/>
      <c r="FDE34" s="17"/>
      <c r="FDF34" s="17"/>
      <c r="FDG34" s="17"/>
      <c r="FDH34" s="17"/>
      <c r="FDI34" s="17"/>
      <c r="FDJ34" s="17"/>
      <c r="FDK34" s="17"/>
      <c r="FDL34" s="17"/>
      <c r="FDM34" s="17"/>
      <c r="FDN34" s="17"/>
      <c r="FDO34" s="17"/>
      <c r="FDP34" s="17"/>
      <c r="FDQ34" s="17"/>
      <c r="FDR34" s="17"/>
      <c r="FDS34" s="17"/>
      <c r="FDT34" s="17"/>
      <c r="FDU34" s="17"/>
      <c r="FDV34" s="17"/>
      <c r="FDW34" s="17"/>
      <c r="FDX34" s="17"/>
      <c r="FDY34" s="17"/>
      <c r="FDZ34" s="17"/>
      <c r="FEA34" s="17"/>
      <c r="FEB34" s="17"/>
      <c r="FEC34" s="17"/>
      <c r="FED34" s="17"/>
      <c r="FEE34" s="17"/>
      <c r="FEF34" s="17"/>
      <c r="FEG34" s="17"/>
      <c r="FEH34" s="17"/>
      <c r="FEI34" s="17"/>
      <c r="FEJ34" s="17"/>
      <c r="FEK34" s="17"/>
      <c r="FEL34" s="17"/>
      <c r="FEM34" s="17"/>
      <c r="FEN34" s="17"/>
      <c r="FEO34" s="17"/>
      <c r="FEP34" s="17"/>
      <c r="FEQ34" s="17"/>
      <c r="FER34" s="17"/>
      <c r="FES34" s="17"/>
      <c r="FET34" s="17"/>
      <c r="FEU34" s="17"/>
      <c r="FEV34" s="17"/>
      <c r="FEW34" s="17"/>
      <c r="FEX34" s="17"/>
      <c r="FEY34" s="17"/>
      <c r="FEZ34" s="17"/>
      <c r="FFA34" s="17"/>
      <c r="FFB34" s="17"/>
      <c r="FFC34" s="17"/>
      <c r="FFD34" s="17"/>
      <c r="FFE34" s="17"/>
      <c r="FFF34" s="17"/>
      <c r="FFG34" s="17"/>
      <c r="FFH34" s="17"/>
      <c r="FFI34" s="17"/>
      <c r="FFJ34" s="17"/>
      <c r="FFK34" s="17"/>
      <c r="FFL34" s="17"/>
      <c r="FFM34" s="17"/>
      <c r="FFN34" s="17"/>
      <c r="FFO34" s="17"/>
      <c r="FFP34" s="17"/>
      <c r="FFQ34" s="17"/>
      <c r="FFR34" s="17"/>
      <c r="FFS34" s="17"/>
      <c r="FFT34" s="17"/>
      <c r="FFU34" s="17"/>
      <c r="FFV34" s="17"/>
      <c r="FFW34" s="17"/>
      <c r="FFX34" s="17"/>
      <c r="FFY34" s="17"/>
      <c r="FFZ34" s="17"/>
      <c r="FGA34" s="17"/>
      <c r="FGB34" s="17"/>
      <c r="FGC34" s="17"/>
      <c r="FGD34" s="17"/>
      <c r="FGE34" s="17"/>
      <c r="FGF34" s="17"/>
      <c r="FGG34" s="17"/>
      <c r="FGH34" s="17"/>
      <c r="FGI34" s="17"/>
      <c r="FGJ34" s="17"/>
      <c r="FGK34" s="17"/>
      <c r="FGL34" s="17"/>
      <c r="FGM34" s="17"/>
      <c r="FGN34" s="17"/>
      <c r="FGO34" s="17"/>
      <c r="FGP34" s="17"/>
      <c r="FGQ34" s="17"/>
      <c r="FGR34" s="17"/>
      <c r="FGS34" s="17"/>
      <c r="FGT34" s="17"/>
      <c r="FGU34" s="17"/>
      <c r="FGV34" s="17"/>
      <c r="FGW34" s="17"/>
      <c r="FGX34" s="17"/>
      <c r="FGY34" s="17"/>
      <c r="FGZ34" s="17"/>
      <c r="FHA34" s="17"/>
      <c r="FHB34" s="17"/>
      <c r="FHC34" s="17"/>
      <c r="FHD34" s="17"/>
      <c r="FHE34" s="17"/>
      <c r="FHF34" s="17"/>
      <c r="FHG34" s="17"/>
      <c r="FHH34" s="17"/>
      <c r="FHI34" s="17"/>
      <c r="FHJ34" s="17"/>
      <c r="FHK34" s="17"/>
      <c r="FHL34" s="17"/>
      <c r="FHM34" s="17"/>
      <c r="FHN34" s="17"/>
      <c r="FHO34" s="17"/>
      <c r="FHP34" s="17"/>
      <c r="FHQ34" s="17"/>
      <c r="FHR34" s="17"/>
      <c r="FHS34" s="17"/>
      <c r="FHT34" s="17"/>
      <c r="FHU34" s="17"/>
      <c r="FHV34" s="17"/>
      <c r="FHW34" s="17"/>
      <c r="FHX34" s="17"/>
      <c r="FHY34" s="17"/>
      <c r="FHZ34" s="17"/>
      <c r="FIA34" s="17"/>
      <c r="FIB34" s="17"/>
      <c r="FIC34" s="17"/>
      <c r="FID34" s="17"/>
      <c r="FIE34" s="17"/>
      <c r="FIF34" s="17"/>
      <c r="FIG34" s="17"/>
      <c r="FIH34" s="17"/>
      <c r="FII34" s="17"/>
      <c r="FIJ34" s="17"/>
      <c r="FIK34" s="17"/>
      <c r="FIL34" s="17"/>
      <c r="FIM34" s="17"/>
      <c r="FIN34" s="17"/>
      <c r="FIO34" s="17"/>
      <c r="FIP34" s="17"/>
      <c r="FIQ34" s="17"/>
      <c r="FIR34" s="17"/>
      <c r="FIS34" s="17"/>
      <c r="FIT34" s="17"/>
      <c r="FIU34" s="17"/>
      <c r="FIV34" s="17"/>
      <c r="FIW34" s="17"/>
      <c r="FIX34" s="17"/>
      <c r="FIY34" s="17"/>
      <c r="FIZ34" s="17"/>
      <c r="FJA34" s="17"/>
      <c r="FJB34" s="17"/>
      <c r="FJC34" s="17"/>
      <c r="FJD34" s="17"/>
      <c r="FJE34" s="17"/>
      <c r="FJF34" s="17"/>
      <c r="FJG34" s="17"/>
      <c r="FJH34" s="17"/>
      <c r="FJI34" s="17"/>
      <c r="FJJ34" s="17"/>
      <c r="FJK34" s="17"/>
      <c r="FJL34" s="17"/>
      <c r="FJM34" s="17"/>
      <c r="FJN34" s="17"/>
      <c r="FJO34" s="17"/>
      <c r="FJP34" s="17"/>
      <c r="FJQ34" s="17"/>
      <c r="FJR34" s="17"/>
      <c r="FJS34" s="17"/>
      <c r="FJT34" s="17"/>
      <c r="FJU34" s="17"/>
      <c r="FJV34" s="17"/>
      <c r="FJW34" s="17"/>
      <c r="FJX34" s="17"/>
      <c r="FJY34" s="17"/>
      <c r="FJZ34" s="17"/>
      <c r="FKA34" s="17"/>
      <c r="FKB34" s="17"/>
      <c r="FKC34" s="17"/>
      <c r="FKD34" s="17"/>
      <c r="FKE34" s="17"/>
      <c r="FKF34" s="17"/>
      <c r="FKG34" s="17"/>
      <c r="FKH34" s="17"/>
      <c r="FKI34" s="17"/>
      <c r="FKJ34" s="17"/>
      <c r="FKK34" s="17"/>
      <c r="FKL34" s="17"/>
      <c r="FKM34" s="17"/>
      <c r="FKN34" s="17"/>
      <c r="FKO34" s="17"/>
      <c r="FKP34" s="17"/>
      <c r="FKQ34" s="17"/>
      <c r="FKR34" s="17"/>
      <c r="FKS34" s="17"/>
      <c r="FKT34" s="17"/>
      <c r="FKU34" s="17"/>
      <c r="FKV34" s="17"/>
      <c r="FKW34" s="17"/>
      <c r="FKX34" s="17"/>
      <c r="FKY34" s="17"/>
      <c r="FKZ34" s="17"/>
      <c r="FLA34" s="17"/>
      <c r="FLB34" s="17"/>
      <c r="FLC34" s="17"/>
      <c r="FLD34" s="17"/>
      <c r="FLE34" s="17"/>
      <c r="FLF34" s="17"/>
      <c r="FLG34" s="17"/>
      <c r="FLH34" s="17"/>
      <c r="FLI34" s="17"/>
      <c r="FLJ34" s="17"/>
      <c r="FLK34" s="17"/>
      <c r="FLL34" s="17"/>
      <c r="FLM34" s="17"/>
      <c r="FLN34" s="17"/>
      <c r="FLO34" s="17"/>
      <c r="FLP34" s="17"/>
      <c r="FLQ34" s="17"/>
      <c r="FLR34" s="17"/>
      <c r="FLS34" s="17"/>
      <c r="FLT34" s="17"/>
      <c r="FLU34" s="17"/>
      <c r="FLV34" s="17"/>
      <c r="FLW34" s="17"/>
      <c r="FLX34" s="17"/>
      <c r="FLY34" s="17"/>
      <c r="FLZ34" s="17"/>
      <c r="FMA34" s="17"/>
      <c r="FMB34" s="17"/>
      <c r="FMC34" s="17"/>
      <c r="FMD34" s="17"/>
      <c r="FME34" s="17"/>
      <c r="FMF34" s="17"/>
      <c r="FMG34" s="17"/>
      <c r="FMH34" s="17"/>
      <c r="FMI34" s="17"/>
      <c r="FMJ34" s="17"/>
      <c r="FMK34" s="17"/>
      <c r="FML34" s="17"/>
      <c r="FMM34" s="17"/>
      <c r="FMN34" s="17"/>
      <c r="FMO34" s="17"/>
      <c r="FMP34" s="17"/>
      <c r="FMQ34" s="17"/>
      <c r="FMR34" s="17"/>
      <c r="FMS34" s="17"/>
      <c r="FMT34" s="17"/>
      <c r="FMU34" s="17"/>
      <c r="FMV34" s="17"/>
      <c r="FMW34" s="17"/>
      <c r="FMX34" s="17"/>
      <c r="FMY34" s="17"/>
      <c r="FMZ34" s="17"/>
      <c r="FNA34" s="17"/>
      <c r="FNB34" s="17"/>
      <c r="FNC34" s="17"/>
      <c r="FND34" s="17"/>
      <c r="FNE34" s="17"/>
      <c r="FNF34" s="17"/>
      <c r="FNG34" s="17"/>
      <c r="FNH34" s="17"/>
      <c r="FNI34" s="17"/>
      <c r="FNJ34" s="17"/>
      <c r="FNK34" s="17"/>
      <c r="FNL34" s="17"/>
      <c r="FNM34" s="17"/>
      <c r="FNN34" s="17"/>
      <c r="FNO34" s="17"/>
      <c r="FNP34" s="17"/>
      <c r="FNQ34" s="17"/>
      <c r="FNR34" s="17"/>
      <c r="FNS34" s="17"/>
      <c r="FNT34" s="17"/>
      <c r="FNU34" s="17"/>
      <c r="FNV34" s="17"/>
      <c r="FNW34" s="17"/>
      <c r="FNX34" s="17"/>
      <c r="FNY34" s="17"/>
      <c r="FNZ34" s="17"/>
      <c r="FOA34" s="17"/>
      <c r="FOB34" s="17"/>
      <c r="FOC34" s="17"/>
      <c r="FOD34" s="17"/>
      <c r="FOE34" s="17"/>
      <c r="FOF34" s="17"/>
      <c r="FOG34" s="17"/>
      <c r="FOH34" s="17"/>
      <c r="FOI34" s="17"/>
      <c r="FOJ34" s="17"/>
      <c r="FOK34" s="17"/>
      <c r="FOL34" s="17"/>
      <c r="FOM34" s="17"/>
      <c r="FON34" s="17"/>
      <c r="FOO34" s="17"/>
      <c r="FOP34" s="17"/>
      <c r="FOQ34" s="17"/>
      <c r="FOR34" s="17"/>
      <c r="FOS34" s="17"/>
      <c r="FOT34" s="17"/>
      <c r="FOU34" s="17"/>
      <c r="FOV34" s="17"/>
      <c r="FOW34" s="17"/>
      <c r="FOX34" s="17"/>
      <c r="FOY34" s="17"/>
      <c r="FOZ34" s="17"/>
      <c r="FPA34" s="17"/>
      <c r="FPB34" s="17"/>
      <c r="FPC34" s="17"/>
      <c r="FPD34" s="17"/>
      <c r="FPE34" s="17"/>
      <c r="FPF34" s="17"/>
      <c r="FPG34" s="17"/>
      <c r="FPH34" s="17"/>
      <c r="FPI34" s="17"/>
      <c r="FPJ34" s="17"/>
      <c r="FPK34" s="17"/>
      <c r="FPL34" s="17"/>
      <c r="FPM34" s="17"/>
      <c r="FPN34" s="17"/>
      <c r="FPO34" s="17"/>
      <c r="FPP34" s="17"/>
      <c r="FPQ34" s="17"/>
      <c r="FPR34" s="17"/>
      <c r="FPS34" s="17"/>
      <c r="FPT34" s="17"/>
      <c r="FPU34" s="17"/>
      <c r="FPV34" s="17"/>
      <c r="FPW34" s="17"/>
      <c r="FPX34" s="17"/>
      <c r="FPY34" s="17"/>
      <c r="FPZ34" s="17"/>
      <c r="FQA34" s="17"/>
      <c r="FQB34" s="17"/>
      <c r="FQC34" s="17"/>
      <c r="FQD34" s="17"/>
      <c r="FQE34" s="17"/>
      <c r="FQF34" s="17"/>
      <c r="FQG34" s="17"/>
      <c r="FQH34" s="17"/>
      <c r="FQI34" s="17"/>
      <c r="FQJ34" s="17"/>
      <c r="FQK34" s="17"/>
      <c r="FQL34" s="17"/>
      <c r="FQM34" s="17"/>
      <c r="FQN34" s="17"/>
      <c r="FQO34" s="17"/>
      <c r="FQP34" s="17"/>
      <c r="FQQ34" s="17"/>
      <c r="FQR34" s="17"/>
      <c r="FQS34" s="17"/>
      <c r="FQT34" s="17"/>
      <c r="FQU34" s="17"/>
      <c r="FQV34" s="17"/>
      <c r="FQW34" s="17"/>
      <c r="FQX34" s="17"/>
      <c r="FQY34" s="17"/>
      <c r="FQZ34" s="17"/>
      <c r="FRA34" s="17"/>
      <c r="FRB34" s="17"/>
      <c r="FRC34" s="17"/>
      <c r="FRD34" s="17"/>
      <c r="FRE34" s="17"/>
      <c r="FRF34" s="17"/>
      <c r="FRG34" s="17"/>
      <c r="FRH34" s="17"/>
      <c r="FRI34" s="17"/>
      <c r="FRJ34" s="17"/>
      <c r="FRK34" s="17"/>
      <c r="FRL34" s="17"/>
      <c r="FRM34" s="17"/>
      <c r="FRN34" s="17"/>
      <c r="FRO34" s="17"/>
      <c r="FRP34" s="17"/>
      <c r="FRQ34" s="17"/>
      <c r="FRR34" s="17"/>
      <c r="FRS34" s="17"/>
      <c r="FRT34" s="17"/>
      <c r="FRU34" s="17"/>
      <c r="FRV34" s="17"/>
      <c r="FRW34" s="17"/>
      <c r="FRX34" s="17"/>
      <c r="FRY34" s="17"/>
      <c r="FRZ34" s="17"/>
      <c r="FSA34" s="17"/>
      <c r="FSB34" s="17"/>
      <c r="FSC34" s="17"/>
      <c r="FSD34" s="17"/>
      <c r="FSE34" s="17"/>
      <c r="FSF34" s="17"/>
      <c r="FSG34" s="17"/>
      <c r="FSH34" s="17"/>
      <c r="FSI34" s="17"/>
      <c r="FSJ34" s="17"/>
      <c r="FSK34" s="17"/>
      <c r="FSL34" s="17"/>
      <c r="FSM34" s="17"/>
      <c r="FSN34" s="17"/>
      <c r="FSO34" s="17"/>
      <c r="FSP34" s="17"/>
      <c r="FSQ34" s="17"/>
      <c r="FSR34" s="17"/>
      <c r="FSS34" s="17"/>
      <c r="FST34" s="17"/>
      <c r="FSU34" s="17"/>
      <c r="FSV34" s="17"/>
      <c r="FSW34" s="17"/>
      <c r="FSX34" s="17"/>
      <c r="FSY34" s="17"/>
      <c r="FSZ34" s="17"/>
      <c r="FTA34" s="17"/>
      <c r="FTB34" s="17"/>
      <c r="FTC34" s="17"/>
      <c r="FTD34" s="17"/>
      <c r="FTE34" s="17"/>
      <c r="FTF34" s="17"/>
      <c r="FTG34" s="17"/>
      <c r="FTH34" s="17"/>
      <c r="FTI34" s="17"/>
      <c r="FTJ34" s="17"/>
      <c r="FTK34" s="17"/>
      <c r="FTL34" s="17"/>
      <c r="FTM34" s="17"/>
      <c r="FTN34" s="17"/>
      <c r="FTO34" s="17"/>
      <c r="FTP34" s="17"/>
      <c r="FTQ34" s="17"/>
      <c r="FTR34" s="17"/>
      <c r="FTS34" s="17"/>
      <c r="FTT34" s="17"/>
      <c r="FTU34" s="17"/>
      <c r="FTV34" s="17"/>
      <c r="FTW34" s="17"/>
      <c r="FTX34" s="17"/>
      <c r="FTY34" s="17"/>
      <c r="FTZ34" s="17"/>
      <c r="FUA34" s="17"/>
      <c r="FUB34" s="17"/>
      <c r="FUC34" s="17"/>
      <c r="FUD34" s="17"/>
      <c r="FUE34" s="17"/>
      <c r="FUF34" s="17"/>
      <c r="FUG34" s="17"/>
      <c r="FUH34" s="17"/>
      <c r="FUI34" s="17"/>
      <c r="FUJ34" s="17"/>
      <c r="FUK34" s="17"/>
      <c r="FUL34" s="17"/>
      <c r="FUM34" s="17"/>
      <c r="FUN34" s="17"/>
      <c r="FUO34" s="17"/>
      <c r="FUP34" s="17"/>
      <c r="FUQ34" s="17"/>
      <c r="FUR34" s="17"/>
      <c r="FUS34" s="17"/>
      <c r="FUT34" s="17"/>
      <c r="FUU34" s="17"/>
      <c r="FUV34" s="17"/>
      <c r="FUW34" s="17"/>
      <c r="FUX34" s="17"/>
      <c r="FUY34" s="17"/>
      <c r="FUZ34" s="17"/>
      <c r="FVA34" s="17"/>
      <c r="FVB34" s="17"/>
      <c r="FVC34" s="17"/>
      <c r="FVD34" s="17"/>
      <c r="FVE34" s="17"/>
      <c r="FVF34" s="17"/>
      <c r="FVG34" s="17"/>
      <c r="FVH34" s="17"/>
      <c r="FVI34" s="17"/>
      <c r="FVJ34" s="17"/>
      <c r="FVK34" s="17"/>
      <c r="FVL34" s="17"/>
      <c r="FVM34" s="17"/>
      <c r="FVN34" s="17"/>
      <c r="FVO34" s="17"/>
      <c r="FVP34" s="17"/>
      <c r="FVQ34" s="17"/>
      <c r="FVR34" s="17"/>
      <c r="FVS34" s="17"/>
      <c r="FVT34" s="17"/>
      <c r="FVU34" s="17"/>
      <c r="FVV34" s="17"/>
      <c r="FVW34" s="17"/>
      <c r="FVX34" s="17"/>
      <c r="FVY34" s="17"/>
      <c r="FVZ34" s="17"/>
      <c r="FWA34" s="17"/>
      <c r="FWB34" s="17"/>
      <c r="FWC34" s="17"/>
      <c r="FWD34" s="17"/>
      <c r="FWE34" s="17"/>
      <c r="FWF34" s="17"/>
      <c r="FWG34" s="17"/>
      <c r="FWH34" s="17"/>
      <c r="FWI34" s="17"/>
      <c r="FWJ34" s="17"/>
      <c r="FWK34" s="17"/>
      <c r="FWL34" s="17"/>
      <c r="FWM34" s="17"/>
      <c r="FWN34" s="17"/>
      <c r="FWO34" s="17"/>
      <c r="FWP34" s="17"/>
      <c r="FWQ34" s="17"/>
      <c r="FWR34" s="17"/>
      <c r="FWS34" s="17"/>
      <c r="FWT34" s="17"/>
      <c r="FWU34" s="17"/>
      <c r="FWV34" s="17"/>
      <c r="FWW34" s="17"/>
      <c r="FWX34" s="17"/>
      <c r="FWY34" s="17"/>
      <c r="FWZ34" s="17"/>
      <c r="FXA34" s="17"/>
      <c r="FXB34" s="17"/>
      <c r="FXC34" s="17"/>
      <c r="FXD34" s="17"/>
      <c r="FXE34" s="17"/>
      <c r="FXF34" s="17"/>
      <c r="FXG34" s="17"/>
      <c r="FXH34" s="17"/>
      <c r="FXI34" s="17"/>
      <c r="FXJ34" s="17"/>
      <c r="FXK34" s="17"/>
      <c r="FXL34" s="17"/>
      <c r="FXM34" s="17"/>
      <c r="FXN34" s="17"/>
      <c r="FXO34" s="17"/>
      <c r="FXP34" s="17"/>
      <c r="FXQ34" s="17"/>
      <c r="FXR34" s="17"/>
      <c r="FXS34" s="17"/>
      <c r="FXT34" s="17"/>
      <c r="FXU34" s="17"/>
      <c r="FXV34" s="17"/>
      <c r="FXW34" s="17"/>
      <c r="FXX34" s="17"/>
      <c r="FXY34" s="17"/>
      <c r="FXZ34" s="17"/>
      <c r="FYA34" s="17"/>
      <c r="FYB34" s="17"/>
      <c r="FYC34" s="17"/>
      <c r="FYD34" s="17"/>
      <c r="FYE34" s="17"/>
      <c r="FYF34" s="17"/>
      <c r="FYG34" s="17"/>
      <c r="FYH34" s="17"/>
      <c r="FYI34" s="17"/>
      <c r="FYJ34" s="17"/>
      <c r="FYK34" s="17"/>
      <c r="FYL34" s="17"/>
      <c r="FYM34" s="17"/>
      <c r="FYN34" s="17"/>
      <c r="FYO34" s="17"/>
      <c r="FYP34" s="17"/>
      <c r="FYQ34" s="17"/>
      <c r="FYR34" s="17"/>
      <c r="FYS34" s="17"/>
      <c r="FYT34" s="17"/>
      <c r="FYU34" s="17"/>
      <c r="FYV34" s="17"/>
      <c r="FYW34" s="17"/>
      <c r="FYX34" s="17"/>
      <c r="FYY34" s="17"/>
      <c r="FYZ34" s="17"/>
      <c r="FZA34" s="17"/>
      <c r="FZB34" s="17"/>
      <c r="FZC34" s="17"/>
      <c r="FZD34" s="17"/>
      <c r="FZE34" s="17"/>
      <c r="FZF34" s="17"/>
      <c r="FZG34" s="17"/>
      <c r="FZH34" s="17"/>
      <c r="FZI34" s="17"/>
      <c r="FZJ34" s="17"/>
      <c r="FZK34" s="17"/>
      <c r="FZL34" s="17"/>
      <c r="FZM34" s="17"/>
      <c r="FZN34" s="17"/>
      <c r="FZO34" s="17"/>
      <c r="FZP34" s="17"/>
      <c r="FZQ34" s="17"/>
      <c r="FZR34" s="17"/>
      <c r="FZS34" s="17"/>
      <c r="FZT34" s="17"/>
      <c r="FZU34" s="17"/>
      <c r="FZV34" s="17"/>
      <c r="FZW34" s="17"/>
      <c r="FZX34" s="17"/>
      <c r="FZY34" s="17"/>
      <c r="FZZ34" s="17"/>
      <c r="GAA34" s="17"/>
      <c r="GAB34" s="17"/>
      <c r="GAC34" s="17"/>
      <c r="GAD34" s="17"/>
      <c r="GAE34" s="17"/>
      <c r="GAF34" s="17"/>
      <c r="GAG34" s="17"/>
      <c r="GAH34" s="17"/>
      <c r="GAI34" s="17"/>
      <c r="GAJ34" s="17"/>
      <c r="GAK34" s="17"/>
      <c r="GAL34" s="17"/>
      <c r="GAM34" s="17"/>
      <c r="GAN34" s="17"/>
      <c r="GAO34" s="17"/>
      <c r="GAP34" s="17"/>
      <c r="GAQ34" s="17"/>
      <c r="GAR34" s="17"/>
      <c r="GAS34" s="17"/>
      <c r="GAT34" s="17"/>
      <c r="GAU34" s="17"/>
      <c r="GAV34" s="17"/>
      <c r="GAW34" s="17"/>
      <c r="GAX34" s="17"/>
      <c r="GAY34" s="17"/>
      <c r="GAZ34" s="17"/>
      <c r="GBA34" s="17"/>
      <c r="GBB34" s="17"/>
      <c r="GBC34" s="17"/>
      <c r="GBD34" s="17"/>
      <c r="GBE34" s="17"/>
      <c r="GBF34" s="17"/>
      <c r="GBG34" s="17"/>
      <c r="GBH34" s="17"/>
      <c r="GBI34" s="17"/>
      <c r="GBJ34" s="17"/>
      <c r="GBK34" s="17"/>
      <c r="GBL34" s="17"/>
      <c r="GBM34" s="17"/>
      <c r="GBN34" s="17"/>
      <c r="GBO34" s="17"/>
      <c r="GBP34" s="17"/>
      <c r="GBQ34" s="17"/>
      <c r="GBR34" s="17"/>
      <c r="GBS34" s="17"/>
      <c r="GBT34" s="17"/>
      <c r="GBU34" s="17"/>
      <c r="GBV34" s="17"/>
      <c r="GBW34" s="17"/>
      <c r="GBX34" s="17"/>
      <c r="GBY34" s="17"/>
      <c r="GBZ34" s="17"/>
      <c r="GCA34" s="17"/>
      <c r="GCB34" s="17"/>
      <c r="GCC34" s="17"/>
      <c r="GCD34" s="17"/>
      <c r="GCE34" s="17"/>
      <c r="GCF34" s="17"/>
      <c r="GCG34" s="17"/>
      <c r="GCH34" s="17"/>
      <c r="GCI34" s="17"/>
      <c r="GCJ34" s="17"/>
      <c r="GCK34" s="17"/>
      <c r="GCL34" s="17"/>
      <c r="GCM34" s="17"/>
      <c r="GCN34" s="17"/>
      <c r="GCO34" s="17"/>
      <c r="GCP34" s="17"/>
      <c r="GCQ34" s="17"/>
      <c r="GCR34" s="17"/>
      <c r="GCS34" s="17"/>
      <c r="GCT34" s="17"/>
      <c r="GCU34" s="17"/>
      <c r="GCV34" s="17"/>
      <c r="GCW34" s="17"/>
      <c r="GCX34" s="17"/>
      <c r="GCY34" s="17"/>
      <c r="GCZ34" s="17"/>
      <c r="GDA34" s="17"/>
      <c r="GDB34" s="17"/>
      <c r="GDC34" s="17"/>
      <c r="GDD34" s="17"/>
      <c r="GDE34" s="17"/>
      <c r="GDF34" s="17"/>
      <c r="GDG34" s="17"/>
      <c r="GDH34" s="17"/>
      <c r="GDI34" s="17"/>
      <c r="GDJ34" s="17"/>
      <c r="GDK34" s="17"/>
      <c r="GDL34" s="17"/>
      <c r="GDM34" s="17"/>
      <c r="GDN34" s="17"/>
      <c r="GDO34" s="17"/>
      <c r="GDP34" s="17"/>
      <c r="GDQ34" s="17"/>
      <c r="GDR34" s="17"/>
      <c r="GDS34" s="17"/>
      <c r="GDT34" s="17"/>
      <c r="GDU34" s="17"/>
      <c r="GDV34" s="17"/>
      <c r="GDW34" s="17"/>
      <c r="GDX34" s="17"/>
      <c r="GDY34" s="17"/>
      <c r="GDZ34" s="17"/>
      <c r="GEA34" s="17"/>
      <c r="GEB34" s="17"/>
      <c r="GEC34" s="17"/>
      <c r="GED34" s="17"/>
      <c r="GEE34" s="17"/>
      <c r="GEF34" s="17"/>
      <c r="GEG34" s="17"/>
      <c r="GEH34" s="17"/>
      <c r="GEI34" s="17"/>
      <c r="GEJ34" s="17"/>
      <c r="GEK34" s="17"/>
      <c r="GEL34" s="17"/>
      <c r="GEM34" s="17"/>
      <c r="GEN34" s="17"/>
      <c r="GEO34" s="17"/>
      <c r="GEP34" s="17"/>
      <c r="GEQ34" s="17"/>
      <c r="GER34" s="17"/>
      <c r="GES34" s="17"/>
      <c r="GET34" s="17"/>
      <c r="GEU34" s="17"/>
      <c r="GEV34" s="17"/>
      <c r="GEW34" s="17"/>
      <c r="GEX34" s="17"/>
      <c r="GEY34" s="17"/>
      <c r="GEZ34" s="17"/>
      <c r="GFA34" s="17"/>
      <c r="GFB34" s="17"/>
      <c r="GFC34" s="17"/>
      <c r="GFD34" s="17"/>
      <c r="GFE34" s="17"/>
      <c r="GFF34" s="17"/>
      <c r="GFG34" s="17"/>
      <c r="GFH34" s="17"/>
      <c r="GFI34" s="17"/>
      <c r="GFJ34" s="17"/>
      <c r="GFK34" s="17"/>
      <c r="GFL34" s="17"/>
      <c r="GFM34" s="17"/>
      <c r="GFN34" s="17"/>
      <c r="GFO34" s="17"/>
      <c r="GFP34" s="17"/>
      <c r="GFQ34" s="17"/>
      <c r="GFR34" s="17"/>
      <c r="GFS34" s="17"/>
      <c r="GFT34" s="17"/>
      <c r="GFU34" s="17"/>
      <c r="GFV34" s="17"/>
      <c r="GFW34" s="17"/>
      <c r="GFX34" s="17"/>
      <c r="GFY34" s="17"/>
      <c r="GFZ34" s="17"/>
      <c r="GGA34" s="17"/>
      <c r="GGB34" s="17"/>
      <c r="GGC34" s="17"/>
      <c r="GGD34" s="17"/>
      <c r="GGE34" s="17"/>
      <c r="GGF34" s="17"/>
      <c r="GGG34" s="17"/>
      <c r="GGH34" s="17"/>
      <c r="GGI34" s="17"/>
      <c r="GGJ34" s="17"/>
      <c r="GGK34" s="17"/>
      <c r="GGL34" s="17"/>
      <c r="GGM34" s="17"/>
      <c r="GGN34" s="17"/>
      <c r="GGO34" s="17"/>
      <c r="GGP34" s="17"/>
      <c r="GGQ34" s="17"/>
      <c r="GGR34" s="17"/>
      <c r="GGS34" s="17"/>
      <c r="GGT34" s="17"/>
      <c r="GGU34" s="17"/>
      <c r="GGV34" s="17"/>
      <c r="GGW34" s="17"/>
      <c r="GGX34" s="17"/>
      <c r="GGY34" s="17"/>
      <c r="GGZ34" s="17"/>
      <c r="GHA34" s="17"/>
      <c r="GHB34" s="17"/>
      <c r="GHC34" s="17"/>
      <c r="GHD34" s="17"/>
      <c r="GHE34" s="17"/>
      <c r="GHF34" s="17"/>
      <c r="GHG34" s="17"/>
      <c r="GHH34" s="17"/>
      <c r="GHI34" s="17"/>
      <c r="GHJ34" s="17"/>
      <c r="GHK34" s="17"/>
      <c r="GHL34" s="17"/>
      <c r="GHM34" s="17"/>
      <c r="GHN34" s="17"/>
      <c r="GHO34" s="17"/>
      <c r="GHP34" s="17"/>
      <c r="GHQ34" s="17"/>
      <c r="GHR34" s="17"/>
      <c r="GHS34" s="17"/>
      <c r="GHT34" s="17"/>
      <c r="GHU34" s="17"/>
      <c r="GHV34" s="17"/>
      <c r="GHW34" s="17"/>
      <c r="GHX34" s="17"/>
      <c r="GHY34" s="17"/>
      <c r="GHZ34" s="17"/>
      <c r="GIA34" s="17"/>
      <c r="GIB34" s="17"/>
      <c r="GIC34" s="17"/>
      <c r="GID34" s="17"/>
      <c r="GIE34" s="17"/>
      <c r="GIF34" s="17"/>
      <c r="GIG34" s="17"/>
      <c r="GIH34" s="17"/>
      <c r="GII34" s="17"/>
      <c r="GIJ34" s="17"/>
      <c r="GIK34" s="17"/>
      <c r="GIL34" s="17"/>
      <c r="GIM34" s="17"/>
      <c r="GIN34" s="17"/>
      <c r="GIO34" s="17"/>
      <c r="GIP34" s="17"/>
      <c r="GIQ34" s="17"/>
      <c r="GIR34" s="17"/>
      <c r="GIS34" s="17"/>
      <c r="GIT34" s="17"/>
      <c r="GIU34" s="17"/>
      <c r="GIV34" s="17"/>
      <c r="GIW34" s="17"/>
      <c r="GIX34" s="17"/>
      <c r="GIY34" s="17"/>
      <c r="GIZ34" s="17"/>
      <c r="GJA34" s="17"/>
      <c r="GJB34" s="17"/>
      <c r="GJC34" s="17"/>
      <c r="GJD34" s="17"/>
      <c r="GJE34" s="17"/>
      <c r="GJF34" s="17"/>
      <c r="GJG34" s="17"/>
      <c r="GJH34" s="17"/>
      <c r="GJI34" s="17"/>
      <c r="GJJ34" s="17"/>
      <c r="GJK34" s="17"/>
      <c r="GJL34" s="17"/>
      <c r="GJM34" s="17"/>
      <c r="GJN34" s="17"/>
      <c r="GJO34" s="17"/>
      <c r="GJP34" s="17"/>
      <c r="GJQ34" s="17"/>
      <c r="GJR34" s="17"/>
      <c r="GJS34" s="17"/>
      <c r="GJT34" s="17"/>
      <c r="GJU34" s="17"/>
      <c r="GJV34" s="17"/>
      <c r="GJW34" s="17"/>
      <c r="GJX34" s="17"/>
      <c r="GJY34" s="17"/>
      <c r="GJZ34" s="17"/>
      <c r="GKA34" s="17"/>
      <c r="GKB34" s="17"/>
      <c r="GKC34" s="17"/>
      <c r="GKD34" s="17"/>
      <c r="GKE34" s="17"/>
      <c r="GKF34" s="17"/>
      <c r="GKG34" s="17"/>
      <c r="GKH34" s="17"/>
      <c r="GKI34" s="17"/>
      <c r="GKJ34" s="17"/>
      <c r="GKK34" s="17"/>
      <c r="GKL34" s="17"/>
      <c r="GKM34" s="17"/>
      <c r="GKN34" s="17"/>
      <c r="GKO34" s="17"/>
      <c r="GKP34" s="17"/>
      <c r="GKQ34" s="17"/>
      <c r="GKR34" s="17"/>
      <c r="GKS34" s="17"/>
      <c r="GKT34" s="17"/>
      <c r="GKU34" s="17"/>
      <c r="GKV34" s="17"/>
      <c r="GKW34" s="17"/>
      <c r="GKX34" s="17"/>
      <c r="GKY34" s="17"/>
      <c r="GKZ34" s="17"/>
      <c r="GLA34" s="17"/>
      <c r="GLB34" s="17"/>
      <c r="GLC34" s="17"/>
      <c r="GLD34" s="17"/>
      <c r="GLE34" s="17"/>
      <c r="GLF34" s="17"/>
      <c r="GLG34" s="17"/>
      <c r="GLH34" s="17"/>
      <c r="GLI34" s="17"/>
      <c r="GLJ34" s="17"/>
      <c r="GLK34" s="17"/>
      <c r="GLL34" s="17"/>
      <c r="GLM34" s="17"/>
      <c r="GLN34" s="17"/>
      <c r="GLO34" s="17"/>
      <c r="GLP34" s="17"/>
      <c r="GLQ34" s="17"/>
      <c r="GLR34" s="17"/>
      <c r="GLS34" s="17"/>
      <c r="GLT34" s="17"/>
      <c r="GLU34" s="17"/>
      <c r="GLV34" s="17"/>
      <c r="GLW34" s="17"/>
      <c r="GLX34" s="17"/>
      <c r="GLY34" s="17"/>
      <c r="GLZ34" s="17"/>
      <c r="GMA34" s="17"/>
      <c r="GMB34" s="17"/>
      <c r="GMC34" s="17"/>
      <c r="GMD34" s="17"/>
      <c r="GME34" s="17"/>
      <c r="GMF34" s="17"/>
      <c r="GMG34" s="17"/>
      <c r="GMH34" s="17"/>
      <c r="GMI34" s="17"/>
      <c r="GMJ34" s="17"/>
      <c r="GMK34" s="17"/>
      <c r="GML34" s="17"/>
      <c r="GMM34" s="17"/>
      <c r="GMN34" s="17"/>
      <c r="GMO34" s="17"/>
      <c r="GMP34" s="17"/>
      <c r="GMQ34" s="17"/>
      <c r="GMR34" s="17"/>
      <c r="GMS34" s="17"/>
      <c r="GMT34" s="17"/>
      <c r="GMU34" s="17"/>
      <c r="GMV34" s="17"/>
      <c r="GMW34" s="17"/>
      <c r="GMX34" s="17"/>
      <c r="GMY34" s="17"/>
      <c r="GMZ34" s="17"/>
      <c r="GNA34" s="17"/>
      <c r="GNB34" s="17"/>
      <c r="GNC34" s="17"/>
      <c r="GND34" s="17"/>
      <c r="GNE34" s="17"/>
      <c r="GNF34" s="17"/>
      <c r="GNG34" s="17"/>
      <c r="GNH34" s="17"/>
      <c r="GNI34" s="17"/>
      <c r="GNJ34" s="17"/>
      <c r="GNK34" s="17"/>
      <c r="GNL34" s="17"/>
      <c r="GNM34" s="17"/>
      <c r="GNN34" s="17"/>
      <c r="GNO34" s="17"/>
      <c r="GNP34" s="17"/>
      <c r="GNQ34" s="17"/>
      <c r="GNR34" s="17"/>
      <c r="GNS34" s="17"/>
      <c r="GNT34" s="17"/>
      <c r="GNU34" s="17"/>
      <c r="GNV34" s="17"/>
      <c r="GNW34" s="17"/>
      <c r="GNX34" s="17"/>
      <c r="GNY34" s="17"/>
      <c r="GNZ34" s="17"/>
      <c r="GOA34" s="17"/>
      <c r="GOB34" s="17"/>
      <c r="GOC34" s="17"/>
      <c r="GOD34" s="17"/>
      <c r="GOE34" s="17"/>
      <c r="GOF34" s="17"/>
      <c r="GOG34" s="17"/>
      <c r="GOH34" s="17"/>
      <c r="GOI34" s="17"/>
      <c r="GOJ34" s="17"/>
      <c r="GOK34" s="17"/>
      <c r="GOL34" s="17"/>
      <c r="GOM34" s="17"/>
      <c r="GON34" s="17"/>
      <c r="GOO34" s="17"/>
      <c r="GOP34" s="17"/>
      <c r="GOQ34" s="17"/>
      <c r="GOR34" s="17"/>
      <c r="GOS34" s="17"/>
      <c r="GOT34" s="17"/>
      <c r="GOU34" s="17"/>
      <c r="GOV34" s="17"/>
      <c r="GOW34" s="17"/>
      <c r="GOX34" s="17"/>
      <c r="GOY34" s="17"/>
      <c r="GOZ34" s="17"/>
      <c r="GPA34" s="17"/>
      <c r="GPB34" s="17"/>
      <c r="GPC34" s="17"/>
      <c r="GPD34" s="17"/>
      <c r="GPE34" s="17"/>
      <c r="GPF34" s="17"/>
      <c r="GPG34" s="17"/>
      <c r="GPH34" s="17"/>
      <c r="GPI34" s="17"/>
      <c r="GPJ34" s="17"/>
      <c r="GPK34" s="17"/>
      <c r="GPL34" s="17"/>
      <c r="GPM34" s="17"/>
      <c r="GPN34" s="17"/>
      <c r="GPO34" s="17"/>
      <c r="GPP34" s="17"/>
      <c r="GPQ34" s="17"/>
      <c r="GPR34" s="17"/>
      <c r="GPS34" s="17"/>
      <c r="GPT34" s="17"/>
      <c r="GPU34" s="17"/>
      <c r="GPV34" s="17"/>
      <c r="GPW34" s="17"/>
      <c r="GPX34" s="17"/>
      <c r="GPY34" s="17"/>
      <c r="GPZ34" s="17"/>
      <c r="GQA34" s="17"/>
      <c r="GQB34" s="17"/>
      <c r="GQC34" s="17"/>
      <c r="GQD34" s="17"/>
      <c r="GQE34" s="17"/>
      <c r="GQF34" s="17"/>
      <c r="GQG34" s="17"/>
      <c r="GQH34" s="17"/>
      <c r="GQI34" s="17"/>
      <c r="GQJ34" s="17"/>
      <c r="GQK34" s="17"/>
      <c r="GQL34" s="17"/>
      <c r="GQM34" s="17"/>
      <c r="GQN34" s="17"/>
      <c r="GQO34" s="17"/>
      <c r="GQP34" s="17"/>
      <c r="GQQ34" s="17"/>
      <c r="GQR34" s="17"/>
      <c r="GQS34" s="17"/>
      <c r="GQT34" s="17"/>
      <c r="GQU34" s="17"/>
      <c r="GQV34" s="17"/>
      <c r="GQW34" s="17"/>
      <c r="GQX34" s="17"/>
      <c r="GQY34" s="17"/>
      <c r="GQZ34" s="17"/>
      <c r="GRA34" s="17"/>
      <c r="GRB34" s="17"/>
      <c r="GRC34" s="17"/>
      <c r="GRD34" s="17"/>
      <c r="GRE34" s="17"/>
      <c r="GRF34" s="17"/>
      <c r="GRG34" s="17"/>
      <c r="GRH34" s="17"/>
      <c r="GRI34" s="17"/>
      <c r="GRJ34" s="17"/>
      <c r="GRK34" s="17"/>
      <c r="GRL34" s="17"/>
      <c r="GRM34" s="17"/>
      <c r="GRN34" s="17"/>
      <c r="GRO34" s="17"/>
      <c r="GRP34" s="17"/>
      <c r="GRQ34" s="17"/>
      <c r="GRR34" s="17"/>
      <c r="GRS34" s="17"/>
      <c r="GRT34" s="17"/>
      <c r="GRU34" s="17"/>
      <c r="GRV34" s="17"/>
      <c r="GRW34" s="17"/>
      <c r="GRX34" s="17"/>
      <c r="GRY34" s="17"/>
      <c r="GRZ34" s="17"/>
      <c r="GSA34" s="17"/>
      <c r="GSB34" s="17"/>
      <c r="GSC34" s="17"/>
      <c r="GSD34" s="17"/>
      <c r="GSE34" s="17"/>
      <c r="GSF34" s="17"/>
      <c r="GSG34" s="17"/>
      <c r="GSH34" s="17"/>
      <c r="GSI34" s="17"/>
      <c r="GSJ34" s="17"/>
      <c r="GSK34" s="17"/>
      <c r="GSL34" s="17"/>
      <c r="GSM34" s="17"/>
      <c r="GSN34" s="17"/>
      <c r="GSO34" s="17"/>
      <c r="GSP34" s="17"/>
      <c r="GSQ34" s="17"/>
      <c r="GSR34" s="17"/>
      <c r="GSS34" s="17"/>
      <c r="GST34" s="17"/>
      <c r="GSU34" s="17"/>
      <c r="GSV34" s="17"/>
      <c r="GSW34" s="17"/>
      <c r="GSX34" s="17"/>
      <c r="GSY34" s="17"/>
      <c r="GSZ34" s="17"/>
      <c r="GTA34" s="17"/>
      <c r="GTB34" s="17"/>
      <c r="GTC34" s="17"/>
      <c r="GTD34" s="17"/>
      <c r="GTE34" s="17"/>
      <c r="GTF34" s="17"/>
      <c r="GTG34" s="17"/>
      <c r="GTH34" s="17"/>
      <c r="GTI34" s="17"/>
      <c r="GTJ34" s="17"/>
      <c r="GTK34" s="17"/>
      <c r="GTL34" s="17"/>
      <c r="GTM34" s="17"/>
      <c r="GTN34" s="17"/>
      <c r="GTO34" s="17"/>
      <c r="GTP34" s="17"/>
      <c r="GTQ34" s="17"/>
      <c r="GTR34" s="17"/>
      <c r="GTS34" s="17"/>
      <c r="GTT34" s="17"/>
      <c r="GTU34" s="17"/>
      <c r="GTV34" s="17"/>
      <c r="GTW34" s="17"/>
      <c r="GTX34" s="17"/>
      <c r="GTY34" s="17"/>
      <c r="GTZ34" s="17"/>
      <c r="GUA34" s="17"/>
      <c r="GUB34" s="17"/>
      <c r="GUC34" s="17"/>
      <c r="GUD34" s="17"/>
      <c r="GUE34" s="17"/>
      <c r="GUF34" s="17"/>
      <c r="GUG34" s="17"/>
      <c r="GUH34" s="17"/>
      <c r="GUI34" s="17"/>
      <c r="GUJ34" s="17"/>
      <c r="GUK34" s="17"/>
      <c r="GUL34" s="17"/>
      <c r="GUM34" s="17"/>
      <c r="GUN34" s="17"/>
      <c r="GUO34" s="17"/>
      <c r="GUP34" s="17"/>
      <c r="GUQ34" s="17"/>
      <c r="GUR34" s="17"/>
      <c r="GUS34" s="17"/>
      <c r="GUT34" s="17"/>
      <c r="GUU34" s="17"/>
      <c r="GUV34" s="17"/>
      <c r="GUW34" s="17"/>
      <c r="GUX34" s="17"/>
      <c r="GUY34" s="17"/>
      <c r="GUZ34" s="17"/>
      <c r="GVA34" s="17"/>
      <c r="GVB34" s="17"/>
      <c r="GVC34" s="17"/>
      <c r="GVD34" s="17"/>
      <c r="GVE34" s="17"/>
      <c r="GVF34" s="17"/>
      <c r="GVG34" s="17"/>
      <c r="GVH34" s="17"/>
      <c r="GVI34" s="17"/>
      <c r="GVJ34" s="17"/>
      <c r="GVK34" s="17"/>
      <c r="GVL34" s="17"/>
      <c r="GVM34" s="17"/>
      <c r="GVN34" s="17"/>
      <c r="GVO34" s="17"/>
      <c r="GVP34" s="17"/>
      <c r="GVQ34" s="17"/>
      <c r="GVR34" s="17"/>
      <c r="GVS34" s="17"/>
      <c r="GVT34" s="17"/>
      <c r="GVU34" s="17"/>
      <c r="GVV34" s="17"/>
      <c r="GVW34" s="17"/>
      <c r="GVX34" s="17"/>
      <c r="GVY34" s="17"/>
      <c r="GVZ34" s="17"/>
      <c r="GWA34" s="17"/>
      <c r="GWB34" s="17"/>
      <c r="GWC34" s="17"/>
      <c r="GWD34" s="17"/>
      <c r="GWE34" s="17"/>
      <c r="GWF34" s="17"/>
      <c r="GWG34" s="17"/>
      <c r="GWH34" s="17"/>
      <c r="GWI34" s="17"/>
      <c r="GWJ34" s="17"/>
      <c r="GWK34" s="17"/>
      <c r="GWL34" s="17"/>
      <c r="GWM34" s="17"/>
      <c r="GWN34" s="17"/>
      <c r="GWO34" s="17"/>
      <c r="GWP34" s="17"/>
      <c r="GWQ34" s="17"/>
      <c r="GWR34" s="17"/>
      <c r="GWS34" s="17"/>
      <c r="GWT34" s="17"/>
      <c r="GWU34" s="17"/>
      <c r="GWV34" s="17"/>
      <c r="GWW34" s="17"/>
      <c r="GWX34" s="17"/>
      <c r="GWY34" s="17"/>
      <c r="GWZ34" s="17"/>
      <c r="GXA34" s="17"/>
      <c r="GXB34" s="17"/>
      <c r="GXC34" s="17"/>
      <c r="GXD34" s="17"/>
      <c r="GXE34" s="17"/>
      <c r="GXF34" s="17"/>
      <c r="GXG34" s="17"/>
      <c r="GXH34" s="17"/>
      <c r="GXI34" s="17"/>
      <c r="GXJ34" s="17"/>
      <c r="GXK34" s="17"/>
      <c r="GXL34" s="17"/>
      <c r="GXM34" s="17"/>
      <c r="GXN34" s="17"/>
      <c r="GXO34" s="17"/>
      <c r="GXP34" s="17"/>
      <c r="GXQ34" s="17"/>
      <c r="GXR34" s="17"/>
      <c r="GXS34" s="17"/>
      <c r="GXT34" s="17"/>
      <c r="GXU34" s="17"/>
      <c r="GXV34" s="17"/>
      <c r="GXW34" s="17"/>
      <c r="GXX34" s="17"/>
      <c r="GXY34" s="17"/>
      <c r="GXZ34" s="17"/>
      <c r="GYA34" s="17"/>
      <c r="GYB34" s="17"/>
      <c r="GYC34" s="17"/>
      <c r="GYD34" s="17"/>
      <c r="GYE34" s="17"/>
      <c r="GYF34" s="17"/>
      <c r="GYG34" s="17"/>
      <c r="GYH34" s="17"/>
      <c r="GYI34" s="17"/>
      <c r="GYJ34" s="17"/>
      <c r="GYK34" s="17"/>
      <c r="GYL34" s="17"/>
      <c r="GYM34" s="17"/>
      <c r="GYN34" s="17"/>
      <c r="GYO34" s="17"/>
      <c r="GYP34" s="17"/>
      <c r="GYQ34" s="17"/>
      <c r="GYR34" s="17"/>
      <c r="GYS34" s="17"/>
      <c r="GYT34" s="17"/>
      <c r="GYU34" s="17"/>
      <c r="GYV34" s="17"/>
      <c r="GYW34" s="17"/>
      <c r="GYX34" s="17"/>
      <c r="GYY34" s="17"/>
      <c r="GYZ34" s="17"/>
      <c r="GZA34" s="17"/>
      <c r="GZB34" s="17"/>
      <c r="GZC34" s="17"/>
      <c r="GZD34" s="17"/>
      <c r="GZE34" s="17"/>
      <c r="GZF34" s="17"/>
      <c r="GZG34" s="17"/>
      <c r="GZH34" s="17"/>
      <c r="GZI34" s="17"/>
      <c r="GZJ34" s="17"/>
      <c r="GZK34" s="17"/>
      <c r="GZL34" s="17"/>
      <c r="GZM34" s="17"/>
      <c r="GZN34" s="17"/>
      <c r="GZO34" s="17"/>
      <c r="GZP34" s="17"/>
      <c r="GZQ34" s="17"/>
      <c r="GZR34" s="17"/>
      <c r="GZS34" s="17"/>
      <c r="GZT34" s="17"/>
      <c r="GZU34" s="17"/>
      <c r="GZV34" s="17"/>
      <c r="GZW34" s="17"/>
      <c r="GZX34" s="17"/>
      <c r="GZY34" s="17"/>
      <c r="GZZ34" s="17"/>
      <c r="HAA34" s="17"/>
      <c r="HAB34" s="17"/>
      <c r="HAC34" s="17"/>
      <c r="HAD34" s="17"/>
      <c r="HAE34" s="17"/>
      <c r="HAF34" s="17"/>
      <c r="HAG34" s="17"/>
      <c r="HAH34" s="17"/>
      <c r="HAI34" s="17"/>
      <c r="HAJ34" s="17"/>
      <c r="HAK34" s="17"/>
      <c r="HAL34" s="17"/>
      <c r="HAM34" s="17"/>
      <c r="HAN34" s="17"/>
      <c r="HAO34" s="17"/>
      <c r="HAP34" s="17"/>
      <c r="HAQ34" s="17"/>
      <c r="HAR34" s="17"/>
      <c r="HAS34" s="17"/>
      <c r="HAT34" s="17"/>
      <c r="HAU34" s="17"/>
      <c r="HAV34" s="17"/>
      <c r="HAW34" s="17"/>
      <c r="HAX34" s="17"/>
      <c r="HAY34" s="17"/>
      <c r="HAZ34" s="17"/>
      <c r="HBA34" s="17"/>
      <c r="HBB34" s="17"/>
      <c r="HBC34" s="17"/>
      <c r="HBD34" s="17"/>
      <c r="HBE34" s="17"/>
      <c r="HBF34" s="17"/>
      <c r="HBG34" s="17"/>
      <c r="HBH34" s="17"/>
      <c r="HBI34" s="17"/>
      <c r="HBJ34" s="17"/>
      <c r="HBK34" s="17"/>
      <c r="HBL34" s="17"/>
      <c r="HBM34" s="17"/>
      <c r="HBN34" s="17"/>
      <c r="HBO34" s="17"/>
      <c r="HBP34" s="17"/>
      <c r="HBQ34" s="17"/>
      <c r="HBR34" s="17"/>
      <c r="HBS34" s="17"/>
      <c r="HBT34" s="17"/>
      <c r="HBU34" s="17"/>
      <c r="HBV34" s="17"/>
      <c r="HBW34" s="17"/>
      <c r="HBX34" s="17"/>
      <c r="HBY34" s="17"/>
      <c r="HBZ34" s="17"/>
      <c r="HCA34" s="17"/>
      <c r="HCB34" s="17"/>
      <c r="HCC34" s="17"/>
      <c r="HCD34" s="17"/>
      <c r="HCE34" s="17"/>
      <c r="HCF34" s="17"/>
      <c r="HCG34" s="17"/>
      <c r="HCH34" s="17"/>
      <c r="HCI34" s="17"/>
      <c r="HCJ34" s="17"/>
      <c r="HCK34" s="17"/>
      <c r="HCL34" s="17"/>
      <c r="HCM34" s="17"/>
      <c r="HCN34" s="17"/>
      <c r="HCO34" s="17"/>
      <c r="HCP34" s="17"/>
      <c r="HCQ34" s="17"/>
      <c r="HCR34" s="17"/>
      <c r="HCS34" s="17"/>
      <c r="HCT34" s="17"/>
      <c r="HCU34" s="17"/>
      <c r="HCV34" s="17"/>
      <c r="HCW34" s="17"/>
      <c r="HCX34" s="17"/>
      <c r="HCY34" s="17"/>
      <c r="HCZ34" s="17"/>
      <c r="HDA34" s="17"/>
      <c r="HDB34" s="17"/>
      <c r="HDC34" s="17"/>
      <c r="HDD34" s="17"/>
      <c r="HDE34" s="17"/>
      <c r="HDF34" s="17"/>
      <c r="HDG34" s="17"/>
      <c r="HDH34" s="17"/>
      <c r="HDI34" s="17"/>
      <c r="HDJ34" s="17"/>
      <c r="HDK34" s="17"/>
      <c r="HDL34" s="17"/>
      <c r="HDM34" s="17"/>
      <c r="HDN34" s="17"/>
      <c r="HDO34" s="17"/>
      <c r="HDP34" s="17"/>
      <c r="HDQ34" s="17"/>
      <c r="HDR34" s="17"/>
      <c r="HDS34" s="17"/>
      <c r="HDT34" s="17"/>
      <c r="HDU34" s="17"/>
      <c r="HDV34" s="17"/>
      <c r="HDW34" s="17"/>
      <c r="HDX34" s="17"/>
      <c r="HDY34" s="17"/>
      <c r="HDZ34" s="17"/>
      <c r="HEA34" s="17"/>
      <c r="HEB34" s="17"/>
      <c r="HEC34" s="17"/>
      <c r="HED34" s="17"/>
      <c r="HEE34" s="17"/>
      <c r="HEF34" s="17"/>
      <c r="HEG34" s="17"/>
      <c r="HEH34" s="17"/>
      <c r="HEI34" s="17"/>
      <c r="HEJ34" s="17"/>
      <c r="HEK34" s="17"/>
      <c r="HEL34" s="17"/>
      <c r="HEM34" s="17"/>
      <c r="HEN34" s="17"/>
      <c r="HEO34" s="17"/>
      <c r="HEP34" s="17"/>
      <c r="HEQ34" s="17"/>
      <c r="HER34" s="17"/>
      <c r="HES34" s="17"/>
      <c r="HET34" s="17"/>
      <c r="HEU34" s="17"/>
      <c r="HEV34" s="17"/>
      <c r="HEW34" s="17"/>
      <c r="HEX34" s="17"/>
      <c r="HEY34" s="17"/>
      <c r="HEZ34" s="17"/>
      <c r="HFA34" s="17"/>
      <c r="HFB34" s="17"/>
      <c r="HFC34" s="17"/>
      <c r="HFD34" s="17"/>
      <c r="HFE34" s="17"/>
      <c r="HFF34" s="17"/>
      <c r="HFG34" s="17"/>
      <c r="HFH34" s="17"/>
      <c r="HFI34" s="17"/>
      <c r="HFJ34" s="17"/>
      <c r="HFK34" s="17"/>
      <c r="HFL34" s="17"/>
      <c r="HFM34" s="17"/>
      <c r="HFN34" s="17"/>
      <c r="HFO34" s="17"/>
      <c r="HFP34" s="17"/>
      <c r="HFQ34" s="17"/>
      <c r="HFR34" s="17"/>
      <c r="HFS34" s="17"/>
      <c r="HFT34" s="17"/>
      <c r="HFU34" s="17"/>
      <c r="HFV34" s="17"/>
      <c r="HFW34" s="17"/>
      <c r="HFX34" s="17"/>
      <c r="HFY34" s="17"/>
      <c r="HFZ34" s="17"/>
      <c r="HGA34" s="17"/>
      <c r="HGB34" s="17"/>
      <c r="HGC34" s="17"/>
      <c r="HGD34" s="17"/>
      <c r="HGE34" s="17"/>
      <c r="HGF34" s="17"/>
      <c r="HGG34" s="17"/>
      <c r="HGH34" s="17"/>
      <c r="HGI34" s="17"/>
      <c r="HGJ34" s="17"/>
      <c r="HGK34" s="17"/>
      <c r="HGL34" s="17"/>
      <c r="HGM34" s="17"/>
      <c r="HGN34" s="17"/>
      <c r="HGO34" s="17"/>
      <c r="HGP34" s="17"/>
      <c r="HGQ34" s="17"/>
      <c r="HGR34" s="17"/>
      <c r="HGS34" s="17"/>
      <c r="HGT34" s="17"/>
      <c r="HGU34" s="17"/>
      <c r="HGV34" s="17"/>
      <c r="HGW34" s="17"/>
      <c r="HGX34" s="17"/>
      <c r="HGY34" s="17"/>
      <c r="HGZ34" s="17"/>
      <c r="HHA34" s="17"/>
      <c r="HHB34" s="17"/>
      <c r="HHC34" s="17"/>
      <c r="HHD34" s="17"/>
      <c r="HHE34" s="17"/>
      <c r="HHF34" s="17"/>
      <c r="HHG34" s="17"/>
      <c r="HHH34" s="17"/>
      <c r="HHI34" s="17"/>
      <c r="HHJ34" s="17"/>
      <c r="HHK34" s="17"/>
      <c r="HHL34" s="17"/>
      <c r="HHM34" s="17"/>
      <c r="HHN34" s="17"/>
      <c r="HHO34" s="17"/>
      <c r="HHP34" s="17"/>
      <c r="HHQ34" s="17"/>
      <c r="HHR34" s="17"/>
      <c r="HHS34" s="17"/>
      <c r="HHT34" s="17"/>
      <c r="HHU34" s="17"/>
      <c r="HHV34" s="17"/>
      <c r="HHW34" s="17"/>
      <c r="HHX34" s="17"/>
      <c r="HHY34" s="17"/>
      <c r="HHZ34" s="17"/>
      <c r="HIA34" s="17"/>
      <c r="HIB34" s="17"/>
      <c r="HIC34" s="17"/>
      <c r="HID34" s="17"/>
      <c r="HIE34" s="17"/>
      <c r="HIF34" s="17"/>
      <c r="HIG34" s="17"/>
      <c r="HIH34" s="17"/>
      <c r="HII34" s="17"/>
      <c r="HIJ34" s="17"/>
      <c r="HIK34" s="17"/>
      <c r="HIL34" s="17"/>
      <c r="HIM34" s="17"/>
      <c r="HIN34" s="17"/>
      <c r="HIO34" s="17"/>
      <c r="HIP34" s="17"/>
      <c r="HIQ34" s="17"/>
      <c r="HIR34" s="17"/>
      <c r="HIS34" s="17"/>
      <c r="HIT34" s="17"/>
      <c r="HIU34" s="17"/>
      <c r="HIV34" s="17"/>
      <c r="HIW34" s="17"/>
      <c r="HIX34" s="17"/>
      <c r="HIY34" s="17"/>
      <c r="HIZ34" s="17"/>
      <c r="HJA34" s="17"/>
      <c r="HJB34" s="17"/>
      <c r="HJC34" s="17"/>
      <c r="HJD34" s="17"/>
      <c r="HJE34" s="17"/>
      <c r="HJF34" s="17"/>
      <c r="HJG34" s="17"/>
      <c r="HJH34" s="17"/>
      <c r="HJI34" s="17"/>
      <c r="HJJ34" s="17"/>
      <c r="HJK34" s="17"/>
      <c r="HJL34" s="17"/>
      <c r="HJM34" s="17"/>
      <c r="HJN34" s="17"/>
      <c r="HJO34" s="17"/>
      <c r="HJP34" s="17"/>
      <c r="HJQ34" s="17"/>
      <c r="HJR34" s="17"/>
      <c r="HJS34" s="17"/>
      <c r="HJT34" s="17"/>
      <c r="HJU34" s="17"/>
      <c r="HJV34" s="17"/>
      <c r="HJW34" s="17"/>
      <c r="HJX34" s="17"/>
      <c r="HJY34" s="17"/>
      <c r="HJZ34" s="17"/>
      <c r="HKA34" s="17"/>
      <c r="HKB34" s="17"/>
      <c r="HKC34" s="17"/>
      <c r="HKD34" s="17"/>
      <c r="HKE34" s="17"/>
      <c r="HKF34" s="17"/>
      <c r="HKG34" s="17"/>
      <c r="HKH34" s="17"/>
      <c r="HKI34" s="17"/>
      <c r="HKJ34" s="17"/>
      <c r="HKK34" s="17"/>
      <c r="HKL34" s="17"/>
      <c r="HKM34" s="17"/>
      <c r="HKN34" s="17"/>
      <c r="HKO34" s="17"/>
      <c r="HKP34" s="17"/>
      <c r="HKQ34" s="17"/>
      <c r="HKR34" s="17"/>
      <c r="HKS34" s="17"/>
      <c r="HKT34" s="17"/>
      <c r="HKU34" s="17"/>
      <c r="HKV34" s="17"/>
      <c r="HKW34" s="17"/>
      <c r="HKX34" s="17"/>
      <c r="HKY34" s="17"/>
      <c r="HKZ34" s="17"/>
      <c r="HLA34" s="17"/>
      <c r="HLB34" s="17"/>
      <c r="HLC34" s="17"/>
      <c r="HLD34" s="17"/>
      <c r="HLE34" s="17"/>
      <c r="HLF34" s="17"/>
      <c r="HLG34" s="17"/>
      <c r="HLH34" s="17"/>
      <c r="HLI34" s="17"/>
      <c r="HLJ34" s="17"/>
      <c r="HLK34" s="17"/>
      <c r="HLL34" s="17"/>
      <c r="HLM34" s="17"/>
      <c r="HLN34" s="17"/>
      <c r="HLO34" s="17"/>
      <c r="HLP34" s="17"/>
      <c r="HLQ34" s="17"/>
      <c r="HLR34" s="17"/>
      <c r="HLS34" s="17"/>
      <c r="HLT34" s="17"/>
      <c r="HLU34" s="17"/>
      <c r="HLV34" s="17"/>
      <c r="HLW34" s="17"/>
      <c r="HLX34" s="17"/>
      <c r="HLY34" s="17"/>
      <c r="HLZ34" s="17"/>
      <c r="HMA34" s="17"/>
      <c r="HMB34" s="17"/>
      <c r="HMC34" s="17"/>
      <c r="HMD34" s="17"/>
      <c r="HME34" s="17"/>
      <c r="HMF34" s="17"/>
      <c r="HMG34" s="17"/>
      <c r="HMH34" s="17"/>
      <c r="HMI34" s="17"/>
      <c r="HMJ34" s="17"/>
      <c r="HMK34" s="17"/>
      <c r="HML34" s="17"/>
      <c r="HMM34" s="17"/>
      <c r="HMN34" s="17"/>
      <c r="HMO34" s="17"/>
      <c r="HMP34" s="17"/>
      <c r="HMQ34" s="17"/>
      <c r="HMR34" s="17"/>
      <c r="HMS34" s="17"/>
      <c r="HMT34" s="17"/>
      <c r="HMU34" s="17"/>
      <c r="HMV34" s="17"/>
      <c r="HMW34" s="17"/>
      <c r="HMX34" s="17"/>
      <c r="HMY34" s="17"/>
      <c r="HMZ34" s="17"/>
      <c r="HNA34" s="17"/>
      <c r="HNB34" s="17"/>
      <c r="HNC34" s="17"/>
      <c r="HND34" s="17"/>
      <c r="HNE34" s="17"/>
      <c r="HNF34" s="17"/>
      <c r="HNG34" s="17"/>
      <c r="HNH34" s="17"/>
      <c r="HNI34" s="17"/>
      <c r="HNJ34" s="17"/>
      <c r="HNK34" s="17"/>
      <c r="HNL34" s="17"/>
      <c r="HNM34" s="17"/>
      <c r="HNN34" s="17"/>
      <c r="HNO34" s="17"/>
      <c r="HNP34" s="17"/>
      <c r="HNQ34" s="17"/>
      <c r="HNR34" s="17"/>
      <c r="HNS34" s="17"/>
      <c r="HNT34" s="17"/>
      <c r="HNU34" s="17"/>
      <c r="HNV34" s="17"/>
      <c r="HNW34" s="17"/>
      <c r="HNX34" s="17"/>
      <c r="HNY34" s="17"/>
      <c r="HNZ34" s="17"/>
      <c r="HOA34" s="17"/>
      <c r="HOB34" s="17"/>
      <c r="HOC34" s="17"/>
      <c r="HOD34" s="17"/>
      <c r="HOE34" s="17"/>
      <c r="HOF34" s="17"/>
      <c r="HOG34" s="17"/>
      <c r="HOH34" s="17"/>
      <c r="HOI34" s="17"/>
      <c r="HOJ34" s="17"/>
      <c r="HOK34" s="17"/>
      <c r="HOL34" s="17"/>
      <c r="HOM34" s="17"/>
      <c r="HON34" s="17"/>
      <c r="HOO34" s="17"/>
      <c r="HOP34" s="17"/>
      <c r="HOQ34" s="17"/>
      <c r="HOR34" s="17"/>
      <c r="HOS34" s="17"/>
      <c r="HOT34" s="17"/>
      <c r="HOU34" s="17"/>
      <c r="HOV34" s="17"/>
      <c r="HOW34" s="17"/>
      <c r="HOX34" s="17"/>
      <c r="HOY34" s="17"/>
      <c r="HOZ34" s="17"/>
      <c r="HPA34" s="17"/>
      <c r="HPB34" s="17"/>
      <c r="HPC34" s="17"/>
      <c r="HPD34" s="17"/>
      <c r="HPE34" s="17"/>
      <c r="HPF34" s="17"/>
      <c r="HPG34" s="17"/>
      <c r="HPH34" s="17"/>
      <c r="HPI34" s="17"/>
      <c r="HPJ34" s="17"/>
      <c r="HPK34" s="17"/>
      <c r="HPL34" s="17"/>
      <c r="HPM34" s="17"/>
      <c r="HPN34" s="17"/>
      <c r="HPO34" s="17"/>
      <c r="HPP34" s="17"/>
      <c r="HPQ34" s="17"/>
      <c r="HPR34" s="17"/>
      <c r="HPS34" s="17"/>
      <c r="HPT34" s="17"/>
      <c r="HPU34" s="17"/>
      <c r="HPV34" s="17"/>
      <c r="HPW34" s="17"/>
      <c r="HPX34" s="17"/>
      <c r="HPY34" s="17"/>
      <c r="HPZ34" s="17"/>
      <c r="HQA34" s="17"/>
      <c r="HQB34" s="17"/>
      <c r="HQC34" s="17"/>
      <c r="HQD34" s="17"/>
      <c r="HQE34" s="17"/>
      <c r="HQF34" s="17"/>
      <c r="HQG34" s="17"/>
      <c r="HQH34" s="17"/>
      <c r="HQI34" s="17"/>
      <c r="HQJ34" s="17"/>
      <c r="HQK34" s="17"/>
      <c r="HQL34" s="17"/>
      <c r="HQM34" s="17"/>
      <c r="HQN34" s="17"/>
      <c r="HQO34" s="17"/>
      <c r="HQP34" s="17"/>
      <c r="HQQ34" s="17"/>
      <c r="HQR34" s="17"/>
      <c r="HQS34" s="17"/>
      <c r="HQT34" s="17"/>
      <c r="HQU34" s="17"/>
      <c r="HQV34" s="17"/>
      <c r="HQW34" s="17"/>
      <c r="HQX34" s="17"/>
      <c r="HQY34" s="17"/>
      <c r="HQZ34" s="17"/>
      <c r="HRA34" s="17"/>
      <c r="HRB34" s="17"/>
      <c r="HRC34" s="17"/>
      <c r="HRD34" s="17"/>
      <c r="HRE34" s="17"/>
      <c r="HRF34" s="17"/>
      <c r="HRG34" s="17"/>
      <c r="HRH34" s="17"/>
      <c r="HRI34" s="17"/>
      <c r="HRJ34" s="17"/>
      <c r="HRK34" s="17"/>
      <c r="HRL34" s="17"/>
      <c r="HRM34" s="17"/>
      <c r="HRN34" s="17"/>
      <c r="HRO34" s="17"/>
      <c r="HRP34" s="17"/>
      <c r="HRQ34" s="17"/>
      <c r="HRR34" s="17"/>
      <c r="HRS34" s="17"/>
      <c r="HRT34" s="17"/>
      <c r="HRU34" s="17"/>
      <c r="HRV34" s="17"/>
      <c r="HRW34" s="17"/>
      <c r="HRX34" s="17"/>
      <c r="HRY34" s="17"/>
      <c r="HRZ34" s="17"/>
      <c r="HSA34" s="17"/>
      <c r="HSB34" s="17"/>
      <c r="HSC34" s="17"/>
      <c r="HSD34" s="17"/>
      <c r="HSE34" s="17"/>
      <c r="HSF34" s="17"/>
      <c r="HSG34" s="17"/>
      <c r="HSH34" s="17"/>
      <c r="HSI34" s="17"/>
      <c r="HSJ34" s="17"/>
      <c r="HSK34" s="17"/>
      <c r="HSL34" s="17"/>
      <c r="HSM34" s="17"/>
      <c r="HSN34" s="17"/>
      <c r="HSO34" s="17"/>
      <c r="HSP34" s="17"/>
      <c r="HSQ34" s="17"/>
      <c r="HSR34" s="17"/>
      <c r="HSS34" s="17"/>
      <c r="HST34" s="17"/>
      <c r="HSU34" s="17"/>
      <c r="HSV34" s="17"/>
      <c r="HSW34" s="17"/>
      <c r="HSX34" s="17"/>
      <c r="HSY34" s="17"/>
      <c r="HSZ34" s="17"/>
      <c r="HTA34" s="17"/>
      <c r="HTB34" s="17"/>
      <c r="HTC34" s="17"/>
      <c r="HTD34" s="17"/>
      <c r="HTE34" s="17"/>
      <c r="HTF34" s="17"/>
      <c r="HTG34" s="17"/>
      <c r="HTH34" s="17"/>
      <c r="HTI34" s="17"/>
      <c r="HTJ34" s="17"/>
      <c r="HTK34" s="17"/>
      <c r="HTL34" s="17"/>
      <c r="HTM34" s="17"/>
      <c r="HTN34" s="17"/>
      <c r="HTO34" s="17"/>
      <c r="HTP34" s="17"/>
      <c r="HTQ34" s="17"/>
      <c r="HTR34" s="17"/>
      <c r="HTS34" s="17"/>
      <c r="HTT34" s="17"/>
      <c r="HTU34" s="17"/>
      <c r="HTV34" s="17"/>
      <c r="HTW34" s="17"/>
      <c r="HTX34" s="17"/>
      <c r="HTY34" s="17"/>
      <c r="HTZ34" s="17"/>
      <c r="HUA34" s="17"/>
      <c r="HUB34" s="17"/>
      <c r="HUC34" s="17"/>
      <c r="HUD34" s="17"/>
      <c r="HUE34" s="17"/>
      <c r="HUF34" s="17"/>
      <c r="HUG34" s="17"/>
      <c r="HUH34" s="17"/>
      <c r="HUI34" s="17"/>
      <c r="HUJ34" s="17"/>
      <c r="HUK34" s="17"/>
      <c r="HUL34" s="17"/>
      <c r="HUM34" s="17"/>
      <c r="HUN34" s="17"/>
      <c r="HUO34" s="17"/>
      <c r="HUP34" s="17"/>
      <c r="HUQ34" s="17"/>
      <c r="HUR34" s="17"/>
      <c r="HUS34" s="17"/>
      <c r="HUT34" s="17"/>
      <c r="HUU34" s="17"/>
      <c r="HUV34" s="17"/>
      <c r="HUW34" s="17"/>
      <c r="HUX34" s="17"/>
      <c r="HUY34" s="17"/>
      <c r="HUZ34" s="17"/>
      <c r="HVA34" s="17"/>
      <c r="HVB34" s="17"/>
      <c r="HVC34" s="17"/>
      <c r="HVD34" s="17"/>
      <c r="HVE34" s="17"/>
      <c r="HVF34" s="17"/>
      <c r="HVG34" s="17"/>
      <c r="HVH34" s="17"/>
      <c r="HVI34" s="17"/>
      <c r="HVJ34" s="17"/>
      <c r="HVK34" s="17"/>
      <c r="HVL34" s="17"/>
      <c r="HVM34" s="17"/>
      <c r="HVN34" s="17"/>
      <c r="HVO34" s="17"/>
      <c r="HVP34" s="17"/>
      <c r="HVQ34" s="17"/>
      <c r="HVR34" s="17"/>
      <c r="HVS34" s="17"/>
      <c r="HVT34" s="17"/>
      <c r="HVU34" s="17"/>
      <c r="HVV34" s="17"/>
      <c r="HVW34" s="17"/>
      <c r="HVX34" s="17"/>
      <c r="HVY34" s="17"/>
      <c r="HVZ34" s="17"/>
      <c r="HWA34" s="17"/>
      <c r="HWB34" s="17"/>
      <c r="HWC34" s="17"/>
      <c r="HWD34" s="17"/>
      <c r="HWE34" s="17"/>
      <c r="HWF34" s="17"/>
      <c r="HWG34" s="17"/>
      <c r="HWH34" s="17"/>
      <c r="HWI34" s="17"/>
      <c r="HWJ34" s="17"/>
      <c r="HWK34" s="17"/>
      <c r="HWL34" s="17"/>
      <c r="HWM34" s="17"/>
      <c r="HWN34" s="17"/>
      <c r="HWO34" s="17"/>
      <c r="HWP34" s="17"/>
      <c r="HWQ34" s="17"/>
      <c r="HWR34" s="17"/>
      <c r="HWS34" s="17"/>
      <c r="HWT34" s="17"/>
      <c r="HWU34" s="17"/>
      <c r="HWV34" s="17"/>
      <c r="HWW34" s="17"/>
      <c r="HWX34" s="17"/>
      <c r="HWY34" s="17"/>
      <c r="HWZ34" s="17"/>
      <c r="HXA34" s="17"/>
      <c r="HXB34" s="17"/>
      <c r="HXC34" s="17"/>
      <c r="HXD34" s="17"/>
      <c r="HXE34" s="17"/>
      <c r="HXF34" s="17"/>
      <c r="HXG34" s="17"/>
      <c r="HXH34" s="17"/>
      <c r="HXI34" s="17"/>
      <c r="HXJ34" s="17"/>
      <c r="HXK34" s="17"/>
      <c r="HXL34" s="17"/>
      <c r="HXM34" s="17"/>
      <c r="HXN34" s="17"/>
      <c r="HXO34" s="17"/>
      <c r="HXP34" s="17"/>
      <c r="HXQ34" s="17"/>
      <c r="HXR34" s="17"/>
      <c r="HXS34" s="17"/>
      <c r="HXT34" s="17"/>
      <c r="HXU34" s="17"/>
      <c r="HXV34" s="17"/>
      <c r="HXW34" s="17"/>
      <c r="HXX34" s="17"/>
      <c r="HXY34" s="17"/>
      <c r="HXZ34" s="17"/>
      <c r="HYA34" s="17"/>
      <c r="HYB34" s="17"/>
      <c r="HYC34" s="17"/>
      <c r="HYD34" s="17"/>
      <c r="HYE34" s="17"/>
      <c r="HYF34" s="17"/>
      <c r="HYG34" s="17"/>
      <c r="HYH34" s="17"/>
      <c r="HYI34" s="17"/>
      <c r="HYJ34" s="17"/>
      <c r="HYK34" s="17"/>
      <c r="HYL34" s="17"/>
      <c r="HYM34" s="17"/>
      <c r="HYN34" s="17"/>
      <c r="HYO34" s="17"/>
      <c r="HYP34" s="17"/>
      <c r="HYQ34" s="17"/>
      <c r="HYR34" s="17"/>
      <c r="HYS34" s="17"/>
      <c r="HYT34" s="17"/>
      <c r="HYU34" s="17"/>
      <c r="HYV34" s="17"/>
      <c r="HYW34" s="17"/>
      <c r="HYX34" s="17"/>
      <c r="HYY34" s="17"/>
      <c r="HYZ34" s="17"/>
      <c r="HZA34" s="17"/>
      <c r="HZB34" s="17"/>
      <c r="HZC34" s="17"/>
      <c r="HZD34" s="17"/>
      <c r="HZE34" s="17"/>
      <c r="HZF34" s="17"/>
      <c r="HZG34" s="17"/>
      <c r="HZH34" s="17"/>
      <c r="HZI34" s="17"/>
      <c r="HZJ34" s="17"/>
      <c r="HZK34" s="17"/>
      <c r="HZL34" s="17"/>
      <c r="HZM34" s="17"/>
      <c r="HZN34" s="17"/>
      <c r="HZO34" s="17"/>
      <c r="HZP34" s="17"/>
      <c r="HZQ34" s="17"/>
      <c r="HZR34" s="17"/>
      <c r="HZS34" s="17"/>
      <c r="HZT34" s="17"/>
      <c r="HZU34" s="17"/>
      <c r="HZV34" s="17"/>
      <c r="HZW34" s="17"/>
      <c r="HZX34" s="17"/>
      <c r="HZY34" s="17"/>
      <c r="HZZ34" s="17"/>
      <c r="IAA34" s="17"/>
      <c r="IAB34" s="17"/>
      <c r="IAC34" s="17"/>
      <c r="IAD34" s="17"/>
      <c r="IAE34" s="17"/>
      <c r="IAF34" s="17"/>
      <c r="IAG34" s="17"/>
      <c r="IAH34" s="17"/>
      <c r="IAI34" s="17"/>
      <c r="IAJ34" s="17"/>
      <c r="IAK34" s="17"/>
      <c r="IAL34" s="17"/>
      <c r="IAM34" s="17"/>
      <c r="IAN34" s="17"/>
      <c r="IAO34" s="17"/>
      <c r="IAP34" s="17"/>
      <c r="IAQ34" s="17"/>
      <c r="IAR34" s="17"/>
      <c r="IAS34" s="17"/>
      <c r="IAT34" s="17"/>
      <c r="IAU34" s="17"/>
      <c r="IAV34" s="17"/>
      <c r="IAW34" s="17"/>
      <c r="IAX34" s="17"/>
      <c r="IAY34" s="17"/>
      <c r="IAZ34" s="17"/>
      <c r="IBA34" s="17"/>
      <c r="IBB34" s="17"/>
      <c r="IBC34" s="17"/>
      <c r="IBD34" s="17"/>
      <c r="IBE34" s="17"/>
      <c r="IBF34" s="17"/>
      <c r="IBG34" s="17"/>
      <c r="IBH34" s="17"/>
      <c r="IBI34" s="17"/>
      <c r="IBJ34" s="17"/>
      <c r="IBK34" s="17"/>
      <c r="IBL34" s="17"/>
      <c r="IBM34" s="17"/>
      <c r="IBN34" s="17"/>
      <c r="IBO34" s="17"/>
      <c r="IBP34" s="17"/>
      <c r="IBQ34" s="17"/>
      <c r="IBR34" s="17"/>
      <c r="IBS34" s="17"/>
      <c r="IBT34" s="17"/>
      <c r="IBU34" s="17"/>
      <c r="IBV34" s="17"/>
      <c r="IBW34" s="17"/>
      <c r="IBX34" s="17"/>
      <c r="IBY34" s="17"/>
      <c r="IBZ34" s="17"/>
      <c r="ICA34" s="17"/>
      <c r="ICB34" s="17"/>
      <c r="ICC34" s="17"/>
      <c r="ICD34" s="17"/>
      <c r="ICE34" s="17"/>
      <c r="ICF34" s="17"/>
      <c r="ICG34" s="17"/>
      <c r="ICH34" s="17"/>
      <c r="ICI34" s="17"/>
      <c r="ICJ34" s="17"/>
      <c r="ICK34" s="17"/>
      <c r="ICL34" s="17"/>
      <c r="ICM34" s="17"/>
      <c r="ICN34" s="17"/>
      <c r="ICO34" s="17"/>
      <c r="ICP34" s="17"/>
      <c r="ICQ34" s="17"/>
      <c r="ICR34" s="17"/>
      <c r="ICS34" s="17"/>
      <c r="ICT34" s="17"/>
      <c r="ICU34" s="17"/>
      <c r="ICV34" s="17"/>
      <c r="ICW34" s="17"/>
      <c r="ICX34" s="17"/>
      <c r="ICY34" s="17"/>
      <c r="ICZ34" s="17"/>
      <c r="IDA34" s="17"/>
      <c r="IDB34" s="17"/>
      <c r="IDC34" s="17"/>
      <c r="IDD34" s="17"/>
      <c r="IDE34" s="17"/>
      <c r="IDF34" s="17"/>
      <c r="IDG34" s="17"/>
      <c r="IDH34" s="17"/>
      <c r="IDI34" s="17"/>
      <c r="IDJ34" s="17"/>
      <c r="IDK34" s="17"/>
      <c r="IDL34" s="17"/>
      <c r="IDM34" s="17"/>
      <c r="IDN34" s="17"/>
      <c r="IDO34" s="17"/>
      <c r="IDP34" s="17"/>
      <c r="IDQ34" s="17"/>
      <c r="IDR34" s="17"/>
      <c r="IDS34" s="17"/>
      <c r="IDT34" s="17"/>
      <c r="IDU34" s="17"/>
      <c r="IDV34" s="17"/>
      <c r="IDW34" s="17"/>
      <c r="IDX34" s="17"/>
      <c r="IDY34" s="17"/>
      <c r="IDZ34" s="17"/>
      <c r="IEA34" s="17"/>
      <c r="IEB34" s="17"/>
      <c r="IEC34" s="17"/>
      <c r="IED34" s="17"/>
      <c r="IEE34" s="17"/>
      <c r="IEF34" s="17"/>
      <c r="IEG34" s="17"/>
      <c r="IEH34" s="17"/>
      <c r="IEI34" s="17"/>
      <c r="IEJ34" s="17"/>
      <c r="IEK34" s="17"/>
      <c r="IEL34" s="17"/>
      <c r="IEM34" s="17"/>
      <c r="IEN34" s="17"/>
      <c r="IEO34" s="17"/>
      <c r="IEP34" s="17"/>
      <c r="IEQ34" s="17"/>
      <c r="IER34" s="17"/>
      <c r="IES34" s="17"/>
      <c r="IET34" s="17"/>
      <c r="IEU34" s="17"/>
      <c r="IEV34" s="17"/>
      <c r="IEW34" s="17"/>
      <c r="IEX34" s="17"/>
      <c r="IEY34" s="17"/>
      <c r="IEZ34" s="17"/>
      <c r="IFA34" s="17"/>
      <c r="IFB34" s="17"/>
      <c r="IFC34" s="17"/>
      <c r="IFD34" s="17"/>
      <c r="IFE34" s="17"/>
      <c r="IFF34" s="17"/>
      <c r="IFG34" s="17"/>
      <c r="IFH34" s="17"/>
      <c r="IFI34" s="17"/>
      <c r="IFJ34" s="17"/>
      <c r="IFK34" s="17"/>
      <c r="IFL34" s="17"/>
      <c r="IFM34" s="17"/>
      <c r="IFN34" s="17"/>
      <c r="IFO34" s="17"/>
      <c r="IFP34" s="17"/>
      <c r="IFQ34" s="17"/>
      <c r="IFR34" s="17"/>
      <c r="IFS34" s="17"/>
      <c r="IFT34" s="17"/>
      <c r="IFU34" s="17"/>
      <c r="IFV34" s="17"/>
      <c r="IFW34" s="17"/>
      <c r="IFX34" s="17"/>
      <c r="IFY34" s="17"/>
      <c r="IFZ34" s="17"/>
      <c r="IGA34" s="17"/>
      <c r="IGB34" s="17"/>
      <c r="IGC34" s="17"/>
      <c r="IGD34" s="17"/>
      <c r="IGE34" s="17"/>
      <c r="IGF34" s="17"/>
      <c r="IGG34" s="17"/>
      <c r="IGH34" s="17"/>
      <c r="IGI34" s="17"/>
      <c r="IGJ34" s="17"/>
      <c r="IGK34" s="17"/>
      <c r="IGL34" s="17"/>
      <c r="IGM34" s="17"/>
      <c r="IGN34" s="17"/>
      <c r="IGO34" s="17"/>
      <c r="IGP34" s="17"/>
      <c r="IGQ34" s="17"/>
      <c r="IGR34" s="17"/>
      <c r="IGS34" s="17"/>
      <c r="IGT34" s="17"/>
      <c r="IGU34" s="17"/>
      <c r="IGV34" s="17"/>
      <c r="IGW34" s="17"/>
      <c r="IGX34" s="17"/>
      <c r="IGY34" s="17"/>
      <c r="IGZ34" s="17"/>
      <c r="IHA34" s="17"/>
      <c r="IHB34" s="17"/>
      <c r="IHC34" s="17"/>
      <c r="IHD34" s="17"/>
      <c r="IHE34" s="17"/>
      <c r="IHF34" s="17"/>
      <c r="IHG34" s="17"/>
      <c r="IHH34" s="17"/>
      <c r="IHI34" s="17"/>
      <c r="IHJ34" s="17"/>
      <c r="IHK34" s="17"/>
      <c r="IHL34" s="17"/>
      <c r="IHM34" s="17"/>
      <c r="IHN34" s="17"/>
      <c r="IHO34" s="17"/>
      <c r="IHP34" s="17"/>
      <c r="IHQ34" s="17"/>
      <c r="IHR34" s="17"/>
      <c r="IHS34" s="17"/>
      <c r="IHT34" s="17"/>
      <c r="IHU34" s="17"/>
      <c r="IHV34" s="17"/>
      <c r="IHW34" s="17"/>
      <c r="IHX34" s="17"/>
      <c r="IHY34" s="17"/>
      <c r="IHZ34" s="17"/>
      <c r="IIA34" s="17"/>
      <c r="IIB34" s="17"/>
      <c r="IIC34" s="17"/>
      <c r="IID34" s="17"/>
      <c r="IIE34" s="17"/>
      <c r="IIF34" s="17"/>
      <c r="IIG34" s="17"/>
      <c r="IIH34" s="17"/>
      <c r="III34" s="17"/>
      <c r="IIJ34" s="17"/>
      <c r="IIK34" s="17"/>
      <c r="IIL34" s="17"/>
      <c r="IIM34" s="17"/>
      <c r="IIN34" s="17"/>
      <c r="IIO34" s="17"/>
      <c r="IIP34" s="17"/>
      <c r="IIQ34" s="17"/>
      <c r="IIR34" s="17"/>
      <c r="IIS34" s="17"/>
      <c r="IIT34" s="17"/>
      <c r="IIU34" s="17"/>
      <c r="IIV34" s="17"/>
      <c r="IIW34" s="17"/>
      <c r="IIX34" s="17"/>
      <c r="IIY34" s="17"/>
      <c r="IIZ34" s="17"/>
      <c r="IJA34" s="17"/>
      <c r="IJB34" s="17"/>
      <c r="IJC34" s="17"/>
      <c r="IJD34" s="17"/>
      <c r="IJE34" s="17"/>
      <c r="IJF34" s="17"/>
      <c r="IJG34" s="17"/>
      <c r="IJH34" s="17"/>
      <c r="IJI34" s="17"/>
      <c r="IJJ34" s="17"/>
      <c r="IJK34" s="17"/>
      <c r="IJL34" s="17"/>
      <c r="IJM34" s="17"/>
      <c r="IJN34" s="17"/>
      <c r="IJO34" s="17"/>
      <c r="IJP34" s="17"/>
      <c r="IJQ34" s="17"/>
      <c r="IJR34" s="17"/>
      <c r="IJS34" s="17"/>
      <c r="IJT34" s="17"/>
      <c r="IJU34" s="17"/>
      <c r="IJV34" s="17"/>
      <c r="IJW34" s="17"/>
      <c r="IJX34" s="17"/>
      <c r="IJY34" s="17"/>
      <c r="IJZ34" s="17"/>
      <c r="IKA34" s="17"/>
      <c r="IKB34" s="17"/>
      <c r="IKC34" s="17"/>
      <c r="IKD34" s="17"/>
      <c r="IKE34" s="17"/>
      <c r="IKF34" s="17"/>
      <c r="IKG34" s="17"/>
      <c r="IKH34" s="17"/>
      <c r="IKI34" s="17"/>
      <c r="IKJ34" s="17"/>
      <c r="IKK34" s="17"/>
      <c r="IKL34" s="17"/>
      <c r="IKM34" s="17"/>
      <c r="IKN34" s="17"/>
      <c r="IKO34" s="17"/>
      <c r="IKP34" s="17"/>
      <c r="IKQ34" s="17"/>
      <c r="IKR34" s="17"/>
      <c r="IKS34" s="17"/>
      <c r="IKT34" s="17"/>
      <c r="IKU34" s="17"/>
      <c r="IKV34" s="17"/>
      <c r="IKW34" s="17"/>
      <c r="IKX34" s="17"/>
      <c r="IKY34" s="17"/>
      <c r="IKZ34" s="17"/>
      <c r="ILA34" s="17"/>
      <c r="ILB34" s="17"/>
      <c r="ILC34" s="17"/>
      <c r="ILD34" s="17"/>
      <c r="ILE34" s="17"/>
      <c r="ILF34" s="17"/>
      <c r="ILG34" s="17"/>
      <c r="ILH34" s="17"/>
      <c r="ILI34" s="17"/>
      <c r="ILJ34" s="17"/>
      <c r="ILK34" s="17"/>
      <c r="ILL34" s="17"/>
      <c r="ILM34" s="17"/>
      <c r="ILN34" s="17"/>
      <c r="ILO34" s="17"/>
      <c r="ILP34" s="17"/>
      <c r="ILQ34" s="17"/>
      <c r="ILR34" s="17"/>
      <c r="ILS34" s="17"/>
      <c r="ILT34" s="17"/>
      <c r="ILU34" s="17"/>
      <c r="ILV34" s="17"/>
      <c r="ILW34" s="17"/>
      <c r="ILX34" s="17"/>
      <c r="ILY34" s="17"/>
      <c r="ILZ34" s="17"/>
      <c r="IMA34" s="17"/>
      <c r="IMB34" s="17"/>
      <c r="IMC34" s="17"/>
      <c r="IMD34" s="17"/>
      <c r="IME34" s="17"/>
      <c r="IMF34" s="17"/>
      <c r="IMG34" s="17"/>
      <c r="IMH34" s="17"/>
      <c r="IMI34" s="17"/>
      <c r="IMJ34" s="17"/>
      <c r="IMK34" s="17"/>
      <c r="IML34" s="17"/>
      <c r="IMM34" s="17"/>
      <c r="IMN34" s="17"/>
      <c r="IMO34" s="17"/>
      <c r="IMP34" s="17"/>
      <c r="IMQ34" s="17"/>
      <c r="IMR34" s="17"/>
      <c r="IMS34" s="17"/>
      <c r="IMT34" s="17"/>
      <c r="IMU34" s="17"/>
      <c r="IMV34" s="17"/>
      <c r="IMW34" s="17"/>
      <c r="IMX34" s="17"/>
      <c r="IMY34" s="17"/>
      <c r="IMZ34" s="17"/>
      <c r="INA34" s="17"/>
      <c r="INB34" s="17"/>
      <c r="INC34" s="17"/>
      <c r="IND34" s="17"/>
      <c r="INE34" s="17"/>
      <c r="INF34" s="17"/>
      <c r="ING34" s="17"/>
      <c r="INH34" s="17"/>
      <c r="INI34" s="17"/>
      <c r="INJ34" s="17"/>
      <c r="INK34" s="17"/>
      <c r="INL34" s="17"/>
      <c r="INM34" s="17"/>
      <c r="INN34" s="17"/>
      <c r="INO34" s="17"/>
      <c r="INP34" s="17"/>
      <c r="INQ34" s="17"/>
      <c r="INR34" s="17"/>
      <c r="INS34" s="17"/>
      <c r="INT34" s="17"/>
      <c r="INU34" s="17"/>
      <c r="INV34" s="17"/>
      <c r="INW34" s="17"/>
      <c r="INX34" s="17"/>
      <c r="INY34" s="17"/>
      <c r="INZ34" s="17"/>
      <c r="IOA34" s="17"/>
      <c r="IOB34" s="17"/>
      <c r="IOC34" s="17"/>
      <c r="IOD34" s="17"/>
      <c r="IOE34" s="17"/>
      <c r="IOF34" s="17"/>
      <c r="IOG34" s="17"/>
      <c r="IOH34" s="17"/>
      <c r="IOI34" s="17"/>
      <c r="IOJ34" s="17"/>
      <c r="IOK34" s="17"/>
      <c r="IOL34" s="17"/>
      <c r="IOM34" s="17"/>
      <c r="ION34" s="17"/>
      <c r="IOO34" s="17"/>
      <c r="IOP34" s="17"/>
      <c r="IOQ34" s="17"/>
      <c r="IOR34" s="17"/>
      <c r="IOS34" s="17"/>
      <c r="IOT34" s="17"/>
      <c r="IOU34" s="17"/>
      <c r="IOV34" s="17"/>
      <c r="IOW34" s="17"/>
      <c r="IOX34" s="17"/>
      <c r="IOY34" s="17"/>
      <c r="IOZ34" s="17"/>
      <c r="IPA34" s="17"/>
      <c r="IPB34" s="17"/>
      <c r="IPC34" s="17"/>
      <c r="IPD34" s="17"/>
      <c r="IPE34" s="17"/>
      <c r="IPF34" s="17"/>
      <c r="IPG34" s="17"/>
      <c r="IPH34" s="17"/>
      <c r="IPI34" s="17"/>
      <c r="IPJ34" s="17"/>
      <c r="IPK34" s="17"/>
      <c r="IPL34" s="17"/>
      <c r="IPM34" s="17"/>
      <c r="IPN34" s="17"/>
      <c r="IPO34" s="17"/>
      <c r="IPP34" s="17"/>
      <c r="IPQ34" s="17"/>
      <c r="IPR34" s="17"/>
      <c r="IPS34" s="17"/>
      <c r="IPT34" s="17"/>
      <c r="IPU34" s="17"/>
      <c r="IPV34" s="17"/>
      <c r="IPW34" s="17"/>
      <c r="IPX34" s="17"/>
      <c r="IPY34" s="17"/>
      <c r="IPZ34" s="17"/>
      <c r="IQA34" s="17"/>
      <c r="IQB34" s="17"/>
      <c r="IQC34" s="17"/>
      <c r="IQD34" s="17"/>
      <c r="IQE34" s="17"/>
      <c r="IQF34" s="17"/>
      <c r="IQG34" s="17"/>
      <c r="IQH34" s="17"/>
      <c r="IQI34" s="17"/>
      <c r="IQJ34" s="17"/>
      <c r="IQK34" s="17"/>
      <c r="IQL34" s="17"/>
      <c r="IQM34" s="17"/>
      <c r="IQN34" s="17"/>
      <c r="IQO34" s="17"/>
      <c r="IQP34" s="17"/>
      <c r="IQQ34" s="17"/>
      <c r="IQR34" s="17"/>
      <c r="IQS34" s="17"/>
      <c r="IQT34" s="17"/>
      <c r="IQU34" s="17"/>
      <c r="IQV34" s="17"/>
      <c r="IQW34" s="17"/>
      <c r="IQX34" s="17"/>
      <c r="IQY34" s="17"/>
      <c r="IQZ34" s="17"/>
      <c r="IRA34" s="17"/>
      <c r="IRB34" s="17"/>
      <c r="IRC34" s="17"/>
      <c r="IRD34" s="17"/>
      <c r="IRE34" s="17"/>
      <c r="IRF34" s="17"/>
      <c r="IRG34" s="17"/>
      <c r="IRH34" s="17"/>
      <c r="IRI34" s="17"/>
      <c r="IRJ34" s="17"/>
      <c r="IRK34" s="17"/>
      <c r="IRL34" s="17"/>
      <c r="IRM34" s="17"/>
      <c r="IRN34" s="17"/>
      <c r="IRO34" s="17"/>
      <c r="IRP34" s="17"/>
      <c r="IRQ34" s="17"/>
      <c r="IRR34" s="17"/>
      <c r="IRS34" s="17"/>
      <c r="IRT34" s="17"/>
      <c r="IRU34" s="17"/>
      <c r="IRV34" s="17"/>
      <c r="IRW34" s="17"/>
      <c r="IRX34" s="17"/>
      <c r="IRY34" s="17"/>
      <c r="IRZ34" s="17"/>
      <c r="ISA34" s="17"/>
      <c r="ISB34" s="17"/>
      <c r="ISC34" s="17"/>
      <c r="ISD34" s="17"/>
      <c r="ISE34" s="17"/>
      <c r="ISF34" s="17"/>
      <c r="ISG34" s="17"/>
      <c r="ISH34" s="17"/>
      <c r="ISI34" s="17"/>
      <c r="ISJ34" s="17"/>
      <c r="ISK34" s="17"/>
      <c r="ISL34" s="17"/>
      <c r="ISM34" s="17"/>
      <c r="ISN34" s="17"/>
      <c r="ISO34" s="17"/>
      <c r="ISP34" s="17"/>
      <c r="ISQ34" s="17"/>
      <c r="ISR34" s="17"/>
      <c r="ISS34" s="17"/>
      <c r="IST34" s="17"/>
      <c r="ISU34" s="17"/>
      <c r="ISV34" s="17"/>
      <c r="ISW34" s="17"/>
      <c r="ISX34" s="17"/>
      <c r="ISY34" s="17"/>
      <c r="ISZ34" s="17"/>
      <c r="ITA34" s="17"/>
      <c r="ITB34" s="17"/>
      <c r="ITC34" s="17"/>
      <c r="ITD34" s="17"/>
      <c r="ITE34" s="17"/>
      <c r="ITF34" s="17"/>
      <c r="ITG34" s="17"/>
      <c r="ITH34" s="17"/>
      <c r="ITI34" s="17"/>
      <c r="ITJ34" s="17"/>
      <c r="ITK34" s="17"/>
      <c r="ITL34" s="17"/>
      <c r="ITM34" s="17"/>
      <c r="ITN34" s="17"/>
      <c r="ITO34" s="17"/>
      <c r="ITP34" s="17"/>
      <c r="ITQ34" s="17"/>
      <c r="ITR34" s="17"/>
      <c r="ITS34" s="17"/>
      <c r="ITT34" s="17"/>
      <c r="ITU34" s="17"/>
      <c r="ITV34" s="17"/>
      <c r="ITW34" s="17"/>
      <c r="ITX34" s="17"/>
      <c r="ITY34" s="17"/>
      <c r="ITZ34" s="17"/>
      <c r="IUA34" s="17"/>
      <c r="IUB34" s="17"/>
      <c r="IUC34" s="17"/>
      <c r="IUD34" s="17"/>
      <c r="IUE34" s="17"/>
      <c r="IUF34" s="17"/>
      <c r="IUG34" s="17"/>
      <c r="IUH34" s="17"/>
      <c r="IUI34" s="17"/>
      <c r="IUJ34" s="17"/>
      <c r="IUK34" s="17"/>
      <c r="IUL34" s="17"/>
      <c r="IUM34" s="17"/>
      <c r="IUN34" s="17"/>
      <c r="IUO34" s="17"/>
      <c r="IUP34" s="17"/>
      <c r="IUQ34" s="17"/>
      <c r="IUR34" s="17"/>
      <c r="IUS34" s="17"/>
      <c r="IUT34" s="17"/>
      <c r="IUU34" s="17"/>
      <c r="IUV34" s="17"/>
      <c r="IUW34" s="17"/>
      <c r="IUX34" s="17"/>
      <c r="IUY34" s="17"/>
      <c r="IUZ34" s="17"/>
      <c r="IVA34" s="17"/>
      <c r="IVB34" s="17"/>
      <c r="IVC34" s="17"/>
      <c r="IVD34" s="17"/>
      <c r="IVE34" s="17"/>
      <c r="IVF34" s="17"/>
      <c r="IVG34" s="17"/>
      <c r="IVH34" s="17"/>
      <c r="IVI34" s="17"/>
      <c r="IVJ34" s="17"/>
      <c r="IVK34" s="17"/>
      <c r="IVL34" s="17"/>
      <c r="IVM34" s="17"/>
      <c r="IVN34" s="17"/>
      <c r="IVO34" s="17"/>
      <c r="IVP34" s="17"/>
      <c r="IVQ34" s="17"/>
      <c r="IVR34" s="17"/>
      <c r="IVS34" s="17"/>
      <c r="IVT34" s="17"/>
      <c r="IVU34" s="17"/>
      <c r="IVV34" s="17"/>
      <c r="IVW34" s="17"/>
      <c r="IVX34" s="17"/>
      <c r="IVY34" s="17"/>
      <c r="IVZ34" s="17"/>
      <c r="IWA34" s="17"/>
      <c r="IWB34" s="17"/>
      <c r="IWC34" s="17"/>
      <c r="IWD34" s="17"/>
      <c r="IWE34" s="17"/>
      <c r="IWF34" s="17"/>
      <c r="IWG34" s="17"/>
      <c r="IWH34" s="17"/>
      <c r="IWI34" s="17"/>
      <c r="IWJ34" s="17"/>
      <c r="IWK34" s="17"/>
      <c r="IWL34" s="17"/>
      <c r="IWM34" s="17"/>
      <c r="IWN34" s="17"/>
      <c r="IWO34" s="17"/>
      <c r="IWP34" s="17"/>
      <c r="IWQ34" s="17"/>
      <c r="IWR34" s="17"/>
      <c r="IWS34" s="17"/>
      <c r="IWT34" s="17"/>
      <c r="IWU34" s="17"/>
      <c r="IWV34" s="17"/>
      <c r="IWW34" s="17"/>
      <c r="IWX34" s="17"/>
      <c r="IWY34" s="17"/>
      <c r="IWZ34" s="17"/>
      <c r="IXA34" s="17"/>
      <c r="IXB34" s="17"/>
      <c r="IXC34" s="17"/>
      <c r="IXD34" s="17"/>
      <c r="IXE34" s="17"/>
      <c r="IXF34" s="17"/>
      <c r="IXG34" s="17"/>
      <c r="IXH34" s="17"/>
      <c r="IXI34" s="17"/>
      <c r="IXJ34" s="17"/>
      <c r="IXK34" s="17"/>
      <c r="IXL34" s="17"/>
      <c r="IXM34" s="17"/>
      <c r="IXN34" s="17"/>
      <c r="IXO34" s="17"/>
      <c r="IXP34" s="17"/>
      <c r="IXQ34" s="17"/>
      <c r="IXR34" s="17"/>
      <c r="IXS34" s="17"/>
      <c r="IXT34" s="17"/>
      <c r="IXU34" s="17"/>
      <c r="IXV34" s="17"/>
      <c r="IXW34" s="17"/>
      <c r="IXX34" s="17"/>
      <c r="IXY34" s="17"/>
      <c r="IXZ34" s="17"/>
      <c r="IYA34" s="17"/>
      <c r="IYB34" s="17"/>
      <c r="IYC34" s="17"/>
      <c r="IYD34" s="17"/>
      <c r="IYE34" s="17"/>
      <c r="IYF34" s="17"/>
      <c r="IYG34" s="17"/>
      <c r="IYH34" s="17"/>
      <c r="IYI34" s="17"/>
      <c r="IYJ34" s="17"/>
      <c r="IYK34" s="17"/>
      <c r="IYL34" s="17"/>
      <c r="IYM34" s="17"/>
      <c r="IYN34" s="17"/>
      <c r="IYO34" s="17"/>
      <c r="IYP34" s="17"/>
      <c r="IYQ34" s="17"/>
      <c r="IYR34" s="17"/>
      <c r="IYS34" s="17"/>
      <c r="IYT34" s="17"/>
      <c r="IYU34" s="17"/>
      <c r="IYV34" s="17"/>
      <c r="IYW34" s="17"/>
      <c r="IYX34" s="17"/>
      <c r="IYY34" s="17"/>
      <c r="IYZ34" s="17"/>
      <c r="IZA34" s="17"/>
      <c r="IZB34" s="17"/>
      <c r="IZC34" s="17"/>
      <c r="IZD34" s="17"/>
      <c r="IZE34" s="17"/>
      <c r="IZF34" s="17"/>
      <c r="IZG34" s="17"/>
      <c r="IZH34" s="17"/>
      <c r="IZI34" s="17"/>
      <c r="IZJ34" s="17"/>
      <c r="IZK34" s="17"/>
      <c r="IZL34" s="17"/>
      <c r="IZM34" s="17"/>
      <c r="IZN34" s="17"/>
      <c r="IZO34" s="17"/>
      <c r="IZP34" s="17"/>
      <c r="IZQ34" s="17"/>
      <c r="IZR34" s="17"/>
      <c r="IZS34" s="17"/>
      <c r="IZT34" s="17"/>
      <c r="IZU34" s="17"/>
      <c r="IZV34" s="17"/>
      <c r="IZW34" s="17"/>
      <c r="IZX34" s="17"/>
      <c r="IZY34" s="17"/>
      <c r="IZZ34" s="17"/>
      <c r="JAA34" s="17"/>
      <c r="JAB34" s="17"/>
      <c r="JAC34" s="17"/>
      <c r="JAD34" s="17"/>
      <c r="JAE34" s="17"/>
      <c r="JAF34" s="17"/>
      <c r="JAG34" s="17"/>
      <c r="JAH34" s="17"/>
      <c r="JAI34" s="17"/>
      <c r="JAJ34" s="17"/>
      <c r="JAK34" s="17"/>
      <c r="JAL34" s="17"/>
      <c r="JAM34" s="17"/>
      <c r="JAN34" s="17"/>
      <c r="JAO34" s="17"/>
      <c r="JAP34" s="17"/>
      <c r="JAQ34" s="17"/>
      <c r="JAR34" s="17"/>
      <c r="JAS34" s="17"/>
      <c r="JAT34" s="17"/>
      <c r="JAU34" s="17"/>
      <c r="JAV34" s="17"/>
      <c r="JAW34" s="17"/>
      <c r="JAX34" s="17"/>
      <c r="JAY34" s="17"/>
      <c r="JAZ34" s="17"/>
      <c r="JBA34" s="17"/>
      <c r="JBB34" s="17"/>
      <c r="JBC34" s="17"/>
      <c r="JBD34" s="17"/>
      <c r="JBE34" s="17"/>
      <c r="JBF34" s="17"/>
      <c r="JBG34" s="17"/>
      <c r="JBH34" s="17"/>
      <c r="JBI34" s="17"/>
      <c r="JBJ34" s="17"/>
      <c r="JBK34" s="17"/>
      <c r="JBL34" s="17"/>
      <c r="JBM34" s="17"/>
      <c r="JBN34" s="17"/>
      <c r="JBO34" s="17"/>
      <c r="JBP34" s="17"/>
      <c r="JBQ34" s="17"/>
      <c r="JBR34" s="17"/>
      <c r="JBS34" s="17"/>
      <c r="JBT34" s="17"/>
      <c r="JBU34" s="17"/>
      <c r="JBV34" s="17"/>
      <c r="JBW34" s="17"/>
      <c r="JBX34" s="17"/>
      <c r="JBY34" s="17"/>
      <c r="JBZ34" s="17"/>
      <c r="JCA34" s="17"/>
      <c r="JCB34" s="17"/>
      <c r="JCC34" s="17"/>
      <c r="JCD34" s="17"/>
      <c r="JCE34" s="17"/>
      <c r="JCF34" s="17"/>
      <c r="JCG34" s="17"/>
      <c r="JCH34" s="17"/>
      <c r="JCI34" s="17"/>
      <c r="JCJ34" s="17"/>
      <c r="JCK34" s="17"/>
      <c r="JCL34" s="17"/>
      <c r="JCM34" s="17"/>
      <c r="JCN34" s="17"/>
      <c r="JCO34" s="17"/>
      <c r="JCP34" s="17"/>
      <c r="JCQ34" s="17"/>
      <c r="JCR34" s="17"/>
      <c r="JCS34" s="17"/>
      <c r="JCT34" s="17"/>
      <c r="JCU34" s="17"/>
      <c r="JCV34" s="17"/>
      <c r="JCW34" s="17"/>
      <c r="JCX34" s="17"/>
      <c r="JCY34" s="17"/>
      <c r="JCZ34" s="17"/>
      <c r="JDA34" s="17"/>
      <c r="JDB34" s="17"/>
      <c r="JDC34" s="17"/>
      <c r="JDD34" s="17"/>
      <c r="JDE34" s="17"/>
      <c r="JDF34" s="17"/>
      <c r="JDG34" s="17"/>
      <c r="JDH34" s="17"/>
      <c r="JDI34" s="17"/>
      <c r="JDJ34" s="17"/>
      <c r="JDK34" s="17"/>
      <c r="JDL34" s="17"/>
      <c r="JDM34" s="17"/>
      <c r="JDN34" s="17"/>
      <c r="JDO34" s="17"/>
      <c r="JDP34" s="17"/>
      <c r="JDQ34" s="17"/>
      <c r="JDR34" s="17"/>
      <c r="JDS34" s="17"/>
      <c r="JDT34" s="17"/>
      <c r="JDU34" s="17"/>
      <c r="JDV34" s="17"/>
      <c r="JDW34" s="17"/>
      <c r="JDX34" s="17"/>
      <c r="JDY34" s="17"/>
      <c r="JDZ34" s="17"/>
      <c r="JEA34" s="17"/>
      <c r="JEB34" s="17"/>
      <c r="JEC34" s="17"/>
      <c r="JED34" s="17"/>
      <c r="JEE34" s="17"/>
      <c r="JEF34" s="17"/>
      <c r="JEG34" s="17"/>
      <c r="JEH34" s="17"/>
      <c r="JEI34" s="17"/>
      <c r="JEJ34" s="17"/>
      <c r="JEK34" s="17"/>
      <c r="JEL34" s="17"/>
      <c r="JEM34" s="17"/>
      <c r="JEN34" s="17"/>
      <c r="JEO34" s="17"/>
      <c r="JEP34" s="17"/>
      <c r="JEQ34" s="17"/>
      <c r="JER34" s="17"/>
      <c r="JES34" s="17"/>
      <c r="JET34" s="17"/>
      <c r="JEU34" s="17"/>
      <c r="JEV34" s="17"/>
      <c r="JEW34" s="17"/>
      <c r="JEX34" s="17"/>
      <c r="JEY34" s="17"/>
      <c r="JEZ34" s="17"/>
      <c r="JFA34" s="17"/>
      <c r="JFB34" s="17"/>
      <c r="JFC34" s="17"/>
      <c r="JFD34" s="17"/>
      <c r="JFE34" s="17"/>
      <c r="JFF34" s="17"/>
      <c r="JFG34" s="17"/>
      <c r="JFH34" s="17"/>
      <c r="JFI34" s="17"/>
      <c r="JFJ34" s="17"/>
      <c r="JFK34" s="17"/>
      <c r="JFL34" s="17"/>
      <c r="JFM34" s="17"/>
      <c r="JFN34" s="17"/>
      <c r="JFO34" s="17"/>
      <c r="JFP34" s="17"/>
      <c r="JFQ34" s="17"/>
      <c r="JFR34" s="17"/>
      <c r="JFS34" s="17"/>
      <c r="JFT34" s="17"/>
      <c r="JFU34" s="17"/>
      <c r="JFV34" s="17"/>
      <c r="JFW34" s="17"/>
      <c r="JFX34" s="17"/>
      <c r="JFY34" s="17"/>
      <c r="JFZ34" s="17"/>
      <c r="JGA34" s="17"/>
      <c r="JGB34" s="17"/>
      <c r="JGC34" s="17"/>
      <c r="JGD34" s="17"/>
      <c r="JGE34" s="17"/>
      <c r="JGF34" s="17"/>
      <c r="JGG34" s="17"/>
      <c r="JGH34" s="17"/>
      <c r="JGI34" s="17"/>
      <c r="JGJ34" s="17"/>
      <c r="JGK34" s="17"/>
      <c r="JGL34" s="17"/>
      <c r="JGM34" s="17"/>
      <c r="JGN34" s="17"/>
      <c r="JGO34" s="17"/>
      <c r="JGP34" s="17"/>
      <c r="JGQ34" s="17"/>
      <c r="JGR34" s="17"/>
      <c r="JGS34" s="17"/>
      <c r="JGT34" s="17"/>
      <c r="JGU34" s="17"/>
      <c r="JGV34" s="17"/>
      <c r="JGW34" s="17"/>
      <c r="JGX34" s="17"/>
      <c r="JGY34" s="17"/>
      <c r="JGZ34" s="17"/>
      <c r="JHA34" s="17"/>
      <c r="JHB34" s="17"/>
      <c r="JHC34" s="17"/>
      <c r="JHD34" s="17"/>
      <c r="JHE34" s="17"/>
      <c r="JHF34" s="17"/>
      <c r="JHG34" s="17"/>
      <c r="JHH34" s="17"/>
      <c r="JHI34" s="17"/>
      <c r="JHJ34" s="17"/>
      <c r="JHK34" s="17"/>
      <c r="JHL34" s="17"/>
      <c r="JHM34" s="17"/>
      <c r="JHN34" s="17"/>
      <c r="JHO34" s="17"/>
      <c r="JHP34" s="17"/>
      <c r="JHQ34" s="17"/>
      <c r="JHR34" s="17"/>
      <c r="JHS34" s="17"/>
      <c r="JHT34" s="17"/>
      <c r="JHU34" s="17"/>
      <c r="JHV34" s="17"/>
      <c r="JHW34" s="17"/>
      <c r="JHX34" s="17"/>
      <c r="JHY34" s="17"/>
      <c r="JHZ34" s="17"/>
      <c r="JIA34" s="17"/>
      <c r="JIB34" s="17"/>
      <c r="JIC34" s="17"/>
      <c r="JID34" s="17"/>
      <c r="JIE34" s="17"/>
      <c r="JIF34" s="17"/>
      <c r="JIG34" s="17"/>
      <c r="JIH34" s="17"/>
      <c r="JII34" s="17"/>
      <c r="JIJ34" s="17"/>
      <c r="JIK34" s="17"/>
      <c r="JIL34" s="17"/>
      <c r="JIM34" s="17"/>
      <c r="JIN34" s="17"/>
      <c r="JIO34" s="17"/>
      <c r="JIP34" s="17"/>
      <c r="JIQ34" s="17"/>
      <c r="JIR34" s="17"/>
      <c r="JIS34" s="17"/>
      <c r="JIT34" s="17"/>
      <c r="JIU34" s="17"/>
      <c r="JIV34" s="17"/>
      <c r="JIW34" s="17"/>
      <c r="JIX34" s="17"/>
      <c r="JIY34" s="17"/>
      <c r="JIZ34" s="17"/>
      <c r="JJA34" s="17"/>
      <c r="JJB34" s="17"/>
      <c r="JJC34" s="17"/>
      <c r="JJD34" s="17"/>
      <c r="JJE34" s="17"/>
      <c r="JJF34" s="17"/>
      <c r="JJG34" s="17"/>
      <c r="JJH34" s="17"/>
      <c r="JJI34" s="17"/>
      <c r="JJJ34" s="17"/>
      <c r="JJK34" s="17"/>
      <c r="JJL34" s="17"/>
      <c r="JJM34" s="17"/>
      <c r="JJN34" s="17"/>
      <c r="JJO34" s="17"/>
      <c r="JJP34" s="17"/>
      <c r="JJQ34" s="17"/>
      <c r="JJR34" s="17"/>
      <c r="JJS34" s="17"/>
      <c r="JJT34" s="17"/>
      <c r="JJU34" s="17"/>
      <c r="JJV34" s="17"/>
      <c r="JJW34" s="17"/>
      <c r="JJX34" s="17"/>
      <c r="JJY34" s="17"/>
      <c r="JJZ34" s="17"/>
      <c r="JKA34" s="17"/>
      <c r="JKB34" s="17"/>
      <c r="JKC34" s="17"/>
      <c r="JKD34" s="17"/>
      <c r="JKE34" s="17"/>
      <c r="JKF34" s="17"/>
      <c r="JKG34" s="17"/>
      <c r="JKH34" s="17"/>
      <c r="JKI34" s="17"/>
      <c r="JKJ34" s="17"/>
      <c r="JKK34" s="17"/>
      <c r="JKL34" s="17"/>
      <c r="JKM34" s="17"/>
      <c r="JKN34" s="17"/>
      <c r="JKO34" s="17"/>
      <c r="JKP34" s="17"/>
      <c r="JKQ34" s="17"/>
      <c r="JKR34" s="17"/>
      <c r="JKS34" s="17"/>
      <c r="JKT34" s="17"/>
      <c r="JKU34" s="17"/>
      <c r="JKV34" s="17"/>
      <c r="JKW34" s="17"/>
      <c r="JKX34" s="17"/>
      <c r="JKY34" s="17"/>
      <c r="JKZ34" s="17"/>
      <c r="JLA34" s="17"/>
      <c r="JLB34" s="17"/>
      <c r="JLC34" s="17"/>
      <c r="JLD34" s="17"/>
      <c r="JLE34" s="17"/>
      <c r="JLF34" s="17"/>
      <c r="JLG34" s="17"/>
      <c r="JLH34" s="17"/>
      <c r="JLI34" s="17"/>
      <c r="JLJ34" s="17"/>
      <c r="JLK34" s="17"/>
      <c r="JLL34" s="17"/>
      <c r="JLM34" s="17"/>
      <c r="JLN34" s="17"/>
      <c r="JLO34" s="17"/>
      <c r="JLP34" s="17"/>
      <c r="JLQ34" s="17"/>
      <c r="JLR34" s="17"/>
      <c r="JLS34" s="17"/>
      <c r="JLT34" s="17"/>
      <c r="JLU34" s="17"/>
      <c r="JLV34" s="17"/>
      <c r="JLW34" s="17"/>
      <c r="JLX34" s="17"/>
      <c r="JLY34" s="17"/>
      <c r="JLZ34" s="17"/>
      <c r="JMA34" s="17"/>
      <c r="JMB34" s="17"/>
      <c r="JMC34" s="17"/>
      <c r="JMD34" s="17"/>
      <c r="JME34" s="17"/>
      <c r="JMF34" s="17"/>
      <c r="JMG34" s="17"/>
      <c r="JMH34" s="17"/>
      <c r="JMI34" s="17"/>
      <c r="JMJ34" s="17"/>
      <c r="JMK34" s="17"/>
      <c r="JML34" s="17"/>
      <c r="JMM34" s="17"/>
      <c r="JMN34" s="17"/>
      <c r="JMO34" s="17"/>
      <c r="JMP34" s="17"/>
      <c r="JMQ34" s="17"/>
      <c r="JMR34" s="17"/>
      <c r="JMS34" s="17"/>
      <c r="JMT34" s="17"/>
      <c r="JMU34" s="17"/>
      <c r="JMV34" s="17"/>
      <c r="JMW34" s="17"/>
      <c r="JMX34" s="17"/>
      <c r="JMY34" s="17"/>
      <c r="JMZ34" s="17"/>
      <c r="JNA34" s="17"/>
      <c r="JNB34" s="17"/>
      <c r="JNC34" s="17"/>
      <c r="JND34" s="17"/>
      <c r="JNE34" s="17"/>
      <c r="JNF34" s="17"/>
      <c r="JNG34" s="17"/>
      <c r="JNH34" s="17"/>
      <c r="JNI34" s="17"/>
      <c r="JNJ34" s="17"/>
      <c r="JNK34" s="17"/>
      <c r="JNL34" s="17"/>
      <c r="JNM34" s="17"/>
      <c r="JNN34" s="17"/>
      <c r="JNO34" s="17"/>
      <c r="JNP34" s="17"/>
      <c r="JNQ34" s="17"/>
      <c r="JNR34" s="17"/>
      <c r="JNS34" s="17"/>
      <c r="JNT34" s="17"/>
      <c r="JNU34" s="17"/>
      <c r="JNV34" s="17"/>
      <c r="JNW34" s="17"/>
      <c r="JNX34" s="17"/>
      <c r="JNY34" s="17"/>
      <c r="JNZ34" s="17"/>
      <c r="JOA34" s="17"/>
      <c r="JOB34" s="17"/>
      <c r="JOC34" s="17"/>
      <c r="JOD34" s="17"/>
      <c r="JOE34" s="17"/>
      <c r="JOF34" s="17"/>
      <c r="JOG34" s="17"/>
      <c r="JOH34" s="17"/>
      <c r="JOI34" s="17"/>
      <c r="JOJ34" s="17"/>
      <c r="JOK34" s="17"/>
      <c r="JOL34" s="17"/>
      <c r="JOM34" s="17"/>
      <c r="JON34" s="17"/>
      <c r="JOO34" s="17"/>
      <c r="JOP34" s="17"/>
      <c r="JOQ34" s="17"/>
      <c r="JOR34" s="17"/>
      <c r="JOS34" s="17"/>
      <c r="JOT34" s="17"/>
      <c r="JOU34" s="17"/>
      <c r="JOV34" s="17"/>
      <c r="JOW34" s="17"/>
      <c r="JOX34" s="17"/>
      <c r="JOY34" s="17"/>
      <c r="JOZ34" s="17"/>
      <c r="JPA34" s="17"/>
      <c r="JPB34" s="17"/>
      <c r="JPC34" s="17"/>
      <c r="JPD34" s="17"/>
      <c r="JPE34" s="17"/>
      <c r="JPF34" s="17"/>
      <c r="JPG34" s="17"/>
      <c r="JPH34" s="17"/>
      <c r="JPI34" s="17"/>
      <c r="JPJ34" s="17"/>
      <c r="JPK34" s="17"/>
      <c r="JPL34" s="17"/>
      <c r="JPM34" s="17"/>
      <c r="JPN34" s="17"/>
      <c r="JPO34" s="17"/>
      <c r="JPP34" s="17"/>
      <c r="JPQ34" s="17"/>
      <c r="JPR34" s="17"/>
      <c r="JPS34" s="17"/>
      <c r="JPT34" s="17"/>
      <c r="JPU34" s="17"/>
      <c r="JPV34" s="17"/>
      <c r="JPW34" s="17"/>
      <c r="JPX34" s="17"/>
      <c r="JPY34" s="17"/>
      <c r="JPZ34" s="17"/>
      <c r="JQA34" s="17"/>
      <c r="JQB34" s="17"/>
      <c r="JQC34" s="17"/>
      <c r="JQD34" s="17"/>
      <c r="JQE34" s="17"/>
      <c r="JQF34" s="17"/>
      <c r="JQG34" s="17"/>
      <c r="JQH34" s="17"/>
      <c r="JQI34" s="17"/>
      <c r="JQJ34" s="17"/>
      <c r="JQK34" s="17"/>
      <c r="JQL34" s="17"/>
      <c r="JQM34" s="17"/>
      <c r="JQN34" s="17"/>
      <c r="JQO34" s="17"/>
      <c r="JQP34" s="17"/>
      <c r="JQQ34" s="17"/>
      <c r="JQR34" s="17"/>
      <c r="JQS34" s="17"/>
      <c r="JQT34" s="17"/>
      <c r="JQU34" s="17"/>
      <c r="JQV34" s="17"/>
      <c r="JQW34" s="17"/>
      <c r="JQX34" s="17"/>
      <c r="JQY34" s="17"/>
      <c r="JQZ34" s="17"/>
      <c r="JRA34" s="17"/>
      <c r="JRB34" s="17"/>
      <c r="JRC34" s="17"/>
      <c r="JRD34" s="17"/>
      <c r="JRE34" s="17"/>
      <c r="JRF34" s="17"/>
      <c r="JRG34" s="17"/>
      <c r="JRH34" s="17"/>
      <c r="JRI34" s="17"/>
      <c r="JRJ34" s="17"/>
      <c r="JRK34" s="17"/>
      <c r="JRL34" s="17"/>
      <c r="JRM34" s="17"/>
      <c r="JRN34" s="17"/>
      <c r="JRO34" s="17"/>
      <c r="JRP34" s="17"/>
      <c r="JRQ34" s="17"/>
      <c r="JRR34" s="17"/>
      <c r="JRS34" s="17"/>
      <c r="JRT34" s="17"/>
      <c r="JRU34" s="17"/>
      <c r="JRV34" s="17"/>
      <c r="JRW34" s="17"/>
      <c r="JRX34" s="17"/>
      <c r="JRY34" s="17"/>
      <c r="JRZ34" s="17"/>
      <c r="JSA34" s="17"/>
      <c r="JSB34" s="17"/>
      <c r="JSC34" s="17"/>
      <c r="JSD34" s="17"/>
      <c r="JSE34" s="17"/>
      <c r="JSF34" s="17"/>
      <c r="JSG34" s="17"/>
      <c r="JSH34" s="17"/>
      <c r="JSI34" s="17"/>
      <c r="JSJ34" s="17"/>
      <c r="JSK34" s="17"/>
      <c r="JSL34" s="17"/>
      <c r="JSM34" s="17"/>
      <c r="JSN34" s="17"/>
      <c r="JSO34" s="17"/>
      <c r="JSP34" s="17"/>
      <c r="JSQ34" s="17"/>
      <c r="JSR34" s="17"/>
      <c r="JSS34" s="17"/>
      <c r="JST34" s="17"/>
      <c r="JSU34" s="17"/>
      <c r="JSV34" s="17"/>
      <c r="JSW34" s="17"/>
      <c r="JSX34" s="17"/>
      <c r="JSY34" s="17"/>
      <c r="JSZ34" s="17"/>
      <c r="JTA34" s="17"/>
      <c r="JTB34" s="17"/>
      <c r="JTC34" s="17"/>
      <c r="JTD34" s="17"/>
      <c r="JTE34" s="17"/>
      <c r="JTF34" s="17"/>
      <c r="JTG34" s="17"/>
      <c r="JTH34" s="17"/>
      <c r="JTI34" s="17"/>
      <c r="JTJ34" s="17"/>
      <c r="JTK34" s="17"/>
      <c r="JTL34" s="17"/>
      <c r="JTM34" s="17"/>
      <c r="JTN34" s="17"/>
      <c r="JTO34" s="17"/>
      <c r="JTP34" s="17"/>
      <c r="JTQ34" s="17"/>
      <c r="JTR34" s="17"/>
      <c r="JTS34" s="17"/>
      <c r="JTT34" s="17"/>
      <c r="JTU34" s="17"/>
      <c r="JTV34" s="17"/>
      <c r="JTW34" s="17"/>
      <c r="JTX34" s="17"/>
      <c r="JTY34" s="17"/>
      <c r="JTZ34" s="17"/>
      <c r="JUA34" s="17"/>
      <c r="JUB34" s="17"/>
      <c r="JUC34" s="17"/>
      <c r="JUD34" s="17"/>
      <c r="JUE34" s="17"/>
      <c r="JUF34" s="17"/>
      <c r="JUG34" s="17"/>
      <c r="JUH34" s="17"/>
      <c r="JUI34" s="17"/>
      <c r="JUJ34" s="17"/>
      <c r="JUK34" s="17"/>
      <c r="JUL34" s="17"/>
      <c r="JUM34" s="17"/>
      <c r="JUN34" s="17"/>
      <c r="JUO34" s="17"/>
      <c r="JUP34" s="17"/>
      <c r="JUQ34" s="17"/>
      <c r="JUR34" s="17"/>
      <c r="JUS34" s="17"/>
      <c r="JUT34" s="17"/>
      <c r="JUU34" s="17"/>
      <c r="JUV34" s="17"/>
      <c r="JUW34" s="17"/>
      <c r="JUX34" s="17"/>
      <c r="JUY34" s="17"/>
      <c r="JUZ34" s="17"/>
      <c r="JVA34" s="17"/>
      <c r="JVB34" s="17"/>
      <c r="JVC34" s="17"/>
      <c r="JVD34" s="17"/>
      <c r="JVE34" s="17"/>
      <c r="JVF34" s="17"/>
      <c r="JVG34" s="17"/>
      <c r="JVH34" s="17"/>
      <c r="JVI34" s="17"/>
      <c r="JVJ34" s="17"/>
      <c r="JVK34" s="17"/>
      <c r="JVL34" s="17"/>
      <c r="JVM34" s="17"/>
      <c r="JVN34" s="17"/>
      <c r="JVO34" s="17"/>
      <c r="JVP34" s="17"/>
      <c r="JVQ34" s="17"/>
      <c r="JVR34" s="17"/>
      <c r="JVS34" s="17"/>
      <c r="JVT34" s="17"/>
      <c r="JVU34" s="17"/>
      <c r="JVV34" s="17"/>
      <c r="JVW34" s="17"/>
      <c r="JVX34" s="17"/>
      <c r="JVY34" s="17"/>
      <c r="JVZ34" s="17"/>
      <c r="JWA34" s="17"/>
      <c r="JWB34" s="17"/>
      <c r="JWC34" s="17"/>
      <c r="JWD34" s="17"/>
      <c r="JWE34" s="17"/>
      <c r="JWF34" s="17"/>
      <c r="JWG34" s="17"/>
      <c r="JWH34" s="17"/>
      <c r="JWI34" s="17"/>
      <c r="JWJ34" s="17"/>
      <c r="JWK34" s="17"/>
      <c r="JWL34" s="17"/>
      <c r="JWM34" s="17"/>
      <c r="JWN34" s="17"/>
      <c r="JWO34" s="17"/>
      <c r="JWP34" s="17"/>
      <c r="JWQ34" s="17"/>
      <c r="JWR34" s="17"/>
      <c r="JWS34" s="17"/>
      <c r="JWT34" s="17"/>
      <c r="JWU34" s="17"/>
      <c r="JWV34" s="17"/>
      <c r="JWW34" s="17"/>
      <c r="JWX34" s="17"/>
      <c r="JWY34" s="17"/>
      <c r="JWZ34" s="17"/>
      <c r="JXA34" s="17"/>
      <c r="JXB34" s="17"/>
      <c r="JXC34" s="17"/>
      <c r="JXD34" s="17"/>
      <c r="JXE34" s="17"/>
      <c r="JXF34" s="17"/>
      <c r="JXG34" s="17"/>
      <c r="JXH34" s="17"/>
      <c r="JXI34" s="17"/>
      <c r="JXJ34" s="17"/>
      <c r="JXK34" s="17"/>
      <c r="JXL34" s="17"/>
      <c r="JXM34" s="17"/>
      <c r="JXN34" s="17"/>
      <c r="JXO34" s="17"/>
      <c r="JXP34" s="17"/>
      <c r="JXQ34" s="17"/>
      <c r="JXR34" s="17"/>
      <c r="JXS34" s="17"/>
      <c r="JXT34" s="17"/>
      <c r="JXU34" s="17"/>
      <c r="JXV34" s="17"/>
      <c r="JXW34" s="17"/>
      <c r="JXX34" s="17"/>
      <c r="JXY34" s="17"/>
      <c r="JXZ34" s="17"/>
      <c r="JYA34" s="17"/>
      <c r="JYB34" s="17"/>
      <c r="JYC34" s="17"/>
      <c r="JYD34" s="17"/>
      <c r="JYE34" s="17"/>
      <c r="JYF34" s="17"/>
      <c r="JYG34" s="17"/>
      <c r="JYH34" s="17"/>
      <c r="JYI34" s="17"/>
      <c r="JYJ34" s="17"/>
      <c r="JYK34" s="17"/>
      <c r="JYL34" s="17"/>
      <c r="JYM34" s="17"/>
      <c r="JYN34" s="17"/>
      <c r="JYO34" s="17"/>
      <c r="JYP34" s="17"/>
      <c r="JYQ34" s="17"/>
      <c r="JYR34" s="17"/>
      <c r="JYS34" s="17"/>
      <c r="JYT34" s="17"/>
      <c r="JYU34" s="17"/>
      <c r="JYV34" s="17"/>
      <c r="JYW34" s="17"/>
      <c r="JYX34" s="17"/>
      <c r="JYY34" s="17"/>
      <c r="JYZ34" s="17"/>
      <c r="JZA34" s="17"/>
      <c r="JZB34" s="17"/>
      <c r="JZC34" s="17"/>
      <c r="JZD34" s="17"/>
      <c r="JZE34" s="17"/>
      <c r="JZF34" s="17"/>
      <c r="JZG34" s="17"/>
      <c r="JZH34" s="17"/>
      <c r="JZI34" s="17"/>
      <c r="JZJ34" s="17"/>
      <c r="JZK34" s="17"/>
      <c r="JZL34" s="17"/>
      <c r="JZM34" s="17"/>
      <c r="JZN34" s="17"/>
      <c r="JZO34" s="17"/>
      <c r="JZP34" s="17"/>
      <c r="JZQ34" s="17"/>
      <c r="JZR34" s="17"/>
      <c r="JZS34" s="17"/>
      <c r="JZT34" s="17"/>
      <c r="JZU34" s="17"/>
      <c r="JZV34" s="17"/>
      <c r="JZW34" s="17"/>
      <c r="JZX34" s="17"/>
      <c r="JZY34" s="17"/>
      <c r="JZZ34" s="17"/>
      <c r="KAA34" s="17"/>
      <c r="KAB34" s="17"/>
      <c r="KAC34" s="17"/>
      <c r="KAD34" s="17"/>
      <c r="KAE34" s="17"/>
      <c r="KAF34" s="17"/>
      <c r="KAG34" s="17"/>
      <c r="KAH34" s="17"/>
      <c r="KAI34" s="17"/>
      <c r="KAJ34" s="17"/>
      <c r="KAK34" s="17"/>
      <c r="KAL34" s="17"/>
      <c r="KAM34" s="17"/>
      <c r="KAN34" s="17"/>
      <c r="KAO34" s="17"/>
      <c r="KAP34" s="17"/>
      <c r="KAQ34" s="17"/>
      <c r="KAR34" s="17"/>
      <c r="KAS34" s="17"/>
      <c r="KAT34" s="17"/>
      <c r="KAU34" s="17"/>
      <c r="KAV34" s="17"/>
      <c r="KAW34" s="17"/>
      <c r="KAX34" s="17"/>
      <c r="KAY34" s="17"/>
      <c r="KAZ34" s="17"/>
      <c r="KBA34" s="17"/>
      <c r="KBB34" s="17"/>
      <c r="KBC34" s="17"/>
      <c r="KBD34" s="17"/>
      <c r="KBE34" s="17"/>
      <c r="KBF34" s="17"/>
      <c r="KBG34" s="17"/>
      <c r="KBH34" s="17"/>
      <c r="KBI34" s="17"/>
      <c r="KBJ34" s="17"/>
      <c r="KBK34" s="17"/>
      <c r="KBL34" s="17"/>
      <c r="KBM34" s="17"/>
      <c r="KBN34" s="17"/>
      <c r="KBO34" s="17"/>
      <c r="KBP34" s="17"/>
      <c r="KBQ34" s="17"/>
      <c r="KBR34" s="17"/>
      <c r="KBS34" s="17"/>
      <c r="KBT34" s="17"/>
      <c r="KBU34" s="17"/>
      <c r="KBV34" s="17"/>
      <c r="KBW34" s="17"/>
      <c r="KBX34" s="17"/>
      <c r="KBY34" s="17"/>
      <c r="KBZ34" s="17"/>
      <c r="KCA34" s="17"/>
      <c r="KCB34" s="17"/>
      <c r="KCC34" s="17"/>
      <c r="KCD34" s="17"/>
      <c r="KCE34" s="17"/>
      <c r="KCF34" s="17"/>
      <c r="KCG34" s="17"/>
      <c r="KCH34" s="17"/>
      <c r="KCI34" s="17"/>
      <c r="KCJ34" s="17"/>
      <c r="KCK34" s="17"/>
      <c r="KCL34" s="17"/>
      <c r="KCM34" s="17"/>
      <c r="KCN34" s="17"/>
      <c r="KCO34" s="17"/>
      <c r="KCP34" s="17"/>
      <c r="KCQ34" s="17"/>
      <c r="KCR34" s="17"/>
      <c r="KCS34" s="17"/>
      <c r="KCT34" s="17"/>
      <c r="KCU34" s="17"/>
      <c r="KCV34" s="17"/>
      <c r="KCW34" s="17"/>
      <c r="KCX34" s="17"/>
      <c r="KCY34" s="17"/>
      <c r="KCZ34" s="17"/>
      <c r="KDA34" s="17"/>
      <c r="KDB34" s="17"/>
      <c r="KDC34" s="17"/>
      <c r="KDD34" s="17"/>
      <c r="KDE34" s="17"/>
      <c r="KDF34" s="17"/>
      <c r="KDG34" s="17"/>
      <c r="KDH34" s="17"/>
      <c r="KDI34" s="17"/>
      <c r="KDJ34" s="17"/>
      <c r="KDK34" s="17"/>
      <c r="KDL34" s="17"/>
      <c r="KDM34" s="17"/>
      <c r="KDN34" s="17"/>
      <c r="KDO34" s="17"/>
      <c r="KDP34" s="17"/>
      <c r="KDQ34" s="17"/>
      <c r="KDR34" s="17"/>
      <c r="KDS34" s="17"/>
      <c r="KDT34" s="17"/>
      <c r="KDU34" s="17"/>
      <c r="KDV34" s="17"/>
      <c r="KDW34" s="17"/>
      <c r="KDX34" s="17"/>
      <c r="KDY34" s="17"/>
      <c r="KDZ34" s="17"/>
      <c r="KEA34" s="17"/>
      <c r="KEB34" s="17"/>
      <c r="KEC34" s="17"/>
      <c r="KED34" s="17"/>
      <c r="KEE34" s="17"/>
      <c r="KEF34" s="17"/>
      <c r="KEG34" s="17"/>
      <c r="KEH34" s="17"/>
      <c r="KEI34" s="17"/>
      <c r="KEJ34" s="17"/>
      <c r="KEK34" s="17"/>
      <c r="KEL34" s="17"/>
      <c r="KEM34" s="17"/>
      <c r="KEN34" s="17"/>
      <c r="KEO34" s="17"/>
      <c r="KEP34" s="17"/>
      <c r="KEQ34" s="17"/>
      <c r="KER34" s="17"/>
      <c r="KES34" s="17"/>
      <c r="KET34" s="17"/>
      <c r="KEU34" s="17"/>
      <c r="KEV34" s="17"/>
      <c r="KEW34" s="17"/>
      <c r="KEX34" s="17"/>
      <c r="KEY34" s="17"/>
      <c r="KEZ34" s="17"/>
      <c r="KFA34" s="17"/>
      <c r="KFB34" s="17"/>
      <c r="KFC34" s="17"/>
      <c r="KFD34" s="17"/>
      <c r="KFE34" s="17"/>
      <c r="KFF34" s="17"/>
      <c r="KFG34" s="17"/>
      <c r="KFH34" s="17"/>
      <c r="KFI34" s="17"/>
      <c r="KFJ34" s="17"/>
      <c r="KFK34" s="17"/>
      <c r="KFL34" s="17"/>
      <c r="KFM34" s="17"/>
      <c r="KFN34" s="17"/>
      <c r="KFO34" s="17"/>
      <c r="KFP34" s="17"/>
      <c r="KFQ34" s="17"/>
      <c r="KFR34" s="17"/>
      <c r="KFS34" s="17"/>
      <c r="KFT34" s="17"/>
      <c r="KFU34" s="17"/>
      <c r="KFV34" s="17"/>
      <c r="KFW34" s="17"/>
      <c r="KFX34" s="17"/>
      <c r="KFY34" s="17"/>
      <c r="KFZ34" s="17"/>
      <c r="KGA34" s="17"/>
      <c r="KGB34" s="17"/>
      <c r="KGC34" s="17"/>
      <c r="KGD34" s="17"/>
      <c r="KGE34" s="17"/>
      <c r="KGF34" s="17"/>
      <c r="KGG34" s="17"/>
      <c r="KGH34" s="17"/>
      <c r="KGI34" s="17"/>
      <c r="KGJ34" s="17"/>
      <c r="KGK34" s="17"/>
      <c r="KGL34" s="17"/>
      <c r="KGM34" s="17"/>
      <c r="KGN34" s="17"/>
      <c r="KGO34" s="17"/>
      <c r="KGP34" s="17"/>
      <c r="KGQ34" s="17"/>
      <c r="KGR34" s="17"/>
      <c r="KGS34" s="17"/>
      <c r="KGT34" s="17"/>
      <c r="KGU34" s="17"/>
      <c r="KGV34" s="17"/>
      <c r="KGW34" s="17"/>
      <c r="KGX34" s="17"/>
      <c r="KGY34" s="17"/>
      <c r="KGZ34" s="17"/>
      <c r="KHA34" s="17"/>
      <c r="KHB34" s="17"/>
      <c r="KHC34" s="17"/>
      <c r="KHD34" s="17"/>
      <c r="KHE34" s="17"/>
      <c r="KHF34" s="17"/>
      <c r="KHG34" s="17"/>
      <c r="KHH34" s="17"/>
      <c r="KHI34" s="17"/>
      <c r="KHJ34" s="17"/>
      <c r="KHK34" s="17"/>
      <c r="KHL34" s="17"/>
      <c r="KHM34" s="17"/>
      <c r="KHN34" s="17"/>
      <c r="KHO34" s="17"/>
      <c r="KHP34" s="17"/>
      <c r="KHQ34" s="17"/>
      <c r="KHR34" s="17"/>
      <c r="KHS34" s="17"/>
      <c r="KHT34" s="17"/>
      <c r="KHU34" s="17"/>
      <c r="KHV34" s="17"/>
      <c r="KHW34" s="17"/>
      <c r="KHX34" s="17"/>
      <c r="KHY34" s="17"/>
      <c r="KHZ34" s="17"/>
      <c r="KIA34" s="17"/>
      <c r="KIB34" s="17"/>
      <c r="KIC34" s="17"/>
      <c r="KID34" s="17"/>
      <c r="KIE34" s="17"/>
      <c r="KIF34" s="17"/>
      <c r="KIG34" s="17"/>
      <c r="KIH34" s="17"/>
      <c r="KII34" s="17"/>
      <c r="KIJ34" s="17"/>
      <c r="KIK34" s="17"/>
      <c r="KIL34" s="17"/>
      <c r="KIM34" s="17"/>
      <c r="KIN34" s="17"/>
      <c r="KIO34" s="17"/>
      <c r="KIP34" s="17"/>
      <c r="KIQ34" s="17"/>
      <c r="KIR34" s="17"/>
      <c r="KIS34" s="17"/>
      <c r="KIT34" s="17"/>
      <c r="KIU34" s="17"/>
      <c r="KIV34" s="17"/>
      <c r="KIW34" s="17"/>
      <c r="KIX34" s="17"/>
      <c r="KIY34" s="17"/>
      <c r="KIZ34" s="17"/>
      <c r="KJA34" s="17"/>
      <c r="KJB34" s="17"/>
      <c r="KJC34" s="17"/>
      <c r="KJD34" s="17"/>
      <c r="KJE34" s="17"/>
      <c r="KJF34" s="17"/>
      <c r="KJG34" s="17"/>
      <c r="KJH34" s="17"/>
      <c r="KJI34" s="17"/>
      <c r="KJJ34" s="17"/>
      <c r="KJK34" s="17"/>
      <c r="KJL34" s="17"/>
      <c r="KJM34" s="17"/>
      <c r="KJN34" s="17"/>
      <c r="KJO34" s="17"/>
      <c r="KJP34" s="17"/>
      <c r="KJQ34" s="17"/>
      <c r="KJR34" s="17"/>
      <c r="KJS34" s="17"/>
      <c r="KJT34" s="17"/>
      <c r="KJU34" s="17"/>
      <c r="KJV34" s="17"/>
      <c r="KJW34" s="17"/>
      <c r="KJX34" s="17"/>
      <c r="KJY34" s="17"/>
      <c r="KJZ34" s="17"/>
      <c r="KKA34" s="17"/>
      <c r="KKB34" s="17"/>
      <c r="KKC34" s="17"/>
      <c r="KKD34" s="17"/>
      <c r="KKE34" s="17"/>
      <c r="KKF34" s="17"/>
      <c r="KKG34" s="17"/>
      <c r="KKH34" s="17"/>
      <c r="KKI34" s="17"/>
      <c r="KKJ34" s="17"/>
      <c r="KKK34" s="17"/>
      <c r="KKL34" s="17"/>
      <c r="KKM34" s="17"/>
      <c r="KKN34" s="17"/>
      <c r="KKO34" s="17"/>
      <c r="KKP34" s="17"/>
      <c r="KKQ34" s="17"/>
      <c r="KKR34" s="17"/>
      <c r="KKS34" s="17"/>
      <c r="KKT34" s="17"/>
      <c r="KKU34" s="17"/>
      <c r="KKV34" s="17"/>
      <c r="KKW34" s="17"/>
      <c r="KKX34" s="17"/>
      <c r="KKY34" s="17"/>
      <c r="KKZ34" s="17"/>
      <c r="KLA34" s="17"/>
      <c r="KLB34" s="17"/>
      <c r="KLC34" s="17"/>
      <c r="KLD34" s="17"/>
      <c r="KLE34" s="17"/>
      <c r="KLF34" s="17"/>
      <c r="KLG34" s="17"/>
      <c r="KLH34" s="17"/>
      <c r="KLI34" s="17"/>
      <c r="KLJ34" s="17"/>
      <c r="KLK34" s="17"/>
      <c r="KLL34" s="17"/>
      <c r="KLM34" s="17"/>
      <c r="KLN34" s="17"/>
      <c r="KLO34" s="17"/>
      <c r="KLP34" s="17"/>
      <c r="KLQ34" s="17"/>
      <c r="KLR34" s="17"/>
      <c r="KLS34" s="17"/>
      <c r="KLT34" s="17"/>
      <c r="KLU34" s="17"/>
      <c r="KLV34" s="17"/>
      <c r="KLW34" s="17"/>
      <c r="KLX34" s="17"/>
      <c r="KLY34" s="17"/>
      <c r="KLZ34" s="17"/>
      <c r="KMA34" s="17"/>
      <c r="KMB34" s="17"/>
      <c r="KMC34" s="17"/>
      <c r="KMD34" s="17"/>
      <c r="KME34" s="17"/>
      <c r="KMF34" s="17"/>
      <c r="KMG34" s="17"/>
      <c r="KMH34" s="17"/>
      <c r="KMI34" s="17"/>
      <c r="KMJ34" s="17"/>
      <c r="KMK34" s="17"/>
      <c r="KML34" s="17"/>
      <c r="KMM34" s="17"/>
      <c r="KMN34" s="17"/>
      <c r="KMO34" s="17"/>
      <c r="KMP34" s="17"/>
      <c r="KMQ34" s="17"/>
      <c r="KMR34" s="17"/>
      <c r="KMS34" s="17"/>
      <c r="KMT34" s="17"/>
      <c r="KMU34" s="17"/>
      <c r="KMV34" s="17"/>
      <c r="KMW34" s="17"/>
      <c r="KMX34" s="17"/>
      <c r="KMY34" s="17"/>
      <c r="KMZ34" s="17"/>
      <c r="KNA34" s="17"/>
      <c r="KNB34" s="17"/>
      <c r="KNC34" s="17"/>
      <c r="KND34" s="17"/>
      <c r="KNE34" s="17"/>
      <c r="KNF34" s="17"/>
      <c r="KNG34" s="17"/>
      <c r="KNH34" s="17"/>
      <c r="KNI34" s="17"/>
      <c r="KNJ34" s="17"/>
      <c r="KNK34" s="17"/>
      <c r="KNL34" s="17"/>
      <c r="KNM34" s="17"/>
      <c r="KNN34" s="17"/>
      <c r="KNO34" s="17"/>
      <c r="KNP34" s="17"/>
      <c r="KNQ34" s="17"/>
      <c r="KNR34" s="17"/>
      <c r="KNS34" s="17"/>
      <c r="KNT34" s="17"/>
      <c r="KNU34" s="17"/>
      <c r="KNV34" s="17"/>
      <c r="KNW34" s="17"/>
      <c r="KNX34" s="17"/>
      <c r="KNY34" s="17"/>
      <c r="KNZ34" s="17"/>
      <c r="KOA34" s="17"/>
      <c r="KOB34" s="17"/>
      <c r="KOC34" s="17"/>
      <c r="KOD34" s="17"/>
      <c r="KOE34" s="17"/>
      <c r="KOF34" s="17"/>
      <c r="KOG34" s="17"/>
      <c r="KOH34" s="17"/>
      <c r="KOI34" s="17"/>
      <c r="KOJ34" s="17"/>
      <c r="KOK34" s="17"/>
      <c r="KOL34" s="17"/>
      <c r="KOM34" s="17"/>
      <c r="KON34" s="17"/>
      <c r="KOO34" s="17"/>
      <c r="KOP34" s="17"/>
      <c r="KOQ34" s="17"/>
      <c r="KOR34" s="17"/>
      <c r="KOS34" s="17"/>
      <c r="KOT34" s="17"/>
      <c r="KOU34" s="17"/>
      <c r="KOV34" s="17"/>
      <c r="KOW34" s="17"/>
      <c r="KOX34" s="17"/>
      <c r="KOY34" s="17"/>
      <c r="KOZ34" s="17"/>
      <c r="KPA34" s="17"/>
      <c r="KPB34" s="17"/>
      <c r="KPC34" s="17"/>
      <c r="KPD34" s="17"/>
      <c r="KPE34" s="17"/>
      <c r="KPF34" s="17"/>
      <c r="KPG34" s="17"/>
      <c r="KPH34" s="17"/>
      <c r="KPI34" s="17"/>
      <c r="KPJ34" s="17"/>
      <c r="KPK34" s="17"/>
      <c r="KPL34" s="17"/>
      <c r="KPM34" s="17"/>
      <c r="KPN34" s="17"/>
      <c r="KPO34" s="17"/>
      <c r="KPP34" s="17"/>
      <c r="KPQ34" s="17"/>
      <c r="KPR34" s="17"/>
      <c r="KPS34" s="17"/>
      <c r="KPT34" s="17"/>
      <c r="KPU34" s="17"/>
      <c r="KPV34" s="17"/>
      <c r="KPW34" s="17"/>
      <c r="KPX34" s="17"/>
      <c r="KPY34" s="17"/>
      <c r="KPZ34" s="17"/>
      <c r="KQA34" s="17"/>
      <c r="KQB34" s="17"/>
      <c r="KQC34" s="17"/>
      <c r="KQD34" s="17"/>
      <c r="KQE34" s="17"/>
      <c r="KQF34" s="17"/>
      <c r="KQG34" s="17"/>
      <c r="KQH34" s="17"/>
      <c r="KQI34" s="17"/>
      <c r="KQJ34" s="17"/>
      <c r="KQK34" s="17"/>
      <c r="KQL34" s="17"/>
      <c r="KQM34" s="17"/>
      <c r="KQN34" s="17"/>
      <c r="KQO34" s="17"/>
      <c r="KQP34" s="17"/>
      <c r="KQQ34" s="17"/>
      <c r="KQR34" s="17"/>
      <c r="KQS34" s="17"/>
      <c r="KQT34" s="17"/>
      <c r="KQU34" s="17"/>
      <c r="KQV34" s="17"/>
      <c r="KQW34" s="17"/>
      <c r="KQX34" s="17"/>
      <c r="KQY34" s="17"/>
      <c r="KQZ34" s="17"/>
      <c r="KRA34" s="17"/>
      <c r="KRB34" s="17"/>
      <c r="KRC34" s="17"/>
      <c r="KRD34" s="17"/>
      <c r="KRE34" s="17"/>
      <c r="KRF34" s="17"/>
      <c r="KRG34" s="17"/>
      <c r="KRH34" s="17"/>
      <c r="KRI34" s="17"/>
      <c r="KRJ34" s="17"/>
      <c r="KRK34" s="17"/>
      <c r="KRL34" s="17"/>
      <c r="KRM34" s="17"/>
      <c r="KRN34" s="17"/>
      <c r="KRO34" s="17"/>
      <c r="KRP34" s="17"/>
      <c r="KRQ34" s="17"/>
      <c r="KRR34" s="17"/>
      <c r="KRS34" s="17"/>
      <c r="KRT34" s="17"/>
      <c r="KRU34" s="17"/>
      <c r="KRV34" s="17"/>
      <c r="KRW34" s="17"/>
      <c r="KRX34" s="17"/>
      <c r="KRY34" s="17"/>
      <c r="KRZ34" s="17"/>
      <c r="KSA34" s="17"/>
      <c r="KSB34" s="17"/>
      <c r="KSC34" s="17"/>
      <c r="KSD34" s="17"/>
      <c r="KSE34" s="17"/>
      <c r="KSF34" s="17"/>
      <c r="KSG34" s="17"/>
      <c r="KSH34" s="17"/>
      <c r="KSI34" s="17"/>
      <c r="KSJ34" s="17"/>
      <c r="KSK34" s="17"/>
      <c r="KSL34" s="17"/>
      <c r="KSM34" s="17"/>
      <c r="KSN34" s="17"/>
      <c r="KSO34" s="17"/>
      <c r="KSP34" s="17"/>
      <c r="KSQ34" s="17"/>
      <c r="KSR34" s="17"/>
      <c r="KSS34" s="17"/>
      <c r="KST34" s="17"/>
      <c r="KSU34" s="17"/>
      <c r="KSV34" s="17"/>
      <c r="KSW34" s="17"/>
      <c r="KSX34" s="17"/>
      <c r="KSY34" s="17"/>
      <c r="KSZ34" s="17"/>
      <c r="KTA34" s="17"/>
      <c r="KTB34" s="17"/>
      <c r="KTC34" s="17"/>
      <c r="KTD34" s="17"/>
      <c r="KTE34" s="17"/>
      <c r="KTF34" s="17"/>
      <c r="KTG34" s="17"/>
      <c r="KTH34" s="17"/>
      <c r="KTI34" s="17"/>
      <c r="KTJ34" s="17"/>
      <c r="KTK34" s="17"/>
      <c r="KTL34" s="17"/>
      <c r="KTM34" s="17"/>
      <c r="KTN34" s="17"/>
      <c r="KTO34" s="17"/>
      <c r="KTP34" s="17"/>
      <c r="KTQ34" s="17"/>
      <c r="KTR34" s="17"/>
      <c r="KTS34" s="17"/>
      <c r="KTT34" s="17"/>
      <c r="KTU34" s="17"/>
      <c r="KTV34" s="17"/>
      <c r="KTW34" s="17"/>
      <c r="KTX34" s="17"/>
      <c r="KTY34" s="17"/>
      <c r="KTZ34" s="17"/>
      <c r="KUA34" s="17"/>
      <c r="KUB34" s="17"/>
      <c r="KUC34" s="17"/>
      <c r="KUD34" s="17"/>
      <c r="KUE34" s="17"/>
      <c r="KUF34" s="17"/>
      <c r="KUG34" s="17"/>
      <c r="KUH34" s="17"/>
      <c r="KUI34" s="17"/>
      <c r="KUJ34" s="17"/>
      <c r="KUK34" s="17"/>
      <c r="KUL34" s="17"/>
      <c r="KUM34" s="17"/>
      <c r="KUN34" s="17"/>
      <c r="KUO34" s="17"/>
      <c r="KUP34" s="17"/>
      <c r="KUQ34" s="17"/>
      <c r="KUR34" s="17"/>
      <c r="KUS34" s="17"/>
      <c r="KUT34" s="17"/>
      <c r="KUU34" s="17"/>
      <c r="KUV34" s="17"/>
      <c r="KUW34" s="17"/>
      <c r="KUX34" s="17"/>
      <c r="KUY34" s="17"/>
      <c r="KUZ34" s="17"/>
      <c r="KVA34" s="17"/>
      <c r="KVB34" s="17"/>
      <c r="KVC34" s="17"/>
      <c r="KVD34" s="17"/>
      <c r="KVE34" s="17"/>
      <c r="KVF34" s="17"/>
      <c r="KVG34" s="17"/>
      <c r="KVH34" s="17"/>
      <c r="KVI34" s="17"/>
      <c r="KVJ34" s="17"/>
      <c r="KVK34" s="17"/>
      <c r="KVL34" s="17"/>
      <c r="KVM34" s="17"/>
      <c r="KVN34" s="17"/>
      <c r="KVO34" s="17"/>
      <c r="KVP34" s="17"/>
      <c r="KVQ34" s="17"/>
      <c r="KVR34" s="17"/>
      <c r="KVS34" s="17"/>
      <c r="KVT34" s="17"/>
      <c r="KVU34" s="17"/>
      <c r="KVV34" s="17"/>
      <c r="KVW34" s="17"/>
      <c r="KVX34" s="17"/>
      <c r="KVY34" s="17"/>
      <c r="KVZ34" s="17"/>
      <c r="KWA34" s="17"/>
      <c r="KWB34" s="17"/>
      <c r="KWC34" s="17"/>
      <c r="KWD34" s="17"/>
      <c r="KWE34" s="17"/>
      <c r="KWF34" s="17"/>
      <c r="KWG34" s="17"/>
      <c r="KWH34" s="17"/>
      <c r="KWI34" s="17"/>
      <c r="KWJ34" s="17"/>
      <c r="KWK34" s="17"/>
      <c r="KWL34" s="17"/>
      <c r="KWM34" s="17"/>
      <c r="KWN34" s="17"/>
      <c r="KWO34" s="17"/>
      <c r="KWP34" s="17"/>
      <c r="KWQ34" s="17"/>
      <c r="KWR34" s="17"/>
      <c r="KWS34" s="17"/>
      <c r="KWT34" s="17"/>
      <c r="KWU34" s="17"/>
      <c r="KWV34" s="17"/>
      <c r="KWW34" s="17"/>
      <c r="KWX34" s="17"/>
      <c r="KWY34" s="17"/>
      <c r="KWZ34" s="17"/>
      <c r="KXA34" s="17"/>
      <c r="KXB34" s="17"/>
      <c r="KXC34" s="17"/>
      <c r="KXD34" s="17"/>
      <c r="KXE34" s="17"/>
      <c r="KXF34" s="17"/>
      <c r="KXG34" s="17"/>
      <c r="KXH34" s="17"/>
      <c r="KXI34" s="17"/>
      <c r="KXJ34" s="17"/>
      <c r="KXK34" s="17"/>
      <c r="KXL34" s="17"/>
      <c r="KXM34" s="17"/>
      <c r="KXN34" s="17"/>
      <c r="KXO34" s="17"/>
      <c r="KXP34" s="17"/>
      <c r="KXQ34" s="17"/>
      <c r="KXR34" s="17"/>
      <c r="KXS34" s="17"/>
      <c r="KXT34" s="17"/>
      <c r="KXU34" s="17"/>
      <c r="KXV34" s="17"/>
      <c r="KXW34" s="17"/>
      <c r="KXX34" s="17"/>
      <c r="KXY34" s="17"/>
      <c r="KXZ34" s="17"/>
      <c r="KYA34" s="17"/>
      <c r="KYB34" s="17"/>
      <c r="KYC34" s="17"/>
      <c r="KYD34" s="17"/>
      <c r="KYE34" s="17"/>
      <c r="KYF34" s="17"/>
      <c r="KYG34" s="17"/>
      <c r="KYH34" s="17"/>
      <c r="KYI34" s="17"/>
      <c r="KYJ34" s="17"/>
      <c r="KYK34" s="17"/>
      <c r="KYL34" s="17"/>
      <c r="KYM34" s="17"/>
      <c r="KYN34" s="17"/>
      <c r="KYO34" s="17"/>
      <c r="KYP34" s="17"/>
      <c r="KYQ34" s="17"/>
      <c r="KYR34" s="17"/>
      <c r="KYS34" s="17"/>
      <c r="KYT34" s="17"/>
      <c r="KYU34" s="17"/>
      <c r="KYV34" s="17"/>
      <c r="KYW34" s="17"/>
      <c r="KYX34" s="17"/>
      <c r="KYY34" s="17"/>
      <c r="KYZ34" s="17"/>
      <c r="KZA34" s="17"/>
      <c r="KZB34" s="17"/>
      <c r="KZC34" s="17"/>
      <c r="KZD34" s="17"/>
      <c r="KZE34" s="17"/>
      <c r="KZF34" s="17"/>
      <c r="KZG34" s="17"/>
      <c r="KZH34" s="17"/>
      <c r="KZI34" s="17"/>
      <c r="KZJ34" s="17"/>
      <c r="KZK34" s="17"/>
      <c r="KZL34" s="17"/>
      <c r="KZM34" s="17"/>
      <c r="KZN34" s="17"/>
      <c r="KZO34" s="17"/>
      <c r="KZP34" s="17"/>
      <c r="KZQ34" s="17"/>
      <c r="KZR34" s="17"/>
      <c r="KZS34" s="17"/>
      <c r="KZT34" s="17"/>
      <c r="KZU34" s="17"/>
      <c r="KZV34" s="17"/>
      <c r="KZW34" s="17"/>
      <c r="KZX34" s="17"/>
      <c r="KZY34" s="17"/>
      <c r="KZZ34" s="17"/>
      <c r="LAA34" s="17"/>
      <c r="LAB34" s="17"/>
      <c r="LAC34" s="17"/>
      <c r="LAD34" s="17"/>
      <c r="LAE34" s="17"/>
      <c r="LAF34" s="17"/>
      <c r="LAG34" s="17"/>
      <c r="LAH34" s="17"/>
      <c r="LAI34" s="17"/>
      <c r="LAJ34" s="17"/>
      <c r="LAK34" s="17"/>
      <c r="LAL34" s="17"/>
      <c r="LAM34" s="17"/>
      <c r="LAN34" s="17"/>
      <c r="LAO34" s="17"/>
      <c r="LAP34" s="17"/>
      <c r="LAQ34" s="17"/>
      <c r="LAR34" s="17"/>
      <c r="LAS34" s="17"/>
      <c r="LAT34" s="17"/>
      <c r="LAU34" s="17"/>
      <c r="LAV34" s="17"/>
      <c r="LAW34" s="17"/>
      <c r="LAX34" s="17"/>
      <c r="LAY34" s="17"/>
      <c r="LAZ34" s="17"/>
      <c r="LBA34" s="17"/>
      <c r="LBB34" s="17"/>
      <c r="LBC34" s="17"/>
      <c r="LBD34" s="17"/>
      <c r="LBE34" s="17"/>
      <c r="LBF34" s="17"/>
      <c r="LBG34" s="17"/>
      <c r="LBH34" s="17"/>
      <c r="LBI34" s="17"/>
      <c r="LBJ34" s="17"/>
      <c r="LBK34" s="17"/>
      <c r="LBL34" s="17"/>
      <c r="LBM34" s="17"/>
      <c r="LBN34" s="17"/>
      <c r="LBO34" s="17"/>
      <c r="LBP34" s="17"/>
      <c r="LBQ34" s="17"/>
      <c r="LBR34" s="17"/>
      <c r="LBS34" s="17"/>
      <c r="LBT34" s="17"/>
      <c r="LBU34" s="17"/>
      <c r="LBV34" s="17"/>
      <c r="LBW34" s="17"/>
      <c r="LBX34" s="17"/>
      <c r="LBY34" s="17"/>
      <c r="LBZ34" s="17"/>
      <c r="LCA34" s="17"/>
      <c r="LCB34" s="17"/>
      <c r="LCC34" s="17"/>
      <c r="LCD34" s="17"/>
      <c r="LCE34" s="17"/>
      <c r="LCF34" s="17"/>
      <c r="LCG34" s="17"/>
      <c r="LCH34" s="17"/>
      <c r="LCI34" s="17"/>
      <c r="LCJ34" s="17"/>
      <c r="LCK34" s="17"/>
      <c r="LCL34" s="17"/>
      <c r="LCM34" s="17"/>
      <c r="LCN34" s="17"/>
      <c r="LCO34" s="17"/>
      <c r="LCP34" s="17"/>
      <c r="LCQ34" s="17"/>
      <c r="LCR34" s="17"/>
      <c r="LCS34" s="17"/>
      <c r="LCT34" s="17"/>
      <c r="LCU34" s="17"/>
      <c r="LCV34" s="17"/>
      <c r="LCW34" s="17"/>
      <c r="LCX34" s="17"/>
      <c r="LCY34" s="17"/>
      <c r="LCZ34" s="17"/>
      <c r="LDA34" s="17"/>
      <c r="LDB34" s="17"/>
      <c r="LDC34" s="17"/>
      <c r="LDD34" s="17"/>
      <c r="LDE34" s="17"/>
      <c r="LDF34" s="17"/>
      <c r="LDG34" s="17"/>
      <c r="LDH34" s="17"/>
      <c r="LDI34" s="17"/>
      <c r="LDJ34" s="17"/>
      <c r="LDK34" s="17"/>
      <c r="LDL34" s="17"/>
      <c r="LDM34" s="17"/>
      <c r="LDN34" s="17"/>
      <c r="LDO34" s="17"/>
      <c r="LDP34" s="17"/>
      <c r="LDQ34" s="17"/>
      <c r="LDR34" s="17"/>
      <c r="LDS34" s="17"/>
      <c r="LDT34" s="17"/>
      <c r="LDU34" s="17"/>
      <c r="LDV34" s="17"/>
      <c r="LDW34" s="17"/>
      <c r="LDX34" s="17"/>
      <c r="LDY34" s="17"/>
      <c r="LDZ34" s="17"/>
      <c r="LEA34" s="17"/>
      <c r="LEB34" s="17"/>
      <c r="LEC34" s="17"/>
      <c r="LED34" s="17"/>
      <c r="LEE34" s="17"/>
      <c r="LEF34" s="17"/>
      <c r="LEG34" s="17"/>
      <c r="LEH34" s="17"/>
      <c r="LEI34" s="17"/>
      <c r="LEJ34" s="17"/>
      <c r="LEK34" s="17"/>
      <c r="LEL34" s="17"/>
      <c r="LEM34" s="17"/>
      <c r="LEN34" s="17"/>
      <c r="LEO34" s="17"/>
      <c r="LEP34" s="17"/>
      <c r="LEQ34" s="17"/>
      <c r="LER34" s="17"/>
      <c r="LES34" s="17"/>
      <c r="LET34" s="17"/>
      <c r="LEU34" s="17"/>
      <c r="LEV34" s="17"/>
      <c r="LEW34" s="17"/>
      <c r="LEX34" s="17"/>
      <c r="LEY34" s="17"/>
      <c r="LEZ34" s="17"/>
      <c r="LFA34" s="17"/>
      <c r="LFB34" s="17"/>
      <c r="LFC34" s="17"/>
      <c r="LFD34" s="17"/>
      <c r="LFE34" s="17"/>
      <c r="LFF34" s="17"/>
      <c r="LFG34" s="17"/>
      <c r="LFH34" s="17"/>
      <c r="LFI34" s="17"/>
      <c r="LFJ34" s="17"/>
      <c r="LFK34" s="17"/>
      <c r="LFL34" s="17"/>
      <c r="LFM34" s="17"/>
      <c r="LFN34" s="17"/>
      <c r="LFO34" s="17"/>
      <c r="LFP34" s="17"/>
      <c r="LFQ34" s="17"/>
      <c r="LFR34" s="17"/>
      <c r="LFS34" s="17"/>
      <c r="LFT34" s="17"/>
      <c r="LFU34" s="17"/>
      <c r="LFV34" s="17"/>
      <c r="LFW34" s="17"/>
      <c r="LFX34" s="17"/>
      <c r="LFY34" s="17"/>
      <c r="LFZ34" s="17"/>
      <c r="LGA34" s="17"/>
      <c r="LGB34" s="17"/>
      <c r="LGC34" s="17"/>
      <c r="LGD34" s="17"/>
      <c r="LGE34" s="17"/>
      <c r="LGF34" s="17"/>
      <c r="LGG34" s="17"/>
      <c r="LGH34" s="17"/>
      <c r="LGI34" s="17"/>
      <c r="LGJ34" s="17"/>
      <c r="LGK34" s="17"/>
      <c r="LGL34" s="17"/>
      <c r="LGM34" s="17"/>
      <c r="LGN34" s="17"/>
      <c r="LGO34" s="17"/>
      <c r="LGP34" s="17"/>
      <c r="LGQ34" s="17"/>
      <c r="LGR34" s="17"/>
      <c r="LGS34" s="17"/>
      <c r="LGT34" s="17"/>
      <c r="LGU34" s="17"/>
      <c r="LGV34" s="17"/>
      <c r="LGW34" s="17"/>
      <c r="LGX34" s="17"/>
      <c r="LGY34" s="17"/>
      <c r="LGZ34" s="17"/>
      <c r="LHA34" s="17"/>
      <c r="LHB34" s="17"/>
      <c r="LHC34" s="17"/>
      <c r="LHD34" s="17"/>
      <c r="LHE34" s="17"/>
      <c r="LHF34" s="17"/>
      <c r="LHG34" s="17"/>
      <c r="LHH34" s="17"/>
      <c r="LHI34" s="17"/>
      <c r="LHJ34" s="17"/>
      <c r="LHK34" s="17"/>
      <c r="LHL34" s="17"/>
      <c r="LHM34" s="17"/>
      <c r="LHN34" s="17"/>
      <c r="LHO34" s="17"/>
      <c r="LHP34" s="17"/>
      <c r="LHQ34" s="17"/>
      <c r="LHR34" s="17"/>
      <c r="LHS34" s="17"/>
      <c r="LHT34" s="17"/>
      <c r="LHU34" s="17"/>
      <c r="LHV34" s="17"/>
      <c r="LHW34" s="17"/>
      <c r="LHX34" s="17"/>
      <c r="LHY34" s="17"/>
      <c r="LHZ34" s="17"/>
      <c r="LIA34" s="17"/>
      <c r="LIB34" s="17"/>
      <c r="LIC34" s="17"/>
      <c r="LID34" s="17"/>
      <c r="LIE34" s="17"/>
      <c r="LIF34" s="17"/>
      <c r="LIG34" s="17"/>
      <c r="LIH34" s="17"/>
      <c r="LII34" s="17"/>
      <c r="LIJ34" s="17"/>
      <c r="LIK34" s="17"/>
      <c r="LIL34" s="17"/>
      <c r="LIM34" s="17"/>
      <c r="LIN34" s="17"/>
      <c r="LIO34" s="17"/>
      <c r="LIP34" s="17"/>
      <c r="LIQ34" s="17"/>
      <c r="LIR34" s="17"/>
      <c r="LIS34" s="17"/>
      <c r="LIT34" s="17"/>
      <c r="LIU34" s="17"/>
      <c r="LIV34" s="17"/>
      <c r="LIW34" s="17"/>
      <c r="LIX34" s="17"/>
      <c r="LIY34" s="17"/>
      <c r="LIZ34" s="17"/>
      <c r="LJA34" s="17"/>
      <c r="LJB34" s="17"/>
      <c r="LJC34" s="17"/>
      <c r="LJD34" s="17"/>
      <c r="LJE34" s="17"/>
      <c r="LJF34" s="17"/>
      <c r="LJG34" s="17"/>
      <c r="LJH34" s="17"/>
      <c r="LJI34" s="17"/>
      <c r="LJJ34" s="17"/>
      <c r="LJK34" s="17"/>
      <c r="LJL34" s="17"/>
      <c r="LJM34" s="17"/>
      <c r="LJN34" s="17"/>
      <c r="LJO34" s="17"/>
      <c r="LJP34" s="17"/>
      <c r="LJQ34" s="17"/>
      <c r="LJR34" s="17"/>
      <c r="LJS34" s="17"/>
      <c r="LJT34" s="17"/>
      <c r="LJU34" s="17"/>
      <c r="LJV34" s="17"/>
      <c r="LJW34" s="17"/>
      <c r="LJX34" s="17"/>
      <c r="LJY34" s="17"/>
      <c r="LJZ34" s="17"/>
      <c r="LKA34" s="17"/>
      <c r="LKB34" s="17"/>
      <c r="LKC34" s="17"/>
      <c r="LKD34" s="17"/>
      <c r="LKE34" s="17"/>
      <c r="LKF34" s="17"/>
      <c r="LKG34" s="17"/>
      <c r="LKH34" s="17"/>
      <c r="LKI34" s="17"/>
      <c r="LKJ34" s="17"/>
      <c r="LKK34" s="17"/>
      <c r="LKL34" s="17"/>
      <c r="LKM34" s="17"/>
      <c r="LKN34" s="17"/>
      <c r="LKO34" s="17"/>
      <c r="LKP34" s="17"/>
      <c r="LKQ34" s="17"/>
      <c r="LKR34" s="17"/>
      <c r="LKS34" s="17"/>
      <c r="LKT34" s="17"/>
      <c r="LKU34" s="17"/>
      <c r="LKV34" s="17"/>
      <c r="LKW34" s="17"/>
      <c r="LKX34" s="17"/>
      <c r="LKY34" s="17"/>
      <c r="LKZ34" s="17"/>
      <c r="LLA34" s="17"/>
      <c r="LLB34" s="17"/>
      <c r="LLC34" s="17"/>
      <c r="LLD34" s="17"/>
      <c r="LLE34" s="17"/>
      <c r="LLF34" s="17"/>
      <c r="LLG34" s="17"/>
      <c r="LLH34" s="17"/>
      <c r="LLI34" s="17"/>
      <c r="LLJ34" s="17"/>
      <c r="LLK34" s="17"/>
      <c r="LLL34" s="17"/>
      <c r="LLM34" s="17"/>
      <c r="LLN34" s="17"/>
      <c r="LLO34" s="17"/>
      <c r="LLP34" s="17"/>
      <c r="LLQ34" s="17"/>
      <c r="LLR34" s="17"/>
      <c r="LLS34" s="17"/>
      <c r="LLT34" s="17"/>
      <c r="LLU34" s="17"/>
      <c r="LLV34" s="17"/>
      <c r="LLW34" s="17"/>
      <c r="LLX34" s="17"/>
      <c r="LLY34" s="17"/>
      <c r="LLZ34" s="17"/>
      <c r="LMA34" s="17"/>
      <c r="LMB34" s="17"/>
      <c r="LMC34" s="17"/>
      <c r="LMD34" s="17"/>
      <c r="LME34" s="17"/>
      <c r="LMF34" s="17"/>
      <c r="LMG34" s="17"/>
      <c r="LMH34" s="17"/>
      <c r="LMI34" s="17"/>
      <c r="LMJ34" s="17"/>
      <c r="LMK34" s="17"/>
      <c r="LML34" s="17"/>
      <c r="LMM34" s="17"/>
      <c r="LMN34" s="17"/>
      <c r="LMO34" s="17"/>
      <c r="LMP34" s="17"/>
      <c r="LMQ34" s="17"/>
      <c r="LMR34" s="17"/>
      <c r="LMS34" s="17"/>
      <c r="LMT34" s="17"/>
      <c r="LMU34" s="17"/>
      <c r="LMV34" s="17"/>
      <c r="LMW34" s="17"/>
      <c r="LMX34" s="17"/>
      <c r="LMY34" s="17"/>
      <c r="LMZ34" s="17"/>
      <c r="LNA34" s="17"/>
      <c r="LNB34" s="17"/>
      <c r="LNC34" s="17"/>
      <c r="LND34" s="17"/>
      <c r="LNE34" s="17"/>
      <c r="LNF34" s="17"/>
      <c r="LNG34" s="17"/>
      <c r="LNH34" s="17"/>
      <c r="LNI34" s="17"/>
      <c r="LNJ34" s="17"/>
      <c r="LNK34" s="17"/>
      <c r="LNL34" s="17"/>
      <c r="LNM34" s="17"/>
      <c r="LNN34" s="17"/>
      <c r="LNO34" s="17"/>
      <c r="LNP34" s="17"/>
      <c r="LNQ34" s="17"/>
      <c r="LNR34" s="17"/>
      <c r="LNS34" s="17"/>
      <c r="LNT34" s="17"/>
      <c r="LNU34" s="17"/>
      <c r="LNV34" s="17"/>
      <c r="LNW34" s="17"/>
      <c r="LNX34" s="17"/>
      <c r="LNY34" s="17"/>
      <c r="LNZ34" s="17"/>
      <c r="LOA34" s="17"/>
      <c r="LOB34" s="17"/>
      <c r="LOC34" s="17"/>
      <c r="LOD34" s="17"/>
      <c r="LOE34" s="17"/>
      <c r="LOF34" s="17"/>
      <c r="LOG34" s="17"/>
      <c r="LOH34" s="17"/>
      <c r="LOI34" s="17"/>
      <c r="LOJ34" s="17"/>
      <c r="LOK34" s="17"/>
      <c r="LOL34" s="17"/>
      <c r="LOM34" s="17"/>
      <c r="LON34" s="17"/>
      <c r="LOO34" s="17"/>
      <c r="LOP34" s="17"/>
      <c r="LOQ34" s="17"/>
      <c r="LOR34" s="17"/>
      <c r="LOS34" s="17"/>
      <c r="LOT34" s="17"/>
      <c r="LOU34" s="17"/>
      <c r="LOV34" s="17"/>
      <c r="LOW34" s="17"/>
      <c r="LOX34" s="17"/>
      <c r="LOY34" s="17"/>
      <c r="LOZ34" s="17"/>
      <c r="LPA34" s="17"/>
      <c r="LPB34" s="17"/>
      <c r="LPC34" s="17"/>
      <c r="LPD34" s="17"/>
      <c r="LPE34" s="17"/>
      <c r="LPF34" s="17"/>
      <c r="LPG34" s="17"/>
      <c r="LPH34" s="17"/>
      <c r="LPI34" s="17"/>
      <c r="LPJ34" s="17"/>
      <c r="LPK34" s="17"/>
      <c r="LPL34" s="17"/>
      <c r="LPM34" s="17"/>
      <c r="LPN34" s="17"/>
      <c r="LPO34" s="17"/>
      <c r="LPP34" s="17"/>
      <c r="LPQ34" s="17"/>
      <c r="LPR34" s="17"/>
      <c r="LPS34" s="17"/>
      <c r="LPT34" s="17"/>
      <c r="LPU34" s="17"/>
      <c r="LPV34" s="17"/>
      <c r="LPW34" s="17"/>
      <c r="LPX34" s="17"/>
      <c r="LPY34" s="17"/>
      <c r="LPZ34" s="17"/>
      <c r="LQA34" s="17"/>
      <c r="LQB34" s="17"/>
      <c r="LQC34" s="17"/>
      <c r="LQD34" s="17"/>
      <c r="LQE34" s="17"/>
      <c r="LQF34" s="17"/>
      <c r="LQG34" s="17"/>
      <c r="LQH34" s="17"/>
      <c r="LQI34" s="17"/>
      <c r="LQJ34" s="17"/>
      <c r="LQK34" s="17"/>
      <c r="LQL34" s="17"/>
      <c r="LQM34" s="17"/>
      <c r="LQN34" s="17"/>
      <c r="LQO34" s="17"/>
      <c r="LQP34" s="17"/>
      <c r="LQQ34" s="17"/>
      <c r="LQR34" s="17"/>
      <c r="LQS34" s="17"/>
      <c r="LQT34" s="17"/>
      <c r="LQU34" s="17"/>
      <c r="LQV34" s="17"/>
      <c r="LQW34" s="17"/>
      <c r="LQX34" s="17"/>
      <c r="LQY34" s="17"/>
      <c r="LQZ34" s="17"/>
      <c r="LRA34" s="17"/>
      <c r="LRB34" s="17"/>
      <c r="LRC34" s="17"/>
      <c r="LRD34" s="17"/>
      <c r="LRE34" s="17"/>
      <c r="LRF34" s="17"/>
      <c r="LRG34" s="17"/>
      <c r="LRH34" s="17"/>
      <c r="LRI34" s="17"/>
      <c r="LRJ34" s="17"/>
      <c r="LRK34" s="17"/>
      <c r="LRL34" s="17"/>
      <c r="LRM34" s="17"/>
      <c r="LRN34" s="17"/>
      <c r="LRO34" s="17"/>
      <c r="LRP34" s="17"/>
      <c r="LRQ34" s="17"/>
      <c r="LRR34" s="17"/>
      <c r="LRS34" s="17"/>
      <c r="LRT34" s="17"/>
      <c r="LRU34" s="17"/>
      <c r="LRV34" s="17"/>
      <c r="LRW34" s="17"/>
      <c r="LRX34" s="17"/>
      <c r="LRY34" s="17"/>
      <c r="LRZ34" s="17"/>
      <c r="LSA34" s="17"/>
      <c r="LSB34" s="17"/>
      <c r="LSC34" s="17"/>
      <c r="LSD34" s="17"/>
      <c r="LSE34" s="17"/>
      <c r="LSF34" s="17"/>
      <c r="LSG34" s="17"/>
      <c r="LSH34" s="17"/>
      <c r="LSI34" s="17"/>
      <c r="LSJ34" s="17"/>
      <c r="LSK34" s="17"/>
      <c r="LSL34" s="17"/>
      <c r="LSM34" s="17"/>
      <c r="LSN34" s="17"/>
      <c r="LSO34" s="17"/>
      <c r="LSP34" s="17"/>
      <c r="LSQ34" s="17"/>
      <c r="LSR34" s="17"/>
      <c r="LSS34" s="17"/>
      <c r="LST34" s="17"/>
      <c r="LSU34" s="17"/>
      <c r="LSV34" s="17"/>
      <c r="LSW34" s="17"/>
      <c r="LSX34" s="17"/>
      <c r="LSY34" s="17"/>
      <c r="LSZ34" s="17"/>
      <c r="LTA34" s="17"/>
      <c r="LTB34" s="17"/>
      <c r="LTC34" s="17"/>
      <c r="LTD34" s="17"/>
      <c r="LTE34" s="17"/>
      <c r="LTF34" s="17"/>
      <c r="LTG34" s="17"/>
      <c r="LTH34" s="17"/>
      <c r="LTI34" s="17"/>
      <c r="LTJ34" s="17"/>
      <c r="LTK34" s="17"/>
      <c r="LTL34" s="17"/>
      <c r="LTM34" s="17"/>
      <c r="LTN34" s="17"/>
      <c r="LTO34" s="17"/>
      <c r="LTP34" s="17"/>
      <c r="LTQ34" s="17"/>
      <c r="LTR34" s="17"/>
      <c r="LTS34" s="17"/>
      <c r="LTT34" s="17"/>
      <c r="LTU34" s="17"/>
      <c r="LTV34" s="17"/>
      <c r="LTW34" s="17"/>
      <c r="LTX34" s="17"/>
      <c r="LTY34" s="17"/>
      <c r="LTZ34" s="17"/>
      <c r="LUA34" s="17"/>
      <c r="LUB34" s="17"/>
      <c r="LUC34" s="17"/>
      <c r="LUD34" s="17"/>
      <c r="LUE34" s="17"/>
      <c r="LUF34" s="17"/>
      <c r="LUG34" s="17"/>
      <c r="LUH34" s="17"/>
      <c r="LUI34" s="17"/>
      <c r="LUJ34" s="17"/>
      <c r="LUK34" s="17"/>
      <c r="LUL34" s="17"/>
      <c r="LUM34" s="17"/>
      <c r="LUN34" s="17"/>
      <c r="LUO34" s="17"/>
      <c r="LUP34" s="17"/>
      <c r="LUQ34" s="17"/>
      <c r="LUR34" s="17"/>
      <c r="LUS34" s="17"/>
      <c r="LUT34" s="17"/>
      <c r="LUU34" s="17"/>
      <c r="LUV34" s="17"/>
      <c r="LUW34" s="17"/>
      <c r="LUX34" s="17"/>
      <c r="LUY34" s="17"/>
      <c r="LUZ34" s="17"/>
      <c r="LVA34" s="17"/>
      <c r="LVB34" s="17"/>
      <c r="LVC34" s="17"/>
      <c r="LVD34" s="17"/>
      <c r="LVE34" s="17"/>
      <c r="LVF34" s="17"/>
      <c r="LVG34" s="17"/>
      <c r="LVH34" s="17"/>
      <c r="LVI34" s="17"/>
      <c r="LVJ34" s="17"/>
      <c r="LVK34" s="17"/>
      <c r="LVL34" s="17"/>
      <c r="LVM34" s="17"/>
      <c r="LVN34" s="17"/>
      <c r="LVO34" s="17"/>
      <c r="LVP34" s="17"/>
      <c r="LVQ34" s="17"/>
      <c r="LVR34" s="17"/>
      <c r="LVS34" s="17"/>
      <c r="LVT34" s="17"/>
      <c r="LVU34" s="17"/>
      <c r="LVV34" s="17"/>
      <c r="LVW34" s="17"/>
      <c r="LVX34" s="17"/>
      <c r="LVY34" s="17"/>
      <c r="LVZ34" s="17"/>
      <c r="LWA34" s="17"/>
      <c r="LWB34" s="17"/>
      <c r="LWC34" s="17"/>
      <c r="LWD34" s="17"/>
      <c r="LWE34" s="17"/>
      <c r="LWF34" s="17"/>
      <c r="LWG34" s="17"/>
      <c r="LWH34" s="17"/>
      <c r="LWI34" s="17"/>
      <c r="LWJ34" s="17"/>
      <c r="LWK34" s="17"/>
      <c r="LWL34" s="17"/>
      <c r="LWM34" s="17"/>
      <c r="LWN34" s="17"/>
      <c r="LWO34" s="17"/>
      <c r="LWP34" s="17"/>
      <c r="LWQ34" s="17"/>
      <c r="LWR34" s="17"/>
      <c r="LWS34" s="17"/>
      <c r="LWT34" s="17"/>
      <c r="LWU34" s="17"/>
      <c r="LWV34" s="17"/>
      <c r="LWW34" s="17"/>
      <c r="LWX34" s="17"/>
      <c r="LWY34" s="17"/>
      <c r="LWZ34" s="17"/>
      <c r="LXA34" s="17"/>
      <c r="LXB34" s="17"/>
      <c r="LXC34" s="17"/>
      <c r="LXD34" s="17"/>
      <c r="LXE34" s="17"/>
      <c r="LXF34" s="17"/>
      <c r="LXG34" s="17"/>
      <c r="LXH34" s="17"/>
      <c r="LXI34" s="17"/>
      <c r="LXJ34" s="17"/>
      <c r="LXK34" s="17"/>
      <c r="LXL34" s="17"/>
      <c r="LXM34" s="17"/>
      <c r="LXN34" s="17"/>
      <c r="LXO34" s="17"/>
      <c r="LXP34" s="17"/>
      <c r="LXQ34" s="17"/>
      <c r="LXR34" s="17"/>
      <c r="LXS34" s="17"/>
      <c r="LXT34" s="17"/>
      <c r="LXU34" s="17"/>
      <c r="LXV34" s="17"/>
      <c r="LXW34" s="17"/>
      <c r="LXX34" s="17"/>
      <c r="LXY34" s="17"/>
      <c r="LXZ34" s="17"/>
      <c r="LYA34" s="17"/>
      <c r="LYB34" s="17"/>
      <c r="LYC34" s="17"/>
      <c r="LYD34" s="17"/>
      <c r="LYE34" s="17"/>
      <c r="LYF34" s="17"/>
      <c r="LYG34" s="17"/>
      <c r="LYH34" s="17"/>
      <c r="LYI34" s="17"/>
      <c r="LYJ34" s="17"/>
      <c r="LYK34" s="17"/>
      <c r="LYL34" s="17"/>
      <c r="LYM34" s="17"/>
      <c r="LYN34" s="17"/>
      <c r="LYO34" s="17"/>
      <c r="LYP34" s="17"/>
      <c r="LYQ34" s="17"/>
      <c r="LYR34" s="17"/>
      <c r="LYS34" s="17"/>
      <c r="LYT34" s="17"/>
      <c r="LYU34" s="17"/>
      <c r="LYV34" s="17"/>
      <c r="LYW34" s="17"/>
      <c r="LYX34" s="17"/>
      <c r="LYY34" s="17"/>
      <c r="LYZ34" s="17"/>
      <c r="LZA34" s="17"/>
      <c r="LZB34" s="17"/>
      <c r="LZC34" s="17"/>
      <c r="LZD34" s="17"/>
      <c r="LZE34" s="17"/>
      <c r="LZF34" s="17"/>
      <c r="LZG34" s="17"/>
      <c r="LZH34" s="17"/>
      <c r="LZI34" s="17"/>
      <c r="LZJ34" s="17"/>
      <c r="LZK34" s="17"/>
      <c r="LZL34" s="17"/>
      <c r="LZM34" s="17"/>
      <c r="LZN34" s="17"/>
      <c r="LZO34" s="17"/>
      <c r="LZP34" s="17"/>
      <c r="LZQ34" s="17"/>
      <c r="LZR34" s="17"/>
      <c r="LZS34" s="17"/>
      <c r="LZT34" s="17"/>
      <c r="LZU34" s="17"/>
      <c r="LZV34" s="17"/>
      <c r="LZW34" s="17"/>
      <c r="LZX34" s="17"/>
      <c r="LZY34" s="17"/>
      <c r="LZZ34" s="17"/>
      <c r="MAA34" s="17"/>
      <c r="MAB34" s="17"/>
      <c r="MAC34" s="17"/>
      <c r="MAD34" s="17"/>
      <c r="MAE34" s="17"/>
      <c r="MAF34" s="17"/>
      <c r="MAG34" s="17"/>
      <c r="MAH34" s="17"/>
      <c r="MAI34" s="17"/>
      <c r="MAJ34" s="17"/>
      <c r="MAK34" s="17"/>
      <c r="MAL34" s="17"/>
      <c r="MAM34" s="17"/>
      <c r="MAN34" s="17"/>
      <c r="MAO34" s="17"/>
      <c r="MAP34" s="17"/>
      <c r="MAQ34" s="17"/>
      <c r="MAR34" s="17"/>
      <c r="MAS34" s="17"/>
      <c r="MAT34" s="17"/>
      <c r="MAU34" s="17"/>
      <c r="MAV34" s="17"/>
      <c r="MAW34" s="17"/>
      <c r="MAX34" s="17"/>
      <c r="MAY34" s="17"/>
      <c r="MAZ34" s="17"/>
      <c r="MBA34" s="17"/>
      <c r="MBB34" s="17"/>
      <c r="MBC34" s="17"/>
      <c r="MBD34" s="17"/>
      <c r="MBE34" s="17"/>
      <c r="MBF34" s="17"/>
      <c r="MBG34" s="17"/>
      <c r="MBH34" s="17"/>
      <c r="MBI34" s="17"/>
      <c r="MBJ34" s="17"/>
      <c r="MBK34" s="17"/>
      <c r="MBL34" s="17"/>
      <c r="MBM34" s="17"/>
      <c r="MBN34" s="17"/>
      <c r="MBO34" s="17"/>
      <c r="MBP34" s="17"/>
      <c r="MBQ34" s="17"/>
      <c r="MBR34" s="17"/>
      <c r="MBS34" s="17"/>
      <c r="MBT34" s="17"/>
      <c r="MBU34" s="17"/>
      <c r="MBV34" s="17"/>
      <c r="MBW34" s="17"/>
      <c r="MBX34" s="17"/>
      <c r="MBY34" s="17"/>
      <c r="MBZ34" s="17"/>
      <c r="MCA34" s="17"/>
      <c r="MCB34" s="17"/>
      <c r="MCC34" s="17"/>
      <c r="MCD34" s="17"/>
      <c r="MCE34" s="17"/>
      <c r="MCF34" s="17"/>
      <c r="MCG34" s="17"/>
      <c r="MCH34" s="17"/>
      <c r="MCI34" s="17"/>
      <c r="MCJ34" s="17"/>
      <c r="MCK34" s="17"/>
      <c r="MCL34" s="17"/>
      <c r="MCM34" s="17"/>
      <c r="MCN34" s="17"/>
      <c r="MCO34" s="17"/>
      <c r="MCP34" s="17"/>
      <c r="MCQ34" s="17"/>
      <c r="MCR34" s="17"/>
      <c r="MCS34" s="17"/>
      <c r="MCT34" s="17"/>
      <c r="MCU34" s="17"/>
      <c r="MCV34" s="17"/>
      <c r="MCW34" s="17"/>
      <c r="MCX34" s="17"/>
      <c r="MCY34" s="17"/>
      <c r="MCZ34" s="17"/>
      <c r="MDA34" s="17"/>
      <c r="MDB34" s="17"/>
      <c r="MDC34" s="17"/>
      <c r="MDD34" s="17"/>
      <c r="MDE34" s="17"/>
      <c r="MDF34" s="17"/>
      <c r="MDG34" s="17"/>
      <c r="MDH34" s="17"/>
      <c r="MDI34" s="17"/>
      <c r="MDJ34" s="17"/>
      <c r="MDK34" s="17"/>
      <c r="MDL34" s="17"/>
      <c r="MDM34" s="17"/>
      <c r="MDN34" s="17"/>
      <c r="MDO34" s="17"/>
      <c r="MDP34" s="17"/>
      <c r="MDQ34" s="17"/>
      <c r="MDR34" s="17"/>
      <c r="MDS34" s="17"/>
      <c r="MDT34" s="17"/>
      <c r="MDU34" s="17"/>
      <c r="MDV34" s="17"/>
      <c r="MDW34" s="17"/>
      <c r="MDX34" s="17"/>
      <c r="MDY34" s="17"/>
      <c r="MDZ34" s="17"/>
      <c r="MEA34" s="17"/>
      <c r="MEB34" s="17"/>
      <c r="MEC34" s="17"/>
      <c r="MED34" s="17"/>
      <c r="MEE34" s="17"/>
      <c r="MEF34" s="17"/>
      <c r="MEG34" s="17"/>
      <c r="MEH34" s="17"/>
      <c r="MEI34" s="17"/>
      <c r="MEJ34" s="17"/>
      <c r="MEK34" s="17"/>
      <c r="MEL34" s="17"/>
      <c r="MEM34" s="17"/>
      <c r="MEN34" s="17"/>
      <c r="MEO34" s="17"/>
      <c r="MEP34" s="17"/>
      <c r="MEQ34" s="17"/>
      <c r="MER34" s="17"/>
      <c r="MES34" s="17"/>
      <c r="MET34" s="17"/>
      <c r="MEU34" s="17"/>
      <c r="MEV34" s="17"/>
      <c r="MEW34" s="17"/>
      <c r="MEX34" s="17"/>
      <c r="MEY34" s="17"/>
      <c r="MEZ34" s="17"/>
      <c r="MFA34" s="17"/>
      <c r="MFB34" s="17"/>
      <c r="MFC34" s="17"/>
      <c r="MFD34" s="17"/>
      <c r="MFE34" s="17"/>
      <c r="MFF34" s="17"/>
      <c r="MFG34" s="17"/>
      <c r="MFH34" s="17"/>
      <c r="MFI34" s="17"/>
      <c r="MFJ34" s="17"/>
      <c r="MFK34" s="17"/>
      <c r="MFL34" s="17"/>
      <c r="MFM34" s="17"/>
      <c r="MFN34" s="17"/>
      <c r="MFO34" s="17"/>
      <c r="MFP34" s="17"/>
      <c r="MFQ34" s="17"/>
      <c r="MFR34" s="17"/>
      <c r="MFS34" s="17"/>
      <c r="MFT34" s="17"/>
      <c r="MFU34" s="17"/>
      <c r="MFV34" s="17"/>
      <c r="MFW34" s="17"/>
      <c r="MFX34" s="17"/>
      <c r="MFY34" s="17"/>
      <c r="MFZ34" s="17"/>
      <c r="MGA34" s="17"/>
      <c r="MGB34" s="17"/>
      <c r="MGC34" s="17"/>
      <c r="MGD34" s="17"/>
      <c r="MGE34" s="17"/>
      <c r="MGF34" s="17"/>
      <c r="MGG34" s="17"/>
      <c r="MGH34" s="17"/>
      <c r="MGI34" s="17"/>
      <c r="MGJ34" s="17"/>
      <c r="MGK34" s="17"/>
      <c r="MGL34" s="17"/>
      <c r="MGM34" s="17"/>
      <c r="MGN34" s="17"/>
      <c r="MGO34" s="17"/>
      <c r="MGP34" s="17"/>
      <c r="MGQ34" s="17"/>
      <c r="MGR34" s="17"/>
      <c r="MGS34" s="17"/>
      <c r="MGT34" s="17"/>
      <c r="MGU34" s="17"/>
      <c r="MGV34" s="17"/>
      <c r="MGW34" s="17"/>
      <c r="MGX34" s="17"/>
      <c r="MGY34" s="17"/>
      <c r="MGZ34" s="17"/>
      <c r="MHA34" s="17"/>
      <c r="MHB34" s="17"/>
      <c r="MHC34" s="17"/>
      <c r="MHD34" s="17"/>
      <c r="MHE34" s="17"/>
      <c r="MHF34" s="17"/>
      <c r="MHG34" s="17"/>
      <c r="MHH34" s="17"/>
      <c r="MHI34" s="17"/>
      <c r="MHJ34" s="17"/>
      <c r="MHK34" s="17"/>
      <c r="MHL34" s="17"/>
      <c r="MHM34" s="17"/>
      <c r="MHN34" s="17"/>
      <c r="MHO34" s="17"/>
      <c r="MHP34" s="17"/>
      <c r="MHQ34" s="17"/>
      <c r="MHR34" s="17"/>
      <c r="MHS34" s="17"/>
      <c r="MHT34" s="17"/>
      <c r="MHU34" s="17"/>
      <c r="MHV34" s="17"/>
      <c r="MHW34" s="17"/>
      <c r="MHX34" s="17"/>
      <c r="MHY34" s="17"/>
      <c r="MHZ34" s="17"/>
      <c r="MIA34" s="17"/>
      <c r="MIB34" s="17"/>
      <c r="MIC34" s="17"/>
      <c r="MID34" s="17"/>
      <c r="MIE34" s="17"/>
      <c r="MIF34" s="17"/>
      <c r="MIG34" s="17"/>
      <c r="MIH34" s="17"/>
      <c r="MII34" s="17"/>
      <c r="MIJ34" s="17"/>
      <c r="MIK34" s="17"/>
      <c r="MIL34" s="17"/>
      <c r="MIM34" s="17"/>
      <c r="MIN34" s="17"/>
      <c r="MIO34" s="17"/>
      <c r="MIP34" s="17"/>
      <c r="MIQ34" s="17"/>
      <c r="MIR34" s="17"/>
      <c r="MIS34" s="17"/>
      <c r="MIT34" s="17"/>
      <c r="MIU34" s="17"/>
      <c r="MIV34" s="17"/>
      <c r="MIW34" s="17"/>
      <c r="MIX34" s="17"/>
      <c r="MIY34" s="17"/>
      <c r="MIZ34" s="17"/>
      <c r="MJA34" s="17"/>
      <c r="MJB34" s="17"/>
      <c r="MJC34" s="17"/>
      <c r="MJD34" s="17"/>
      <c r="MJE34" s="17"/>
      <c r="MJF34" s="17"/>
      <c r="MJG34" s="17"/>
      <c r="MJH34" s="17"/>
      <c r="MJI34" s="17"/>
      <c r="MJJ34" s="17"/>
      <c r="MJK34" s="17"/>
      <c r="MJL34" s="17"/>
      <c r="MJM34" s="17"/>
      <c r="MJN34" s="17"/>
      <c r="MJO34" s="17"/>
      <c r="MJP34" s="17"/>
      <c r="MJQ34" s="17"/>
      <c r="MJR34" s="17"/>
      <c r="MJS34" s="17"/>
      <c r="MJT34" s="17"/>
      <c r="MJU34" s="17"/>
      <c r="MJV34" s="17"/>
      <c r="MJW34" s="17"/>
      <c r="MJX34" s="17"/>
      <c r="MJY34" s="17"/>
      <c r="MJZ34" s="17"/>
      <c r="MKA34" s="17"/>
      <c r="MKB34" s="17"/>
      <c r="MKC34" s="17"/>
      <c r="MKD34" s="17"/>
      <c r="MKE34" s="17"/>
      <c r="MKF34" s="17"/>
      <c r="MKG34" s="17"/>
      <c r="MKH34" s="17"/>
      <c r="MKI34" s="17"/>
      <c r="MKJ34" s="17"/>
      <c r="MKK34" s="17"/>
      <c r="MKL34" s="17"/>
      <c r="MKM34" s="17"/>
      <c r="MKN34" s="17"/>
      <c r="MKO34" s="17"/>
      <c r="MKP34" s="17"/>
      <c r="MKQ34" s="17"/>
      <c r="MKR34" s="17"/>
      <c r="MKS34" s="17"/>
      <c r="MKT34" s="17"/>
      <c r="MKU34" s="17"/>
      <c r="MKV34" s="17"/>
      <c r="MKW34" s="17"/>
      <c r="MKX34" s="17"/>
      <c r="MKY34" s="17"/>
      <c r="MKZ34" s="17"/>
      <c r="MLA34" s="17"/>
      <c r="MLB34" s="17"/>
      <c r="MLC34" s="17"/>
      <c r="MLD34" s="17"/>
      <c r="MLE34" s="17"/>
      <c r="MLF34" s="17"/>
      <c r="MLG34" s="17"/>
      <c r="MLH34" s="17"/>
      <c r="MLI34" s="17"/>
      <c r="MLJ34" s="17"/>
      <c r="MLK34" s="17"/>
      <c r="MLL34" s="17"/>
      <c r="MLM34" s="17"/>
      <c r="MLN34" s="17"/>
      <c r="MLO34" s="17"/>
      <c r="MLP34" s="17"/>
      <c r="MLQ34" s="17"/>
      <c r="MLR34" s="17"/>
      <c r="MLS34" s="17"/>
      <c r="MLT34" s="17"/>
      <c r="MLU34" s="17"/>
      <c r="MLV34" s="17"/>
      <c r="MLW34" s="17"/>
      <c r="MLX34" s="17"/>
      <c r="MLY34" s="17"/>
      <c r="MLZ34" s="17"/>
      <c r="MMA34" s="17"/>
      <c r="MMB34" s="17"/>
      <c r="MMC34" s="17"/>
      <c r="MMD34" s="17"/>
      <c r="MME34" s="17"/>
      <c r="MMF34" s="17"/>
      <c r="MMG34" s="17"/>
      <c r="MMH34" s="17"/>
      <c r="MMI34" s="17"/>
      <c r="MMJ34" s="17"/>
      <c r="MMK34" s="17"/>
      <c r="MML34" s="17"/>
      <c r="MMM34" s="17"/>
      <c r="MMN34" s="17"/>
      <c r="MMO34" s="17"/>
      <c r="MMP34" s="17"/>
      <c r="MMQ34" s="17"/>
      <c r="MMR34" s="17"/>
      <c r="MMS34" s="17"/>
      <c r="MMT34" s="17"/>
      <c r="MMU34" s="17"/>
      <c r="MMV34" s="17"/>
      <c r="MMW34" s="17"/>
      <c r="MMX34" s="17"/>
      <c r="MMY34" s="17"/>
      <c r="MMZ34" s="17"/>
      <c r="MNA34" s="17"/>
      <c r="MNB34" s="17"/>
      <c r="MNC34" s="17"/>
      <c r="MND34" s="17"/>
      <c r="MNE34" s="17"/>
      <c r="MNF34" s="17"/>
      <c r="MNG34" s="17"/>
      <c r="MNH34" s="17"/>
      <c r="MNI34" s="17"/>
      <c r="MNJ34" s="17"/>
      <c r="MNK34" s="17"/>
      <c r="MNL34" s="17"/>
      <c r="MNM34" s="17"/>
      <c r="MNN34" s="17"/>
      <c r="MNO34" s="17"/>
      <c r="MNP34" s="17"/>
      <c r="MNQ34" s="17"/>
      <c r="MNR34" s="17"/>
      <c r="MNS34" s="17"/>
      <c r="MNT34" s="17"/>
      <c r="MNU34" s="17"/>
      <c r="MNV34" s="17"/>
      <c r="MNW34" s="17"/>
      <c r="MNX34" s="17"/>
      <c r="MNY34" s="17"/>
      <c r="MNZ34" s="17"/>
      <c r="MOA34" s="17"/>
      <c r="MOB34" s="17"/>
      <c r="MOC34" s="17"/>
      <c r="MOD34" s="17"/>
      <c r="MOE34" s="17"/>
      <c r="MOF34" s="17"/>
      <c r="MOG34" s="17"/>
      <c r="MOH34" s="17"/>
      <c r="MOI34" s="17"/>
      <c r="MOJ34" s="17"/>
      <c r="MOK34" s="17"/>
      <c r="MOL34" s="17"/>
      <c r="MOM34" s="17"/>
      <c r="MON34" s="17"/>
      <c r="MOO34" s="17"/>
      <c r="MOP34" s="17"/>
      <c r="MOQ34" s="17"/>
      <c r="MOR34" s="17"/>
      <c r="MOS34" s="17"/>
      <c r="MOT34" s="17"/>
      <c r="MOU34" s="17"/>
      <c r="MOV34" s="17"/>
      <c r="MOW34" s="17"/>
      <c r="MOX34" s="17"/>
      <c r="MOY34" s="17"/>
      <c r="MOZ34" s="17"/>
      <c r="MPA34" s="17"/>
      <c r="MPB34" s="17"/>
      <c r="MPC34" s="17"/>
      <c r="MPD34" s="17"/>
      <c r="MPE34" s="17"/>
      <c r="MPF34" s="17"/>
      <c r="MPG34" s="17"/>
      <c r="MPH34" s="17"/>
      <c r="MPI34" s="17"/>
      <c r="MPJ34" s="17"/>
      <c r="MPK34" s="17"/>
      <c r="MPL34" s="17"/>
      <c r="MPM34" s="17"/>
      <c r="MPN34" s="17"/>
      <c r="MPO34" s="17"/>
      <c r="MPP34" s="17"/>
      <c r="MPQ34" s="17"/>
      <c r="MPR34" s="17"/>
      <c r="MPS34" s="17"/>
      <c r="MPT34" s="17"/>
      <c r="MPU34" s="17"/>
      <c r="MPV34" s="17"/>
      <c r="MPW34" s="17"/>
      <c r="MPX34" s="17"/>
      <c r="MPY34" s="17"/>
      <c r="MPZ34" s="17"/>
      <c r="MQA34" s="17"/>
      <c r="MQB34" s="17"/>
      <c r="MQC34" s="17"/>
      <c r="MQD34" s="17"/>
      <c r="MQE34" s="17"/>
      <c r="MQF34" s="17"/>
      <c r="MQG34" s="17"/>
      <c r="MQH34" s="17"/>
      <c r="MQI34" s="17"/>
      <c r="MQJ34" s="17"/>
      <c r="MQK34" s="17"/>
      <c r="MQL34" s="17"/>
      <c r="MQM34" s="17"/>
      <c r="MQN34" s="17"/>
      <c r="MQO34" s="17"/>
      <c r="MQP34" s="17"/>
      <c r="MQQ34" s="17"/>
      <c r="MQR34" s="17"/>
      <c r="MQS34" s="17"/>
      <c r="MQT34" s="17"/>
      <c r="MQU34" s="17"/>
      <c r="MQV34" s="17"/>
      <c r="MQW34" s="17"/>
      <c r="MQX34" s="17"/>
      <c r="MQY34" s="17"/>
      <c r="MQZ34" s="17"/>
      <c r="MRA34" s="17"/>
      <c r="MRB34" s="17"/>
      <c r="MRC34" s="17"/>
      <c r="MRD34" s="17"/>
      <c r="MRE34" s="17"/>
      <c r="MRF34" s="17"/>
      <c r="MRG34" s="17"/>
      <c r="MRH34" s="17"/>
      <c r="MRI34" s="17"/>
      <c r="MRJ34" s="17"/>
      <c r="MRK34" s="17"/>
      <c r="MRL34" s="17"/>
      <c r="MRM34" s="17"/>
      <c r="MRN34" s="17"/>
      <c r="MRO34" s="17"/>
      <c r="MRP34" s="17"/>
      <c r="MRQ34" s="17"/>
      <c r="MRR34" s="17"/>
      <c r="MRS34" s="17"/>
      <c r="MRT34" s="17"/>
      <c r="MRU34" s="17"/>
      <c r="MRV34" s="17"/>
      <c r="MRW34" s="17"/>
      <c r="MRX34" s="17"/>
      <c r="MRY34" s="17"/>
      <c r="MRZ34" s="17"/>
      <c r="MSA34" s="17"/>
      <c r="MSB34" s="17"/>
      <c r="MSC34" s="17"/>
      <c r="MSD34" s="17"/>
      <c r="MSE34" s="17"/>
      <c r="MSF34" s="17"/>
      <c r="MSG34" s="17"/>
      <c r="MSH34" s="17"/>
      <c r="MSI34" s="17"/>
      <c r="MSJ34" s="17"/>
      <c r="MSK34" s="17"/>
      <c r="MSL34" s="17"/>
      <c r="MSM34" s="17"/>
      <c r="MSN34" s="17"/>
      <c r="MSO34" s="17"/>
      <c r="MSP34" s="17"/>
      <c r="MSQ34" s="17"/>
      <c r="MSR34" s="17"/>
      <c r="MSS34" s="17"/>
      <c r="MST34" s="17"/>
      <c r="MSU34" s="17"/>
      <c r="MSV34" s="17"/>
      <c r="MSW34" s="17"/>
      <c r="MSX34" s="17"/>
      <c r="MSY34" s="17"/>
      <c r="MSZ34" s="17"/>
      <c r="MTA34" s="17"/>
      <c r="MTB34" s="17"/>
      <c r="MTC34" s="17"/>
      <c r="MTD34" s="17"/>
      <c r="MTE34" s="17"/>
      <c r="MTF34" s="17"/>
      <c r="MTG34" s="17"/>
      <c r="MTH34" s="17"/>
      <c r="MTI34" s="17"/>
      <c r="MTJ34" s="17"/>
      <c r="MTK34" s="17"/>
      <c r="MTL34" s="17"/>
      <c r="MTM34" s="17"/>
      <c r="MTN34" s="17"/>
      <c r="MTO34" s="17"/>
      <c r="MTP34" s="17"/>
      <c r="MTQ34" s="17"/>
      <c r="MTR34" s="17"/>
      <c r="MTS34" s="17"/>
      <c r="MTT34" s="17"/>
      <c r="MTU34" s="17"/>
      <c r="MTV34" s="17"/>
      <c r="MTW34" s="17"/>
      <c r="MTX34" s="17"/>
      <c r="MTY34" s="17"/>
      <c r="MTZ34" s="17"/>
      <c r="MUA34" s="17"/>
      <c r="MUB34" s="17"/>
      <c r="MUC34" s="17"/>
      <c r="MUD34" s="17"/>
      <c r="MUE34" s="17"/>
      <c r="MUF34" s="17"/>
      <c r="MUG34" s="17"/>
      <c r="MUH34" s="17"/>
      <c r="MUI34" s="17"/>
      <c r="MUJ34" s="17"/>
      <c r="MUK34" s="17"/>
      <c r="MUL34" s="17"/>
      <c r="MUM34" s="17"/>
      <c r="MUN34" s="17"/>
      <c r="MUO34" s="17"/>
      <c r="MUP34" s="17"/>
      <c r="MUQ34" s="17"/>
      <c r="MUR34" s="17"/>
      <c r="MUS34" s="17"/>
      <c r="MUT34" s="17"/>
      <c r="MUU34" s="17"/>
      <c r="MUV34" s="17"/>
      <c r="MUW34" s="17"/>
      <c r="MUX34" s="17"/>
      <c r="MUY34" s="17"/>
      <c r="MUZ34" s="17"/>
      <c r="MVA34" s="17"/>
      <c r="MVB34" s="17"/>
      <c r="MVC34" s="17"/>
      <c r="MVD34" s="17"/>
      <c r="MVE34" s="17"/>
      <c r="MVF34" s="17"/>
      <c r="MVG34" s="17"/>
      <c r="MVH34" s="17"/>
      <c r="MVI34" s="17"/>
      <c r="MVJ34" s="17"/>
      <c r="MVK34" s="17"/>
      <c r="MVL34" s="17"/>
      <c r="MVM34" s="17"/>
      <c r="MVN34" s="17"/>
      <c r="MVO34" s="17"/>
      <c r="MVP34" s="17"/>
      <c r="MVQ34" s="17"/>
      <c r="MVR34" s="17"/>
      <c r="MVS34" s="17"/>
      <c r="MVT34" s="17"/>
      <c r="MVU34" s="17"/>
      <c r="MVV34" s="17"/>
      <c r="MVW34" s="17"/>
      <c r="MVX34" s="17"/>
      <c r="MVY34" s="17"/>
      <c r="MVZ34" s="17"/>
      <c r="MWA34" s="17"/>
      <c r="MWB34" s="17"/>
      <c r="MWC34" s="17"/>
      <c r="MWD34" s="17"/>
      <c r="MWE34" s="17"/>
      <c r="MWF34" s="17"/>
      <c r="MWG34" s="17"/>
      <c r="MWH34" s="17"/>
      <c r="MWI34" s="17"/>
      <c r="MWJ34" s="17"/>
      <c r="MWK34" s="17"/>
      <c r="MWL34" s="17"/>
      <c r="MWM34" s="17"/>
      <c r="MWN34" s="17"/>
      <c r="MWO34" s="17"/>
      <c r="MWP34" s="17"/>
      <c r="MWQ34" s="17"/>
      <c r="MWR34" s="17"/>
      <c r="MWS34" s="17"/>
      <c r="MWT34" s="17"/>
      <c r="MWU34" s="17"/>
      <c r="MWV34" s="17"/>
      <c r="MWW34" s="17"/>
      <c r="MWX34" s="17"/>
      <c r="MWY34" s="17"/>
      <c r="MWZ34" s="17"/>
      <c r="MXA34" s="17"/>
      <c r="MXB34" s="17"/>
      <c r="MXC34" s="17"/>
      <c r="MXD34" s="17"/>
      <c r="MXE34" s="17"/>
      <c r="MXF34" s="17"/>
      <c r="MXG34" s="17"/>
      <c r="MXH34" s="17"/>
      <c r="MXI34" s="17"/>
      <c r="MXJ34" s="17"/>
      <c r="MXK34" s="17"/>
      <c r="MXL34" s="17"/>
      <c r="MXM34" s="17"/>
      <c r="MXN34" s="17"/>
      <c r="MXO34" s="17"/>
      <c r="MXP34" s="17"/>
      <c r="MXQ34" s="17"/>
      <c r="MXR34" s="17"/>
      <c r="MXS34" s="17"/>
      <c r="MXT34" s="17"/>
      <c r="MXU34" s="17"/>
      <c r="MXV34" s="17"/>
      <c r="MXW34" s="17"/>
      <c r="MXX34" s="17"/>
      <c r="MXY34" s="17"/>
      <c r="MXZ34" s="17"/>
      <c r="MYA34" s="17"/>
      <c r="MYB34" s="17"/>
      <c r="MYC34" s="17"/>
      <c r="MYD34" s="17"/>
      <c r="MYE34" s="17"/>
      <c r="MYF34" s="17"/>
      <c r="MYG34" s="17"/>
      <c r="MYH34" s="17"/>
      <c r="MYI34" s="17"/>
      <c r="MYJ34" s="17"/>
      <c r="MYK34" s="17"/>
      <c r="MYL34" s="17"/>
      <c r="MYM34" s="17"/>
      <c r="MYN34" s="17"/>
      <c r="MYO34" s="17"/>
      <c r="MYP34" s="17"/>
      <c r="MYQ34" s="17"/>
      <c r="MYR34" s="17"/>
      <c r="MYS34" s="17"/>
      <c r="MYT34" s="17"/>
      <c r="MYU34" s="17"/>
      <c r="MYV34" s="17"/>
      <c r="MYW34" s="17"/>
      <c r="MYX34" s="17"/>
      <c r="MYY34" s="17"/>
      <c r="MYZ34" s="17"/>
      <c r="MZA34" s="17"/>
      <c r="MZB34" s="17"/>
      <c r="MZC34" s="17"/>
      <c r="MZD34" s="17"/>
      <c r="MZE34" s="17"/>
      <c r="MZF34" s="17"/>
      <c r="MZG34" s="17"/>
      <c r="MZH34" s="17"/>
      <c r="MZI34" s="17"/>
      <c r="MZJ34" s="17"/>
      <c r="MZK34" s="17"/>
      <c r="MZL34" s="17"/>
      <c r="MZM34" s="17"/>
      <c r="MZN34" s="17"/>
      <c r="MZO34" s="17"/>
      <c r="MZP34" s="17"/>
      <c r="MZQ34" s="17"/>
      <c r="MZR34" s="17"/>
      <c r="MZS34" s="17"/>
      <c r="MZT34" s="17"/>
      <c r="MZU34" s="17"/>
      <c r="MZV34" s="17"/>
      <c r="MZW34" s="17"/>
      <c r="MZX34" s="17"/>
      <c r="MZY34" s="17"/>
      <c r="MZZ34" s="17"/>
      <c r="NAA34" s="17"/>
      <c r="NAB34" s="17"/>
      <c r="NAC34" s="17"/>
      <c r="NAD34" s="17"/>
      <c r="NAE34" s="17"/>
      <c r="NAF34" s="17"/>
      <c r="NAG34" s="17"/>
      <c r="NAH34" s="17"/>
      <c r="NAI34" s="17"/>
      <c r="NAJ34" s="17"/>
      <c r="NAK34" s="17"/>
      <c r="NAL34" s="17"/>
      <c r="NAM34" s="17"/>
      <c r="NAN34" s="17"/>
      <c r="NAO34" s="17"/>
      <c r="NAP34" s="17"/>
      <c r="NAQ34" s="17"/>
      <c r="NAR34" s="17"/>
      <c r="NAS34" s="17"/>
      <c r="NAT34" s="17"/>
      <c r="NAU34" s="17"/>
      <c r="NAV34" s="17"/>
      <c r="NAW34" s="17"/>
      <c r="NAX34" s="17"/>
      <c r="NAY34" s="17"/>
      <c r="NAZ34" s="17"/>
      <c r="NBA34" s="17"/>
      <c r="NBB34" s="17"/>
      <c r="NBC34" s="17"/>
      <c r="NBD34" s="17"/>
      <c r="NBE34" s="17"/>
      <c r="NBF34" s="17"/>
      <c r="NBG34" s="17"/>
      <c r="NBH34" s="17"/>
      <c r="NBI34" s="17"/>
      <c r="NBJ34" s="17"/>
      <c r="NBK34" s="17"/>
      <c r="NBL34" s="17"/>
      <c r="NBM34" s="17"/>
      <c r="NBN34" s="17"/>
      <c r="NBO34" s="17"/>
      <c r="NBP34" s="17"/>
      <c r="NBQ34" s="17"/>
      <c r="NBR34" s="17"/>
      <c r="NBS34" s="17"/>
      <c r="NBT34" s="17"/>
      <c r="NBU34" s="17"/>
      <c r="NBV34" s="17"/>
      <c r="NBW34" s="17"/>
      <c r="NBX34" s="17"/>
      <c r="NBY34" s="17"/>
      <c r="NBZ34" s="17"/>
      <c r="NCA34" s="17"/>
      <c r="NCB34" s="17"/>
      <c r="NCC34" s="17"/>
      <c r="NCD34" s="17"/>
      <c r="NCE34" s="17"/>
      <c r="NCF34" s="17"/>
      <c r="NCG34" s="17"/>
      <c r="NCH34" s="17"/>
      <c r="NCI34" s="17"/>
      <c r="NCJ34" s="17"/>
      <c r="NCK34" s="17"/>
      <c r="NCL34" s="17"/>
      <c r="NCM34" s="17"/>
      <c r="NCN34" s="17"/>
      <c r="NCO34" s="17"/>
      <c r="NCP34" s="17"/>
      <c r="NCQ34" s="17"/>
      <c r="NCR34" s="17"/>
      <c r="NCS34" s="17"/>
      <c r="NCT34" s="17"/>
      <c r="NCU34" s="17"/>
      <c r="NCV34" s="17"/>
      <c r="NCW34" s="17"/>
      <c r="NCX34" s="17"/>
      <c r="NCY34" s="17"/>
      <c r="NCZ34" s="17"/>
      <c r="NDA34" s="17"/>
      <c r="NDB34" s="17"/>
      <c r="NDC34" s="17"/>
      <c r="NDD34" s="17"/>
      <c r="NDE34" s="17"/>
      <c r="NDF34" s="17"/>
      <c r="NDG34" s="17"/>
      <c r="NDH34" s="17"/>
      <c r="NDI34" s="17"/>
      <c r="NDJ34" s="17"/>
      <c r="NDK34" s="17"/>
      <c r="NDL34" s="17"/>
      <c r="NDM34" s="17"/>
      <c r="NDN34" s="17"/>
      <c r="NDO34" s="17"/>
      <c r="NDP34" s="17"/>
      <c r="NDQ34" s="17"/>
      <c r="NDR34" s="17"/>
      <c r="NDS34" s="17"/>
      <c r="NDT34" s="17"/>
      <c r="NDU34" s="17"/>
      <c r="NDV34" s="17"/>
      <c r="NDW34" s="17"/>
      <c r="NDX34" s="17"/>
      <c r="NDY34" s="17"/>
      <c r="NDZ34" s="17"/>
      <c r="NEA34" s="17"/>
      <c r="NEB34" s="17"/>
      <c r="NEC34" s="17"/>
      <c r="NED34" s="17"/>
      <c r="NEE34" s="17"/>
      <c r="NEF34" s="17"/>
      <c r="NEG34" s="17"/>
      <c r="NEH34" s="17"/>
      <c r="NEI34" s="17"/>
      <c r="NEJ34" s="17"/>
      <c r="NEK34" s="17"/>
      <c r="NEL34" s="17"/>
      <c r="NEM34" s="17"/>
      <c r="NEN34" s="17"/>
      <c r="NEO34" s="17"/>
      <c r="NEP34" s="17"/>
      <c r="NEQ34" s="17"/>
      <c r="NER34" s="17"/>
      <c r="NES34" s="17"/>
      <c r="NET34" s="17"/>
      <c r="NEU34" s="17"/>
      <c r="NEV34" s="17"/>
      <c r="NEW34" s="17"/>
      <c r="NEX34" s="17"/>
      <c r="NEY34" s="17"/>
      <c r="NEZ34" s="17"/>
      <c r="NFA34" s="17"/>
      <c r="NFB34" s="17"/>
      <c r="NFC34" s="17"/>
      <c r="NFD34" s="17"/>
      <c r="NFE34" s="17"/>
      <c r="NFF34" s="17"/>
      <c r="NFG34" s="17"/>
      <c r="NFH34" s="17"/>
      <c r="NFI34" s="17"/>
      <c r="NFJ34" s="17"/>
      <c r="NFK34" s="17"/>
      <c r="NFL34" s="17"/>
      <c r="NFM34" s="17"/>
      <c r="NFN34" s="17"/>
      <c r="NFO34" s="17"/>
      <c r="NFP34" s="17"/>
      <c r="NFQ34" s="17"/>
      <c r="NFR34" s="17"/>
      <c r="NFS34" s="17"/>
      <c r="NFT34" s="17"/>
      <c r="NFU34" s="17"/>
      <c r="NFV34" s="17"/>
      <c r="NFW34" s="17"/>
      <c r="NFX34" s="17"/>
      <c r="NFY34" s="17"/>
      <c r="NFZ34" s="17"/>
      <c r="NGA34" s="17"/>
      <c r="NGB34" s="17"/>
      <c r="NGC34" s="17"/>
      <c r="NGD34" s="17"/>
      <c r="NGE34" s="17"/>
      <c r="NGF34" s="17"/>
      <c r="NGG34" s="17"/>
      <c r="NGH34" s="17"/>
      <c r="NGI34" s="17"/>
      <c r="NGJ34" s="17"/>
      <c r="NGK34" s="17"/>
      <c r="NGL34" s="17"/>
      <c r="NGM34" s="17"/>
      <c r="NGN34" s="17"/>
      <c r="NGO34" s="17"/>
      <c r="NGP34" s="17"/>
      <c r="NGQ34" s="17"/>
      <c r="NGR34" s="17"/>
      <c r="NGS34" s="17"/>
      <c r="NGT34" s="17"/>
      <c r="NGU34" s="17"/>
      <c r="NGV34" s="17"/>
      <c r="NGW34" s="17"/>
      <c r="NGX34" s="17"/>
      <c r="NGY34" s="17"/>
      <c r="NGZ34" s="17"/>
      <c r="NHA34" s="17"/>
      <c r="NHB34" s="17"/>
      <c r="NHC34" s="17"/>
      <c r="NHD34" s="17"/>
      <c r="NHE34" s="17"/>
      <c r="NHF34" s="17"/>
      <c r="NHG34" s="17"/>
      <c r="NHH34" s="17"/>
      <c r="NHI34" s="17"/>
      <c r="NHJ34" s="17"/>
      <c r="NHK34" s="17"/>
      <c r="NHL34" s="17"/>
      <c r="NHM34" s="17"/>
      <c r="NHN34" s="17"/>
      <c r="NHO34" s="17"/>
      <c r="NHP34" s="17"/>
      <c r="NHQ34" s="17"/>
      <c r="NHR34" s="17"/>
      <c r="NHS34" s="17"/>
      <c r="NHT34" s="17"/>
      <c r="NHU34" s="17"/>
      <c r="NHV34" s="17"/>
      <c r="NHW34" s="17"/>
      <c r="NHX34" s="17"/>
      <c r="NHY34" s="17"/>
      <c r="NHZ34" s="17"/>
      <c r="NIA34" s="17"/>
      <c r="NIB34" s="17"/>
      <c r="NIC34" s="17"/>
      <c r="NID34" s="17"/>
      <c r="NIE34" s="17"/>
      <c r="NIF34" s="17"/>
      <c r="NIG34" s="17"/>
      <c r="NIH34" s="17"/>
      <c r="NII34" s="17"/>
      <c r="NIJ34" s="17"/>
      <c r="NIK34" s="17"/>
      <c r="NIL34" s="17"/>
      <c r="NIM34" s="17"/>
      <c r="NIN34" s="17"/>
      <c r="NIO34" s="17"/>
      <c r="NIP34" s="17"/>
      <c r="NIQ34" s="17"/>
      <c r="NIR34" s="17"/>
      <c r="NIS34" s="17"/>
      <c r="NIT34" s="17"/>
      <c r="NIU34" s="17"/>
      <c r="NIV34" s="17"/>
      <c r="NIW34" s="17"/>
      <c r="NIX34" s="17"/>
      <c r="NIY34" s="17"/>
      <c r="NIZ34" s="17"/>
      <c r="NJA34" s="17"/>
      <c r="NJB34" s="17"/>
      <c r="NJC34" s="17"/>
      <c r="NJD34" s="17"/>
      <c r="NJE34" s="17"/>
      <c r="NJF34" s="17"/>
      <c r="NJG34" s="17"/>
      <c r="NJH34" s="17"/>
      <c r="NJI34" s="17"/>
      <c r="NJJ34" s="17"/>
      <c r="NJK34" s="17"/>
      <c r="NJL34" s="17"/>
      <c r="NJM34" s="17"/>
      <c r="NJN34" s="17"/>
      <c r="NJO34" s="17"/>
      <c r="NJP34" s="17"/>
      <c r="NJQ34" s="17"/>
      <c r="NJR34" s="17"/>
      <c r="NJS34" s="17"/>
      <c r="NJT34" s="17"/>
      <c r="NJU34" s="17"/>
      <c r="NJV34" s="17"/>
      <c r="NJW34" s="17"/>
      <c r="NJX34" s="17"/>
      <c r="NJY34" s="17"/>
      <c r="NJZ34" s="17"/>
      <c r="NKA34" s="17"/>
      <c r="NKB34" s="17"/>
      <c r="NKC34" s="17"/>
      <c r="NKD34" s="17"/>
      <c r="NKE34" s="17"/>
      <c r="NKF34" s="17"/>
      <c r="NKG34" s="17"/>
      <c r="NKH34" s="17"/>
      <c r="NKI34" s="17"/>
      <c r="NKJ34" s="17"/>
      <c r="NKK34" s="17"/>
      <c r="NKL34" s="17"/>
      <c r="NKM34" s="17"/>
      <c r="NKN34" s="17"/>
      <c r="NKO34" s="17"/>
      <c r="NKP34" s="17"/>
      <c r="NKQ34" s="17"/>
      <c r="NKR34" s="17"/>
      <c r="NKS34" s="17"/>
      <c r="NKT34" s="17"/>
      <c r="NKU34" s="17"/>
      <c r="NKV34" s="17"/>
      <c r="NKW34" s="17"/>
      <c r="NKX34" s="17"/>
      <c r="NKY34" s="17"/>
      <c r="NKZ34" s="17"/>
      <c r="NLA34" s="17"/>
      <c r="NLB34" s="17"/>
      <c r="NLC34" s="17"/>
      <c r="NLD34" s="17"/>
      <c r="NLE34" s="17"/>
      <c r="NLF34" s="17"/>
      <c r="NLG34" s="17"/>
      <c r="NLH34" s="17"/>
      <c r="NLI34" s="17"/>
      <c r="NLJ34" s="17"/>
      <c r="NLK34" s="17"/>
      <c r="NLL34" s="17"/>
      <c r="NLM34" s="17"/>
      <c r="NLN34" s="17"/>
      <c r="NLO34" s="17"/>
      <c r="NLP34" s="17"/>
      <c r="NLQ34" s="17"/>
      <c r="NLR34" s="17"/>
      <c r="NLS34" s="17"/>
      <c r="NLT34" s="17"/>
      <c r="NLU34" s="17"/>
      <c r="NLV34" s="17"/>
      <c r="NLW34" s="17"/>
      <c r="NLX34" s="17"/>
      <c r="NLY34" s="17"/>
      <c r="NLZ34" s="17"/>
      <c r="NMA34" s="17"/>
      <c r="NMB34" s="17"/>
      <c r="NMC34" s="17"/>
      <c r="NMD34" s="17"/>
      <c r="NME34" s="17"/>
      <c r="NMF34" s="17"/>
      <c r="NMG34" s="17"/>
      <c r="NMH34" s="17"/>
      <c r="NMI34" s="17"/>
      <c r="NMJ34" s="17"/>
      <c r="NMK34" s="17"/>
      <c r="NML34" s="17"/>
      <c r="NMM34" s="17"/>
      <c r="NMN34" s="17"/>
      <c r="NMO34" s="17"/>
      <c r="NMP34" s="17"/>
      <c r="NMQ34" s="17"/>
      <c r="NMR34" s="17"/>
      <c r="NMS34" s="17"/>
      <c r="NMT34" s="17"/>
      <c r="NMU34" s="17"/>
      <c r="NMV34" s="17"/>
      <c r="NMW34" s="17"/>
      <c r="NMX34" s="17"/>
      <c r="NMY34" s="17"/>
      <c r="NMZ34" s="17"/>
      <c r="NNA34" s="17"/>
      <c r="NNB34" s="17"/>
      <c r="NNC34" s="17"/>
      <c r="NND34" s="17"/>
      <c r="NNE34" s="17"/>
      <c r="NNF34" s="17"/>
      <c r="NNG34" s="17"/>
      <c r="NNH34" s="17"/>
      <c r="NNI34" s="17"/>
      <c r="NNJ34" s="17"/>
      <c r="NNK34" s="17"/>
      <c r="NNL34" s="17"/>
      <c r="NNM34" s="17"/>
      <c r="NNN34" s="17"/>
      <c r="NNO34" s="17"/>
      <c r="NNP34" s="17"/>
      <c r="NNQ34" s="17"/>
      <c r="NNR34" s="17"/>
      <c r="NNS34" s="17"/>
      <c r="NNT34" s="17"/>
      <c r="NNU34" s="17"/>
      <c r="NNV34" s="17"/>
      <c r="NNW34" s="17"/>
      <c r="NNX34" s="17"/>
      <c r="NNY34" s="17"/>
      <c r="NNZ34" s="17"/>
      <c r="NOA34" s="17"/>
      <c r="NOB34" s="17"/>
      <c r="NOC34" s="17"/>
      <c r="NOD34" s="17"/>
      <c r="NOE34" s="17"/>
      <c r="NOF34" s="17"/>
      <c r="NOG34" s="17"/>
      <c r="NOH34" s="17"/>
      <c r="NOI34" s="17"/>
      <c r="NOJ34" s="17"/>
      <c r="NOK34" s="17"/>
      <c r="NOL34" s="17"/>
      <c r="NOM34" s="17"/>
      <c r="NON34" s="17"/>
      <c r="NOO34" s="17"/>
      <c r="NOP34" s="17"/>
      <c r="NOQ34" s="17"/>
      <c r="NOR34" s="17"/>
      <c r="NOS34" s="17"/>
      <c r="NOT34" s="17"/>
      <c r="NOU34" s="17"/>
      <c r="NOV34" s="17"/>
      <c r="NOW34" s="17"/>
      <c r="NOX34" s="17"/>
      <c r="NOY34" s="17"/>
      <c r="NOZ34" s="17"/>
      <c r="NPA34" s="17"/>
      <c r="NPB34" s="17"/>
      <c r="NPC34" s="17"/>
      <c r="NPD34" s="17"/>
      <c r="NPE34" s="17"/>
      <c r="NPF34" s="17"/>
      <c r="NPG34" s="17"/>
      <c r="NPH34" s="17"/>
      <c r="NPI34" s="17"/>
      <c r="NPJ34" s="17"/>
      <c r="NPK34" s="17"/>
      <c r="NPL34" s="17"/>
      <c r="NPM34" s="17"/>
      <c r="NPN34" s="17"/>
      <c r="NPO34" s="17"/>
      <c r="NPP34" s="17"/>
      <c r="NPQ34" s="17"/>
      <c r="NPR34" s="17"/>
      <c r="NPS34" s="17"/>
      <c r="NPT34" s="17"/>
      <c r="NPU34" s="17"/>
      <c r="NPV34" s="17"/>
      <c r="NPW34" s="17"/>
      <c r="NPX34" s="17"/>
      <c r="NPY34" s="17"/>
      <c r="NPZ34" s="17"/>
      <c r="NQA34" s="17"/>
      <c r="NQB34" s="17"/>
      <c r="NQC34" s="17"/>
      <c r="NQD34" s="17"/>
      <c r="NQE34" s="17"/>
      <c r="NQF34" s="17"/>
      <c r="NQG34" s="17"/>
      <c r="NQH34" s="17"/>
      <c r="NQI34" s="17"/>
      <c r="NQJ34" s="17"/>
      <c r="NQK34" s="17"/>
      <c r="NQL34" s="17"/>
      <c r="NQM34" s="17"/>
      <c r="NQN34" s="17"/>
      <c r="NQO34" s="17"/>
      <c r="NQP34" s="17"/>
      <c r="NQQ34" s="17"/>
      <c r="NQR34" s="17"/>
      <c r="NQS34" s="17"/>
      <c r="NQT34" s="17"/>
      <c r="NQU34" s="17"/>
      <c r="NQV34" s="17"/>
      <c r="NQW34" s="17"/>
      <c r="NQX34" s="17"/>
      <c r="NQY34" s="17"/>
      <c r="NQZ34" s="17"/>
      <c r="NRA34" s="17"/>
      <c r="NRB34" s="17"/>
      <c r="NRC34" s="17"/>
      <c r="NRD34" s="17"/>
      <c r="NRE34" s="17"/>
      <c r="NRF34" s="17"/>
      <c r="NRG34" s="17"/>
      <c r="NRH34" s="17"/>
      <c r="NRI34" s="17"/>
      <c r="NRJ34" s="17"/>
      <c r="NRK34" s="17"/>
      <c r="NRL34" s="17"/>
      <c r="NRM34" s="17"/>
      <c r="NRN34" s="17"/>
      <c r="NRO34" s="17"/>
      <c r="NRP34" s="17"/>
      <c r="NRQ34" s="17"/>
      <c r="NRR34" s="17"/>
      <c r="NRS34" s="17"/>
      <c r="NRT34" s="17"/>
      <c r="NRU34" s="17"/>
      <c r="NRV34" s="17"/>
      <c r="NRW34" s="17"/>
      <c r="NRX34" s="17"/>
      <c r="NRY34" s="17"/>
      <c r="NRZ34" s="17"/>
      <c r="NSA34" s="17"/>
      <c r="NSB34" s="17"/>
      <c r="NSC34" s="17"/>
      <c r="NSD34" s="17"/>
      <c r="NSE34" s="17"/>
      <c r="NSF34" s="17"/>
      <c r="NSG34" s="17"/>
      <c r="NSH34" s="17"/>
      <c r="NSI34" s="17"/>
      <c r="NSJ34" s="17"/>
      <c r="NSK34" s="17"/>
      <c r="NSL34" s="17"/>
      <c r="NSM34" s="17"/>
      <c r="NSN34" s="17"/>
      <c r="NSO34" s="17"/>
      <c r="NSP34" s="17"/>
      <c r="NSQ34" s="17"/>
      <c r="NSR34" s="17"/>
      <c r="NSS34" s="17"/>
      <c r="NST34" s="17"/>
      <c r="NSU34" s="17"/>
      <c r="NSV34" s="17"/>
      <c r="NSW34" s="17"/>
      <c r="NSX34" s="17"/>
      <c r="NSY34" s="17"/>
      <c r="NSZ34" s="17"/>
      <c r="NTA34" s="17"/>
      <c r="NTB34" s="17"/>
      <c r="NTC34" s="17"/>
      <c r="NTD34" s="17"/>
      <c r="NTE34" s="17"/>
      <c r="NTF34" s="17"/>
      <c r="NTG34" s="17"/>
      <c r="NTH34" s="17"/>
      <c r="NTI34" s="17"/>
      <c r="NTJ34" s="17"/>
      <c r="NTK34" s="17"/>
      <c r="NTL34" s="17"/>
      <c r="NTM34" s="17"/>
      <c r="NTN34" s="17"/>
      <c r="NTO34" s="17"/>
      <c r="NTP34" s="17"/>
      <c r="NTQ34" s="17"/>
      <c r="NTR34" s="17"/>
      <c r="NTS34" s="17"/>
      <c r="NTT34" s="17"/>
      <c r="NTU34" s="17"/>
      <c r="NTV34" s="17"/>
      <c r="NTW34" s="17"/>
      <c r="NTX34" s="17"/>
      <c r="NTY34" s="17"/>
      <c r="NTZ34" s="17"/>
      <c r="NUA34" s="17"/>
      <c r="NUB34" s="17"/>
      <c r="NUC34" s="17"/>
      <c r="NUD34" s="17"/>
      <c r="NUE34" s="17"/>
      <c r="NUF34" s="17"/>
      <c r="NUG34" s="17"/>
      <c r="NUH34" s="17"/>
      <c r="NUI34" s="17"/>
      <c r="NUJ34" s="17"/>
      <c r="NUK34" s="17"/>
      <c r="NUL34" s="17"/>
      <c r="NUM34" s="17"/>
      <c r="NUN34" s="17"/>
      <c r="NUO34" s="17"/>
      <c r="NUP34" s="17"/>
      <c r="NUQ34" s="17"/>
      <c r="NUR34" s="17"/>
      <c r="NUS34" s="17"/>
      <c r="NUT34" s="17"/>
      <c r="NUU34" s="17"/>
      <c r="NUV34" s="17"/>
      <c r="NUW34" s="17"/>
      <c r="NUX34" s="17"/>
      <c r="NUY34" s="17"/>
      <c r="NUZ34" s="17"/>
      <c r="NVA34" s="17"/>
      <c r="NVB34" s="17"/>
      <c r="NVC34" s="17"/>
      <c r="NVD34" s="17"/>
      <c r="NVE34" s="17"/>
      <c r="NVF34" s="17"/>
      <c r="NVG34" s="17"/>
      <c r="NVH34" s="17"/>
      <c r="NVI34" s="17"/>
      <c r="NVJ34" s="17"/>
      <c r="NVK34" s="17"/>
      <c r="NVL34" s="17"/>
      <c r="NVM34" s="17"/>
      <c r="NVN34" s="17"/>
      <c r="NVO34" s="17"/>
      <c r="NVP34" s="17"/>
      <c r="NVQ34" s="17"/>
      <c r="NVR34" s="17"/>
      <c r="NVS34" s="17"/>
      <c r="NVT34" s="17"/>
      <c r="NVU34" s="17"/>
      <c r="NVV34" s="17"/>
      <c r="NVW34" s="17"/>
      <c r="NVX34" s="17"/>
      <c r="NVY34" s="17"/>
      <c r="NVZ34" s="17"/>
      <c r="NWA34" s="17"/>
      <c r="NWB34" s="17"/>
      <c r="NWC34" s="17"/>
      <c r="NWD34" s="17"/>
      <c r="NWE34" s="17"/>
      <c r="NWF34" s="17"/>
      <c r="NWG34" s="17"/>
      <c r="NWH34" s="17"/>
      <c r="NWI34" s="17"/>
      <c r="NWJ34" s="17"/>
      <c r="NWK34" s="17"/>
      <c r="NWL34" s="17"/>
      <c r="NWM34" s="17"/>
      <c r="NWN34" s="17"/>
      <c r="NWO34" s="17"/>
      <c r="NWP34" s="17"/>
      <c r="NWQ34" s="17"/>
      <c r="NWR34" s="17"/>
      <c r="NWS34" s="17"/>
      <c r="NWT34" s="17"/>
      <c r="NWU34" s="17"/>
      <c r="NWV34" s="17"/>
      <c r="NWW34" s="17"/>
      <c r="NWX34" s="17"/>
      <c r="NWY34" s="17"/>
      <c r="NWZ34" s="17"/>
      <c r="NXA34" s="17"/>
      <c r="NXB34" s="17"/>
      <c r="NXC34" s="17"/>
      <c r="NXD34" s="17"/>
      <c r="NXE34" s="17"/>
      <c r="NXF34" s="17"/>
      <c r="NXG34" s="17"/>
      <c r="NXH34" s="17"/>
      <c r="NXI34" s="17"/>
      <c r="NXJ34" s="17"/>
      <c r="NXK34" s="17"/>
      <c r="NXL34" s="17"/>
      <c r="NXM34" s="17"/>
      <c r="NXN34" s="17"/>
      <c r="NXO34" s="17"/>
      <c r="NXP34" s="17"/>
      <c r="NXQ34" s="17"/>
      <c r="NXR34" s="17"/>
      <c r="NXS34" s="17"/>
      <c r="NXT34" s="17"/>
      <c r="NXU34" s="17"/>
      <c r="NXV34" s="17"/>
      <c r="NXW34" s="17"/>
      <c r="NXX34" s="17"/>
      <c r="NXY34" s="17"/>
      <c r="NXZ34" s="17"/>
      <c r="NYA34" s="17"/>
      <c r="NYB34" s="17"/>
      <c r="NYC34" s="17"/>
      <c r="NYD34" s="17"/>
      <c r="NYE34" s="17"/>
      <c r="NYF34" s="17"/>
      <c r="NYG34" s="17"/>
      <c r="NYH34" s="17"/>
      <c r="NYI34" s="17"/>
      <c r="NYJ34" s="17"/>
      <c r="NYK34" s="17"/>
      <c r="NYL34" s="17"/>
      <c r="NYM34" s="17"/>
      <c r="NYN34" s="17"/>
      <c r="NYO34" s="17"/>
      <c r="NYP34" s="17"/>
      <c r="NYQ34" s="17"/>
      <c r="NYR34" s="17"/>
      <c r="NYS34" s="17"/>
      <c r="NYT34" s="17"/>
      <c r="NYU34" s="17"/>
      <c r="NYV34" s="17"/>
      <c r="NYW34" s="17"/>
      <c r="NYX34" s="17"/>
      <c r="NYY34" s="17"/>
      <c r="NYZ34" s="17"/>
      <c r="NZA34" s="17"/>
      <c r="NZB34" s="17"/>
      <c r="NZC34" s="17"/>
      <c r="NZD34" s="17"/>
      <c r="NZE34" s="17"/>
      <c r="NZF34" s="17"/>
      <c r="NZG34" s="17"/>
      <c r="NZH34" s="17"/>
      <c r="NZI34" s="17"/>
      <c r="NZJ34" s="17"/>
      <c r="NZK34" s="17"/>
      <c r="NZL34" s="17"/>
      <c r="NZM34" s="17"/>
      <c r="NZN34" s="17"/>
      <c r="NZO34" s="17"/>
      <c r="NZP34" s="17"/>
      <c r="NZQ34" s="17"/>
      <c r="NZR34" s="17"/>
      <c r="NZS34" s="17"/>
      <c r="NZT34" s="17"/>
      <c r="NZU34" s="17"/>
      <c r="NZV34" s="17"/>
      <c r="NZW34" s="17"/>
      <c r="NZX34" s="17"/>
      <c r="NZY34" s="17"/>
      <c r="NZZ34" s="17"/>
      <c r="OAA34" s="17"/>
      <c r="OAB34" s="17"/>
      <c r="OAC34" s="17"/>
      <c r="OAD34" s="17"/>
      <c r="OAE34" s="17"/>
      <c r="OAF34" s="17"/>
      <c r="OAG34" s="17"/>
      <c r="OAH34" s="17"/>
      <c r="OAI34" s="17"/>
      <c r="OAJ34" s="17"/>
      <c r="OAK34" s="17"/>
      <c r="OAL34" s="17"/>
      <c r="OAM34" s="17"/>
      <c r="OAN34" s="17"/>
      <c r="OAO34" s="17"/>
      <c r="OAP34" s="17"/>
      <c r="OAQ34" s="17"/>
      <c r="OAR34" s="17"/>
      <c r="OAS34" s="17"/>
      <c r="OAT34" s="17"/>
      <c r="OAU34" s="17"/>
      <c r="OAV34" s="17"/>
      <c r="OAW34" s="17"/>
      <c r="OAX34" s="17"/>
      <c r="OAY34" s="17"/>
      <c r="OAZ34" s="17"/>
      <c r="OBA34" s="17"/>
      <c r="OBB34" s="17"/>
      <c r="OBC34" s="17"/>
      <c r="OBD34" s="17"/>
      <c r="OBE34" s="17"/>
      <c r="OBF34" s="17"/>
      <c r="OBG34" s="17"/>
      <c r="OBH34" s="17"/>
      <c r="OBI34" s="17"/>
      <c r="OBJ34" s="17"/>
      <c r="OBK34" s="17"/>
      <c r="OBL34" s="17"/>
      <c r="OBM34" s="17"/>
      <c r="OBN34" s="17"/>
      <c r="OBO34" s="17"/>
      <c r="OBP34" s="17"/>
      <c r="OBQ34" s="17"/>
      <c r="OBR34" s="17"/>
      <c r="OBS34" s="17"/>
      <c r="OBT34" s="17"/>
      <c r="OBU34" s="17"/>
      <c r="OBV34" s="17"/>
      <c r="OBW34" s="17"/>
      <c r="OBX34" s="17"/>
      <c r="OBY34" s="17"/>
      <c r="OBZ34" s="17"/>
      <c r="OCA34" s="17"/>
      <c r="OCB34" s="17"/>
      <c r="OCC34" s="17"/>
      <c r="OCD34" s="17"/>
      <c r="OCE34" s="17"/>
      <c r="OCF34" s="17"/>
      <c r="OCG34" s="17"/>
      <c r="OCH34" s="17"/>
      <c r="OCI34" s="17"/>
      <c r="OCJ34" s="17"/>
      <c r="OCK34" s="17"/>
      <c r="OCL34" s="17"/>
      <c r="OCM34" s="17"/>
      <c r="OCN34" s="17"/>
      <c r="OCO34" s="17"/>
      <c r="OCP34" s="17"/>
      <c r="OCQ34" s="17"/>
      <c r="OCR34" s="17"/>
      <c r="OCS34" s="17"/>
      <c r="OCT34" s="17"/>
      <c r="OCU34" s="17"/>
      <c r="OCV34" s="17"/>
      <c r="OCW34" s="17"/>
      <c r="OCX34" s="17"/>
      <c r="OCY34" s="17"/>
      <c r="OCZ34" s="17"/>
      <c r="ODA34" s="17"/>
      <c r="ODB34" s="17"/>
      <c r="ODC34" s="17"/>
      <c r="ODD34" s="17"/>
      <c r="ODE34" s="17"/>
      <c r="ODF34" s="17"/>
      <c r="ODG34" s="17"/>
      <c r="ODH34" s="17"/>
      <c r="ODI34" s="17"/>
      <c r="ODJ34" s="17"/>
      <c r="ODK34" s="17"/>
      <c r="ODL34" s="17"/>
      <c r="ODM34" s="17"/>
      <c r="ODN34" s="17"/>
      <c r="ODO34" s="17"/>
      <c r="ODP34" s="17"/>
      <c r="ODQ34" s="17"/>
      <c r="ODR34" s="17"/>
      <c r="ODS34" s="17"/>
      <c r="ODT34" s="17"/>
      <c r="ODU34" s="17"/>
      <c r="ODV34" s="17"/>
      <c r="ODW34" s="17"/>
      <c r="ODX34" s="17"/>
      <c r="ODY34" s="17"/>
      <c r="ODZ34" s="17"/>
      <c r="OEA34" s="17"/>
      <c r="OEB34" s="17"/>
      <c r="OEC34" s="17"/>
      <c r="OED34" s="17"/>
      <c r="OEE34" s="17"/>
      <c r="OEF34" s="17"/>
      <c r="OEG34" s="17"/>
      <c r="OEH34" s="17"/>
      <c r="OEI34" s="17"/>
      <c r="OEJ34" s="17"/>
      <c r="OEK34" s="17"/>
      <c r="OEL34" s="17"/>
      <c r="OEM34" s="17"/>
      <c r="OEN34" s="17"/>
      <c r="OEO34" s="17"/>
      <c r="OEP34" s="17"/>
      <c r="OEQ34" s="17"/>
      <c r="OER34" s="17"/>
      <c r="OES34" s="17"/>
      <c r="OET34" s="17"/>
      <c r="OEU34" s="17"/>
      <c r="OEV34" s="17"/>
      <c r="OEW34" s="17"/>
      <c r="OEX34" s="17"/>
      <c r="OEY34" s="17"/>
      <c r="OEZ34" s="17"/>
      <c r="OFA34" s="17"/>
      <c r="OFB34" s="17"/>
      <c r="OFC34" s="17"/>
      <c r="OFD34" s="17"/>
      <c r="OFE34" s="17"/>
      <c r="OFF34" s="17"/>
      <c r="OFG34" s="17"/>
      <c r="OFH34" s="17"/>
      <c r="OFI34" s="17"/>
      <c r="OFJ34" s="17"/>
      <c r="OFK34" s="17"/>
      <c r="OFL34" s="17"/>
      <c r="OFM34" s="17"/>
      <c r="OFN34" s="17"/>
      <c r="OFO34" s="17"/>
      <c r="OFP34" s="17"/>
      <c r="OFQ34" s="17"/>
      <c r="OFR34" s="17"/>
      <c r="OFS34" s="17"/>
      <c r="OFT34" s="17"/>
      <c r="OFU34" s="17"/>
      <c r="OFV34" s="17"/>
      <c r="OFW34" s="17"/>
      <c r="OFX34" s="17"/>
      <c r="OFY34" s="17"/>
      <c r="OFZ34" s="17"/>
      <c r="OGA34" s="17"/>
      <c r="OGB34" s="17"/>
      <c r="OGC34" s="17"/>
      <c r="OGD34" s="17"/>
      <c r="OGE34" s="17"/>
      <c r="OGF34" s="17"/>
      <c r="OGG34" s="17"/>
      <c r="OGH34" s="17"/>
      <c r="OGI34" s="17"/>
      <c r="OGJ34" s="17"/>
      <c r="OGK34" s="17"/>
      <c r="OGL34" s="17"/>
      <c r="OGM34" s="17"/>
      <c r="OGN34" s="17"/>
      <c r="OGO34" s="17"/>
      <c r="OGP34" s="17"/>
      <c r="OGQ34" s="17"/>
      <c r="OGR34" s="17"/>
      <c r="OGS34" s="17"/>
      <c r="OGT34" s="17"/>
      <c r="OGU34" s="17"/>
      <c r="OGV34" s="17"/>
      <c r="OGW34" s="17"/>
      <c r="OGX34" s="17"/>
      <c r="OGY34" s="17"/>
      <c r="OGZ34" s="17"/>
      <c r="OHA34" s="17"/>
      <c r="OHB34" s="17"/>
      <c r="OHC34" s="17"/>
      <c r="OHD34" s="17"/>
      <c r="OHE34" s="17"/>
      <c r="OHF34" s="17"/>
      <c r="OHG34" s="17"/>
      <c r="OHH34" s="17"/>
      <c r="OHI34" s="17"/>
      <c r="OHJ34" s="17"/>
      <c r="OHK34" s="17"/>
      <c r="OHL34" s="17"/>
      <c r="OHM34" s="17"/>
      <c r="OHN34" s="17"/>
      <c r="OHO34" s="17"/>
      <c r="OHP34" s="17"/>
      <c r="OHQ34" s="17"/>
      <c r="OHR34" s="17"/>
      <c r="OHS34" s="17"/>
      <c r="OHT34" s="17"/>
      <c r="OHU34" s="17"/>
      <c r="OHV34" s="17"/>
      <c r="OHW34" s="17"/>
      <c r="OHX34" s="17"/>
      <c r="OHY34" s="17"/>
      <c r="OHZ34" s="17"/>
      <c r="OIA34" s="17"/>
      <c r="OIB34" s="17"/>
      <c r="OIC34" s="17"/>
      <c r="OID34" s="17"/>
      <c r="OIE34" s="17"/>
      <c r="OIF34" s="17"/>
      <c r="OIG34" s="17"/>
      <c r="OIH34" s="17"/>
      <c r="OII34" s="17"/>
      <c r="OIJ34" s="17"/>
      <c r="OIK34" s="17"/>
      <c r="OIL34" s="17"/>
      <c r="OIM34" s="17"/>
      <c r="OIN34" s="17"/>
      <c r="OIO34" s="17"/>
      <c r="OIP34" s="17"/>
      <c r="OIQ34" s="17"/>
      <c r="OIR34" s="17"/>
      <c r="OIS34" s="17"/>
      <c r="OIT34" s="17"/>
      <c r="OIU34" s="17"/>
      <c r="OIV34" s="17"/>
      <c r="OIW34" s="17"/>
      <c r="OIX34" s="17"/>
      <c r="OIY34" s="17"/>
      <c r="OIZ34" s="17"/>
      <c r="OJA34" s="17"/>
      <c r="OJB34" s="17"/>
      <c r="OJC34" s="17"/>
      <c r="OJD34" s="17"/>
      <c r="OJE34" s="17"/>
      <c r="OJF34" s="17"/>
      <c r="OJG34" s="17"/>
      <c r="OJH34" s="17"/>
      <c r="OJI34" s="17"/>
      <c r="OJJ34" s="17"/>
      <c r="OJK34" s="17"/>
      <c r="OJL34" s="17"/>
      <c r="OJM34" s="17"/>
      <c r="OJN34" s="17"/>
      <c r="OJO34" s="17"/>
      <c r="OJP34" s="17"/>
      <c r="OJQ34" s="17"/>
      <c r="OJR34" s="17"/>
      <c r="OJS34" s="17"/>
      <c r="OJT34" s="17"/>
      <c r="OJU34" s="17"/>
      <c r="OJV34" s="17"/>
      <c r="OJW34" s="17"/>
      <c r="OJX34" s="17"/>
      <c r="OJY34" s="17"/>
      <c r="OJZ34" s="17"/>
      <c r="OKA34" s="17"/>
      <c r="OKB34" s="17"/>
      <c r="OKC34" s="17"/>
      <c r="OKD34" s="17"/>
      <c r="OKE34" s="17"/>
      <c r="OKF34" s="17"/>
      <c r="OKG34" s="17"/>
      <c r="OKH34" s="17"/>
      <c r="OKI34" s="17"/>
      <c r="OKJ34" s="17"/>
      <c r="OKK34" s="17"/>
      <c r="OKL34" s="17"/>
      <c r="OKM34" s="17"/>
      <c r="OKN34" s="17"/>
      <c r="OKO34" s="17"/>
      <c r="OKP34" s="17"/>
      <c r="OKQ34" s="17"/>
      <c r="OKR34" s="17"/>
      <c r="OKS34" s="17"/>
      <c r="OKT34" s="17"/>
      <c r="OKU34" s="17"/>
      <c r="OKV34" s="17"/>
      <c r="OKW34" s="17"/>
      <c r="OKX34" s="17"/>
      <c r="OKY34" s="17"/>
      <c r="OKZ34" s="17"/>
      <c r="OLA34" s="17"/>
      <c r="OLB34" s="17"/>
      <c r="OLC34" s="17"/>
      <c r="OLD34" s="17"/>
      <c r="OLE34" s="17"/>
      <c r="OLF34" s="17"/>
      <c r="OLG34" s="17"/>
      <c r="OLH34" s="17"/>
      <c r="OLI34" s="17"/>
      <c r="OLJ34" s="17"/>
      <c r="OLK34" s="17"/>
      <c r="OLL34" s="17"/>
      <c r="OLM34" s="17"/>
      <c r="OLN34" s="17"/>
      <c r="OLO34" s="17"/>
      <c r="OLP34" s="17"/>
      <c r="OLQ34" s="17"/>
      <c r="OLR34" s="17"/>
      <c r="OLS34" s="17"/>
      <c r="OLT34" s="17"/>
      <c r="OLU34" s="17"/>
      <c r="OLV34" s="17"/>
      <c r="OLW34" s="17"/>
      <c r="OLX34" s="17"/>
      <c r="OLY34" s="17"/>
      <c r="OLZ34" s="17"/>
      <c r="OMA34" s="17"/>
      <c r="OMB34" s="17"/>
      <c r="OMC34" s="17"/>
      <c r="OMD34" s="17"/>
      <c r="OME34" s="17"/>
      <c r="OMF34" s="17"/>
      <c r="OMG34" s="17"/>
      <c r="OMH34" s="17"/>
      <c r="OMI34" s="17"/>
      <c r="OMJ34" s="17"/>
      <c r="OMK34" s="17"/>
      <c r="OML34" s="17"/>
      <c r="OMM34" s="17"/>
      <c r="OMN34" s="17"/>
      <c r="OMO34" s="17"/>
      <c r="OMP34" s="17"/>
      <c r="OMQ34" s="17"/>
      <c r="OMR34" s="17"/>
      <c r="OMS34" s="17"/>
      <c r="OMT34" s="17"/>
      <c r="OMU34" s="17"/>
      <c r="OMV34" s="17"/>
      <c r="OMW34" s="17"/>
      <c r="OMX34" s="17"/>
      <c r="OMY34" s="17"/>
      <c r="OMZ34" s="17"/>
      <c r="ONA34" s="17"/>
      <c r="ONB34" s="17"/>
      <c r="ONC34" s="17"/>
      <c r="OND34" s="17"/>
      <c r="ONE34" s="17"/>
      <c r="ONF34" s="17"/>
      <c r="ONG34" s="17"/>
      <c r="ONH34" s="17"/>
      <c r="ONI34" s="17"/>
      <c r="ONJ34" s="17"/>
      <c r="ONK34" s="17"/>
      <c r="ONL34" s="17"/>
      <c r="ONM34" s="17"/>
      <c r="ONN34" s="17"/>
      <c r="ONO34" s="17"/>
      <c r="ONP34" s="17"/>
      <c r="ONQ34" s="17"/>
      <c r="ONR34" s="17"/>
      <c r="ONS34" s="17"/>
      <c r="ONT34" s="17"/>
      <c r="ONU34" s="17"/>
      <c r="ONV34" s="17"/>
      <c r="ONW34" s="17"/>
      <c r="ONX34" s="17"/>
      <c r="ONY34" s="17"/>
      <c r="ONZ34" s="17"/>
      <c r="OOA34" s="17"/>
      <c r="OOB34" s="17"/>
      <c r="OOC34" s="17"/>
      <c r="OOD34" s="17"/>
      <c r="OOE34" s="17"/>
      <c r="OOF34" s="17"/>
      <c r="OOG34" s="17"/>
      <c r="OOH34" s="17"/>
      <c r="OOI34" s="17"/>
      <c r="OOJ34" s="17"/>
      <c r="OOK34" s="17"/>
      <c r="OOL34" s="17"/>
      <c r="OOM34" s="17"/>
      <c r="OON34" s="17"/>
      <c r="OOO34" s="17"/>
      <c r="OOP34" s="17"/>
      <c r="OOQ34" s="17"/>
      <c r="OOR34" s="17"/>
      <c r="OOS34" s="17"/>
      <c r="OOT34" s="17"/>
      <c r="OOU34" s="17"/>
      <c r="OOV34" s="17"/>
      <c r="OOW34" s="17"/>
      <c r="OOX34" s="17"/>
      <c r="OOY34" s="17"/>
      <c r="OOZ34" s="17"/>
      <c r="OPA34" s="17"/>
      <c r="OPB34" s="17"/>
      <c r="OPC34" s="17"/>
      <c r="OPD34" s="17"/>
      <c r="OPE34" s="17"/>
      <c r="OPF34" s="17"/>
      <c r="OPG34" s="17"/>
      <c r="OPH34" s="17"/>
      <c r="OPI34" s="17"/>
      <c r="OPJ34" s="17"/>
      <c r="OPK34" s="17"/>
      <c r="OPL34" s="17"/>
      <c r="OPM34" s="17"/>
      <c r="OPN34" s="17"/>
      <c r="OPO34" s="17"/>
      <c r="OPP34" s="17"/>
      <c r="OPQ34" s="17"/>
      <c r="OPR34" s="17"/>
      <c r="OPS34" s="17"/>
      <c r="OPT34" s="17"/>
      <c r="OPU34" s="17"/>
      <c r="OPV34" s="17"/>
      <c r="OPW34" s="17"/>
      <c r="OPX34" s="17"/>
      <c r="OPY34" s="17"/>
      <c r="OPZ34" s="17"/>
      <c r="OQA34" s="17"/>
      <c r="OQB34" s="17"/>
      <c r="OQC34" s="17"/>
      <c r="OQD34" s="17"/>
      <c r="OQE34" s="17"/>
      <c r="OQF34" s="17"/>
      <c r="OQG34" s="17"/>
      <c r="OQH34" s="17"/>
      <c r="OQI34" s="17"/>
      <c r="OQJ34" s="17"/>
      <c r="OQK34" s="17"/>
      <c r="OQL34" s="17"/>
      <c r="OQM34" s="17"/>
      <c r="OQN34" s="17"/>
      <c r="OQO34" s="17"/>
      <c r="OQP34" s="17"/>
      <c r="OQQ34" s="17"/>
      <c r="OQR34" s="17"/>
      <c r="OQS34" s="17"/>
      <c r="OQT34" s="17"/>
      <c r="OQU34" s="17"/>
      <c r="OQV34" s="17"/>
      <c r="OQW34" s="17"/>
      <c r="OQX34" s="17"/>
      <c r="OQY34" s="17"/>
      <c r="OQZ34" s="17"/>
      <c r="ORA34" s="17"/>
      <c r="ORB34" s="17"/>
      <c r="ORC34" s="17"/>
      <c r="ORD34" s="17"/>
      <c r="ORE34" s="17"/>
      <c r="ORF34" s="17"/>
      <c r="ORG34" s="17"/>
      <c r="ORH34" s="17"/>
      <c r="ORI34" s="17"/>
      <c r="ORJ34" s="17"/>
      <c r="ORK34" s="17"/>
      <c r="ORL34" s="17"/>
      <c r="ORM34" s="17"/>
      <c r="ORN34" s="17"/>
      <c r="ORO34" s="17"/>
      <c r="ORP34" s="17"/>
      <c r="ORQ34" s="17"/>
      <c r="ORR34" s="17"/>
      <c r="ORS34" s="17"/>
      <c r="ORT34" s="17"/>
      <c r="ORU34" s="17"/>
      <c r="ORV34" s="17"/>
      <c r="ORW34" s="17"/>
      <c r="ORX34" s="17"/>
      <c r="ORY34" s="17"/>
      <c r="ORZ34" s="17"/>
      <c r="OSA34" s="17"/>
      <c r="OSB34" s="17"/>
      <c r="OSC34" s="17"/>
      <c r="OSD34" s="17"/>
      <c r="OSE34" s="17"/>
      <c r="OSF34" s="17"/>
      <c r="OSG34" s="17"/>
      <c r="OSH34" s="17"/>
      <c r="OSI34" s="17"/>
      <c r="OSJ34" s="17"/>
      <c r="OSK34" s="17"/>
      <c r="OSL34" s="17"/>
      <c r="OSM34" s="17"/>
      <c r="OSN34" s="17"/>
      <c r="OSO34" s="17"/>
      <c r="OSP34" s="17"/>
      <c r="OSQ34" s="17"/>
      <c r="OSR34" s="17"/>
      <c r="OSS34" s="17"/>
      <c r="OST34" s="17"/>
      <c r="OSU34" s="17"/>
      <c r="OSV34" s="17"/>
      <c r="OSW34" s="17"/>
      <c r="OSX34" s="17"/>
      <c r="OSY34" s="17"/>
      <c r="OSZ34" s="17"/>
      <c r="OTA34" s="17"/>
      <c r="OTB34" s="17"/>
      <c r="OTC34" s="17"/>
      <c r="OTD34" s="17"/>
      <c r="OTE34" s="17"/>
      <c r="OTF34" s="17"/>
      <c r="OTG34" s="17"/>
      <c r="OTH34" s="17"/>
      <c r="OTI34" s="17"/>
      <c r="OTJ34" s="17"/>
      <c r="OTK34" s="17"/>
      <c r="OTL34" s="17"/>
      <c r="OTM34" s="17"/>
      <c r="OTN34" s="17"/>
      <c r="OTO34" s="17"/>
      <c r="OTP34" s="17"/>
      <c r="OTQ34" s="17"/>
      <c r="OTR34" s="17"/>
      <c r="OTS34" s="17"/>
      <c r="OTT34" s="17"/>
      <c r="OTU34" s="17"/>
      <c r="OTV34" s="17"/>
      <c r="OTW34" s="17"/>
      <c r="OTX34" s="17"/>
      <c r="OTY34" s="17"/>
      <c r="OTZ34" s="17"/>
      <c r="OUA34" s="17"/>
      <c r="OUB34" s="17"/>
      <c r="OUC34" s="17"/>
      <c r="OUD34" s="17"/>
      <c r="OUE34" s="17"/>
      <c r="OUF34" s="17"/>
      <c r="OUG34" s="17"/>
      <c r="OUH34" s="17"/>
      <c r="OUI34" s="17"/>
      <c r="OUJ34" s="17"/>
      <c r="OUK34" s="17"/>
      <c r="OUL34" s="17"/>
      <c r="OUM34" s="17"/>
      <c r="OUN34" s="17"/>
      <c r="OUO34" s="17"/>
      <c r="OUP34" s="17"/>
      <c r="OUQ34" s="17"/>
      <c r="OUR34" s="17"/>
      <c r="OUS34" s="17"/>
      <c r="OUT34" s="17"/>
      <c r="OUU34" s="17"/>
      <c r="OUV34" s="17"/>
      <c r="OUW34" s="17"/>
      <c r="OUX34" s="17"/>
      <c r="OUY34" s="17"/>
      <c r="OUZ34" s="17"/>
      <c r="OVA34" s="17"/>
      <c r="OVB34" s="17"/>
      <c r="OVC34" s="17"/>
      <c r="OVD34" s="17"/>
      <c r="OVE34" s="17"/>
      <c r="OVF34" s="17"/>
      <c r="OVG34" s="17"/>
      <c r="OVH34" s="17"/>
      <c r="OVI34" s="17"/>
      <c r="OVJ34" s="17"/>
      <c r="OVK34" s="17"/>
      <c r="OVL34" s="17"/>
      <c r="OVM34" s="17"/>
      <c r="OVN34" s="17"/>
      <c r="OVO34" s="17"/>
      <c r="OVP34" s="17"/>
      <c r="OVQ34" s="17"/>
      <c r="OVR34" s="17"/>
      <c r="OVS34" s="17"/>
      <c r="OVT34" s="17"/>
      <c r="OVU34" s="17"/>
      <c r="OVV34" s="17"/>
      <c r="OVW34" s="17"/>
      <c r="OVX34" s="17"/>
      <c r="OVY34" s="17"/>
      <c r="OVZ34" s="17"/>
      <c r="OWA34" s="17"/>
      <c r="OWB34" s="17"/>
      <c r="OWC34" s="17"/>
      <c r="OWD34" s="17"/>
      <c r="OWE34" s="17"/>
      <c r="OWF34" s="17"/>
      <c r="OWG34" s="17"/>
      <c r="OWH34" s="17"/>
      <c r="OWI34" s="17"/>
      <c r="OWJ34" s="17"/>
      <c r="OWK34" s="17"/>
      <c r="OWL34" s="17"/>
      <c r="OWM34" s="17"/>
      <c r="OWN34" s="17"/>
      <c r="OWO34" s="17"/>
      <c r="OWP34" s="17"/>
      <c r="OWQ34" s="17"/>
      <c r="OWR34" s="17"/>
      <c r="OWS34" s="17"/>
      <c r="OWT34" s="17"/>
      <c r="OWU34" s="17"/>
      <c r="OWV34" s="17"/>
      <c r="OWW34" s="17"/>
      <c r="OWX34" s="17"/>
      <c r="OWY34" s="17"/>
      <c r="OWZ34" s="17"/>
      <c r="OXA34" s="17"/>
      <c r="OXB34" s="17"/>
      <c r="OXC34" s="17"/>
      <c r="OXD34" s="17"/>
      <c r="OXE34" s="17"/>
      <c r="OXF34" s="17"/>
      <c r="OXG34" s="17"/>
      <c r="OXH34" s="17"/>
      <c r="OXI34" s="17"/>
      <c r="OXJ34" s="17"/>
      <c r="OXK34" s="17"/>
      <c r="OXL34" s="17"/>
      <c r="OXM34" s="17"/>
      <c r="OXN34" s="17"/>
      <c r="OXO34" s="17"/>
      <c r="OXP34" s="17"/>
      <c r="OXQ34" s="17"/>
      <c r="OXR34" s="17"/>
      <c r="OXS34" s="17"/>
      <c r="OXT34" s="17"/>
      <c r="OXU34" s="17"/>
      <c r="OXV34" s="17"/>
      <c r="OXW34" s="17"/>
      <c r="OXX34" s="17"/>
      <c r="OXY34" s="17"/>
      <c r="OXZ34" s="17"/>
      <c r="OYA34" s="17"/>
      <c r="OYB34" s="17"/>
      <c r="OYC34" s="17"/>
      <c r="OYD34" s="17"/>
      <c r="OYE34" s="17"/>
      <c r="OYF34" s="17"/>
      <c r="OYG34" s="17"/>
      <c r="OYH34" s="17"/>
      <c r="OYI34" s="17"/>
      <c r="OYJ34" s="17"/>
      <c r="OYK34" s="17"/>
      <c r="OYL34" s="17"/>
      <c r="OYM34" s="17"/>
      <c r="OYN34" s="17"/>
      <c r="OYO34" s="17"/>
      <c r="OYP34" s="17"/>
      <c r="OYQ34" s="17"/>
      <c r="OYR34" s="17"/>
      <c r="OYS34" s="17"/>
      <c r="OYT34" s="17"/>
      <c r="OYU34" s="17"/>
      <c r="OYV34" s="17"/>
      <c r="OYW34" s="17"/>
      <c r="OYX34" s="17"/>
      <c r="OYY34" s="17"/>
      <c r="OYZ34" s="17"/>
      <c r="OZA34" s="17"/>
      <c r="OZB34" s="17"/>
      <c r="OZC34" s="17"/>
      <c r="OZD34" s="17"/>
      <c r="OZE34" s="17"/>
      <c r="OZF34" s="17"/>
      <c r="OZG34" s="17"/>
      <c r="OZH34" s="17"/>
      <c r="OZI34" s="17"/>
      <c r="OZJ34" s="17"/>
      <c r="OZK34" s="17"/>
      <c r="OZL34" s="17"/>
      <c r="OZM34" s="17"/>
      <c r="OZN34" s="17"/>
      <c r="OZO34" s="17"/>
      <c r="OZP34" s="17"/>
      <c r="OZQ34" s="17"/>
      <c r="OZR34" s="17"/>
      <c r="OZS34" s="17"/>
      <c r="OZT34" s="17"/>
      <c r="OZU34" s="17"/>
      <c r="OZV34" s="17"/>
      <c r="OZW34" s="17"/>
      <c r="OZX34" s="17"/>
      <c r="OZY34" s="17"/>
      <c r="OZZ34" s="17"/>
      <c r="PAA34" s="17"/>
      <c r="PAB34" s="17"/>
      <c r="PAC34" s="17"/>
      <c r="PAD34" s="17"/>
      <c r="PAE34" s="17"/>
      <c r="PAF34" s="17"/>
      <c r="PAG34" s="17"/>
      <c r="PAH34" s="17"/>
      <c r="PAI34" s="17"/>
      <c r="PAJ34" s="17"/>
      <c r="PAK34" s="17"/>
      <c r="PAL34" s="17"/>
      <c r="PAM34" s="17"/>
      <c r="PAN34" s="17"/>
      <c r="PAO34" s="17"/>
      <c r="PAP34" s="17"/>
      <c r="PAQ34" s="17"/>
      <c r="PAR34" s="17"/>
      <c r="PAS34" s="17"/>
      <c r="PAT34" s="17"/>
      <c r="PAU34" s="17"/>
      <c r="PAV34" s="17"/>
      <c r="PAW34" s="17"/>
      <c r="PAX34" s="17"/>
      <c r="PAY34" s="17"/>
      <c r="PAZ34" s="17"/>
      <c r="PBA34" s="17"/>
      <c r="PBB34" s="17"/>
      <c r="PBC34" s="17"/>
      <c r="PBD34" s="17"/>
      <c r="PBE34" s="17"/>
      <c r="PBF34" s="17"/>
      <c r="PBG34" s="17"/>
      <c r="PBH34" s="17"/>
      <c r="PBI34" s="17"/>
      <c r="PBJ34" s="17"/>
      <c r="PBK34" s="17"/>
      <c r="PBL34" s="17"/>
      <c r="PBM34" s="17"/>
      <c r="PBN34" s="17"/>
      <c r="PBO34" s="17"/>
      <c r="PBP34" s="17"/>
      <c r="PBQ34" s="17"/>
      <c r="PBR34" s="17"/>
      <c r="PBS34" s="17"/>
      <c r="PBT34" s="17"/>
      <c r="PBU34" s="17"/>
      <c r="PBV34" s="17"/>
      <c r="PBW34" s="17"/>
      <c r="PBX34" s="17"/>
      <c r="PBY34" s="17"/>
      <c r="PBZ34" s="17"/>
      <c r="PCA34" s="17"/>
      <c r="PCB34" s="17"/>
      <c r="PCC34" s="17"/>
      <c r="PCD34" s="17"/>
      <c r="PCE34" s="17"/>
      <c r="PCF34" s="17"/>
      <c r="PCG34" s="17"/>
      <c r="PCH34" s="17"/>
      <c r="PCI34" s="17"/>
      <c r="PCJ34" s="17"/>
      <c r="PCK34" s="17"/>
      <c r="PCL34" s="17"/>
      <c r="PCM34" s="17"/>
      <c r="PCN34" s="17"/>
      <c r="PCO34" s="17"/>
      <c r="PCP34" s="17"/>
      <c r="PCQ34" s="17"/>
      <c r="PCR34" s="17"/>
      <c r="PCS34" s="17"/>
      <c r="PCT34" s="17"/>
      <c r="PCU34" s="17"/>
      <c r="PCV34" s="17"/>
      <c r="PCW34" s="17"/>
      <c r="PCX34" s="17"/>
      <c r="PCY34" s="17"/>
      <c r="PCZ34" s="17"/>
      <c r="PDA34" s="17"/>
      <c r="PDB34" s="17"/>
      <c r="PDC34" s="17"/>
      <c r="PDD34" s="17"/>
      <c r="PDE34" s="17"/>
      <c r="PDF34" s="17"/>
      <c r="PDG34" s="17"/>
      <c r="PDH34" s="17"/>
      <c r="PDI34" s="17"/>
      <c r="PDJ34" s="17"/>
      <c r="PDK34" s="17"/>
      <c r="PDL34" s="17"/>
      <c r="PDM34" s="17"/>
      <c r="PDN34" s="17"/>
      <c r="PDO34" s="17"/>
      <c r="PDP34" s="17"/>
      <c r="PDQ34" s="17"/>
      <c r="PDR34" s="17"/>
      <c r="PDS34" s="17"/>
      <c r="PDT34" s="17"/>
      <c r="PDU34" s="17"/>
      <c r="PDV34" s="17"/>
      <c r="PDW34" s="17"/>
      <c r="PDX34" s="17"/>
      <c r="PDY34" s="17"/>
      <c r="PDZ34" s="17"/>
      <c r="PEA34" s="17"/>
      <c r="PEB34" s="17"/>
      <c r="PEC34" s="17"/>
      <c r="PED34" s="17"/>
      <c r="PEE34" s="17"/>
      <c r="PEF34" s="17"/>
      <c r="PEG34" s="17"/>
      <c r="PEH34" s="17"/>
      <c r="PEI34" s="17"/>
      <c r="PEJ34" s="17"/>
      <c r="PEK34" s="17"/>
      <c r="PEL34" s="17"/>
      <c r="PEM34" s="17"/>
      <c r="PEN34" s="17"/>
      <c r="PEO34" s="17"/>
      <c r="PEP34" s="17"/>
      <c r="PEQ34" s="17"/>
      <c r="PER34" s="17"/>
      <c r="PES34" s="17"/>
      <c r="PET34" s="17"/>
      <c r="PEU34" s="17"/>
      <c r="PEV34" s="17"/>
      <c r="PEW34" s="17"/>
      <c r="PEX34" s="17"/>
      <c r="PEY34" s="17"/>
      <c r="PEZ34" s="17"/>
      <c r="PFA34" s="17"/>
      <c r="PFB34" s="17"/>
      <c r="PFC34" s="17"/>
      <c r="PFD34" s="17"/>
      <c r="PFE34" s="17"/>
      <c r="PFF34" s="17"/>
      <c r="PFG34" s="17"/>
      <c r="PFH34" s="17"/>
      <c r="PFI34" s="17"/>
      <c r="PFJ34" s="17"/>
      <c r="PFK34" s="17"/>
      <c r="PFL34" s="17"/>
      <c r="PFM34" s="17"/>
      <c r="PFN34" s="17"/>
      <c r="PFO34" s="17"/>
      <c r="PFP34" s="17"/>
      <c r="PFQ34" s="17"/>
      <c r="PFR34" s="17"/>
      <c r="PFS34" s="17"/>
      <c r="PFT34" s="17"/>
      <c r="PFU34" s="17"/>
      <c r="PFV34" s="17"/>
      <c r="PFW34" s="17"/>
      <c r="PFX34" s="17"/>
      <c r="PFY34" s="17"/>
      <c r="PFZ34" s="17"/>
      <c r="PGA34" s="17"/>
      <c r="PGB34" s="17"/>
      <c r="PGC34" s="17"/>
      <c r="PGD34" s="17"/>
      <c r="PGE34" s="17"/>
      <c r="PGF34" s="17"/>
      <c r="PGG34" s="17"/>
      <c r="PGH34" s="17"/>
      <c r="PGI34" s="17"/>
      <c r="PGJ34" s="17"/>
      <c r="PGK34" s="17"/>
      <c r="PGL34" s="17"/>
      <c r="PGM34" s="17"/>
      <c r="PGN34" s="17"/>
      <c r="PGO34" s="17"/>
      <c r="PGP34" s="17"/>
      <c r="PGQ34" s="17"/>
      <c r="PGR34" s="17"/>
      <c r="PGS34" s="17"/>
      <c r="PGT34" s="17"/>
      <c r="PGU34" s="17"/>
      <c r="PGV34" s="17"/>
      <c r="PGW34" s="17"/>
      <c r="PGX34" s="17"/>
      <c r="PGY34" s="17"/>
      <c r="PGZ34" s="17"/>
      <c r="PHA34" s="17"/>
      <c r="PHB34" s="17"/>
      <c r="PHC34" s="17"/>
      <c r="PHD34" s="17"/>
      <c r="PHE34" s="17"/>
      <c r="PHF34" s="17"/>
      <c r="PHG34" s="17"/>
      <c r="PHH34" s="17"/>
      <c r="PHI34" s="17"/>
      <c r="PHJ34" s="17"/>
      <c r="PHK34" s="17"/>
      <c r="PHL34" s="17"/>
      <c r="PHM34" s="17"/>
      <c r="PHN34" s="17"/>
      <c r="PHO34" s="17"/>
      <c r="PHP34" s="17"/>
      <c r="PHQ34" s="17"/>
      <c r="PHR34" s="17"/>
      <c r="PHS34" s="17"/>
      <c r="PHT34" s="17"/>
      <c r="PHU34" s="17"/>
      <c r="PHV34" s="17"/>
      <c r="PHW34" s="17"/>
      <c r="PHX34" s="17"/>
      <c r="PHY34" s="17"/>
      <c r="PHZ34" s="17"/>
      <c r="PIA34" s="17"/>
      <c r="PIB34" s="17"/>
      <c r="PIC34" s="17"/>
      <c r="PID34" s="17"/>
      <c r="PIE34" s="17"/>
      <c r="PIF34" s="17"/>
      <c r="PIG34" s="17"/>
      <c r="PIH34" s="17"/>
      <c r="PII34" s="17"/>
      <c r="PIJ34" s="17"/>
      <c r="PIK34" s="17"/>
      <c r="PIL34" s="17"/>
      <c r="PIM34" s="17"/>
      <c r="PIN34" s="17"/>
      <c r="PIO34" s="17"/>
      <c r="PIP34" s="17"/>
      <c r="PIQ34" s="17"/>
      <c r="PIR34" s="17"/>
      <c r="PIS34" s="17"/>
      <c r="PIT34" s="17"/>
      <c r="PIU34" s="17"/>
      <c r="PIV34" s="17"/>
      <c r="PIW34" s="17"/>
      <c r="PIX34" s="17"/>
      <c r="PIY34" s="17"/>
      <c r="PIZ34" s="17"/>
      <c r="PJA34" s="17"/>
      <c r="PJB34" s="17"/>
      <c r="PJC34" s="17"/>
      <c r="PJD34" s="17"/>
      <c r="PJE34" s="17"/>
      <c r="PJF34" s="17"/>
      <c r="PJG34" s="17"/>
      <c r="PJH34" s="17"/>
      <c r="PJI34" s="17"/>
      <c r="PJJ34" s="17"/>
      <c r="PJK34" s="17"/>
      <c r="PJL34" s="17"/>
      <c r="PJM34" s="17"/>
      <c r="PJN34" s="17"/>
      <c r="PJO34" s="17"/>
      <c r="PJP34" s="17"/>
      <c r="PJQ34" s="17"/>
      <c r="PJR34" s="17"/>
      <c r="PJS34" s="17"/>
      <c r="PJT34" s="17"/>
      <c r="PJU34" s="17"/>
      <c r="PJV34" s="17"/>
      <c r="PJW34" s="17"/>
      <c r="PJX34" s="17"/>
      <c r="PJY34" s="17"/>
      <c r="PJZ34" s="17"/>
      <c r="PKA34" s="17"/>
      <c r="PKB34" s="17"/>
      <c r="PKC34" s="17"/>
      <c r="PKD34" s="17"/>
      <c r="PKE34" s="17"/>
      <c r="PKF34" s="17"/>
      <c r="PKG34" s="17"/>
      <c r="PKH34" s="17"/>
      <c r="PKI34" s="17"/>
      <c r="PKJ34" s="17"/>
      <c r="PKK34" s="17"/>
      <c r="PKL34" s="17"/>
      <c r="PKM34" s="17"/>
      <c r="PKN34" s="17"/>
      <c r="PKO34" s="17"/>
      <c r="PKP34" s="17"/>
      <c r="PKQ34" s="17"/>
      <c r="PKR34" s="17"/>
      <c r="PKS34" s="17"/>
      <c r="PKT34" s="17"/>
      <c r="PKU34" s="17"/>
      <c r="PKV34" s="17"/>
      <c r="PKW34" s="17"/>
      <c r="PKX34" s="17"/>
      <c r="PKY34" s="17"/>
      <c r="PKZ34" s="17"/>
      <c r="PLA34" s="17"/>
      <c r="PLB34" s="17"/>
      <c r="PLC34" s="17"/>
      <c r="PLD34" s="17"/>
      <c r="PLE34" s="17"/>
      <c r="PLF34" s="17"/>
      <c r="PLG34" s="17"/>
      <c r="PLH34" s="17"/>
      <c r="PLI34" s="17"/>
      <c r="PLJ34" s="17"/>
      <c r="PLK34" s="17"/>
      <c r="PLL34" s="17"/>
      <c r="PLM34" s="17"/>
      <c r="PLN34" s="17"/>
      <c r="PLO34" s="17"/>
      <c r="PLP34" s="17"/>
      <c r="PLQ34" s="17"/>
      <c r="PLR34" s="17"/>
      <c r="PLS34" s="17"/>
      <c r="PLT34" s="17"/>
      <c r="PLU34" s="17"/>
      <c r="PLV34" s="17"/>
      <c r="PLW34" s="17"/>
      <c r="PLX34" s="17"/>
      <c r="PLY34" s="17"/>
      <c r="PLZ34" s="17"/>
      <c r="PMA34" s="17"/>
      <c r="PMB34" s="17"/>
      <c r="PMC34" s="17"/>
      <c r="PMD34" s="17"/>
      <c r="PME34" s="17"/>
      <c r="PMF34" s="17"/>
      <c r="PMG34" s="17"/>
      <c r="PMH34" s="17"/>
      <c r="PMI34" s="17"/>
      <c r="PMJ34" s="17"/>
      <c r="PMK34" s="17"/>
      <c r="PML34" s="17"/>
      <c r="PMM34" s="17"/>
      <c r="PMN34" s="17"/>
      <c r="PMO34" s="17"/>
      <c r="PMP34" s="17"/>
      <c r="PMQ34" s="17"/>
      <c r="PMR34" s="17"/>
      <c r="PMS34" s="17"/>
      <c r="PMT34" s="17"/>
      <c r="PMU34" s="17"/>
      <c r="PMV34" s="17"/>
      <c r="PMW34" s="17"/>
      <c r="PMX34" s="17"/>
      <c r="PMY34" s="17"/>
      <c r="PMZ34" s="17"/>
      <c r="PNA34" s="17"/>
      <c r="PNB34" s="17"/>
      <c r="PNC34" s="17"/>
      <c r="PND34" s="17"/>
      <c r="PNE34" s="17"/>
      <c r="PNF34" s="17"/>
      <c r="PNG34" s="17"/>
      <c r="PNH34" s="17"/>
      <c r="PNI34" s="17"/>
      <c r="PNJ34" s="17"/>
      <c r="PNK34" s="17"/>
      <c r="PNL34" s="17"/>
      <c r="PNM34" s="17"/>
      <c r="PNN34" s="17"/>
      <c r="PNO34" s="17"/>
      <c r="PNP34" s="17"/>
      <c r="PNQ34" s="17"/>
      <c r="PNR34" s="17"/>
      <c r="PNS34" s="17"/>
      <c r="PNT34" s="17"/>
      <c r="PNU34" s="17"/>
      <c r="PNV34" s="17"/>
      <c r="PNW34" s="17"/>
      <c r="PNX34" s="17"/>
      <c r="PNY34" s="17"/>
      <c r="PNZ34" s="17"/>
      <c r="POA34" s="17"/>
      <c r="POB34" s="17"/>
      <c r="POC34" s="17"/>
      <c r="POD34" s="17"/>
      <c r="POE34" s="17"/>
      <c r="POF34" s="17"/>
      <c r="POG34" s="17"/>
      <c r="POH34" s="17"/>
      <c r="POI34" s="17"/>
      <c r="POJ34" s="17"/>
      <c r="POK34" s="17"/>
      <c r="POL34" s="17"/>
      <c r="POM34" s="17"/>
      <c r="PON34" s="17"/>
      <c r="POO34" s="17"/>
      <c r="POP34" s="17"/>
      <c r="POQ34" s="17"/>
      <c r="POR34" s="17"/>
      <c r="POS34" s="17"/>
      <c r="POT34" s="17"/>
      <c r="POU34" s="17"/>
      <c r="POV34" s="17"/>
      <c r="POW34" s="17"/>
      <c r="POX34" s="17"/>
      <c r="POY34" s="17"/>
      <c r="POZ34" s="17"/>
      <c r="PPA34" s="17"/>
      <c r="PPB34" s="17"/>
      <c r="PPC34" s="17"/>
      <c r="PPD34" s="17"/>
      <c r="PPE34" s="17"/>
      <c r="PPF34" s="17"/>
      <c r="PPG34" s="17"/>
      <c r="PPH34" s="17"/>
      <c r="PPI34" s="17"/>
      <c r="PPJ34" s="17"/>
      <c r="PPK34" s="17"/>
      <c r="PPL34" s="17"/>
      <c r="PPM34" s="17"/>
      <c r="PPN34" s="17"/>
      <c r="PPO34" s="17"/>
      <c r="PPP34" s="17"/>
      <c r="PPQ34" s="17"/>
      <c r="PPR34" s="17"/>
      <c r="PPS34" s="17"/>
      <c r="PPT34" s="17"/>
      <c r="PPU34" s="17"/>
      <c r="PPV34" s="17"/>
      <c r="PPW34" s="17"/>
      <c r="PPX34" s="17"/>
      <c r="PPY34" s="17"/>
      <c r="PPZ34" s="17"/>
      <c r="PQA34" s="17"/>
      <c r="PQB34" s="17"/>
      <c r="PQC34" s="17"/>
      <c r="PQD34" s="17"/>
      <c r="PQE34" s="17"/>
      <c r="PQF34" s="17"/>
      <c r="PQG34" s="17"/>
      <c r="PQH34" s="17"/>
      <c r="PQI34" s="17"/>
      <c r="PQJ34" s="17"/>
      <c r="PQK34" s="17"/>
      <c r="PQL34" s="17"/>
      <c r="PQM34" s="17"/>
      <c r="PQN34" s="17"/>
      <c r="PQO34" s="17"/>
      <c r="PQP34" s="17"/>
      <c r="PQQ34" s="17"/>
      <c r="PQR34" s="17"/>
      <c r="PQS34" s="17"/>
      <c r="PQT34" s="17"/>
      <c r="PQU34" s="17"/>
      <c r="PQV34" s="17"/>
      <c r="PQW34" s="17"/>
      <c r="PQX34" s="17"/>
      <c r="PQY34" s="17"/>
      <c r="PQZ34" s="17"/>
      <c r="PRA34" s="17"/>
      <c r="PRB34" s="17"/>
      <c r="PRC34" s="17"/>
      <c r="PRD34" s="17"/>
      <c r="PRE34" s="17"/>
      <c r="PRF34" s="17"/>
      <c r="PRG34" s="17"/>
      <c r="PRH34" s="17"/>
      <c r="PRI34" s="17"/>
      <c r="PRJ34" s="17"/>
      <c r="PRK34" s="17"/>
      <c r="PRL34" s="17"/>
      <c r="PRM34" s="17"/>
      <c r="PRN34" s="17"/>
      <c r="PRO34" s="17"/>
      <c r="PRP34" s="17"/>
      <c r="PRQ34" s="17"/>
      <c r="PRR34" s="17"/>
      <c r="PRS34" s="17"/>
      <c r="PRT34" s="17"/>
      <c r="PRU34" s="17"/>
      <c r="PRV34" s="17"/>
      <c r="PRW34" s="17"/>
      <c r="PRX34" s="17"/>
      <c r="PRY34" s="17"/>
      <c r="PRZ34" s="17"/>
      <c r="PSA34" s="17"/>
      <c r="PSB34" s="17"/>
      <c r="PSC34" s="17"/>
      <c r="PSD34" s="17"/>
      <c r="PSE34" s="17"/>
      <c r="PSF34" s="17"/>
      <c r="PSG34" s="17"/>
      <c r="PSH34" s="17"/>
      <c r="PSI34" s="17"/>
      <c r="PSJ34" s="17"/>
      <c r="PSK34" s="17"/>
      <c r="PSL34" s="17"/>
      <c r="PSM34" s="17"/>
      <c r="PSN34" s="17"/>
      <c r="PSO34" s="17"/>
      <c r="PSP34" s="17"/>
      <c r="PSQ34" s="17"/>
      <c r="PSR34" s="17"/>
      <c r="PSS34" s="17"/>
      <c r="PST34" s="17"/>
      <c r="PSU34" s="17"/>
      <c r="PSV34" s="17"/>
      <c r="PSW34" s="17"/>
      <c r="PSX34" s="17"/>
      <c r="PSY34" s="17"/>
      <c r="PSZ34" s="17"/>
      <c r="PTA34" s="17"/>
      <c r="PTB34" s="17"/>
      <c r="PTC34" s="17"/>
      <c r="PTD34" s="17"/>
      <c r="PTE34" s="17"/>
      <c r="PTF34" s="17"/>
      <c r="PTG34" s="17"/>
      <c r="PTH34" s="17"/>
      <c r="PTI34" s="17"/>
      <c r="PTJ34" s="17"/>
      <c r="PTK34" s="17"/>
      <c r="PTL34" s="17"/>
      <c r="PTM34" s="17"/>
      <c r="PTN34" s="17"/>
      <c r="PTO34" s="17"/>
      <c r="PTP34" s="17"/>
      <c r="PTQ34" s="17"/>
      <c r="PTR34" s="17"/>
      <c r="PTS34" s="17"/>
      <c r="PTT34" s="17"/>
      <c r="PTU34" s="17"/>
      <c r="PTV34" s="17"/>
      <c r="PTW34" s="17"/>
      <c r="PTX34" s="17"/>
      <c r="PTY34" s="17"/>
      <c r="PTZ34" s="17"/>
      <c r="PUA34" s="17"/>
      <c r="PUB34" s="17"/>
      <c r="PUC34" s="17"/>
      <c r="PUD34" s="17"/>
      <c r="PUE34" s="17"/>
      <c r="PUF34" s="17"/>
      <c r="PUG34" s="17"/>
      <c r="PUH34" s="17"/>
      <c r="PUI34" s="17"/>
      <c r="PUJ34" s="17"/>
      <c r="PUK34" s="17"/>
      <c r="PUL34" s="17"/>
      <c r="PUM34" s="17"/>
      <c r="PUN34" s="17"/>
      <c r="PUO34" s="17"/>
      <c r="PUP34" s="17"/>
      <c r="PUQ34" s="17"/>
      <c r="PUR34" s="17"/>
      <c r="PUS34" s="17"/>
      <c r="PUT34" s="17"/>
      <c r="PUU34" s="17"/>
      <c r="PUV34" s="17"/>
      <c r="PUW34" s="17"/>
      <c r="PUX34" s="17"/>
      <c r="PUY34" s="17"/>
      <c r="PUZ34" s="17"/>
      <c r="PVA34" s="17"/>
      <c r="PVB34" s="17"/>
      <c r="PVC34" s="17"/>
      <c r="PVD34" s="17"/>
      <c r="PVE34" s="17"/>
      <c r="PVF34" s="17"/>
      <c r="PVG34" s="17"/>
      <c r="PVH34" s="17"/>
      <c r="PVI34" s="17"/>
      <c r="PVJ34" s="17"/>
      <c r="PVK34" s="17"/>
      <c r="PVL34" s="17"/>
      <c r="PVM34" s="17"/>
      <c r="PVN34" s="17"/>
      <c r="PVO34" s="17"/>
      <c r="PVP34" s="17"/>
      <c r="PVQ34" s="17"/>
      <c r="PVR34" s="17"/>
      <c r="PVS34" s="17"/>
      <c r="PVT34" s="17"/>
      <c r="PVU34" s="17"/>
      <c r="PVV34" s="17"/>
      <c r="PVW34" s="17"/>
      <c r="PVX34" s="17"/>
      <c r="PVY34" s="17"/>
      <c r="PVZ34" s="17"/>
      <c r="PWA34" s="17"/>
      <c r="PWB34" s="17"/>
      <c r="PWC34" s="17"/>
      <c r="PWD34" s="17"/>
      <c r="PWE34" s="17"/>
      <c r="PWF34" s="17"/>
      <c r="PWG34" s="17"/>
      <c r="PWH34" s="17"/>
      <c r="PWI34" s="17"/>
      <c r="PWJ34" s="17"/>
      <c r="PWK34" s="17"/>
      <c r="PWL34" s="17"/>
      <c r="PWM34" s="17"/>
      <c r="PWN34" s="17"/>
      <c r="PWO34" s="17"/>
      <c r="PWP34" s="17"/>
      <c r="PWQ34" s="17"/>
      <c r="PWR34" s="17"/>
      <c r="PWS34" s="17"/>
      <c r="PWT34" s="17"/>
      <c r="PWU34" s="17"/>
      <c r="PWV34" s="17"/>
      <c r="PWW34" s="17"/>
      <c r="PWX34" s="17"/>
      <c r="PWY34" s="17"/>
      <c r="PWZ34" s="17"/>
      <c r="PXA34" s="17"/>
      <c r="PXB34" s="17"/>
      <c r="PXC34" s="17"/>
      <c r="PXD34" s="17"/>
      <c r="PXE34" s="17"/>
      <c r="PXF34" s="17"/>
      <c r="PXG34" s="17"/>
      <c r="PXH34" s="17"/>
      <c r="PXI34" s="17"/>
      <c r="PXJ34" s="17"/>
      <c r="PXK34" s="17"/>
      <c r="PXL34" s="17"/>
      <c r="PXM34" s="17"/>
      <c r="PXN34" s="17"/>
      <c r="PXO34" s="17"/>
      <c r="PXP34" s="17"/>
      <c r="PXQ34" s="17"/>
      <c r="PXR34" s="17"/>
      <c r="PXS34" s="17"/>
      <c r="PXT34" s="17"/>
      <c r="PXU34" s="17"/>
      <c r="PXV34" s="17"/>
      <c r="PXW34" s="17"/>
      <c r="PXX34" s="17"/>
      <c r="PXY34" s="17"/>
      <c r="PXZ34" s="17"/>
      <c r="PYA34" s="17"/>
      <c r="PYB34" s="17"/>
      <c r="PYC34" s="17"/>
      <c r="PYD34" s="17"/>
      <c r="PYE34" s="17"/>
      <c r="PYF34" s="17"/>
      <c r="PYG34" s="17"/>
      <c r="PYH34" s="17"/>
      <c r="PYI34" s="17"/>
      <c r="PYJ34" s="17"/>
      <c r="PYK34" s="17"/>
      <c r="PYL34" s="17"/>
      <c r="PYM34" s="17"/>
      <c r="PYN34" s="17"/>
      <c r="PYO34" s="17"/>
      <c r="PYP34" s="17"/>
      <c r="PYQ34" s="17"/>
      <c r="PYR34" s="17"/>
      <c r="PYS34" s="17"/>
      <c r="PYT34" s="17"/>
      <c r="PYU34" s="17"/>
      <c r="PYV34" s="17"/>
      <c r="PYW34" s="17"/>
      <c r="PYX34" s="17"/>
      <c r="PYY34" s="17"/>
      <c r="PYZ34" s="17"/>
      <c r="PZA34" s="17"/>
      <c r="PZB34" s="17"/>
      <c r="PZC34" s="17"/>
      <c r="PZD34" s="17"/>
      <c r="PZE34" s="17"/>
      <c r="PZF34" s="17"/>
      <c r="PZG34" s="17"/>
      <c r="PZH34" s="17"/>
      <c r="PZI34" s="17"/>
      <c r="PZJ34" s="17"/>
      <c r="PZK34" s="17"/>
      <c r="PZL34" s="17"/>
      <c r="PZM34" s="17"/>
      <c r="PZN34" s="17"/>
      <c r="PZO34" s="17"/>
      <c r="PZP34" s="17"/>
      <c r="PZQ34" s="17"/>
      <c r="PZR34" s="17"/>
      <c r="PZS34" s="17"/>
      <c r="PZT34" s="17"/>
      <c r="PZU34" s="17"/>
      <c r="PZV34" s="17"/>
      <c r="PZW34" s="17"/>
      <c r="PZX34" s="17"/>
      <c r="PZY34" s="17"/>
      <c r="PZZ34" s="17"/>
      <c r="QAA34" s="17"/>
      <c r="QAB34" s="17"/>
      <c r="QAC34" s="17"/>
      <c r="QAD34" s="17"/>
      <c r="QAE34" s="17"/>
      <c r="QAF34" s="17"/>
      <c r="QAG34" s="17"/>
      <c r="QAH34" s="17"/>
      <c r="QAI34" s="17"/>
      <c r="QAJ34" s="17"/>
      <c r="QAK34" s="17"/>
      <c r="QAL34" s="17"/>
      <c r="QAM34" s="17"/>
      <c r="QAN34" s="17"/>
      <c r="QAO34" s="17"/>
      <c r="QAP34" s="17"/>
      <c r="QAQ34" s="17"/>
      <c r="QAR34" s="17"/>
      <c r="QAS34" s="17"/>
      <c r="QAT34" s="17"/>
      <c r="QAU34" s="17"/>
      <c r="QAV34" s="17"/>
      <c r="QAW34" s="17"/>
      <c r="QAX34" s="17"/>
      <c r="QAY34" s="17"/>
      <c r="QAZ34" s="17"/>
      <c r="QBA34" s="17"/>
      <c r="QBB34" s="17"/>
      <c r="QBC34" s="17"/>
      <c r="QBD34" s="17"/>
      <c r="QBE34" s="17"/>
      <c r="QBF34" s="17"/>
      <c r="QBG34" s="17"/>
      <c r="QBH34" s="17"/>
      <c r="QBI34" s="17"/>
      <c r="QBJ34" s="17"/>
      <c r="QBK34" s="17"/>
      <c r="QBL34" s="17"/>
      <c r="QBM34" s="17"/>
      <c r="QBN34" s="17"/>
      <c r="QBO34" s="17"/>
      <c r="QBP34" s="17"/>
      <c r="QBQ34" s="17"/>
      <c r="QBR34" s="17"/>
      <c r="QBS34" s="17"/>
      <c r="QBT34" s="17"/>
      <c r="QBU34" s="17"/>
      <c r="QBV34" s="17"/>
      <c r="QBW34" s="17"/>
      <c r="QBX34" s="17"/>
      <c r="QBY34" s="17"/>
      <c r="QBZ34" s="17"/>
      <c r="QCA34" s="17"/>
      <c r="QCB34" s="17"/>
      <c r="QCC34" s="17"/>
      <c r="QCD34" s="17"/>
      <c r="QCE34" s="17"/>
      <c r="QCF34" s="17"/>
      <c r="QCG34" s="17"/>
      <c r="QCH34" s="17"/>
      <c r="QCI34" s="17"/>
      <c r="QCJ34" s="17"/>
      <c r="QCK34" s="17"/>
      <c r="QCL34" s="17"/>
      <c r="QCM34" s="17"/>
      <c r="QCN34" s="17"/>
      <c r="QCO34" s="17"/>
      <c r="QCP34" s="17"/>
      <c r="QCQ34" s="17"/>
      <c r="QCR34" s="17"/>
      <c r="QCS34" s="17"/>
      <c r="QCT34" s="17"/>
      <c r="QCU34" s="17"/>
      <c r="QCV34" s="17"/>
      <c r="QCW34" s="17"/>
      <c r="QCX34" s="17"/>
      <c r="QCY34" s="17"/>
      <c r="QCZ34" s="17"/>
      <c r="QDA34" s="17"/>
      <c r="QDB34" s="17"/>
      <c r="QDC34" s="17"/>
      <c r="QDD34" s="17"/>
      <c r="QDE34" s="17"/>
      <c r="QDF34" s="17"/>
      <c r="QDG34" s="17"/>
      <c r="QDH34" s="17"/>
      <c r="QDI34" s="17"/>
      <c r="QDJ34" s="17"/>
      <c r="QDK34" s="17"/>
      <c r="QDL34" s="17"/>
      <c r="QDM34" s="17"/>
      <c r="QDN34" s="17"/>
      <c r="QDO34" s="17"/>
      <c r="QDP34" s="17"/>
      <c r="QDQ34" s="17"/>
      <c r="QDR34" s="17"/>
      <c r="QDS34" s="17"/>
      <c r="QDT34" s="17"/>
      <c r="QDU34" s="17"/>
      <c r="QDV34" s="17"/>
      <c r="QDW34" s="17"/>
      <c r="QDX34" s="17"/>
      <c r="QDY34" s="17"/>
      <c r="QDZ34" s="17"/>
      <c r="QEA34" s="17"/>
      <c r="QEB34" s="17"/>
      <c r="QEC34" s="17"/>
      <c r="QED34" s="17"/>
      <c r="QEE34" s="17"/>
      <c r="QEF34" s="17"/>
      <c r="QEG34" s="17"/>
      <c r="QEH34" s="17"/>
      <c r="QEI34" s="17"/>
      <c r="QEJ34" s="17"/>
      <c r="QEK34" s="17"/>
      <c r="QEL34" s="17"/>
      <c r="QEM34" s="17"/>
      <c r="QEN34" s="17"/>
      <c r="QEO34" s="17"/>
      <c r="QEP34" s="17"/>
      <c r="QEQ34" s="17"/>
      <c r="QER34" s="17"/>
      <c r="QES34" s="17"/>
      <c r="QET34" s="17"/>
      <c r="QEU34" s="17"/>
      <c r="QEV34" s="17"/>
      <c r="QEW34" s="17"/>
      <c r="QEX34" s="17"/>
      <c r="QEY34" s="17"/>
      <c r="QEZ34" s="17"/>
      <c r="QFA34" s="17"/>
      <c r="QFB34" s="17"/>
      <c r="QFC34" s="17"/>
      <c r="QFD34" s="17"/>
      <c r="QFE34" s="17"/>
      <c r="QFF34" s="17"/>
      <c r="QFG34" s="17"/>
      <c r="QFH34" s="17"/>
      <c r="QFI34" s="17"/>
      <c r="QFJ34" s="17"/>
      <c r="QFK34" s="17"/>
      <c r="QFL34" s="17"/>
      <c r="QFM34" s="17"/>
      <c r="QFN34" s="17"/>
      <c r="QFO34" s="17"/>
      <c r="QFP34" s="17"/>
      <c r="QFQ34" s="17"/>
      <c r="QFR34" s="17"/>
      <c r="QFS34" s="17"/>
      <c r="QFT34" s="17"/>
      <c r="QFU34" s="17"/>
      <c r="QFV34" s="17"/>
      <c r="QFW34" s="17"/>
      <c r="QFX34" s="17"/>
      <c r="QFY34" s="17"/>
      <c r="QFZ34" s="17"/>
      <c r="QGA34" s="17"/>
      <c r="QGB34" s="17"/>
      <c r="QGC34" s="17"/>
      <c r="QGD34" s="17"/>
      <c r="QGE34" s="17"/>
      <c r="QGF34" s="17"/>
      <c r="QGG34" s="17"/>
      <c r="QGH34" s="17"/>
      <c r="QGI34" s="17"/>
      <c r="QGJ34" s="17"/>
      <c r="QGK34" s="17"/>
      <c r="QGL34" s="17"/>
      <c r="QGM34" s="17"/>
      <c r="QGN34" s="17"/>
      <c r="QGO34" s="17"/>
      <c r="QGP34" s="17"/>
      <c r="QGQ34" s="17"/>
      <c r="QGR34" s="17"/>
      <c r="QGS34" s="17"/>
      <c r="QGT34" s="17"/>
      <c r="QGU34" s="17"/>
      <c r="QGV34" s="17"/>
      <c r="QGW34" s="17"/>
      <c r="QGX34" s="17"/>
      <c r="QGY34" s="17"/>
      <c r="QGZ34" s="17"/>
      <c r="QHA34" s="17"/>
      <c r="QHB34" s="17"/>
      <c r="QHC34" s="17"/>
      <c r="QHD34" s="17"/>
      <c r="QHE34" s="17"/>
      <c r="QHF34" s="17"/>
      <c r="QHG34" s="17"/>
      <c r="QHH34" s="17"/>
      <c r="QHI34" s="17"/>
      <c r="QHJ34" s="17"/>
      <c r="QHK34" s="17"/>
      <c r="QHL34" s="17"/>
      <c r="QHM34" s="17"/>
      <c r="QHN34" s="17"/>
      <c r="QHO34" s="17"/>
      <c r="QHP34" s="17"/>
      <c r="QHQ34" s="17"/>
      <c r="QHR34" s="17"/>
      <c r="QHS34" s="17"/>
      <c r="QHT34" s="17"/>
      <c r="QHU34" s="17"/>
      <c r="QHV34" s="17"/>
      <c r="QHW34" s="17"/>
      <c r="QHX34" s="17"/>
      <c r="QHY34" s="17"/>
      <c r="QHZ34" s="17"/>
      <c r="QIA34" s="17"/>
      <c r="QIB34" s="17"/>
      <c r="QIC34" s="17"/>
      <c r="QID34" s="17"/>
      <c r="QIE34" s="17"/>
      <c r="QIF34" s="17"/>
      <c r="QIG34" s="17"/>
      <c r="QIH34" s="17"/>
      <c r="QII34" s="17"/>
      <c r="QIJ34" s="17"/>
      <c r="QIK34" s="17"/>
      <c r="QIL34" s="17"/>
      <c r="QIM34" s="17"/>
      <c r="QIN34" s="17"/>
      <c r="QIO34" s="17"/>
      <c r="QIP34" s="17"/>
      <c r="QIQ34" s="17"/>
      <c r="QIR34" s="17"/>
      <c r="QIS34" s="17"/>
      <c r="QIT34" s="17"/>
      <c r="QIU34" s="17"/>
      <c r="QIV34" s="17"/>
      <c r="QIW34" s="17"/>
      <c r="QIX34" s="17"/>
      <c r="QIY34" s="17"/>
      <c r="QIZ34" s="17"/>
      <c r="QJA34" s="17"/>
      <c r="QJB34" s="17"/>
      <c r="QJC34" s="17"/>
      <c r="QJD34" s="17"/>
      <c r="QJE34" s="17"/>
      <c r="QJF34" s="17"/>
      <c r="QJG34" s="17"/>
      <c r="QJH34" s="17"/>
      <c r="QJI34" s="17"/>
      <c r="QJJ34" s="17"/>
      <c r="QJK34" s="17"/>
      <c r="QJL34" s="17"/>
      <c r="QJM34" s="17"/>
      <c r="QJN34" s="17"/>
      <c r="QJO34" s="17"/>
      <c r="QJP34" s="17"/>
      <c r="QJQ34" s="17"/>
      <c r="QJR34" s="17"/>
      <c r="QJS34" s="17"/>
      <c r="QJT34" s="17"/>
      <c r="QJU34" s="17"/>
      <c r="QJV34" s="17"/>
      <c r="QJW34" s="17"/>
      <c r="QJX34" s="17"/>
      <c r="QJY34" s="17"/>
      <c r="QJZ34" s="17"/>
      <c r="QKA34" s="17"/>
      <c r="QKB34" s="17"/>
      <c r="QKC34" s="17"/>
      <c r="QKD34" s="17"/>
      <c r="QKE34" s="17"/>
      <c r="QKF34" s="17"/>
      <c r="QKG34" s="17"/>
      <c r="QKH34" s="17"/>
      <c r="QKI34" s="17"/>
      <c r="QKJ34" s="17"/>
      <c r="QKK34" s="17"/>
      <c r="QKL34" s="17"/>
      <c r="QKM34" s="17"/>
      <c r="QKN34" s="17"/>
      <c r="QKO34" s="17"/>
      <c r="QKP34" s="17"/>
      <c r="QKQ34" s="17"/>
      <c r="QKR34" s="17"/>
      <c r="QKS34" s="17"/>
      <c r="QKT34" s="17"/>
      <c r="QKU34" s="17"/>
      <c r="QKV34" s="17"/>
      <c r="QKW34" s="17"/>
      <c r="QKX34" s="17"/>
      <c r="QKY34" s="17"/>
      <c r="QKZ34" s="17"/>
      <c r="QLA34" s="17"/>
      <c r="QLB34" s="17"/>
      <c r="QLC34" s="17"/>
      <c r="QLD34" s="17"/>
      <c r="QLE34" s="17"/>
      <c r="QLF34" s="17"/>
      <c r="QLG34" s="17"/>
      <c r="QLH34" s="17"/>
      <c r="QLI34" s="17"/>
      <c r="QLJ34" s="17"/>
      <c r="QLK34" s="17"/>
      <c r="QLL34" s="17"/>
      <c r="QLM34" s="17"/>
      <c r="QLN34" s="17"/>
      <c r="QLO34" s="17"/>
      <c r="QLP34" s="17"/>
      <c r="QLQ34" s="17"/>
      <c r="QLR34" s="17"/>
      <c r="QLS34" s="17"/>
      <c r="QLT34" s="17"/>
      <c r="QLU34" s="17"/>
      <c r="QLV34" s="17"/>
      <c r="QLW34" s="17"/>
      <c r="QLX34" s="17"/>
      <c r="QLY34" s="17"/>
      <c r="QLZ34" s="17"/>
      <c r="QMA34" s="17"/>
      <c r="QMB34" s="17"/>
      <c r="QMC34" s="17"/>
      <c r="QMD34" s="17"/>
      <c r="QME34" s="17"/>
      <c r="QMF34" s="17"/>
      <c r="QMG34" s="17"/>
      <c r="QMH34" s="17"/>
      <c r="QMI34" s="17"/>
      <c r="QMJ34" s="17"/>
      <c r="QMK34" s="17"/>
      <c r="QML34" s="17"/>
      <c r="QMM34" s="17"/>
      <c r="QMN34" s="17"/>
      <c r="QMO34" s="17"/>
      <c r="QMP34" s="17"/>
      <c r="QMQ34" s="17"/>
      <c r="QMR34" s="17"/>
      <c r="QMS34" s="17"/>
      <c r="QMT34" s="17"/>
      <c r="QMU34" s="17"/>
      <c r="QMV34" s="17"/>
      <c r="QMW34" s="17"/>
      <c r="QMX34" s="17"/>
      <c r="QMY34" s="17"/>
      <c r="QMZ34" s="17"/>
      <c r="QNA34" s="17"/>
      <c r="QNB34" s="17"/>
      <c r="QNC34" s="17"/>
      <c r="QND34" s="17"/>
      <c r="QNE34" s="17"/>
      <c r="QNF34" s="17"/>
      <c r="QNG34" s="17"/>
      <c r="QNH34" s="17"/>
      <c r="QNI34" s="17"/>
      <c r="QNJ34" s="17"/>
      <c r="QNK34" s="17"/>
      <c r="QNL34" s="17"/>
      <c r="QNM34" s="17"/>
      <c r="QNN34" s="17"/>
      <c r="QNO34" s="17"/>
      <c r="QNP34" s="17"/>
      <c r="QNQ34" s="17"/>
      <c r="QNR34" s="17"/>
      <c r="QNS34" s="17"/>
      <c r="QNT34" s="17"/>
      <c r="QNU34" s="17"/>
      <c r="QNV34" s="17"/>
      <c r="QNW34" s="17"/>
      <c r="QNX34" s="17"/>
      <c r="QNY34" s="17"/>
      <c r="QNZ34" s="17"/>
      <c r="QOA34" s="17"/>
      <c r="QOB34" s="17"/>
      <c r="QOC34" s="17"/>
      <c r="QOD34" s="17"/>
      <c r="QOE34" s="17"/>
      <c r="QOF34" s="17"/>
      <c r="QOG34" s="17"/>
      <c r="QOH34" s="17"/>
      <c r="QOI34" s="17"/>
      <c r="QOJ34" s="17"/>
      <c r="QOK34" s="17"/>
      <c r="QOL34" s="17"/>
      <c r="QOM34" s="17"/>
      <c r="QON34" s="17"/>
      <c r="QOO34" s="17"/>
      <c r="QOP34" s="17"/>
      <c r="QOQ34" s="17"/>
      <c r="QOR34" s="17"/>
      <c r="QOS34" s="17"/>
      <c r="QOT34" s="17"/>
      <c r="QOU34" s="17"/>
      <c r="QOV34" s="17"/>
      <c r="QOW34" s="17"/>
      <c r="QOX34" s="17"/>
      <c r="QOY34" s="17"/>
      <c r="QOZ34" s="17"/>
      <c r="QPA34" s="17"/>
      <c r="QPB34" s="17"/>
      <c r="QPC34" s="17"/>
      <c r="QPD34" s="17"/>
      <c r="QPE34" s="17"/>
      <c r="QPF34" s="17"/>
      <c r="QPG34" s="17"/>
      <c r="QPH34" s="17"/>
      <c r="QPI34" s="17"/>
      <c r="QPJ34" s="17"/>
      <c r="QPK34" s="17"/>
      <c r="QPL34" s="17"/>
      <c r="QPM34" s="17"/>
      <c r="QPN34" s="17"/>
      <c r="QPO34" s="17"/>
      <c r="QPP34" s="17"/>
      <c r="QPQ34" s="17"/>
      <c r="QPR34" s="17"/>
      <c r="QPS34" s="17"/>
      <c r="QPT34" s="17"/>
      <c r="QPU34" s="17"/>
      <c r="QPV34" s="17"/>
      <c r="QPW34" s="17"/>
      <c r="QPX34" s="17"/>
      <c r="QPY34" s="17"/>
      <c r="QPZ34" s="17"/>
      <c r="QQA34" s="17"/>
      <c r="QQB34" s="17"/>
      <c r="QQC34" s="17"/>
      <c r="QQD34" s="17"/>
      <c r="QQE34" s="17"/>
      <c r="QQF34" s="17"/>
      <c r="QQG34" s="17"/>
      <c r="QQH34" s="17"/>
      <c r="QQI34" s="17"/>
      <c r="QQJ34" s="17"/>
      <c r="QQK34" s="17"/>
      <c r="QQL34" s="17"/>
      <c r="QQM34" s="17"/>
      <c r="QQN34" s="17"/>
      <c r="QQO34" s="17"/>
      <c r="QQP34" s="17"/>
      <c r="QQQ34" s="17"/>
      <c r="QQR34" s="17"/>
      <c r="QQS34" s="17"/>
      <c r="QQT34" s="17"/>
      <c r="QQU34" s="17"/>
      <c r="QQV34" s="17"/>
      <c r="QQW34" s="17"/>
      <c r="QQX34" s="17"/>
      <c r="QQY34" s="17"/>
      <c r="QQZ34" s="17"/>
      <c r="QRA34" s="17"/>
      <c r="QRB34" s="17"/>
      <c r="QRC34" s="17"/>
      <c r="QRD34" s="17"/>
      <c r="QRE34" s="17"/>
      <c r="QRF34" s="17"/>
      <c r="QRG34" s="17"/>
      <c r="QRH34" s="17"/>
      <c r="QRI34" s="17"/>
      <c r="QRJ34" s="17"/>
      <c r="QRK34" s="17"/>
      <c r="QRL34" s="17"/>
      <c r="QRM34" s="17"/>
      <c r="QRN34" s="17"/>
      <c r="QRO34" s="17"/>
      <c r="QRP34" s="17"/>
      <c r="QRQ34" s="17"/>
      <c r="QRR34" s="17"/>
      <c r="QRS34" s="17"/>
      <c r="QRT34" s="17"/>
      <c r="QRU34" s="17"/>
      <c r="QRV34" s="17"/>
      <c r="QRW34" s="17"/>
      <c r="QRX34" s="17"/>
      <c r="QRY34" s="17"/>
      <c r="QRZ34" s="17"/>
      <c r="QSA34" s="17"/>
      <c r="QSB34" s="17"/>
      <c r="QSC34" s="17"/>
      <c r="QSD34" s="17"/>
      <c r="QSE34" s="17"/>
      <c r="QSF34" s="17"/>
      <c r="QSG34" s="17"/>
      <c r="QSH34" s="17"/>
      <c r="QSI34" s="17"/>
      <c r="QSJ34" s="17"/>
      <c r="QSK34" s="17"/>
      <c r="QSL34" s="17"/>
      <c r="QSM34" s="17"/>
      <c r="QSN34" s="17"/>
      <c r="QSO34" s="17"/>
      <c r="QSP34" s="17"/>
      <c r="QSQ34" s="17"/>
      <c r="QSR34" s="17"/>
      <c r="QSS34" s="17"/>
      <c r="QST34" s="17"/>
      <c r="QSU34" s="17"/>
      <c r="QSV34" s="17"/>
      <c r="QSW34" s="17"/>
      <c r="QSX34" s="17"/>
      <c r="QSY34" s="17"/>
      <c r="QSZ34" s="17"/>
      <c r="QTA34" s="17"/>
      <c r="QTB34" s="17"/>
      <c r="QTC34" s="17"/>
      <c r="QTD34" s="17"/>
      <c r="QTE34" s="17"/>
      <c r="QTF34" s="17"/>
      <c r="QTG34" s="17"/>
      <c r="QTH34" s="17"/>
      <c r="QTI34" s="17"/>
      <c r="QTJ34" s="17"/>
      <c r="QTK34" s="17"/>
      <c r="QTL34" s="17"/>
      <c r="QTM34" s="17"/>
      <c r="QTN34" s="17"/>
      <c r="QTO34" s="17"/>
      <c r="QTP34" s="17"/>
      <c r="QTQ34" s="17"/>
      <c r="QTR34" s="17"/>
      <c r="QTS34" s="17"/>
      <c r="QTT34" s="17"/>
      <c r="QTU34" s="17"/>
      <c r="QTV34" s="17"/>
      <c r="QTW34" s="17"/>
      <c r="QTX34" s="17"/>
      <c r="QTY34" s="17"/>
      <c r="QTZ34" s="17"/>
      <c r="QUA34" s="17"/>
      <c r="QUB34" s="17"/>
      <c r="QUC34" s="17"/>
      <c r="QUD34" s="17"/>
      <c r="QUE34" s="17"/>
      <c r="QUF34" s="17"/>
      <c r="QUG34" s="17"/>
      <c r="QUH34" s="17"/>
      <c r="QUI34" s="17"/>
      <c r="QUJ34" s="17"/>
      <c r="QUK34" s="17"/>
      <c r="QUL34" s="17"/>
      <c r="QUM34" s="17"/>
      <c r="QUN34" s="17"/>
      <c r="QUO34" s="17"/>
      <c r="QUP34" s="17"/>
      <c r="QUQ34" s="17"/>
      <c r="QUR34" s="17"/>
      <c r="QUS34" s="17"/>
      <c r="QUT34" s="17"/>
      <c r="QUU34" s="17"/>
      <c r="QUV34" s="17"/>
      <c r="QUW34" s="17"/>
      <c r="QUX34" s="17"/>
      <c r="QUY34" s="17"/>
      <c r="QUZ34" s="17"/>
      <c r="QVA34" s="17"/>
      <c r="QVB34" s="17"/>
      <c r="QVC34" s="17"/>
      <c r="QVD34" s="17"/>
      <c r="QVE34" s="17"/>
      <c r="QVF34" s="17"/>
      <c r="QVG34" s="17"/>
      <c r="QVH34" s="17"/>
      <c r="QVI34" s="17"/>
      <c r="QVJ34" s="17"/>
      <c r="QVK34" s="17"/>
      <c r="QVL34" s="17"/>
      <c r="QVM34" s="17"/>
      <c r="QVN34" s="17"/>
      <c r="QVO34" s="17"/>
      <c r="QVP34" s="17"/>
      <c r="QVQ34" s="17"/>
      <c r="QVR34" s="17"/>
      <c r="QVS34" s="17"/>
      <c r="QVT34" s="17"/>
      <c r="QVU34" s="17"/>
      <c r="QVV34" s="17"/>
      <c r="QVW34" s="17"/>
      <c r="QVX34" s="17"/>
      <c r="QVY34" s="17"/>
      <c r="QVZ34" s="17"/>
      <c r="QWA34" s="17"/>
      <c r="QWB34" s="17"/>
      <c r="QWC34" s="17"/>
      <c r="QWD34" s="17"/>
      <c r="QWE34" s="17"/>
      <c r="QWF34" s="17"/>
      <c r="QWG34" s="17"/>
      <c r="QWH34" s="17"/>
      <c r="QWI34" s="17"/>
      <c r="QWJ34" s="17"/>
      <c r="QWK34" s="17"/>
      <c r="QWL34" s="17"/>
      <c r="QWM34" s="17"/>
      <c r="QWN34" s="17"/>
      <c r="QWO34" s="17"/>
      <c r="QWP34" s="17"/>
      <c r="QWQ34" s="17"/>
      <c r="QWR34" s="17"/>
      <c r="QWS34" s="17"/>
      <c r="QWT34" s="17"/>
      <c r="QWU34" s="17"/>
      <c r="QWV34" s="17"/>
      <c r="QWW34" s="17"/>
      <c r="QWX34" s="17"/>
      <c r="QWY34" s="17"/>
      <c r="QWZ34" s="17"/>
      <c r="QXA34" s="17"/>
      <c r="QXB34" s="17"/>
      <c r="QXC34" s="17"/>
      <c r="QXD34" s="17"/>
      <c r="QXE34" s="17"/>
      <c r="QXF34" s="17"/>
      <c r="QXG34" s="17"/>
      <c r="QXH34" s="17"/>
      <c r="QXI34" s="17"/>
      <c r="QXJ34" s="17"/>
      <c r="QXK34" s="17"/>
      <c r="QXL34" s="17"/>
      <c r="QXM34" s="17"/>
      <c r="QXN34" s="17"/>
      <c r="QXO34" s="17"/>
      <c r="QXP34" s="17"/>
      <c r="QXQ34" s="17"/>
      <c r="QXR34" s="17"/>
      <c r="QXS34" s="17"/>
      <c r="QXT34" s="17"/>
      <c r="QXU34" s="17"/>
      <c r="QXV34" s="17"/>
      <c r="QXW34" s="17"/>
      <c r="QXX34" s="17"/>
      <c r="QXY34" s="17"/>
      <c r="QXZ34" s="17"/>
      <c r="QYA34" s="17"/>
      <c r="QYB34" s="17"/>
      <c r="QYC34" s="17"/>
      <c r="QYD34" s="17"/>
      <c r="QYE34" s="17"/>
      <c r="QYF34" s="17"/>
      <c r="QYG34" s="17"/>
      <c r="QYH34" s="17"/>
      <c r="QYI34" s="17"/>
      <c r="QYJ34" s="17"/>
      <c r="QYK34" s="17"/>
      <c r="QYL34" s="17"/>
      <c r="QYM34" s="17"/>
      <c r="QYN34" s="17"/>
      <c r="QYO34" s="17"/>
      <c r="QYP34" s="17"/>
      <c r="QYQ34" s="17"/>
      <c r="QYR34" s="17"/>
      <c r="QYS34" s="17"/>
      <c r="QYT34" s="17"/>
      <c r="QYU34" s="17"/>
      <c r="QYV34" s="17"/>
      <c r="QYW34" s="17"/>
      <c r="QYX34" s="17"/>
      <c r="QYY34" s="17"/>
      <c r="QYZ34" s="17"/>
      <c r="QZA34" s="17"/>
      <c r="QZB34" s="17"/>
      <c r="QZC34" s="17"/>
      <c r="QZD34" s="17"/>
      <c r="QZE34" s="17"/>
      <c r="QZF34" s="17"/>
      <c r="QZG34" s="17"/>
      <c r="QZH34" s="17"/>
      <c r="QZI34" s="17"/>
      <c r="QZJ34" s="17"/>
      <c r="QZK34" s="17"/>
      <c r="QZL34" s="17"/>
      <c r="QZM34" s="17"/>
      <c r="QZN34" s="17"/>
      <c r="QZO34" s="17"/>
      <c r="QZP34" s="17"/>
      <c r="QZQ34" s="17"/>
      <c r="QZR34" s="17"/>
      <c r="QZS34" s="17"/>
      <c r="QZT34" s="17"/>
      <c r="QZU34" s="17"/>
      <c r="QZV34" s="17"/>
      <c r="QZW34" s="17"/>
      <c r="QZX34" s="17"/>
      <c r="QZY34" s="17"/>
      <c r="QZZ34" s="17"/>
      <c r="RAA34" s="17"/>
      <c r="RAB34" s="17"/>
      <c r="RAC34" s="17"/>
      <c r="RAD34" s="17"/>
      <c r="RAE34" s="17"/>
      <c r="RAF34" s="17"/>
      <c r="RAG34" s="17"/>
      <c r="RAH34" s="17"/>
      <c r="RAI34" s="17"/>
      <c r="RAJ34" s="17"/>
      <c r="RAK34" s="17"/>
      <c r="RAL34" s="17"/>
      <c r="RAM34" s="17"/>
      <c r="RAN34" s="17"/>
      <c r="RAO34" s="17"/>
      <c r="RAP34" s="17"/>
      <c r="RAQ34" s="17"/>
      <c r="RAR34" s="17"/>
      <c r="RAS34" s="17"/>
      <c r="RAT34" s="17"/>
      <c r="RAU34" s="17"/>
      <c r="RAV34" s="17"/>
      <c r="RAW34" s="17"/>
      <c r="RAX34" s="17"/>
      <c r="RAY34" s="17"/>
      <c r="RAZ34" s="17"/>
      <c r="RBA34" s="17"/>
      <c r="RBB34" s="17"/>
      <c r="RBC34" s="17"/>
      <c r="RBD34" s="17"/>
      <c r="RBE34" s="17"/>
      <c r="RBF34" s="17"/>
      <c r="RBG34" s="17"/>
      <c r="RBH34" s="17"/>
      <c r="RBI34" s="17"/>
      <c r="RBJ34" s="17"/>
      <c r="RBK34" s="17"/>
      <c r="RBL34" s="17"/>
      <c r="RBM34" s="17"/>
      <c r="RBN34" s="17"/>
      <c r="RBO34" s="17"/>
      <c r="RBP34" s="17"/>
      <c r="RBQ34" s="17"/>
      <c r="RBR34" s="17"/>
      <c r="RBS34" s="17"/>
      <c r="RBT34" s="17"/>
      <c r="RBU34" s="17"/>
      <c r="RBV34" s="17"/>
      <c r="RBW34" s="17"/>
      <c r="RBX34" s="17"/>
      <c r="RBY34" s="17"/>
      <c r="RBZ34" s="17"/>
      <c r="RCA34" s="17"/>
      <c r="RCB34" s="17"/>
      <c r="RCC34" s="17"/>
      <c r="RCD34" s="17"/>
      <c r="RCE34" s="17"/>
      <c r="RCF34" s="17"/>
      <c r="RCG34" s="17"/>
      <c r="RCH34" s="17"/>
      <c r="RCI34" s="17"/>
      <c r="RCJ34" s="17"/>
      <c r="RCK34" s="17"/>
      <c r="RCL34" s="17"/>
      <c r="RCM34" s="17"/>
      <c r="RCN34" s="17"/>
      <c r="RCO34" s="17"/>
      <c r="RCP34" s="17"/>
      <c r="RCQ34" s="17"/>
      <c r="RCR34" s="17"/>
      <c r="RCS34" s="17"/>
      <c r="RCT34" s="17"/>
      <c r="RCU34" s="17"/>
      <c r="RCV34" s="17"/>
      <c r="RCW34" s="17"/>
      <c r="RCX34" s="17"/>
      <c r="RCY34" s="17"/>
      <c r="RCZ34" s="17"/>
      <c r="RDA34" s="17"/>
      <c r="RDB34" s="17"/>
      <c r="RDC34" s="17"/>
      <c r="RDD34" s="17"/>
      <c r="RDE34" s="17"/>
      <c r="RDF34" s="17"/>
      <c r="RDG34" s="17"/>
      <c r="RDH34" s="17"/>
      <c r="RDI34" s="17"/>
      <c r="RDJ34" s="17"/>
      <c r="RDK34" s="17"/>
      <c r="RDL34" s="17"/>
      <c r="RDM34" s="17"/>
      <c r="RDN34" s="17"/>
      <c r="RDO34" s="17"/>
      <c r="RDP34" s="17"/>
      <c r="RDQ34" s="17"/>
      <c r="RDR34" s="17"/>
      <c r="RDS34" s="17"/>
      <c r="RDT34" s="17"/>
      <c r="RDU34" s="17"/>
      <c r="RDV34" s="17"/>
      <c r="RDW34" s="17"/>
      <c r="RDX34" s="17"/>
      <c r="RDY34" s="17"/>
      <c r="RDZ34" s="17"/>
      <c r="REA34" s="17"/>
      <c r="REB34" s="17"/>
      <c r="REC34" s="17"/>
      <c r="RED34" s="17"/>
      <c r="REE34" s="17"/>
      <c r="REF34" s="17"/>
      <c r="REG34" s="17"/>
      <c r="REH34" s="17"/>
      <c r="REI34" s="17"/>
      <c r="REJ34" s="17"/>
      <c r="REK34" s="17"/>
      <c r="REL34" s="17"/>
      <c r="REM34" s="17"/>
      <c r="REN34" s="17"/>
      <c r="REO34" s="17"/>
      <c r="REP34" s="17"/>
      <c r="REQ34" s="17"/>
      <c r="RER34" s="17"/>
      <c r="RES34" s="17"/>
      <c r="RET34" s="17"/>
      <c r="REU34" s="17"/>
      <c r="REV34" s="17"/>
      <c r="REW34" s="17"/>
      <c r="REX34" s="17"/>
      <c r="REY34" s="17"/>
      <c r="REZ34" s="17"/>
      <c r="RFA34" s="17"/>
      <c r="RFB34" s="17"/>
      <c r="RFC34" s="17"/>
      <c r="RFD34" s="17"/>
      <c r="RFE34" s="17"/>
      <c r="RFF34" s="17"/>
      <c r="RFG34" s="17"/>
      <c r="RFH34" s="17"/>
      <c r="RFI34" s="17"/>
      <c r="RFJ34" s="17"/>
      <c r="RFK34" s="17"/>
      <c r="RFL34" s="17"/>
      <c r="RFM34" s="17"/>
      <c r="RFN34" s="17"/>
      <c r="RFO34" s="17"/>
      <c r="RFP34" s="17"/>
      <c r="RFQ34" s="17"/>
      <c r="RFR34" s="17"/>
      <c r="RFS34" s="17"/>
      <c r="RFT34" s="17"/>
      <c r="RFU34" s="17"/>
      <c r="RFV34" s="17"/>
      <c r="RFW34" s="17"/>
      <c r="RFX34" s="17"/>
      <c r="RFY34" s="17"/>
      <c r="RFZ34" s="17"/>
      <c r="RGA34" s="17"/>
      <c r="RGB34" s="17"/>
      <c r="RGC34" s="17"/>
      <c r="RGD34" s="17"/>
      <c r="RGE34" s="17"/>
      <c r="RGF34" s="17"/>
      <c r="RGG34" s="17"/>
      <c r="RGH34" s="17"/>
      <c r="RGI34" s="17"/>
      <c r="RGJ34" s="17"/>
      <c r="RGK34" s="17"/>
      <c r="RGL34" s="17"/>
      <c r="RGM34" s="17"/>
      <c r="RGN34" s="17"/>
      <c r="RGO34" s="17"/>
      <c r="RGP34" s="17"/>
      <c r="RGQ34" s="17"/>
      <c r="RGR34" s="17"/>
      <c r="RGS34" s="17"/>
      <c r="RGT34" s="17"/>
      <c r="RGU34" s="17"/>
      <c r="RGV34" s="17"/>
      <c r="RGW34" s="17"/>
      <c r="RGX34" s="17"/>
      <c r="RGY34" s="17"/>
      <c r="RGZ34" s="17"/>
      <c r="RHA34" s="17"/>
      <c r="RHB34" s="17"/>
      <c r="RHC34" s="17"/>
      <c r="RHD34" s="17"/>
      <c r="RHE34" s="17"/>
      <c r="RHF34" s="17"/>
      <c r="RHG34" s="17"/>
      <c r="RHH34" s="17"/>
      <c r="RHI34" s="17"/>
      <c r="RHJ34" s="17"/>
      <c r="RHK34" s="17"/>
      <c r="RHL34" s="17"/>
      <c r="RHM34" s="17"/>
      <c r="RHN34" s="17"/>
      <c r="RHO34" s="17"/>
      <c r="RHP34" s="17"/>
      <c r="RHQ34" s="17"/>
      <c r="RHR34" s="17"/>
      <c r="RHS34" s="17"/>
      <c r="RHT34" s="17"/>
      <c r="RHU34" s="17"/>
      <c r="RHV34" s="17"/>
      <c r="RHW34" s="17"/>
      <c r="RHX34" s="17"/>
      <c r="RHY34" s="17"/>
      <c r="RHZ34" s="17"/>
      <c r="RIA34" s="17"/>
      <c r="RIB34" s="17"/>
      <c r="RIC34" s="17"/>
      <c r="RID34" s="17"/>
      <c r="RIE34" s="17"/>
      <c r="RIF34" s="17"/>
      <c r="RIG34" s="17"/>
      <c r="RIH34" s="17"/>
      <c r="RII34" s="17"/>
      <c r="RIJ34" s="17"/>
      <c r="RIK34" s="17"/>
      <c r="RIL34" s="17"/>
      <c r="RIM34" s="17"/>
      <c r="RIN34" s="17"/>
      <c r="RIO34" s="17"/>
      <c r="RIP34" s="17"/>
      <c r="RIQ34" s="17"/>
      <c r="RIR34" s="17"/>
      <c r="RIS34" s="17"/>
      <c r="RIT34" s="17"/>
      <c r="RIU34" s="17"/>
      <c r="RIV34" s="17"/>
      <c r="RIW34" s="17"/>
      <c r="RIX34" s="17"/>
      <c r="RIY34" s="17"/>
      <c r="RIZ34" s="17"/>
      <c r="RJA34" s="17"/>
      <c r="RJB34" s="17"/>
      <c r="RJC34" s="17"/>
      <c r="RJD34" s="17"/>
      <c r="RJE34" s="17"/>
      <c r="RJF34" s="17"/>
      <c r="RJG34" s="17"/>
      <c r="RJH34" s="17"/>
      <c r="RJI34" s="17"/>
      <c r="RJJ34" s="17"/>
      <c r="RJK34" s="17"/>
      <c r="RJL34" s="17"/>
      <c r="RJM34" s="17"/>
      <c r="RJN34" s="17"/>
      <c r="RJO34" s="17"/>
      <c r="RJP34" s="17"/>
      <c r="RJQ34" s="17"/>
      <c r="RJR34" s="17"/>
      <c r="RJS34" s="17"/>
      <c r="RJT34" s="17"/>
      <c r="RJU34" s="17"/>
      <c r="RJV34" s="17"/>
      <c r="RJW34" s="17"/>
      <c r="RJX34" s="17"/>
      <c r="RJY34" s="17"/>
      <c r="RJZ34" s="17"/>
      <c r="RKA34" s="17"/>
      <c r="RKB34" s="17"/>
      <c r="RKC34" s="17"/>
      <c r="RKD34" s="17"/>
      <c r="RKE34" s="17"/>
      <c r="RKF34" s="17"/>
      <c r="RKG34" s="17"/>
      <c r="RKH34" s="17"/>
      <c r="RKI34" s="17"/>
      <c r="RKJ34" s="17"/>
      <c r="RKK34" s="17"/>
      <c r="RKL34" s="17"/>
      <c r="RKM34" s="17"/>
      <c r="RKN34" s="17"/>
      <c r="RKO34" s="17"/>
      <c r="RKP34" s="17"/>
      <c r="RKQ34" s="17"/>
      <c r="RKR34" s="17"/>
      <c r="RKS34" s="17"/>
      <c r="RKT34" s="17"/>
      <c r="RKU34" s="17"/>
      <c r="RKV34" s="17"/>
      <c r="RKW34" s="17"/>
      <c r="RKX34" s="17"/>
      <c r="RKY34" s="17"/>
      <c r="RKZ34" s="17"/>
      <c r="RLA34" s="17"/>
      <c r="RLB34" s="17"/>
      <c r="RLC34" s="17"/>
      <c r="RLD34" s="17"/>
      <c r="RLE34" s="17"/>
      <c r="RLF34" s="17"/>
      <c r="RLG34" s="17"/>
      <c r="RLH34" s="17"/>
      <c r="RLI34" s="17"/>
      <c r="RLJ34" s="17"/>
      <c r="RLK34" s="17"/>
      <c r="RLL34" s="17"/>
      <c r="RLM34" s="17"/>
      <c r="RLN34" s="17"/>
      <c r="RLO34" s="17"/>
      <c r="RLP34" s="17"/>
      <c r="RLQ34" s="17"/>
      <c r="RLR34" s="17"/>
      <c r="RLS34" s="17"/>
      <c r="RLT34" s="17"/>
      <c r="RLU34" s="17"/>
      <c r="RLV34" s="17"/>
      <c r="RLW34" s="17"/>
      <c r="RLX34" s="17"/>
      <c r="RLY34" s="17"/>
      <c r="RLZ34" s="17"/>
      <c r="RMA34" s="17"/>
      <c r="RMB34" s="17"/>
      <c r="RMC34" s="17"/>
      <c r="RMD34" s="17"/>
      <c r="RME34" s="17"/>
      <c r="RMF34" s="17"/>
      <c r="RMG34" s="17"/>
      <c r="RMH34" s="17"/>
      <c r="RMI34" s="17"/>
      <c r="RMJ34" s="17"/>
      <c r="RMK34" s="17"/>
      <c r="RML34" s="17"/>
      <c r="RMM34" s="17"/>
      <c r="RMN34" s="17"/>
      <c r="RMO34" s="17"/>
      <c r="RMP34" s="17"/>
      <c r="RMQ34" s="17"/>
      <c r="RMR34" s="17"/>
      <c r="RMS34" s="17"/>
      <c r="RMT34" s="17"/>
      <c r="RMU34" s="17"/>
      <c r="RMV34" s="17"/>
      <c r="RMW34" s="17"/>
      <c r="RMX34" s="17"/>
      <c r="RMY34" s="17"/>
      <c r="RMZ34" s="17"/>
      <c r="RNA34" s="17"/>
      <c r="RNB34" s="17"/>
      <c r="RNC34" s="17"/>
      <c r="RND34" s="17"/>
      <c r="RNE34" s="17"/>
      <c r="RNF34" s="17"/>
      <c r="RNG34" s="17"/>
      <c r="RNH34" s="17"/>
      <c r="RNI34" s="17"/>
      <c r="RNJ34" s="17"/>
      <c r="RNK34" s="17"/>
      <c r="RNL34" s="17"/>
      <c r="RNM34" s="17"/>
      <c r="RNN34" s="17"/>
      <c r="RNO34" s="17"/>
      <c r="RNP34" s="17"/>
      <c r="RNQ34" s="17"/>
      <c r="RNR34" s="17"/>
      <c r="RNS34" s="17"/>
      <c r="RNT34" s="17"/>
      <c r="RNU34" s="17"/>
      <c r="RNV34" s="17"/>
      <c r="RNW34" s="17"/>
      <c r="RNX34" s="17"/>
      <c r="RNY34" s="17"/>
      <c r="RNZ34" s="17"/>
      <c r="ROA34" s="17"/>
      <c r="ROB34" s="17"/>
      <c r="ROC34" s="17"/>
      <c r="ROD34" s="17"/>
      <c r="ROE34" s="17"/>
      <c r="ROF34" s="17"/>
      <c r="ROG34" s="17"/>
      <c r="ROH34" s="17"/>
      <c r="ROI34" s="17"/>
      <c r="ROJ34" s="17"/>
      <c r="ROK34" s="17"/>
      <c r="ROL34" s="17"/>
      <c r="ROM34" s="17"/>
      <c r="RON34" s="17"/>
      <c r="ROO34" s="17"/>
      <c r="ROP34" s="17"/>
      <c r="ROQ34" s="17"/>
      <c r="ROR34" s="17"/>
      <c r="ROS34" s="17"/>
      <c r="ROT34" s="17"/>
      <c r="ROU34" s="17"/>
      <c r="ROV34" s="17"/>
      <c r="ROW34" s="17"/>
      <c r="ROX34" s="17"/>
      <c r="ROY34" s="17"/>
      <c r="ROZ34" s="17"/>
      <c r="RPA34" s="17"/>
      <c r="RPB34" s="17"/>
      <c r="RPC34" s="17"/>
      <c r="RPD34" s="17"/>
      <c r="RPE34" s="17"/>
      <c r="RPF34" s="17"/>
      <c r="RPG34" s="17"/>
      <c r="RPH34" s="17"/>
      <c r="RPI34" s="17"/>
      <c r="RPJ34" s="17"/>
      <c r="RPK34" s="17"/>
      <c r="RPL34" s="17"/>
      <c r="RPM34" s="17"/>
      <c r="RPN34" s="17"/>
      <c r="RPO34" s="17"/>
      <c r="RPP34" s="17"/>
      <c r="RPQ34" s="17"/>
      <c r="RPR34" s="17"/>
      <c r="RPS34" s="17"/>
      <c r="RPT34" s="17"/>
      <c r="RPU34" s="17"/>
      <c r="RPV34" s="17"/>
      <c r="RPW34" s="17"/>
      <c r="RPX34" s="17"/>
      <c r="RPY34" s="17"/>
      <c r="RPZ34" s="17"/>
      <c r="RQA34" s="17"/>
      <c r="RQB34" s="17"/>
      <c r="RQC34" s="17"/>
      <c r="RQD34" s="17"/>
      <c r="RQE34" s="17"/>
      <c r="RQF34" s="17"/>
      <c r="RQG34" s="17"/>
      <c r="RQH34" s="17"/>
      <c r="RQI34" s="17"/>
      <c r="RQJ34" s="17"/>
      <c r="RQK34" s="17"/>
      <c r="RQL34" s="17"/>
      <c r="RQM34" s="17"/>
      <c r="RQN34" s="17"/>
      <c r="RQO34" s="17"/>
      <c r="RQP34" s="17"/>
      <c r="RQQ34" s="17"/>
      <c r="RQR34" s="17"/>
      <c r="RQS34" s="17"/>
      <c r="RQT34" s="17"/>
      <c r="RQU34" s="17"/>
      <c r="RQV34" s="17"/>
      <c r="RQW34" s="17"/>
      <c r="RQX34" s="17"/>
      <c r="RQY34" s="17"/>
      <c r="RQZ34" s="17"/>
      <c r="RRA34" s="17"/>
      <c r="RRB34" s="17"/>
      <c r="RRC34" s="17"/>
      <c r="RRD34" s="17"/>
      <c r="RRE34" s="17"/>
      <c r="RRF34" s="17"/>
      <c r="RRG34" s="17"/>
      <c r="RRH34" s="17"/>
      <c r="RRI34" s="17"/>
      <c r="RRJ34" s="17"/>
      <c r="RRK34" s="17"/>
      <c r="RRL34" s="17"/>
      <c r="RRM34" s="17"/>
      <c r="RRN34" s="17"/>
      <c r="RRO34" s="17"/>
      <c r="RRP34" s="17"/>
      <c r="RRQ34" s="17"/>
      <c r="RRR34" s="17"/>
      <c r="RRS34" s="17"/>
      <c r="RRT34" s="17"/>
      <c r="RRU34" s="17"/>
      <c r="RRV34" s="17"/>
      <c r="RRW34" s="17"/>
      <c r="RRX34" s="17"/>
      <c r="RRY34" s="17"/>
      <c r="RRZ34" s="17"/>
      <c r="RSA34" s="17"/>
      <c r="RSB34" s="17"/>
      <c r="RSC34" s="17"/>
      <c r="RSD34" s="17"/>
      <c r="RSE34" s="17"/>
      <c r="RSF34" s="17"/>
      <c r="RSG34" s="17"/>
      <c r="RSH34" s="17"/>
      <c r="RSI34" s="17"/>
      <c r="RSJ34" s="17"/>
      <c r="RSK34" s="17"/>
      <c r="RSL34" s="17"/>
      <c r="RSM34" s="17"/>
      <c r="RSN34" s="17"/>
      <c r="RSO34" s="17"/>
      <c r="RSP34" s="17"/>
      <c r="RSQ34" s="17"/>
      <c r="RSR34" s="17"/>
      <c r="RSS34" s="17"/>
      <c r="RST34" s="17"/>
      <c r="RSU34" s="17"/>
      <c r="RSV34" s="17"/>
      <c r="RSW34" s="17"/>
      <c r="RSX34" s="17"/>
      <c r="RSY34" s="17"/>
      <c r="RSZ34" s="17"/>
      <c r="RTA34" s="17"/>
      <c r="RTB34" s="17"/>
      <c r="RTC34" s="17"/>
      <c r="RTD34" s="17"/>
      <c r="RTE34" s="17"/>
      <c r="RTF34" s="17"/>
      <c r="RTG34" s="17"/>
      <c r="RTH34" s="17"/>
      <c r="RTI34" s="17"/>
      <c r="RTJ34" s="17"/>
      <c r="RTK34" s="17"/>
      <c r="RTL34" s="17"/>
      <c r="RTM34" s="17"/>
      <c r="RTN34" s="17"/>
      <c r="RTO34" s="17"/>
      <c r="RTP34" s="17"/>
      <c r="RTQ34" s="17"/>
      <c r="RTR34" s="17"/>
      <c r="RTS34" s="17"/>
      <c r="RTT34" s="17"/>
      <c r="RTU34" s="17"/>
      <c r="RTV34" s="17"/>
      <c r="RTW34" s="17"/>
      <c r="RTX34" s="17"/>
      <c r="RTY34" s="17"/>
      <c r="RTZ34" s="17"/>
      <c r="RUA34" s="17"/>
      <c r="RUB34" s="17"/>
      <c r="RUC34" s="17"/>
      <c r="RUD34" s="17"/>
      <c r="RUE34" s="17"/>
      <c r="RUF34" s="17"/>
      <c r="RUG34" s="17"/>
      <c r="RUH34" s="17"/>
      <c r="RUI34" s="17"/>
      <c r="RUJ34" s="17"/>
      <c r="RUK34" s="17"/>
      <c r="RUL34" s="17"/>
      <c r="RUM34" s="17"/>
      <c r="RUN34" s="17"/>
      <c r="RUO34" s="17"/>
      <c r="RUP34" s="17"/>
      <c r="RUQ34" s="17"/>
      <c r="RUR34" s="17"/>
      <c r="RUS34" s="17"/>
      <c r="RUT34" s="17"/>
      <c r="RUU34" s="17"/>
      <c r="RUV34" s="17"/>
      <c r="RUW34" s="17"/>
      <c r="RUX34" s="17"/>
      <c r="RUY34" s="17"/>
      <c r="RUZ34" s="17"/>
      <c r="RVA34" s="17"/>
      <c r="RVB34" s="17"/>
      <c r="RVC34" s="17"/>
      <c r="RVD34" s="17"/>
      <c r="RVE34" s="17"/>
      <c r="RVF34" s="17"/>
      <c r="RVG34" s="17"/>
      <c r="RVH34" s="17"/>
      <c r="RVI34" s="17"/>
      <c r="RVJ34" s="17"/>
      <c r="RVK34" s="17"/>
      <c r="RVL34" s="17"/>
      <c r="RVM34" s="17"/>
      <c r="RVN34" s="17"/>
      <c r="RVO34" s="17"/>
      <c r="RVP34" s="17"/>
      <c r="RVQ34" s="17"/>
      <c r="RVR34" s="17"/>
      <c r="RVS34" s="17"/>
      <c r="RVT34" s="17"/>
      <c r="RVU34" s="17"/>
      <c r="RVV34" s="17"/>
      <c r="RVW34" s="17"/>
      <c r="RVX34" s="17"/>
      <c r="RVY34" s="17"/>
      <c r="RVZ34" s="17"/>
      <c r="RWA34" s="17"/>
      <c r="RWB34" s="17"/>
      <c r="RWC34" s="17"/>
      <c r="RWD34" s="17"/>
      <c r="RWE34" s="17"/>
      <c r="RWF34" s="17"/>
      <c r="RWG34" s="17"/>
      <c r="RWH34" s="17"/>
      <c r="RWI34" s="17"/>
      <c r="RWJ34" s="17"/>
      <c r="RWK34" s="17"/>
      <c r="RWL34" s="17"/>
      <c r="RWM34" s="17"/>
      <c r="RWN34" s="17"/>
      <c r="RWO34" s="17"/>
      <c r="RWP34" s="17"/>
      <c r="RWQ34" s="17"/>
      <c r="RWR34" s="17"/>
      <c r="RWS34" s="17"/>
      <c r="RWT34" s="17"/>
      <c r="RWU34" s="17"/>
      <c r="RWV34" s="17"/>
      <c r="RWW34" s="17"/>
      <c r="RWX34" s="17"/>
      <c r="RWY34" s="17"/>
      <c r="RWZ34" s="17"/>
      <c r="RXA34" s="17"/>
      <c r="RXB34" s="17"/>
      <c r="RXC34" s="17"/>
      <c r="RXD34" s="17"/>
      <c r="RXE34" s="17"/>
      <c r="RXF34" s="17"/>
      <c r="RXG34" s="17"/>
      <c r="RXH34" s="17"/>
      <c r="RXI34" s="17"/>
      <c r="RXJ34" s="17"/>
      <c r="RXK34" s="17"/>
      <c r="RXL34" s="17"/>
      <c r="RXM34" s="17"/>
      <c r="RXN34" s="17"/>
      <c r="RXO34" s="17"/>
      <c r="RXP34" s="17"/>
      <c r="RXQ34" s="17"/>
      <c r="RXR34" s="17"/>
      <c r="RXS34" s="17"/>
      <c r="RXT34" s="17"/>
      <c r="RXU34" s="17"/>
      <c r="RXV34" s="17"/>
      <c r="RXW34" s="17"/>
      <c r="RXX34" s="17"/>
      <c r="RXY34" s="17"/>
      <c r="RXZ34" s="17"/>
      <c r="RYA34" s="17"/>
      <c r="RYB34" s="17"/>
      <c r="RYC34" s="17"/>
      <c r="RYD34" s="17"/>
      <c r="RYE34" s="17"/>
      <c r="RYF34" s="17"/>
      <c r="RYG34" s="17"/>
      <c r="RYH34" s="17"/>
      <c r="RYI34" s="17"/>
      <c r="RYJ34" s="17"/>
      <c r="RYK34" s="17"/>
      <c r="RYL34" s="17"/>
      <c r="RYM34" s="17"/>
      <c r="RYN34" s="17"/>
      <c r="RYO34" s="17"/>
      <c r="RYP34" s="17"/>
      <c r="RYQ34" s="17"/>
      <c r="RYR34" s="17"/>
      <c r="RYS34" s="17"/>
      <c r="RYT34" s="17"/>
      <c r="RYU34" s="17"/>
      <c r="RYV34" s="17"/>
      <c r="RYW34" s="17"/>
      <c r="RYX34" s="17"/>
      <c r="RYY34" s="17"/>
      <c r="RYZ34" s="17"/>
      <c r="RZA34" s="17"/>
      <c r="RZB34" s="17"/>
      <c r="RZC34" s="17"/>
      <c r="RZD34" s="17"/>
      <c r="RZE34" s="17"/>
      <c r="RZF34" s="17"/>
      <c r="RZG34" s="17"/>
      <c r="RZH34" s="17"/>
      <c r="RZI34" s="17"/>
      <c r="RZJ34" s="17"/>
      <c r="RZK34" s="17"/>
      <c r="RZL34" s="17"/>
      <c r="RZM34" s="17"/>
      <c r="RZN34" s="17"/>
      <c r="RZO34" s="17"/>
      <c r="RZP34" s="17"/>
      <c r="RZQ34" s="17"/>
      <c r="RZR34" s="17"/>
      <c r="RZS34" s="17"/>
      <c r="RZT34" s="17"/>
      <c r="RZU34" s="17"/>
      <c r="RZV34" s="17"/>
      <c r="RZW34" s="17"/>
      <c r="RZX34" s="17"/>
      <c r="RZY34" s="17"/>
      <c r="RZZ34" s="17"/>
      <c r="SAA34" s="17"/>
      <c r="SAB34" s="17"/>
      <c r="SAC34" s="17"/>
      <c r="SAD34" s="17"/>
      <c r="SAE34" s="17"/>
      <c r="SAF34" s="17"/>
      <c r="SAG34" s="17"/>
      <c r="SAH34" s="17"/>
      <c r="SAI34" s="17"/>
      <c r="SAJ34" s="17"/>
      <c r="SAK34" s="17"/>
      <c r="SAL34" s="17"/>
      <c r="SAM34" s="17"/>
      <c r="SAN34" s="17"/>
      <c r="SAO34" s="17"/>
      <c r="SAP34" s="17"/>
      <c r="SAQ34" s="17"/>
      <c r="SAR34" s="17"/>
      <c r="SAS34" s="17"/>
      <c r="SAT34" s="17"/>
      <c r="SAU34" s="17"/>
      <c r="SAV34" s="17"/>
      <c r="SAW34" s="17"/>
      <c r="SAX34" s="17"/>
      <c r="SAY34" s="17"/>
      <c r="SAZ34" s="17"/>
      <c r="SBA34" s="17"/>
      <c r="SBB34" s="17"/>
      <c r="SBC34" s="17"/>
      <c r="SBD34" s="17"/>
      <c r="SBE34" s="17"/>
      <c r="SBF34" s="17"/>
      <c r="SBG34" s="17"/>
      <c r="SBH34" s="17"/>
      <c r="SBI34" s="17"/>
      <c r="SBJ34" s="17"/>
      <c r="SBK34" s="17"/>
      <c r="SBL34" s="17"/>
      <c r="SBM34" s="17"/>
      <c r="SBN34" s="17"/>
      <c r="SBO34" s="17"/>
      <c r="SBP34" s="17"/>
      <c r="SBQ34" s="17"/>
      <c r="SBR34" s="17"/>
      <c r="SBS34" s="17"/>
      <c r="SBT34" s="17"/>
      <c r="SBU34" s="17"/>
      <c r="SBV34" s="17"/>
      <c r="SBW34" s="17"/>
      <c r="SBX34" s="17"/>
      <c r="SBY34" s="17"/>
      <c r="SBZ34" s="17"/>
      <c r="SCA34" s="17"/>
      <c r="SCB34" s="17"/>
      <c r="SCC34" s="17"/>
      <c r="SCD34" s="17"/>
      <c r="SCE34" s="17"/>
      <c r="SCF34" s="17"/>
      <c r="SCG34" s="17"/>
      <c r="SCH34" s="17"/>
      <c r="SCI34" s="17"/>
      <c r="SCJ34" s="17"/>
      <c r="SCK34" s="17"/>
      <c r="SCL34" s="17"/>
      <c r="SCM34" s="17"/>
      <c r="SCN34" s="17"/>
      <c r="SCO34" s="17"/>
      <c r="SCP34" s="17"/>
      <c r="SCQ34" s="17"/>
      <c r="SCR34" s="17"/>
      <c r="SCS34" s="17"/>
      <c r="SCT34" s="17"/>
      <c r="SCU34" s="17"/>
      <c r="SCV34" s="17"/>
      <c r="SCW34" s="17"/>
      <c r="SCX34" s="17"/>
      <c r="SCY34" s="17"/>
      <c r="SCZ34" s="17"/>
      <c r="SDA34" s="17"/>
      <c r="SDB34" s="17"/>
      <c r="SDC34" s="17"/>
      <c r="SDD34" s="17"/>
      <c r="SDE34" s="17"/>
      <c r="SDF34" s="17"/>
      <c r="SDG34" s="17"/>
      <c r="SDH34" s="17"/>
      <c r="SDI34" s="17"/>
      <c r="SDJ34" s="17"/>
      <c r="SDK34" s="17"/>
      <c r="SDL34" s="17"/>
      <c r="SDM34" s="17"/>
      <c r="SDN34" s="17"/>
      <c r="SDO34" s="17"/>
      <c r="SDP34" s="17"/>
      <c r="SDQ34" s="17"/>
      <c r="SDR34" s="17"/>
      <c r="SDS34" s="17"/>
      <c r="SDT34" s="17"/>
      <c r="SDU34" s="17"/>
      <c r="SDV34" s="17"/>
      <c r="SDW34" s="17"/>
      <c r="SDX34" s="17"/>
      <c r="SDY34" s="17"/>
      <c r="SDZ34" s="17"/>
      <c r="SEA34" s="17"/>
      <c r="SEB34" s="17"/>
      <c r="SEC34" s="17"/>
      <c r="SED34" s="17"/>
      <c r="SEE34" s="17"/>
      <c r="SEF34" s="17"/>
      <c r="SEG34" s="17"/>
      <c r="SEH34" s="17"/>
      <c r="SEI34" s="17"/>
      <c r="SEJ34" s="17"/>
      <c r="SEK34" s="17"/>
      <c r="SEL34" s="17"/>
      <c r="SEM34" s="17"/>
      <c r="SEN34" s="17"/>
      <c r="SEO34" s="17"/>
      <c r="SEP34" s="17"/>
      <c r="SEQ34" s="17"/>
      <c r="SER34" s="17"/>
      <c r="SES34" s="17"/>
      <c r="SET34" s="17"/>
      <c r="SEU34" s="17"/>
      <c r="SEV34" s="17"/>
      <c r="SEW34" s="17"/>
      <c r="SEX34" s="17"/>
      <c r="SEY34" s="17"/>
      <c r="SEZ34" s="17"/>
      <c r="SFA34" s="17"/>
      <c r="SFB34" s="17"/>
      <c r="SFC34" s="17"/>
      <c r="SFD34" s="17"/>
      <c r="SFE34" s="17"/>
      <c r="SFF34" s="17"/>
      <c r="SFG34" s="17"/>
      <c r="SFH34" s="17"/>
      <c r="SFI34" s="17"/>
      <c r="SFJ34" s="17"/>
      <c r="SFK34" s="17"/>
      <c r="SFL34" s="17"/>
      <c r="SFM34" s="17"/>
      <c r="SFN34" s="17"/>
      <c r="SFO34" s="17"/>
      <c r="SFP34" s="17"/>
      <c r="SFQ34" s="17"/>
      <c r="SFR34" s="17"/>
      <c r="SFS34" s="17"/>
      <c r="SFT34" s="17"/>
      <c r="SFU34" s="17"/>
      <c r="SFV34" s="17"/>
      <c r="SFW34" s="17"/>
      <c r="SFX34" s="17"/>
      <c r="SFY34" s="17"/>
      <c r="SFZ34" s="17"/>
      <c r="SGA34" s="17"/>
      <c r="SGB34" s="17"/>
      <c r="SGC34" s="17"/>
      <c r="SGD34" s="17"/>
      <c r="SGE34" s="17"/>
      <c r="SGF34" s="17"/>
      <c r="SGG34" s="17"/>
      <c r="SGH34" s="17"/>
      <c r="SGI34" s="17"/>
      <c r="SGJ34" s="17"/>
      <c r="SGK34" s="17"/>
      <c r="SGL34" s="17"/>
      <c r="SGM34" s="17"/>
      <c r="SGN34" s="17"/>
      <c r="SGO34" s="17"/>
      <c r="SGP34" s="17"/>
      <c r="SGQ34" s="17"/>
      <c r="SGR34" s="17"/>
      <c r="SGS34" s="17"/>
      <c r="SGT34" s="17"/>
      <c r="SGU34" s="17"/>
      <c r="SGV34" s="17"/>
      <c r="SGW34" s="17"/>
      <c r="SGX34" s="17"/>
      <c r="SGY34" s="17"/>
      <c r="SGZ34" s="17"/>
      <c r="SHA34" s="17"/>
      <c r="SHB34" s="17"/>
      <c r="SHC34" s="17"/>
      <c r="SHD34" s="17"/>
      <c r="SHE34" s="17"/>
      <c r="SHF34" s="17"/>
      <c r="SHG34" s="17"/>
      <c r="SHH34" s="17"/>
      <c r="SHI34" s="17"/>
      <c r="SHJ34" s="17"/>
      <c r="SHK34" s="17"/>
      <c r="SHL34" s="17"/>
      <c r="SHM34" s="17"/>
      <c r="SHN34" s="17"/>
      <c r="SHO34" s="17"/>
      <c r="SHP34" s="17"/>
      <c r="SHQ34" s="17"/>
      <c r="SHR34" s="17"/>
      <c r="SHS34" s="17"/>
      <c r="SHT34" s="17"/>
      <c r="SHU34" s="17"/>
      <c r="SHV34" s="17"/>
      <c r="SHW34" s="17"/>
      <c r="SHX34" s="17"/>
      <c r="SHY34" s="17"/>
      <c r="SHZ34" s="17"/>
      <c r="SIA34" s="17"/>
      <c r="SIB34" s="17"/>
      <c r="SIC34" s="17"/>
      <c r="SID34" s="17"/>
      <c r="SIE34" s="17"/>
      <c r="SIF34" s="17"/>
      <c r="SIG34" s="17"/>
      <c r="SIH34" s="17"/>
      <c r="SII34" s="17"/>
      <c r="SIJ34" s="17"/>
      <c r="SIK34" s="17"/>
      <c r="SIL34" s="17"/>
      <c r="SIM34" s="17"/>
      <c r="SIN34" s="17"/>
      <c r="SIO34" s="17"/>
      <c r="SIP34" s="17"/>
      <c r="SIQ34" s="17"/>
      <c r="SIR34" s="17"/>
      <c r="SIS34" s="17"/>
      <c r="SIT34" s="17"/>
      <c r="SIU34" s="17"/>
      <c r="SIV34" s="17"/>
      <c r="SIW34" s="17"/>
      <c r="SIX34" s="17"/>
      <c r="SIY34" s="17"/>
      <c r="SIZ34" s="17"/>
      <c r="SJA34" s="17"/>
      <c r="SJB34" s="17"/>
      <c r="SJC34" s="17"/>
      <c r="SJD34" s="17"/>
      <c r="SJE34" s="17"/>
      <c r="SJF34" s="17"/>
      <c r="SJG34" s="17"/>
      <c r="SJH34" s="17"/>
      <c r="SJI34" s="17"/>
      <c r="SJJ34" s="17"/>
      <c r="SJK34" s="17"/>
      <c r="SJL34" s="17"/>
      <c r="SJM34" s="17"/>
      <c r="SJN34" s="17"/>
      <c r="SJO34" s="17"/>
      <c r="SJP34" s="17"/>
      <c r="SJQ34" s="17"/>
      <c r="SJR34" s="17"/>
      <c r="SJS34" s="17"/>
      <c r="SJT34" s="17"/>
      <c r="SJU34" s="17"/>
      <c r="SJV34" s="17"/>
      <c r="SJW34" s="17"/>
      <c r="SJX34" s="17"/>
      <c r="SJY34" s="17"/>
      <c r="SJZ34" s="17"/>
      <c r="SKA34" s="17"/>
      <c r="SKB34" s="17"/>
      <c r="SKC34" s="17"/>
      <c r="SKD34" s="17"/>
      <c r="SKE34" s="17"/>
      <c r="SKF34" s="17"/>
      <c r="SKG34" s="17"/>
      <c r="SKH34" s="17"/>
      <c r="SKI34" s="17"/>
      <c r="SKJ34" s="17"/>
      <c r="SKK34" s="17"/>
      <c r="SKL34" s="17"/>
      <c r="SKM34" s="17"/>
      <c r="SKN34" s="17"/>
      <c r="SKO34" s="17"/>
      <c r="SKP34" s="17"/>
      <c r="SKQ34" s="17"/>
      <c r="SKR34" s="17"/>
      <c r="SKS34" s="17"/>
      <c r="SKT34" s="17"/>
      <c r="SKU34" s="17"/>
      <c r="SKV34" s="17"/>
      <c r="SKW34" s="17"/>
      <c r="SKX34" s="17"/>
      <c r="SKY34" s="17"/>
      <c r="SKZ34" s="17"/>
      <c r="SLA34" s="17"/>
      <c r="SLB34" s="17"/>
      <c r="SLC34" s="17"/>
      <c r="SLD34" s="17"/>
      <c r="SLE34" s="17"/>
      <c r="SLF34" s="17"/>
      <c r="SLG34" s="17"/>
      <c r="SLH34" s="17"/>
      <c r="SLI34" s="17"/>
      <c r="SLJ34" s="17"/>
      <c r="SLK34" s="17"/>
      <c r="SLL34" s="17"/>
      <c r="SLM34" s="17"/>
      <c r="SLN34" s="17"/>
      <c r="SLO34" s="17"/>
      <c r="SLP34" s="17"/>
      <c r="SLQ34" s="17"/>
      <c r="SLR34" s="17"/>
      <c r="SLS34" s="17"/>
      <c r="SLT34" s="17"/>
      <c r="SLU34" s="17"/>
      <c r="SLV34" s="17"/>
      <c r="SLW34" s="17"/>
      <c r="SLX34" s="17"/>
      <c r="SLY34" s="17"/>
      <c r="SLZ34" s="17"/>
      <c r="SMA34" s="17"/>
      <c r="SMB34" s="17"/>
      <c r="SMC34" s="17"/>
      <c r="SMD34" s="17"/>
      <c r="SME34" s="17"/>
      <c r="SMF34" s="17"/>
      <c r="SMG34" s="17"/>
      <c r="SMH34" s="17"/>
      <c r="SMI34" s="17"/>
      <c r="SMJ34" s="17"/>
      <c r="SMK34" s="17"/>
      <c r="SML34" s="17"/>
      <c r="SMM34" s="17"/>
      <c r="SMN34" s="17"/>
      <c r="SMO34" s="17"/>
      <c r="SMP34" s="17"/>
      <c r="SMQ34" s="17"/>
      <c r="SMR34" s="17"/>
      <c r="SMS34" s="17"/>
      <c r="SMT34" s="17"/>
      <c r="SMU34" s="17"/>
      <c r="SMV34" s="17"/>
      <c r="SMW34" s="17"/>
      <c r="SMX34" s="17"/>
      <c r="SMY34" s="17"/>
      <c r="SMZ34" s="17"/>
      <c r="SNA34" s="17"/>
      <c r="SNB34" s="17"/>
      <c r="SNC34" s="17"/>
      <c r="SND34" s="17"/>
      <c r="SNE34" s="17"/>
      <c r="SNF34" s="17"/>
      <c r="SNG34" s="17"/>
      <c r="SNH34" s="17"/>
      <c r="SNI34" s="17"/>
      <c r="SNJ34" s="17"/>
      <c r="SNK34" s="17"/>
      <c r="SNL34" s="17"/>
      <c r="SNM34" s="17"/>
      <c r="SNN34" s="17"/>
      <c r="SNO34" s="17"/>
      <c r="SNP34" s="17"/>
      <c r="SNQ34" s="17"/>
      <c r="SNR34" s="17"/>
      <c r="SNS34" s="17"/>
      <c r="SNT34" s="17"/>
      <c r="SNU34" s="17"/>
      <c r="SNV34" s="17"/>
      <c r="SNW34" s="17"/>
      <c r="SNX34" s="17"/>
      <c r="SNY34" s="17"/>
      <c r="SNZ34" s="17"/>
      <c r="SOA34" s="17"/>
      <c r="SOB34" s="17"/>
      <c r="SOC34" s="17"/>
      <c r="SOD34" s="17"/>
      <c r="SOE34" s="17"/>
      <c r="SOF34" s="17"/>
      <c r="SOG34" s="17"/>
      <c r="SOH34" s="17"/>
      <c r="SOI34" s="17"/>
      <c r="SOJ34" s="17"/>
      <c r="SOK34" s="17"/>
      <c r="SOL34" s="17"/>
      <c r="SOM34" s="17"/>
      <c r="SON34" s="17"/>
      <c r="SOO34" s="17"/>
      <c r="SOP34" s="17"/>
      <c r="SOQ34" s="17"/>
      <c r="SOR34" s="17"/>
      <c r="SOS34" s="17"/>
      <c r="SOT34" s="17"/>
      <c r="SOU34" s="17"/>
      <c r="SOV34" s="17"/>
      <c r="SOW34" s="17"/>
      <c r="SOX34" s="17"/>
      <c r="SOY34" s="17"/>
      <c r="SOZ34" s="17"/>
      <c r="SPA34" s="17"/>
      <c r="SPB34" s="17"/>
      <c r="SPC34" s="17"/>
      <c r="SPD34" s="17"/>
      <c r="SPE34" s="17"/>
      <c r="SPF34" s="17"/>
      <c r="SPG34" s="17"/>
      <c r="SPH34" s="17"/>
      <c r="SPI34" s="17"/>
      <c r="SPJ34" s="17"/>
      <c r="SPK34" s="17"/>
      <c r="SPL34" s="17"/>
      <c r="SPM34" s="17"/>
      <c r="SPN34" s="17"/>
      <c r="SPO34" s="17"/>
      <c r="SPP34" s="17"/>
      <c r="SPQ34" s="17"/>
      <c r="SPR34" s="17"/>
      <c r="SPS34" s="17"/>
      <c r="SPT34" s="17"/>
      <c r="SPU34" s="17"/>
      <c r="SPV34" s="17"/>
      <c r="SPW34" s="17"/>
      <c r="SPX34" s="17"/>
      <c r="SPY34" s="17"/>
      <c r="SPZ34" s="17"/>
      <c r="SQA34" s="17"/>
      <c r="SQB34" s="17"/>
      <c r="SQC34" s="17"/>
      <c r="SQD34" s="17"/>
      <c r="SQE34" s="17"/>
      <c r="SQF34" s="17"/>
      <c r="SQG34" s="17"/>
      <c r="SQH34" s="17"/>
      <c r="SQI34" s="17"/>
      <c r="SQJ34" s="17"/>
      <c r="SQK34" s="17"/>
      <c r="SQL34" s="17"/>
      <c r="SQM34" s="17"/>
      <c r="SQN34" s="17"/>
      <c r="SQO34" s="17"/>
      <c r="SQP34" s="17"/>
      <c r="SQQ34" s="17"/>
      <c r="SQR34" s="17"/>
      <c r="SQS34" s="17"/>
      <c r="SQT34" s="17"/>
      <c r="SQU34" s="17"/>
      <c r="SQV34" s="17"/>
      <c r="SQW34" s="17"/>
      <c r="SQX34" s="17"/>
      <c r="SQY34" s="17"/>
      <c r="SQZ34" s="17"/>
      <c r="SRA34" s="17"/>
      <c r="SRB34" s="17"/>
      <c r="SRC34" s="17"/>
      <c r="SRD34" s="17"/>
      <c r="SRE34" s="17"/>
      <c r="SRF34" s="17"/>
      <c r="SRG34" s="17"/>
      <c r="SRH34" s="17"/>
      <c r="SRI34" s="17"/>
      <c r="SRJ34" s="17"/>
      <c r="SRK34" s="17"/>
      <c r="SRL34" s="17"/>
      <c r="SRM34" s="17"/>
      <c r="SRN34" s="17"/>
      <c r="SRO34" s="17"/>
      <c r="SRP34" s="17"/>
      <c r="SRQ34" s="17"/>
      <c r="SRR34" s="17"/>
      <c r="SRS34" s="17"/>
      <c r="SRT34" s="17"/>
      <c r="SRU34" s="17"/>
      <c r="SRV34" s="17"/>
      <c r="SRW34" s="17"/>
      <c r="SRX34" s="17"/>
      <c r="SRY34" s="17"/>
      <c r="SRZ34" s="17"/>
      <c r="SSA34" s="17"/>
      <c r="SSB34" s="17"/>
      <c r="SSC34" s="17"/>
      <c r="SSD34" s="17"/>
      <c r="SSE34" s="17"/>
      <c r="SSF34" s="17"/>
      <c r="SSG34" s="17"/>
      <c r="SSH34" s="17"/>
      <c r="SSI34" s="17"/>
      <c r="SSJ34" s="17"/>
      <c r="SSK34" s="17"/>
      <c r="SSL34" s="17"/>
      <c r="SSM34" s="17"/>
      <c r="SSN34" s="17"/>
      <c r="SSO34" s="17"/>
      <c r="SSP34" s="17"/>
      <c r="SSQ34" s="17"/>
      <c r="SSR34" s="17"/>
      <c r="SSS34" s="17"/>
      <c r="SST34" s="17"/>
      <c r="SSU34" s="17"/>
      <c r="SSV34" s="17"/>
      <c r="SSW34" s="17"/>
      <c r="SSX34" s="17"/>
      <c r="SSY34" s="17"/>
      <c r="SSZ34" s="17"/>
      <c r="STA34" s="17"/>
      <c r="STB34" s="17"/>
      <c r="STC34" s="17"/>
      <c r="STD34" s="17"/>
      <c r="STE34" s="17"/>
      <c r="STF34" s="17"/>
      <c r="STG34" s="17"/>
      <c r="STH34" s="17"/>
      <c r="STI34" s="17"/>
      <c r="STJ34" s="17"/>
      <c r="STK34" s="17"/>
      <c r="STL34" s="17"/>
      <c r="STM34" s="17"/>
      <c r="STN34" s="17"/>
      <c r="STO34" s="17"/>
      <c r="STP34" s="17"/>
      <c r="STQ34" s="17"/>
      <c r="STR34" s="17"/>
      <c r="STS34" s="17"/>
      <c r="STT34" s="17"/>
      <c r="STU34" s="17"/>
      <c r="STV34" s="17"/>
      <c r="STW34" s="17"/>
      <c r="STX34" s="17"/>
      <c r="STY34" s="17"/>
      <c r="STZ34" s="17"/>
      <c r="SUA34" s="17"/>
      <c r="SUB34" s="17"/>
      <c r="SUC34" s="17"/>
      <c r="SUD34" s="17"/>
      <c r="SUE34" s="17"/>
      <c r="SUF34" s="17"/>
      <c r="SUG34" s="17"/>
      <c r="SUH34" s="17"/>
      <c r="SUI34" s="17"/>
      <c r="SUJ34" s="17"/>
      <c r="SUK34" s="17"/>
      <c r="SUL34" s="17"/>
      <c r="SUM34" s="17"/>
      <c r="SUN34" s="17"/>
      <c r="SUO34" s="17"/>
      <c r="SUP34" s="17"/>
      <c r="SUQ34" s="17"/>
      <c r="SUR34" s="17"/>
      <c r="SUS34" s="17"/>
      <c r="SUT34" s="17"/>
      <c r="SUU34" s="17"/>
      <c r="SUV34" s="17"/>
      <c r="SUW34" s="17"/>
      <c r="SUX34" s="17"/>
      <c r="SUY34" s="17"/>
      <c r="SUZ34" s="17"/>
      <c r="SVA34" s="17"/>
      <c r="SVB34" s="17"/>
      <c r="SVC34" s="17"/>
      <c r="SVD34" s="17"/>
      <c r="SVE34" s="17"/>
      <c r="SVF34" s="17"/>
      <c r="SVG34" s="17"/>
      <c r="SVH34" s="17"/>
      <c r="SVI34" s="17"/>
      <c r="SVJ34" s="17"/>
      <c r="SVK34" s="17"/>
      <c r="SVL34" s="17"/>
      <c r="SVM34" s="17"/>
      <c r="SVN34" s="17"/>
      <c r="SVO34" s="17"/>
      <c r="SVP34" s="17"/>
      <c r="SVQ34" s="17"/>
      <c r="SVR34" s="17"/>
      <c r="SVS34" s="17"/>
      <c r="SVT34" s="17"/>
      <c r="SVU34" s="17"/>
      <c r="SVV34" s="17"/>
      <c r="SVW34" s="17"/>
      <c r="SVX34" s="17"/>
      <c r="SVY34" s="17"/>
      <c r="SVZ34" s="17"/>
      <c r="SWA34" s="17"/>
      <c r="SWB34" s="17"/>
      <c r="SWC34" s="17"/>
      <c r="SWD34" s="17"/>
      <c r="SWE34" s="17"/>
      <c r="SWF34" s="17"/>
      <c r="SWG34" s="17"/>
      <c r="SWH34" s="17"/>
      <c r="SWI34" s="17"/>
      <c r="SWJ34" s="17"/>
      <c r="SWK34" s="17"/>
      <c r="SWL34" s="17"/>
      <c r="SWM34" s="17"/>
      <c r="SWN34" s="17"/>
      <c r="SWO34" s="17"/>
      <c r="SWP34" s="17"/>
      <c r="SWQ34" s="17"/>
      <c r="SWR34" s="17"/>
      <c r="SWS34" s="17"/>
      <c r="SWT34" s="17"/>
      <c r="SWU34" s="17"/>
      <c r="SWV34" s="17"/>
      <c r="SWW34" s="17"/>
      <c r="SWX34" s="17"/>
      <c r="SWY34" s="17"/>
      <c r="SWZ34" s="17"/>
      <c r="SXA34" s="17"/>
      <c r="SXB34" s="17"/>
      <c r="SXC34" s="17"/>
      <c r="SXD34" s="17"/>
      <c r="SXE34" s="17"/>
      <c r="SXF34" s="17"/>
      <c r="SXG34" s="17"/>
      <c r="SXH34" s="17"/>
      <c r="SXI34" s="17"/>
      <c r="SXJ34" s="17"/>
      <c r="SXK34" s="17"/>
      <c r="SXL34" s="17"/>
      <c r="SXM34" s="17"/>
      <c r="SXN34" s="17"/>
      <c r="SXO34" s="17"/>
      <c r="SXP34" s="17"/>
      <c r="SXQ34" s="17"/>
      <c r="SXR34" s="17"/>
      <c r="SXS34" s="17"/>
      <c r="SXT34" s="17"/>
      <c r="SXU34" s="17"/>
      <c r="SXV34" s="17"/>
      <c r="SXW34" s="17"/>
      <c r="SXX34" s="17"/>
      <c r="SXY34" s="17"/>
      <c r="SXZ34" s="17"/>
      <c r="SYA34" s="17"/>
      <c r="SYB34" s="17"/>
      <c r="SYC34" s="17"/>
      <c r="SYD34" s="17"/>
      <c r="SYE34" s="17"/>
      <c r="SYF34" s="17"/>
      <c r="SYG34" s="17"/>
      <c r="SYH34" s="17"/>
      <c r="SYI34" s="17"/>
      <c r="SYJ34" s="17"/>
      <c r="SYK34" s="17"/>
      <c r="SYL34" s="17"/>
      <c r="SYM34" s="17"/>
      <c r="SYN34" s="17"/>
      <c r="SYO34" s="17"/>
      <c r="SYP34" s="17"/>
      <c r="SYQ34" s="17"/>
      <c r="SYR34" s="17"/>
      <c r="SYS34" s="17"/>
      <c r="SYT34" s="17"/>
      <c r="SYU34" s="17"/>
      <c r="SYV34" s="17"/>
      <c r="SYW34" s="17"/>
      <c r="SYX34" s="17"/>
      <c r="SYY34" s="17"/>
      <c r="SYZ34" s="17"/>
      <c r="SZA34" s="17"/>
      <c r="SZB34" s="17"/>
      <c r="SZC34" s="17"/>
      <c r="SZD34" s="17"/>
      <c r="SZE34" s="17"/>
      <c r="SZF34" s="17"/>
      <c r="SZG34" s="17"/>
      <c r="SZH34" s="17"/>
      <c r="SZI34" s="17"/>
      <c r="SZJ34" s="17"/>
      <c r="SZK34" s="17"/>
      <c r="SZL34" s="17"/>
      <c r="SZM34" s="17"/>
      <c r="SZN34" s="17"/>
      <c r="SZO34" s="17"/>
      <c r="SZP34" s="17"/>
      <c r="SZQ34" s="17"/>
      <c r="SZR34" s="17"/>
      <c r="SZS34" s="17"/>
      <c r="SZT34" s="17"/>
      <c r="SZU34" s="17"/>
      <c r="SZV34" s="17"/>
      <c r="SZW34" s="17"/>
      <c r="SZX34" s="17"/>
      <c r="SZY34" s="17"/>
      <c r="SZZ34" s="17"/>
      <c r="TAA34" s="17"/>
      <c r="TAB34" s="17"/>
      <c r="TAC34" s="17"/>
      <c r="TAD34" s="17"/>
      <c r="TAE34" s="17"/>
      <c r="TAF34" s="17"/>
      <c r="TAG34" s="17"/>
      <c r="TAH34" s="17"/>
      <c r="TAI34" s="17"/>
      <c r="TAJ34" s="17"/>
      <c r="TAK34" s="17"/>
      <c r="TAL34" s="17"/>
      <c r="TAM34" s="17"/>
      <c r="TAN34" s="17"/>
      <c r="TAO34" s="17"/>
      <c r="TAP34" s="17"/>
      <c r="TAQ34" s="17"/>
      <c r="TAR34" s="17"/>
      <c r="TAS34" s="17"/>
      <c r="TAT34" s="17"/>
      <c r="TAU34" s="17"/>
      <c r="TAV34" s="17"/>
      <c r="TAW34" s="17"/>
      <c r="TAX34" s="17"/>
      <c r="TAY34" s="17"/>
      <c r="TAZ34" s="17"/>
      <c r="TBA34" s="17"/>
      <c r="TBB34" s="17"/>
      <c r="TBC34" s="17"/>
      <c r="TBD34" s="17"/>
      <c r="TBE34" s="17"/>
      <c r="TBF34" s="17"/>
      <c r="TBG34" s="17"/>
      <c r="TBH34" s="17"/>
      <c r="TBI34" s="17"/>
      <c r="TBJ34" s="17"/>
      <c r="TBK34" s="17"/>
      <c r="TBL34" s="17"/>
      <c r="TBM34" s="17"/>
      <c r="TBN34" s="17"/>
      <c r="TBO34" s="17"/>
      <c r="TBP34" s="17"/>
      <c r="TBQ34" s="17"/>
      <c r="TBR34" s="17"/>
      <c r="TBS34" s="17"/>
      <c r="TBT34" s="17"/>
      <c r="TBU34" s="17"/>
      <c r="TBV34" s="17"/>
      <c r="TBW34" s="17"/>
      <c r="TBX34" s="17"/>
      <c r="TBY34" s="17"/>
      <c r="TBZ34" s="17"/>
      <c r="TCA34" s="17"/>
      <c r="TCB34" s="17"/>
      <c r="TCC34" s="17"/>
      <c r="TCD34" s="17"/>
      <c r="TCE34" s="17"/>
      <c r="TCF34" s="17"/>
      <c r="TCG34" s="17"/>
      <c r="TCH34" s="17"/>
      <c r="TCI34" s="17"/>
      <c r="TCJ34" s="17"/>
      <c r="TCK34" s="17"/>
      <c r="TCL34" s="17"/>
      <c r="TCM34" s="17"/>
      <c r="TCN34" s="17"/>
      <c r="TCO34" s="17"/>
      <c r="TCP34" s="17"/>
      <c r="TCQ34" s="17"/>
      <c r="TCR34" s="17"/>
      <c r="TCS34" s="17"/>
      <c r="TCT34" s="17"/>
      <c r="TCU34" s="17"/>
      <c r="TCV34" s="17"/>
      <c r="TCW34" s="17"/>
      <c r="TCX34" s="17"/>
      <c r="TCY34" s="17"/>
      <c r="TCZ34" s="17"/>
      <c r="TDA34" s="17"/>
      <c r="TDB34" s="17"/>
      <c r="TDC34" s="17"/>
      <c r="TDD34" s="17"/>
      <c r="TDE34" s="17"/>
      <c r="TDF34" s="17"/>
      <c r="TDG34" s="17"/>
      <c r="TDH34" s="17"/>
      <c r="TDI34" s="17"/>
      <c r="TDJ34" s="17"/>
      <c r="TDK34" s="17"/>
      <c r="TDL34" s="17"/>
      <c r="TDM34" s="17"/>
      <c r="TDN34" s="17"/>
      <c r="TDO34" s="17"/>
      <c r="TDP34" s="17"/>
      <c r="TDQ34" s="17"/>
      <c r="TDR34" s="17"/>
      <c r="TDS34" s="17"/>
      <c r="TDT34" s="17"/>
      <c r="TDU34" s="17"/>
      <c r="TDV34" s="17"/>
      <c r="TDW34" s="17"/>
      <c r="TDX34" s="17"/>
      <c r="TDY34" s="17"/>
      <c r="TDZ34" s="17"/>
      <c r="TEA34" s="17"/>
      <c r="TEB34" s="17"/>
      <c r="TEC34" s="17"/>
      <c r="TED34" s="17"/>
      <c r="TEE34" s="17"/>
      <c r="TEF34" s="17"/>
      <c r="TEG34" s="17"/>
      <c r="TEH34" s="17"/>
      <c r="TEI34" s="17"/>
      <c r="TEJ34" s="17"/>
      <c r="TEK34" s="17"/>
      <c r="TEL34" s="17"/>
      <c r="TEM34" s="17"/>
      <c r="TEN34" s="17"/>
      <c r="TEO34" s="17"/>
      <c r="TEP34" s="17"/>
      <c r="TEQ34" s="17"/>
      <c r="TER34" s="17"/>
      <c r="TES34" s="17"/>
      <c r="TET34" s="17"/>
      <c r="TEU34" s="17"/>
      <c r="TEV34" s="17"/>
      <c r="TEW34" s="17"/>
      <c r="TEX34" s="17"/>
      <c r="TEY34" s="17"/>
      <c r="TEZ34" s="17"/>
      <c r="TFA34" s="17"/>
      <c r="TFB34" s="17"/>
      <c r="TFC34" s="17"/>
      <c r="TFD34" s="17"/>
      <c r="TFE34" s="17"/>
      <c r="TFF34" s="17"/>
      <c r="TFG34" s="17"/>
      <c r="TFH34" s="17"/>
      <c r="TFI34" s="17"/>
      <c r="TFJ34" s="17"/>
      <c r="TFK34" s="17"/>
      <c r="TFL34" s="17"/>
      <c r="TFM34" s="17"/>
      <c r="TFN34" s="17"/>
      <c r="TFO34" s="17"/>
      <c r="TFP34" s="17"/>
      <c r="TFQ34" s="17"/>
      <c r="TFR34" s="17"/>
      <c r="TFS34" s="17"/>
      <c r="TFT34" s="17"/>
      <c r="TFU34" s="17"/>
      <c r="TFV34" s="17"/>
      <c r="TFW34" s="17"/>
      <c r="TFX34" s="17"/>
      <c r="TFY34" s="17"/>
      <c r="TFZ34" s="17"/>
      <c r="TGA34" s="17"/>
      <c r="TGB34" s="17"/>
      <c r="TGC34" s="17"/>
      <c r="TGD34" s="17"/>
      <c r="TGE34" s="17"/>
      <c r="TGF34" s="17"/>
      <c r="TGG34" s="17"/>
      <c r="TGH34" s="17"/>
      <c r="TGI34" s="17"/>
      <c r="TGJ34" s="17"/>
      <c r="TGK34" s="17"/>
      <c r="TGL34" s="17"/>
      <c r="TGM34" s="17"/>
      <c r="TGN34" s="17"/>
      <c r="TGO34" s="17"/>
      <c r="TGP34" s="17"/>
      <c r="TGQ34" s="17"/>
      <c r="TGR34" s="17"/>
      <c r="TGS34" s="17"/>
      <c r="TGT34" s="17"/>
      <c r="TGU34" s="17"/>
      <c r="TGV34" s="17"/>
      <c r="TGW34" s="17"/>
      <c r="TGX34" s="17"/>
      <c r="TGY34" s="17"/>
      <c r="TGZ34" s="17"/>
      <c r="THA34" s="17"/>
      <c r="THB34" s="17"/>
      <c r="THC34" s="17"/>
      <c r="THD34" s="17"/>
      <c r="THE34" s="17"/>
      <c r="THF34" s="17"/>
      <c r="THG34" s="17"/>
      <c r="THH34" s="17"/>
      <c r="THI34" s="17"/>
      <c r="THJ34" s="17"/>
      <c r="THK34" s="17"/>
      <c r="THL34" s="17"/>
      <c r="THM34" s="17"/>
      <c r="THN34" s="17"/>
      <c r="THO34" s="17"/>
      <c r="THP34" s="17"/>
      <c r="THQ34" s="17"/>
      <c r="THR34" s="17"/>
      <c r="THS34" s="17"/>
      <c r="THT34" s="17"/>
      <c r="THU34" s="17"/>
      <c r="THV34" s="17"/>
      <c r="THW34" s="17"/>
      <c r="THX34" s="17"/>
      <c r="THY34" s="17"/>
      <c r="THZ34" s="17"/>
      <c r="TIA34" s="17"/>
      <c r="TIB34" s="17"/>
      <c r="TIC34" s="17"/>
      <c r="TID34" s="17"/>
      <c r="TIE34" s="17"/>
      <c r="TIF34" s="17"/>
      <c r="TIG34" s="17"/>
      <c r="TIH34" s="17"/>
      <c r="TII34" s="17"/>
      <c r="TIJ34" s="17"/>
      <c r="TIK34" s="17"/>
      <c r="TIL34" s="17"/>
      <c r="TIM34" s="17"/>
      <c r="TIN34" s="17"/>
      <c r="TIO34" s="17"/>
      <c r="TIP34" s="17"/>
      <c r="TIQ34" s="17"/>
      <c r="TIR34" s="17"/>
      <c r="TIS34" s="17"/>
      <c r="TIT34" s="17"/>
      <c r="TIU34" s="17"/>
      <c r="TIV34" s="17"/>
      <c r="TIW34" s="17"/>
      <c r="TIX34" s="17"/>
      <c r="TIY34" s="17"/>
      <c r="TIZ34" s="17"/>
      <c r="TJA34" s="17"/>
      <c r="TJB34" s="17"/>
      <c r="TJC34" s="17"/>
      <c r="TJD34" s="17"/>
      <c r="TJE34" s="17"/>
      <c r="TJF34" s="17"/>
      <c r="TJG34" s="17"/>
      <c r="TJH34" s="17"/>
      <c r="TJI34" s="17"/>
      <c r="TJJ34" s="17"/>
      <c r="TJK34" s="17"/>
      <c r="TJL34" s="17"/>
      <c r="TJM34" s="17"/>
      <c r="TJN34" s="17"/>
      <c r="TJO34" s="17"/>
      <c r="TJP34" s="17"/>
      <c r="TJQ34" s="17"/>
      <c r="TJR34" s="17"/>
      <c r="TJS34" s="17"/>
      <c r="TJT34" s="17"/>
      <c r="TJU34" s="17"/>
      <c r="TJV34" s="17"/>
      <c r="TJW34" s="17"/>
      <c r="TJX34" s="17"/>
      <c r="TJY34" s="17"/>
      <c r="TJZ34" s="17"/>
      <c r="TKA34" s="17"/>
      <c r="TKB34" s="17"/>
      <c r="TKC34" s="17"/>
      <c r="TKD34" s="17"/>
      <c r="TKE34" s="17"/>
      <c r="TKF34" s="17"/>
      <c r="TKG34" s="17"/>
      <c r="TKH34" s="17"/>
      <c r="TKI34" s="17"/>
      <c r="TKJ34" s="17"/>
      <c r="TKK34" s="17"/>
      <c r="TKL34" s="17"/>
      <c r="TKM34" s="17"/>
      <c r="TKN34" s="17"/>
      <c r="TKO34" s="17"/>
      <c r="TKP34" s="17"/>
      <c r="TKQ34" s="17"/>
      <c r="TKR34" s="17"/>
      <c r="TKS34" s="17"/>
      <c r="TKT34" s="17"/>
      <c r="TKU34" s="17"/>
      <c r="TKV34" s="17"/>
      <c r="TKW34" s="17"/>
      <c r="TKX34" s="17"/>
      <c r="TKY34" s="17"/>
      <c r="TKZ34" s="17"/>
      <c r="TLA34" s="17"/>
      <c r="TLB34" s="17"/>
      <c r="TLC34" s="17"/>
      <c r="TLD34" s="17"/>
      <c r="TLE34" s="17"/>
      <c r="TLF34" s="17"/>
      <c r="TLG34" s="17"/>
      <c r="TLH34" s="17"/>
      <c r="TLI34" s="17"/>
      <c r="TLJ34" s="17"/>
      <c r="TLK34" s="17"/>
      <c r="TLL34" s="17"/>
      <c r="TLM34" s="17"/>
      <c r="TLN34" s="17"/>
      <c r="TLO34" s="17"/>
      <c r="TLP34" s="17"/>
      <c r="TLQ34" s="17"/>
      <c r="TLR34" s="17"/>
      <c r="TLS34" s="17"/>
      <c r="TLT34" s="17"/>
      <c r="TLU34" s="17"/>
      <c r="TLV34" s="17"/>
      <c r="TLW34" s="17"/>
      <c r="TLX34" s="17"/>
      <c r="TLY34" s="17"/>
      <c r="TLZ34" s="17"/>
      <c r="TMA34" s="17"/>
      <c r="TMB34" s="17"/>
      <c r="TMC34" s="17"/>
      <c r="TMD34" s="17"/>
      <c r="TME34" s="17"/>
      <c r="TMF34" s="17"/>
      <c r="TMG34" s="17"/>
      <c r="TMH34" s="17"/>
      <c r="TMI34" s="17"/>
      <c r="TMJ34" s="17"/>
      <c r="TMK34" s="17"/>
      <c r="TML34" s="17"/>
      <c r="TMM34" s="17"/>
      <c r="TMN34" s="17"/>
      <c r="TMO34" s="17"/>
      <c r="TMP34" s="17"/>
      <c r="TMQ34" s="17"/>
      <c r="TMR34" s="17"/>
      <c r="TMS34" s="17"/>
      <c r="TMT34" s="17"/>
      <c r="TMU34" s="17"/>
      <c r="TMV34" s="17"/>
      <c r="TMW34" s="17"/>
      <c r="TMX34" s="17"/>
      <c r="TMY34" s="17"/>
      <c r="TMZ34" s="17"/>
      <c r="TNA34" s="17"/>
      <c r="TNB34" s="17"/>
      <c r="TNC34" s="17"/>
      <c r="TND34" s="17"/>
      <c r="TNE34" s="17"/>
      <c r="TNF34" s="17"/>
      <c r="TNG34" s="17"/>
      <c r="TNH34" s="17"/>
      <c r="TNI34" s="17"/>
      <c r="TNJ34" s="17"/>
      <c r="TNK34" s="17"/>
      <c r="TNL34" s="17"/>
      <c r="TNM34" s="17"/>
      <c r="TNN34" s="17"/>
      <c r="TNO34" s="17"/>
      <c r="TNP34" s="17"/>
      <c r="TNQ34" s="17"/>
      <c r="TNR34" s="17"/>
      <c r="TNS34" s="17"/>
      <c r="TNT34" s="17"/>
      <c r="TNU34" s="17"/>
      <c r="TNV34" s="17"/>
      <c r="TNW34" s="17"/>
      <c r="TNX34" s="17"/>
      <c r="TNY34" s="17"/>
      <c r="TNZ34" s="17"/>
      <c r="TOA34" s="17"/>
      <c r="TOB34" s="17"/>
      <c r="TOC34" s="17"/>
      <c r="TOD34" s="17"/>
      <c r="TOE34" s="17"/>
      <c r="TOF34" s="17"/>
      <c r="TOG34" s="17"/>
      <c r="TOH34" s="17"/>
      <c r="TOI34" s="17"/>
      <c r="TOJ34" s="17"/>
      <c r="TOK34" s="17"/>
      <c r="TOL34" s="17"/>
      <c r="TOM34" s="17"/>
      <c r="TON34" s="17"/>
      <c r="TOO34" s="17"/>
      <c r="TOP34" s="17"/>
      <c r="TOQ34" s="17"/>
      <c r="TOR34" s="17"/>
      <c r="TOS34" s="17"/>
      <c r="TOT34" s="17"/>
      <c r="TOU34" s="17"/>
      <c r="TOV34" s="17"/>
      <c r="TOW34" s="17"/>
      <c r="TOX34" s="17"/>
      <c r="TOY34" s="17"/>
      <c r="TOZ34" s="17"/>
      <c r="TPA34" s="17"/>
      <c r="TPB34" s="17"/>
      <c r="TPC34" s="17"/>
      <c r="TPD34" s="17"/>
      <c r="TPE34" s="17"/>
      <c r="TPF34" s="17"/>
      <c r="TPG34" s="17"/>
      <c r="TPH34" s="17"/>
      <c r="TPI34" s="17"/>
      <c r="TPJ34" s="17"/>
      <c r="TPK34" s="17"/>
      <c r="TPL34" s="17"/>
      <c r="TPM34" s="17"/>
      <c r="TPN34" s="17"/>
      <c r="TPO34" s="17"/>
      <c r="TPP34" s="17"/>
      <c r="TPQ34" s="17"/>
      <c r="TPR34" s="17"/>
      <c r="TPS34" s="17"/>
      <c r="TPT34" s="17"/>
      <c r="TPU34" s="17"/>
      <c r="TPV34" s="17"/>
      <c r="TPW34" s="17"/>
      <c r="TPX34" s="17"/>
      <c r="TPY34" s="17"/>
      <c r="TPZ34" s="17"/>
      <c r="TQA34" s="17"/>
      <c r="TQB34" s="17"/>
      <c r="TQC34" s="17"/>
      <c r="TQD34" s="17"/>
      <c r="TQE34" s="17"/>
      <c r="TQF34" s="17"/>
      <c r="TQG34" s="17"/>
      <c r="TQH34" s="17"/>
      <c r="TQI34" s="17"/>
      <c r="TQJ34" s="17"/>
      <c r="TQK34" s="17"/>
      <c r="TQL34" s="17"/>
      <c r="TQM34" s="17"/>
      <c r="TQN34" s="17"/>
      <c r="TQO34" s="17"/>
      <c r="TQP34" s="17"/>
      <c r="TQQ34" s="17"/>
      <c r="TQR34" s="17"/>
      <c r="TQS34" s="17"/>
      <c r="TQT34" s="17"/>
      <c r="TQU34" s="17"/>
      <c r="TQV34" s="17"/>
      <c r="TQW34" s="17"/>
      <c r="TQX34" s="17"/>
      <c r="TQY34" s="17"/>
      <c r="TQZ34" s="17"/>
      <c r="TRA34" s="17"/>
      <c r="TRB34" s="17"/>
      <c r="TRC34" s="17"/>
      <c r="TRD34" s="17"/>
      <c r="TRE34" s="17"/>
      <c r="TRF34" s="17"/>
      <c r="TRG34" s="17"/>
      <c r="TRH34" s="17"/>
      <c r="TRI34" s="17"/>
      <c r="TRJ34" s="17"/>
      <c r="TRK34" s="17"/>
      <c r="TRL34" s="17"/>
      <c r="TRM34" s="17"/>
      <c r="TRN34" s="17"/>
      <c r="TRO34" s="17"/>
      <c r="TRP34" s="17"/>
      <c r="TRQ34" s="17"/>
      <c r="TRR34" s="17"/>
      <c r="TRS34" s="17"/>
      <c r="TRT34" s="17"/>
      <c r="TRU34" s="17"/>
      <c r="TRV34" s="17"/>
      <c r="TRW34" s="17"/>
      <c r="TRX34" s="17"/>
      <c r="TRY34" s="17"/>
      <c r="TRZ34" s="17"/>
      <c r="TSA34" s="17"/>
      <c r="TSB34" s="17"/>
      <c r="TSC34" s="17"/>
      <c r="TSD34" s="17"/>
      <c r="TSE34" s="17"/>
      <c r="TSF34" s="17"/>
      <c r="TSG34" s="17"/>
      <c r="TSH34" s="17"/>
      <c r="TSI34" s="17"/>
      <c r="TSJ34" s="17"/>
      <c r="TSK34" s="17"/>
      <c r="TSL34" s="17"/>
      <c r="TSM34" s="17"/>
      <c r="TSN34" s="17"/>
      <c r="TSO34" s="17"/>
      <c r="TSP34" s="17"/>
      <c r="TSQ34" s="17"/>
      <c r="TSR34" s="17"/>
      <c r="TSS34" s="17"/>
      <c r="TST34" s="17"/>
      <c r="TSU34" s="17"/>
      <c r="TSV34" s="17"/>
      <c r="TSW34" s="17"/>
      <c r="TSX34" s="17"/>
      <c r="TSY34" s="17"/>
      <c r="TSZ34" s="17"/>
      <c r="TTA34" s="17"/>
      <c r="TTB34" s="17"/>
      <c r="TTC34" s="17"/>
      <c r="TTD34" s="17"/>
      <c r="TTE34" s="17"/>
      <c r="TTF34" s="17"/>
      <c r="TTG34" s="17"/>
      <c r="TTH34" s="17"/>
      <c r="TTI34" s="17"/>
      <c r="TTJ34" s="17"/>
      <c r="TTK34" s="17"/>
      <c r="TTL34" s="17"/>
      <c r="TTM34" s="17"/>
      <c r="TTN34" s="17"/>
      <c r="TTO34" s="17"/>
      <c r="TTP34" s="17"/>
      <c r="TTQ34" s="17"/>
      <c r="TTR34" s="17"/>
      <c r="TTS34" s="17"/>
      <c r="TTT34" s="17"/>
      <c r="TTU34" s="17"/>
      <c r="TTV34" s="17"/>
      <c r="TTW34" s="17"/>
      <c r="TTX34" s="17"/>
      <c r="TTY34" s="17"/>
      <c r="TTZ34" s="17"/>
      <c r="TUA34" s="17"/>
      <c r="TUB34" s="17"/>
      <c r="TUC34" s="17"/>
      <c r="TUD34" s="17"/>
      <c r="TUE34" s="17"/>
      <c r="TUF34" s="17"/>
      <c r="TUG34" s="17"/>
      <c r="TUH34" s="17"/>
      <c r="TUI34" s="17"/>
      <c r="TUJ34" s="17"/>
      <c r="TUK34" s="17"/>
      <c r="TUL34" s="17"/>
      <c r="TUM34" s="17"/>
      <c r="TUN34" s="17"/>
      <c r="TUO34" s="17"/>
      <c r="TUP34" s="17"/>
      <c r="TUQ34" s="17"/>
      <c r="TUR34" s="17"/>
      <c r="TUS34" s="17"/>
      <c r="TUT34" s="17"/>
      <c r="TUU34" s="17"/>
      <c r="TUV34" s="17"/>
      <c r="TUW34" s="17"/>
      <c r="TUX34" s="17"/>
      <c r="TUY34" s="17"/>
      <c r="TUZ34" s="17"/>
      <c r="TVA34" s="17"/>
      <c r="TVB34" s="17"/>
      <c r="TVC34" s="17"/>
      <c r="TVD34" s="17"/>
      <c r="TVE34" s="17"/>
      <c r="TVF34" s="17"/>
      <c r="TVG34" s="17"/>
      <c r="TVH34" s="17"/>
      <c r="TVI34" s="17"/>
      <c r="TVJ34" s="17"/>
      <c r="TVK34" s="17"/>
      <c r="TVL34" s="17"/>
      <c r="TVM34" s="17"/>
      <c r="TVN34" s="17"/>
      <c r="TVO34" s="17"/>
      <c r="TVP34" s="17"/>
      <c r="TVQ34" s="17"/>
      <c r="TVR34" s="17"/>
      <c r="TVS34" s="17"/>
      <c r="TVT34" s="17"/>
      <c r="TVU34" s="17"/>
      <c r="TVV34" s="17"/>
      <c r="TVW34" s="17"/>
      <c r="TVX34" s="17"/>
      <c r="TVY34" s="17"/>
      <c r="TVZ34" s="17"/>
      <c r="TWA34" s="17"/>
      <c r="TWB34" s="17"/>
      <c r="TWC34" s="17"/>
      <c r="TWD34" s="17"/>
      <c r="TWE34" s="17"/>
      <c r="TWF34" s="17"/>
      <c r="TWG34" s="17"/>
      <c r="TWH34" s="17"/>
      <c r="TWI34" s="17"/>
      <c r="TWJ34" s="17"/>
      <c r="TWK34" s="17"/>
      <c r="TWL34" s="17"/>
      <c r="TWM34" s="17"/>
      <c r="TWN34" s="17"/>
      <c r="TWO34" s="17"/>
      <c r="TWP34" s="17"/>
      <c r="TWQ34" s="17"/>
      <c r="TWR34" s="17"/>
      <c r="TWS34" s="17"/>
      <c r="TWT34" s="17"/>
      <c r="TWU34" s="17"/>
      <c r="TWV34" s="17"/>
      <c r="TWW34" s="17"/>
      <c r="TWX34" s="17"/>
      <c r="TWY34" s="17"/>
      <c r="TWZ34" s="17"/>
      <c r="TXA34" s="17"/>
      <c r="TXB34" s="17"/>
      <c r="TXC34" s="17"/>
      <c r="TXD34" s="17"/>
      <c r="TXE34" s="17"/>
      <c r="TXF34" s="17"/>
      <c r="TXG34" s="17"/>
      <c r="TXH34" s="17"/>
      <c r="TXI34" s="17"/>
      <c r="TXJ34" s="17"/>
      <c r="TXK34" s="17"/>
      <c r="TXL34" s="17"/>
      <c r="TXM34" s="17"/>
      <c r="TXN34" s="17"/>
      <c r="TXO34" s="17"/>
      <c r="TXP34" s="17"/>
      <c r="TXQ34" s="17"/>
      <c r="TXR34" s="17"/>
      <c r="TXS34" s="17"/>
      <c r="TXT34" s="17"/>
      <c r="TXU34" s="17"/>
      <c r="TXV34" s="17"/>
      <c r="TXW34" s="17"/>
      <c r="TXX34" s="17"/>
      <c r="TXY34" s="17"/>
      <c r="TXZ34" s="17"/>
      <c r="TYA34" s="17"/>
      <c r="TYB34" s="17"/>
      <c r="TYC34" s="17"/>
      <c r="TYD34" s="17"/>
      <c r="TYE34" s="17"/>
      <c r="TYF34" s="17"/>
      <c r="TYG34" s="17"/>
      <c r="TYH34" s="17"/>
      <c r="TYI34" s="17"/>
      <c r="TYJ34" s="17"/>
      <c r="TYK34" s="17"/>
      <c r="TYL34" s="17"/>
      <c r="TYM34" s="17"/>
      <c r="TYN34" s="17"/>
      <c r="TYO34" s="17"/>
      <c r="TYP34" s="17"/>
      <c r="TYQ34" s="17"/>
      <c r="TYR34" s="17"/>
      <c r="TYS34" s="17"/>
      <c r="TYT34" s="17"/>
      <c r="TYU34" s="17"/>
      <c r="TYV34" s="17"/>
      <c r="TYW34" s="17"/>
      <c r="TYX34" s="17"/>
      <c r="TYY34" s="17"/>
      <c r="TYZ34" s="17"/>
      <c r="TZA34" s="17"/>
      <c r="TZB34" s="17"/>
      <c r="TZC34" s="17"/>
      <c r="TZD34" s="17"/>
      <c r="TZE34" s="17"/>
      <c r="TZF34" s="17"/>
      <c r="TZG34" s="17"/>
      <c r="TZH34" s="17"/>
      <c r="TZI34" s="17"/>
      <c r="TZJ34" s="17"/>
      <c r="TZK34" s="17"/>
      <c r="TZL34" s="17"/>
      <c r="TZM34" s="17"/>
      <c r="TZN34" s="17"/>
      <c r="TZO34" s="17"/>
      <c r="TZP34" s="17"/>
      <c r="TZQ34" s="17"/>
      <c r="TZR34" s="17"/>
      <c r="TZS34" s="17"/>
      <c r="TZT34" s="17"/>
      <c r="TZU34" s="17"/>
      <c r="TZV34" s="17"/>
      <c r="TZW34" s="17"/>
      <c r="TZX34" s="17"/>
      <c r="TZY34" s="17"/>
      <c r="TZZ34" s="17"/>
      <c r="UAA34" s="17"/>
      <c r="UAB34" s="17"/>
      <c r="UAC34" s="17"/>
      <c r="UAD34" s="17"/>
      <c r="UAE34" s="17"/>
      <c r="UAF34" s="17"/>
      <c r="UAG34" s="17"/>
      <c r="UAH34" s="17"/>
      <c r="UAI34" s="17"/>
      <c r="UAJ34" s="17"/>
      <c r="UAK34" s="17"/>
      <c r="UAL34" s="17"/>
      <c r="UAM34" s="17"/>
      <c r="UAN34" s="17"/>
      <c r="UAO34" s="17"/>
      <c r="UAP34" s="17"/>
      <c r="UAQ34" s="17"/>
      <c r="UAR34" s="17"/>
      <c r="UAS34" s="17"/>
      <c r="UAT34" s="17"/>
      <c r="UAU34" s="17"/>
      <c r="UAV34" s="17"/>
      <c r="UAW34" s="17"/>
      <c r="UAX34" s="17"/>
      <c r="UAY34" s="17"/>
      <c r="UAZ34" s="17"/>
      <c r="UBA34" s="17"/>
      <c r="UBB34" s="17"/>
      <c r="UBC34" s="17"/>
      <c r="UBD34" s="17"/>
      <c r="UBE34" s="17"/>
      <c r="UBF34" s="17"/>
      <c r="UBG34" s="17"/>
      <c r="UBH34" s="17"/>
      <c r="UBI34" s="17"/>
      <c r="UBJ34" s="17"/>
      <c r="UBK34" s="17"/>
      <c r="UBL34" s="17"/>
      <c r="UBM34" s="17"/>
      <c r="UBN34" s="17"/>
      <c r="UBO34" s="17"/>
      <c r="UBP34" s="17"/>
      <c r="UBQ34" s="17"/>
      <c r="UBR34" s="17"/>
      <c r="UBS34" s="17"/>
      <c r="UBT34" s="17"/>
      <c r="UBU34" s="17"/>
      <c r="UBV34" s="17"/>
      <c r="UBW34" s="17"/>
      <c r="UBX34" s="17"/>
      <c r="UBY34" s="17"/>
      <c r="UBZ34" s="17"/>
      <c r="UCA34" s="17"/>
      <c r="UCB34" s="17"/>
      <c r="UCC34" s="17"/>
      <c r="UCD34" s="17"/>
      <c r="UCE34" s="17"/>
      <c r="UCF34" s="17"/>
      <c r="UCG34" s="17"/>
      <c r="UCH34" s="17"/>
      <c r="UCI34" s="17"/>
      <c r="UCJ34" s="17"/>
      <c r="UCK34" s="17"/>
      <c r="UCL34" s="17"/>
      <c r="UCM34" s="17"/>
      <c r="UCN34" s="17"/>
      <c r="UCO34" s="17"/>
      <c r="UCP34" s="17"/>
      <c r="UCQ34" s="17"/>
      <c r="UCR34" s="17"/>
      <c r="UCS34" s="17"/>
      <c r="UCT34" s="17"/>
      <c r="UCU34" s="17"/>
      <c r="UCV34" s="17"/>
      <c r="UCW34" s="17"/>
      <c r="UCX34" s="17"/>
      <c r="UCY34" s="17"/>
      <c r="UCZ34" s="17"/>
      <c r="UDA34" s="17"/>
      <c r="UDB34" s="17"/>
      <c r="UDC34" s="17"/>
      <c r="UDD34" s="17"/>
      <c r="UDE34" s="17"/>
      <c r="UDF34" s="17"/>
      <c r="UDG34" s="17"/>
      <c r="UDH34" s="17"/>
      <c r="UDI34" s="17"/>
      <c r="UDJ34" s="17"/>
      <c r="UDK34" s="17"/>
      <c r="UDL34" s="17"/>
      <c r="UDM34" s="17"/>
      <c r="UDN34" s="17"/>
      <c r="UDO34" s="17"/>
      <c r="UDP34" s="17"/>
      <c r="UDQ34" s="17"/>
      <c r="UDR34" s="17"/>
      <c r="UDS34" s="17"/>
      <c r="UDT34" s="17"/>
      <c r="UDU34" s="17"/>
      <c r="UDV34" s="17"/>
      <c r="UDW34" s="17"/>
      <c r="UDX34" s="17"/>
      <c r="UDY34" s="17"/>
      <c r="UDZ34" s="17"/>
      <c r="UEA34" s="17"/>
      <c r="UEB34" s="17"/>
      <c r="UEC34" s="17"/>
      <c r="UED34" s="17"/>
      <c r="UEE34" s="17"/>
      <c r="UEF34" s="17"/>
      <c r="UEG34" s="17"/>
      <c r="UEH34" s="17"/>
      <c r="UEI34" s="17"/>
      <c r="UEJ34" s="17"/>
      <c r="UEK34" s="17"/>
      <c r="UEL34" s="17"/>
      <c r="UEM34" s="17"/>
      <c r="UEN34" s="17"/>
      <c r="UEO34" s="17"/>
      <c r="UEP34" s="17"/>
      <c r="UEQ34" s="17"/>
      <c r="UER34" s="17"/>
      <c r="UES34" s="17"/>
      <c r="UET34" s="17"/>
      <c r="UEU34" s="17"/>
      <c r="UEV34" s="17"/>
      <c r="UEW34" s="17"/>
      <c r="UEX34" s="17"/>
      <c r="UEY34" s="17"/>
      <c r="UEZ34" s="17"/>
      <c r="UFA34" s="17"/>
      <c r="UFB34" s="17"/>
      <c r="UFC34" s="17"/>
      <c r="UFD34" s="17"/>
      <c r="UFE34" s="17"/>
      <c r="UFF34" s="17"/>
      <c r="UFG34" s="17"/>
      <c r="UFH34" s="17"/>
      <c r="UFI34" s="17"/>
      <c r="UFJ34" s="17"/>
      <c r="UFK34" s="17"/>
      <c r="UFL34" s="17"/>
      <c r="UFM34" s="17"/>
      <c r="UFN34" s="17"/>
      <c r="UFO34" s="17"/>
      <c r="UFP34" s="17"/>
      <c r="UFQ34" s="17"/>
      <c r="UFR34" s="17"/>
      <c r="UFS34" s="17"/>
      <c r="UFT34" s="17"/>
      <c r="UFU34" s="17"/>
      <c r="UFV34" s="17"/>
      <c r="UFW34" s="17"/>
      <c r="UFX34" s="17"/>
      <c r="UFY34" s="17"/>
      <c r="UFZ34" s="17"/>
      <c r="UGA34" s="17"/>
      <c r="UGB34" s="17"/>
      <c r="UGC34" s="17"/>
      <c r="UGD34" s="17"/>
      <c r="UGE34" s="17"/>
      <c r="UGF34" s="17"/>
      <c r="UGG34" s="17"/>
      <c r="UGH34" s="17"/>
      <c r="UGI34" s="17"/>
      <c r="UGJ34" s="17"/>
      <c r="UGK34" s="17"/>
      <c r="UGL34" s="17"/>
      <c r="UGM34" s="17"/>
      <c r="UGN34" s="17"/>
      <c r="UGO34" s="17"/>
      <c r="UGP34" s="17"/>
      <c r="UGQ34" s="17"/>
      <c r="UGR34" s="17"/>
      <c r="UGS34" s="17"/>
      <c r="UGT34" s="17"/>
      <c r="UGU34" s="17"/>
      <c r="UGV34" s="17"/>
      <c r="UGW34" s="17"/>
      <c r="UGX34" s="17"/>
      <c r="UGY34" s="17"/>
      <c r="UGZ34" s="17"/>
      <c r="UHA34" s="17"/>
      <c r="UHB34" s="17"/>
      <c r="UHC34" s="17"/>
      <c r="UHD34" s="17"/>
      <c r="UHE34" s="17"/>
      <c r="UHF34" s="17"/>
      <c r="UHG34" s="17"/>
      <c r="UHH34" s="17"/>
      <c r="UHI34" s="17"/>
      <c r="UHJ34" s="17"/>
      <c r="UHK34" s="17"/>
      <c r="UHL34" s="17"/>
      <c r="UHM34" s="17"/>
      <c r="UHN34" s="17"/>
      <c r="UHO34" s="17"/>
      <c r="UHP34" s="17"/>
      <c r="UHQ34" s="17"/>
      <c r="UHR34" s="17"/>
      <c r="UHS34" s="17"/>
      <c r="UHT34" s="17"/>
      <c r="UHU34" s="17"/>
      <c r="UHV34" s="17"/>
      <c r="UHW34" s="17"/>
      <c r="UHX34" s="17"/>
      <c r="UHY34" s="17"/>
      <c r="UHZ34" s="17"/>
      <c r="UIA34" s="17"/>
      <c r="UIB34" s="17"/>
      <c r="UIC34" s="17"/>
      <c r="UID34" s="17"/>
      <c r="UIE34" s="17"/>
      <c r="UIF34" s="17"/>
      <c r="UIG34" s="17"/>
      <c r="UIH34" s="17"/>
      <c r="UII34" s="17"/>
      <c r="UIJ34" s="17"/>
      <c r="UIK34" s="17"/>
      <c r="UIL34" s="17"/>
      <c r="UIM34" s="17"/>
      <c r="UIN34" s="17"/>
      <c r="UIO34" s="17"/>
      <c r="UIP34" s="17"/>
      <c r="UIQ34" s="17"/>
      <c r="UIR34" s="17"/>
      <c r="UIS34" s="17"/>
      <c r="UIT34" s="17"/>
      <c r="UIU34" s="17"/>
      <c r="UIV34" s="17"/>
      <c r="UIW34" s="17"/>
      <c r="UIX34" s="17"/>
      <c r="UIY34" s="17"/>
      <c r="UIZ34" s="17"/>
      <c r="UJA34" s="17"/>
      <c r="UJB34" s="17"/>
      <c r="UJC34" s="17"/>
      <c r="UJD34" s="17"/>
      <c r="UJE34" s="17"/>
      <c r="UJF34" s="17"/>
      <c r="UJG34" s="17"/>
      <c r="UJH34" s="17"/>
      <c r="UJI34" s="17"/>
      <c r="UJJ34" s="17"/>
      <c r="UJK34" s="17"/>
      <c r="UJL34" s="17"/>
      <c r="UJM34" s="17"/>
      <c r="UJN34" s="17"/>
      <c r="UJO34" s="17"/>
      <c r="UJP34" s="17"/>
      <c r="UJQ34" s="17"/>
      <c r="UJR34" s="17"/>
      <c r="UJS34" s="17"/>
      <c r="UJT34" s="17"/>
      <c r="UJU34" s="17"/>
      <c r="UJV34" s="17"/>
      <c r="UJW34" s="17"/>
      <c r="UJX34" s="17"/>
      <c r="UJY34" s="17"/>
      <c r="UJZ34" s="17"/>
      <c r="UKA34" s="17"/>
      <c r="UKB34" s="17"/>
      <c r="UKC34" s="17"/>
      <c r="UKD34" s="17"/>
      <c r="UKE34" s="17"/>
      <c r="UKF34" s="17"/>
      <c r="UKG34" s="17"/>
      <c r="UKH34" s="17"/>
      <c r="UKI34" s="17"/>
      <c r="UKJ34" s="17"/>
      <c r="UKK34" s="17"/>
      <c r="UKL34" s="17"/>
      <c r="UKM34" s="17"/>
      <c r="UKN34" s="17"/>
      <c r="UKO34" s="17"/>
      <c r="UKP34" s="17"/>
      <c r="UKQ34" s="17"/>
      <c r="UKR34" s="17"/>
      <c r="UKS34" s="17"/>
      <c r="UKT34" s="17"/>
      <c r="UKU34" s="17"/>
      <c r="UKV34" s="17"/>
      <c r="UKW34" s="17"/>
      <c r="UKX34" s="17"/>
      <c r="UKY34" s="17"/>
      <c r="UKZ34" s="17"/>
      <c r="ULA34" s="17"/>
      <c r="ULB34" s="17"/>
      <c r="ULC34" s="17"/>
      <c r="ULD34" s="17"/>
      <c r="ULE34" s="17"/>
      <c r="ULF34" s="17"/>
      <c r="ULG34" s="17"/>
      <c r="ULH34" s="17"/>
      <c r="ULI34" s="17"/>
      <c r="ULJ34" s="17"/>
      <c r="ULK34" s="17"/>
      <c r="ULL34" s="17"/>
      <c r="ULM34" s="17"/>
      <c r="ULN34" s="17"/>
      <c r="ULO34" s="17"/>
      <c r="ULP34" s="17"/>
      <c r="ULQ34" s="17"/>
      <c r="ULR34" s="17"/>
      <c r="ULS34" s="17"/>
      <c r="ULT34" s="17"/>
      <c r="ULU34" s="17"/>
      <c r="ULV34" s="17"/>
      <c r="ULW34" s="17"/>
      <c r="ULX34" s="17"/>
      <c r="ULY34" s="17"/>
      <c r="ULZ34" s="17"/>
      <c r="UMA34" s="17"/>
      <c r="UMB34" s="17"/>
      <c r="UMC34" s="17"/>
      <c r="UMD34" s="17"/>
      <c r="UME34" s="17"/>
      <c r="UMF34" s="17"/>
      <c r="UMG34" s="17"/>
      <c r="UMH34" s="17"/>
      <c r="UMI34" s="17"/>
      <c r="UMJ34" s="17"/>
      <c r="UMK34" s="17"/>
      <c r="UML34" s="17"/>
      <c r="UMM34" s="17"/>
      <c r="UMN34" s="17"/>
      <c r="UMO34" s="17"/>
      <c r="UMP34" s="17"/>
      <c r="UMQ34" s="17"/>
      <c r="UMR34" s="17"/>
      <c r="UMS34" s="17"/>
      <c r="UMT34" s="17"/>
      <c r="UMU34" s="17"/>
      <c r="UMV34" s="17"/>
      <c r="UMW34" s="17"/>
      <c r="UMX34" s="17"/>
      <c r="UMY34" s="17"/>
      <c r="UMZ34" s="17"/>
      <c r="UNA34" s="17"/>
      <c r="UNB34" s="17"/>
      <c r="UNC34" s="17"/>
      <c r="UND34" s="17"/>
      <c r="UNE34" s="17"/>
      <c r="UNF34" s="17"/>
      <c r="UNG34" s="17"/>
      <c r="UNH34" s="17"/>
      <c r="UNI34" s="17"/>
      <c r="UNJ34" s="17"/>
      <c r="UNK34" s="17"/>
      <c r="UNL34" s="17"/>
      <c r="UNM34" s="17"/>
      <c r="UNN34" s="17"/>
      <c r="UNO34" s="17"/>
      <c r="UNP34" s="17"/>
      <c r="UNQ34" s="17"/>
      <c r="UNR34" s="17"/>
      <c r="UNS34" s="17"/>
      <c r="UNT34" s="17"/>
      <c r="UNU34" s="17"/>
      <c r="UNV34" s="17"/>
      <c r="UNW34" s="17"/>
      <c r="UNX34" s="17"/>
      <c r="UNY34" s="17"/>
      <c r="UNZ34" s="17"/>
      <c r="UOA34" s="17"/>
      <c r="UOB34" s="17"/>
      <c r="UOC34" s="17"/>
      <c r="UOD34" s="17"/>
      <c r="UOE34" s="17"/>
      <c r="UOF34" s="17"/>
      <c r="UOG34" s="17"/>
      <c r="UOH34" s="17"/>
      <c r="UOI34" s="17"/>
      <c r="UOJ34" s="17"/>
      <c r="UOK34" s="17"/>
      <c r="UOL34" s="17"/>
      <c r="UOM34" s="17"/>
      <c r="UON34" s="17"/>
      <c r="UOO34" s="17"/>
      <c r="UOP34" s="17"/>
      <c r="UOQ34" s="17"/>
      <c r="UOR34" s="17"/>
      <c r="UOS34" s="17"/>
      <c r="UOT34" s="17"/>
      <c r="UOU34" s="17"/>
      <c r="UOV34" s="17"/>
      <c r="UOW34" s="17"/>
      <c r="UOX34" s="17"/>
      <c r="UOY34" s="17"/>
      <c r="UOZ34" s="17"/>
      <c r="UPA34" s="17"/>
      <c r="UPB34" s="17"/>
      <c r="UPC34" s="17"/>
      <c r="UPD34" s="17"/>
      <c r="UPE34" s="17"/>
      <c r="UPF34" s="17"/>
      <c r="UPG34" s="17"/>
      <c r="UPH34" s="17"/>
      <c r="UPI34" s="17"/>
      <c r="UPJ34" s="17"/>
      <c r="UPK34" s="17"/>
      <c r="UPL34" s="17"/>
      <c r="UPM34" s="17"/>
      <c r="UPN34" s="17"/>
      <c r="UPO34" s="17"/>
      <c r="UPP34" s="17"/>
      <c r="UPQ34" s="17"/>
      <c r="UPR34" s="17"/>
      <c r="UPS34" s="17"/>
      <c r="UPT34" s="17"/>
      <c r="UPU34" s="17"/>
      <c r="UPV34" s="17"/>
      <c r="UPW34" s="17"/>
      <c r="UPX34" s="17"/>
      <c r="UPY34" s="17"/>
      <c r="UPZ34" s="17"/>
      <c r="UQA34" s="17"/>
      <c r="UQB34" s="17"/>
      <c r="UQC34" s="17"/>
      <c r="UQD34" s="17"/>
      <c r="UQE34" s="17"/>
      <c r="UQF34" s="17"/>
      <c r="UQG34" s="17"/>
      <c r="UQH34" s="17"/>
      <c r="UQI34" s="17"/>
      <c r="UQJ34" s="17"/>
      <c r="UQK34" s="17"/>
      <c r="UQL34" s="17"/>
      <c r="UQM34" s="17"/>
      <c r="UQN34" s="17"/>
      <c r="UQO34" s="17"/>
      <c r="UQP34" s="17"/>
      <c r="UQQ34" s="17"/>
      <c r="UQR34" s="17"/>
      <c r="UQS34" s="17"/>
      <c r="UQT34" s="17"/>
      <c r="UQU34" s="17"/>
      <c r="UQV34" s="17"/>
      <c r="UQW34" s="17"/>
      <c r="UQX34" s="17"/>
      <c r="UQY34" s="17"/>
      <c r="UQZ34" s="17"/>
      <c r="URA34" s="17"/>
      <c r="URB34" s="17"/>
      <c r="URC34" s="17"/>
      <c r="URD34" s="17"/>
      <c r="URE34" s="17"/>
      <c r="URF34" s="17"/>
      <c r="URG34" s="17"/>
      <c r="URH34" s="17"/>
      <c r="URI34" s="17"/>
      <c r="URJ34" s="17"/>
      <c r="URK34" s="17"/>
      <c r="URL34" s="17"/>
      <c r="URM34" s="17"/>
      <c r="URN34" s="17"/>
      <c r="URO34" s="17"/>
      <c r="URP34" s="17"/>
      <c r="URQ34" s="17"/>
      <c r="URR34" s="17"/>
      <c r="URS34" s="17"/>
      <c r="URT34" s="17"/>
      <c r="URU34" s="17"/>
      <c r="URV34" s="17"/>
      <c r="URW34" s="17"/>
      <c r="URX34" s="17"/>
      <c r="URY34" s="17"/>
      <c r="URZ34" s="17"/>
      <c r="USA34" s="17"/>
      <c r="USB34" s="17"/>
      <c r="USC34" s="17"/>
      <c r="USD34" s="17"/>
      <c r="USE34" s="17"/>
      <c r="USF34" s="17"/>
      <c r="USG34" s="17"/>
      <c r="USH34" s="17"/>
      <c r="USI34" s="17"/>
      <c r="USJ34" s="17"/>
      <c r="USK34" s="17"/>
      <c r="USL34" s="17"/>
      <c r="USM34" s="17"/>
      <c r="USN34" s="17"/>
      <c r="USO34" s="17"/>
      <c r="USP34" s="17"/>
      <c r="USQ34" s="17"/>
      <c r="USR34" s="17"/>
      <c r="USS34" s="17"/>
      <c r="UST34" s="17"/>
      <c r="USU34" s="17"/>
      <c r="USV34" s="17"/>
      <c r="USW34" s="17"/>
      <c r="USX34" s="17"/>
      <c r="USY34" s="17"/>
      <c r="USZ34" s="17"/>
      <c r="UTA34" s="17"/>
      <c r="UTB34" s="17"/>
      <c r="UTC34" s="17"/>
      <c r="UTD34" s="17"/>
      <c r="UTE34" s="17"/>
      <c r="UTF34" s="17"/>
      <c r="UTG34" s="17"/>
      <c r="UTH34" s="17"/>
      <c r="UTI34" s="17"/>
      <c r="UTJ34" s="17"/>
      <c r="UTK34" s="17"/>
      <c r="UTL34" s="17"/>
      <c r="UTM34" s="17"/>
      <c r="UTN34" s="17"/>
      <c r="UTO34" s="17"/>
      <c r="UTP34" s="17"/>
      <c r="UTQ34" s="17"/>
      <c r="UTR34" s="17"/>
      <c r="UTS34" s="17"/>
      <c r="UTT34" s="17"/>
      <c r="UTU34" s="17"/>
      <c r="UTV34" s="17"/>
      <c r="UTW34" s="17"/>
      <c r="UTX34" s="17"/>
      <c r="UTY34" s="17"/>
      <c r="UTZ34" s="17"/>
      <c r="UUA34" s="17"/>
      <c r="UUB34" s="17"/>
      <c r="UUC34" s="17"/>
      <c r="UUD34" s="17"/>
      <c r="UUE34" s="17"/>
      <c r="UUF34" s="17"/>
      <c r="UUG34" s="17"/>
      <c r="UUH34" s="17"/>
      <c r="UUI34" s="17"/>
      <c r="UUJ34" s="17"/>
      <c r="UUK34" s="17"/>
      <c r="UUL34" s="17"/>
      <c r="UUM34" s="17"/>
      <c r="UUN34" s="17"/>
      <c r="UUO34" s="17"/>
      <c r="UUP34" s="17"/>
      <c r="UUQ34" s="17"/>
      <c r="UUR34" s="17"/>
      <c r="UUS34" s="17"/>
      <c r="UUT34" s="17"/>
      <c r="UUU34" s="17"/>
      <c r="UUV34" s="17"/>
      <c r="UUW34" s="17"/>
      <c r="UUX34" s="17"/>
      <c r="UUY34" s="17"/>
      <c r="UUZ34" s="17"/>
      <c r="UVA34" s="17"/>
      <c r="UVB34" s="17"/>
      <c r="UVC34" s="17"/>
      <c r="UVD34" s="17"/>
      <c r="UVE34" s="17"/>
      <c r="UVF34" s="17"/>
      <c r="UVG34" s="17"/>
      <c r="UVH34" s="17"/>
      <c r="UVI34" s="17"/>
      <c r="UVJ34" s="17"/>
      <c r="UVK34" s="17"/>
      <c r="UVL34" s="17"/>
      <c r="UVM34" s="17"/>
      <c r="UVN34" s="17"/>
      <c r="UVO34" s="17"/>
      <c r="UVP34" s="17"/>
      <c r="UVQ34" s="17"/>
      <c r="UVR34" s="17"/>
      <c r="UVS34" s="17"/>
      <c r="UVT34" s="17"/>
      <c r="UVU34" s="17"/>
      <c r="UVV34" s="17"/>
      <c r="UVW34" s="17"/>
      <c r="UVX34" s="17"/>
      <c r="UVY34" s="17"/>
      <c r="UVZ34" s="17"/>
      <c r="UWA34" s="17"/>
      <c r="UWB34" s="17"/>
      <c r="UWC34" s="17"/>
      <c r="UWD34" s="17"/>
      <c r="UWE34" s="17"/>
      <c r="UWF34" s="17"/>
      <c r="UWG34" s="17"/>
      <c r="UWH34" s="17"/>
      <c r="UWI34" s="17"/>
      <c r="UWJ34" s="17"/>
      <c r="UWK34" s="17"/>
      <c r="UWL34" s="17"/>
      <c r="UWM34" s="17"/>
      <c r="UWN34" s="17"/>
      <c r="UWO34" s="17"/>
      <c r="UWP34" s="17"/>
      <c r="UWQ34" s="17"/>
      <c r="UWR34" s="17"/>
      <c r="UWS34" s="17"/>
      <c r="UWT34" s="17"/>
      <c r="UWU34" s="17"/>
      <c r="UWV34" s="17"/>
      <c r="UWW34" s="17"/>
      <c r="UWX34" s="17"/>
      <c r="UWY34" s="17"/>
      <c r="UWZ34" s="17"/>
      <c r="UXA34" s="17"/>
      <c r="UXB34" s="17"/>
      <c r="UXC34" s="17"/>
      <c r="UXD34" s="17"/>
      <c r="UXE34" s="17"/>
      <c r="UXF34" s="17"/>
      <c r="UXG34" s="17"/>
      <c r="UXH34" s="17"/>
      <c r="UXI34" s="17"/>
      <c r="UXJ34" s="17"/>
      <c r="UXK34" s="17"/>
      <c r="UXL34" s="17"/>
      <c r="UXM34" s="17"/>
      <c r="UXN34" s="17"/>
      <c r="UXO34" s="17"/>
      <c r="UXP34" s="17"/>
      <c r="UXQ34" s="17"/>
      <c r="UXR34" s="17"/>
      <c r="UXS34" s="17"/>
      <c r="UXT34" s="17"/>
      <c r="UXU34" s="17"/>
      <c r="UXV34" s="17"/>
      <c r="UXW34" s="17"/>
      <c r="UXX34" s="17"/>
      <c r="UXY34" s="17"/>
      <c r="UXZ34" s="17"/>
      <c r="UYA34" s="17"/>
      <c r="UYB34" s="17"/>
      <c r="UYC34" s="17"/>
      <c r="UYD34" s="17"/>
      <c r="UYE34" s="17"/>
      <c r="UYF34" s="17"/>
      <c r="UYG34" s="17"/>
      <c r="UYH34" s="17"/>
      <c r="UYI34" s="17"/>
      <c r="UYJ34" s="17"/>
      <c r="UYK34" s="17"/>
      <c r="UYL34" s="17"/>
      <c r="UYM34" s="17"/>
      <c r="UYN34" s="17"/>
      <c r="UYO34" s="17"/>
      <c r="UYP34" s="17"/>
      <c r="UYQ34" s="17"/>
      <c r="UYR34" s="17"/>
      <c r="UYS34" s="17"/>
      <c r="UYT34" s="17"/>
      <c r="UYU34" s="17"/>
      <c r="UYV34" s="17"/>
      <c r="UYW34" s="17"/>
      <c r="UYX34" s="17"/>
      <c r="UYY34" s="17"/>
      <c r="UYZ34" s="17"/>
      <c r="UZA34" s="17"/>
      <c r="UZB34" s="17"/>
      <c r="UZC34" s="17"/>
      <c r="UZD34" s="17"/>
      <c r="UZE34" s="17"/>
      <c r="UZF34" s="17"/>
      <c r="UZG34" s="17"/>
      <c r="UZH34" s="17"/>
      <c r="UZI34" s="17"/>
      <c r="UZJ34" s="17"/>
      <c r="UZK34" s="17"/>
      <c r="UZL34" s="17"/>
      <c r="UZM34" s="17"/>
      <c r="UZN34" s="17"/>
      <c r="UZO34" s="17"/>
      <c r="UZP34" s="17"/>
      <c r="UZQ34" s="17"/>
      <c r="UZR34" s="17"/>
      <c r="UZS34" s="17"/>
      <c r="UZT34" s="17"/>
      <c r="UZU34" s="17"/>
      <c r="UZV34" s="17"/>
      <c r="UZW34" s="17"/>
      <c r="UZX34" s="17"/>
      <c r="UZY34" s="17"/>
      <c r="UZZ34" s="17"/>
      <c r="VAA34" s="17"/>
      <c r="VAB34" s="17"/>
      <c r="VAC34" s="17"/>
      <c r="VAD34" s="17"/>
      <c r="VAE34" s="17"/>
      <c r="VAF34" s="17"/>
      <c r="VAG34" s="17"/>
      <c r="VAH34" s="17"/>
      <c r="VAI34" s="17"/>
      <c r="VAJ34" s="17"/>
      <c r="VAK34" s="17"/>
      <c r="VAL34" s="17"/>
      <c r="VAM34" s="17"/>
      <c r="VAN34" s="17"/>
      <c r="VAO34" s="17"/>
      <c r="VAP34" s="17"/>
      <c r="VAQ34" s="17"/>
      <c r="VAR34" s="17"/>
      <c r="VAS34" s="17"/>
      <c r="VAT34" s="17"/>
      <c r="VAU34" s="17"/>
      <c r="VAV34" s="17"/>
      <c r="VAW34" s="17"/>
      <c r="VAX34" s="17"/>
      <c r="VAY34" s="17"/>
      <c r="VAZ34" s="17"/>
      <c r="VBA34" s="17"/>
      <c r="VBB34" s="17"/>
      <c r="VBC34" s="17"/>
      <c r="VBD34" s="17"/>
      <c r="VBE34" s="17"/>
      <c r="VBF34" s="17"/>
      <c r="VBG34" s="17"/>
      <c r="VBH34" s="17"/>
      <c r="VBI34" s="17"/>
      <c r="VBJ34" s="17"/>
      <c r="VBK34" s="17"/>
      <c r="VBL34" s="17"/>
      <c r="VBM34" s="17"/>
      <c r="VBN34" s="17"/>
      <c r="VBO34" s="17"/>
      <c r="VBP34" s="17"/>
      <c r="VBQ34" s="17"/>
      <c r="VBR34" s="17"/>
      <c r="VBS34" s="17"/>
      <c r="VBT34" s="17"/>
      <c r="VBU34" s="17"/>
      <c r="VBV34" s="17"/>
      <c r="VBW34" s="17"/>
      <c r="VBX34" s="17"/>
      <c r="VBY34" s="17"/>
      <c r="VBZ34" s="17"/>
      <c r="VCA34" s="17"/>
      <c r="VCB34" s="17"/>
      <c r="VCC34" s="17"/>
      <c r="VCD34" s="17"/>
      <c r="VCE34" s="17"/>
      <c r="VCF34" s="17"/>
      <c r="VCG34" s="17"/>
      <c r="VCH34" s="17"/>
      <c r="VCI34" s="17"/>
      <c r="VCJ34" s="17"/>
      <c r="VCK34" s="17"/>
      <c r="VCL34" s="17"/>
      <c r="VCM34" s="17"/>
      <c r="VCN34" s="17"/>
      <c r="VCO34" s="17"/>
      <c r="VCP34" s="17"/>
      <c r="VCQ34" s="17"/>
      <c r="VCR34" s="17"/>
      <c r="VCS34" s="17"/>
      <c r="VCT34" s="17"/>
      <c r="VCU34" s="17"/>
      <c r="VCV34" s="17"/>
      <c r="VCW34" s="17"/>
      <c r="VCX34" s="17"/>
      <c r="VCY34" s="17"/>
      <c r="VCZ34" s="17"/>
      <c r="VDA34" s="17"/>
      <c r="VDB34" s="17"/>
      <c r="VDC34" s="17"/>
      <c r="VDD34" s="17"/>
      <c r="VDE34" s="17"/>
      <c r="VDF34" s="17"/>
      <c r="VDG34" s="17"/>
      <c r="VDH34" s="17"/>
      <c r="VDI34" s="17"/>
      <c r="VDJ34" s="17"/>
      <c r="VDK34" s="17"/>
      <c r="VDL34" s="17"/>
      <c r="VDM34" s="17"/>
      <c r="VDN34" s="17"/>
      <c r="VDO34" s="17"/>
      <c r="VDP34" s="17"/>
      <c r="VDQ34" s="17"/>
      <c r="VDR34" s="17"/>
      <c r="VDS34" s="17"/>
      <c r="VDT34" s="17"/>
      <c r="VDU34" s="17"/>
      <c r="VDV34" s="17"/>
      <c r="VDW34" s="17"/>
      <c r="VDX34" s="17"/>
      <c r="VDY34" s="17"/>
      <c r="VDZ34" s="17"/>
      <c r="VEA34" s="17"/>
      <c r="VEB34" s="17"/>
      <c r="VEC34" s="17"/>
      <c r="VED34" s="17"/>
      <c r="VEE34" s="17"/>
      <c r="VEF34" s="17"/>
      <c r="VEG34" s="17"/>
      <c r="VEH34" s="17"/>
      <c r="VEI34" s="17"/>
      <c r="VEJ34" s="17"/>
      <c r="VEK34" s="17"/>
      <c r="VEL34" s="17"/>
      <c r="VEM34" s="17"/>
      <c r="VEN34" s="17"/>
      <c r="VEO34" s="17"/>
      <c r="VEP34" s="17"/>
      <c r="VEQ34" s="17"/>
      <c r="VER34" s="17"/>
      <c r="VES34" s="17"/>
      <c r="VET34" s="17"/>
      <c r="VEU34" s="17"/>
      <c r="VEV34" s="17"/>
      <c r="VEW34" s="17"/>
      <c r="VEX34" s="17"/>
      <c r="VEY34" s="17"/>
      <c r="VEZ34" s="17"/>
      <c r="VFA34" s="17"/>
      <c r="VFB34" s="17"/>
      <c r="VFC34" s="17"/>
      <c r="VFD34" s="17"/>
      <c r="VFE34" s="17"/>
      <c r="VFF34" s="17"/>
      <c r="VFG34" s="17"/>
      <c r="VFH34" s="17"/>
      <c r="VFI34" s="17"/>
      <c r="VFJ34" s="17"/>
      <c r="VFK34" s="17"/>
      <c r="VFL34" s="17"/>
      <c r="VFM34" s="17"/>
      <c r="VFN34" s="17"/>
      <c r="VFO34" s="17"/>
      <c r="VFP34" s="17"/>
      <c r="VFQ34" s="17"/>
      <c r="VFR34" s="17"/>
      <c r="VFS34" s="17"/>
      <c r="VFT34" s="17"/>
      <c r="VFU34" s="17"/>
      <c r="VFV34" s="17"/>
      <c r="VFW34" s="17"/>
      <c r="VFX34" s="17"/>
      <c r="VFY34" s="17"/>
      <c r="VFZ34" s="17"/>
      <c r="VGA34" s="17"/>
      <c r="VGB34" s="17"/>
      <c r="VGC34" s="17"/>
      <c r="VGD34" s="17"/>
      <c r="VGE34" s="17"/>
      <c r="VGF34" s="17"/>
      <c r="VGG34" s="17"/>
      <c r="VGH34" s="17"/>
      <c r="VGI34" s="17"/>
      <c r="VGJ34" s="17"/>
      <c r="VGK34" s="17"/>
      <c r="VGL34" s="17"/>
      <c r="VGM34" s="17"/>
      <c r="VGN34" s="17"/>
      <c r="VGO34" s="17"/>
      <c r="VGP34" s="17"/>
      <c r="VGQ34" s="17"/>
      <c r="VGR34" s="17"/>
      <c r="VGS34" s="17"/>
    </row>
    <row r="35" spans="1:15073" s="1" customFormat="1" ht="13.8" x14ac:dyDescent="0.25">
      <c r="B35" s="149"/>
      <c r="C35" s="150" t="s">
        <v>80</v>
      </c>
      <c r="D35" s="155">
        <f>SUM(D37:D38)</f>
        <v>11218000</v>
      </c>
      <c r="E35" s="48" t="s">
        <v>16</v>
      </c>
      <c r="F35" s="135">
        <f>F36+F37+F38</f>
        <v>0</v>
      </c>
      <c r="G35" s="135">
        <f>G36+G37+G38</f>
        <v>85600</v>
      </c>
      <c r="H35" s="135">
        <f t="shared" ref="H35:T35" si="9">H36+H37+H38</f>
        <v>74650</v>
      </c>
      <c r="I35" s="135">
        <f t="shared" si="9"/>
        <v>0</v>
      </c>
      <c r="J35" s="135">
        <f t="shared" si="9"/>
        <v>0</v>
      </c>
      <c r="K35" s="135">
        <f t="shared" si="9"/>
        <v>0</v>
      </c>
      <c r="L35" s="135">
        <f t="shared" si="9"/>
        <v>0</v>
      </c>
      <c r="M35" s="135">
        <f t="shared" si="9"/>
        <v>0</v>
      </c>
      <c r="N35" s="135">
        <f t="shared" si="9"/>
        <v>0</v>
      </c>
      <c r="O35" s="135">
        <f t="shared" si="9"/>
        <v>0</v>
      </c>
      <c r="P35" s="135">
        <f t="shared" si="9"/>
        <v>0</v>
      </c>
      <c r="Q35" s="135">
        <f t="shared" si="9"/>
        <v>0</v>
      </c>
      <c r="R35" s="135">
        <f t="shared" si="9"/>
        <v>0</v>
      </c>
      <c r="S35" s="135">
        <f t="shared" si="9"/>
        <v>0</v>
      </c>
      <c r="T35" s="135">
        <f t="shared" si="9"/>
        <v>0</v>
      </c>
      <c r="U35" s="135">
        <f>U37+U38</f>
        <v>0</v>
      </c>
      <c r="V35" s="135">
        <f t="shared" ref="V35:AJ35" si="10">V37+V38</f>
        <v>0</v>
      </c>
      <c r="W35" s="135">
        <f t="shared" si="10"/>
        <v>255100</v>
      </c>
      <c r="X35" s="135">
        <f t="shared" si="10"/>
        <v>0</v>
      </c>
      <c r="Y35" s="135">
        <f t="shared" si="10"/>
        <v>239450</v>
      </c>
      <c r="Z35" s="135">
        <f t="shared" si="10"/>
        <v>0</v>
      </c>
      <c r="AA35" s="135">
        <f t="shared" si="10"/>
        <v>0</v>
      </c>
      <c r="AB35" s="135">
        <f t="shared" si="10"/>
        <v>0</v>
      </c>
      <c r="AC35" s="135">
        <f t="shared" si="10"/>
        <v>0</v>
      </c>
      <c r="AD35" s="135">
        <f t="shared" si="10"/>
        <v>0</v>
      </c>
      <c r="AE35" s="135">
        <f t="shared" si="10"/>
        <v>0</v>
      </c>
      <c r="AF35" s="135">
        <f t="shared" si="10"/>
        <v>0</v>
      </c>
      <c r="AG35" s="135">
        <f t="shared" si="10"/>
        <v>0</v>
      </c>
      <c r="AH35" s="135">
        <f t="shared" si="10"/>
        <v>0</v>
      </c>
      <c r="AI35" s="135">
        <f t="shared" si="10"/>
        <v>163650</v>
      </c>
      <c r="AJ35" s="137">
        <f t="shared" si="10"/>
        <v>0</v>
      </c>
      <c r="AK35" s="16"/>
      <c r="AL35" s="138">
        <f>SUM(F35:AJ35)</f>
        <v>818450</v>
      </c>
      <c r="AR35" s="13"/>
      <c r="AS35" s="6"/>
      <c r="BW35" s="12"/>
      <c r="DD35" s="13"/>
    </row>
    <row r="36" spans="1:15073" s="1" customFormat="1" ht="13.8" x14ac:dyDescent="0.25">
      <c r="B36" s="149"/>
      <c r="C36" s="150" t="s">
        <v>79</v>
      </c>
      <c r="D36" s="155"/>
      <c r="E36" s="48" t="s">
        <v>16</v>
      </c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6"/>
      <c r="AH36" s="136"/>
      <c r="AI36" s="136"/>
      <c r="AJ36" s="137"/>
      <c r="AK36" s="16"/>
      <c r="AL36" s="138">
        <f>SUM(F36:AJ36)</f>
        <v>0</v>
      </c>
      <c r="AR36" s="13"/>
      <c r="AS36" s="13"/>
      <c r="DD36" s="13"/>
    </row>
    <row r="37" spans="1:15073" s="1" customFormat="1" ht="13.8" x14ac:dyDescent="0.25">
      <c r="B37" s="149"/>
      <c r="C37" s="150" t="s">
        <v>78</v>
      </c>
      <c r="D37" s="155">
        <v>6731000</v>
      </c>
      <c r="E37" s="48" t="s">
        <v>16</v>
      </c>
      <c r="F37" s="135"/>
      <c r="G37" s="135">
        <v>51600</v>
      </c>
      <c r="H37" s="135">
        <v>44800</v>
      </c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>
        <v>153100</v>
      </c>
      <c r="X37" s="135"/>
      <c r="Y37" s="135">
        <v>143700</v>
      </c>
      <c r="Z37" s="135"/>
      <c r="AA37" s="135"/>
      <c r="AB37" s="135"/>
      <c r="AC37" s="135"/>
      <c r="AD37" s="135"/>
      <c r="AE37" s="135"/>
      <c r="AF37" s="135"/>
      <c r="AG37" s="136"/>
      <c r="AH37" s="136"/>
      <c r="AI37" s="136">
        <v>98200</v>
      </c>
      <c r="AJ37" s="137"/>
      <c r="AK37" s="16"/>
      <c r="AL37" s="138">
        <f>SUM(F37:AJ37)</f>
        <v>491400</v>
      </c>
      <c r="AR37" s="13"/>
      <c r="AS37" s="14"/>
      <c r="BW37" s="13"/>
      <c r="DD37" s="13"/>
    </row>
    <row r="38" spans="1:15073" s="1" customFormat="1" ht="13.8" x14ac:dyDescent="0.25">
      <c r="B38" s="149"/>
      <c r="C38" s="150" t="s">
        <v>77</v>
      </c>
      <c r="D38" s="155">
        <v>4487000</v>
      </c>
      <c r="E38" s="48" t="s">
        <v>16</v>
      </c>
      <c r="F38" s="135"/>
      <c r="G38" s="135">
        <v>34000</v>
      </c>
      <c r="H38" s="135">
        <v>29850</v>
      </c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>
        <v>102000</v>
      </c>
      <c r="X38" s="135"/>
      <c r="Y38" s="135">
        <v>95750</v>
      </c>
      <c r="Z38" s="135"/>
      <c r="AA38" s="135"/>
      <c r="AB38" s="135"/>
      <c r="AC38" s="135"/>
      <c r="AD38" s="135"/>
      <c r="AE38" s="135"/>
      <c r="AF38" s="135"/>
      <c r="AG38" s="136"/>
      <c r="AH38" s="136"/>
      <c r="AI38" s="136">
        <v>65450</v>
      </c>
      <c r="AJ38" s="137"/>
      <c r="AK38" s="16"/>
      <c r="AL38" s="138">
        <f>SUM(F38:AJ38)</f>
        <v>327050</v>
      </c>
      <c r="DD38" s="13"/>
    </row>
    <row r="39" spans="1:15073" s="1" customFormat="1" ht="13.8" x14ac:dyDescent="0.25">
      <c r="B39" s="322"/>
      <c r="C39" s="323" t="s">
        <v>131</v>
      </c>
      <c r="D39" s="324">
        <v>100</v>
      </c>
      <c r="E39" s="325" t="s">
        <v>29</v>
      </c>
      <c r="F39" s="326">
        <f>(F21+F25+F30+F35)/2000/1000*100</f>
        <v>69.427899999999994</v>
      </c>
      <c r="G39" s="326">
        <f t="shared" ref="G39:AJ39" si="11">(G21+G25+G30+G35)/2000/1000*100</f>
        <v>33.24335</v>
      </c>
      <c r="H39" s="326">
        <f t="shared" si="11"/>
        <v>81.175550000000001</v>
      </c>
      <c r="I39" s="326">
        <f t="shared" si="11"/>
        <v>92.265200000000007</v>
      </c>
      <c r="J39" s="326">
        <f t="shared" si="11"/>
        <v>95.245450000000005</v>
      </c>
      <c r="K39" s="326">
        <f t="shared" si="11"/>
        <v>58.347450000000002</v>
      </c>
      <c r="L39" s="326">
        <f t="shared" si="11"/>
        <v>64.151949999999999</v>
      </c>
      <c r="M39" s="326">
        <f>(M21+M25+M30+M35)/2000/1000*100</f>
        <v>75.899500000000003</v>
      </c>
      <c r="N39" s="326">
        <f t="shared" si="11"/>
        <v>78.9011</v>
      </c>
      <c r="O39" s="326">
        <f t="shared" si="11"/>
        <v>67.727999999999994</v>
      </c>
      <c r="P39" s="326">
        <f t="shared" si="11"/>
        <v>72.825299999999999</v>
      </c>
      <c r="Q39" s="326">
        <f>(Q21+Q25+Q32+Q35)/2000/1000*100</f>
        <v>47.899450000000002</v>
      </c>
      <c r="R39" s="326">
        <f t="shared" si="11"/>
        <v>55.126850000000005</v>
      </c>
      <c r="S39" s="326">
        <f t="shared" si="11"/>
        <v>47.705950000000001</v>
      </c>
      <c r="T39" s="326">
        <f t="shared" si="11"/>
        <v>54.760749999999994</v>
      </c>
      <c r="U39" s="326">
        <f t="shared" si="11"/>
        <v>86.254099999999994</v>
      </c>
      <c r="V39" s="326">
        <f t="shared" si="11"/>
        <v>70.658850000000001</v>
      </c>
      <c r="W39" s="326">
        <f t="shared" si="11"/>
        <v>25.0824</v>
      </c>
      <c r="X39" s="326">
        <f t="shared" si="11"/>
        <v>55.82705</v>
      </c>
      <c r="Y39" s="326">
        <f t="shared" si="11"/>
        <v>58.007699999999993</v>
      </c>
      <c r="Z39" s="326">
        <f t="shared" si="11"/>
        <v>34.659050000000001</v>
      </c>
      <c r="AA39" s="326">
        <f t="shared" si="11"/>
        <v>33.13015</v>
      </c>
      <c r="AB39" s="326">
        <f t="shared" si="11"/>
        <v>54.710350000000005</v>
      </c>
      <c r="AC39" s="326">
        <f t="shared" si="11"/>
        <v>69.068799999999996</v>
      </c>
      <c r="AD39" s="326">
        <f>(AD21+AD25+AD30+AD35)/2000/1000*100</f>
        <v>101.87490000000001</v>
      </c>
      <c r="AE39" s="326">
        <f t="shared" si="11"/>
        <v>64.542299999999997</v>
      </c>
      <c r="AF39" s="326">
        <f t="shared" si="11"/>
        <v>90.922749999999994</v>
      </c>
      <c r="AG39" s="326">
        <f t="shared" si="11"/>
        <v>74.538550000000001</v>
      </c>
      <c r="AH39" s="326">
        <f t="shared" si="11"/>
        <v>53.652250000000002</v>
      </c>
      <c r="AI39" s="326">
        <f t="shared" si="11"/>
        <v>66.557050000000004</v>
      </c>
      <c r="AJ39" s="326">
        <f t="shared" si="11"/>
        <v>93.653099999999995</v>
      </c>
      <c r="AK39" s="327"/>
      <c r="AL39" s="328">
        <f>(AL21+AL25+AL30+AL35)/62000/1000*100</f>
        <v>65.414293548387093</v>
      </c>
      <c r="DD39" s="13"/>
    </row>
    <row r="40" spans="1:15073" x14ac:dyDescent="0.3">
      <c r="B40" s="97"/>
      <c r="C40" s="179" t="s">
        <v>76</v>
      </c>
      <c r="D40" s="180"/>
      <c r="E40" s="181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77"/>
      <c r="AH40" s="77"/>
      <c r="AI40" s="77"/>
      <c r="AJ40" s="85"/>
      <c r="AK40" s="16"/>
      <c r="AL40" s="182" t="s">
        <v>75</v>
      </c>
    </row>
    <row r="41" spans="1:15073" x14ac:dyDescent="0.3">
      <c r="B41" s="149"/>
      <c r="C41" s="183" t="s">
        <v>74</v>
      </c>
      <c r="D41" s="34">
        <v>94.2</v>
      </c>
      <c r="E41" s="161" t="s">
        <v>29</v>
      </c>
      <c r="F41" s="28">
        <f>(F18/(F11))*100</f>
        <v>94.413914717789766</v>
      </c>
      <c r="G41" s="28">
        <f t="shared" ref="G41:AH41" si="12">(G18/(G11))*100</f>
        <v>94.807673524124297</v>
      </c>
      <c r="H41" s="28">
        <f t="shared" si="12"/>
        <v>95.003532625906288</v>
      </c>
      <c r="I41" s="28">
        <f t="shared" si="12"/>
        <v>95.15298849646247</v>
      </c>
      <c r="J41" s="28">
        <f t="shared" si="12"/>
        <v>94.217277688024481</v>
      </c>
      <c r="K41" s="28">
        <f t="shared" si="12"/>
        <v>94.21603475939871</v>
      </c>
      <c r="L41" s="28">
        <f t="shared" si="12"/>
        <v>94.21882161830959</v>
      </c>
      <c r="M41" s="28">
        <f t="shared" si="12"/>
        <v>93.358401254241514</v>
      </c>
      <c r="N41" s="28">
        <f t="shared" si="12"/>
        <v>93.362031983238637</v>
      </c>
      <c r="O41" s="28">
        <f t="shared" si="12"/>
        <v>94.234832209038586</v>
      </c>
      <c r="P41" s="28">
        <f t="shared" si="12"/>
        <v>94.289739012976995</v>
      </c>
      <c r="Q41" s="28">
        <f t="shared" si="12"/>
        <v>93.323244573714121</v>
      </c>
      <c r="R41" s="28">
        <f t="shared" si="12"/>
        <v>95.228340810501308</v>
      </c>
      <c r="S41" s="28">
        <f t="shared" si="12"/>
        <v>95.306546282477939</v>
      </c>
      <c r="T41" s="28">
        <f t="shared" si="12"/>
        <v>94.980780502946587</v>
      </c>
      <c r="U41" s="28">
        <f t="shared" si="12"/>
        <v>95.338404090782703</v>
      </c>
      <c r="V41" s="28">
        <f t="shared" si="12"/>
        <v>95.902393871034647</v>
      </c>
      <c r="W41" s="28">
        <f t="shared" si="12"/>
        <v>95.430606592442274</v>
      </c>
      <c r="X41" s="28">
        <f t="shared" si="12"/>
        <v>94.39803167238</v>
      </c>
      <c r="Y41" s="28">
        <f t="shared" si="12"/>
        <v>94.899232747327574</v>
      </c>
      <c r="Z41" s="28">
        <f t="shared" si="12"/>
        <v>95.772528580111697</v>
      </c>
      <c r="AA41" s="28">
        <f t="shared" si="12"/>
        <v>95.338491766922715</v>
      </c>
      <c r="AB41" s="28">
        <f t="shared" si="12"/>
        <v>95.316726579573768</v>
      </c>
      <c r="AC41" s="28">
        <f t="shared" si="12"/>
        <v>94.505621809581356</v>
      </c>
      <c r="AD41" s="28">
        <f t="shared" si="12"/>
        <v>95.419939955240963</v>
      </c>
      <c r="AE41" s="28">
        <f t="shared" si="12"/>
        <v>95.30271380073431</v>
      </c>
      <c r="AF41" s="28">
        <f t="shared" si="12"/>
        <v>94.277524582835198</v>
      </c>
      <c r="AG41" s="28">
        <f t="shared" si="12"/>
        <v>95.169526513096841</v>
      </c>
      <c r="AH41" s="28">
        <f t="shared" si="12"/>
        <v>95.551341798185163</v>
      </c>
      <c r="AI41" s="28">
        <f>(AI18/(AI11))*100</f>
        <v>94.041807066634618</v>
      </c>
      <c r="AJ41" s="43">
        <f>(AJ18/(AJ11))*100</f>
        <v>94.844111194236874</v>
      </c>
      <c r="AK41" s="147"/>
      <c r="AL41" s="184">
        <f>(AL18/(AL11))*100</f>
        <v>94.773853070899577</v>
      </c>
    </row>
    <row r="42" spans="1:15073" x14ac:dyDescent="0.3">
      <c r="B42" s="149"/>
      <c r="C42" s="183" t="s">
        <v>73</v>
      </c>
      <c r="D42" s="34">
        <v>5</v>
      </c>
      <c r="E42" s="161" t="s">
        <v>29</v>
      </c>
      <c r="F42" s="28">
        <f>(F19/(F11))*100</f>
        <v>4.873132404655288</v>
      </c>
      <c r="G42" s="28">
        <f t="shared" ref="G42:AH42" si="13">(G19/(G11))*100</f>
        <v>4.4065742894176223</v>
      </c>
      <c r="H42" s="28">
        <f t="shared" si="13"/>
        <v>4.2542777363400521</v>
      </c>
      <c r="I42" s="28">
        <f t="shared" si="13"/>
        <v>4.0677549333117931</v>
      </c>
      <c r="J42" s="28">
        <f t="shared" si="13"/>
        <v>5.1498038726658733</v>
      </c>
      <c r="K42" s="28">
        <f t="shared" si="13"/>
        <v>5.1549013214013462</v>
      </c>
      <c r="L42" s="28">
        <f t="shared" si="13"/>
        <v>5.1790799132683718</v>
      </c>
      <c r="M42" s="28">
        <f t="shared" si="13"/>
        <v>5.9926016871704189</v>
      </c>
      <c r="N42" s="28">
        <f t="shared" si="13"/>
        <v>5.91173548779987</v>
      </c>
      <c r="O42" s="28">
        <f t="shared" si="13"/>
        <v>5.1677018158941355</v>
      </c>
      <c r="P42" s="28">
        <f t="shared" si="13"/>
        <v>5.1031887693569393</v>
      </c>
      <c r="Q42" s="28">
        <f t="shared" si="13"/>
        <v>5.9095088348198157</v>
      </c>
      <c r="R42" s="28">
        <f t="shared" si="13"/>
        <v>4.0474067388781316</v>
      </c>
      <c r="S42" s="28">
        <f t="shared" si="13"/>
        <v>3.9339926485632795</v>
      </c>
      <c r="T42" s="28">
        <f t="shared" si="13"/>
        <v>4.3174931326650086</v>
      </c>
      <c r="U42" s="28">
        <f t="shared" si="13"/>
        <v>3.9197722612261918</v>
      </c>
      <c r="V42" s="28">
        <f t="shared" si="13"/>
        <v>3.3548506039089565</v>
      </c>
      <c r="W42" s="28">
        <f t="shared" si="13"/>
        <v>3.7969615532276646</v>
      </c>
      <c r="X42" s="28">
        <f t="shared" si="13"/>
        <v>4.948278672022548</v>
      </c>
      <c r="Y42" s="28">
        <f t="shared" si="13"/>
        <v>4.3687321612439574</v>
      </c>
      <c r="Z42" s="28">
        <f t="shared" si="13"/>
        <v>3.5412849481925366</v>
      </c>
      <c r="AA42" s="28">
        <f t="shared" si="13"/>
        <v>3.869199805949993</v>
      </c>
      <c r="AB42" s="28">
        <f t="shared" si="13"/>
        <v>3.9156088547704639</v>
      </c>
      <c r="AC42" s="28">
        <f t="shared" si="13"/>
        <v>4.7819672070375487</v>
      </c>
      <c r="AD42" s="28">
        <f t="shared" si="13"/>
        <v>3.8385599799704386</v>
      </c>
      <c r="AE42" s="28">
        <f t="shared" si="13"/>
        <v>3.9248109809075657</v>
      </c>
      <c r="AF42" s="28">
        <f t="shared" si="13"/>
        <v>4.9787700592091824</v>
      </c>
      <c r="AG42" s="28">
        <f t="shared" si="13"/>
        <v>4.0712128882942178</v>
      </c>
      <c r="AH42" s="28">
        <f t="shared" si="13"/>
        <v>3.6904345321487093</v>
      </c>
      <c r="AI42" s="28">
        <f>(AI19/(AI11))*100</f>
        <v>5.3129010752785701</v>
      </c>
      <c r="AJ42" s="43">
        <f>(AJ19/(AJ11))*100</f>
        <v>4.4622277514857558</v>
      </c>
      <c r="AK42" s="147"/>
      <c r="AL42" s="184">
        <f>(AL19/(AL11))*100</f>
        <v>4.513567258876372</v>
      </c>
      <c r="BS42" s="8"/>
    </row>
    <row r="43" spans="1:15073" x14ac:dyDescent="0.3">
      <c r="B43" s="149"/>
      <c r="C43" s="183" t="s">
        <v>72</v>
      </c>
      <c r="D43" s="34">
        <v>82</v>
      </c>
      <c r="E43" s="161" t="s">
        <v>29</v>
      </c>
      <c r="F43" s="28">
        <f t="shared" ref="F43:AH43" si="14">(F22/F21)*100</f>
        <v>82.015731427855371</v>
      </c>
      <c r="G43" s="28">
        <f t="shared" si="14"/>
        <v>84.957882069795431</v>
      </c>
      <c r="H43" s="28">
        <f t="shared" si="14"/>
        <v>82.033407147973165</v>
      </c>
      <c r="I43" s="28">
        <f t="shared" si="14"/>
        <v>82.053363565027766</v>
      </c>
      <c r="J43" s="28">
        <f t="shared" si="14"/>
        <v>82.00906185019862</v>
      </c>
      <c r="K43" s="28">
        <f t="shared" si="14"/>
        <v>82.03590992892606</v>
      </c>
      <c r="L43" s="28" t="e">
        <f t="shared" si="14"/>
        <v>#DIV/0!</v>
      </c>
      <c r="M43" s="28">
        <f t="shared" si="14"/>
        <v>82.026515573995994</v>
      </c>
      <c r="N43" s="28">
        <f t="shared" si="14"/>
        <v>82.044546907457558</v>
      </c>
      <c r="O43" s="28">
        <f t="shared" si="14"/>
        <v>82.020287030474833</v>
      </c>
      <c r="P43" s="28">
        <f t="shared" si="14"/>
        <v>82.040307420635415</v>
      </c>
      <c r="Q43" s="28">
        <f t="shared" si="14"/>
        <v>82.117109878479241</v>
      </c>
      <c r="R43" s="28">
        <f>(R22/R21)*100</f>
        <v>82.036104485084067</v>
      </c>
      <c r="S43" s="28" t="e">
        <f>(S22/S21)*100</f>
        <v>#DIV/0!</v>
      </c>
      <c r="T43" s="28" t="e">
        <f>(T22/T21)*100</f>
        <v>#DIV/0!</v>
      </c>
      <c r="U43" s="28">
        <f t="shared" si="14"/>
        <v>82.072156569948561</v>
      </c>
      <c r="V43" s="28">
        <f t="shared" si="14"/>
        <v>82.054618777407214</v>
      </c>
      <c r="W43" s="28" t="e">
        <f t="shared" si="14"/>
        <v>#DIV/0!</v>
      </c>
      <c r="X43" s="28">
        <f t="shared" si="14"/>
        <v>82.247998652249052</v>
      </c>
      <c r="Y43" s="28">
        <f>(Y22/Y21)*100</f>
        <v>82.140841613181422</v>
      </c>
      <c r="Z43" s="28" t="e">
        <f t="shared" si="14"/>
        <v>#DIV/0!</v>
      </c>
      <c r="AA43" s="28" t="e">
        <f t="shared" si="14"/>
        <v>#DIV/0!</v>
      </c>
      <c r="AB43" s="28" t="e">
        <f t="shared" si="14"/>
        <v>#DIV/0!</v>
      </c>
      <c r="AC43" s="28">
        <f t="shared" si="14"/>
        <v>80.219799744692253</v>
      </c>
      <c r="AD43" s="28">
        <f t="shared" si="14"/>
        <v>82.044203233573725</v>
      </c>
      <c r="AE43" s="28">
        <f t="shared" si="14"/>
        <v>82.742015701330757</v>
      </c>
      <c r="AF43" s="28">
        <f t="shared" si="14"/>
        <v>82.026720485247097</v>
      </c>
      <c r="AG43" s="28">
        <f t="shared" si="14"/>
        <v>82.043482514430195</v>
      </c>
      <c r="AH43" s="28" t="e">
        <f t="shared" si="14"/>
        <v>#DIV/0!</v>
      </c>
      <c r="AI43" s="28">
        <f>(AI22/AI21)*100</f>
        <v>82.07722842741309</v>
      </c>
      <c r="AJ43" s="43">
        <f>(AJ22/AJ21)*100</f>
        <v>82.024246928291745</v>
      </c>
      <c r="AK43" s="147"/>
      <c r="AL43" s="185">
        <f>AL22/AL21*100</f>
        <v>82.036010165286967</v>
      </c>
    </row>
    <row r="44" spans="1:15073" x14ac:dyDescent="0.3">
      <c r="B44" s="149"/>
      <c r="C44" s="183" t="s">
        <v>70</v>
      </c>
      <c r="D44" s="34">
        <v>18</v>
      </c>
      <c r="E44" s="161" t="s">
        <v>29</v>
      </c>
      <c r="F44" s="28">
        <f t="shared" ref="F44:AH44" si="15">(F23/F21)*100</f>
        <v>17.984268572144625</v>
      </c>
      <c r="G44" s="28">
        <f t="shared" si="15"/>
        <v>15.042117930204574</v>
      </c>
      <c r="H44" s="28">
        <f t="shared" si="15"/>
        <v>17.966592852026835</v>
      </c>
      <c r="I44" s="28">
        <f t="shared" si="15"/>
        <v>17.946636434972234</v>
      </c>
      <c r="J44" s="28">
        <f t="shared" si="15"/>
        <v>17.99093814980138</v>
      </c>
      <c r="K44" s="28">
        <f t="shared" si="15"/>
        <v>17.964090071073937</v>
      </c>
      <c r="L44" s="28" t="e">
        <f t="shared" si="15"/>
        <v>#DIV/0!</v>
      </c>
      <c r="M44" s="28">
        <f t="shared" si="15"/>
        <v>17.973484426003999</v>
      </c>
      <c r="N44" s="28">
        <f t="shared" si="15"/>
        <v>17.955453092542438</v>
      </c>
      <c r="O44" s="28">
        <f t="shared" si="15"/>
        <v>17.97971296952516</v>
      </c>
      <c r="P44" s="28">
        <f t="shared" si="15"/>
        <v>17.959692579364589</v>
      </c>
      <c r="Q44" s="28">
        <f t="shared" si="15"/>
        <v>17.882890121520756</v>
      </c>
      <c r="R44" s="28">
        <f>(R23/R21)*100</f>
        <v>17.963895514915922</v>
      </c>
      <c r="S44" s="28" t="e">
        <f>(S23/S21)*100</f>
        <v>#DIV/0!</v>
      </c>
      <c r="T44" s="28" t="e">
        <f t="shared" si="15"/>
        <v>#DIV/0!</v>
      </c>
      <c r="U44" s="28">
        <f t="shared" si="15"/>
        <v>17.927843430051439</v>
      </c>
      <c r="V44" s="28">
        <f t="shared" si="15"/>
        <v>17.945381222592783</v>
      </c>
      <c r="W44" s="28" t="e">
        <f t="shared" si="15"/>
        <v>#DIV/0!</v>
      </c>
      <c r="X44" s="28">
        <f t="shared" si="15"/>
        <v>17.752001347750941</v>
      </c>
      <c r="Y44" s="28">
        <f t="shared" si="15"/>
        <v>17.859158386818578</v>
      </c>
      <c r="Z44" s="28" t="e">
        <f t="shared" si="15"/>
        <v>#DIV/0!</v>
      </c>
      <c r="AA44" s="28" t="e">
        <f t="shared" si="15"/>
        <v>#DIV/0!</v>
      </c>
      <c r="AB44" s="28" t="e">
        <f t="shared" si="15"/>
        <v>#DIV/0!</v>
      </c>
      <c r="AC44" s="28">
        <f t="shared" si="15"/>
        <v>19.780200255307751</v>
      </c>
      <c r="AD44" s="28">
        <f t="shared" si="15"/>
        <v>17.955796766426275</v>
      </c>
      <c r="AE44" s="28">
        <f t="shared" si="15"/>
        <v>17.257984298669246</v>
      </c>
      <c r="AF44" s="28">
        <f t="shared" si="15"/>
        <v>17.973279514752907</v>
      </c>
      <c r="AG44" s="28">
        <f t="shared" si="15"/>
        <v>17.956517485569794</v>
      </c>
      <c r="AH44" s="28" t="e">
        <f t="shared" si="15"/>
        <v>#DIV/0!</v>
      </c>
      <c r="AI44" s="28">
        <f>(AI23/AI21)*100</f>
        <v>17.922771572586914</v>
      </c>
      <c r="AJ44" s="43">
        <f>(AJ23/AJ21)*100</f>
        <v>17.975753071708251</v>
      </c>
      <c r="AK44" s="147"/>
      <c r="AL44" s="185">
        <f>AL23/AL21*100</f>
        <v>17.963989834713036</v>
      </c>
    </row>
    <row r="45" spans="1:15073" x14ac:dyDescent="0.3">
      <c r="B45" s="149"/>
      <c r="C45" s="183" t="s">
        <v>134</v>
      </c>
      <c r="D45" s="34">
        <v>75</v>
      </c>
      <c r="E45" s="161" t="s">
        <v>29</v>
      </c>
      <c r="F45" s="28" t="e">
        <f>(F26/F25)*100</f>
        <v>#DIV/0!</v>
      </c>
      <c r="G45" s="28" t="e">
        <f t="shared" ref="G45:AH45" si="16">(G26/G25)*100</f>
        <v>#DIV/0!</v>
      </c>
      <c r="H45" s="28" t="e">
        <f t="shared" si="16"/>
        <v>#DIV/0!</v>
      </c>
      <c r="I45" s="28" t="e">
        <f t="shared" si="16"/>
        <v>#DIV/0!</v>
      </c>
      <c r="J45" s="28" t="e">
        <f t="shared" si="16"/>
        <v>#DIV/0!</v>
      </c>
      <c r="K45" s="28">
        <f t="shared" si="16"/>
        <v>70.057322282668224</v>
      </c>
      <c r="L45" s="28">
        <f t="shared" si="16"/>
        <v>70.046974409975064</v>
      </c>
      <c r="M45" s="28">
        <f t="shared" si="16"/>
        <v>70.042944406336659</v>
      </c>
      <c r="N45" s="28" t="e">
        <f t="shared" si="16"/>
        <v>#DIV/0!</v>
      </c>
      <c r="O45" s="28" t="e">
        <f t="shared" si="16"/>
        <v>#DIV/0!</v>
      </c>
      <c r="P45" s="28" t="e">
        <f t="shared" si="16"/>
        <v>#DIV/0!</v>
      </c>
      <c r="Q45" s="28">
        <f t="shared" si="16"/>
        <v>70.007201152184351</v>
      </c>
      <c r="R45" s="28">
        <f t="shared" si="16"/>
        <v>70.02489678862942</v>
      </c>
      <c r="S45" s="28">
        <f t="shared" si="16"/>
        <v>67.27548346313651</v>
      </c>
      <c r="T45" s="28">
        <f t="shared" si="16"/>
        <v>70.049442346936445</v>
      </c>
      <c r="U45" s="28" t="e">
        <f t="shared" si="16"/>
        <v>#DIV/0!</v>
      </c>
      <c r="V45" s="28" t="e">
        <f t="shared" si="16"/>
        <v>#DIV/0!</v>
      </c>
      <c r="W45" s="28" t="e">
        <f t="shared" si="16"/>
        <v>#DIV/0!</v>
      </c>
      <c r="X45" s="28" t="e">
        <f t="shared" si="16"/>
        <v>#DIV/0!</v>
      </c>
      <c r="Y45" s="28" t="e">
        <f t="shared" si="16"/>
        <v>#DIV/0!</v>
      </c>
      <c r="Z45" s="28">
        <f>(Z26/Z25)*100</f>
        <v>70.000534194375533</v>
      </c>
      <c r="AA45" s="28">
        <f t="shared" si="16"/>
        <v>70.042393409024712</v>
      </c>
      <c r="AB45" s="28">
        <f t="shared" si="16"/>
        <v>70.030716308705749</v>
      </c>
      <c r="AC45" s="28">
        <f t="shared" si="16"/>
        <v>71.802804328084832</v>
      </c>
      <c r="AD45" s="28" t="e">
        <f t="shared" si="16"/>
        <v>#DIV/0!</v>
      </c>
      <c r="AE45" s="28" t="e">
        <f t="shared" si="16"/>
        <v>#DIV/0!</v>
      </c>
      <c r="AF45" s="28" t="e">
        <f t="shared" si="16"/>
        <v>#DIV/0!</v>
      </c>
      <c r="AG45" s="28" t="e">
        <f t="shared" si="16"/>
        <v>#DIV/0!</v>
      </c>
      <c r="AH45" s="28" t="e">
        <f t="shared" si="16"/>
        <v>#DIV/0!</v>
      </c>
      <c r="AI45" s="28" t="e">
        <f>(AI26/AI25)*100</f>
        <v>#DIV/0!</v>
      </c>
      <c r="AJ45" s="43" t="e">
        <f>(AJ26/AJ25)*100</f>
        <v>#DIV/0!</v>
      </c>
      <c r="AK45" s="147"/>
      <c r="AL45" s="186">
        <f>(AL26/AL25)*100</f>
        <v>70.009888636158564</v>
      </c>
    </row>
    <row r="46" spans="1:15073" x14ac:dyDescent="0.3">
      <c r="B46" s="149"/>
      <c r="C46" s="183" t="s">
        <v>70</v>
      </c>
      <c r="D46" s="34">
        <v>25</v>
      </c>
      <c r="E46" s="161" t="s">
        <v>29</v>
      </c>
      <c r="F46" s="28" t="e">
        <f>(F27/F25)*100</f>
        <v>#DIV/0!</v>
      </c>
      <c r="G46" s="28" t="e">
        <f t="shared" ref="G46:AH46" si="17">(G27/G25)*100</f>
        <v>#DIV/0!</v>
      </c>
      <c r="H46" s="28" t="e">
        <f t="shared" si="17"/>
        <v>#DIV/0!</v>
      </c>
      <c r="I46" s="28" t="e">
        <f t="shared" si="17"/>
        <v>#DIV/0!</v>
      </c>
      <c r="J46" s="28" t="e">
        <f t="shared" si="17"/>
        <v>#DIV/0!</v>
      </c>
      <c r="K46" s="28">
        <f t="shared" si="17"/>
        <v>29.94267771733178</v>
      </c>
      <c r="L46" s="28">
        <f t="shared" si="17"/>
        <v>29.953025590024936</v>
      </c>
      <c r="M46" s="28">
        <f t="shared" si="17"/>
        <v>29.957055593663345</v>
      </c>
      <c r="N46" s="28" t="e">
        <f t="shared" si="17"/>
        <v>#DIV/0!</v>
      </c>
      <c r="O46" s="28" t="e">
        <f t="shared" si="17"/>
        <v>#DIV/0!</v>
      </c>
      <c r="P46" s="28" t="e">
        <f t="shared" si="17"/>
        <v>#DIV/0!</v>
      </c>
      <c r="Q46" s="28">
        <f>(Q27/Q25)*100</f>
        <v>29.992798847815649</v>
      </c>
      <c r="R46" s="28">
        <f t="shared" si="17"/>
        <v>29.975103211370584</v>
      </c>
      <c r="S46" s="28">
        <f t="shared" si="17"/>
        <v>32.72451653686349</v>
      </c>
      <c r="T46" s="28">
        <f t="shared" si="17"/>
        <v>29.950557653063552</v>
      </c>
      <c r="U46" s="28" t="e">
        <f t="shared" si="17"/>
        <v>#DIV/0!</v>
      </c>
      <c r="V46" s="28" t="e">
        <f t="shared" si="17"/>
        <v>#DIV/0!</v>
      </c>
      <c r="W46" s="28" t="e">
        <f t="shared" si="17"/>
        <v>#DIV/0!</v>
      </c>
      <c r="X46" s="28" t="e">
        <f t="shared" si="17"/>
        <v>#DIV/0!</v>
      </c>
      <c r="Y46" s="28" t="e">
        <f t="shared" si="17"/>
        <v>#DIV/0!</v>
      </c>
      <c r="Z46" s="28">
        <f t="shared" si="17"/>
        <v>29.999465805624475</v>
      </c>
      <c r="AA46" s="28">
        <f t="shared" si="17"/>
        <v>29.957606590975288</v>
      </c>
      <c r="AB46" s="28">
        <f t="shared" si="17"/>
        <v>29.96928369129424</v>
      </c>
      <c r="AC46" s="28">
        <f t="shared" si="17"/>
        <v>28.197195671915161</v>
      </c>
      <c r="AD46" s="28" t="e">
        <f t="shared" si="17"/>
        <v>#DIV/0!</v>
      </c>
      <c r="AE46" s="28" t="e">
        <f t="shared" si="17"/>
        <v>#DIV/0!</v>
      </c>
      <c r="AF46" s="28" t="e">
        <f t="shared" si="17"/>
        <v>#DIV/0!</v>
      </c>
      <c r="AG46" s="28" t="e">
        <f t="shared" si="17"/>
        <v>#DIV/0!</v>
      </c>
      <c r="AH46" s="28" t="e">
        <f t="shared" si="17"/>
        <v>#DIV/0!</v>
      </c>
      <c r="AI46" s="28" t="e">
        <f>(AI27/AI25)*100</f>
        <v>#DIV/0!</v>
      </c>
      <c r="AJ46" s="43" t="e">
        <f>(AJ27/AJ25)*100</f>
        <v>#DIV/0!</v>
      </c>
      <c r="AK46" s="147"/>
      <c r="AL46" s="186">
        <f>(AL27/AL25)*100</f>
        <v>29.99011136384145</v>
      </c>
    </row>
    <row r="47" spans="1:15073" x14ac:dyDescent="0.3">
      <c r="B47" s="149"/>
      <c r="C47" s="183" t="s">
        <v>126</v>
      </c>
      <c r="D47" s="34">
        <v>75</v>
      </c>
      <c r="E47" s="161" t="s">
        <v>29</v>
      </c>
      <c r="F47" s="28" t="e">
        <f>F31/F30*100</f>
        <v>#DIV/0!</v>
      </c>
      <c r="G47" s="28">
        <f t="shared" ref="G47:AG47" si="18">G31/G30*100</f>
        <v>75.028748042733724</v>
      </c>
      <c r="H47" s="28">
        <f t="shared" si="18"/>
        <v>75.028670785394553</v>
      </c>
      <c r="I47" s="28" t="e">
        <f t="shared" si="18"/>
        <v>#DIV/0!</v>
      </c>
      <c r="J47" s="28" t="e">
        <f t="shared" si="18"/>
        <v>#DIV/0!</v>
      </c>
      <c r="K47" s="28" t="e">
        <f t="shared" si="18"/>
        <v>#DIV/0!</v>
      </c>
      <c r="L47" s="28" t="e">
        <f t="shared" si="18"/>
        <v>#DIV/0!</v>
      </c>
      <c r="M47" s="28" t="e">
        <f t="shared" si="18"/>
        <v>#DIV/0!</v>
      </c>
      <c r="N47" s="28" t="e">
        <f t="shared" si="18"/>
        <v>#DIV/0!</v>
      </c>
      <c r="O47" s="28" t="e">
        <f t="shared" si="18"/>
        <v>#DIV/0!</v>
      </c>
      <c r="P47" s="28" t="e">
        <f>P31/P30*100</f>
        <v>#DIV/0!</v>
      </c>
      <c r="Q47" s="28" t="e">
        <f>Q31/Q30*100</f>
        <v>#DIV/0!</v>
      </c>
      <c r="R47" s="28">
        <f>R31/R30*100</f>
        <v>75.053579082726102</v>
      </c>
      <c r="S47" s="28">
        <f t="shared" si="18"/>
        <v>75.005480311711537</v>
      </c>
      <c r="T47" s="28" t="e">
        <f t="shared" si="18"/>
        <v>#DIV/0!</v>
      </c>
      <c r="U47" s="28" t="e">
        <f t="shared" si="18"/>
        <v>#DIV/0!</v>
      </c>
      <c r="V47" s="28" t="e">
        <f t="shared" si="18"/>
        <v>#DIV/0!</v>
      </c>
      <c r="W47" s="28">
        <f t="shared" si="18"/>
        <v>75.227136298002833</v>
      </c>
      <c r="X47" s="28">
        <f t="shared" si="18"/>
        <v>75.048063805892014</v>
      </c>
      <c r="Y47" s="28">
        <f t="shared" si="18"/>
        <v>75.08285258377316</v>
      </c>
      <c r="Z47" s="28">
        <f t="shared" si="18"/>
        <v>75.037625201100212</v>
      </c>
      <c r="AA47" s="28" t="e">
        <f t="shared" si="18"/>
        <v>#DIV/0!</v>
      </c>
      <c r="AB47" s="28" t="e">
        <f t="shared" si="18"/>
        <v>#DIV/0!</v>
      </c>
      <c r="AC47" s="28" t="e">
        <f t="shared" si="18"/>
        <v>#DIV/0!</v>
      </c>
      <c r="AD47" s="28" t="e">
        <f t="shared" si="18"/>
        <v>#DIV/0!</v>
      </c>
      <c r="AE47" s="28" t="e">
        <f t="shared" si="18"/>
        <v>#DIV/0!</v>
      </c>
      <c r="AF47" s="28" t="e">
        <f t="shared" si="18"/>
        <v>#DIV/0!</v>
      </c>
      <c r="AG47" s="28">
        <f t="shared" si="18"/>
        <v>75.024851661819824</v>
      </c>
      <c r="AH47" s="28">
        <f>AH31/AH30*100</f>
        <v>75.020898471173155</v>
      </c>
      <c r="AI47" s="28">
        <f>AI31/AI30*100</f>
        <v>75.018080380204566</v>
      </c>
      <c r="AJ47" s="43" t="e">
        <f>AJ31/AJ30*100</f>
        <v>#DIV/0!</v>
      </c>
      <c r="AK47" s="147"/>
      <c r="AL47" s="187">
        <f>AL31/AL30*100</f>
        <v>75.04156567076528</v>
      </c>
      <c r="BS47" s="8"/>
    </row>
    <row r="48" spans="1:15073" x14ac:dyDescent="0.3">
      <c r="B48" s="149"/>
      <c r="C48" s="183" t="s">
        <v>70</v>
      </c>
      <c r="D48" s="34">
        <v>25</v>
      </c>
      <c r="E48" s="161" t="s">
        <v>29</v>
      </c>
      <c r="F48" s="28" t="e">
        <f t="shared" ref="F48:AH48" si="19">F32/F30*100</f>
        <v>#DIV/0!</v>
      </c>
      <c r="G48" s="28">
        <f t="shared" si="19"/>
        <v>24.971251957266279</v>
      </c>
      <c r="H48" s="28">
        <f t="shared" si="19"/>
        <v>24.971329214605454</v>
      </c>
      <c r="I48" s="28" t="e">
        <f t="shared" si="19"/>
        <v>#DIV/0!</v>
      </c>
      <c r="J48" s="28" t="e">
        <f t="shared" si="19"/>
        <v>#DIV/0!</v>
      </c>
      <c r="K48" s="28" t="e">
        <f t="shared" si="19"/>
        <v>#DIV/0!</v>
      </c>
      <c r="L48" s="28" t="e">
        <f t="shared" si="19"/>
        <v>#DIV/0!</v>
      </c>
      <c r="M48" s="28" t="e">
        <f t="shared" si="19"/>
        <v>#DIV/0!</v>
      </c>
      <c r="N48" s="28" t="e">
        <f t="shared" si="19"/>
        <v>#DIV/0!</v>
      </c>
      <c r="O48" s="28" t="e">
        <f t="shared" si="19"/>
        <v>#DIV/0!</v>
      </c>
      <c r="P48" s="28" t="e">
        <f t="shared" si="19"/>
        <v>#DIV/0!</v>
      </c>
      <c r="Q48" s="28" t="e">
        <f t="shared" si="19"/>
        <v>#DIV/0!</v>
      </c>
      <c r="R48" s="28">
        <f t="shared" si="19"/>
        <v>24.946420917273894</v>
      </c>
      <c r="S48" s="28">
        <f>S32/S30*100</f>
        <v>24.994519688288467</v>
      </c>
      <c r="T48" s="28" t="e">
        <f t="shared" si="19"/>
        <v>#DIV/0!</v>
      </c>
      <c r="U48" s="28" t="e">
        <f t="shared" si="19"/>
        <v>#DIV/0!</v>
      </c>
      <c r="V48" s="28" t="e">
        <f t="shared" si="19"/>
        <v>#DIV/0!</v>
      </c>
      <c r="W48" s="28">
        <f t="shared" si="19"/>
        <v>24.772863701997178</v>
      </c>
      <c r="X48" s="28">
        <f t="shared" si="19"/>
        <v>24.951936194107979</v>
      </c>
      <c r="Y48" s="28">
        <f t="shared" si="19"/>
        <v>24.917147416226832</v>
      </c>
      <c r="Z48" s="28">
        <f t="shared" si="19"/>
        <v>24.962374798899788</v>
      </c>
      <c r="AA48" s="28" t="e">
        <f t="shared" si="19"/>
        <v>#DIV/0!</v>
      </c>
      <c r="AB48" s="28" t="e">
        <f t="shared" si="19"/>
        <v>#DIV/0!</v>
      </c>
      <c r="AC48" s="28" t="e">
        <f t="shared" si="19"/>
        <v>#DIV/0!</v>
      </c>
      <c r="AD48" s="28" t="e">
        <f t="shared" si="19"/>
        <v>#DIV/0!</v>
      </c>
      <c r="AE48" s="28" t="e">
        <f t="shared" si="19"/>
        <v>#DIV/0!</v>
      </c>
      <c r="AF48" s="28" t="e">
        <f t="shared" si="19"/>
        <v>#DIV/0!</v>
      </c>
      <c r="AG48" s="28">
        <f t="shared" si="19"/>
        <v>24.97514833818018</v>
      </c>
      <c r="AH48" s="28">
        <f t="shared" si="19"/>
        <v>24.979101528826845</v>
      </c>
      <c r="AI48" s="28">
        <f>AI32/AI30*100</f>
        <v>24.981919619795434</v>
      </c>
      <c r="AJ48" s="43" t="e">
        <f>AJ32/AJ30*100</f>
        <v>#DIV/0!</v>
      </c>
      <c r="AK48" s="61"/>
      <c r="AL48" s="187">
        <f>AL32/AL30*100</f>
        <v>24.958434329234716</v>
      </c>
    </row>
    <row r="49" spans="2:108 15074:15087" x14ac:dyDescent="0.3">
      <c r="B49" s="149"/>
      <c r="C49" s="183" t="s">
        <v>69</v>
      </c>
      <c r="D49" s="34">
        <v>60</v>
      </c>
      <c r="E49" s="161" t="s">
        <v>29</v>
      </c>
      <c r="F49" s="28" t="e">
        <f t="shared" ref="F49:AH49" si="20">F37/F35*100</f>
        <v>#DIV/0!</v>
      </c>
      <c r="G49" s="28">
        <f t="shared" si="20"/>
        <v>60.280373831775705</v>
      </c>
      <c r="H49" s="28">
        <f>H37/H35*100</f>
        <v>60.013395847287342</v>
      </c>
      <c r="I49" s="28" t="e">
        <f t="shared" si="20"/>
        <v>#DIV/0!</v>
      </c>
      <c r="J49" s="28" t="e">
        <f t="shared" si="20"/>
        <v>#DIV/0!</v>
      </c>
      <c r="K49" s="28" t="e">
        <f t="shared" si="20"/>
        <v>#DIV/0!</v>
      </c>
      <c r="L49" s="28" t="e">
        <f t="shared" si="20"/>
        <v>#DIV/0!</v>
      </c>
      <c r="M49" s="28" t="e">
        <f t="shared" si="20"/>
        <v>#DIV/0!</v>
      </c>
      <c r="N49" s="28" t="e">
        <f t="shared" si="20"/>
        <v>#DIV/0!</v>
      </c>
      <c r="O49" s="28" t="e">
        <f t="shared" si="20"/>
        <v>#DIV/0!</v>
      </c>
      <c r="P49" s="28" t="e">
        <f t="shared" si="20"/>
        <v>#DIV/0!</v>
      </c>
      <c r="Q49" s="28" t="e">
        <f t="shared" si="20"/>
        <v>#DIV/0!</v>
      </c>
      <c r="R49" s="28" t="e">
        <f t="shared" si="20"/>
        <v>#DIV/0!</v>
      </c>
      <c r="S49" s="28" t="e">
        <f t="shared" si="20"/>
        <v>#DIV/0!</v>
      </c>
      <c r="T49" s="28" t="e">
        <f t="shared" si="20"/>
        <v>#DIV/0!</v>
      </c>
      <c r="U49" s="28" t="e">
        <f>(U37+U36)/U35*100</f>
        <v>#DIV/0!</v>
      </c>
      <c r="V49" s="28" t="e">
        <f>(V37+V36)/V35*100</f>
        <v>#DIV/0!</v>
      </c>
      <c r="W49" s="28">
        <f>(W37+W36)/W35*100</f>
        <v>60.015680125441008</v>
      </c>
      <c r="X49" s="28" t="e">
        <f t="shared" si="20"/>
        <v>#DIV/0!</v>
      </c>
      <c r="Y49" s="28">
        <f t="shared" si="20"/>
        <v>60.012528711630821</v>
      </c>
      <c r="Z49" s="28" t="e">
        <f t="shared" si="20"/>
        <v>#DIV/0!</v>
      </c>
      <c r="AA49" s="28" t="e">
        <f t="shared" si="20"/>
        <v>#DIV/0!</v>
      </c>
      <c r="AB49" s="28" t="e">
        <f t="shared" si="20"/>
        <v>#DIV/0!</v>
      </c>
      <c r="AC49" s="28" t="e">
        <f t="shared" si="20"/>
        <v>#DIV/0!</v>
      </c>
      <c r="AD49" s="28" t="e">
        <f t="shared" si="20"/>
        <v>#DIV/0!</v>
      </c>
      <c r="AE49" s="28" t="e">
        <f t="shared" si="20"/>
        <v>#DIV/0!</v>
      </c>
      <c r="AF49" s="28" t="e">
        <f t="shared" si="20"/>
        <v>#DIV/0!</v>
      </c>
      <c r="AG49" s="28" t="e">
        <f t="shared" si="20"/>
        <v>#DIV/0!</v>
      </c>
      <c r="AH49" s="28" t="e">
        <f t="shared" si="20"/>
        <v>#DIV/0!</v>
      </c>
      <c r="AI49" s="28">
        <f>AI37/AI35*100</f>
        <v>60.006110601894292</v>
      </c>
      <c r="AJ49" s="43" t="e">
        <f>AJ37/AJ35*100</f>
        <v>#DIV/0!</v>
      </c>
      <c r="AK49" s="147"/>
      <c r="AL49" s="185">
        <f>(AL37+AL36)/AL35*100</f>
        <v>60.04032011729489</v>
      </c>
    </row>
    <row r="50" spans="2:108 15074:15087" ht="15" thickBot="1" x14ac:dyDescent="0.35">
      <c r="B50" s="188"/>
      <c r="C50" s="183" t="s">
        <v>68</v>
      </c>
      <c r="D50" s="34">
        <v>40</v>
      </c>
      <c r="E50" s="161" t="s">
        <v>29</v>
      </c>
      <c r="F50" s="28" t="e">
        <f t="shared" ref="F50:AH50" si="21">F38/F35*100</f>
        <v>#DIV/0!</v>
      </c>
      <c r="G50" s="28">
        <f t="shared" si="21"/>
        <v>39.719626168224295</v>
      </c>
      <c r="H50" s="28">
        <f t="shared" si="21"/>
        <v>39.986604152712658</v>
      </c>
      <c r="I50" s="28" t="e">
        <f t="shared" si="21"/>
        <v>#DIV/0!</v>
      </c>
      <c r="J50" s="28" t="e">
        <f t="shared" si="21"/>
        <v>#DIV/0!</v>
      </c>
      <c r="K50" s="28" t="e">
        <f t="shared" si="21"/>
        <v>#DIV/0!</v>
      </c>
      <c r="L50" s="28" t="e">
        <f t="shared" si="21"/>
        <v>#DIV/0!</v>
      </c>
      <c r="M50" s="28" t="e">
        <f t="shared" si="21"/>
        <v>#DIV/0!</v>
      </c>
      <c r="N50" s="28" t="e">
        <f t="shared" si="21"/>
        <v>#DIV/0!</v>
      </c>
      <c r="O50" s="28" t="e">
        <f t="shared" si="21"/>
        <v>#DIV/0!</v>
      </c>
      <c r="P50" s="28" t="e">
        <f t="shared" si="21"/>
        <v>#DIV/0!</v>
      </c>
      <c r="Q50" s="28" t="e">
        <f t="shared" si="21"/>
        <v>#DIV/0!</v>
      </c>
      <c r="R50" s="28" t="e">
        <f t="shared" si="21"/>
        <v>#DIV/0!</v>
      </c>
      <c r="S50" s="28" t="e">
        <f t="shared" si="21"/>
        <v>#DIV/0!</v>
      </c>
      <c r="T50" s="28" t="e">
        <f t="shared" si="21"/>
        <v>#DIV/0!</v>
      </c>
      <c r="U50" s="28" t="e">
        <f t="shared" si="21"/>
        <v>#DIV/0!</v>
      </c>
      <c r="V50" s="28" t="e">
        <f t="shared" si="21"/>
        <v>#DIV/0!</v>
      </c>
      <c r="W50" s="28">
        <f t="shared" si="21"/>
        <v>39.984319874558999</v>
      </c>
      <c r="X50" s="28" t="e">
        <f t="shared" si="21"/>
        <v>#DIV/0!</v>
      </c>
      <c r="Y50" s="28">
        <f t="shared" si="21"/>
        <v>39.987471288369179</v>
      </c>
      <c r="Z50" s="28" t="e">
        <f t="shared" si="21"/>
        <v>#DIV/0!</v>
      </c>
      <c r="AA50" s="28" t="e">
        <f t="shared" si="21"/>
        <v>#DIV/0!</v>
      </c>
      <c r="AB50" s="28" t="e">
        <f t="shared" si="21"/>
        <v>#DIV/0!</v>
      </c>
      <c r="AC50" s="28" t="e">
        <f t="shared" si="21"/>
        <v>#DIV/0!</v>
      </c>
      <c r="AD50" s="28" t="e">
        <f t="shared" si="21"/>
        <v>#DIV/0!</v>
      </c>
      <c r="AE50" s="28" t="e">
        <f t="shared" si="21"/>
        <v>#DIV/0!</v>
      </c>
      <c r="AF50" s="28" t="e">
        <f t="shared" si="21"/>
        <v>#DIV/0!</v>
      </c>
      <c r="AG50" s="28" t="e">
        <f t="shared" si="21"/>
        <v>#DIV/0!</v>
      </c>
      <c r="AH50" s="28" t="e">
        <f t="shared" si="21"/>
        <v>#DIV/0!</v>
      </c>
      <c r="AI50" s="28">
        <f>AI38/AI35*100</f>
        <v>39.993889398105715</v>
      </c>
      <c r="AJ50" s="43" t="e">
        <f>AJ38/AJ35*100</f>
        <v>#DIV/0!</v>
      </c>
      <c r="AK50" s="61"/>
      <c r="AL50" s="185">
        <f>AL38/AL35*100</f>
        <v>39.95967988270511</v>
      </c>
    </row>
    <row r="51" spans="2:108 15074:15087" x14ac:dyDescent="0.3">
      <c r="B51" s="97">
        <v>2</v>
      </c>
      <c r="C51" s="189" t="s">
        <v>67</v>
      </c>
      <c r="D51" s="180"/>
      <c r="E51" s="181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77"/>
      <c r="AH51" s="77"/>
      <c r="AI51" s="77"/>
      <c r="AJ51" s="85"/>
      <c r="AK51" s="16"/>
      <c r="AL51" s="190" t="s">
        <v>66</v>
      </c>
    </row>
    <row r="52" spans="2:108 15074:15087" x14ac:dyDescent="0.3">
      <c r="B52" s="97"/>
      <c r="C52" s="98" t="s">
        <v>65</v>
      </c>
      <c r="D52" s="34">
        <v>8</v>
      </c>
      <c r="E52" s="26" t="s">
        <v>63</v>
      </c>
      <c r="F52" s="32">
        <f>20664-5000</f>
        <v>15664</v>
      </c>
      <c r="G52" s="32">
        <f>19082-10930</f>
        <v>8152</v>
      </c>
      <c r="H52" s="32">
        <f>15861-1720</f>
        <v>14141</v>
      </c>
      <c r="I52" s="32">
        <v>14994</v>
      </c>
      <c r="J52" s="32">
        <f>19822-5000</f>
        <v>14822</v>
      </c>
      <c r="K52" s="5">
        <f>19703-5000</f>
        <v>14703</v>
      </c>
      <c r="L52" s="32">
        <f>21506-5000</f>
        <v>16506</v>
      </c>
      <c r="M52" s="5">
        <f>14558-5000</f>
        <v>9558</v>
      </c>
      <c r="N52" s="32">
        <f>17435-5000</f>
        <v>12435</v>
      </c>
      <c r="O52" s="5">
        <f>16949-5000</f>
        <v>11949</v>
      </c>
      <c r="P52" s="5">
        <f>21396-5000</f>
        <v>16396</v>
      </c>
      <c r="Q52" s="5">
        <f>23414-5000</f>
        <v>18414</v>
      </c>
      <c r="R52" s="32">
        <v>16860</v>
      </c>
      <c r="S52" s="32">
        <f>17870-7800</f>
        <v>10070</v>
      </c>
      <c r="T52" s="5">
        <f>15099-5000</f>
        <v>10099</v>
      </c>
      <c r="U52" s="5">
        <v>15563</v>
      </c>
      <c r="V52" s="5">
        <f>19175-5000</f>
        <v>14175</v>
      </c>
      <c r="W52" s="5">
        <f>14976-8400</f>
        <v>6576</v>
      </c>
      <c r="X52" s="5">
        <f>15040-5350</f>
        <v>9690</v>
      </c>
      <c r="Y52" s="5">
        <f>20105-4180</f>
        <v>15925</v>
      </c>
      <c r="Z52" s="5">
        <f>8142-340</f>
        <v>7802</v>
      </c>
      <c r="AA52" s="5">
        <f>12641+2000</f>
        <v>14641</v>
      </c>
      <c r="AB52" s="5">
        <f>8752+3000</f>
        <v>11752</v>
      </c>
      <c r="AC52" s="5">
        <f>9240+2000-2000</f>
        <v>9240</v>
      </c>
      <c r="AD52" s="5">
        <f>13051+3200</f>
        <v>16251</v>
      </c>
      <c r="AE52" s="5">
        <v>13539</v>
      </c>
      <c r="AF52" s="5">
        <f>9206-970</f>
        <v>8236</v>
      </c>
      <c r="AG52" s="75">
        <f>15139-2730-5000</f>
        <v>7409</v>
      </c>
      <c r="AH52" s="75">
        <f>13349-10000</f>
        <v>3349</v>
      </c>
      <c r="AI52" s="75">
        <f>20956-2780</f>
        <v>18176</v>
      </c>
      <c r="AJ52" s="44">
        <v>13941</v>
      </c>
      <c r="AK52" s="16"/>
      <c r="AL52" s="191">
        <f>SUM(F52:AJ52)</f>
        <v>391028</v>
      </c>
      <c r="AS52" s="8"/>
    </row>
    <row r="53" spans="2:108 15074:15087" x14ac:dyDescent="0.3">
      <c r="B53" s="149"/>
      <c r="C53" s="192"/>
      <c r="D53" s="145"/>
      <c r="E53" s="26" t="s">
        <v>29</v>
      </c>
      <c r="F53" s="193">
        <f>F52/(F12)*100</f>
        <v>1.0710361440510792</v>
      </c>
      <c r="G53" s="193">
        <f>G52/(G12)*100</f>
        <v>0.98041279868359554</v>
      </c>
      <c r="H53" s="193">
        <f t="shared" ref="H53:AJ53" si="22">H52/(H12)*100</f>
        <v>0.93079413112363685</v>
      </c>
      <c r="I53" s="193">
        <f>I52/(I12)*100</f>
        <v>0.89056196752780847</v>
      </c>
      <c r="J53" s="193">
        <f>J52/(J12)*100</f>
        <v>0.82514883520516269</v>
      </c>
      <c r="K53" s="28">
        <f t="shared" si="22"/>
        <v>0.79378019258469035</v>
      </c>
      <c r="L53" s="193">
        <f t="shared" si="22"/>
        <v>0.98000565228026759</v>
      </c>
      <c r="M53" s="28">
        <f t="shared" si="22"/>
        <v>0.75758596555750102</v>
      </c>
      <c r="N53" s="193">
        <f t="shared" si="22"/>
        <v>1.0864655314769203</v>
      </c>
      <c r="O53" s="28">
        <f>O52/(O12)*100</f>
        <v>0.760856968568565</v>
      </c>
      <c r="P53" s="28">
        <f t="shared" si="22"/>
        <v>1.054625564828662</v>
      </c>
      <c r="Q53" s="28">
        <f t="shared" si="22"/>
        <v>1.3175490753759136</v>
      </c>
      <c r="R53" s="193">
        <f t="shared" si="22"/>
        <v>1.4389754651901103</v>
      </c>
      <c r="S53" s="193">
        <f t="shared" si="22"/>
        <v>0.96682568700164895</v>
      </c>
      <c r="T53" s="28">
        <f t="shared" si="22"/>
        <v>0.76086907386284008</v>
      </c>
      <c r="U53" s="28">
        <f>U52/(U12)*100</f>
        <v>0.8451684797720006</v>
      </c>
      <c r="V53" s="28">
        <f>V52/(V12)*100</f>
        <v>0.90739977313405318</v>
      </c>
      <c r="W53" s="28">
        <f>W52/(W12)*100</f>
        <v>0.7048441765030482</v>
      </c>
      <c r="X53" s="28">
        <f t="shared" si="22"/>
        <v>0.86025180441258797</v>
      </c>
      <c r="Y53" s="28">
        <f t="shared" si="22"/>
        <v>1.0972861593148755</v>
      </c>
      <c r="Z53" s="28">
        <f>Z52/(Z12)*100</f>
        <v>0.87693323160035619</v>
      </c>
      <c r="AA53" s="28">
        <f>AA52/(AA12)*100</f>
        <v>0.91412038467854062</v>
      </c>
      <c r="AB53" s="28">
        <f>AB52/(AB12)*100</f>
        <v>0.95406027660603931</v>
      </c>
      <c r="AC53" s="28">
        <f>AC52/(AC12)*100</f>
        <v>0.85633894711087555</v>
      </c>
      <c r="AD53" s="28">
        <f t="shared" si="22"/>
        <v>0.89227082953569625</v>
      </c>
      <c r="AE53" s="28">
        <f t="shared" si="22"/>
        <v>0.80736004179022947</v>
      </c>
      <c r="AF53" s="28">
        <f t="shared" si="22"/>
        <v>0.83301473250679181</v>
      </c>
      <c r="AG53" s="28">
        <f>AG52/(AG12)*100</f>
        <v>0.64027312378256884</v>
      </c>
      <c r="AH53" s="28">
        <f t="shared" si="22"/>
        <v>0.72777387185807152</v>
      </c>
      <c r="AI53" s="28">
        <f t="shared" si="22"/>
        <v>1.1506000939993315</v>
      </c>
      <c r="AJ53" s="43">
        <f t="shared" si="22"/>
        <v>0.78125131343358867</v>
      </c>
      <c r="AK53" s="16"/>
      <c r="AL53" s="81">
        <f>AL52/(AL12)*100</f>
        <v>0.92041276580784159</v>
      </c>
      <c r="BR53" s="15">
        <f>K53*10</f>
        <v>7.9378019258469035</v>
      </c>
      <c r="BS53" s="15">
        <f>L53*10</f>
        <v>9.8000565228026755</v>
      </c>
    </row>
    <row r="54" spans="2:108 15074:15087" s="1" customFormat="1" x14ac:dyDescent="0.3">
      <c r="B54" s="97"/>
      <c r="C54" s="194" t="s">
        <v>64</v>
      </c>
      <c r="D54" s="195">
        <v>16</v>
      </c>
      <c r="E54" s="196" t="s">
        <v>63</v>
      </c>
      <c r="F54" s="197"/>
      <c r="G54" s="197">
        <v>10930</v>
      </c>
      <c r="H54" s="197">
        <v>1720</v>
      </c>
      <c r="I54" s="197"/>
      <c r="J54" s="197"/>
      <c r="K54" s="197"/>
      <c r="L54" s="197"/>
      <c r="M54" s="197"/>
      <c r="N54" s="197"/>
      <c r="O54" s="197"/>
      <c r="P54" s="197"/>
      <c r="Q54" s="197"/>
      <c r="R54" s="197">
        <f>12158-10200</f>
        <v>1958</v>
      </c>
      <c r="S54" s="197">
        <v>7800</v>
      </c>
      <c r="T54" s="197"/>
      <c r="U54" s="197"/>
      <c r="V54" s="198"/>
      <c r="W54" s="198">
        <v>8400</v>
      </c>
      <c r="X54" s="198">
        <v>5350</v>
      </c>
      <c r="Y54" s="198">
        <v>4180</v>
      </c>
      <c r="Z54" s="198">
        <v>340</v>
      </c>
      <c r="AA54" s="197"/>
      <c r="AB54" s="197"/>
      <c r="AC54" s="197"/>
      <c r="AD54" s="197"/>
      <c r="AE54" s="197"/>
      <c r="AF54" s="197"/>
      <c r="AG54" s="199">
        <v>2730</v>
      </c>
      <c r="AH54" s="199">
        <f>10000+5000+2000+970</f>
        <v>17970</v>
      </c>
      <c r="AI54" s="199">
        <v>2780</v>
      </c>
      <c r="AJ54" s="200"/>
      <c r="AK54" s="16"/>
      <c r="AL54" s="201">
        <f>SUM(F54:AJ54)</f>
        <v>64158</v>
      </c>
      <c r="DD54" s="3"/>
      <c r="VGT54"/>
      <c r="VGU54"/>
      <c r="VGV54"/>
      <c r="VGW54"/>
      <c r="VGX54"/>
      <c r="VGY54"/>
      <c r="VGZ54"/>
      <c r="VHA54"/>
      <c r="VHB54"/>
      <c r="VHC54"/>
      <c r="VHD54"/>
      <c r="VHE54"/>
      <c r="VHF54"/>
      <c r="VHG54"/>
    </row>
    <row r="55" spans="2:108 15074:15087" s="1" customFormat="1" x14ac:dyDescent="0.3">
      <c r="B55" s="149"/>
      <c r="C55" s="202"/>
      <c r="D55" s="203"/>
      <c r="E55" s="204" t="s">
        <v>29</v>
      </c>
      <c r="F55" s="205" t="e">
        <f t="shared" ref="F55:AJ55" si="23">F54/(F13)*100</f>
        <v>#DIV/0!</v>
      </c>
      <c r="G55" s="205">
        <f t="shared" si="23"/>
        <v>1.5985386305199694</v>
      </c>
      <c r="H55" s="205">
        <f>H54/(H13)*100</f>
        <v>1.6070463126499426</v>
      </c>
      <c r="I55" s="205" t="e">
        <f t="shared" si="23"/>
        <v>#DIV/0!</v>
      </c>
      <c r="J55" s="205" t="e">
        <f t="shared" si="23"/>
        <v>#DIV/0!</v>
      </c>
      <c r="K55" s="205" t="e">
        <f t="shared" si="23"/>
        <v>#DIV/0!</v>
      </c>
      <c r="L55" s="205" t="e">
        <f t="shared" si="23"/>
        <v>#DIV/0!</v>
      </c>
      <c r="M55" s="205" t="e">
        <f t="shared" si="23"/>
        <v>#DIV/0!</v>
      </c>
      <c r="N55" s="205" t="e">
        <f t="shared" si="23"/>
        <v>#DIV/0!</v>
      </c>
      <c r="O55" s="205" t="e">
        <f>O54/(O13)*100</f>
        <v>#DIV/0!</v>
      </c>
      <c r="P55" s="205" t="e">
        <f t="shared" si="23"/>
        <v>#DIV/0!</v>
      </c>
      <c r="Q55" s="205" t="e">
        <f t="shared" si="23"/>
        <v>#DIV/0!</v>
      </c>
      <c r="R55" s="205">
        <f t="shared" si="23"/>
        <v>1.5984319872006991</v>
      </c>
      <c r="S55" s="205">
        <f t="shared" si="23"/>
        <v>1.5976528383787905</v>
      </c>
      <c r="T55" s="205" t="e">
        <f t="shared" si="23"/>
        <v>#DIV/0!</v>
      </c>
      <c r="U55" s="205" t="e">
        <f t="shared" si="23"/>
        <v>#DIV/0!</v>
      </c>
      <c r="V55" s="205" t="e">
        <f>V54/(V13)*100</f>
        <v>#DIV/0!</v>
      </c>
      <c r="W55" s="205">
        <f>W54/(W13)*100</f>
        <v>1.5979672905633335</v>
      </c>
      <c r="X55" s="205">
        <f t="shared" si="23"/>
        <v>1.602220355726836</v>
      </c>
      <c r="Y55" s="205">
        <f t="shared" si="23"/>
        <v>1.6021146980126144</v>
      </c>
      <c r="Z55" s="205">
        <f>Z54/(Z13)*100</f>
        <v>1.6898987865087953</v>
      </c>
      <c r="AA55" s="205" t="e">
        <f t="shared" si="23"/>
        <v>#DIV/0!</v>
      </c>
      <c r="AB55" s="205" t="e">
        <f>AB54/(AB13)*100</f>
        <v>#DIV/0!</v>
      </c>
      <c r="AC55" s="205" t="e">
        <f t="shared" si="23"/>
        <v>#DIV/0!</v>
      </c>
      <c r="AD55" s="205" t="e">
        <f t="shared" si="23"/>
        <v>#DIV/0!</v>
      </c>
      <c r="AE55" s="205" t="e">
        <f>AE54/(AE13)*100</f>
        <v>#DIV/0!</v>
      </c>
      <c r="AF55" s="205" t="e">
        <f t="shared" si="23"/>
        <v>#DIV/0!</v>
      </c>
      <c r="AG55" s="205">
        <f t="shared" si="23"/>
        <v>1.6041689504309948</v>
      </c>
      <c r="AH55" s="205">
        <f t="shared" si="23"/>
        <v>1.600172977007849</v>
      </c>
      <c r="AI55" s="205">
        <f t="shared" si="23"/>
        <v>1.5083236137359834</v>
      </c>
      <c r="AJ55" s="206" t="e">
        <f t="shared" si="23"/>
        <v>#DIV/0!</v>
      </c>
      <c r="AK55" s="16"/>
      <c r="AL55" s="81">
        <f>AL54/(AL13)*100</f>
        <v>1.5961332085068995</v>
      </c>
      <c r="DD55" s="3"/>
      <c r="VGT55"/>
      <c r="VGU55"/>
      <c r="VGV55"/>
      <c r="VGW55"/>
      <c r="VGX55"/>
      <c r="VGY55"/>
      <c r="VGZ55"/>
      <c r="VHA55"/>
      <c r="VHB55"/>
      <c r="VHC55"/>
      <c r="VHD55"/>
      <c r="VHE55"/>
      <c r="VHF55"/>
      <c r="VHG55"/>
    </row>
    <row r="56" spans="2:108 15074:15087" x14ac:dyDescent="0.3">
      <c r="B56" s="149"/>
      <c r="C56" s="98" t="s">
        <v>62</v>
      </c>
      <c r="D56" s="34">
        <v>0.55000000000000004</v>
      </c>
      <c r="E56" s="26" t="s">
        <v>16</v>
      </c>
      <c r="F56" s="5">
        <v>765.89599999999996</v>
      </c>
      <c r="G56" s="5">
        <v>759.06600000000003</v>
      </c>
      <c r="H56" s="5">
        <v>874.5</v>
      </c>
      <c r="I56" s="5">
        <v>898.98599999999999</v>
      </c>
      <c r="J56" s="32">
        <v>1077.384</v>
      </c>
      <c r="K56" s="5">
        <v>988.774</v>
      </c>
      <c r="L56" s="5">
        <v>882.66200000000003</v>
      </c>
      <c r="M56" s="5">
        <v>670.45</v>
      </c>
      <c r="N56" s="32">
        <v>724.08600000000001</v>
      </c>
      <c r="O56" s="32">
        <v>924.63800000000003</v>
      </c>
      <c r="P56" s="5">
        <v>767.22799999999995</v>
      </c>
      <c r="Q56" s="207">
        <v>776.55600000000004</v>
      </c>
      <c r="R56" s="32">
        <v>704.26400000000001</v>
      </c>
      <c r="S56" s="5">
        <v>799.87599999999998</v>
      </c>
      <c r="T56" s="5">
        <v>771.89200000000005</v>
      </c>
      <c r="U56" s="5">
        <v>1076.2180000000001</v>
      </c>
      <c r="V56" s="5">
        <v>826.69399999999996</v>
      </c>
      <c r="W56" s="5">
        <v>754.40200000000004</v>
      </c>
      <c r="X56" s="5">
        <v>844.18399999999997</v>
      </c>
      <c r="Y56" s="5">
        <v>809.20399999999995</v>
      </c>
      <c r="Z56" s="5">
        <v>481.55799999999999</v>
      </c>
      <c r="AA56" s="5">
        <v>857.01</v>
      </c>
      <c r="AB56" s="5">
        <v>634.30399999999997</v>
      </c>
      <c r="AC56" s="5">
        <v>708.928</v>
      </c>
      <c r="AD56" s="5">
        <v>1125.19</v>
      </c>
      <c r="AE56" s="5">
        <v>1022.582</v>
      </c>
      <c r="AF56" s="5">
        <v>552.68399999999997</v>
      </c>
      <c r="AG56" s="75">
        <v>829.02599999999995</v>
      </c>
      <c r="AH56" s="75">
        <v>741.57600000000002</v>
      </c>
      <c r="AI56" s="75">
        <v>829.02599999999995</v>
      </c>
      <c r="AJ56" s="44">
        <v>960.78399999999999</v>
      </c>
      <c r="AK56" s="16"/>
      <c r="AL56" s="201">
        <f>SUM(F56:AJ56)</f>
        <v>25439.628000000001</v>
      </c>
    </row>
    <row r="57" spans="2:108 15074:15087" ht="15" thickBot="1" x14ac:dyDescent="0.35">
      <c r="B57" s="188"/>
      <c r="C57" s="208"/>
      <c r="D57" s="145"/>
      <c r="E57" s="209" t="s">
        <v>29</v>
      </c>
      <c r="F57" s="210">
        <f>F56/(F11)*100</f>
        <v>5.236863499643421E-2</v>
      </c>
      <c r="G57" s="210">
        <f t="shared" ref="G57:AJ57" si="24">G56/(G11)*100</f>
        <v>5.0095562671425446E-2</v>
      </c>
      <c r="H57" s="210">
        <f t="shared" si="24"/>
        <v>5.3773391732856002E-2</v>
      </c>
      <c r="I57" s="210">
        <f t="shared" si="24"/>
        <v>5.3394874012268535E-2</v>
      </c>
      <c r="J57" s="341">
        <f t="shared" si="24"/>
        <v>5.9978555705618601E-2</v>
      </c>
      <c r="K57" s="210">
        <f t="shared" si="24"/>
        <v>5.3381569485325076E-2</v>
      </c>
      <c r="L57" s="210">
        <f t="shared" si="24"/>
        <v>5.2406018966012706E-2</v>
      </c>
      <c r="M57" s="210">
        <f t="shared" si="24"/>
        <v>5.3141191735512301E-2</v>
      </c>
      <c r="N57" s="341">
        <f t="shared" si="24"/>
        <v>6.3264534043023513E-2</v>
      </c>
      <c r="O57" s="341">
        <f t="shared" si="24"/>
        <v>5.8876664633299929E-2</v>
      </c>
      <c r="P57" s="210">
        <f>P56/(P11)*100</f>
        <v>4.9349735475260094E-2</v>
      </c>
      <c r="Q57" s="210">
        <f>Q56/(Q11)*100</f>
        <v>5.5563736275530462E-2</v>
      </c>
      <c r="R57" s="341">
        <f>R56/(R11)*100</f>
        <v>5.4418534928393825E-2</v>
      </c>
      <c r="S57" s="210">
        <f t="shared" si="24"/>
        <v>5.2287371492035724E-2</v>
      </c>
      <c r="T57" s="210">
        <f t="shared" si="24"/>
        <v>5.8155139237759723E-2</v>
      </c>
      <c r="U57" s="210">
        <f t="shared" si="24"/>
        <v>5.844538527040178E-2</v>
      </c>
      <c r="V57" s="210">
        <f t="shared" si="24"/>
        <v>5.2920066881924722E-2</v>
      </c>
      <c r="W57" s="210">
        <f t="shared" si="24"/>
        <v>5.1719546975264631E-2</v>
      </c>
      <c r="X57" s="210">
        <f t="shared" si="24"/>
        <v>5.7807914123284801E-2</v>
      </c>
      <c r="Y57" s="210">
        <f t="shared" si="24"/>
        <v>4.726070880200068E-2</v>
      </c>
      <c r="Z57" s="210">
        <f t="shared" si="24"/>
        <v>5.2929454579027951E-2</v>
      </c>
      <c r="AA57" s="210">
        <f t="shared" si="24"/>
        <v>5.3507978339823521E-2</v>
      </c>
      <c r="AB57" s="210">
        <f t="shared" si="24"/>
        <v>5.1494575365241421E-2</v>
      </c>
      <c r="AC57" s="210">
        <f t="shared" si="24"/>
        <v>6.5701586265954418E-2</v>
      </c>
      <c r="AD57" s="210">
        <f t="shared" si="24"/>
        <v>6.1779226797444478E-2</v>
      </c>
      <c r="AE57" s="210">
        <f t="shared" si="24"/>
        <v>6.0978790623675047E-2</v>
      </c>
      <c r="AF57" s="210">
        <f t="shared" si="24"/>
        <v>5.590018387819131E-2</v>
      </c>
      <c r="AG57" s="210">
        <f t="shared" si="24"/>
        <v>6.2457509131016518E-2</v>
      </c>
      <c r="AH57" s="210">
        <f t="shared" si="24"/>
        <v>4.6841092640480454E-2</v>
      </c>
      <c r="AI57" s="210">
        <f t="shared" si="24"/>
        <v>4.6996725638432477E-2</v>
      </c>
      <c r="AJ57" s="211">
        <f t="shared" si="24"/>
        <v>5.38421750180028E-2</v>
      </c>
      <c r="AK57" s="16"/>
      <c r="AL57" s="212">
        <f>AL56/(AL11)*100</f>
        <v>5.4704675159146912E-2</v>
      </c>
    </row>
    <row r="58" spans="2:108 15074:15087" s="333" customFormat="1" ht="13.8" x14ac:dyDescent="0.25">
      <c r="B58" s="213">
        <v>3</v>
      </c>
      <c r="C58" s="334" t="s">
        <v>61</v>
      </c>
      <c r="D58" s="335">
        <v>0.8</v>
      </c>
      <c r="E58" s="336" t="s">
        <v>29</v>
      </c>
      <c r="F58" s="337">
        <f>((SUM(F18:F19))-(SUM(F11)))/(SUM(F11))*100</f>
        <v>-0.71295287755494152</v>
      </c>
      <c r="G58" s="337">
        <f t="shared" ref="G58:AI58" si="25">((SUM(G18:G19))-(SUM(G11)))/(SUM(G11))*100</f>
        <v>-0.7857521864580832</v>
      </c>
      <c r="H58" s="337">
        <f t="shared" si="25"/>
        <v>-0.74218963775365576</v>
      </c>
      <c r="I58" s="337">
        <f t="shared" si="25"/>
        <v>-0.77925657022574679</v>
      </c>
      <c r="J58" s="337">
        <f t="shared" si="25"/>
        <v>-0.63291843930964065</v>
      </c>
      <c r="K58" s="337">
        <f t="shared" si="25"/>
        <v>-0.62906391919994642</v>
      </c>
      <c r="L58" s="337">
        <f t="shared" si="25"/>
        <v>-0.60209846842204007</v>
      </c>
      <c r="M58" s="337">
        <f t="shared" si="25"/>
        <v>-0.64899705858807466</v>
      </c>
      <c r="N58" s="337">
        <f t="shared" si="25"/>
        <v>-0.72623252896149271</v>
      </c>
      <c r="O58" s="337">
        <f t="shared" si="25"/>
        <v>-0.59746597506727295</v>
      </c>
      <c r="P58" s="337">
        <f t="shared" si="25"/>
        <v>-0.60707221766607167</v>
      </c>
      <c r="Q58" s="337">
        <f t="shared" si="25"/>
        <v>-0.76724659146605412</v>
      </c>
      <c r="R58" s="337">
        <f t="shared" si="25"/>
        <v>-0.72425245062055599</v>
      </c>
      <c r="S58" s="337">
        <f t="shared" si="25"/>
        <v>-0.75946106895877741</v>
      </c>
      <c r="T58" s="337">
        <f t="shared" si="25"/>
        <v>-0.70172636438840408</v>
      </c>
      <c r="U58" s="337">
        <f t="shared" si="25"/>
        <v>-0.74182364799110245</v>
      </c>
      <c r="V58" s="337">
        <f t="shared" si="25"/>
        <v>-0.74275552505639642</v>
      </c>
      <c r="W58" s="337">
        <f t="shared" si="25"/>
        <v>-0.7724318543300609</v>
      </c>
      <c r="X58" s="337">
        <f t="shared" si="25"/>
        <v>-0.65368965559744885</v>
      </c>
      <c r="Y58" s="337">
        <f t="shared" si="25"/>
        <v>-0.73203509142846135</v>
      </c>
      <c r="Z58" s="337">
        <f t="shared" si="25"/>
        <v>-0.68618647169576974</v>
      </c>
      <c r="AA58" s="337">
        <f t="shared" si="25"/>
        <v>-0.79230842712729199</v>
      </c>
      <c r="AB58" s="337">
        <f t="shared" si="25"/>
        <v>-0.76766456565577845</v>
      </c>
      <c r="AC58" s="337">
        <f>((SUM(AC18:AC19))-(SUM(AC11)))/(SUM(AC11))*100</f>
        <v>-0.7124109833810931</v>
      </c>
      <c r="AD58" s="337">
        <f>((SUM(AD18:AD19))-(SUM(AD11)))/(SUM(AD11))*100</f>
        <v>-0.74150006478860253</v>
      </c>
      <c r="AE58" s="337">
        <f t="shared" si="25"/>
        <v>-0.77247521835812338</v>
      </c>
      <c r="AF58" s="337">
        <f t="shared" si="25"/>
        <v>-0.74370535795561432</v>
      </c>
      <c r="AG58" s="337">
        <f t="shared" si="25"/>
        <v>-0.75926059860895145</v>
      </c>
      <c r="AH58" s="337">
        <f t="shared" si="25"/>
        <v>-0.75822366966612642</v>
      </c>
      <c r="AI58" s="337">
        <f t="shared" si="25"/>
        <v>-0.64529185808681144</v>
      </c>
      <c r="AJ58" s="338">
        <f>((SUM(AJ18:AJ19))-(SUM(AJ11)))/(SUM(AJ11))*100</f>
        <v>-0.69366105427738034</v>
      </c>
      <c r="AL58" s="339">
        <f>((SUM(AL18:AL19))-(SUM(AL11)))/(SUM(AL11))*100</f>
        <v>-0.71257967022404212</v>
      </c>
      <c r="DD58" s="340"/>
    </row>
    <row r="59" spans="2:108 15074:15087" s="2" customFormat="1" ht="13.8" x14ac:dyDescent="0.25">
      <c r="B59" s="159"/>
      <c r="C59" s="183" t="s">
        <v>60</v>
      </c>
      <c r="D59" s="214">
        <v>22</v>
      </c>
      <c r="E59" s="161" t="s">
        <v>29</v>
      </c>
      <c r="F59" s="193">
        <v>22.22</v>
      </c>
      <c r="G59" s="193">
        <v>22.24</v>
      </c>
      <c r="H59" s="193"/>
      <c r="I59" s="193">
        <v>22.18</v>
      </c>
      <c r="J59" s="193">
        <v>22.12</v>
      </c>
      <c r="K59" s="193">
        <v>22.05</v>
      </c>
      <c r="L59" s="193">
        <v>22.53</v>
      </c>
      <c r="M59" s="193">
        <v>22.28</v>
      </c>
      <c r="N59" s="193">
        <v>22.22</v>
      </c>
      <c r="O59" s="193">
        <v>22.24</v>
      </c>
      <c r="P59" s="28">
        <v>22.22</v>
      </c>
      <c r="Q59" s="215">
        <v>22.28</v>
      </c>
      <c r="R59" s="28">
        <v>22.07</v>
      </c>
      <c r="S59" s="28">
        <v>22.05</v>
      </c>
      <c r="T59" s="28">
        <v>22.03</v>
      </c>
      <c r="U59" s="28">
        <v>22.02</v>
      </c>
      <c r="V59" s="28">
        <v>22.2</v>
      </c>
      <c r="W59" s="28">
        <v>22.21</v>
      </c>
      <c r="X59" s="28">
        <v>22.1</v>
      </c>
      <c r="Y59" s="28">
        <v>22.05</v>
      </c>
      <c r="Z59" s="28">
        <v>22.06</v>
      </c>
      <c r="AA59" s="28">
        <v>22.18</v>
      </c>
      <c r="AB59" s="28">
        <v>21.91</v>
      </c>
      <c r="AC59" s="28">
        <v>22.26</v>
      </c>
      <c r="AD59" s="28">
        <v>22.18</v>
      </c>
      <c r="AE59" s="28">
        <v>22.1</v>
      </c>
      <c r="AF59" s="28">
        <v>22.15</v>
      </c>
      <c r="AG59" s="74">
        <v>22.16</v>
      </c>
      <c r="AH59" s="74">
        <v>22.09</v>
      </c>
      <c r="AI59" s="74">
        <v>22.17</v>
      </c>
      <c r="AJ59" s="43">
        <v>22.12</v>
      </c>
      <c r="AK59" s="147"/>
      <c r="AL59" s="216">
        <f>AVERAGE(F59:AJ59)</f>
        <v>22.156333333333333</v>
      </c>
      <c r="DD59" s="10"/>
    </row>
    <row r="60" spans="2:108 15074:15087" s="2" customFormat="1" thickBot="1" x14ac:dyDescent="0.3">
      <c r="B60" s="217"/>
      <c r="C60" s="218" t="s">
        <v>59</v>
      </c>
      <c r="D60" s="145"/>
      <c r="E60" s="219" t="s">
        <v>16</v>
      </c>
      <c r="F60" s="28">
        <f>SUM(F52,F54)+(F59%*SUM(F52,F54))</f>
        <v>19144.540799999999</v>
      </c>
      <c r="G60" s="28">
        <f t="shared" ref="G60:AI60" si="26">SUM(G52,G54)+(G59%*SUM(G52,G54))</f>
        <v>23325.836800000001</v>
      </c>
      <c r="H60" s="28">
        <f t="shared" si="26"/>
        <v>15861</v>
      </c>
      <c r="I60" s="28">
        <f t="shared" si="26"/>
        <v>18319.6692</v>
      </c>
      <c r="J60" s="28">
        <f t="shared" si="26"/>
        <v>18100.626400000001</v>
      </c>
      <c r="K60" s="28">
        <f>SUM(K52,K54)+(K59%*SUM(K52,K54))</f>
        <v>17945.011500000001</v>
      </c>
      <c r="L60" s="28">
        <f>SUM(L52,L54)+(L59%*SUM(L52,L54))</f>
        <v>20224.801800000001</v>
      </c>
      <c r="M60" s="28">
        <f t="shared" si="26"/>
        <v>11687.5224</v>
      </c>
      <c r="N60" s="28">
        <f t="shared" si="26"/>
        <v>15198.057000000001</v>
      </c>
      <c r="O60" s="28">
        <f t="shared" si="26"/>
        <v>14606.4576</v>
      </c>
      <c r="P60" s="28">
        <f t="shared" si="26"/>
        <v>20039.191200000001</v>
      </c>
      <c r="Q60" s="28">
        <f>SUM(Q52,Q54)+(R59%*SUM(Q52,Q54))</f>
        <v>22477.969799999999</v>
      </c>
      <c r="R60" s="28">
        <f>SUM(R52,R54)+(S59%*SUM(R52,R54))</f>
        <v>22967.368999999999</v>
      </c>
      <c r="S60" s="28">
        <f t="shared" si="26"/>
        <v>21810.334999999999</v>
      </c>
      <c r="T60" s="28">
        <f t="shared" si="26"/>
        <v>12323.8097</v>
      </c>
      <c r="U60" s="28">
        <f t="shared" si="26"/>
        <v>18989.972600000001</v>
      </c>
      <c r="V60" s="28">
        <f t="shared" si="26"/>
        <v>17321.849999999999</v>
      </c>
      <c r="W60" s="28">
        <f t="shared" si="26"/>
        <v>18302.169600000001</v>
      </c>
      <c r="X60" s="28">
        <f t="shared" si="26"/>
        <v>18363.84</v>
      </c>
      <c r="Y60" s="28">
        <f t="shared" si="26"/>
        <v>24538.1525</v>
      </c>
      <c r="Z60" s="28">
        <f t="shared" si="26"/>
        <v>9938.1252000000004</v>
      </c>
      <c r="AA60" s="28">
        <f t="shared" si="26"/>
        <v>17888.373800000001</v>
      </c>
      <c r="AB60" s="28">
        <f t="shared" si="26"/>
        <v>14326.8632</v>
      </c>
      <c r="AC60" s="28">
        <f t="shared" si="26"/>
        <v>11296.824000000001</v>
      </c>
      <c r="AD60" s="28">
        <f t="shared" si="26"/>
        <v>19855.471799999999</v>
      </c>
      <c r="AE60" s="28">
        <f t="shared" si="26"/>
        <v>16531.118999999999</v>
      </c>
      <c r="AF60" s="28">
        <f t="shared" si="26"/>
        <v>10060.273999999999</v>
      </c>
      <c r="AG60" s="28">
        <f t="shared" si="26"/>
        <v>12385.8024</v>
      </c>
      <c r="AH60" s="28">
        <f t="shared" si="26"/>
        <v>26028.367099999999</v>
      </c>
      <c r="AI60" s="28">
        <f t="shared" si="26"/>
        <v>25601.945200000002</v>
      </c>
      <c r="AJ60" s="43">
        <f>SUM(AJ52,AJ54)+(AJ59%*SUM(AJ52,AJ54))</f>
        <v>17024.749199999998</v>
      </c>
      <c r="AK60" s="147"/>
      <c r="AL60" s="216">
        <f>SUM(AL52,AL54)+(AL59%*SUM(AL52,AL54))</f>
        <v>556038.52744666673</v>
      </c>
      <c r="DD60" s="10"/>
    </row>
    <row r="61" spans="2:108 15074:15087" x14ac:dyDescent="0.3">
      <c r="B61" s="97">
        <v>4</v>
      </c>
      <c r="C61" s="99" t="s">
        <v>58</v>
      </c>
      <c r="D61" s="115"/>
      <c r="E61" s="41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116"/>
      <c r="AD61" s="24"/>
      <c r="AE61" s="24"/>
      <c r="AF61" s="24"/>
      <c r="AG61" s="77"/>
      <c r="AH61" s="77"/>
      <c r="AI61" s="77"/>
      <c r="AJ61" s="85"/>
      <c r="AK61" s="117"/>
      <c r="AL61" s="182" t="s">
        <v>45</v>
      </c>
    </row>
    <row r="62" spans="2:108 15074:15087" s="18" customFormat="1" ht="13.8" x14ac:dyDescent="0.25">
      <c r="B62" s="97"/>
      <c r="C62" s="103" t="s">
        <v>57</v>
      </c>
      <c r="D62" s="220"/>
      <c r="E62" s="130" t="s">
        <v>16</v>
      </c>
      <c r="F62" s="221"/>
      <c r="G62" s="221"/>
      <c r="H62" s="221">
        <v>97094</v>
      </c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>
        <v>153100</v>
      </c>
      <c r="X62" s="221"/>
      <c r="Y62" s="221">
        <v>92923</v>
      </c>
      <c r="Z62" s="221">
        <v>50302</v>
      </c>
      <c r="AA62" s="221"/>
      <c r="AB62" s="221"/>
      <c r="AC62" s="221"/>
      <c r="AD62" s="221"/>
      <c r="AE62" s="221"/>
      <c r="AF62" s="221"/>
      <c r="AG62" s="222"/>
      <c r="AH62" s="222"/>
      <c r="AI62" s="222">
        <v>98200</v>
      </c>
      <c r="AJ62" s="223">
        <v>0</v>
      </c>
      <c r="AK62" s="224"/>
      <c r="AL62" s="225">
        <f>SUM(F62:AJ62)</f>
        <v>491619</v>
      </c>
      <c r="BJ62" s="353"/>
      <c r="DD62" s="14"/>
    </row>
    <row r="63" spans="2:108 15074:15087" s="1" customFormat="1" ht="13.8" x14ac:dyDescent="0.25">
      <c r="B63" s="149"/>
      <c r="C63" s="100" t="s">
        <v>52</v>
      </c>
      <c r="D63" s="226"/>
      <c r="E63" s="26" t="s">
        <v>16</v>
      </c>
      <c r="F63" s="227"/>
      <c r="G63" s="228"/>
      <c r="H63" s="20"/>
      <c r="I63" s="20"/>
      <c r="J63" s="20"/>
      <c r="K63" s="20">
        <v>38838.980000000003</v>
      </c>
      <c r="L63" s="20"/>
      <c r="M63" s="20"/>
      <c r="N63" s="229"/>
      <c r="O63" s="229"/>
      <c r="P63" s="20"/>
      <c r="Q63" s="20"/>
      <c r="R63" s="20"/>
      <c r="S63" s="20"/>
      <c r="T63" s="20"/>
      <c r="U63" s="228"/>
      <c r="V63" s="20"/>
      <c r="W63" s="20"/>
      <c r="X63" s="20"/>
      <c r="Y63" s="20">
        <v>40026.33</v>
      </c>
      <c r="Z63" s="20"/>
      <c r="AA63" s="20"/>
      <c r="AB63" s="228"/>
      <c r="AC63" s="20"/>
      <c r="AD63" s="20"/>
      <c r="AE63" s="20"/>
      <c r="AF63" s="20"/>
      <c r="AG63" s="140"/>
      <c r="AH63" s="140"/>
      <c r="AI63" s="140"/>
      <c r="AJ63" s="141"/>
      <c r="AK63" s="230"/>
      <c r="AL63" s="225">
        <f>SUM(F63:AJ63)</f>
        <v>78865.31</v>
      </c>
      <c r="DD63" s="13"/>
    </row>
    <row r="64" spans="2:108 15074:15087" s="1" customFormat="1" x14ac:dyDescent="0.3">
      <c r="B64" s="149"/>
      <c r="C64" s="101" t="s">
        <v>44</v>
      </c>
      <c r="D64" s="145"/>
      <c r="E64" s="26" t="s">
        <v>16</v>
      </c>
      <c r="F64" s="28">
        <f>SUM(F68:F69)*10.86</f>
        <v>0</v>
      </c>
      <c r="G64" s="28">
        <f t="shared" ref="G64:AH64" si="27">SUM(G68:G69)*10.86</f>
        <v>0</v>
      </c>
      <c r="H64" s="28">
        <f t="shared" si="27"/>
        <v>0</v>
      </c>
      <c r="I64" s="28">
        <f t="shared" si="27"/>
        <v>0</v>
      </c>
      <c r="J64" s="28">
        <f t="shared" si="27"/>
        <v>0</v>
      </c>
      <c r="K64" s="28">
        <f t="shared" si="27"/>
        <v>38835.360000000001</v>
      </c>
      <c r="L64" s="28">
        <f t="shared" si="27"/>
        <v>0</v>
      </c>
      <c r="M64" s="28">
        <f t="shared" si="27"/>
        <v>0</v>
      </c>
      <c r="N64" s="28">
        <f t="shared" si="27"/>
        <v>0</v>
      </c>
      <c r="O64" s="28">
        <f t="shared" si="27"/>
        <v>0</v>
      </c>
      <c r="P64" s="28">
        <f t="shared" si="27"/>
        <v>0</v>
      </c>
      <c r="Q64" s="28">
        <f t="shared" si="27"/>
        <v>0</v>
      </c>
      <c r="R64" s="28">
        <f t="shared" si="27"/>
        <v>0</v>
      </c>
      <c r="S64" s="28">
        <f t="shared" si="27"/>
        <v>0</v>
      </c>
      <c r="T64" s="28">
        <f t="shared" si="27"/>
        <v>0</v>
      </c>
      <c r="U64" s="28">
        <f t="shared" si="27"/>
        <v>0</v>
      </c>
      <c r="V64" s="28">
        <f t="shared" si="27"/>
        <v>0</v>
      </c>
      <c r="W64" s="28">
        <f t="shared" si="27"/>
        <v>0</v>
      </c>
      <c r="X64" s="28">
        <f t="shared" si="27"/>
        <v>0</v>
      </c>
      <c r="Y64" s="28">
        <f t="shared" si="27"/>
        <v>40019.1</v>
      </c>
      <c r="Z64" s="28">
        <f t="shared" si="27"/>
        <v>0</v>
      </c>
      <c r="AA64" s="28">
        <f t="shared" si="27"/>
        <v>0</v>
      </c>
      <c r="AB64" s="28">
        <f t="shared" si="27"/>
        <v>0</v>
      </c>
      <c r="AC64" s="28">
        <f t="shared" si="27"/>
        <v>0</v>
      </c>
      <c r="AD64" s="28">
        <f t="shared" si="27"/>
        <v>0</v>
      </c>
      <c r="AE64" s="28">
        <f t="shared" si="27"/>
        <v>0</v>
      </c>
      <c r="AF64" s="231">
        <f t="shared" si="27"/>
        <v>0</v>
      </c>
      <c r="AG64" s="231">
        <f t="shared" si="27"/>
        <v>0</v>
      </c>
      <c r="AH64" s="231">
        <f t="shared" si="27"/>
        <v>0</v>
      </c>
      <c r="AI64" s="231">
        <f t="shared" ref="AI64" si="28">SUM(AI68:AI69)*10.86</f>
        <v>0</v>
      </c>
      <c r="AJ64" s="232">
        <f>SUM(AJ68:AJ69)*10.86</f>
        <v>0</v>
      </c>
      <c r="AK64" s="16"/>
      <c r="AL64" s="142">
        <f>SUM(F64:AJ64)</f>
        <v>78854.459999999992</v>
      </c>
      <c r="DD64" s="13"/>
    </row>
    <row r="65" spans="2:108 15074:15466" s="1" customFormat="1" x14ac:dyDescent="0.3">
      <c r="B65" s="149"/>
      <c r="C65" s="101" t="s">
        <v>43</v>
      </c>
      <c r="D65" s="145"/>
      <c r="E65" s="26" t="s">
        <v>16</v>
      </c>
      <c r="F65" s="28">
        <f>F63-F64</f>
        <v>0</v>
      </c>
      <c r="G65" s="28">
        <f t="shared" ref="G65:AI65" si="29">G63-G64</f>
        <v>0</v>
      </c>
      <c r="H65" s="28">
        <f t="shared" si="29"/>
        <v>0</v>
      </c>
      <c r="I65" s="28">
        <f t="shared" si="29"/>
        <v>0</v>
      </c>
      <c r="J65" s="28">
        <f t="shared" si="29"/>
        <v>0</v>
      </c>
      <c r="K65" s="28">
        <f t="shared" si="29"/>
        <v>3.6200000000026193</v>
      </c>
      <c r="L65" s="28">
        <f t="shared" si="29"/>
        <v>0</v>
      </c>
      <c r="M65" s="28">
        <f t="shared" si="29"/>
        <v>0</v>
      </c>
      <c r="N65" s="28">
        <f t="shared" si="29"/>
        <v>0</v>
      </c>
      <c r="O65" s="28">
        <f t="shared" si="29"/>
        <v>0</v>
      </c>
      <c r="P65" s="28">
        <f t="shared" si="29"/>
        <v>0</v>
      </c>
      <c r="Q65" s="28">
        <f t="shared" si="29"/>
        <v>0</v>
      </c>
      <c r="R65" s="28">
        <f t="shared" si="29"/>
        <v>0</v>
      </c>
      <c r="S65" s="28">
        <f t="shared" si="29"/>
        <v>0</v>
      </c>
      <c r="T65" s="28">
        <f t="shared" si="29"/>
        <v>0</v>
      </c>
      <c r="U65" s="28">
        <f t="shared" si="29"/>
        <v>0</v>
      </c>
      <c r="V65" s="28">
        <f t="shared" si="29"/>
        <v>0</v>
      </c>
      <c r="W65" s="28">
        <f t="shared" si="29"/>
        <v>0</v>
      </c>
      <c r="X65" s="28">
        <f t="shared" si="29"/>
        <v>0</v>
      </c>
      <c r="Y65" s="28">
        <f t="shared" si="29"/>
        <v>7.2300000000032014</v>
      </c>
      <c r="Z65" s="28">
        <f>Z63-Z64</f>
        <v>0</v>
      </c>
      <c r="AA65" s="28">
        <f t="shared" si="29"/>
        <v>0</v>
      </c>
      <c r="AB65" s="28">
        <f t="shared" si="29"/>
        <v>0</v>
      </c>
      <c r="AC65" s="28">
        <f t="shared" si="29"/>
        <v>0</v>
      </c>
      <c r="AD65" s="28">
        <f t="shared" si="29"/>
        <v>0</v>
      </c>
      <c r="AE65" s="28">
        <f t="shared" si="29"/>
        <v>0</v>
      </c>
      <c r="AF65" s="28">
        <f t="shared" si="29"/>
        <v>0</v>
      </c>
      <c r="AG65" s="28">
        <f t="shared" si="29"/>
        <v>0</v>
      </c>
      <c r="AH65" s="28">
        <f t="shared" si="29"/>
        <v>0</v>
      </c>
      <c r="AI65" s="28">
        <f t="shared" si="29"/>
        <v>0</v>
      </c>
      <c r="AJ65" s="43">
        <f>AJ63-AJ64</f>
        <v>0</v>
      </c>
      <c r="AK65" s="16"/>
      <c r="AL65" s="142">
        <f>SUM(F65:AJ65)</f>
        <v>10.850000000005821</v>
      </c>
      <c r="DD65" s="13"/>
    </row>
    <row r="66" spans="2:108 15074:15466" s="1" customFormat="1" x14ac:dyDescent="0.3">
      <c r="B66" s="149"/>
      <c r="C66" s="101" t="s">
        <v>56</v>
      </c>
      <c r="D66" s="145"/>
      <c r="E66" s="21" t="s">
        <v>16</v>
      </c>
      <c r="F66" s="28">
        <v>0</v>
      </c>
      <c r="G66" s="28"/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/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/>
      <c r="AF66" s="28">
        <v>0</v>
      </c>
      <c r="AG66" s="28">
        <v>0</v>
      </c>
      <c r="AH66" s="28">
        <v>0</v>
      </c>
      <c r="AI66" s="28">
        <v>0</v>
      </c>
      <c r="AJ66" s="43">
        <v>0</v>
      </c>
      <c r="AK66" s="16"/>
      <c r="AL66" s="142">
        <f>SUM(F66:AJ66)</f>
        <v>0</v>
      </c>
      <c r="DD66" s="13"/>
    </row>
    <row r="67" spans="2:108 15074:15466" s="1" customFormat="1" x14ac:dyDescent="0.3">
      <c r="B67" s="149"/>
      <c r="C67" s="101" t="s">
        <v>33</v>
      </c>
      <c r="D67" s="145"/>
      <c r="E67" s="2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75"/>
      <c r="AH67" s="75"/>
      <c r="AI67" s="75"/>
      <c r="AJ67" s="44"/>
      <c r="AK67" s="16"/>
      <c r="AL67" s="148" t="s">
        <v>33</v>
      </c>
      <c r="DD67" s="13"/>
    </row>
    <row r="68" spans="2:108 15074:15466" s="17" customFormat="1" ht="13.8" x14ac:dyDescent="0.25">
      <c r="B68" s="171"/>
      <c r="C68" s="233" t="s">
        <v>55</v>
      </c>
      <c r="D68" s="129"/>
      <c r="E68" s="40" t="s">
        <v>36</v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76"/>
      <c r="AH68" s="76"/>
      <c r="AI68" s="76"/>
      <c r="AJ68" s="63"/>
      <c r="AK68" s="91"/>
      <c r="AL68" s="131">
        <f>SUM(F68:AJ68)</f>
        <v>0</v>
      </c>
      <c r="DD68" s="38"/>
    </row>
    <row r="69" spans="2:108 15074:15466" s="17" customFormat="1" ht="13.8" x14ac:dyDescent="0.25">
      <c r="B69" s="171"/>
      <c r="C69" s="233" t="s">
        <v>54</v>
      </c>
      <c r="D69" s="129"/>
      <c r="E69" s="40" t="s">
        <v>36</v>
      </c>
      <c r="F69" s="25"/>
      <c r="G69" s="25"/>
      <c r="H69" s="25"/>
      <c r="I69" s="25"/>
      <c r="J69" s="25"/>
      <c r="K69" s="25">
        <v>3576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>
        <v>3685</v>
      </c>
      <c r="Z69" s="25"/>
      <c r="AA69" s="25"/>
      <c r="AB69" s="25"/>
      <c r="AC69" s="25"/>
      <c r="AD69" s="25"/>
      <c r="AE69" s="25"/>
      <c r="AF69" s="25"/>
      <c r="AG69" s="76"/>
      <c r="AH69" s="76"/>
      <c r="AI69" s="76"/>
      <c r="AJ69" s="63"/>
      <c r="AK69" s="91"/>
      <c r="AL69" s="131">
        <f>SUM(F69:AJ69)</f>
        <v>7261</v>
      </c>
      <c r="DD69" s="38"/>
    </row>
    <row r="70" spans="2:108 15074:15466" s="1" customFormat="1" x14ac:dyDescent="0.3">
      <c r="B70" s="149"/>
      <c r="C70" s="101" t="s">
        <v>32</v>
      </c>
      <c r="D70" s="145"/>
      <c r="E70" s="2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75"/>
      <c r="AH70" s="75"/>
      <c r="AI70" s="75"/>
      <c r="AJ70" s="44"/>
      <c r="AK70" s="16"/>
      <c r="AL70" s="148" t="s">
        <v>32</v>
      </c>
      <c r="DD70" s="13"/>
    </row>
    <row r="71" spans="2:108 15074:15466" s="1" customFormat="1" ht="13.8" x14ac:dyDescent="0.25">
      <c r="B71" s="149"/>
      <c r="C71" s="98" t="s">
        <v>55</v>
      </c>
      <c r="D71" s="145"/>
      <c r="E71" s="26" t="s">
        <v>32</v>
      </c>
      <c r="F71" s="5">
        <f t="shared" ref="F71:AI71" si="30">F68*12</f>
        <v>0</v>
      </c>
      <c r="G71" s="5">
        <f t="shared" si="30"/>
        <v>0</v>
      </c>
      <c r="H71" s="5">
        <f t="shared" si="30"/>
        <v>0</v>
      </c>
      <c r="I71" s="5">
        <f t="shared" si="30"/>
        <v>0</v>
      </c>
      <c r="J71" s="5">
        <f t="shared" si="30"/>
        <v>0</v>
      </c>
      <c r="K71" s="5">
        <f t="shared" si="30"/>
        <v>0</v>
      </c>
      <c r="L71" s="5">
        <f t="shared" si="30"/>
        <v>0</v>
      </c>
      <c r="M71" s="5">
        <f t="shared" si="30"/>
        <v>0</v>
      </c>
      <c r="N71" s="5">
        <f t="shared" si="30"/>
        <v>0</v>
      </c>
      <c r="O71" s="5">
        <f t="shared" si="30"/>
        <v>0</v>
      </c>
      <c r="P71" s="5">
        <f t="shared" si="30"/>
        <v>0</v>
      </c>
      <c r="Q71" s="5">
        <f t="shared" si="30"/>
        <v>0</v>
      </c>
      <c r="R71" s="5">
        <f t="shared" si="30"/>
        <v>0</v>
      </c>
      <c r="S71" s="5">
        <f t="shared" si="30"/>
        <v>0</v>
      </c>
      <c r="T71" s="5">
        <f t="shared" si="30"/>
        <v>0</v>
      </c>
      <c r="U71" s="5">
        <f t="shared" si="30"/>
        <v>0</v>
      </c>
      <c r="V71" s="5">
        <f t="shared" si="30"/>
        <v>0</v>
      </c>
      <c r="W71" s="5">
        <f t="shared" si="30"/>
        <v>0</v>
      </c>
      <c r="X71" s="5">
        <f t="shared" si="30"/>
        <v>0</v>
      </c>
      <c r="Y71" s="5">
        <f t="shared" si="30"/>
        <v>0</v>
      </c>
      <c r="Z71" s="5">
        <f t="shared" si="30"/>
        <v>0</v>
      </c>
      <c r="AA71" s="5">
        <f t="shared" si="30"/>
        <v>0</v>
      </c>
      <c r="AB71" s="5">
        <f t="shared" si="30"/>
        <v>0</v>
      </c>
      <c r="AC71" s="5">
        <f t="shared" si="30"/>
        <v>0</v>
      </c>
      <c r="AD71" s="5">
        <f t="shared" si="30"/>
        <v>0</v>
      </c>
      <c r="AE71" s="5">
        <f t="shared" si="30"/>
        <v>0</v>
      </c>
      <c r="AF71" s="5">
        <f t="shared" si="30"/>
        <v>0</v>
      </c>
      <c r="AG71" s="5">
        <f t="shared" si="30"/>
        <v>0</v>
      </c>
      <c r="AH71" s="5">
        <f t="shared" si="30"/>
        <v>0</v>
      </c>
      <c r="AI71" s="5">
        <f t="shared" si="30"/>
        <v>0</v>
      </c>
      <c r="AJ71" s="44">
        <f>AJ68*12</f>
        <v>0</v>
      </c>
      <c r="AK71" s="16"/>
      <c r="AL71" s="131">
        <f>AL68*12</f>
        <v>0</v>
      </c>
      <c r="DD71" s="13"/>
    </row>
    <row r="72" spans="2:108 15074:15466" s="1" customFormat="1" ht="13.8" x14ac:dyDescent="0.25">
      <c r="B72" s="149"/>
      <c r="C72" s="98" t="s">
        <v>54</v>
      </c>
      <c r="D72" s="145"/>
      <c r="E72" s="26" t="s">
        <v>32</v>
      </c>
      <c r="F72" s="5">
        <f t="shared" ref="F72:AI72" si="31">F69*6</f>
        <v>0</v>
      </c>
      <c r="G72" s="5">
        <f t="shared" si="31"/>
        <v>0</v>
      </c>
      <c r="H72" s="5">
        <v>0</v>
      </c>
      <c r="I72" s="5">
        <f t="shared" si="31"/>
        <v>0</v>
      </c>
      <c r="J72" s="5">
        <f t="shared" si="31"/>
        <v>0</v>
      </c>
      <c r="K72" s="5">
        <f t="shared" si="31"/>
        <v>21456</v>
      </c>
      <c r="L72" s="5">
        <f t="shared" si="31"/>
        <v>0</v>
      </c>
      <c r="M72" s="5">
        <f t="shared" si="31"/>
        <v>0</v>
      </c>
      <c r="N72" s="5">
        <f t="shared" si="31"/>
        <v>0</v>
      </c>
      <c r="O72" s="5">
        <f t="shared" si="31"/>
        <v>0</v>
      </c>
      <c r="P72" s="5">
        <f t="shared" si="31"/>
        <v>0</v>
      </c>
      <c r="Q72" s="5">
        <f t="shared" si="31"/>
        <v>0</v>
      </c>
      <c r="R72" s="5">
        <f t="shared" si="31"/>
        <v>0</v>
      </c>
      <c r="S72" s="5">
        <f t="shared" si="31"/>
        <v>0</v>
      </c>
      <c r="T72" s="5">
        <f t="shared" si="31"/>
        <v>0</v>
      </c>
      <c r="U72" s="5">
        <f t="shared" si="31"/>
        <v>0</v>
      </c>
      <c r="V72" s="5">
        <f t="shared" si="31"/>
        <v>0</v>
      </c>
      <c r="W72" s="5">
        <f t="shared" si="31"/>
        <v>0</v>
      </c>
      <c r="X72" s="5">
        <f t="shared" si="31"/>
        <v>0</v>
      </c>
      <c r="Y72" s="5">
        <f t="shared" si="31"/>
        <v>22110</v>
      </c>
      <c r="Z72" s="5">
        <f t="shared" si="31"/>
        <v>0</v>
      </c>
      <c r="AA72" s="5">
        <f t="shared" si="31"/>
        <v>0</v>
      </c>
      <c r="AB72" s="5">
        <f t="shared" si="31"/>
        <v>0</v>
      </c>
      <c r="AC72" s="5">
        <f t="shared" si="31"/>
        <v>0</v>
      </c>
      <c r="AD72" s="5">
        <f t="shared" si="31"/>
        <v>0</v>
      </c>
      <c r="AE72" s="5">
        <f t="shared" si="31"/>
        <v>0</v>
      </c>
      <c r="AF72" s="5">
        <f t="shared" si="31"/>
        <v>0</v>
      </c>
      <c r="AG72" s="5">
        <f t="shared" si="31"/>
        <v>0</v>
      </c>
      <c r="AH72" s="5">
        <f t="shared" si="31"/>
        <v>0</v>
      </c>
      <c r="AI72" s="5">
        <f t="shared" si="31"/>
        <v>0</v>
      </c>
      <c r="AJ72" s="44">
        <f>AJ69*6</f>
        <v>0</v>
      </c>
      <c r="AK72" s="16"/>
      <c r="AL72" s="131">
        <f>AL69*6</f>
        <v>43566</v>
      </c>
      <c r="DD72" s="13"/>
    </row>
    <row r="73" spans="2:108 15074:15466" s="1" customFormat="1" x14ac:dyDescent="0.3">
      <c r="B73" s="149"/>
      <c r="C73" s="101" t="s">
        <v>41</v>
      </c>
      <c r="D73" s="145"/>
      <c r="E73" s="26" t="s">
        <v>40</v>
      </c>
      <c r="F73" s="234">
        <f>(F63*45)/1700</f>
        <v>0</v>
      </c>
      <c r="G73" s="235">
        <f>(G63*45)/1700</f>
        <v>0</v>
      </c>
      <c r="H73" s="235">
        <f t="shared" ref="H73:AI73" si="32">(H63*45)/1700</f>
        <v>0</v>
      </c>
      <c r="I73" s="235">
        <f t="shared" si="32"/>
        <v>0</v>
      </c>
      <c r="J73" s="235">
        <f t="shared" si="32"/>
        <v>0</v>
      </c>
      <c r="K73" s="235">
        <f t="shared" si="32"/>
        <v>1028.0906470588236</v>
      </c>
      <c r="L73" s="235">
        <f t="shared" si="32"/>
        <v>0</v>
      </c>
      <c r="M73" s="235">
        <f t="shared" si="32"/>
        <v>0</v>
      </c>
      <c r="N73" s="235">
        <f t="shared" si="32"/>
        <v>0</v>
      </c>
      <c r="O73" s="235">
        <f t="shared" si="32"/>
        <v>0</v>
      </c>
      <c r="P73" s="235">
        <f t="shared" si="32"/>
        <v>0</v>
      </c>
      <c r="Q73" s="235">
        <f t="shared" si="32"/>
        <v>0</v>
      </c>
      <c r="R73" s="235">
        <f t="shared" si="32"/>
        <v>0</v>
      </c>
      <c r="S73" s="235">
        <f t="shared" si="32"/>
        <v>0</v>
      </c>
      <c r="T73" s="235">
        <f t="shared" si="32"/>
        <v>0</v>
      </c>
      <c r="U73" s="235">
        <f t="shared" si="32"/>
        <v>0</v>
      </c>
      <c r="V73" s="235">
        <f t="shared" si="32"/>
        <v>0</v>
      </c>
      <c r="W73" s="235">
        <f t="shared" si="32"/>
        <v>0</v>
      </c>
      <c r="X73" s="235">
        <f t="shared" si="32"/>
        <v>0</v>
      </c>
      <c r="Y73" s="235">
        <f t="shared" si="32"/>
        <v>1059.5205000000001</v>
      </c>
      <c r="Z73" s="235">
        <f t="shared" si="32"/>
        <v>0</v>
      </c>
      <c r="AA73" s="235">
        <f t="shared" si="32"/>
        <v>0</v>
      </c>
      <c r="AB73" s="235">
        <f t="shared" si="32"/>
        <v>0</v>
      </c>
      <c r="AC73" s="235">
        <f t="shared" si="32"/>
        <v>0</v>
      </c>
      <c r="AD73" s="235">
        <f t="shared" si="32"/>
        <v>0</v>
      </c>
      <c r="AE73" s="235">
        <f t="shared" si="32"/>
        <v>0</v>
      </c>
      <c r="AF73" s="235">
        <f t="shared" si="32"/>
        <v>0</v>
      </c>
      <c r="AG73" s="235">
        <f t="shared" si="32"/>
        <v>0</v>
      </c>
      <c r="AH73" s="235">
        <f t="shared" si="32"/>
        <v>0</v>
      </c>
      <c r="AI73" s="235">
        <f t="shared" si="32"/>
        <v>0</v>
      </c>
      <c r="AJ73" s="236">
        <f>(AJ63*45)/1700</f>
        <v>0</v>
      </c>
      <c r="AK73" s="16"/>
      <c r="AL73" s="131">
        <f>SUM(F73:AJ73)</f>
        <v>2087.6111470588239</v>
      </c>
      <c r="DD73" s="13"/>
    </row>
    <row r="74" spans="2:108 15074:15466" s="1" customFormat="1" x14ac:dyDescent="0.3">
      <c r="B74" s="149"/>
      <c r="C74" s="101" t="s">
        <v>39</v>
      </c>
      <c r="D74" s="145"/>
      <c r="E74" s="26" t="s">
        <v>38</v>
      </c>
      <c r="F74" s="5">
        <f t="shared" ref="F74:AH74" si="33">SUM(F68:F69)/500</f>
        <v>0</v>
      </c>
      <c r="G74" s="5">
        <f t="shared" si="33"/>
        <v>0</v>
      </c>
      <c r="H74" s="5">
        <f t="shared" si="33"/>
        <v>0</v>
      </c>
      <c r="I74" s="5">
        <f t="shared" si="33"/>
        <v>0</v>
      </c>
      <c r="J74" s="5">
        <f t="shared" si="33"/>
        <v>0</v>
      </c>
      <c r="K74" s="5">
        <f t="shared" si="33"/>
        <v>7.1520000000000001</v>
      </c>
      <c r="L74" s="5">
        <f t="shared" si="33"/>
        <v>0</v>
      </c>
      <c r="M74" s="5">
        <f t="shared" si="33"/>
        <v>0</v>
      </c>
      <c r="N74" s="5">
        <f t="shared" si="33"/>
        <v>0</v>
      </c>
      <c r="O74" s="5">
        <f t="shared" si="33"/>
        <v>0</v>
      </c>
      <c r="P74" s="5">
        <f t="shared" si="33"/>
        <v>0</v>
      </c>
      <c r="Q74" s="5">
        <f t="shared" si="33"/>
        <v>0</v>
      </c>
      <c r="R74" s="5">
        <f t="shared" si="33"/>
        <v>0</v>
      </c>
      <c r="S74" s="5">
        <f t="shared" si="33"/>
        <v>0</v>
      </c>
      <c r="T74" s="5">
        <f t="shared" si="33"/>
        <v>0</v>
      </c>
      <c r="U74" s="5">
        <f t="shared" si="33"/>
        <v>0</v>
      </c>
      <c r="V74" s="5">
        <f t="shared" si="33"/>
        <v>0</v>
      </c>
      <c r="W74" s="5">
        <f t="shared" si="33"/>
        <v>0</v>
      </c>
      <c r="X74" s="5">
        <f t="shared" si="33"/>
        <v>0</v>
      </c>
      <c r="Y74" s="5">
        <f t="shared" si="33"/>
        <v>7.37</v>
      </c>
      <c r="Z74" s="5">
        <f t="shared" si="33"/>
        <v>0</v>
      </c>
      <c r="AA74" s="5">
        <f t="shared" si="33"/>
        <v>0</v>
      </c>
      <c r="AB74" s="5">
        <f t="shared" si="33"/>
        <v>0</v>
      </c>
      <c r="AC74" s="5">
        <f t="shared" si="33"/>
        <v>0</v>
      </c>
      <c r="AD74" s="5">
        <f t="shared" si="33"/>
        <v>0</v>
      </c>
      <c r="AE74" s="5">
        <f t="shared" si="33"/>
        <v>0</v>
      </c>
      <c r="AF74" s="5">
        <f t="shared" si="33"/>
        <v>0</v>
      </c>
      <c r="AG74" s="5">
        <f t="shared" si="33"/>
        <v>0</v>
      </c>
      <c r="AH74" s="5">
        <f t="shared" si="33"/>
        <v>0</v>
      </c>
      <c r="AI74" s="5">
        <f t="shared" ref="AI74" si="34">SUM(AI68:AI69)/500</f>
        <v>0</v>
      </c>
      <c r="AJ74" s="44">
        <f>SUM(AJ68:AJ69)/500</f>
        <v>0</v>
      </c>
      <c r="AK74" s="16"/>
      <c r="AL74" s="131">
        <f>SUM(F74:AJ74)</f>
        <v>14.522</v>
      </c>
      <c r="DD74" s="13"/>
    </row>
    <row r="75" spans="2:108 15074:15466" s="1" customFormat="1" x14ac:dyDescent="0.3">
      <c r="B75" s="97"/>
      <c r="C75" s="99" t="s">
        <v>37</v>
      </c>
      <c r="D75" s="115"/>
      <c r="E75" s="41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116"/>
      <c r="AD75" s="24"/>
      <c r="AE75" s="24"/>
      <c r="AF75" s="24"/>
      <c r="AG75" s="77"/>
      <c r="AH75" s="77"/>
      <c r="AI75" s="77"/>
      <c r="AJ75" s="85"/>
      <c r="AK75" s="117"/>
      <c r="AL75" s="182" t="s">
        <v>34</v>
      </c>
      <c r="DD75" s="3"/>
      <c r="VGT75"/>
      <c r="VGU75"/>
      <c r="VGV75"/>
      <c r="VGW75"/>
      <c r="VGX75"/>
      <c r="VGY75"/>
      <c r="VGZ75"/>
      <c r="VHA75"/>
      <c r="VHB75"/>
      <c r="VHC75"/>
      <c r="VHD75"/>
      <c r="VHE75"/>
      <c r="VHF75"/>
      <c r="VHG75"/>
      <c r="VHH75"/>
      <c r="VHI75"/>
      <c r="VHJ75"/>
      <c r="VHK75"/>
      <c r="VHL75"/>
      <c r="VHM75"/>
      <c r="VHN75"/>
      <c r="VHO75"/>
      <c r="VHP75"/>
      <c r="VHQ75"/>
      <c r="VHR75"/>
      <c r="VHS75"/>
      <c r="VHT75"/>
      <c r="VHU75"/>
      <c r="VHV75"/>
      <c r="VHW75"/>
      <c r="VHX75"/>
      <c r="VHY75"/>
      <c r="VHZ75"/>
      <c r="VIA75"/>
      <c r="VIB75"/>
      <c r="VIC75"/>
      <c r="VID75"/>
      <c r="VIE75"/>
      <c r="VIF75"/>
      <c r="VIG75"/>
      <c r="VIH75"/>
      <c r="VII75"/>
      <c r="VIJ75"/>
      <c r="VIK75"/>
      <c r="VIL75"/>
      <c r="VIM75"/>
      <c r="VIN75"/>
      <c r="VIO75"/>
      <c r="VIP75"/>
      <c r="VIQ75"/>
      <c r="VIR75"/>
      <c r="VIS75"/>
      <c r="VIT75"/>
      <c r="VIU75"/>
      <c r="VIV75"/>
      <c r="VIW75"/>
      <c r="VIX75"/>
      <c r="VIY75"/>
      <c r="VIZ75"/>
      <c r="VJA75"/>
      <c r="VJB75"/>
      <c r="VJC75"/>
      <c r="VJD75"/>
      <c r="VJE75"/>
      <c r="VJF75"/>
      <c r="VJG75"/>
      <c r="VJH75"/>
      <c r="VJI75"/>
      <c r="VJJ75"/>
      <c r="VJK75"/>
      <c r="VJL75"/>
      <c r="VJM75"/>
      <c r="VJN75"/>
      <c r="VJO75"/>
      <c r="VJP75"/>
      <c r="VJQ75"/>
      <c r="VJR75"/>
      <c r="VJS75"/>
      <c r="VJT75"/>
      <c r="VJU75"/>
      <c r="VJV75"/>
      <c r="VJW75"/>
      <c r="VJX75"/>
      <c r="VJY75"/>
      <c r="VJZ75"/>
      <c r="VKA75"/>
      <c r="VKB75"/>
      <c r="VKC75"/>
      <c r="VKD75"/>
      <c r="VKE75"/>
      <c r="VKF75"/>
      <c r="VKG75"/>
      <c r="VKH75"/>
      <c r="VKI75"/>
      <c r="VKJ75"/>
      <c r="VKK75"/>
      <c r="VKL75"/>
      <c r="VKM75"/>
      <c r="VKN75"/>
      <c r="VKO75"/>
      <c r="VKP75"/>
      <c r="VKQ75"/>
      <c r="VKR75"/>
      <c r="VKS75"/>
      <c r="VKT75"/>
      <c r="VKU75"/>
      <c r="VKV75"/>
      <c r="VKW75"/>
      <c r="VKX75"/>
      <c r="VKY75"/>
      <c r="VKZ75"/>
      <c r="VLA75"/>
      <c r="VLB75"/>
      <c r="VLC75"/>
      <c r="VLD75"/>
      <c r="VLE75"/>
      <c r="VLF75"/>
      <c r="VLG75"/>
      <c r="VLH75"/>
      <c r="VLI75"/>
      <c r="VLJ75"/>
      <c r="VLK75"/>
      <c r="VLL75"/>
      <c r="VLM75"/>
      <c r="VLN75"/>
      <c r="VLO75"/>
      <c r="VLP75"/>
      <c r="VLQ75"/>
      <c r="VLR75"/>
      <c r="VLS75"/>
      <c r="VLT75"/>
      <c r="VLU75"/>
      <c r="VLV75"/>
      <c r="VLW75"/>
      <c r="VLX75"/>
      <c r="VLY75"/>
      <c r="VLZ75"/>
      <c r="VMA75"/>
      <c r="VMB75"/>
      <c r="VMC75"/>
      <c r="VMD75"/>
      <c r="VME75"/>
      <c r="VMF75"/>
      <c r="VMG75"/>
      <c r="VMH75"/>
      <c r="VMI75"/>
      <c r="VMJ75"/>
      <c r="VMK75"/>
      <c r="VML75"/>
      <c r="VMM75"/>
      <c r="VMN75"/>
      <c r="VMO75"/>
      <c r="VMP75"/>
      <c r="VMQ75"/>
      <c r="VMR75"/>
      <c r="VMS75"/>
      <c r="VMT75"/>
      <c r="VMU75"/>
      <c r="VMV75"/>
      <c r="VMW75"/>
      <c r="VMX75"/>
      <c r="VMY75"/>
      <c r="VMZ75"/>
      <c r="VNA75"/>
      <c r="VNB75"/>
      <c r="VNC75"/>
      <c r="VND75"/>
      <c r="VNE75"/>
      <c r="VNF75"/>
      <c r="VNG75"/>
      <c r="VNH75"/>
      <c r="VNI75"/>
      <c r="VNJ75"/>
      <c r="VNK75"/>
      <c r="VNL75"/>
      <c r="VNM75"/>
      <c r="VNN75"/>
      <c r="VNO75"/>
      <c r="VNP75"/>
      <c r="VNQ75"/>
      <c r="VNR75"/>
      <c r="VNS75"/>
      <c r="VNT75"/>
      <c r="VNU75"/>
      <c r="VNV75"/>
      <c r="VNW75"/>
      <c r="VNX75"/>
      <c r="VNY75"/>
      <c r="VNZ75"/>
      <c r="VOA75"/>
      <c r="VOB75"/>
      <c r="VOC75"/>
      <c r="VOD75"/>
      <c r="VOE75"/>
      <c r="VOF75"/>
      <c r="VOG75"/>
      <c r="VOH75"/>
      <c r="VOI75"/>
      <c r="VOJ75"/>
      <c r="VOK75"/>
      <c r="VOL75"/>
      <c r="VOM75"/>
      <c r="VON75"/>
      <c r="VOO75"/>
      <c r="VOP75"/>
      <c r="VOQ75"/>
      <c r="VOR75"/>
      <c r="VOS75"/>
      <c r="VOT75"/>
      <c r="VOU75"/>
      <c r="VOV75"/>
      <c r="VOW75"/>
      <c r="VOX75"/>
      <c r="VOY75"/>
      <c r="VOZ75"/>
      <c r="VPA75"/>
      <c r="VPB75"/>
      <c r="VPC75"/>
      <c r="VPD75"/>
      <c r="VPE75"/>
      <c r="VPF75"/>
      <c r="VPG75"/>
      <c r="VPH75"/>
      <c r="VPI75"/>
      <c r="VPJ75"/>
      <c r="VPK75"/>
      <c r="VPL75"/>
      <c r="VPM75"/>
      <c r="VPN75"/>
      <c r="VPO75"/>
      <c r="VPP75"/>
      <c r="VPQ75"/>
      <c r="VPR75"/>
      <c r="VPS75"/>
      <c r="VPT75"/>
      <c r="VPU75"/>
      <c r="VPV75"/>
      <c r="VPW75"/>
      <c r="VPX75"/>
      <c r="VPY75"/>
      <c r="VPZ75"/>
      <c r="VQA75"/>
      <c r="VQB75"/>
      <c r="VQC75"/>
      <c r="VQD75"/>
      <c r="VQE75"/>
      <c r="VQF75"/>
      <c r="VQG75"/>
      <c r="VQH75"/>
      <c r="VQI75"/>
      <c r="VQJ75"/>
      <c r="VQK75"/>
      <c r="VQL75"/>
      <c r="VQM75"/>
      <c r="VQN75"/>
      <c r="VQO75"/>
      <c r="VQP75"/>
      <c r="VQQ75"/>
      <c r="VQR75"/>
      <c r="VQS75"/>
      <c r="VQT75"/>
      <c r="VQU75"/>
      <c r="VQV75"/>
      <c r="VQW75"/>
      <c r="VQX75"/>
      <c r="VQY75"/>
      <c r="VQZ75"/>
      <c r="VRA75"/>
      <c r="VRB75"/>
      <c r="VRC75"/>
      <c r="VRD75"/>
      <c r="VRE75"/>
      <c r="VRF75"/>
      <c r="VRG75"/>
      <c r="VRH75"/>
      <c r="VRI75"/>
      <c r="VRJ75"/>
      <c r="VRK75"/>
      <c r="VRL75"/>
      <c r="VRM75"/>
      <c r="VRN75"/>
      <c r="VRO75"/>
      <c r="VRP75"/>
      <c r="VRQ75"/>
      <c r="VRR75"/>
      <c r="VRS75"/>
      <c r="VRT75"/>
      <c r="VRU75"/>
      <c r="VRV75"/>
      <c r="VRW75"/>
      <c r="VRX75"/>
      <c r="VRY75"/>
      <c r="VRZ75"/>
      <c r="VSA75"/>
      <c r="VSB75"/>
      <c r="VSC75"/>
      <c r="VSD75"/>
      <c r="VSE75"/>
      <c r="VSF75"/>
      <c r="VSG75"/>
      <c r="VSH75"/>
      <c r="VSI75"/>
      <c r="VSJ75"/>
      <c r="VSK75"/>
      <c r="VSL75"/>
      <c r="VSM75"/>
      <c r="VSN75"/>
      <c r="VSO75"/>
      <c r="VSP75"/>
      <c r="VSQ75"/>
      <c r="VSR75"/>
      <c r="VSS75"/>
      <c r="VST75"/>
      <c r="VSU75"/>
      <c r="VSV75"/>
      <c r="VSW75"/>
      <c r="VSX75"/>
      <c r="VSY75"/>
      <c r="VSZ75"/>
      <c r="VTA75"/>
      <c r="VTB75"/>
      <c r="VTC75"/>
      <c r="VTD75"/>
      <c r="VTE75"/>
      <c r="VTF75"/>
      <c r="VTG75"/>
      <c r="VTH75"/>
      <c r="VTI75"/>
      <c r="VTJ75"/>
      <c r="VTK75"/>
      <c r="VTL75"/>
      <c r="VTM75"/>
      <c r="VTN75"/>
      <c r="VTO75"/>
      <c r="VTP75"/>
      <c r="VTQ75"/>
      <c r="VTR75"/>
      <c r="VTS75"/>
      <c r="VTT75"/>
      <c r="VTU75"/>
      <c r="VTV75"/>
      <c r="VTW75"/>
      <c r="VTX75"/>
      <c r="VTY75"/>
      <c r="VTZ75"/>
      <c r="VUA75"/>
      <c r="VUB75"/>
      <c r="VUC75"/>
      <c r="VUD75"/>
      <c r="VUE75"/>
      <c r="VUF75"/>
      <c r="VUG75"/>
      <c r="VUH75"/>
      <c r="VUI75"/>
      <c r="VUJ75"/>
      <c r="VUK75"/>
      <c r="VUL75"/>
      <c r="VUM75"/>
      <c r="VUN75"/>
      <c r="VUO75"/>
      <c r="VUP75"/>
      <c r="VUQ75"/>
      <c r="VUR75"/>
      <c r="VUS75"/>
      <c r="VUT75"/>
      <c r="VUU75"/>
      <c r="VUV75"/>
      <c r="VUW75"/>
      <c r="VUX75"/>
      <c r="VUY75"/>
      <c r="VUZ75"/>
      <c r="VVA75"/>
      <c r="VVB75"/>
      <c r="VVC75"/>
      <c r="VVD75"/>
      <c r="VVE75"/>
      <c r="VVF75"/>
      <c r="VVG75"/>
      <c r="VVH75"/>
      <c r="VVI75"/>
      <c r="VVJ75"/>
      <c r="VVK75"/>
      <c r="VVL75"/>
      <c r="VVM75"/>
      <c r="VVN75"/>
      <c r="VVO75"/>
      <c r="VVP75"/>
      <c r="VVQ75"/>
      <c r="VVR75"/>
      <c r="VVS75"/>
      <c r="VVT75"/>
      <c r="VVU75"/>
      <c r="VVV75"/>
    </row>
    <row r="76" spans="2:108 15074:15466" s="1" customFormat="1" x14ac:dyDescent="0.3">
      <c r="B76" s="149"/>
      <c r="C76" s="101" t="s">
        <v>33</v>
      </c>
      <c r="D76" s="145"/>
      <c r="E76" s="21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75"/>
      <c r="AH76" s="75"/>
      <c r="AI76" s="75"/>
      <c r="AJ76" s="44"/>
      <c r="AK76" s="16"/>
      <c r="AL76" s="148" t="s">
        <v>33</v>
      </c>
      <c r="DD76" s="13"/>
    </row>
    <row r="77" spans="2:108 15074:15466" s="1" customFormat="1" ht="13.8" x14ac:dyDescent="0.25">
      <c r="B77" s="149"/>
      <c r="C77" s="98" t="s">
        <v>55</v>
      </c>
      <c r="D77" s="145"/>
      <c r="E77" s="26" t="s">
        <v>36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75"/>
      <c r="AH77" s="75"/>
      <c r="AI77" s="75"/>
      <c r="AJ77" s="44"/>
      <c r="AK77" s="16"/>
      <c r="AL77" s="131">
        <f>SUM(F77:AJ77)</f>
        <v>0</v>
      </c>
      <c r="DD77" s="13"/>
    </row>
    <row r="78" spans="2:108 15074:15466" s="1" customFormat="1" ht="13.8" x14ac:dyDescent="0.25">
      <c r="B78" s="149"/>
      <c r="C78" s="98" t="s">
        <v>54</v>
      </c>
      <c r="D78" s="145"/>
      <c r="E78" s="26" t="s">
        <v>36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75"/>
      <c r="AH78" s="75"/>
      <c r="AI78" s="75"/>
      <c r="AJ78" s="44"/>
      <c r="AK78" s="16"/>
      <c r="AL78" s="131">
        <f>SUM(F78:AJ78)</f>
        <v>0</v>
      </c>
      <c r="DD78" s="13"/>
    </row>
    <row r="79" spans="2:108 15074:15466" s="1" customFormat="1" x14ac:dyDescent="0.3">
      <c r="B79" s="149"/>
      <c r="C79" s="101" t="s">
        <v>32</v>
      </c>
      <c r="D79" s="145"/>
      <c r="E79" s="2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75"/>
      <c r="AH79" s="75"/>
      <c r="AI79" s="75"/>
      <c r="AJ79" s="44"/>
      <c r="AK79" s="16"/>
      <c r="AL79" s="148" t="s">
        <v>32</v>
      </c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DD79" s="13"/>
    </row>
    <row r="80" spans="2:108 15074:15466" s="1" customFormat="1" ht="13.8" x14ac:dyDescent="0.25">
      <c r="B80" s="149"/>
      <c r="C80" s="98" t="s">
        <v>55</v>
      </c>
      <c r="D80" s="145"/>
      <c r="E80" s="26" t="s">
        <v>32</v>
      </c>
      <c r="F80" s="25">
        <f>F77*12</f>
        <v>0</v>
      </c>
      <c r="G80" s="25">
        <f t="shared" ref="G80:AJ80" si="35">G77*12</f>
        <v>0</v>
      </c>
      <c r="H80" s="25">
        <f t="shared" si="35"/>
        <v>0</v>
      </c>
      <c r="I80" s="25">
        <f t="shared" si="35"/>
        <v>0</v>
      </c>
      <c r="J80" s="25">
        <f t="shared" si="35"/>
        <v>0</v>
      </c>
      <c r="K80" s="25">
        <f t="shared" si="35"/>
        <v>0</v>
      </c>
      <c r="L80" s="25"/>
      <c r="M80" s="25">
        <f t="shared" si="35"/>
        <v>0</v>
      </c>
      <c r="N80" s="25">
        <f t="shared" si="35"/>
        <v>0</v>
      </c>
      <c r="O80" s="25">
        <f t="shared" si="35"/>
        <v>0</v>
      </c>
      <c r="P80" s="25">
        <f t="shared" si="35"/>
        <v>0</v>
      </c>
      <c r="Q80" s="25">
        <f t="shared" si="35"/>
        <v>0</v>
      </c>
      <c r="R80" s="25">
        <f t="shared" si="35"/>
        <v>0</v>
      </c>
      <c r="S80" s="25">
        <f t="shared" si="35"/>
        <v>0</v>
      </c>
      <c r="T80" s="25">
        <f t="shared" si="35"/>
        <v>0</v>
      </c>
      <c r="U80" s="25">
        <f t="shared" si="35"/>
        <v>0</v>
      </c>
      <c r="V80" s="25">
        <f t="shared" si="35"/>
        <v>0</v>
      </c>
      <c r="W80" s="25">
        <f t="shared" si="35"/>
        <v>0</v>
      </c>
      <c r="X80" s="25">
        <f t="shared" si="35"/>
        <v>0</v>
      </c>
      <c r="Y80" s="25">
        <f t="shared" si="35"/>
        <v>0</v>
      </c>
      <c r="Z80" s="25">
        <f t="shared" si="35"/>
        <v>0</v>
      </c>
      <c r="AA80" s="25">
        <f t="shared" si="35"/>
        <v>0</v>
      </c>
      <c r="AB80" s="25">
        <f t="shared" si="35"/>
        <v>0</v>
      </c>
      <c r="AC80" s="25">
        <f t="shared" si="35"/>
        <v>0</v>
      </c>
      <c r="AD80" s="25">
        <f t="shared" si="35"/>
        <v>0</v>
      </c>
      <c r="AE80" s="25">
        <f t="shared" si="35"/>
        <v>0</v>
      </c>
      <c r="AF80" s="25">
        <f t="shared" si="35"/>
        <v>0</v>
      </c>
      <c r="AG80" s="25">
        <f t="shared" si="35"/>
        <v>0</v>
      </c>
      <c r="AH80" s="25">
        <f t="shared" si="35"/>
        <v>0</v>
      </c>
      <c r="AI80" s="25">
        <f t="shared" si="35"/>
        <v>0</v>
      </c>
      <c r="AJ80" s="63">
        <f t="shared" si="35"/>
        <v>0</v>
      </c>
      <c r="AK80" s="16"/>
      <c r="AL80" s="131">
        <f>SUM(F80:AJ80)</f>
        <v>0</v>
      </c>
      <c r="CL80" s="14"/>
      <c r="CM80" s="13"/>
      <c r="CN80" s="13"/>
      <c r="CO80" s="13"/>
      <c r="CP80" s="39"/>
      <c r="CQ80" s="13"/>
      <c r="CR80" s="13"/>
      <c r="CS80" s="13"/>
      <c r="CT80" s="13"/>
      <c r="CU80" s="13"/>
      <c r="DD80" s="13"/>
    </row>
    <row r="81" spans="2:108 15074:15466" s="1" customFormat="1" ht="13.8" x14ac:dyDescent="0.25">
      <c r="B81" s="149"/>
      <c r="C81" s="98" t="s">
        <v>54</v>
      </c>
      <c r="D81" s="145"/>
      <c r="E81" s="26" t="s">
        <v>32</v>
      </c>
      <c r="F81" s="25">
        <f>F78*6</f>
        <v>0</v>
      </c>
      <c r="G81" s="25">
        <f t="shared" ref="G81:AJ81" si="36">G78*6</f>
        <v>0</v>
      </c>
      <c r="H81" s="25">
        <f t="shared" si="36"/>
        <v>0</v>
      </c>
      <c r="I81" s="25">
        <f t="shared" si="36"/>
        <v>0</v>
      </c>
      <c r="J81" s="25">
        <f t="shared" si="36"/>
        <v>0</v>
      </c>
      <c r="K81" s="25">
        <f t="shared" si="36"/>
        <v>0</v>
      </c>
      <c r="L81" s="25">
        <f t="shared" si="36"/>
        <v>0</v>
      </c>
      <c r="M81" s="25">
        <f t="shared" si="36"/>
        <v>0</v>
      </c>
      <c r="N81" s="25">
        <f t="shared" si="36"/>
        <v>0</v>
      </c>
      <c r="O81" s="25">
        <f t="shared" si="36"/>
        <v>0</v>
      </c>
      <c r="P81" s="25">
        <f t="shared" si="36"/>
        <v>0</v>
      </c>
      <c r="Q81" s="25">
        <f t="shared" si="36"/>
        <v>0</v>
      </c>
      <c r="R81" s="25">
        <f t="shared" si="36"/>
        <v>0</v>
      </c>
      <c r="S81" s="25">
        <f t="shared" si="36"/>
        <v>0</v>
      </c>
      <c r="T81" s="25">
        <f t="shared" si="36"/>
        <v>0</v>
      </c>
      <c r="U81" s="25">
        <f t="shared" si="36"/>
        <v>0</v>
      </c>
      <c r="V81" s="25">
        <f t="shared" si="36"/>
        <v>0</v>
      </c>
      <c r="W81" s="25">
        <f t="shared" si="36"/>
        <v>0</v>
      </c>
      <c r="X81" s="25">
        <f t="shared" si="36"/>
        <v>0</v>
      </c>
      <c r="Y81" s="25">
        <f t="shared" si="36"/>
        <v>0</v>
      </c>
      <c r="Z81" s="25">
        <f t="shared" si="36"/>
        <v>0</v>
      </c>
      <c r="AA81" s="25">
        <f t="shared" si="36"/>
        <v>0</v>
      </c>
      <c r="AB81" s="25">
        <f t="shared" si="36"/>
        <v>0</v>
      </c>
      <c r="AC81" s="25">
        <f t="shared" si="36"/>
        <v>0</v>
      </c>
      <c r="AD81" s="25">
        <f t="shared" si="36"/>
        <v>0</v>
      </c>
      <c r="AE81" s="25">
        <f t="shared" si="36"/>
        <v>0</v>
      </c>
      <c r="AF81" s="25">
        <f t="shared" si="36"/>
        <v>0</v>
      </c>
      <c r="AG81" s="25">
        <f t="shared" si="36"/>
        <v>0</v>
      </c>
      <c r="AH81" s="25">
        <f t="shared" si="36"/>
        <v>0</v>
      </c>
      <c r="AI81" s="25">
        <f t="shared" si="36"/>
        <v>0</v>
      </c>
      <c r="AJ81" s="63">
        <f t="shared" si="36"/>
        <v>0</v>
      </c>
      <c r="AK81" s="16"/>
      <c r="AL81" s="131">
        <f>SUM(F81:AJ81)</f>
        <v>0</v>
      </c>
      <c r="CL81" s="3"/>
      <c r="CM81" s="13"/>
      <c r="CN81" s="13"/>
      <c r="CO81" s="13"/>
      <c r="CP81" s="13"/>
      <c r="CQ81" s="13"/>
      <c r="CR81" s="13"/>
      <c r="CS81" s="13"/>
      <c r="CT81" s="13"/>
      <c r="CU81" s="13"/>
      <c r="DD81" s="13"/>
    </row>
    <row r="82" spans="2:108 15074:15466" x14ac:dyDescent="0.3">
      <c r="B82" s="97"/>
      <c r="C82" s="99" t="s">
        <v>35</v>
      </c>
      <c r="D82" s="115"/>
      <c r="E82" s="41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116"/>
      <c r="AD82" s="24"/>
      <c r="AE82" s="24"/>
      <c r="AF82" s="24"/>
      <c r="AG82" s="77"/>
      <c r="AH82" s="77"/>
      <c r="AI82" s="77"/>
      <c r="AJ82" s="85"/>
      <c r="AK82" s="117"/>
      <c r="AL82" s="182" t="s">
        <v>34</v>
      </c>
      <c r="CL82" s="3"/>
      <c r="CM82" s="3"/>
      <c r="CN82" s="3"/>
      <c r="CO82" s="3"/>
      <c r="CP82" s="3"/>
      <c r="CQ82" s="3"/>
      <c r="CR82" s="3"/>
      <c r="CS82" s="3"/>
      <c r="CT82" s="3"/>
      <c r="CU82" s="3"/>
    </row>
    <row r="83" spans="2:108 15074:15466" s="1" customFormat="1" x14ac:dyDescent="0.3">
      <c r="B83" s="149"/>
      <c r="C83" s="101" t="s">
        <v>33</v>
      </c>
      <c r="D83" s="145"/>
      <c r="E83" s="2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75"/>
      <c r="AH83" s="75"/>
      <c r="AI83" s="75"/>
      <c r="AJ83" s="44"/>
      <c r="AK83" s="16"/>
      <c r="AL83" s="148" t="s">
        <v>33</v>
      </c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DD83" s="13"/>
    </row>
    <row r="84" spans="2:108 15074:15466" s="1" customFormat="1" ht="13.8" x14ac:dyDescent="0.25">
      <c r="B84" s="149"/>
      <c r="C84" s="98" t="s">
        <v>55</v>
      </c>
      <c r="D84" s="34">
        <v>0.3</v>
      </c>
      <c r="E84" s="26" t="s">
        <v>29</v>
      </c>
      <c r="F84" s="28" t="e">
        <f t="shared" ref="F84:AI85" si="37">F77/F68*100</f>
        <v>#DIV/0!</v>
      </c>
      <c r="G84" s="28" t="e">
        <f t="shared" si="37"/>
        <v>#DIV/0!</v>
      </c>
      <c r="H84" s="28" t="e">
        <f t="shared" si="37"/>
        <v>#DIV/0!</v>
      </c>
      <c r="I84" s="28" t="e">
        <f t="shared" si="37"/>
        <v>#DIV/0!</v>
      </c>
      <c r="J84" s="28" t="e">
        <f t="shared" si="37"/>
        <v>#DIV/0!</v>
      </c>
      <c r="K84" s="28" t="e">
        <f t="shared" si="37"/>
        <v>#DIV/0!</v>
      </c>
      <c r="L84" s="28" t="e">
        <f t="shared" si="37"/>
        <v>#DIV/0!</v>
      </c>
      <c r="M84" s="28" t="e">
        <f t="shared" si="37"/>
        <v>#DIV/0!</v>
      </c>
      <c r="N84" s="28" t="e">
        <f t="shared" si="37"/>
        <v>#DIV/0!</v>
      </c>
      <c r="O84" s="28" t="e">
        <f t="shared" si="37"/>
        <v>#DIV/0!</v>
      </c>
      <c r="P84" s="28" t="e">
        <f t="shared" si="37"/>
        <v>#DIV/0!</v>
      </c>
      <c r="Q84" s="28" t="e">
        <f t="shared" si="37"/>
        <v>#DIV/0!</v>
      </c>
      <c r="R84" s="28" t="e">
        <f t="shared" si="37"/>
        <v>#DIV/0!</v>
      </c>
      <c r="S84" s="28" t="e">
        <f t="shared" si="37"/>
        <v>#DIV/0!</v>
      </c>
      <c r="T84" s="28" t="e">
        <f t="shared" si="37"/>
        <v>#DIV/0!</v>
      </c>
      <c r="U84" s="28" t="e">
        <f t="shared" si="37"/>
        <v>#DIV/0!</v>
      </c>
      <c r="V84" s="28" t="e">
        <f t="shared" si="37"/>
        <v>#DIV/0!</v>
      </c>
      <c r="W84" s="28" t="e">
        <f t="shared" si="37"/>
        <v>#DIV/0!</v>
      </c>
      <c r="X84" s="28" t="e">
        <f t="shared" si="37"/>
        <v>#DIV/0!</v>
      </c>
      <c r="Y84" s="28" t="e">
        <f t="shared" si="37"/>
        <v>#DIV/0!</v>
      </c>
      <c r="Z84" s="28" t="e">
        <f t="shared" si="37"/>
        <v>#DIV/0!</v>
      </c>
      <c r="AA84" s="28" t="e">
        <f t="shared" si="37"/>
        <v>#DIV/0!</v>
      </c>
      <c r="AB84" s="28" t="e">
        <f t="shared" si="37"/>
        <v>#DIV/0!</v>
      </c>
      <c r="AC84" s="28" t="e">
        <f t="shared" si="37"/>
        <v>#DIV/0!</v>
      </c>
      <c r="AD84" s="28" t="e">
        <f t="shared" si="37"/>
        <v>#DIV/0!</v>
      </c>
      <c r="AE84" s="28" t="e">
        <f>AE77/AE68*100</f>
        <v>#DIV/0!</v>
      </c>
      <c r="AF84" s="28" t="e">
        <f t="shared" si="37"/>
        <v>#DIV/0!</v>
      </c>
      <c r="AG84" s="28" t="e">
        <f t="shared" si="37"/>
        <v>#DIV/0!</v>
      </c>
      <c r="AH84" s="28" t="e">
        <f t="shared" si="37"/>
        <v>#DIV/0!</v>
      </c>
      <c r="AI84" s="28" t="e">
        <f t="shared" si="37"/>
        <v>#DIV/0!</v>
      </c>
      <c r="AJ84" s="43" t="e">
        <f>AJ77/AJ68*100</f>
        <v>#DIV/0!</v>
      </c>
      <c r="AK84" s="16"/>
      <c r="AL84" s="142" t="e">
        <f>AL77/AL68*100</f>
        <v>#DIV/0!</v>
      </c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DD84" s="13"/>
    </row>
    <row r="85" spans="2:108 15074:15466" s="1" customFormat="1" ht="13.8" x14ac:dyDescent="0.25">
      <c r="B85" s="149"/>
      <c r="C85" s="98" t="s">
        <v>54</v>
      </c>
      <c r="D85" s="34">
        <v>0.3</v>
      </c>
      <c r="E85" s="26" t="s">
        <v>29</v>
      </c>
      <c r="F85" s="28" t="e">
        <f t="shared" si="37"/>
        <v>#DIV/0!</v>
      </c>
      <c r="G85" s="28" t="e">
        <f t="shared" si="37"/>
        <v>#DIV/0!</v>
      </c>
      <c r="H85" s="28" t="e">
        <f t="shared" si="37"/>
        <v>#DIV/0!</v>
      </c>
      <c r="I85" s="28" t="e">
        <f t="shared" si="37"/>
        <v>#DIV/0!</v>
      </c>
      <c r="J85" s="28" t="e">
        <f t="shared" si="37"/>
        <v>#DIV/0!</v>
      </c>
      <c r="K85" s="28">
        <f t="shared" si="37"/>
        <v>0</v>
      </c>
      <c r="L85" s="28" t="e">
        <f t="shared" si="37"/>
        <v>#DIV/0!</v>
      </c>
      <c r="M85" s="28" t="e">
        <f t="shared" si="37"/>
        <v>#DIV/0!</v>
      </c>
      <c r="N85" s="28" t="e">
        <f t="shared" si="37"/>
        <v>#DIV/0!</v>
      </c>
      <c r="O85" s="28" t="e">
        <f t="shared" si="37"/>
        <v>#DIV/0!</v>
      </c>
      <c r="P85" s="28" t="e">
        <f t="shared" si="37"/>
        <v>#DIV/0!</v>
      </c>
      <c r="Q85" s="28" t="e">
        <f t="shared" si="37"/>
        <v>#DIV/0!</v>
      </c>
      <c r="R85" s="28" t="e">
        <f t="shared" si="37"/>
        <v>#DIV/0!</v>
      </c>
      <c r="S85" s="28" t="e">
        <f t="shared" si="37"/>
        <v>#DIV/0!</v>
      </c>
      <c r="T85" s="28" t="e">
        <f t="shared" si="37"/>
        <v>#DIV/0!</v>
      </c>
      <c r="U85" s="28" t="e">
        <f t="shared" si="37"/>
        <v>#DIV/0!</v>
      </c>
      <c r="V85" s="28" t="e">
        <f t="shared" si="37"/>
        <v>#DIV/0!</v>
      </c>
      <c r="W85" s="28" t="e">
        <f t="shared" si="37"/>
        <v>#DIV/0!</v>
      </c>
      <c r="X85" s="28" t="e">
        <f t="shared" si="37"/>
        <v>#DIV/0!</v>
      </c>
      <c r="Y85" s="28">
        <f t="shared" si="37"/>
        <v>0</v>
      </c>
      <c r="Z85" s="28" t="e">
        <f t="shared" si="37"/>
        <v>#DIV/0!</v>
      </c>
      <c r="AA85" s="28" t="e">
        <f t="shared" si="37"/>
        <v>#DIV/0!</v>
      </c>
      <c r="AB85" s="28" t="e">
        <f t="shared" si="37"/>
        <v>#DIV/0!</v>
      </c>
      <c r="AC85" s="28" t="e">
        <f t="shared" si="37"/>
        <v>#DIV/0!</v>
      </c>
      <c r="AD85" s="28" t="e">
        <f t="shared" si="37"/>
        <v>#DIV/0!</v>
      </c>
      <c r="AE85" s="28" t="e">
        <f t="shared" si="37"/>
        <v>#DIV/0!</v>
      </c>
      <c r="AF85" s="28" t="e">
        <f t="shared" si="37"/>
        <v>#DIV/0!</v>
      </c>
      <c r="AG85" s="28" t="e">
        <f t="shared" si="37"/>
        <v>#DIV/0!</v>
      </c>
      <c r="AH85" s="28" t="e">
        <f t="shared" si="37"/>
        <v>#DIV/0!</v>
      </c>
      <c r="AI85" s="28" t="e">
        <f t="shared" si="37"/>
        <v>#DIV/0!</v>
      </c>
      <c r="AJ85" s="43" t="e">
        <f>AJ78/AJ69*100</f>
        <v>#DIV/0!</v>
      </c>
      <c r="AK85" s="16"/>
      <c r="AL85" s="142">
        <f>AL78/AL69*100</f>
        <v>0</v>
      </c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DD85" s="13"/>
    </row>
    <row r="86" spans="2:108 15074:15466" s="1" customFormat="1" x14ac:dyDescent="0.3">
      <c r="B86" s="149"/>
      <c r="C86" s="101" t="s">
        <v>32</v>
      </c>
      <c r="D86" s="34"/>
      <c r="E86" s="21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43"/>
      <c r="AK86" s="16"/>
      <c r="AL86" s="148" t="s">
        <v>32</v>
      </c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DD86" s="13"/>
    </row>
    <row r="87" spans="2:108 15074:15466" s="1" customFormat="1" ht="13.8" x14ac:dyDescent="0.25">
      <c r="B87" s="149"/>
      <c r="C87" s="98" t="s">
        <v>55</v>
      </c>
      <c r="D87" s="34">
        <v>0.5</v>
      </c>
      <c r="E87" s="26" t="s">
        <v>29</v>
      </c>
      <c r="F87" s="28" t="e">
        <f t="shared" ref="F87:AI88" si="38">F80/F71*100</f>
        <v>#DIV/0!</v>
      </c>
      <c r="G87" s="28" t="e">
        <f t="shared" si="38"/>
        <v>#DIV/0!</v>
      </c>
      <c r="H87" s="28" t="e">
        <f t="shared" si="38"/>
        <v>#DIV/0!</v>
      </c>
      <c r="I87" s="28" t="e">
        <f t="shared" si="38"/>
        <v>#DIV/0!</v>
      </c>
      <c r="J87" s="28" t="e">
        <f t="shared" si="38"/>
        <v>#DIV/0!</v>
      </c>
      <c r="K87" s="28" t="e">
        <f t="shared" si="38"/>
        <v>#DIV/0!</v>
      </c>
      <c r="L87" s="237" t="e">
        <f t="shared" si="38"/>
        <v>#DIV/0!</v>
      </c>
      <c r="M87" s="28" t="e">
        <f t="shared" si="38"/>
        <v>#DIV/0!</v>
      </c>
      <c r="N87" s="28" t="e">
        <f t="shared" si="38"/>
        <v>#DIV/0!</v>
      </c>
      <c r="O87" s="28" t="e">
        <f t="shared" si="38"/>
        <v>#DIV/0!</v>
      </c>
      <c r="P87" s="28" t="e">
        <f t="shared" si="38"/>
        <v>#DIV/0!</v>
      </c>
      <c r="Q87" s="28" t="e">
        <f t="shared" si="38"/>
        <v>#DIV/0!</v>
      </c>
      <c r="R87" s="28" t="e">
        <f t="shared" si="38"/>
        <v>#DIV/0!</v>
      </c>
      <c r="S87" s="28" t="e">
        <f t="shared" si="38"/>
        <v>#DIV/0!</v>
      </c>
      <c r="T87" s="28" t="e">
        <f t="shared" si="38"/>
        <v>#DIV/0!</v>
      </c>
      <c r="U87" s="28" t="e">
        <f t="shared" si="38"/>
        <v>#DIV/0!</v>
      </c>
      <c r="V87" s="28" t="e">
        <f t="shared" si="38"/>
        <v>#DIV/0!</v>
      </c>
      <c r="W87" s="28" t="e">
        <f t="shared" si="38"/>
        <v>#DIV/0!</v>
      </c>
      <c r="X87" s="28" t="e">
        <f t="shared" si="38"/>
        <v>#DIV/0!</v>
      </c>
      <c r="Y87" s="28" t="e">
        <f t="shared" si="38"/>
        <v>#DIV/0!</v>
      </c>
      <c r="Z87" s="28" t="e">
        <f t="shared" si="38"/>
        <v>#DIV/0!</v>
      </c>
      <c r="AA87" s="28" t="e">
        <f t="shared" si="38"/>
        <v>#DIV/0!</v>
      </c>
      <c r="AB87" s="28" t="e">
        <f t="shared" si="38"/>
        <v>#DIV/0!</v>
      </c>
      <c r="AC87" s="28" t="e">
        <f t="shared" si="38"/>
        <v>#DIV/0!</v>
      </c>
      <c r="AD87" s="28" t="e">
        <f t="shared" si="38"/>
        <v>#DIV/0!</v>
      </c>
      <c r="AE87" s="28" t="e">
        <f t="shared" si="38"/>
        <v>#DIV/0!</v>
      </c>
      <c r="AF87" s="28" t="e">
        <f t="shared" si="38"/>
        <v>#DIV/0!</v>
      </c>
      <c r="AG87" s="28" t="e">
        <f t="shared" si="38"/>
        <v>#DIV/0!</v>
      </c>
      <c r="AH87" s="28" t="e">
        <f t="shared" si="38"/>
        <v>#DIV/0!</v>
      </c>
      <c r="AI87" s="28" t="e">
        <f t="shared" si="38"/>
        <v>#DIV/0!</v>
      </c>
      <c r="AJ87" s="43" t="e">
        <f>AJ80/AJ71*100</f>
        <v>#DIV/0!</v>
      </c>
      <c r="AK87" s="16"/>
      <c r="AL87" s="142" t="e">
        <f>AL80/AL71*100</f>
        <v>#DIV/0!</v>
      </c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DD87" s="13"/>
    </row>
    <row r="88" spans="2:108 15074:15466" s="1" customFormat="1" thickBot="1" x14ac:dyDescent="0.3">
      <c r="B88" s="188"/>
      <c r="C88" s="98" t="s">
        <v>54</v>
      </c>
      <c r="D88" s="34">
        <v>0.5</v>
      </c>
      <c r="E88" s="26" t="s">
        <v>29</v>
      </c>
      <c r="F88" s="28" t="e">
        <f t="shared" si="38"/>
        <v>#DIV/0!</v>
      </c>
      <c r="G88" s="28" t="e">
        <f t="shared" si="38"/>
        <v>#DIV/0!</v>
      </c>
      <c r="H88" s="28" t="e">
        <f t="shared" si="38"/>
        <v>#DIV/0!</v>
      </c>
      <c r="I88" s="28" t="e">
        <f t="shared" si="38"/>
        <v>#DIV/0!</v>
      </c>
      <c r="J88" s="28" t="e">
        <f t="shared" si="38"/>
        <v>#DIV/0!</v>
      </c>
      <c r="K88" s="28">
        <f t="shared" si="38"/>
        <v>0</v>
      </c>
      <c r="L88" s="28" t="e">
        <f t="shared" si="38"/>
        <v>#DIV/0!</v>
      </c>
      <c r="M88" s="28" t="e">
        <f t="shared" si="38"/>
        <v>#DIV/0!</v>
      </c>
      <c r="N88" s="28" t="e">
        <f t="shared" si="38"/>
        <v>#DIV/0!</v>
      </c>
      <c r="O88" s="28" t="e">
        <f t="shared" si="38"/>
        <v>#DIV/0!</v>
      </c>
      <c r="P88" s="28" t="e">
        <f t="shared" si="38"/>
        <v>#DIV/0!</v>
      </c>
      <c r="Q88" s="28" t="e">
        <f t="shared" si="38"/>
        <v>#DIV/0!</v>
      </c>
      <c r="R88" s="28" t="e">
        <f t="shared" si="38"/>
        <v>#DIV/0!</v>
      </c>
      <c r="S88" s="28" t="e">
        <f t="shared" si="38"/>
        <v>#DIV/0!</v>
      </c>
      <c r="T88" s="28" t="e">
        <f t="shared" si="38"/>
        <v>#DIV/0!</v>
      </c>
      <c r="U88" s="28" t="e">
        <f t="shared" si="38"/>
        <v>#DIV/0!</v>
      </c>
      <c r="V88" s="28" t="e">
        <f t="shared" si="38"/>
        <v>#DIV/0!</v>
      </c>
      <c r="W88" s="28" t="e">
        <f t="shared" si="38"/>
        <v>#DIV/0!</v>
      </c>
      <c r="X88" s="28" t="e">
        <f t="shared" si="38"/>
        <v>#DIV/0!</v>
      </c>
      <c r="Y88" s="28">
        <f t="shared" si="38"/>
        <v>0</v>
      </c>
      <c r="Z88" s="28" t="e">
        <f t="shared" si="38"/>
        <v>#DIV/0!</v>
      </c>
      <c r="AA88" s="28" t="e">
        <f t="shared" si="38"/>
        <v>#DIV/0!</v>
      </c>
      <c r="AB88" s="28" t="e">
        <f t="shared" si="38"/>
        <v>#DIV/0!</v>
      </c>
      <c r="AC88" s="28" t="e">
        <f t="shared" si="38"/>
        <v>#DIV/0!</v>
      </c>
      <c r="AD88" s="28" t="e">
        <f t="shared" si="38"/>
        <v>#DIV/0!</v>
      </c>
      <c r="AE88" s="28" t="e">
        <f t="shared" si="38"/>
        <v>#DIV/0!</v>
      </c>
      <c r="AF88" s="28" t="e">
        <f t="shared" si="38"/>
        <v>#DIV/0!</v>
      </c>
      <c r="AG88" s="28" t="e">
        <f t="shared" si="38"/>
        <v>#DIV/0!</v>
      </c>
      <c r="AH88" s="28" t="e">
        <f t="shared" si="38"/>
        <v>#DIV/0!</v>
      </c>
      <c r="AI88" s="28" t="e">
        <f t="shared" si="38"/>
        <v>#DIV/0!</v>
      </c>
      <c r="AJ88" s="43" t="e">
        <f>AJ81/AJ72*100</f>
        <v>#DIV/0!</v>
      </c>
      <c r="AK88" s="16"/>
      <c r="AL88" s="142">
        <f>AL81/AL72*100</f>
        <v>0</v>
      </c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DD88" s="13"/>
    </row>
    <row r="89" spans="2:108 15074:15466" s="1" customFormat="1" x14ac:dyDescent="0.3">
      <c r="B89" s="97">
        <v>5</v>
      </c>
      <c r="C89" s="99" t="s">
        <v>53</v>
      </c>
      <c r="D89" s="115"/>
      <c r="E89" s="41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116"/>
      <c r="AD89" s="24"/>
      <c r="AE89" s="24"/>
      <c r="AF89" s="24"/>
      <c r="AG89" s="77"/>
      <c r="AH89" s="77"/>
      <c r="AI89" s="77"/>
      <c r="AJ89" s="85"/>
      <c r="AK89" s="117"/>
      <c r="AL89" s="182" t="s">
        <v>45</v>
      </c>
      <c r="CL89" s="3"/>
      <c r="CM89" s="3"/>
      <c r="CN89" s="13"/>
      <c r="CO89" s="13"/>
      <c r="CP89" s="3"/>
      <c r="CQ89" s="13"/>
      <c r="CR89" s="3"/>
      <c r="CS89" s="3"/>
      <c r="CT89" s="3"/>
      <c r="CU89" s="3"/>
      <c r="DD89" s="3"/>
      <c r="VGT89"/>
      <c r="VGU89"/>
      <c r="VGV89"/>
      <c r="VGW89"/>
      <c r="VGX89"/>
      <c r="VGY89"/>
      <c r="VGZ89"/>
      <c r="VHA89"/>
      <c r="VHB89"/>
      <c r="VHC89"/>
      <c r="VHD89"/>
      <c r="VHE89"/>
      <c r="VHF89"/>
      <c r="VHG89"/>
      <c r="VHH89"/>
      <c r="VHI89"/>
      <c r="VHJ89"/>
      <c r="VHK89"/>
      <c r="VHL89"/>
      <c r="VHM89"/>
      <c r="VHN89"/>
      <c r="VHO89"/>
      <c r="VHP89"/>
      <c r="VHQ89"/>
      <c r="VHR89"/>
      <c r="VHS89"/>
      <c r="VHT89"/>
      <c r="VHU89"/>
      <c r="VHV89"/>
      <c r="VHW89"/>
      <c r="VHX89"/>
      <c r="VHY89"/>
      <c r="VHZ89"/>
      <c r="VIA89"/>
      <c r="VIB89"/>
      <c r="VIC89"/>
      <c r="VID89"/>
      <c r="VIE89"/>
      <c r="VIF89"/>
      <c r="VIG89"/>
      <c r="VIH89"/>
      <c r="VII89"/>
      <c r="VIJ89"/>
      <c r="VIK89"/>
      <c r="VIL89"/>
      <c r="VIM89"/>
      <c r="VIN89"/>
      <c r="VIO89"/>
      <c r="VIP89"/>
      <c r="VIQ89"/>
      <c r="VIR89"/>
      <c r="VIS89"/>
      <c r="VIT89"/>
      <c r="VIU89"/>
      <c r="VIV89"/>
      <c r="VIW89"/>
      <c r="VIX89"/>
      <c r="VIY89"/>
      <c r="VIZ89"/>
      <c r="VJA89"/>
      <c r="VJB89"/>
      <c r="VJC89"/>
      <c r="VJD89"/>
      <c r="VJE89"/>
      <c r="VJF89"/>
      <c r="VJG89"/>
      <c r="VJH89"/>
      <c r="VJI89"/>
      <c r="VJJ89"/>
      <c r="VJK89"/>
      <c r="VJL89"/>
      <c r="VJM89"/>
      <c r="VJN89"/>
      <c r="VJO89"/>
      <c r="VJP89"/>
      <c r="VJQ89"/>
      <c r="VJR89"/>
      <c r="VJS89"/>
      <c r="VJT89"/>
      <c r="VJU89"/>
      <c r="VJV89"/>
      <c r="VJW89"/>
      <c r="VJX89"/>
      <c r="VJY89"/>
      <c r="VJZ89"/>
      <c r="VKA89"/>
      <c r="VKB89"/>
      <c r="VKC89"/>
      <c r="VKD89"/>
      <c r="VKE89"/>
      <c r="VKF89"/>
      <c r="VKG89"/>
      <c r="VKH89"/>
      <c r="VKI89"/>
      <c r="VKJ89"/>
      <c r="VKK89"/>
      <c r="VKL89"/>
      <c r="VKM89"/>
      <c r="VKN89"/>
      <c r="VKO89"/>
      <c r="VKP89"/>
      <c r="VKQ89"/>
      <c r="VKR89"/>
      <c r="VKS89"/>
      <c r="VKT89"/>
      <c r="VKU89"/>
      <c r="VKV89"/>
      <c r="VKW89"/>
      <c r="VKX89"/>
      <c r="VKY89"/>
      <c r="VKZ89"/>
      <c r="VLA89"/>
      <c r="VLB89"/>
      <c r="VLC89"/>
      <c r="VLD89"/>
      <c r="VLE89"/>
      <c r="VLF89"/>
      <c r="VLG89"/>
      <c r="VLH89"/>
      <c r="VLI89"/>
      <c r="VLJ89"/>
      <c r="VLK89"/>
      <c r="VLL89"/>
      <c r="VLM89"/>
      <c r="VLN89"/>
      <c r="VLO89"/>
      <c r="VLP89"/>
      <c r="VLQ89"/>
      <c r="VLR89"/>
      <c r="VLS89"/>
      <c r="VLT89"/>
      <c r="VLU89"/>
      <c r="VLV89"/>
      <c r="VLW89"/>
      <c r="VLX89"/>
      <c r="VLY89"/>
      <c r="VLZ89"/>
      <c r="VMA89"/>
      <c r="VMB89"/>
      <c r="VMC89"/>
      <c r="VMD89"/>
      <c r="VME89"/>
      <c r="VMF89"/>
      <c r="VMG89"/>
      <c r="VMH89"/>
      <c r="VMI89"/>
      <c r="VMJ89"/>
      <c r="VMK89"/>
      <c r="VML89"/>
      <c r="VMM89"/>
      <c r="VMN89"/>
      <c r="VMO89"/>
      <c r="VMP89"/>
      <c r="VMQ89"/>
      <c r="VMR89"/>
      <c r="VMS89"/>
      <c r="VMT89"/>
      <c r="VMU89"/>
      <c r="VMV89"/>
      <c r="VMW89"/>
      <c r="VMX89"/>
      <c r="VMY89"/>
      <c r="VMZ89"/>
      <c r="VNA89"/>
      <c r="VNB89"/>
      <c r="VNC89"/>
      <c r="VND89"/>
      <c r="VNE89"/>
      <c r="VNF89"/>
      <c r="VNG89"/>
      <c r="VNH89"/>
      <c r="VNI89"/>
      <c r="VNJ89"/>
      <c r="VNK89"/>
      <c r="VNL89"/>
      <c r="VNM89"/>
      <c r="VNN89"/>
      <c r="VNO89"/>
      <c r="VNP89"/>
      <c r="VNQ89"/>
      <c r="VNR89"/>
      <c r="VNS89"/>
      <c r="VNT89"/>
      <c r="VNU89"/>
      <c r="VNV89"/>
      <c r="VNW89"/>
      <c r="VNX89"/>
      <c r="VNY89"/>
      <c r="VNZ89"/>
      <c r="VOA89"/>
      <c r="VOB89"/>
      <c r="VOC89"/>
      <c r="VOD89"/>
      <c r="VOE89"/>
      <c r="VOF89"/>
      <c r="VOG89"/>
      <c r="VOH89"/>
      <c r="VOI89"/>
      <c r="VOJ89"/>
      <c r="VOK89"/>
      <c r="VOL89"/>
      <c r="VOM89"/>
      <c r="VON89"/>
      <c r="VOO89"/>
      <c r="VOP89"/>
      <c r="VOQ89"/>
      <c r="VOR89"/>
      <c r="VOS89"/>
      <c r="VOT89"/>
      <c r="VOU89"/>
      <c r="VOV89"/>
      <c r="VOW89"/>
      <c r="VOX89"/>
      <c r="VOY89"/>
      <c r="VOZ89"/>
      <c r="VPA89"/>
      <c r="VPB89"/>
      <c r="VPC89"/>
      <c r="VPD89"/>
      <c r="VPE89"/>
      <c r="VPF89"/>
      <c r="VPG89"/>
      <c r="VPH89"/>
      <c r="VPI89"/>
      <c r="VPJ89"/>
      <c r="VPK89"/>
      <c r="VPL89"/>
      <c r="VPM89"/>
      <c r="VPN89"/>
      <c r="VPO89"/>
      <c r="VPP89"/>
      <c r="VPQ89"/>
      <c r="VPR89"/>
      <c r="VPS89"/>
      <c r="VPT89"/>
      <c r="VPU89"/>
      <c r="VPV89"/>
      <c r="VPW89"/>
      <c r="VPX89"/>
      <c r="VPY89"/>
      <c r="VPZ89"/>
      <c r="VQA89"/>
      <c r="VQB89"/>
      <c r="VQC89"/>
      <c r="VQD89"/>
      <c r="VQE89"/>
      <c r="VQF89"/>
      <c r="VQG89"/>
      <c r="VQH89"/>
      <c r="VQI89"/>
      <c r="VQJ89"/>
      <c r="VQK89"/>
      <c r="VQL89"/>
      <c r="VQM89"/>
      <c r="VQN89"/>
      <c r="VQO89"/>
      <c r="VQP89"/>
      <c r="VQQ89"/>
      <c r="VQR89"/>
      <c r="VQS89"/>
      <c r="VQT89"/>
      <c r="VQU89"/>
      <c r="VQV89"/>
      <c r="VQW89"/>
      <c r="VQX89"/>
      <c r="VQY89"/>
      <c r="VQZ89"/>
      <c r="VRA89"/>
      <c r="VRB89"/>
      <c r="VRC89"/>
      <c r="VRD89"/>
      <c r="VRE89"/>
      <c r="VRF89"/>
      <c r="VRG89"/>
      <c r="VRH89"/>
      <c r="VRI89"/>
      <c r="VRJ89"/>
      <c r="VRK89"/>
      <c r="VRL89"/>
      <c r="VRM89"/>
      <c r="VRN89"/>
      <c r="VRO89"/>
      <c r="VRP89"/>
      <c r="VRQ89"/>
      <c r="VRR89"/>
      <c r="VRS89"/>
      <c r="VRT89"/>
      <c r="VRU89"/>
      <c r="VRV89"/>
      <c r="VRW89"/>
      <c r="VRX89"/>
      <c r="VRY89"/>
      <c r="VRZ89"/>
      <c r="VSA89"/>
      <c r="VSB89"/>
      <c r="VSC89"/>
      <c r="VSD89"/>
      <c r="VSE89"/>
      <c r="VSF89"/>
      <c r="VSG89"/>
      <c r="VSH89"/>
      <c r="VSI89"/>
      <c r="VSJ89"/>
      <c r="VSK89"/>
      <c r="VSL89"/>
      <c r="VSM89"/>
      <c r="VSN89"/>
      <c r="VSO89"/>
      <c r="VSP89"/>
      <c r="VSQ89"/>
      <c r="VSR89"/>
      <c r="VSS89"/>
      <c r="VST89"/>
      <c r="VSU89"/>
      <c r="VSV89"/>
      <c r="VSW89"/>
      <c r="VSX89"/>
      <c r="VSY89"/>
      <c r="VSZ89"/>
      <c r="VTA89"/>
      <c r="VTB89"/>
      <c r="VTC89"/>
      <c r="VTD89"/>
      <c r="VTE89"/>
      <c r="VTF89"/>
      <c r="VTG89"/>
      <c r="VTH89"/>
      <c r="VTI89"/>
      <c r="VTJ89"/>
      <c r="VTK89"/>
      <c r="VTL89"/>
      <c r="VTM89"/>
      <c r="VTN89"/>
      <c r="VTO89"/>
      <c r="VTP89"/>
      <c r="VTQ89"/>
      <c r="VTR89"/>
      <c r="VTS89"/>
      <c r="VTT89"/>
      <c r="VTU89"/>
      <c r="VTV89"/>
      <c r="VTW89"/>
      <c r="VTX89"/>
      <c r="VTY89"/>
      <c r="VTZ89"/>
      <c r="VUA89"/>
      <c r="VUB89"/>
      <c r="VUC89"/>
      <c r="VUD89"/>
      <c r="VUE89"/>
      <c r="VUF89"/>
      <c r="VUG89"/>
      <c r="VUH89"/>
      <c r="VUI89"/>
      <c r="VUJ89"/>
      <c r="VUK89"/>
      <c r="VUL89"/>
      <c r="VUM89"/>
      <c r="VUN89"/>
      <c r="VUO89"/>
      <c r="VUP89"/>
      <c r="VUQ89"/>
      <c r="VUR89"/>
      <c r="VUS89"/>
      <c r="VUT89"/>
      <c r="VUU89"/>
      <c r="VUV89"/>
      <c r="VUW89"/>
      <c r="VUX89"/>
      <c r="VUY89"/>
      <c r="VUZ89"/>
      <c r="VVA89"/>
      <c r="VVB89"/>
      <c r="VVC89"/>
      <c r="VVD89"/>
      <c r="VVE89"/>
      <c r="VVF89"/>
      <c r="VVG89"/>
      <c r="VVH89"/>
      <c r="VVI89"/>
      <c r="VVJ89"/>
      <c r="VVK89"/>
      <c r="VVL89"/>
      <c r="VVM89"/>
      <c r="VVN89"/>
      <c r="VVO89"/>
      <c r="VVP89"/>
      <c r="VVQ89"/>
      <c r="VVR89"/>
      <c r="VVS89"/>
      <c r="VVT89"/>
      <c r="VVU89"/>
      <c r="VVV89"/>
    </row>
    <row r="90" spans="2:108 15074:15466" s="1" customFormat="1" ht="13.8" x14ac:dyDescent="0.25">
      <c r="B90" s="149"/>
      <c r="C90" s="100" t="s">
        <v>52</v>
      </c>
      <c r="D90" s="226"/>
      <c r="E90" s="26" t="s">
        <v>16</v>
      </c>
      <c r="F90" s="82"/>
      <c r="G90" s="82"/>
      <c r="H90" s="82"/>
      <c r="I90" s="28"/>
      <c r="J90" s="25"/>
      <c r="K90" s="82">
        <v>40099.64</v>
      </c>
      <c r="L90" s="82">
        <v>38427.21</v>
      </c>
      <c r="M90" s="82"/>
      <c r="N90" s="82"/>
      <c r="O90" s="82">
        <v>2997.36</v>
      </c>
      <c r="P90" s="30"/>
      <c r="Q90" s="82"/>
      <c r="R90" s="82"/>
      <c r="S90" s="82">
        <v>39718.639999999999</v>
      </c>
      <c r="T90" s="82"/>
      <c r="U90" s="82"/>
      <c r="V90" s="82"/>
      <c r="W90" s="5">
        <v>39448.949999999997</v>
      </c>
      <c r="X90" s="25">
        <v>39859.82</v>
      </c>
      <c r="Y90" s="25">
        <v>40034.480000000003</v>
      </c>
      <c r="Z90" s="25">
        <v>79210.12</v>
      </c>
      <c r="AA90" s="25"/>
      <c r="AB90" s="25"/>
      <c r="AC90" s="25"/>
      <c r="AD90" s="28"/>
      <c r="AE90" s="82"/>
      <c r="AF90" s="25"/>
      <c r="AG90" s="25"/>
      <c r="AH90" s="25"/>
      <c r="AI90" s="76"/>
      <c r="AJ90" s="63"/>
      <c r="AK90" s="230"/>
      <c r="AL90" s="225">
        <f>SUM(F90:AJ90)</f>
        <v>319796.21999999997</v>
      </c>
      <c r="CL90" s="3"/>
      <c r="CM90" s="13"/>
      <c r="CN90" s="13"/>
      <c r="CO90" s="13"/>
      <c r="CP90" s="3"/>
      <c r="CQ90" s="13"/>
      <c r="CR90" s="13"/>
      <c r="CS90" s="13"/>
      <c r="CT90" s="13"/>
      <c r="CU90" s="13"/>
      <c r="DD90" s="13"/>
    </row>
    <row r="91" spans="2:108 15074:15466" s="1" customFormat="1" x14ac:dyDescent="0.3">
      <c r="B91" s="149"/>
      <c r="C91" s="101" t="s">
        <v>44</v>
      </c>
      <c r="D91" s="145"/>
      <c r="E91" s="26" t="s">
        <v>16</v>
      </c>
      <c r="F91" s="28">
        <f t="shared" ref="F91:AF91" si="39">SUM(F95:F96)*10.86</f>
        <v>0</v>
      </c>
      <c r="G91" s="28">
        <f t="shared" si="39"/>
        <v>0</v>
      </c>
      <c r="H91" s="28">
        <f t="shared" si="39"/>
        <v>0</v>
      </c>
      <c r="I91" s="28">
        <f t="shared" si="39"/>
        <v>0</v>
      </c>
      <c r="J91" s="28">
        <f t="shared" si="39"/>
        <v>0</v>
      </c>
      <c r="K91" s="28">
        <f t="shared" si="39"/>
        <v>40116.839999999997</v>
      </c>
      <c r="L91" s="28">
        <v>38427.21</v>
      </c>
      <c r="M91" s="28">
        <f t="shared" si="39"/>
        <v>0</v>
      </c>
      <c r="N91" s="28">
        <f t="shared" si="39"/>
        <v>0</v>
      </c>
      <c r="O91" s="28">
        <f t="shared" si="39"/>
        <v>2997.3599999999997</v>
      </c>
      <c r="P91" s="28">
        <f t="shared" si="39"/>
        <v>0</v>
      </c>
      <c r="Q91" s="28">
        <f t="shared" si="39"/>
        <v>0</v>
      </c>
      <c r="R91" s="28">
        <f t="shared" si="39"/>
        <v>0</v>
      </c>
      <c r="S91" s="28">
        <f t="shared" si="39"/>
        <v>39715.019999999997</v>
      </c>
      <c r="T91" s="28">
        <f t="shared" si="39"/>
        <v>0</v>
      </c>
      <c r="U91" s="28">
        <f t="shared" si="39"/>
        <v>0</v>
      </c>
      <c r="V91" s="28">
        <f t="shared" si="39"/>
        <v>0</v>
      </c>
      <c r="W91" s="28">
        <f>SUM(W95:W96)*10.86</f>
        <v>39486.959999999999</v>
      </c>
      <c r="X91" s="28">
        <f t="shared" si="39"/>
        <v>39856.199999999997</v>
      </c>
      <c r="Y91" s="28">
        <f t="shared" si="39"/>
        <v>40073.4</v>
      </c>
      <c r="Z91" s="28">
        <f t="shared" si="39"/>
        <v>79201.98</v>
      </c>
      <c r="AA91" s="28">
        <f t="shared" si="39"/>
        <v>0</v>
      </c>
      <c r="AB91" s="28">
        <f t="shared" si="39"/>
        <v>0</v>
      </c>
      <c r="AC91" s="28">
        <f t="shared" si="39"/>
        <v>0</v>
      </c>
      <c r="AD91" s="28">
        <f t="shared" si="39"/>
        <v>0</v>
      </c>
      <c r="AE91" s="28">
        <f t="shared" si="39"/>
        <v>0</v>
      </c>
      <c r="AF91" s="28">
        <f t="shared" si="39"/>
        <v>0</v>
      </c>
      <c r="AG91" s="28">
        <f>SUM(AG95:AG96)*10.86</f>
        <v>0</v>
      </c>
      <c r="AH91" s="28">
        <f>SUM(AH95:AH96)*10.86</f>
        <v>0</v>
      </c>
      <c r="AI91" s="28">
        <f>SUM(AI95:AI96)*10.86</f>
        <v>0</v>
      </c>
      <c r="AJ91" s="43">
        <f>SUM(AJ95:AJ96)*10.86</f>
        <v>0</v>
      </c>
      <c r="AK91" s="16"/>
      <c r="AL91" s="142">
        <f>SUM(F91:AJ91)</f>
        <v>319874.96999999997</v>
      </c>
      <c r="CL91" s="94"/>
      <c r="CM91" s="14"/>
      <c r="CN91" s="14"/>
      <c r="CO91" s="14"/>
      <c r="CP91" s="14"/>
      <c r="CQ91" s="14"/>
      <c r="CR91" s="13"/>
      <c r="CS91" s="13"/>
      <c r="CT91" s="13"/>
      <c r="CU91" s="13"/>
      <c r="DD91" s="13"/>
    </row>
    <row r="92" spans="2:108 15074:15466" s="1" customFormat="1" x14ac:dyDescent="0.3">
      <c r="B92" s="149"/>
      <c r="C92" s="101" t="s">
        <v>43</v>
      </c>
      <c r="D92" s="145"/>
      <c r="E92" s="26" t="s">
        <v>16</v>
      </c>
      <c r="F92" s="28">
        <f t="shared" ref="F92:AF92" si="40">F90-F91</f>
        <v>0</v>
      </c>
      <c r="G92" s="28">
        <f t="shared" si="40"/>
        <v>0</v>
      </c>
      <c r="H92" s="28">
        <f t="shared" si="40"/>
        <v>0</v>
      </c>
      <c r="I92" s="28">
        <f t="shared" si="40"/>
        <v>0</v>
      </c>
      <c r="J92" s="28">
        <f t="shared" si="40"/>
        <v>0</v>
      </c>
      <c r="K92" s="28">
        <f t="shared" si="40"/>
        <v>-17.19999999999709</v>
      </c>
      <c r="L92" s="28">
        <f t="shared" si="40"/>
        <v>0</v>
      </c>
      <c r="M92" s="28">
        <f t="shared" si="40"/>
        <v>0</v>
      </c>
      <c r="N92" s="28">
        <f t="shared" si="40"/>
        <v>0</v>
      </c>
      <c r="O92" s="28">
        <f t="shared" si="40"/>
        <v>0</v>
      </c>
      <c r="P92" s="28">
        <f t="shared" si="40"/>
        <v>0</v>
      </c>
      <c r="Q92" s="28">
        <f t="shared" si="40"/>
        <v>0</v>
      </c>
      <c r="R92" s="28">
        <f t="shared" si="40"/>
        <v>0</v>
      </c>
      <c r="S92" s="28">
        <f t="shared" si="40"/>
        <v>3.6200000000026193</v>
      </c>
      <c r="T92" s="28">
        <f t="shared" si="40"/>
        <v>0</v>
      </c>
      <c r="U92" s="28">
        <f t="shared" si="40"/>
        <v>0</v>
      </c>
      <c r="V92" s="28">
        <f t="shared" si="40"/>
        <v>0</v>
      </c>
      <c r="W92" s="28">
        <f t="shared" si="40"/>
        <v>-38.010000000002037</v>
      </c>
      <c r="X92" s="28">
        <f t="shared" si="40"/>
        <v>3.6200000000026193</v>
      </c>
      <c r="Y92" s="28">
        <f t="shared" si="40"/>
        <v>-38.919999999998254</v>
      </c>
      <c r="Z92" s="28">
        <f t="shared" si="40"/>
        <v>8.1399999999994179</v>
      </c>
      <c r="AA92" s="28">
        <f t="shared" si="40"/>
        <v>0</v>
      </c>
      <c r="AB92" s="28">
        <f t="shared" si="40"/>
        <v>0</v>
      </c>
      <c r="AC92" s="28">
        <f t="shared" si="40"/>
        <v>0</v>
      </c>
      <c r="AD92" s="28">
        <f t="shared" si="40"/>
        <v>0</v>
      </c>
      <c r="AE92" s="28">
        <f t="shared" si="40"/>
        <v>0</v>
      </c>
      <c r="AF92" s="28">
        <f t="shared" si="40"/>
        <v>0</v>
      </c>
      <c r="AG92" s="28">
        <f>AG90-AG91</f>
        <v>0</v>
      </c>
      <c r="AH92" s="28">
        <f>AH90-AH91</f>
        <v>0</v>
      </c>
      <c r="AI92" s="28">
        <f>AI90-AI91</f>
        <v>0</v>
      </c>
      <c r="AJ92" s="43">
        <f>AJ90-AJ91</f>
        <v>0</v>
      </c>
      <c r="AK92" s="16"/>
      <c r="AL92" s="142">
        <f>SUM(F92:AJ92)</f>
        <v>-78.749999999992724</v>
      </c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DD92" s="13"/>
    </row>
    <row r="93" spans="2:108 15074:15466" s="1" customFormat="1" x14ac:dyDescent="0.3">
      <c r="B93" s="149"/>
      <c r="C93" s="101" t="s">
        <v>56</v>
      </c>
      <c r="D93" s="145"/>
      <c r="E93" s="21" t="s">
        <v>16</v>
      </c>
      <c r="F93" s="28">
        <v>0</v>
      </c>
      <c r="G93" s="28"/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/>
      <c r="T93" s="28">
        <v>0</v>
      </c>
      <c r="U93" s="28">
        <v>0</v>
      </c>
      <c r="V93" s="28"/>
      <c r="W93" s="28">
        <v>0</v>
      </c>
      <c r="X93" s="28">
        <v>0</v>
      </c>
      <c r="Y93" s="28"/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/>
      <c r="AF93" s="28">
        <v>0</v>
      </c>
      <c r="AG93" s="28">
        <v>0</v>
      </c>
      <c r="AH93" s="28">
        <v>0</v>
      </c>
      <c r="AI93" s="28">
        <v>0</v>
      </c>
      <c r="AJ93" s="43">
        <v>0</v>
      </c>
      <c r="AK93" s="16"/>
      <c r="AL93" s="142">
        <f>SUM(F93:AJ93)</f>
        <v>0</v>
      </c>
      <c r="DD93" s="13"/>
    </row>
    <row r="94" spans="2:108 15074:15466" s="1" customFormat="1" x14ac:dyDescent="0.3">
      <c r="B94" s="149"/>
      <c r="C94" s="101" t="s">
        <v>33</v>
      </c>
      <c r="D94" s="145"/>
      <c r="E94" s="2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44"/>
      <c r="AK94" s="16"/>
      <c r="AL94" s="148" t="s">
        <v>33</v>
      </c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DD94" s="13"/>
    </row>
    <row r="95" spans="2:108 15074:15466" s="17" customFormat="1" ht="13.8" x14ac:dyDescent="0.3">
      <c r="B95" s="171"/>
      <c r="C95" s="102" t="s">
        <v>51</v>
      </c>
      <c r="D95" s="129"/>
      <c r="E95" s="40" t="s">
        <v>36</v>
      </c>
      <c r="F95" s="25"/>
      <c r="G95" s="25"/>
      <c r="H95" s="25"/>
      <c r="I95" s="25"/>
      <c r="J95" s="25"/>
      <c r="K95" s="25"/>
      <c r="L95" s="25">
        <v>3544</v>
      </c>
      <c r="M95" s="25"/>
      <c r="N95" s="25"/>
      <c r="O95" s="25">
        <v>276</v>
      </c>
      <c r="P95" s="25"/>
      <c r="Q95" s="25"/>
      <c r="R95" s="25"/>
      <c r="S95" s="25">
        <v>3657</v>
      </c>
      <c r="T95" s="25"/>
      <c r="U95" s="25"/>
      <c r="V95" s="25"/>
      <c r="W95" s="25">
        <v>3636</v>
      </c>
      <c r="X95" s="25">
        <v>3670</v>
      </c>
      <c r="Y95" s="25"/>
      <c r="Z95" s="25"/>
      <c r="AA95" s="25"/>
      <c r="AB95" s="25"/>
      <c r="AC95" s="25"/>
      <c r="AD95" s="25"/>
      <c r="AE95" s="25"/>
      <c r="AF95" s="25"/>
      <c r="AG95" s="25">
        <v>0</v>
      </c>
      <c r="AH95" s="25">
        <v>0</v>
      </c>
      <c r="AI95" s="25">
        <v>0</v>
      </c>
      <c r="AJ95" s="63"/>
      <c r="AK95" s="91"/>
      <c r="AL95" s="239">
        <f>SUM(F95:AJ95)</f>
        <v>14783</v>
      </c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DD95" s="38"/>
    </row>
    <row r="96" spans="2:108 15074:15466" s="17" customFormat="1" ht="13.8" x14ac:dyDescent="0.25">
      <c r="B96" s="171"/>
      <c r="C96" s="102" t="s">
        <v>50</v>
      </c>
      <c r="D96" s="129"/>
      <c r="E96" s="40" t="s">
        <v>36</v>
      </c>
      <c r="F96" s="25"/>
      <c r="G96" s="25"/>
      <c r="H96" s="25"/>
      <c r="I96" s="25"/>
      <c r="J96" s="25"/>
      <c r="K96" s="25">
        <v>3694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>
        <v>3690</v>
      </c>
      <c r="Z96" s="25">
        <v>7293</v>
      </c>
      <c r="AA96" s="25"/>
      <c r="AB96" s="25"/>
      <c r="AC96" s="25"/>
      <c r="AD96" s="5"/>
      <c r="AE96" s="25"/>
      <c r="AF96" s="25"/>
      <c r="AG96" s="25">
        <v>0</v>
      </c>
      <c r="AH96" s="25">
        <v>0</v>
      </c>
      <c r="AI96" s="25">
        <v>0</v>
      </c>
      <c r="AJ96" s="63">
        <v>0</v>
      </c>
      <c r="AK96" s="91"/>
      <c r="AL96" s="239">
        <f>SUM(F96:AJ96)</f>
        <v>14677</v>
      </c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DD96" s="38"/>
    </row>
    <row r="97" spans="2:108 15074:15466" s="1" customFormat="1" x14ac:dyDescent="0.3">
      <c r="B97" s="149"/>
      <c r="C97" s="101" t="s">
        <v>32</v>
      </c>
      <c r="D97" s="145"/>
      <c r="E97" s="2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44"/>
      <c r="AK97" s="16"/>
      <c r="AL97" s="148" t="s">
        <v>32</v>
      </c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DD97" s="13"/>
    </row>
    <row r="98" spans="2:108 15074:15466" s="1" customFormat="1" ht="13.8" x14ac:dyDescent="0.25">
      <c r="B98" s="149"/>
      <c r="C98" s="102" t="s">
        <v>51</v>
      </c>
      <c r="D98" s="145"/>
      <c r="E98" s="26" t="s">
        <v>32</v>
      </c>
      <c r="F98" s="5">
        <f t="shared" ref="F98:AF98" si="41">F95*12</f>
        <v>0</v>
      </c>
      <c r="G98" s="5">
        <f t="shared" si="41"/>
        <v>0</v>
      </c>
      <c r="H98" s="5">
        <f t="shared" si="41"/>
        <v>0</v>
      </c>
      <c r="I98" s="5">
        <f t="shared" si="41"/>
        <v>0</v>
      </c>
      <c r="J98" s="5">
        <f t="shared" si="41"/>
        <v>0</v>
      </c>
      <c r="K98" s="5">
        <f t="shared" si="41"/>
        <v>0</v>
      </c>
      <c r="L98" s="5">
        <f t="shared" si="41"/>
        <v>42528</v>
      </c>
      <c r="M98" s="5">
        <f t="shared" si="41"/>
        <v>0</v>
      </c>
      <c r="N98" s="5">
        <f t="shared" si="41"/>
        <v>0</v>
      </c>
      <c r="O98" s="5">
        <f t="shared" si="41"/>
        <v>3312</v>
      </c>
      <c r="P98" s="5">
        <f t="shared" si="41"/>
        <v>0</v>
      </c>
      <c r="Q98" s="5">
        <f t="shared" si="41"/>
        <v>0</v>
      </c>
      <c r="R98" s="5">
        <f t="shared" si="41"/>
        <v>0</v>
      </c>
      <c r="S98" s="5">
        <f t="shared" si="41"/>
        <v>43884</v>
      </c>
      <c r="T98" s="5">
        <f t="shared" si="41"/>
        <v>0</v>
      </c>
      <c r="U98" s="5">
        <f t="shared" si="41"/>
        <v>0</v>
      </c>
      <c r="V98" s="5">
        <f t="shared" si="41"/>
        <v>0</v>
      </c>
      <c r="W98" s="5">
        <f t="shared" si="41"/>
        <v>43632</v>
      </c>
      <c r="X98" s="5">
        <f t="shared" si="41"/>
        <v>44040</v>
      </c>
      <c r="Y98" s="5">
        <f t="shared" si="41"/>
        <v>0</v>
      </c>
      <c r="Z98" s="5">
        <f t="shared" si="41"/>
        <v>0</v>
      </c>
      <c r="AA98" s="5">
        <f t="shared" si="41"/>
        <v>0</v>
      </c>
      <c r="AB98" s="5">
        <f t="shared" si="41"/>
        <v>0</v>
      </c>
      <c r="AC98" s="5">
        <f t="shared" si="41"/>
        <v>0</v>
      </c>
      <c r="AD98" s="5">
        <f t="shared" si="41"/>
        <v>0</v>
      </c>
      <c r="AE98" s="5">
        <f t="shared" si="41"/>
        <v>0</v>
      </c>
      <c r="AF98" s="5">
        <f t="shared" si="41"/>
        <v>0</v>
      </c>
      <c r="AG98" s="5">
        <f>AG95*12</f>
        <v>0</v>
      </c>
      <c r="AH98" s="5">
        <f>AH95*12</f>
        <v>0</v>
      </c>
      <c r="AI98" s="5">
        <f>AI95*12</f>
        <v>0</v>
      </c>
      <c r="AJ98" s="44">
        <f>AJ95*12</f>
        <v>0</v>
      </c>
      <c r="AK98" s="16"/>
      <c r="AL98" s="131">
        <f>AL95*12</f>
        <v>177396</v>
      </c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DD98" s="13"/>
    </row>
    <row r="99" spans="2:108 15074:15466" s="1" customFormat="1" ht="13.8" x14ac:dyDescent="0.25">
      <c r="B99" s="149"/>
      <c r="C99" s="102" t="s">
        <v>50</v>
      </c>
      <c r="D99" s="145"/>
      <c r="E99" s="26" t="s">
        <v>32</v>
      </c>
      <c r="F99" s="5">
        <f t="shared" ref="F99:AF99" si="42">F96*6</f>
        <v>0</v>
      </c>
      <c r="G99" s="5">
        <f t="shared" si="42"/>
        <v>0</v>
      </c>
      <c r="H99" s="5">
        <f t="shared" si="42"/>
        <v>0</v>
      </c>
      <c r="I99" s="5">
        <f t="shared" si="42"/>
        <v>0</v>
      </c>
      <c r="J99" s="5">
        <f t="shared" si="42"/>
        <v>0</v>
      </c>
      <c r="K99" s="5">
        <f t="shared" si="42"/>
        <v>22164</v>
      </c>
      <c r="L99" s="5">
        <f t="shared" si="42"/>
        <v>0</v>
      </c>
      <c r="M99" s="5">
        <f t="shared" si="42"/>
        <v>0</v>
      </c>
      <c r="N99" s="5">
        <f t="shared" si="42"/>
        <v>0</v>
      </c>
      <c r="O99" s="5">
        <f t="shared" si="42"/>
        <v>0</v>
      </c>
      <c r="P99" s="5">
        <f t="shared" si="42"/>
        <v>0</v>
      </c>
      <c r="Q99" s="5">
        <f t="shared" si="42"/>
        <v>0</v>
      </c>
      <c r="R99" s="5">
        <f t="shared" si="42"/>
        <v>0</v>
      </c>
      <c r="S99" s="5">
        <f t="shared" si="42"/>
        <v>0</v>
      </c>
      <c r="T99" s="5">
        <f t="shared" si="42"/>
        <v>0</v>
      </c>
      <c r="U99" s="5">
        <f t="shared" si="42"/>
        <v>0</v>
      </c>
      <c r="V99" s="5">
        <f t="shared" si="42"/>
        <v>0</v>
      </c>
      <c r="W99" s="5">
        <f t="shared" si="42"/>
        <v>0</v>
      </c>
      <c r="X99" s="5">
        <f t="shared" si="42"/>
        <v>0</v>
      </c>
      <c r="Y99" s="5">
        <f t="shared" si="42"/>
        <v>22140</v>
      </c>
      <c r="Z99" s="5">
        <f t="shared" si="42"/>
        <v>43758</v>
      </c>
      <c r="AA99" s="5">
        <f t="shared" si="42"/>
        <v>0</v>
      </c>
      <c r="AB99" s="5">
        <f t="shared" si="42"/>
        <v>0</v>
      </c>
      <c r="AC99" s="5">
        <f t="shared" si="42"/>
        <v>0</v>
      </c>
      <c r="AD99" s="5">
        <f t="shared" si="42"/>
        <v>0</v>
      </c>
      <c r="AE99" s="5">
        <f t="shared" si="42"/>
        <v>0</v>
      </c>
      <c r="AF99" s="5">
        <f t="shared" si="42"/>
        <v>0</v>
      </c>
      <c r="AG99" s="5">
        <f>AG96*6</f>
        <v>0</v>
      </c>
      <c r="AH99" s="5">
        <f>AH96*6</f>
        <v>0</v>
      </c>
      <c r="AI99" s="5">
        <f>AI96*6</f>
        <v>0</v>
      </c>
      <c r="AJ99" s="44">
        <f>AJ96*6</f>
        <v>0</v>
      </c>
      <c r="AK99" s="16"/>
      <c r="AL99" s="131">
        <f>AL96*6</f>
        <v>88062</v>
      </c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DD99" s="13"/>
    </row>
    <row r="100" spans="2:108 15074:15466" s="1" customFormat="1" x14ac:dyDescent="0.3">
      <c r="B100" s="149"/>
      <c r="C100" s="101" t="s">
        <v>41</v>
      </c>
      <c r="D100" s="145"/>
      <c r="E100" s="26" t="s">
        <v>40</v>
      </c>
      <c r="F100" s="5">
        <v>0</v>
      </c>
      <c r="G100" s="5">
        <f>(G90*45)/1700</f>
        <v>0</v>
      </c>
      <c r="H100" s="5">
        <f t="shared" ref="H100:Y100" si="43">(H90*45)/1700</f>
        <v>0</v>
      </c>
      <c r="I100" s="5">
        <f t="shared" si="43"/>
        <v>0</v>
      </c>
      <c r="J100" s="5">
        <f t="shared" si="43"/>
        <v>0</v>
      </c>
      <c r="K100" s="5">
        <f t="shared" si="43"/>
        <v>1061.4610588235294</v>
      </c>
      <c r="L100" s="5">
        <f t="shared" si="43"/>
        <v>1017.1908529411764</v>
      </c>
      <c r="M100" s="5">
        <f t="shared" si="43"/>
        <v>0</v>
      </c>
      <c r="N100" s="5">
        <f t="shared" si="43"/>
        <v>0</v>
      </c>
      <c r="O100" s="5">
        <f t="shared" si="43"/>
        <v>79.341882352941184</v>
      </c>
      <c r="P100" s="5">
        <f t="shared" si="43"/>
        <v>0</v>
      </c>
      <c r="Q100" s="5">
        <f t="shared" si="43"/>
        <v>0</v>
      </c>
      <c r="R100" s="5">
        <f t="shared" si="43"/>
        <v>0</v>
      </c>
      <c r="S100" s="5">
        <f t="shared" si="43"/>
        <v>1051.3757647058824</v>
      </c>
      <c r="T100" s="5">
        <f t="shared" si="43"/>
        <v>0</v>
      </c>
      <c r="U100" s="5">
        <f t="shared" si="43"/>
        <v>0</v>
      </c>
      <c r="V100" s="5">
        <f t="shared" si="43"/>
        <v>0</v>
      </c>
      <c r="W100" s="5">
        <f t="shared" si="43"/>
        <v>1044.2369117647058</v>
      </c>
      <c r="X100" s="5">
        <f t="shared" si="43"/>
        <v>1055.1128823529411</v>
      </c>
      <c r="Y100" s="5">
        <f t="shared" si="43"/>
        <v>1059.7362352941177</v>
      </c>
      <c r="Z100" s="5">
        <f t="shared" ref="Z100:AF100" si="44">Z90*45/1700</f>
        <v>2096.738470588235</v>
      </c>
      <c r="AA100" s="5">
        <f t="shared" si="44"/>
        <v>0</v>
      </c>
      <c r="AB100" s="5">
        <f t="shared" si="44"/>
        <v>0</v>
      </c>
      <c r="AC100" s="5">
        <f t="shared" si="44"/>
        <v>0</v>
      </c>
      <c r="AD100" s="5">
        <f t="shared" si="44"/>
        <v>0</v>
      </c>
      <c r="AE100" s="5">
        <f t="shared" si="44"/>
        <v>0</v>
      </c>
      <c r="AF100" s="5">
        <f t="shared" si="44"/>
        <v>0</v>
      </c>
      <c r="AG100" s="5">
        <f>AG90*45/1700</f>
        <v>0</v>
      </c>
      <c r="AH100" s="5">
        <f>AH90*45/1700</f>
        <v>0</v>
      </c>
      <c r="AI100" s="5">
        <f>AI90*45/1700</f>
        <v>0</v>
      </c>
      <c r="AJ100" s="44">
        <f>AJ90*45/1700</f>
        <v>0</v>
      </c>
      <c r="AK100" s="16"/>
      <c r="AL100" s="131">
        <f>SUM(F100:AJ100)</f>
        <v>8465.1940588235302</v>
      </c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DD100" s="13"/>
    </row>
    <row r="101" spans="2:108 15074:15466" s="1" customFormat="1" x14ac:dyDescent="0.3">
      <c r="B101" s="149"/>
      <c r="C101" s="101" t="s">
        <v>39</v>
      </c>
      <c r="D101" s="145"/>
      <c r="E101" s="26" t="s">
        <v>38</v>
      </c>
      <c r="F101" s="5">
        <f t="shared" ref="F101:AF101" si="45">SUM(F95:F96)/500</f>
        <v>0</v>
      </c>
      <c r="G101" s="5">
        <f t="shared" si="45"/>
        <v>0</v>
      </c>
      <c r="H101" s="5">
        <f t="shared" si="45"/>
        <v>0</v>
      </c>
      <c r="I101" s="5">
        <f t="shared" si="45"/>
        <v>0</v>
      </c>
      <c r="J101" s="5">
        <f t="shared" si="45"/>
        <v>0</v>
      </c>
      <c r="K101" s="5">
        <f t="shared" si="45"/>
        <v>7.3879999999999999</v>
      </c>
      <c r="L101" s="5">
        <f t="shared" si="45"/>
        <v>7.0880000000000001</v>
      </c>
      <c r="M101" s="5">
        <f t="shared" si="45"/>
        <v>0</v>
      </c>
      <c r="N101" s="5">
        <f t="shared" si="45"/>
        <v>0</v>
      </c>
      <c r="O101" s="5">
        <f t="shared" si="45"/>
        <v>0.55200000000000005</v>
      </c>
      <c r="P101" s="5">
        <f t="shared" si="45"/>
        <v>0</v>
      </c>
      <c r="Q101" s="5">
        <f t="shared" si="45"/>
        <v>0</v>
      </c>
      <c r="R101" s="5">
        <f t="shared" si="45"/>
        <v>0</v>
      </c>
      <c r="S101" s="5">
        <f t="shared" si="45"/>
        <v>7.3140000000000001</v>
      </c>
      <c r="T101" s="5">
        <f t="shared" si="45"/>
        <v>0</v>
      </c>
      <c r="U101" s="5">
        <f t="shared" si="45"/>
        <v>0</v>
      </c>
      <c r="V101" s="5">
        <f t="shared" si="45"/>
        <v>0</v>
      </c>
      <c r="W101" s="5">
        <f t="shared" si="45"/>
        <v>7.2720000000000002</v>
      </c>
      <c r="X101" s="5">
        <f t="shared" si="45"/>
        <v>7.34</v>
      </c>
      <c r="Y101" s="5">
        <f t="shared" si="45"/>
        <v>7.38</v>
      </c>
      <c r="Z101" s="5">
        <f t="shared" si="45"/>
        <v>14.586</v>
      </c>
      <c r="AA101" s="5">
        <f t="shared" si="45"/>
        <v>0</v>
      </c>
      <c r="AB101" s="5">
        <f t="shared" si="45"/>
        <v>0</v>
      </c>
      <c r="AC101" s="5">
        <f t="shared" si="45"/>
        <v>0</v>
      </c>
      <c r="AD101" s="5">
        <f t="shared" si="45"/>
        <v>0</v>
      </c>
      <c r="AE101" s="5">
        <f t="shared" si="45"/>
        <v>0</v>
      </c>
      <c r="AF101" s="240">
        <f t="shared" si="45"/>
        <v>0</v>
      </c>
      <c r="AG101" s="240">
        <f>SUM(AG95:AG96)/500</f>
        <v>0</v>
      </c>
      <c r="AH101" s="240">
        <f>SUM(AH95:AH96)/500</f>
        <v>0</v>
      </c>
      <c r="AI101" s="240">
        <f>SUM(AI95:AI96)/500</f>
        <v>0</v>
      </c>
      <c r="AJ101" s="241">
        <f>SUM(AJ95:AJ96)/500</f>
        <v>0</v>
      </c>
      <c r="AK101" s="16"/>
      <c r="AL101" s="131">
        <f>SUM(F101:AJ101)</f>
        <v>58.919999999999995</v>
      </c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DD101" s="13"/>
    </row>
    <row r="102" spans="2:108 15074:15466" s="1" customFormat="1" x14ac:dyDescent="0.3">
      <c r="B102" s="97"/>
      <c r="C102" s="99" t="s">
        <v>37</v>
      </c>
      <c r="D102" s="115"/>
      <c r="E102" s="41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116"/>
      <c r="AD102" s="24"/>
      <c r="AE102" s="24"/>
      <c r="AF102" s="24"/>
      <c r="AG102" s="77"/>
      <c r="AH102" s="77"/>
      <c r="AI102" s="77"/>
      <c r="AJ102" s="85"/>
      <c r="AK102" s="117"/>
      <c r="AL102" s="182" t="s">
        <v>34</v>
      </c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DD102" s="3"/>
      <c r="VGT102"/>
      <c r="VGU102"/>
      <c r="VGV102"/>
      <c r="VGW102"/>
      <c r="VGX102"/>
      <c r="VGY102"/>
      <c r="VGZ102"/>
      <c r="VHA102"/>
      <c r="VHB102"/>
      <c r="VHC102"/>
      <c r="VHD102"/>
      <c r="VHE102"/>
      <c r="VHF102"/>
      <c r="VHG102"/>
      <c r="VHH102"/>
      <c r="VHI102"/>
      <c r="VHJ102"/>
      <c r="VHK102"/>
      <c r="VHL102"/>
      <c r="VHM102"/>
      <c r="VHN102"/>
      <c r="VHO102"/>
      <c r="VHP102"/>
      <c r="VHQ102"/>
      <c r="VHR102"/>
      <c r="VHS102"/>
      <c r="VHT102"/>
      <c r="VHU102"/>
      <c r="VHV102"/>
      <c r="VHW102"/>
      <c r="VHX102"/>
      <c r="VHY102"/>
      <c r="VHZ102"/>
      <c r="VIA102"/>
      <c r="VIB102"/>
      <c r="VIC102"/>
      <c r="VID102"/>
      <c r="VIE102"/>
      <c r="VIF102"/>
      <c r="VIG102"/>
      <c r="VIH102"/>
      <c r="VII102"/>
      <c r="VIJ102"/>
      <c r="VIK102"/>
      <c r="VIL102"/>
      <c r="VIM102"/>
      <c r="VIN102"/>
      <c r="VIO102"/>
      <c r="VIP102"/>
      <c r="VIQ102"/>
      <c r="VIR102"/>
      <c r="VIS102"/>
      <c r="VIT102"/>
      <c r="VIU102"/>
      <c r="VIV102"/>
      <c r="VIW102"/>
      <c r="VIX102"/>
      <c r="VIY102"/>
      <c r="VIZ102"/>
      <c r="VJA102"/>
      <c r="VJB102"/>
      <c r="VJC102"/>
      <c r="VJD102"/>
      <c r="VJE102"/>
      <c r="VJF102"/>
      <c r="VJG102"/>
      <c r="VJH102"/>
      <c r="VJI102"/>
      <c r="VJJ102"/>
      <c r="VJK102"/>
      <c r="VJL102"/>
      <c r="VJM102"/>
      <c r="VJN102"/>
      <c r="VJO102"/>
      <c r="VJP102"/>
      <c r="VJQ102"/>
      <c r="VJR102"/>
      <c r="VJS102"/>
      <c r="VJT102"/>
      <c r="VJU102"/>
      <c r="VJV102"/>
      <c r="VJW102"/>
      <c r="VJX102"/>
      <c r="VJY102"/>
      <c r="VJZ102"/>
      <c r="VKA102"/>
      <c r="VKB102"/>
      <c r="VKC102"/>
      <c r="VKD102"/>
      <c r="VKE102"/>
      <c r="VKF102"/>
      <c r="VKG102"/>
      <c r="VKH102"/>
      <c r="VKI102"/>
      <c r="VKJ102"/>
      <c r="VKK102"/>
      <c r="VKL102"/>
      <c r="VKM102"/>
      <c r="VKN102"/>
      <c r="VKO102"/>
      <c r="VKP102"/>
      <c r="VKQ102"/>
      <c r="VKR102"/>
      <c r="VKS102"/>
      <c r="VKT102"/>
      <c r="VKU102"/>
      <c r="VKV102"/>
      <c r="VKW102"/>
      <c r="VKX102"/>
      <c r="VKY102"/>
      <c r="VKZ102"/>
      <c r="VLA102"/>
      <c r="VLB102"/>
      <c r="VLC102"/>
      <c r="VLD102"/>
      <c r="VLE102"/>
      <c r="VLF102"/>
      <c r="VLG102"/>
      <c r="VLH102"/>
      <c r="VLI102"/>
      <c r="VLJ102"/>
      <c r="VLK102"/>
      <c r="VLL102"/>
      <c r="VLM102"/>
      <c r="VLN102"/>
      <c r="VLO102"/>
      <c r="VLP102"/>
      <c r="VLQ102"/>
      <c r="VLR102"/>
      <c r="VLS102"/>
      <c r="VLT102"/>
      <c r="VLU102"/>
      <c r="VLV102"/>
      <c r="VLW102"/>
      <c r="VLX102"/>
      <c r="VLY102"/>
      <c r="VLZ102"/>
      <c r="VMA102"/>
      <c r="VMB102"/>
      <c r="VMC102"/>
      <c r="VMD102"/>
      <c r="VME102"/>
      <c r="VMF102"/>
      <c r="VMG102"/>
      <c r="VMH102"/>
      <c r="VMI102"/>
      <c r="VMJ102"/>
      <c r="VMK102"/>
      <c r="VML102"/>
      <c r="VMM102"/>
      <c r="VMN102"/>
      <c r="VMO102"/>
      <c r="VMP102"/>
      <c r="VMQ102"/>
      <c r="VMR102"/>
      <c r="VMS102"/>
      <c r="VMT102"/>
      <c r="VMU102"/>
      <c r="VMV102"/>
      <c r="VMW102"/>
      <c r="VMX102"/>
      <c r="VMY102"/>
      <c r="VMZ102"/>
      <c r="VNA102"/>
      <c r="VNB102"/>
      <c r="VNC102"/>
      <c r="VND102"/>
      <c r="VNE102"/>
      <c r="VNF102"/>
      <c r="VNG102"/>
      <c r="VNH102"/>
      <c r="VNI102"/>
      <c r="VNJ102"/>
      <c r="VNK102"/>
      <c r="VNL102"/>
      <c r="VNM102"/>
      <c r="VNN102"/>
      <c r="VNO102"/>
      <c r="VNP102"/>
      <c r="VNQ102"/>
      <c r="VNR102"/>
      <c r="VNS102"/>
      <c r="VNT102"/>
      <c r="VNU102"/>
      <c r="VNV102"/>
      <c r="VNW102"/>
      <c r="VNX102"/>
      <c r="VNY102"/>
      <c r="VNZ102"/>
      <c r="VOA102"/>
      <c r="VOB102"/>
      <c r="VOC102"/>
      <c r="VOD102"/>
      <c r="VOE102"/>
      <c r="VOF102"/>
      <c r="VOG102"/>
      <c r="VOH102"/>
      <c r="VOI102"/>
      <c r="VOJ102"/>
      <c r="VOK102"/>
      <c r="VOL102"/>
      <c r="VOM102"/>
      <c r="VON102"/>
      <c r="VOO102"/>
      <c r="VOP102"/>
      <c r="VOQ102"/>
      <c r="VOR102"/>
      <c r="VOS102"/>
      <c r="VOT102"/>
      <c r="VOU102"/>
      <c r="VOV102"/>
      <c r="VOW102"/>
      <c r="VOX102"/>
      <c r="VOY102"/>
      <c r="VOZ102"/>
      <c r="VPA102"/>
      <c r="VPB102"/>
      <c r="VPC102"/>
      <c r="VPD102"/>
      <c r="VPE102"/>
      <c r="VPF102"/>
      <c r="VPG102"/>
      <c r="VPH102"/>
      <c r="VPI102"/>
      <c r="VPJ102"/>
      <c r="VPK102"/>
      <c r="VPL102"/>
      <c r="VPM102"/>
      <c r="VPN102"/>
      <c r="VPO102"/>
      <c r="VPP102"/>
      <c r="VPQ102"/>
      <c r="VPR102"/>
      <c r="VPS102"/>
      <c r="VPT102"/>
      <c r="VPU102"/>
      <c r="VPV102"/>
      <c r="VPW102"/>
      <c r="VPX102"/>
      <c r="VPY102"/>
      <c r="VPZ102"/>
      <c r="VQA102"/>
      <c r="VQB102"/>
      <c r="VQC102"/>
      <c r="VQD102"/>
      <c r="VQE102"/>
      <c r="VQF102"/>
      <c r="VQG102"/>
      <c r="VQH102"/>
      <c r="VQI102"/>
      <c r="VQJ102"/>
      <c r="VQK102"/>
      <c r="VQL102"/>
      <c r="VQM102"/>
      <c r="VQN102"/>
      <c r="VQO102"/>
      <c r="VQP102"/>
      <c r="VQQ102"/>
      <c r="VQR102"/>
      <c r="VQS102"/>
      <c r="VQT102"/>
      <c r="VQU102"/>
      <c r="VQV102"/>
      <c r="VQW102"/>
      <c r="VQX102"/>
      <c r="VQY102"/>
      <c r="VQZ102"/>
      <c r="VRA102"/>
      <c r="VRB102"/>
      <c r="VRC102"/>
      <c r="VRD102"/>
      <c r="VRE102"/>
      <c r="VRF102"/>
      <c r="VRG102"/>
      <c r="VRH102"/>
      <c r="VRI102"/>
      <c r="VRJ102"/>
      <c r="VRK102"/>
      <c r="VRL102"/>
      <c r="VRM102"/>
      <c r="VRN102"/>
      <c r="VRO102"/>
      <c r="VRP102"/>
      <c r="VRQ102"/>
      <c r="VRR102"/>
      <c r="VRS102"/>
      <c r="VRT102"/>
      <c r="VRU102"/>
      <c r="VRV102"/>
      <c r="VRW102"/>
      <c r="VRX102"/>
      <c r="VRY102"/>
      <c r="VRZ102"/>
      <c r="VSA102"/>
      <c r="VSB102"/>
      <c r="VSC102"/>
      <c r="VSD102"/>
      <c r="VSE102"/>
      <c r="VSF102"/>
      <c r="VSG102"/>
      <c r="VSH102"/>
      <c r="VSI102"/>
      <c r="VSJ102"/>
      <c r="VSK102"/>
      <c r="VSL102"/>
      <c r="VSM102"/>
      <c r="VSN102"/>
      <c r="VSO102"/>
      <c r="VSP102"/>
      <c r="VSQ102"/>
      <c r="VSR102"/>
      <c r="VSS102"/>
      <c r="VST102"/>
      <c r="VSU102"/>
      <c r="VSV102"/>
      <c r="VSW102"/>
      <c r="VSX102"/>
      <c r="VSY102"/>
      <c r="VSZ102"/>
      <c r="VTA102"/>
      <c r="VTB102"/>
      <c r="VTC102"/>
      <c r="VTD102"/>
      <c r="VTE102"/>
      <c r="VTF102"/>
      <c r="VTG102"/>
      <c r="VTH102"/>
      <c r="VTI102"/>
      <c r="VTJ102"/>
      <c r="VTK102"/>
      <c r="VTL102"/>
      <c r="VTM102"/>
      <c r="VTN102"/>
      <c r="VTO102"/>
      <c r="VTP102"/>
      <c r="VTQ102"/>
      <c r="VTR102"/>
      <c r="VTS102"/>
      <c r="VTT102"/>
      <c r="VTU102"/>
      <c r="VTV102"/>
      <c r="VTW102"/>
      <c r="VTX102"/>
      <c r="VTY102"/>
      <c r="VTZ102"/>
      <c r="VUA102"/>
      <c r="VUB102"/>
      <c r="VUC102"/>
      <c r="VUD102"/>
      <c r="VUE102"/>
      <c r="VUF102"/>
      <c r="VUG102"/>
      <c r="VUH102"/>
      <c r="VUI102"/>
      <c r="VUJ102"/>
      <c r="VUK102"/>
      <c r="VUL102"/>
      <c r="VUM102"/>
      <c r="VUN102"/>
      <c r="VUO102"/>
      <c r="VUP102"/>
      <c r="VUQ102"/>
      <c r="VUR102"/>
      <c r="VUS102"/>
      <c r="VUT102"/>
      <c r="VUU102"/>
      <c r="VUV102"/>
      <c r="VUW102"/>
      <c r="VUX102"/>
      <c r="VUY102"/>
      <c r="VUZ102"/>
      <c r="VVA102"/>
      <c r="VVB102"/>
      <c r="VVC102"/>
      <c r="VVD102"/>
      <c r="VVE102"/>
      <c r="VVF102"/>
      <c r="VVG102"/>
      <c r="VVH102"/>
      <c r="VVI102"/>
      <c r="VVJ102"/>
      <c r="VVK102"/>
      <c r="VVL102"/>
      <c r="VVM102"/>
      <c r="VVN102"/>
      <c r="VVO102"/>
      <c r="VVP102"/>
      <c r="VVQ102"/>
      <c r="VVR102"/>
      <c r="VVS102"/>
      <c r="VVT102"/>
      <c r="VVU102"/>
      <c r="VVV102"/>
    </row>
    <row r="103" spans="2:108 15074:15466" s="1" customFormat="1" x14ac:dyDescent="0.3">
      <c r="B103" s="149"/>
      <c r="C103" s="101" t="s">
        <v>33</v>
      </c>
      <c r="D103" s="145"/>
      <c r="E103" s="2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75"/>
      <c r="AH103" s="75"/>
      <c r="AI103" s="75"/>
      <c r="AJ103" s="44"/>
      <c r="AK103" s="16"/>
      <c r="AL103" s="148" t="s">
        <v>33</v>
      </c>
      <c r="DD103" s="13"/>
    </row>
    <row r="104" spans="2:108 15074:15466" s="1" customFormat="1" ht="13.8" x14ac:dyDescent="0.25">
      <c r="B104" s="149"/>
      <c r="C104" s="102" t="s">
        <v>51</v>
      </c>
      <c r="D104" s="145"/>
      <c r="E104" s="26" t="s">
        <v>36</v>
      </c>
      <c r="F104" s="25"/>
      <c r="G104" s="25"/>
      <c r="H104" s="25"/>
      <c r="I104" s="5"/>
      <c r="J104" s="25"/>
      <c r="K104" s="25"/>
      <c r="L104" s="25">
        <v>6</v>
      </c>
      <c r="M104" s="25"/>
      <c r="N104" s="25"/>
      <c r="O104" s="25"/>
      <c r="P104" s="5"/>
      <c r="Q104" s="25"/>
      <c r="R104" s="25"/>
      <c r="S104" s="25"/>
      <c r="T104" s="25"/>
      <c r="U104" s="25"/>
      <c r="V104" s="25"/>
      <c r="W104" s="5">
        <v>4</v>
      </c>
      <c r="X104" s="25"/>
      <c r="Y104" s="25"/>
      <c r="Z104" s="25"/>
      <c r="AA104" s="25"/>
      <c r="AB104" s="25"/>
      <c r="AC104" s="25"/>
      <c r="AD104" s="5"/>
      <c r="AE104" s="25"/>
      <c r="AF104" s="25">
        <v>0</v>
      </c>
      <c r="AG104" s="25">
        <v>0</v>
      </c>
      <c r="AH104" s="25">
        <v>0</v>
      </c>
      <c r="AI104" s="25">
        <v>0</v>
      </c>
      <c r="AJ104" s="63">
        <v>0</v>
      </c>
      <c r="AK104" s="16"/>
      <c r="AL104" s="131">
        <f>SUM(F104:AJ104)</f>
        <v>10</v>
      </c>
      <c r="DD104" s="13"/>
    </row>
    <row r="105" spans="2:108 15074:15466" s="1" customFormat="1" ht="13.8" x14ac:dyDescent="0.25">
      <c r="B105" s="149"/>
      <c r="C105" s="102" t="s">
        <v>50</v>
      </c>
      <c r="D105" s="145"/>
      <c r="E105" s="26" t="s">
        <v>36</v>
      </c>
      <c r="F105" s="25"/>
      <c r="G105" s="25"/>
      <c r="H105" s="25"/>
      <c r="I105" s="5"/>
      <c r="J105" s="25"/>
      <c r="K105" s="25">
        <v>2</v>
      </c>
      <c r="L105" s="25"/>
      <c r="M105" s="25"/>
      <c r="N105" s="25"/>
      <c r="O105" s="25"/>
      <c r="P105" s="5"/>
      <c r="Q105" s="25"/>
      <c r="R105" s="25"/>
      <c r="S105" s="25"/>
      <c r="T105" s="25"/>
      <c r="U105" s="25"/>
      <c r="V105" s="25"/>
      <c r="W105" s="5"/>
      <c r="X105" s="25"/>
      <c r="Y105" s="25">
        <v>4</v>
      </c>
      <c r="Z105" s="25"/>
      <c r="AA105" s="25"/>
      <c r="AB105" s="25"/>
      <c r="AC105" s="25"/>
      <c r="AD105" s="5"/>
      <c r="AE105" s="25"/>
      <c r="AF105" s="25">
        <v>0</v>
      </c>
      <c r="AG105" s="25">
        <v>0</v>
      </c>
      <c r="AH105" s="25">
        <v>0</v>
      </c>
      <c r="AI105" s="25">
        <v>0</v>
      </c>
      <c r="AJ105" s="63">
        <v>0</v>
      </c>
      <c r="AK105" s="16"/>
      <c r="AL105" s="131">
        <f>SUM(F105:AJ105)</f>
        <v>6</v>
      </c>
      <c r="DD105" s="13"/>
    </row>
    <row r="106" spans="2:108 15074:15466" s="1" customFormat="1" x14ac:dyDescent="0.3">
      <c r="B106" s="149"/>
      <c r="C106" s="101" t="s">
        <v>32</v>
      </c>
      <c r="D106" s="145"/>
      <c r="E106" s="2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44"/>
      <c r="AK106" s="16"/>
      <c r="AL106" s="148" t="s">
        <v>32</v>
      </c>
      <c r="DD106" s="13"/>
    </row>
    <row r="107" spans="2:108 15074:15466" s="1" customFormat="1" ht="13.8" x14ac:dyDescent="0.25">
      <c r="B107" s="149"/>
      <c r="C107" s="102" t="s">
        <v>51</v>
      </c>
      <c r="D107" s="145"/>
      <c r="E107" s="26" t="s">
        <v>32</v>
      </c>
      <c r="F107" s="25">
        <f>F104*12</f>
        <v>0</v>
      </c>
      <c r="G107" s="25">
        <f t="shared" ref="G107:AJ107" si="46">G104*12</f>
        <v>0</v>
      </c>
      <c r="H107" s="25">
        <f t="shared" si="46"/>
        <v>0</v>
      </c>
      <c r="I107" s="25">
        <f t="shared" si="46"/>
        <v>0</v>
      </c>
      <c r="J107" s="25">
        <f t="shared" si="46"/>
        <v>0</v>
      </c>
      <c r="K107" s="25">
        <f t="shared" si="46"/>
        <v>0</v>
      </c>
      <c r="L107" s="25">
        <f t="shared" si="46"/>
        <v>72</v>
      </c>
      <c r="M107" s="25">
        <f t="shared" si="46"/>
        <v>0</v>
      </c>
      <c r="N107" s="25">
        <f t="shared" si="46"/>
        <v>0</v>
      </c>
      <c r="O107" s="25">
        <f t="shared" si="46"/>
        <v>0</v>
      </c>
      <c r="P107" s="25">
        <f t="shared" si="46"/>
        <v>0</v>
      </c>
      <c r="Q107" s="25">
        <f t="shared" si="46"/>
        <v>0</v>
      </c>
      <c r="R107" s="25">
        <f t="shared" si="46"/>
        <v>0</v>
      </c>
      <c r="S107" s="25">
        <f t="shared" si="46"/>
        <v>0</v>
      </c>
      <c r="T107" s="25">
        <f t="shared" si="46"/>
        <v>0</v>
      </c>
      <c r="U107" s="25">
        <f t="shared" si="46"/>
        <v>0</v>
      </c>
      <c r="V107" s="25">
        <f t="shared" si="46"/>
        <v>0</v>
      </c>
      <c r="W107" s="25">
        <f t="shared" si="46"/>
        <v>48</v>
      </c>
      <c r="X107" s="25">
        <f t="shared" si="46"/>
        <v>0</v>
      </c>
      <c r="Y107" s="25">
        <f t="shared" si="46"/>
        <v>0</v>
      </c>
      <c r="Z107" s="25">
        <f t="shared" si="46"/>
        <v>0</v>
      </c>
      <c r="AA107" s="25">
        <f t="shared" si="46"/>
        <v>0</v>
      </c>
      <c r="AB107" s="25">
        <f t="shared" si="46"/>
        <v>0</v>
      </c>
      <c r="AC107" s="25">
        <f t="shared" si="46"/>
        <v>0</v>
      </c>
      <c r="AD107" s="25">
        <f t="shared" si="46"/>
        <v>0</v>
      </c>
      <c r="AE107" s="25">
        <f t="shared" si="46"/>
        <v>0</v>
      </c>
      <c r="AF107" s="25">
        <f t="shared" si="46"/>
        <v>0</v>
      </c>
      <c r="AG107" s="25">
        <f t="shared" si="46"/>
        <v>0</v>
      </c>
      <c r="AH107" s="25">
        <f t="shared" si="46"/>
        <v>0</v>
      </c>
      <c r="AI107" s="25">
        <f t="shared" si="46"/>
        <v>0</v>
      </c>
      <c r="AJ107" s="63">
        <f t="shared" si="46"/>
        <v>0</v>
      </c>
      <c r="AK107" s="16"/>
      <c r="AL107" s="131">
        <f>SUM(F107:AJ107)</f>
        <v>120</v>
      </c>
      <c r="DD107" s="13"/>
    </row>
    <row r="108" spans="2:108 15074:15466" s="1" customFormat="1" ht="13.8" x14ac:dyDescent="0.25">
      <c r="B108" s="149"/>
      <c r="C108" s="102" t="s">
        <v>50</v>
      </c>
      <c r="D108" s="145"/>
      <c r="E108" s="26" t="s">
        <v>32</v>
      </c>
      <c r="F108" s="25">
        <f>F105*6</f>
        <v>0</v>
      </c>
      <c r="G108" s="25">
        <f t="shared" ref="G108:AJ108" si="47">G105*6</f>
        <v>0</v>
      </c>
      <c r="H108" s="25">
        <f t="shared" si="47"/>
        <v>0</v>
      </c>
      <c r="I108" s="25">
        <f t="shared" si="47"/>
        <v>0</v>
      </c>
      <c r="J108" s="25">
        <f t="shared" si="47"/>
        <v>0</v>
      </c>
      <c r="K108" s="25">
        <f t="shared" si="47"/>
        <v>12</v>
      </c>
      <c r="L108" s="25">
        <f t="shared" si="47"/>
        <v>0</v>
      </c>
      <c r="M108" s="25">
        <f t="shared" si="47"/>
        <v>0</v>
      </c>
      <c r="N108" s="25">
        <f t="shared" si="47"/>
        <v>0</v>
      </c>
      <c r="O108" s="25">
        <f t="shared" si="47"/>
        <v>0</v>
      </c>
      <c r="P108" s="25">
        <f t="shared" si="47"/>
        <v>0</v>
      </c>
      <c r="Q108" s="25">
        <f t="shared" si="47"/>
        <v>0</v>
      </c>
      <c r="R108" s="25">
        <f t="shared" si="47"/>
        <v>0</v>
      </c>
      <c r="S108" s="25">
        <f t="shared" si="47"/>
        <v>0</v>
      </c>
      <c r="T108" s="25">
        <f t="shared" si="47"/>
        <v>0</v>
      </c>
      <c r="U108" s="25">
        <f t="shared" si="47"/>
        <v>0</v>
      </c>
      <c r="V108" s="25">
        <f t="shared" si="47"/>
        <v>0</v>
      </c>
      <c r="W108" s="25">
        <f t="shared" si="47"/>
        <v>0</v>
      </c>
      <c r="X108" s="25">
        <f t="shared" si="47"/>
        <v>0</v>
      </c>
      <c r="Y108" s="25">
        <f t="shared" si="47"/>
        <v>24</v>
      </c>
      <c r="Z108" s="25">
        <f t="shared" si="47"/>
        <v>0</v>
      </c>
      <c r="AA108" s="25">
        <f t="shared" si="47"/>
        <v>0</v>
      </c>
      <c r="AB108" s="25">
        <f t="shared" si="47"/>
        <v>0</v>
      </c>
      <c r="AC108" s="25">
        <f t="shared" si="47"/>
        <v>0</v>
      </c>
      <c r="AD108" s="25">
        <f t="shared" si="47"/>
        <v>0</v>
      </c>
      <c r="AE108" s="25">
        <f t="shared" si="47"/>
        <v>0</v>
      </c>
      <c r="AF108" s="25">
        <f t="shared" si="47"/>
        <v>0</v>
      </c>
      <c r="AG108" s="25">
        <f t="shared" si="47"/>
        <v>0</v>
      </c>
      <c r="AH108" s="25">
        <f t="shared" si="47"/>
        <v>0</v>
      </c>
      <c r="AI108" s="25">
        <f t="shared" si="47"/>
        <v>0</v>
      </c>
      <c r="AJ108" s="63">
        <f t="shared" si="47"/>
        <v>0</v>
      </c>
      <c r="AK108" s="16"/>
      <c r="AL108" s="131">
        <f>SUM(F108:AJ108)</f>
        <v>36</v>
      </c>
      <c r="DD108" s="13"/>
    </row>
    <row r="109" spans="2:108 15074:15466" s="1" customFormat="1" x14ac:dyDescent="0.3">
      <c r="B109" s="97"/>
      <c r="C109" s="99" t="s">
        <v>35</v>
      </c>
      <c r="D109" s="115"/>
      <c r="E109" s="41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116"/>
      <c r="AD109" s="24"/>
      <c r="AE109" s="24"/>
      <c r="AF109" s="24"/>
      <c r="AG109" s="77"/>
      <c r="AH109" s="77"/>
      <c r="AI109" s="77"/>
      <c r="AJ109" s="85"/>
      <c r="AK109" s="117"/>
      <c r="AL109" s="182" t="s">
        <v>34</v>
      </c>
      <c r="DD109" s="3"/>
      <c r="VGT109"/>
      <c r="VGU109"/>
      <c r="VGV109"/>
      <c r="VGW109"/>
      <c r="VGX109"/>
      <c r="VGY109"/>
      <c r="VGZ109"/>
      <c r="VHA109"/>
      <c r="VHB109"/>
      <c r="VHC109"/>
      <c r="VHD109"/>
      <c r="VHE109"/>
      <c r="VHF109"/>
      <c r="VHG109"/>
      <c r="VHH109"/>
      <c r="VHI109"/>
      <c r="VHJ109"/>
      <c r="VHK109"/>
      <c r="VHL109"/>
      <c r="VHM109"/>
      <c r="VHN109"/>
      <c r="VHO109"/>
      <c r="VHP109"/>
      <c r="VHQ109"/>
      <c r="VHR109"/>
      <c r="VHS109"/>
      <c r="VHT109"/>
      <c r="VHU109"/>
      <c r="VHV109"/>
      <c r="VHW109"/>
      <c r="VHX109"/>
      <c r="VHY109"/>
      <c r="VHZ109"/>
      <c r="VIA109"/>
      <c r="VIB109"/>
      <c r="VIC109"/>
      <c r="VID109"/>
      <c r="VIE109"/>
      <c r="VIF109"/>
      <c r="VIG109"/>
      <c r="VIH109"/>
      <c r="VII109"/>
      <c r="VIJ109"/>
      <c r="VIK109"/>
      <c r="VIL109"/>
      <c r="VIM109"/>
      <c r="VIN109"/>
      <c r="VIO109"/>
      <c r="VIP109"/>
      <c r="VIQ109"/>
      <c r="VIR109"/>
      <c r="VIS109"/>
      <c r="VIT109"/>
      <c r="VIU109"/>
      <c r="VIV109"/>
      <c r="VIW109"/>
      <c r="VIX109"/>
      <c r="VIY109"/>
      <c r="VIZ109"/>
      <c r="VJA109"/>
      <c r="VJB109"/>
      <c r="VJC109"/>
      <c r="VJD109"/>
      <c r="VJE109"/>
      <c r="VJF109"/>
      <c r="VJG109"/>
      <c r="VJH109"/>
      <c r="VJI109"/>
      <c r="VJJ109"/>
      <c r="VJK109"/>
      <c r="VJL109"/>
      <c r="VJM109"/>
      <c r="VJN109"/>
      <c r="VJO109"/>
      <c r="VJP109"/>
      <c r="VJQ109"/>
      <c r="VJR109"/>
      <c r="VJS109"/>
      <c r="VJT109"/>
      <c r="VJU109"/>
      <c r="VJV109"/>
      <c r="VJW109"/>
      <c r="VJX109"/>
      <c r="VJY109"/>
      <c r="VJZ109"/>
      <c r="VKA109"/>
      <c r="VKB109"/>
      <c r="VKC109"/>
      <c r="VKD109"/>
      <c r="VKE109"/>
      <c r="VKF109"/>
      <c r="VKG109"/>
      <c r="VKH109"/>
      <c r="VKI109"/>
      <c r="VKJ109"/>
      <c r="VKK109"/>
      <c r="VKL109"/>
      <c r="VKM109"/>
      <c r="VKN109"/>
      <c r="VKO109"/>
      <c r="VKP109"/>
      <c r="VKQ109"/>
      <c r="VKR109"/>
      <c r="VKS109"/>
      <c r="VKT109"/>
      <c r="VKU109"/>
      <c r="VKV109"/>
      <c r="VKW109"/>
      <c r="VKX109"/>
      <c r="VKY109"/>
      <c r="VKZ109"/>
      <c r="VLA109"/>
      <c r="VLB109"/>
      <c r="VLC109"/>
      <c r="VLD109"/>
      <c r="VLE109"/>
      <c r="VLF109"/>
      <c r="VLG109"/>
      <c r="VLH109"/>
      <c r="VLI109"/>
      <c r="VLJ109"/>
      <c r="VLK109"/>
      <c r="VLL109"/>
      <c r="VLM109"/>
      <c r="VLN109"/>
      <c r="VLO109"/>
      <c r="VLP109"/>
      <c r="VLQ109"/>
      <c r="VLR109"/>
      <c r="VLS109"/>
      <c r="VLT109"/>
      <c r="VLU109"/>
      <c r="VLV109"/>
      <c r="VLW109"/>
      <c r="VLX109"/>
      <c r="VLY109"/>
      <c r="VLZ109"/>
      <c r="VMA109"/>
      <c r="VMB109"/>
      <c r="VMC109"/>
      <c r="VMD109"/>
      <c r="VME109"/>
      <c r="VMF109"/>
      <c r="VMG109"/>
      <c r="VMH109"/>
      <c r="VMI109"/>
      <c r="VMJ109"/>
      <c r="VMK109"/>
      <c r="VML109"/>
      <c r="VMM109"/>
      <c r="VMN109"/>
      <c r="VMO109"/>
      <c r="VMP109"/>
      <c r="VMQ109"/>
      <c r="VMR109"/>
      <c r="VMS109"/>
      <c r="VMT109"/>
      <c r="VMU109"/>
      <c r="VMV109"/>
      <c r="VMW109"/>
      <c r="VMX109"/>
      <c r="VMY109"/>
      <c r="VMZ109"/>
      <c r="VNA109"/>
      <c r="VNB109"/>
      <c r="VNC109"/>
      <c r="VND109"/>
      <c r="VNE109"/>
      <c r="VNF109"/>
      <c r="VNG109"/>
      <c r="VNH109"/>
      <c r="VNI109"/>
      <c r="VNJ109"/>
      <c r="VNK109"/>
      <c r="VNL109"/>
      <c r="VNM109"/>
      <c r="VNN109"/>
      <c r="VNO109"/>
      <c r="VNP109"/>
      <c r="VNQ109"/>
      <c r="VNR109"/>
      <c r="VNS109"/>
      <c r="VNT109"/>
      <c r="VNU109"/>
      <c r="VNV109"/>
      <c r="VNW109"/>
      <c r="VNX109"/>
      <c r="VNY109"/>
      <c r="VNZ109"/>
      <c r="VOA109"/>
      <c r="VOB109"/>
      <c r="VOC109"/>
      <c r="VOD109"/>
      <c r="VOE109"/>
      <c r="VOF109"/>
      <c r="VOG109"/>
      <c r="VOH109"/>
      <c r="VOI109"/>
      <c r="VOJ109"/>
      <c r="VOK109"/>
      <c r="VOL109"/>
      <c r="VOM109"/>
      <c r="VON109"/>
      <c r="VOO109"/>
      <c r="VOP109"/>
      <c r="VOQ109"/>
      <c r="VOR109"/>
      <c r="VOS109"/>
      <c r="VOT109"/>
      <c r="VOU109"/>
      <c r="VOV109"/>
      <c r="VOW109"/>
      <c r="VOX109"/>
      <c r="VOY109"/>
      <c r="VOZ109"/>
      <c r="VPA109"/>
      <c r="VPB109"/>
      <c r="VPC109"/>
      <c r="VPD109"/>
      <c r="VPE109"/>
      <c r="VPF109"/>
      <c r="VPG109"/>
      <c r="VPH109"/>
      <c r="VPI109"/>
      <c r="VPJ109"/>
      <c r="VPK109"/>
      <c r="VPL109"/>
      <c r="VPM109"/>
      <c r="VPN109"/>
      <c r="VPO109"/>
      <c r="VPP109"/>
      <c r="VPQ109"/>
      <c r="VPR109"/>
      <c r="VPS109"/>
      <c r="VPT109"/>
      <c r="VPU109"/>
      <c r="VPV109"/>
      <c r="VPW109"/>
      <c r="VPX109"/>
      <c r="VPY109"/>
      <c r="VPZ109"/>
      <c r="VQA109"/>
      <c r="VQB109"/>
      <c r="VQC109"/>
      <c r="VQD109"/>
      <c r="VQE109"/>
      <c r="VQF109"/>
      <c r="VQG109"/>
      <c r="VQH109"/>
      <c r="VQI109"/>
      <c r="VQJ109"/>
      <c r="VQK109"/>
      <c r="VQL109"/>
      <c r="VQM109"/>
      <c r="VQN109"/>
      <c r="VQO109"/>
      <c r="VQP109"/>
      <c r="VQQ109"/>
      <c r="VQR109"/>
      <c r="VQS109"/>
      <c r="VQT109"/>
      <c r="VQU109"/>
      <c r="VQV109"/>
      <c r="VQW109"/>
      <c r="VQX109"/>
      <c r="VQY109"/>
      <c r="VQZ109"/>
      <c r="VRA109"/>
      <c r="VRB109"/>
      <c r="VRC109"/>
      <c r="VRD109"/>
      <c r="VRE109"/>
      <c r="VRF109"/>
      <c r="VRG109"/>
      <c r="VRH109"/>
      <c r="VRI109"/>
      <c r="VRJ109"/>
      <c r="VRK109"/>
      <c r="VRL109"/>
      <c r="VRM109"/>
      <c r="VRN109"/>
      <c r="VRO109"/>
      <c r="VRP109"/>
      <c r="VRQ109"/>
      <c r="VRR109"/>
      <c r="VRS109"/>
      <c r="VRT109"/>
      <c r="VRU109"/>
      <c r="VRV109"/>
      <c r="VRW109"/>
      <c r="VRX109"/>
      <c r="VRY109"/>
      <c r="VRZ109"/>
      <c r="VSA109"/>
      <c r="VSB109"/>
      <c r="VSC109"/>
      <c r="VSD109"/>
      <c r="VSE109"/>
      <c r="VSF109"/>
      <c r="VSG109"/>
      <c r="VSH109"/>
      <c r="VSI109"/>
      <c r="VSJ109"/>
      <c r="VSK109"/>
      <c r="VSL109"/>
      <c r="VSM109"/>
      <c r="VSN109"/>
      <c r="VSO109"/>
      <c r="VSP109"/>
      <c r="VSQ109"/>
      <c r="VSR109"/>
      <c r="VSS109"/>
      <c r="VST109"/>
      <c r="VSU109"/>
      <c r="VSV109"/>
      <c r="VSW109"/>
      <c r="VSX109"/>
      <c r="VSY109"/>
      <c r="VSZ109"/>
      <c r="VTA109"/>
      <c r="VTB109"/>
      <c r="VTC109"/>
      <c r="VTD109"/>
      <c r="VTE109"/>
      <c r="VTF109"/>
      <c r="VTG109"/>
      <c r="VTH109"/>
      <c r="VTI109"/>
      <c r="VTJ109"/>
      <c r="VTK109"/>
      <c r="VTL109"/>
      <c r="VTM109"/>
      <c r="VTN109"/>
      <c r="VTO109"/>
      <c r="VTP109"/>
      <c r="VTQ109"/>
      <c r="VTR109"/>
      <c r="VTS109"/>
      <c r="VTT109"/>
      <c r="VTU109"/>
      <c r="VTV109"/>
      <c r="VTW109"/>
      <c r="VTX109"/>
      <c r="VTY109"/>
      <c r="VTZ109"/>
      <c r="VUA109"/>
      <c r="VUB109"/>
      <c r="VUC109"/>
      <c r="VUD109"/>
      <c r="VUE109"/>
      <c r="VUF109"/>
      <c r="VUG109"/>
      <c r="VUH109"/>
      <c r="VUI109"/>
      <c r="VUJ109"/>
      <c r="VUK109"/>
      <c r="VUL109"/>
      <c r="VUM109"/>
      <c r="VUN109"/>
      <c r="VUO109"/>
      <c r="VUP109"/>
      <c r="VUQ109"/>
      <c r="VUR109"/>
      <c r="VUS109"/>
      <c r="VUT109"/>
      <c r="VUU109"/>
      <c r="VUV109"/>
      <c r="VUW109"/>
      <c r="VUX109"/>
      <c r="VUY109"/>
      <c r="VUZ109"/>
      <c r="VVA109"/>
      <c r="VVB109"/>
      <c r="VVC109"/>
      <c r="VVD109"/>
      <c r="VVE109"/>
      <c r="VVF109"/>
      <c r="VVG109"/>
      <c r="VVH109"/>
      <c r="VVI109"/>
      <c r="VVJ109"/>
      <c r="VVK109"/>
      <c r="VVL109"/>
      <c r="VVM109"/>
      <c r="VVN109"/>
      <c r="VVO109"/>
      <c r="VVP109"/>
      <c r="VVQ109"/>
      <c r="VVR109"/>
      <c r="VVS109"/>
      <c r="VVT109"/>
      <c r="VVU109"/>
      <c r="VVV109"/>
    </row>
    <row r="110" spans="2:108 15074:15466" s="1" customFormat="1" x14ac:dyDescent="0.3">
      <c r="B110" s="149"/>
      <c r="C110" s="101" t="s">
        <v>33</v>
      </c>
      <c r="D110" s="145"/>
      <c r="E110" s="2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75"/>
      <c r="AH110" s="75"/>
      <c r="AI110" s="75"/>
      <c r="AJ110" s="44"/>
      <c r="AK110" s="16"/>
      <c r="AL110" s="148" t="s">
        <v>33</v>
      </c>
      <c r="DD110" s="13"/>
    </row>
    <row r="111" spans="2:108 15074:15466" s="1" customFormat="1" ht="13.8" x14ac:dyDescent="0.25">
      <c r="B111" s="149"/>
      <c r="C111" s="102" t="s">
        <v>51</v>
      </c>
      <c r="D111" s="34">
        <v>0.3</v>
      </c>
      <c r="E111" s="26" t="s">
        <v>29</v>
      </c>
      <c r="F111" s="28" t="e">
        <f t="shared" ref="F111:AI112" si="48">F104/F95*100</f>
        <v>#DIV/0!</v>
      </c>
      <c r="G111" s="28" t="e">
        <f t="shared" si="48"/>
        <v>#DIV/0!</v>
      </c>
      <c r="H111" s="28" t="e">
        <f t="shared" si="48"/>
        <v>#DIV/0!</v>
      </c>
      <c r="I111" s="28" t="e">
        <f t="shared" si="48"/>
        <v>#DIV/0!</v>
      </c>
      <c r="J111" s="28" t="e">
        <f t="shared" si="48"/>
        <v>#DIV/0!</v>
      </c>
      <c r="K111" s="28" t="e">
        <f t="shared" si="48"/>
        <v>#DIV/0!</v>
      </c>
      <c r="L111" s="28">
        <f t="shared" si="48"/>
        <v>0.16930022573363432</v>
      </c>
      <c r="M111" s="28" t="e">
        <f t="shared" si="48"/>
        <v>#DIV/0!</v>
      </c>
      <c r="N111" s="28" t="e">
        <f t="shared" si="48"/>
        <v>#DIV/0!</v>
      </c>
      <c r="O111" s="28">
        <f t="shared" si="48"/>
        <v>0</v>
      </c>
      <c r="P111" s="28" t="e">
        <f t="shared" si="48"/>
        <v>#DIV/0!</v>
      </c>
      <c r="Q111" s="28" t="e">
        <f t="shared" si="48"/>
        <v>#DIV/0!</v>
      </c>
      <c r="R111" s="28" t="e">
        <f t="shared" si="48"/>
        <v>#DIV/0!</v>
      </c>
      <c r="S111" s="28">
        <f t="shared" si="48"/>
        <v>0</v>
      </c>
      <c r="T111" s="28" t="e">
        <f t="shared" si="48"/>
        <v>#DIV/0!</v>
      </c>
      <c r="U111" s="28" t="e">
        <f t="shared" si="48"/>
        <v>#DIV/0!</v>
      </c>
      <c r="V111" s="28" t="e">
        <f t="shared" si="48"/>
        <v>#DIV/0!</v>
      </c>
      <c r="W111" s="28">
        <f t="shared" si="48"/>
        <v>0.11001100110011</v>
      </c>
      <c r="X111" s="28">
        <f t="shared" si="48"/>
        <v>0</v>
      </c>
      <c r="Y111" s="28" t="e">
        <f t="shared" si="48"/>
        <v>#DIV/0!</v>
      </c>
      <c r="Z111" s="28" t="e">
        <f t="shared" si="48"/>
        <v>#DIV/0!</v>
      </c>
      <c r="AA111" s="28" t="e">
        <f t="shared" si="48"/>
        <v>#DIV/0!</v>
      </c>
      <c r="AB111" s="28" t="e">
        <f t="shared" si="48"/>
        <v>#DIV/0!</v>
      </c>
      <c r="AC111" s="28" t="e">
        <f t="shared" si="48"/>
        <v>#DIV/0!</v>
      </c>
      <c r="AD111" s="28" t="e">
        <f t="shared" si="48"/>
        <v>#DIV/0!</v>
      </c>
      <c r="AE111" s="28" t="e">
        <f t="shared" si="48"/>
        <v>#DIV/0!</v>
      </c>
      <c r="AF111" s="28" t="e">
        <f t="shared" si="48"/>
        <v>#DIV/0!</v>
      </c>
      <c r="AG111" s="28" t="e">
        <f t="shared" si="48"/>
        <v>#DIV/0!</v>
      </c>
      <c r="AH111" s="28" t="e">
        <f t="shared" si="48"/>
        <v>#DIV/0!</v>
      </c>
      <c r="AI111" s="28" t="e">
        <f t="shared" si="48"/>
        <v>#DIV/0!</v>
      </c>
      <c r="AJ111" s="43" t="e">
        <f>AJ104/AJ95*100</f>
        <v>#DIV/0!</v>
      </c>
      <c r="AK111" s="16"/>
      <c r="AL111" s="142">
        <f>AL104/AL95*100</f>
        <v>6.7645268213488458E-2</v>
      </c>
      <c r="DD111" s="13"/>
    </row>
    <row r="112" spans="2:108 15074:15466" s="1" customFormat="1" ht="13.8" x14ac:dyDescent="0.25">
      <c r="B112" s="149"/>
      <c r="C112" s="102" t="s">
        <v>50</v>
      </c>
      <c r="D112" s="34">
        <v>0.3</v>
      </c>
      <c r="E112" s="26" t="s">
        <v>29</v>
      </c>
      <c r="F112" s="28" t="e">
        <f t="shared" si="48"/>
        <v>#DIV/0!</v>
      </c>
      <c r="G112" s="28" t="e">
        <f t="shared" si="48"/>
        <v>#DIV/0!</v>
      </c>
      <c r="H112" s="28" t="e">
        <f t="shared" si="48"/>
        <v>#DIV/0!</v>
      </c>
      <c r="I112" s="28" t="e">
        <f t="shared" si="48"/>
        <v>#DIV/0!</v>
      </c>
      <c r="J112" s="28" t="e">
        <f t="shared" si="48"/>
        <v>#DIV/0!</v>
      </c>
      <c r="K112" s="28">
        <f t="shared" si="48"/>
        <v>5.4141851651326477E-2</v>
      </c>
      <c r="L112" s="28" t="e">
        <f t="shared" si="48"/>
        <v>#DIV/0!</v>
      </c>
      <c r="M112" s="28" t="e">
        <f t="shared" si="48"/>
        <v>#DIV/0!</v>
      </c>
      <c r="N112" s="28" t="e">
        <f t="shared" si="48"/>
        <v>#DIV/0!</v>
      </c>
      <c r="O112" s="28" t="e">
        <f t="shared" si="48"/>
        <v>#DIV/0!</v>
      </c>
      <c r="P112" s="28" t="e">
        <f t="shared" si="48"/>
        <v>#DIV/0!</v>
      </c>
      <c r="Q112" s="28" t="e">
        <f t="shared" si="48"/>
        <v>#DIV/0!</v>
      </c>
      <c r="R112" s="28" t="e">
        <f t="shared" si="48"/>
        <v>#DIV/0!</v>
      </c>
      <c r="S112" s="28" t="e">
        <f t="shared" si="48"/>
        <v>#DIV/0!</v>
      </c>
      <c r="T112" s="28" t="e">
        <f t="shared" si="48"/>
        <v>#DIV/0!</v>
      </c>
      <c r="U112" s="28" t="e">
        <f t="shared" si="48"/>
        <v>#DIV/0!</v>
      </c>
      <c r="V112" s="28" t="e">
        <f t="shared" si="48"/>
        <v>#DIV/0!</v>
      </c>
      <c r="W112" s="28" t="e">
        <f t="shared" si="48"/>
        <v>#DIV/0!</v>
      </c>
      <c r="X112" s="28" t="e">
        <f t="shared" si="48"/>
        <v>#DIV/0!</v>
      </c>
      <c r="Y112" s="28">
        <f t="shared" si="48"/>
        <v>0.10840108401084012</v>
      </c>
      <c r="Z112" s="28">
        <f t="shared" si="48"/>
        <v>0</v>
      </c>
      <c r="AA112" s="28" t="e">
        <f t="shared" si="48"/>
        <v>#DIV/0!</v>
      </c>
      <c r="AB112" s="28" t="e">
        <f t="shared" si="48"/>
        <v>#DIV/0!</v>
      </c>
      <c r="AC112" s="28" t="e">
        <f t="shared" si="48"/>
        <v>#DIV/0!</v>
      </c>
      <c r="AD112" s="28" t="e">
        <f t="shared" si="48"/>
        <v>#DIV/0!</v>
      </c>
      <c r="AE112" s="28" t="e">
        <f t="shared" si="48"/>
        <v>#DIV/0!</v>
      </c>
      <c r="AF112" s="28" t="e">
        <f t="shared" si="48"/>
        <v>#DIV/0!</v>
      </c>
      <c r="AG112" s="28" t="e">
        <f t="shared" si="48"/>
        <v>#DIV/0!</v>
      </c>
      <c r="AH112" s="28" t="e">
        <f t="shared" si="48"/>
        <v>#DIV/0!</v>
      </c>
      <c r="AI112" s="28" t="e">
        <f t="shared" si="48"/>
        <v>#DIV/0!</v>
      </c>
      <c r="AJ112" s="43" t="e">
        <f>AJ105/AJ96*100</f>
        <v>#DIV/0!</v>
      </c>
      <c r="AK112" s="16"/>
      <c r="AL112" s="142">
        <f>AL105/AL96*100</f>
        <v>4.0880288887374806E-2</v>
      </c>
      <c r="DD112" s="13"/>
    </row>
    <row r="113" spans="2:108" s="1" customFormat="1" x14ac:dyDescent="0.3">
      <c r="B113" s="149"/>
      <c r="C113" s="101" t="s">
        <v>32</v>
      </c>
      <c r="D113" s="34"/>
      <c r="E113" s="21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43"/>
      <c r="AK113" s="16"/>
      <c r="AL113" s="148" t="s">
        <v>32</v>
      </c>
      <c r="DD113" s="13"/>
    </row>
    <row r="114" spans="2:108" s="1" customFormat="1" ht="13.8" x14ac:dyDescent="0.25">
      <c r="B114" s="149"/>
      <c r="C114" s="102" t="s">
        <v>51</v>
      </c>
      <c r="D114" s="34">
        <v>0.5</v>
      </c>
      <c r="E114" s="26" t="s">
        <v>29</v>
      </c>
      <c r="F114" s="28" t="e">
        <f t="shared" ref="F114:AI115" si="49">F107/F98*100</f>
        <v>#DIV/0!</v>
      </c>
      <c r="G114" s="28" t="e">
        <f t="shared" si="49"/>
        <v>#DIV/0!</v>
      </c>
      <c r="H114" s="28" t="e">
        <f t="shared" si="49"/>
        <v>#DIV/0!</v>
      </c>
      <c r="I114" s="28" t="e">
        <f t="shared" si="49"/>
        <v>#DIV/0!</v>
      </c>
      <c r="J114" s="28" t="e">
        <f t="shared" si="49"/>
        <v>#DIV/0!</v>
      </c>
      <c r="K114" s="28" t="e">
        <f t="shared" si="49"/>
        <v>#DIV/0!</v>
      </c>
      <c r="L114" s="28">
        <f t="shared" si="49"/>
        <v>0.16930022573363432</v>
      </c>
      <c r="M114" s="28" t="e">
        <f t="shared" si="49"/>
        <v>#DIV/0!</v>
      </c>
      <c r="N114" s="28" t="e">
        <f t="shared" si="49"/>
        <v>#DIV/0!</v>
      </c>
      <c r="O114" s="28">
        <f t="shared" si="49"/>
        <v>0</v>
      </c>
      <c r="P114" s="28" t="e">
        <f t="shared" si="49"/>
        <v>#DIV/0!</v>
      </c>
      <c r="Q114" s="28" t="e">
        <f t="shared" si="49"/>
        <v>#DIV/0!</v>
      </c>
      <c r="R114" s="28" t="e">
        <f t="shared" si="49"/>
        <v>#DIV/0!</v>
      </c>
      <c r="S114" s="28">
        <f t="shared" si="49"/>
        <v>0</v>
      </c>
      <c r="T114" s="28" t="e">
        <f t="shared" si="49"/>
        <v>#DIV/0!</v>
      </c>
      <c r="U114" s="28" t="e">
        <f t="shared" si="49"/>
        <v>#DIV/0!</v>
      </c>
      <c r="V114" s="28" t="e">
        <f t="shared" si="49"/>
        <v>#DIV/0!</v>
      </c>
      <c r="W114" s="28">
        <f t="shared" si="49"/>
        <v>0.11001100110011</v>
      </c>
      <c r="X114" s="28">
        <f t="shared" si="49"/>
        <v>0</v>
      </c>
      <c r="Y114" s="28" t="e">
        <f t="shared" si="49"/>
        <v>#DIV/0!</v>
      </c>
      <c r="Z114" s="28" t="e">
        <f t="shared" si="49"/>
        <v>#DIV/0!</v>
      </c>
      <c r="AA114" s="28" t="e">
        <f t="shared" si="49"/>
        <v>#DIV/0!</v>
      </c>
      <c r="AB114" s="28" t="e">
        <f t="shared" si="49"/>
        <v>#DIV/0!</v>
      </c>
      <c r="AC114" s="28" t="e">
        <f t="shared" si="49"/>
        <v>#DIV/0!</v>
      </c>
      <c r="AD114" s="28" t="e">
        <f t="shared" si="49"/>
        <v>#DIV/0!</v>
      </c>
      <c r="AE114" s="28" t="e">
        <f t="shared" si="49"/>
        <v>#DIV/0!</v>
      </c>
      <c r="AF114" s="28" t="e">
        <f t="shared" si="49"/>
        <v>#DIV/0!</v>
      </c>
      <c r="AG114" s="28" t="e">
        <f t="shared" si="49"/>
        <v>#DIV/0!</v>
      </c>
      <c r="AH114" s="28" t="e">
        <f t="shared" si="49"/>
        <v>#DIV/0!</v>
      </c>
      <c r="AI114" s="28" t="e">
        <f t="shared" si="49"/>
        <v>#DIV/0!</v>
      </c>
      <c r="AJ114" s="43" t="e">
        <f>AJ107/AJ98*100</f>
        <v>#DIV/0!</v>
      </c>
      <c r="AK114" s="16"/>
      <c r="AL114" s="142">
        <f>AL107/AL98*100</f>
        <v>6.7645268213488458E-2</v>
      </c>
      <c r="DD114" s="13"/>
    </row>
    <row r="115" spans="2:108" s="1" customFormat="1" ht="13.8" x14ac:dyDescent="0.25">
      <c r="B115" s="149"/>
      <c r="C115" s="102" t="s">
        <v>50</v>
      </c>
      <c r="D115" s="34">
        <v>0.5</v>
      </c>
      <c r="E115" s="26" t="s">
        <v>29</v>
      </c>
      <c r="F115" s="28" t="e">
        <f t="shared" si="49"/>
        <v>#DIV/0!</v>
      </c>
      <c r="G115" s="28" t="e">
        <f t="shared" si="49"/>
        <v>#DIV/0!</v>
      </c>
      <c r="H115" s="28" t="e">
        <f t="shared" si="49"/>
        <v>#DIV/0!</v>
      </c>
      <c r="I115" s="28" t="e">
        <f t="shared" si="49"/>
        <v>#DIV/0!</v>
      </c>
      <c r="J115" s="28" t="e">
        <f t="shared" si="49"/>
        <v>#DIV/0!</v>
      </c>
      <c r="K115" s="28">
        <f t="shared" si="49"/>
        <v>5.4141851651326477E-2</v>
      </c>
      <c r="L115" s="28" t="e">
        <f t="shared" si="49"/>
        <v>#DIV/0!</v>
      </c>
      <c r="M115" s="28" t="e">
        <f t="shared" si="49"/>
        <v>#DIV/0!</v>
      </c>
      <c r="N115" s="28" t="e">
        <f t="shared" si="49"/>
        <v>#DIV/0!</v>
      </c>
      <c r="O115" s="28" t="e">
        <f t="shared" si="49"/>
        <v>#DIV/0!</v>
      </c>
      <c r="P115" s="28" t="e">
        <f t="shared" si="49"/>
        <v>#DIV/0!</v>
      </c>
      <c r="Q115" s="28" t="e">
        <f t="shared" si="49"/>
        <v>#DIV/0!</v>
      </c>
      <c r="R115" s="28" t="e">
        <f t="shared" si="49"/>
        <v>#DIV/0!</v>
      </c>
      <c r="S115" s="28" t="e">
        <f t="shared" si="49"/>
        <v>#DIV/0!</v>
      </c>
      <c r="T115" s="28" t="e">
        <f t="shared" si="49"/>
        <v>#DIV/0!</v>
      </c>
      <c r="U115" s="28" t="e">
        <f t="shared" si="49"/>
        <v>#DIV/0!</v>
      </c>
      <c r="V115" s="28" t="e">
        <f t="shared" si="49"/>
        <v>#DIV/0!</v>
      </c>
      <c r="W115" s="28" t="e">
        <f t="shared" si="49"/>
        <v>#DIV/0!</v>
      </c>
      <c r="X115" s="28" t="e">
        <f t="shared" si="49"/>
        <v>#DIV/0!</v>
      </c>
      <c r="Y115" s="28">
        <f t="shared" si="49"/>
        <v>0.10840108401084012</v>
      </c>
      <c r="Z115" s="28">
        <f t="shared" si="49"/>
        <v>0</v>
      </c>
      <c r="AA115" s="28" t="e">
        <f t="shared" si="49"/>
        <v>#DIV/0!</v>
      </c>
      <c r="AB115" s="28" t="e">
        <f t="shared" si="49"/>
        <v>#DIV/0!</v>
      </c>
      <c r="AC115" s="28" t="e">
        <f t="shared" si="49"/>
        <v>#DIV/0!</v>
      </c>
      <c r="AD115" s="28" t="e">
        <f t="shared" si="49"/>
        <v>#DIV/0!</v>
      </c>
      <c r="AE115" s="28" t="e">
        <f t="shared" si="49"/>
        <v>#DIV/0!</v>
      </c>
      <c r="AF115" s="28" t="e">
        <f t="shared" si="49"/>
        <v>#DIV/0!</v>
      </c>
      <c r="AG115" s="28" t="e">
        <f t="shared" si="49"/>
        <v>#DIV/0!</v>
      </c>
      <c r="AH115" s="28" t="e">
        <f t="shared" si="49"/>
        <v>#DIV/0!</v>
      </c>
      <c r="AI115" s="28" t="e">
        <f t="shared" si="49"/>
        <v>#DIV/0!</v>
      </c>
      <c r="AJ115" s="43" t="e">
        <f>AJ108/AJ99*100</f>
        <v>#DIV/0!</v>
      </c>
      <c r="AK115" s="16"/>
      <c r="AL115" s="142">
        <f>AL108/AL99*100</f>
        <v>4.0880288887374806E-2</v>
      </c>
      <c r="DD115" s="13"/>
    </row>
    <row r="116" spans="2:108" s="1" customFormat="1" ht="13.8" x14ac:dyDescent="0.25">
      <c r="B116" s="149"/>
      <c r="C116" s="99" t="s">
        <v>49</v>
      </c>
      <c r="D116" s="242"/>
      <c r="E116" s="36"/>
      <c r="F116" s="243"/>
      <c r="G116" s="243"/>
      <c r="H116" s="243"/>
      <c r="I116" s="243"/>
      <c r="J116" s="243"/>
      <c r="K116" s="243"/>
      <c r="L116" s="243"/>
      <c r="M116" s="243"/>
      <c r="N116" s="243"/>
      <c r="O116" s="243"/>
      <c r="P116" s="243"/>
      <c r="Q116" s="243"/>
      <c r="R116" s="243"/>
      <c r="S116" s="243"/>
      <c r="T116" s="243"/>
      <c r="U116" s="243"/>
      <c r="V116" s="243"/>
      <c r="W116" s="243"/>
      <c r="X116" s="243"/>
      <c r="Y116" s="243"/>
      <c r="Z116" s="243"/>
      <c r="AA116" s="243"/>
      <c r="AB116" s="243"/>
      <c r="AC116" s="243"/>
      <c r="AD116" s="243"/>
      <c r="AE116" s="243"/>
      <c r="AF116" s="243"/>
      <c r="AG116" s="244"/>
      <c r="AH116" s="244"/>
      <c r="AI116" s="244"/>
      <c r="AJ116" s="245"/>
      <c r="AK116" s="246"/>
      <c r="AL116" s="182" t="s">
        <v>45</v>
      </c>
    </row>
    <row r="117" spans="2:108" s="1" customFormat="1" ht="13.8" x14ac:dyDescent="0.25">
      <c r="B117" s="149"/>
      <c r="C117" s="100" t="s">
        <v>118</v>
      </c>
      <c r="D117" s="34"/>
      <c r="E117" s="26" t="s">
        <v>16</v>
      </c>
      <c r="F117" s="30">
        <v>65731</v>
      </c>
      <c r="G117" s="30">
        <v>68739</v>
      </c>
      <c r="H117" s="30">
        <v>59802</v>
      </c>
      <c r="I117" s="30">
        <v>69886</v>
      </c>
      <c r="J117" s="30">
        <v>62136</v>
      </c>
      <c r="K117" s="30">
        <v>33807</v>
      </c>
      <c r="L117" s="30">
        <v>30691</v>
      </c>
      <c r="M117" s="30">
        <v>74741</v>
      </c>
      <c r="N117" s="30">
        <v>72155</v>
      </c>
      <c r="O117" s="30">
        <v>81615</v>
      </c>
      <c r="P117" s="30">
        <v>54459</v>
      </c>
      <c r="Q117" s="30">
        <v>109637</v>
      </c>
      <c r="R117" s="30">
        <v>59544</v>
      </c>
      <c r="S117" s="30">
        <v>112352</v>
      </c>
      <c r="T117" s="30">
        <v>55462</v>
      </c>
      <c r="U117" s="30">
        <v>66933</v>
      </c>
      <c r="V117" s="30">
        <v>58935</v>
      </c>
      <c r="W117" s="30">
        <v>98794</v>
      </c>
      <c r="X117" s="30">
        <v>35763</v>
      </c>
      <c r="Y117" s="30">
        <v>46903</v>
      </c>
      <c r="Z117" s="30">
        <v>21989</v>
      </c>
      <c r="AA117" s="30">
        <v>74890</v>
      </c>
      <c r="AB117" s="30">
        <v>57597</v>
      </c>
      <c r="AC117" s="30">
        <v>45061</v>
      </c>
      <c r="AD117" s="30">
        <v>78299</v>
      </c>
      <c r="AE117" s="30">
        <v>93998</v>
      </c>
      <c r="AF117" s="30">
        <v>62256</v>
      </c>
      <c r="AG117" s="73">
        <v>111273</v>
      </c>
      <c r="AH117" s="73">
        <v>71552</v>
      </c>
      <c r="AI117" s="73">
        <v>94081</v>
      </c>
      <c r="AJ117" s="42">
        <v>62167</v>
      </c>
      <c r="AK117" s="59"/>
      <c r="AL117" s="225">
        <f>SUM(C117:AJ117)</f>
        <v>2091248</v>
      </c>
    </row>
    <row r="118" spans="2:108" s="1" customFormat="1" ht="13.8" x14ac:dyDescent="0.25">
      <c r="B118" s="149"/>
      <c r="C118" s="100" t="s">
        <v>119</v>
      </c>
      <c r="D118" s="34"/>
      <c r="E118" s="26" t="s">
        <v>16</v>
      </c>
      <c r="F118" s="82">
        <v>67882.05</v>
      </c>
      <c r="G118" s="82">
        <v>71090.05</v>
      </c>
      <c r="H118" s="82">
        <v>35758.699999999997</v>
      </c>
      <c r="I118" s="82">
        <v>71889.83</v>
      </c>
      <c r="J118" s="82">
        <v>72064.67</v>
      </c>
      <c r="K118" s="82">
        <f>35964.42+234.08</f>
        <v>36198.5</v>
      </c>
      <c r="L118" s="82">
        <v>36032.699999999997</v>
      </c>
      <c r="M118" s="82">
        <v>71081.2</v>
      </c>
      <c r="N118" s="82">
        <v>68389.240000000005</v>
      </c>
      <c r="O118" s="82">
        <v>71529.86</v>
      </c>
      <c r="P118" s="82">
        <v>72212.600000000006</v>
      </c>
      <c r="Q118" s="82">
        <f>36089.5+70923.51</f>
        <v>107013.01</v>
      </c>
      <c r="R118" s="82">
        <v>72142.7</v>
      </c>
      <c r="S118" s="82">
        <v>71877.73</v>
      </c>
      <c r="T118" s="82">
        <v>71529.86</v>
      </c>
      <c r="U118" s="82">
        <v>71539.61</v>
      </c>
      <c r="V118" s="82">
        <v>71529.86</v>
      </c>
      <c r="W118" s="82">
        <f>36324.4+66106.02</f>
        <v>102430.42000000001</v>
      </c>
      <c r="X118" s="82">
        <v>36081.550000000003</v>
      </c>
      <c r="Y118" s="82">
        <v>36012.379999999997</v>
      </c>
      <c r="Z118" s="82">
        <v>33673.35</v>
      </c>
      <c r="AA118" s="82">
        <v>72135.47</v>
      </c>
      <c r="AB118" s="82">
        <v>35759.599999999999</v>
      </c>
      <c r="AC118" s="82">
        <v>74943.570000000007</v>
      </c>
      <c r="AD118" s="82">
        <v>73139.179999999993</v>
      </c>
      <c r="AE118" s="82">
        <v>76491.850000000006</v>
      </c>
      <c r="AF118" s="82">
        <v>76473.240000000005</v>
      </c>
      <c r="AG118" s="89">
        <f>31194.16+63500.38</f>
        <v>94694.54</v>
      </c>
      <c r="AH118" s="89">
        <v>70105.850000000006</v>
      </c>
      <c r="AI118" s="89">
        <v>75470.259999999995</v>
      </c>
      <c r="AJ118" s="90">
        <v>75353.22</v>
      </c>
      <c r="AK118" s="60"/>
      <c r="AL118" s="344">
        <f>SUM(F118:AJ118)</f>
        <v>2072526.6500000004</v>
      </c>
    </row>
    <row r="119" spans="2:108" s="1" customFormat="1" x14ac:dyDescent="0.3">
      <c r="B119" s="149"/>
      <c r="C119" s="101" t="s">
        <v>44</v>
      </c>
      <c r="D119" s="34"/>
      <c r="E119" s="26" t="s">
        <v>16</v>
      </c>
      <c r="F119" s="28">
        <f t="shared" ref="F119:AH119" si="50">SUM(F122:F123)*9.75348</f>
        <v>67893.974279999995</v>
      </c>
      <c r="G119" s="28">
        <f t="shared" si="50"/>
        <v>71112.62268</v>
      </c>
      <c r="H119" s="28">
        <f t="shared" si="50"/>
        <v>35795.2716</v>
      </c>
      <c r="I119" s="28">
        <f t="shared" si="50"/>
        <v>71941.668479999993</v>
      </c>
      <c r="J119" s="28">
        <f t="shared" si="50"/>
        <v>72078.217199999999</v>
      </c>
      <c r="K119" s="28">
        <f t="shared" si="50"/>
        <v>36195.164279999997</v>
      </c>
      <c r="L119" s="28">
        <f t="shared" si="50"/>
        <v>36029.35512</v>
      </c>
      <c r="M119" s="28">
        <f t="shared" si="50"/>
        <v>71083.362240000002</v>
      </c>
      <c r="N119" s="28">
        <f t="shared" si="50"/>
        <v>68401.155239999993</v>
      </c>
      <c r="O119" s="28">
        <f t="shared" si="50"/>
        <v>71561.282760000002</v>
      </c>
      <c r="P119" s="28">
        <f t="shared" si="50"/>
        <v>72234.272880000004</v>
      </c>
      <c r="Q119" s="28">
        <f t="shared" si="50"/>
        <v>107200.49867999999</v>
      </c>
      <c r="R119" s="28">
        <f t="shared" si="50"/>
        <v>72146.491559999995</v>
      </c>
      <c r="S119" s="28">
        <f t="shared" si="50"/>
        <v>71873.394119999997</v>
      </c>
      <c r="T119" s="28">
        <f t="shared" si="50"/>
        <v>71610.050159999999</v>
      </c>
      <c r="U119" s="28">
        <f t="shared" si="50"/>
        <v>71580.789720000001</v>
      </c>
      <c r="V119" s="28">
        <f t="shared" si="50"/>
        <v>71551.529280000002</v>
      </c>
      <c r="W119" s="28">
        <f t="shared" si="50"/>
        <v>102674.88395999999</v>
      </c>
      <c r="X119" s="28">
        <f t="shared" si="50"/>
        <v>36078.122519999997</v>
      </c>
      <c r="Y119" s="28">
        <f t="shared" si="50"/>
        <v>36039.1086</v>
      </c>
      <c r="Z119" s="28">
        <f t="shared" si="50"/>
        <v>33795.808199999999</v>
      </c>
      <c r="AA119" s="28">
        <f t="shared" si="50"/>
        <v>72156.245039999994</v>
      </c>
      <c r="AB119" s="28">
        <f t="shared" si="50"/>
        <v>35756.257680000002</v>
      </c>
      <c r="AC119" s="28">
        <f t="shared" si="50"/>
        <v>74935.986839999998</v>
      </c>
      <c r="AD119" s="28">
        <f t="shared" si="50"/>
        <v>73131.593039999992</v>
      </c>
      <c r="AE119" s="28">
        <f t="shared" si="50"/>
        <v>76506.297120000003</v>
      </c>
      <c r="AF119" s="28">
        <f t="shared" si="50"/>
        <v>76535.557560000001</v>
      </c>
      <c r="AG119" s="28">
        <f t="shared" si="50"/>
        <v>94881.853439999992</v>
      </c>
      <c r="AH119" s="28">
        <f t="shared" si="50"/>
        <v>70098.260760000005</v>
      </c>
      <c r="AI119" s="28">
        <f t="shared" ref="AI119" si="51">SUM(AI122:AI123)*9.75348</f>
        <v>75501.688679999992</v>
      </c>
      <c r="AJ119" s="43">
        <f>SUM(AJ122:AJ123)*9.75348</f>
        <v>75335.879520000002</v>
      </c>
      <c r="AK119" s="61"/>
      <c r="AL119" s="142">
        <f>SUM(C119:S119)</f>
        <v>925546.73111999978</v>
      </c>
    </row>
    <row r="120" spans="2:108" s="1" customFormat="1" x14ac:dyDescent="0.3">
      <c r="B120" s="149"/>
      <c r="C120" s="101" t="s">
        <v>43</v>
      </c>
      <c r="D120" s="34"/>
      <c r="E120" s="26" t="s">
        <v>16</v>
      </c>
      <c r="F120" s="28">
        <f t="shared" ref="F120:AI120" si="52">F118-F119</f>
        <v>-11.924279999991995</v>
      </c>
      <c r="G120" s="28">
        <f t="shared" si="52"/>
        <v>-22.57267999999749</v>
      </c>
      <c r="H120" s="28">
        <f t="shared" si="52"/>
        <v>-36.571600000002945</v>
      </c>
      <c r="I120" s="28">
        <f t="shared" si="52"/>
        <v>-51.83847999999125</v>
      </c>
      <c r="J120" s="28">
        <f>J118-J119</f>
        <v>-13.547200000000885</v>
      </c>
      <c r="K120" s="28">
        <f t="shared" si="52"/>
        <v>3.335720000002766</v>
      </c>
      <c r="L120" s="28">
        <f t="shared" si="52"/>
        <v>3.3448799999969197</v>
      </c>
      <c r="M120" s="28">
        <f t="shared" si="52"/>
        <v>-2.162240000005113</v>
      </c>
      <c r="N120" s="28">
        <f t="shared" si="52"/>
        <v>-11.915239999987534</v>
      </c>
      <c r="O120" s="28">
        <f t="shared" si="52"/>
        <v>-31.42276000000129</v>
      </c>
      <c r="P120" s="28">
        <f t="shared" si="52"/>
        <v>-21.672879999998258</v>
      </c>
      <c r="Q120" s="28">
        <f t="shared" si="52"/>
        <v>-187.48867999999493</v>
      </c>
      <c r="R120" s="28">
        <f t="shared" si="52"/>
        <v>-3.791559999997844</v>
      </c>
      <c r="S120" s="28">
        <f t="shared" si="52"/>
        <v>4.3358799999987241</v>
      </c>
      <c r="T120" s="28">
        <f t="shared" si="52"/>
        <v>-80.190159999998286</v>
      </c>
      <c r="U120" s="28">
        <f t="shared" si="52"/>
        <v>-41.179720000000088</v>
      </c>
      <c r="V120" s="28">
        <f t="shared" si="52"/>
        <v>-21.669280000001891</v>
      </c>
      <c r="W120" s="28">
        <f t="shared" si="52"/>
        <v>-244.46395999997912</v>
      </c>
      <c r="X120" s="28">
        <f t="shared" si="52"/>
        <v>3.4274800000057439</v>
      </c>
      <c r="Y120" s="28">
        <f t="shared" si="52"/>
        <v>-26.728600000002189</v>
      </c>
      <c r="Z120" s="28">
        <f t="shared" si="52"/>
        <v>-122.45820000000094</v>
      </c>
      <c r="AA120" s="28">
        <f t="shared" si="52"/>
        <v>-20.775039999993169</v>
      </c>
      <c r="AB120" s="28">
        <f t="shared" si="52"/>
        <v>3.3423199999961071</v>
      </c>
      <c r="AC120" s="28">
        <f t="shared" si="52"/>
        <v>7.5831600000092294</v>
      </c>
      <c r="AD120" s="28">
        <f t="shared" si="52"/>
        <v>7.5869600000005448</v>
      </c>
      <c r="AE120" s="28">
        <f t="shared" si="52"/>
        <v>-14.447119999997085</v>
      </c>
      <c r="AF120" s="28">
        <f t="shared" si="52"/>
        <v>-62.317559999995865</v>
      </c>
      <c r="AG120" s="28">
        <f t="shared" si="52"/>
        <v>-187.31343999999808</v>
      </c>
      <c r="AH120" s="28">
        <f t="shared" si="52"/>
        <v>7.5892400000011548</v>
      </c>
      <c r="AI120" s="28">
        <f t="shared" si="52"/>
        <v>-31.428679999997257</v>
      </c>
      <c r="AJ120" s="43">
        <f>AJ118-AJ119</f>
        <v>17.340479999998934</v>
      </c>
      <c r="AK120" s="61"/>
      <c r="AL120" s="142">
        <f>SUM(C120:AJ120)</f>
        <v>-1189.9932399999234</v>
      </c>
    </row>
    <row r="121" spans="2:108" s="1" customFormat="1" x14ac:dyDescent="0.3">
      <c r="B121" s="149"/>
      <c r="C121" s="101" t="s">
        <v>33</v>
      </c>
      <c r="D121" s="34"/>
      <c r="E121" s="21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5"/>
      <c r="AH121" s="75"/>
      <c r="AI121" s="75"/>
      <c r="AJ121" s="44"/>
      <c r="AK121" s="62"/>
      <c r="AL121" s="148" t="s">
        <v>33</v>
      </c>
    </row>
    <row r="122" spans="2:108" s="1" customFormat="1" ht="13.8" x14ac:dyDescent="0.25">
      <c r="B122" s="149"/>
      <c r="C122" s="102" t="s">
        <v>48</v>
      </c>
      <c r="D122" s="34"/>
      <c r="E122" s="40" t="s">
        <v>36</v>
      </c>
      <c r="F122" s="25">
        <v>6961</v>
      </c>
      <c r="G122" s="25">
        <v>7291</v>
      </c>
      <c r="H122" s="25">
        <v>3670</v>
      </c>
      <c r="I122" s="25">
        <v>7376</v>
      </c>
      <c r="J122" s="25">
        <v>7390</v>
      </c>
      <c r="K122" s="25">
        <v>3687</v>
      </c>
      <c r="L122" s="25">
        <v>3694</v>
      </c>
      <c r="M122" s="25">
        <v>7288</v>
      </c>
      <c r="N122" s="25">
        <v>7013</v>
      </c>
      <c r="O122" s="25">
        <v>7337</v>
      </c>
      <c r="P122" s="25">
        <v>7406</v>
      </c>
      <c r="Q122" s="25">
        <v>3702</v>
      </c>
      <c r="R122" s="25">
        <v>7397</v>
      </c>
      <c r="S122" s="25">
        <v>7369</v>
      </c>
      <c r="T122" s="25">
        <v>7342</v>
      </c>
      <c r="U122" s="25">
        <v>7339</v>
      </c>
      <c r="V122" s="25">
        <v>7336</v>
      </c>
      <c r="W122" s="25">
        <v>3725</v>
      </c>
      <c r="X122" s="25">
        <v>3699</v>
      </c>
      <c r="Y122" s="25">
        <v>3695</v>
      </c>
      <c r="Z122" s="25">
        <v>3465</v>
      </c>
      <c r="AA122" s="25">
        <v>7398</v>
      </c>
      <c r="AB122" s="25">
        <v>3666</v>
      </c>
      <c r="AC122" s="25">
        <v>7683</v>
      </c>
      <c r="AD122" s="25">
        <v>7498</v>
      </c>
      <c r="AE122" s="25">
        <v>7844</v>
      </c>
      <c r="AF122" s="25">
        <v>7847</v>
      </c>
      <c r="AG122" s="76">
        <v>3198</v>
      </c>
      <c r="AH122" s="76">
        <v>7187</v>
      </c>
      <c r="AI122" s="76">
        <v>7741</v>
      </c>
      <c r="AJ122" s="63">
        <v>7724</v>
      </c>
      <c r="AK122" s="64"/>
      <c r="AL122" s="239">
        <f>SUM(C122:AJ122)</f>
        <v>191968</v>
      </c>
    </row>
    <row r="123" spans="2:108" s="1" customFormat="1" ht="13.8" x14ac:dyDescent="0.25">
      <c r="B123" s="149"/>
      <c r="C123" s="102" t="s">
        <v>47</v>
      </c>
      <c r="D123" s="34"/>
      <c r="E123" s="40" t="s">
        <v>36</v>
      </c>
      <c r="F123" s="25"/>
      <c r="G123" s="25"/>
      <c r="H123" s="25"/>
      <c r="I123" s="25"/>
      <c r="J123" s="25"/>
      <c r="K123" s="25">
        <v>24</v>
      </c>
      <c r="L123" s="25"/>
      <c r="M123" s="25"/>
      <c r="N123" s="25"/>
      <c r="O123" s="25"/>
      <c r="P123" s="25"/>
      <c r="Q123" s="25">
        <v>7289</v>
      </c>
      <c r="R123" s="25"/>
      <c r="S123" s="25"/>
      <c r="T123" s="25"/>
      <c r="U123" s="25"/>
      <c r="V123" s="25"/>
      <c r="W123" s="25">
        <v>6802</v>
      </c>
      <c r="X123" s="25"/>
      <c r="Y123" s="25"/>
      <c r="Z123" s="25"/>
      <c r="AA123" s="25"/>
      <c r="AB123" s="25"/>
      <c r="AC123" s="25"/>
      <c r="AD123" s="25"/>
      <c r="AE123" s="25"/>
      <c r="AF123" s="25"/>
      <c r="AG123" s="76">
        <v>6530</v>
      </c>
      <c r="AH123" s="76"/>
      <c r="AI123" s="76"/>
      <c r="AJ123" s="63"/>
      <c r="AK123" s="64"/>
      <c r="AL123" s="239">
        <f>SUM(C123:AJ123)</f>
        <v>20645</v>
      </c>
    </row>
    <row r="124" spans="2:108" s="1" customFormat="1" x14ac:dyDescent="0.3">
      <c r="B124" s="149"/>
      <c r="C124" s="101" t="s">
        <v>32</v>
      </c>
      <c r="D124" s="34"/>
      <c r="E124" s="21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75"/>
      <c r="AH124" s="75"/>
      <c r="AI124" s="75"/>
      <c r="AJ124" s="44"/>
      <c r="AK124" s="62"/>
      <c r="AL124" s="148" t="s">
        <v>32</v>
      </c>
    </row>
    <row r="125" spans="2:108" s="1" customFormat="1" ht="13.8" x14ac:dyDescent="0.25">
      <c r="B125" s="149"/>
      <c r="C125" s="102" t="s">
        <v>48</v>
      </c>
      <c r="D125" s="34"/>
      <c r="E125" s="26" t="s">
        <v>32</v>
      </c>
      <c r="F125" s="5">
        <f t="shared" ref="F125:AI125" si="53">F122*12</f>
        <v>83532</v>
      </c>
      <c r="G125" s="5">
        <f t="shared" si="53"/>
        <v>87492</v>
      </c>
      <c r="H125" s="5">
        <f t="shared" si="53"/>
        <v>44040</v>
      </c>
      <c r="I125" s="5">
        <f t="shared" si="53"/>
        <v>88512</v>
      </c>
      <c r="J125" s="5">
        <f t="shared" si="53"/>
        <v>88680</v>
      </c>
      <c r="K125" s="5">
        <f t="shared" si="53"/>
        <v>44244</v>
      </c>
      <c r="L125" s="5">
        <f t="shared" si="53"/>
        <v>44328</v>
      </c>
      <c r="M125" s="5">
        <f t="shared" si="53"/>
        <v>87456</v>
      </c>
      <c r="N125" s="5">
        <f t="shared" si="53"/>
        <v>84156</v>
      </c>
      <c r="O125" s="5">
        <f t="shared" si="53"/>
        <v>88044</v>
      </c>
      <c r="P125" s="5">
        <f t="shared" si="53"/>
        <v>88872</v>
      </c>
      <c r="Q125" s="5">
        <f t="shared" si="53"/>
        <v>44424</v>
      </c>
      <c r="R125" s="5">
        <f t="shared" si="53"/>
        <v>88764</v>
      </c>
      <c r="S125" s="5">
        <f t="shared" si="53"/>
        <v>88428</v>
      </c>
      <c r="T125" s="5">
        <f t="shared" si="53"/>
        <v>88104</v>
      </c>
      <c r="U125" s="5">
        <f t="shared" si="53"/>
        <v>88068</v>
      </c>
      <c r="V125" s="5">
        <f t="shared" si="53"/>
        <v>88032</v>
      </c>
      <c r="W125" s="5">
        <f t="shared" si="53"/>
        <v>44700</v>
      </c>
      <c r="X125" s="5">
        <f t="shared" si="53"/>
        <v>44388</v>
      </c>
      <c r="Y125" s="5">
        <f t="shared" si="53"/>
        <v>44340</v>
      </c>
      <c r="Z125" s="5">
        <f t="shared" si="53"/>
        <v>41580</v>
      </c>
      <c r="AA125" s="5">
        <f t="shared" si="53"/>
        <v>88776</v>
      </c>
      <c r="AB125" s="5">
        <f t="shared" si="53"/>
        <v>43992</v>
      </c>
      <c r="AC125" s="5">
        <f t="shared" si="53"/>
        <v>92196</v>
      </c>
      <c r="AD125" s="5">
        <f t="shared" si="53"/>
        <v>89976</v>
      </c>
      <c r="AE125" s="5">
        <f t="shared" si="53"/>
        <v>94128</v>
      </c>
      <c r="AF125" s="5">
        <f t="shared" si="53"/>
        <v>94164</v>
      </c>
      <c r="AG125" s="5">
        <f t="shared" si="53"/>
        <v>38376</v>
      </c>
      <c r="AH125" s="5">
        <f t="shared" si="53"/>
        <v>86244</v>
      </c>
      <c r="AI125" s="5">
        <f t="shared" si="53"/>
        <v>92892</v>
      </c>
      <c r="AJ125" s="44">
        <f>AJ122*12</f>
        <v>92688</v>
      </c>
      <c r="AK125" s="62"/>
      <c r="AL125" s="131">
        <f>AL122*12</f>
        <v>2303616</v>
      </c>
    </row>
    <row r="126" spans="2:108" s="1" customFormat="1" ht="13.8" x14ac:dyDescent="0.25">
      <c r="B126" s="149"/>
      <c r="C126" s="102" t="s">
        <v>47</v>
      </c>
      <c r="D126" s="34"/>
      <c r="E126" s="26" t="s">
        <v>32</v>
      </c>
      <c r="F126" s="5">
        <f t="shared" ref="F126:AI126" si="54">F123*6</f>
        <v>0</v>
      </c>
      <c r="G126" s="5">
        <f t="shared" si="54"/>
        <v>0</v>
      </c>
      <c r="H126" s="5">
        <f t="shared" si="54"/>
        <v>0</v>
      </c>
      <c r="I126" s="5">
        <f t="shared" si="54"/>
        <v>0</v>
      </c>
      <c r="J126" s="5">
        <f t="shared" si="54"/>
        <v>0</v>
      </c>
      <c r="K126" s="5">
        <f t="shared" si="54"/>
        <v>144</v>
      </c>
      <c r="L126" s="5">
        <f t="shared" si="54"/>
        <v>0</v>
      </c>
      <c r="M126" s="5">
        <f t="shared" si="54"/>
        <v>0</v>
      </c>
      <c r="N126" s="5">
        <f t="shared" si="54"/>
        <v>0</v>
      </c>
      <c r="O126" s="5">
        <f t="shared" si="54"/>
        <v>0</v>
      </c>
      <c r="P126" s="5">
        <f t="shared" si="54"/>
        <v>0</v>
      </c>
      <c r="Q126" s="5">
        <f t="shared" si="54"/>
        <v>43734</v>
      </c>
      <c r="R126" s="5">
        <f t="shared" si="54"/>
        <v>0</v>
      </c>
      <c r="S126" s="5">
        <f t="shared" si="54"/>
        <v>0</v>
      </c>
      <c r="T126" s="5">
        <f t="shared" si="54"/>
        <v>0</v>
      </c>
      <c r="U126" s="5">
        <f t="shared" si="54"/>
        <v>0</v>
      </c>
      <c r="V126" s="5">
        <f t="shared" si="54"/>
        <v>0</v>
      </c>
      <c r="W126" s="5">
        <f t="shared" si="54"/>
        <v>40812</v>
      </c>
      <c r="X126" s="5">
        <f t="shared" si="54"/>
        <v>0</v>
      </c>
      <c r="Y126" s="5">
        <f t="shared" si="54"/>
        <v>0</v>
      </c>
      <c r="Z126" s="5">
        <f t="shared" si="54"/>
        <v>0</v>
      </c>
      <c r="AA126" s="5">
        <f t="shared" si="54"/>
        <v>0</v>
      </c>
      <c r="AB126" s="5">
        <f t="shared" si="54"/>
        <v>0</v>
      </c>
      <c r="AC126" s="5">
        <f t="shared" si="54"/>
        <v>0</v>
      </c>
      <c r="AD126" s="5">
        <f t="shared" si="54"/>
        <v>0</v>
      </c>
      <c r="AE126" s="5">
        <f t="shared" si="54"/>
        <v>0</v>
      </c>
      <c r="AF126" s="5">
        <f t="shared" si="54"/>
        <v>0</v>
      </c>
      <c r="AG126" s="5">
        <f t="shared" si="54"/>
        <v>39180</v>
      </c>
      <c r="AH126" s="5">
        <f t="shared" si="54"/>
        <v>0</v>
      </c>
      <c r="AI126" s="5">
        <f t="shared" si="54"/>
        <v>0</v>
      </c>
      <c r="AJ126" s="44">
        <f>AJ123*6</f>
        <v>0</v>
      </c>
      <c r="AK126" s="62"/>
      <c r="AL126" s="131">
        <f>AL123*6</f>
        <v>123870</v>
      </c>
    </row>
    <row r="127" spans="2:108" s="1" customFormat="1" x14ac:dyDescent="0.3">
      <c r="B127" s="149"/>
      <c r="C127" s="101" t="s">
        <v>41</v>
      </c>
      <c r="D127" s="34"/>
      <c r="E127" s="26" t="s">
        <v>40</v>
      </c>
      <c r="F127" s="5">
        <f t="shared" ref="F127:AI127" si="55">F118*45/1700</f>
        <v>1796.877794117647</v>
      </c>
      <c r="G127" s="5">
        <f t="shared" si="55"/>
        <v>1881.7954411764706</v>
      </c>
      <c r="H127" s="5">
        <f t="shared" si="55"/>
        <v>946.5538235294116</v>
      </c>
      <c r="I127" s="5">
        <f t="shared" si="55"/>
        <v>1902.9660882352941</v>
      </c>
      <c r="J127" s="5">
        <f t="shared" si="55"/>
        <v>1907.594205882353</v>
      </c>
      <c r="K127" s="5">
        <f t="shared" si="55"/>
        <v>958.19558823529417</v>
      </c>
      <c r="L127" s="5">
        <f t="shared" si="55"/>
        <v>953.80676470588219</v>
      </c>
      <c r="M127" s="5">
        <f t="shared" si="55"/>
        <v>1881.5611764705882</v>
      </c>
      <c r="N127" s="5">
        <f t="shared" si="55"/>
        <v>1810.303411764706</v>
      </c>
      <c r="O127" s="5">
        <f t="shared" si="55"/>
        <v>1893.4374705882353</v>
      </c>
      <c r="P127" s="5">
        <f t="shared" si="55"/>
        <v>1911.5100000000002</v>
      </c>
      <c r="Q127" s="5">
        <f t="shared" si="55"/>
        <v>2832.6973235294117</v>
      </c>
      <c r="R127" s="5">
        <f t="shared" si="55"/>
        <v>1909.6597058823529</v>
      </c>
      <c r="S127" s="5">
        <f t="shared" si="55"/>
        <v>1902.6457941176468</v>
      </c>
      <c r="T127" s="5">
        <f t="shared" si="55"/>
        <v>1893.4374705882353</v>
      </c>
      <c r="U127" s="5">
        <f t="shared" si="55"/>
        <v>1893.6955588235296</v>
      </c>
      <c r="V127" s="5">
        <f t="shared" si="55"/>
        <v>1893.4374705882353</v>
      </c>
      <c r="W127" s="5">
        <f t="shared" si="55"/>
        <v>2711.3934705882357</v>
      </c>
      <c r="X127" s="5">
        <f t="shared" si="55"/>
        <v>955.09985294117666</v>
      </c>
      <c r="Y127" s="5">
        <f t="shared" si="55"/>
        <v>953.26888235294109</v>
      </c>
      <c r="Z127" s="5">
        <f t="shared" si="55"/>
        <v>891.35338235294114</v>
      </c>
      <c r="AA127" s="5">
        <f t="shared" si="55"/>
        <v>1909.4683235294117</v>
      </c>
      <c r="AB127" s="5">
        <f t="shared" si="55"/>
        <v>946.57764705882357</v>
      </c>
      <c r="AC127" s="5">
        <f t="shared" si="55"/>
        <v>1983.8003823529414</v>
      </c>
      <c r="AD127" s="5">
        <f t="shared" si="55"/>
        <v>1936.0371176470585</v>
      </c>
      <c r="AE127" s="5">
        <f t="shared" si="55"/>
        <v>2024.7842647058826</v>
      </c>
      <c r="AF127" s="5">
        <f t="shared" si="55"/>
        <v>2024.2916470588236</v>
      </c>
      <c r="AG127" s="5">
        <f t="shared" si="55"/>
        <v>2506.6201764705879</v>
      </c>
      <c r="AH127" s="5">
        <f t="shared" si="55"/>
        <v>1855.7430882352944</v>
      </c>
      <c r="AI127" s="5">
        <f t="shared" si="55"/>
        <v>1997.742176470588</v>
      </c>
      <c r="AJ127" s="44">
        <f>AJ118*45/1700</f>
        <v>1994.6440588235293</v>
      </c>
      <c r="AK127" s="62"/>
      <c r="AL127" s="131">
        <f>SUM(C127:AJ127)</f>
        <v>54860.99955882354</v>
      </c>
    </row>
    <row r="128" spans="2:108" s="1" customFormat="1" x14ac:dyDescent="0.3">
      <c r="B128" s="149"/>
      <c r="C128" s="101" t="s">
        <v>39</v>
      </c>
      <c r="D128" s="34"/>
      <c r="E128" s="26" t="s">
        <v>38</v>
      </c>
      <c r="F128" s="5">
        <f>SUM(F122:F123)/500</f>
        <v>13.922000000000001</v>
      </c>
      <c r="G128" s="5">
        <f t="shared" ref="G128:AH128" si="56">SUM(G122:G123)/500</f>
        <v>14.582000000000001</v>
      </c>
      <c r="H128" s="5">
        <f t="shared" si="56"/>
        <v>7.34</v>
      </c>
      <c r="I128" s="5">
        <f t="shared" si="56"/>
        <v>14.752000000000001</v>
      </c>
      <c r="J128" s="5">
        <f t="shared" si="56"/>
        <v>14.78</v>
      </c>
      <c r="K128" s="5">
        <f t="shared" si="56"/>
        <v>7.4219999999999997</v>
      </c>
      <c r="L128" s="5">
        <f t="shared" si="56"/>
        <v>7.3879999999999999</v>
      </c>
      <c r="M128" s="5">
        <f t="shared" si="56"/>
        <v>14.576000000000001</v>
      </c>
      <c r="N128" s="5">
        <f t="shared" si="56"/>
        <v>14.026</v>
      </c>
      <c r="O128" s="5">
        <f t="shared" si="56"/>
        <v>14.673999999999999</v>
      </c>
      <c r="P128" s="5">
        <f t="shared" si="56"/>
        <v>14.811999999999999</v>
      </c>
      <c r="Q128" s="5">
        <f t="shared" si="56"/>
        <v>21.981999999999999</v>
      </c>
      <c r="R128" s="5">
        <f t="shared" si="56"/>
        <v>14.794</v>
      </c>
      <c r="S128" s="5">
        <f t="shared" si="56"/>
        <v>14.738</v>
      </c>
      <c r="T128" s="5">
        <f t="shared" si="56"/>
        <v>14.683999999999999</v>
      </c>
      <c r="U128" s="5">
        <f t="shared" si="56"/>
        <v>14.678000000000001</v>
      </c>
      <c r="V128" s="5">
        <f t="shared" si="56"/>
        <v>14.672000000000001</v>
      </c>
      <c r="W128" s="5">
        <f t="shared" si="56"/>
        <v>21.053999999999998</v>
      </c>
      <c r="X128" s="5">
        <f t="shared" si="56"/>
        <v>7.3979999999999997</v>
      </c>
      <c r="Y128" s="5">
        <f t="shared" si="56"/>
        <v>7.39</v>
      </c>
      <c r="Z128" s="5">
        <f t="shared" si="56"/>
        <v>6.93</v>
      </c>
      <c r="AA128" s="5">
        <f t="shared" si="56"/>
        <v>14.795999999999999</v>
      </c>
      <c r="AB128" s="5">
        <f t="shared" si="56"/>
        <v>7.3319999999999999</v>
      </c>
      <c r="AC128" s="5">
        <f t="shared" si="56"/>
        <v>15.366</v>
      </c>
      <c r="AD128" s="5">
        <f t="shared" si="56"/>
        <v>14.996</v>
      </c>
      <c r="AE128" s="5">
        <f t="shared" si="56"/>
        <v>15.688000000000001</v>
      </c>
      <c r="AF128" s="5">
        <f t="shared" si="56"/>
        <v>15.694000000000001</v>
      </c>
      <c r="AG128" s="5">
        <f t="shared" si="56"/>
        <v>19.456</v>
      </c>
      <c r="AH128" s="5">
        <f t="shared" si="56"/>
        <v>14.374000000000001</v>
      </c>
      <c r="AI128" s="5">
        <f t="shared" ref="AI128" si="57">SUM(AI122:AI123)/500</f>
        <v>15.481999999999999</v>
      </c>
      <c r="AJ128" s="44">
        <f>SUM(AJ122:AJ123)/500</f>
        <v>15.448</v>
      </c>
      <c r="AK128" s="62"/>
      <c r="AL128" s="131">
        <f>SUM(C128:AJ128)</f>
        <v>425.226</v>
      </c>
    </row>
    <row r="129" spans="2:108 15074:15466" s="1" customFormat="1" ht="13.8" x14ac:dyDescent="0.25">
      <c r="B129" s="149"/>
      <c r="C129" s="99" t="s">
        <v>37</v>
      </c>
      <c r="D129" s="242"/>
      <c r="E129" s="41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77"/>
      <c r="AH129" s="77"/>
      <c r="AI129" s="77"/>
      <c r="AJ129" s="85"/>
      <c r="AK129" s="246"/>
      <c r="AL129" s="182" t="s">
        <v>34</v>
      </c>
    </row>
    <row r="130" spans="2:108 15074:15466" s="1" customFormat="1" x14ac:dyDescent="0.3">
      <c r="B130" s="149"/>
      <c r="C130" s="101" t="s">
        <v>33</v>
      </c>
      <c r="D130" s="34"/>
      <c r="E130" s="21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75"/>
      <c r="AH130" s="75"/>
      <c r="AI130" s="75"/>
      <c r="AJ130" s="44"/>
      <c r="AK130" s="61"/>
      <c r="AL130" s="148" t="s">
        <v>33</v>
      </c>
    </row>
    <row r="131" spans="2:108 15074:15466" s="1" customFormat="1" ht="13.8" x14ac:dyDescent="0.25">
      <c r="B131" s="149"/>
      <c r="C131" s="102" t="s">
        <v>48</v>
      </c>
      <c r="D131" s="34"/>
      <c r="E131" s="26" t="s">
        <v>36</v>
      </c>
      <c r="F131" s="25">
        <v>2</v>
      </c>
      <c r="G131" s="25">
        <v>3</v>
      </c>
      <c r="H131" s="25">
        <v>4</v>
      </c>
      <c r="I131" s="25">
        <v>6</v>
      </c>
      <c r="J131" s="25">
        <v>2</v>
      </c>
      <c r="K131" s="25"/>
      <c r="L131" s="25"/>
      <c r="M131" s="25">
        <v>1</v>
      </c>
      <c r="N131" s="25">
        <v>2</v>
      </c>
      <c r="O131" s="25">
        <v>4</v>
      </c>
      <c r="P131" s="25">
        <v>3</v>
      </c>
      <c r="Q131" s="25">
        <v>2</v>
      </c>
      <c r="R131" s="25">
        <v>1</v>
      </c>
      <c r="S131" s="25"/>
      <c r="T131" s="25">
        <v>9</v>
      </c>
      <c r="U131" s="25">
        <v>5</v>
      </c>
      <c r="V131" s="25">
        <v>3</v>
      </c>
      <c r="W131" s="25">
        <v>1</v>
      </c>
      <c r="X131" s="25"/>
      <c r="Y131" s="25">
        <v>3</v>
      </c>
      <c r="Z131" s="25">
        <v>13</v>
      </c>
      <c r="AA131" s="25">
        <v>3</v>
      </c>
      <c r="AB131" s="25"/>
      <c r="AC131" s="25"/>
      <c r="AD131" s="25"/>
      <c r="AE131" s="25">
        <v>2</v>
      </c>
      <c r="AF131" s="25">
        <v>7</v>
      </c>
      <c r="AG131" s="76"/>
      <c r="AH131" s="76"/>
      <c r="AI131" s="76">
        <v>4</v>
      </c>
      <c r="AJ131" s="63"/>
      <c r="AK131" s="61"/>
      <c r="AL131" s="131">
        <f>SUM(C131:AJ131)</f>
        <v>80</v>
      </c>
    </row>
    <row r="132" spans="2:108 15074:15466" s="1" customFormat="1" ht="13.8" x14ac:dyDescent="0.25">
      <c r="B132" s="149"/>
      <c r="C132" s="102" t="s">
        <v>47</v>
      </c>
      <c r="D132" s="34"/>
      <c r="E132" s="26" t="s">
        <v>36</v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>
        <v>18</v>
      </c>
      <c r="R132" s="25"/>
      <c r="S132" s="25"/>
      <c r="T132" s="25"/>
      <c r="U132" s="25"/>
      <c r="V132" s="25"/>
      <c r="W132" s="25">
        <v>25</v>
      </c>
      <c r="X132" s="25"/>
      <c r="Y132" s="25"/>
      <c r="Z132" s="25"/>
      <c r="AA132" s="25"/>
      <c r="AB132" s="25"/>
      <c r="AC132" s="25"/>
      <c r="AD132" s="25"/>
      <c r="AE132" s="25"/>
      <c r="AF132" s="25"/>
      <c r="AG132" s="76">
        <v>20</v>
      </c>
      <c r="AH132" s="76"/>
      <c r="AI132" s="76"/>
      <c r="AJ132" s="63"/>
      <c r="AK132" s="61"/>
      <c r="AL132" s="131">
        <f>SUM(C132:AJ132)</f>
        <v>63</v>
      </c>
    </row>
    <row r="133" spans="2:108 15074:15466" s="1" customFormat="1" x14ac:dyDescent="0.3">
      <c r="B133" s="149"/>
      <c r="C133" s="101" t="s">
        <v>32</v>
      </c>
      <c r="D133" s="34"/>
      <c r="E133" s="21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76"/>
      <c r="AH133" s="76"/>
      <c r="AI133" s="76"/>
      <c r="AJ133" s="63"/>
      <c r="AK133" s="61"/>
      <c r="AL133" s="148" t="s">
        <v>32</v>
      </c>
    </row>
    <row r="134" spans="2:108 15074:15466" s="1" customFormat="1" ht="13.8" x14ac:dyDescent="0.25">
      <c r="B134" s="149"/>
      <c r="C134" s="102" t="str">
        <f>C131</f>
        <v xml:space="preserve">INL SP 900 mL  </v>
      </c>
      <c r="D134" s="34"/>
      <c r="E134" s="26" t="s">
        <v>32</v>
      </c>
      <c r="F134" s="25">
        <f>F131*12</f>
        <v>24</v>
      </c>
      <c r="G134" s="25">
        <f t="shared" ref="G134:AJ134" si="58">G131*12</f>
        <v>36</v>
      </c>
      <c r="H134" s="25">
        <f t="shared" si="58"/>
        <v>48</v>
      </c>
      <c r="I134" s="25">
        <f t="shared" si="58"/>
        <v>72</v>
      </c>
      <c r="J134" s="25">
        <f t="shared" si="58"/>
        <v>24</v>
      </c>
      <c r="K134" s="25">
        <f t="shared" si="58"/>
        <v>0</v>
      </c>
      <c r="L134" s="25">
        <f t="shared" si="58"/>
        <v>0</v>
      </c>
      <c r="M134" s="25">
        <f t="shared" si="58"/>
        <v>12</v>
      </c>
      <c r="N134" s="25">
        <f t="shared" si="58"/>
        <v>24</v>
      </c>
      <c r="O134" s="25">
        <f t="shared" si="58"/>
        <v>48</v>
      </c>
      <c r="P134" s="25">
        <f t="shared" si="58"/>
        <v>36</v>
      </c>
      <c r="Q134" s="25">
        <f t="shared" si="58"/>
        <v>24</v>
      </c>
      <c r="R134" s="25">
        <f t="shared" si="58"/>
        <v>12</v>
      </c>
      <c r="S134" s="25">
        <f t="shared" si="58"/>
        <v>0</v>
      </c>
      <c r="T134" s="25">
        <f t="shared" si="58"/>
        <v>108</v>
      </c>
      <c r="U134" s="25">
        <f t="shared" si="58"/>
        <v>60</v>
      </c>
      <c r="V134" s="25">
        <f t="shared" si="58"/>
        <v>36</v>
      </c>
      <c r="W134" s="25">
        <f t="shared" si="58"/>
        <v>12</v>
      </c>
      <c r="X134" s="25">
        <f t="shared" si="58"/>
        <v>0</v>
      </c>
      <c r="Y134" s="25">
        <f t="shared" si="58"/>
        <v>36</v>
      </c>
      <c r="Z134" s="25">
        <f t="shared" si="58"/>
        <v>156</v>
      </c>
      <c r="AA134" s="25">
        <f t="shared" si="58"/>
        <v>36</v>
      </c>
      <c r="AB134" s="25">
        <f t="shared" si="58"/>
        <v>0</v>
      </c>
      <c r="AC134" s="25">
        <f t="shared" si="58"/>
        <v>0</v>
      </c>
      <c r="AD134" s="25">
        <f t="shared" si="58"/>
        <v>0</v>
      </c>
      <c r="AE134" s="25">
        <f t="shared" si="58"/>
        <v>24</v>
      </c>
      <c r="AF134" s="25">
        <f t="shared" si="58"/>
        <v>84</v>
      </c>
      <c r="AG134" s="25">
        <f t="shared" si="58"/>
        <v>0</v>
      </c>
      <c r="AH134" s="25">
        <f t="shared" si="58"/>
        <v>0</v>
      </c>
      <c r="AI134" s="25">
        <f t="shared" si="58"/>
        <v>48</v>
      </c>
      <c r="AJ134" s="63">
        <f t="shared" si="58"/>
        <v>0</v>
      </c>
      <c r="AK134" s="61"/>
      <c r="AL134" s="131">
        <f>SUM(C134:AJ134)</f>
        <v>960</v>
      </c>
    </row>
    <row r="135" spans="2:108 15074:15466" s="1" customFormat="1" ht="13.8" x14ac:dyDescent="0.25">
      <c r="B135" s="149"/>
      <c r="C135" s="102" t="str">
        <f>C132</f>
        <v>INL SP 1,8 L</v>
      </c>
      <c r="D135" s="34"/>
      <c r="E135" s="26" t="s">
        <v>32</v>
      </c>
      <c r="F135" s="25">
        <f>F132*6</f>
        <v>0</v>
      </c>
      <c r="G135" s="25">
        <f t="shared" ref="G135:AJ135" si="59">G132*6</f>
        <v>0</v>
      </c>
      <c r="H135" s="25">
        <f t="shared" si="59"/>
        <v>0</v>
      </c>
      <c r="I135" s="25">
        <f t="shared" si="59"/>
        <v>0</v>
      </c>
      <c r="J135" s="25">
        <f t="shared" si="59"/>
        <v>0</v>
      </c>
      <c r="K135" s="25">
        <f t="shared" si="59"/>
        <v>0</v>
      </c>
      <c r="L135" s="25">
        <f t="shared" si="59"/>
        <v>0</v>
      </c>
      <c r="M135" s="25">
        <f t="shared" si="59"/>
        <v>0</v>
      </c>
      <c r="N135" s="25">
        <f t="shared" si="59"/>
        <v>0</v>
      </c>
      <c r="O135" s="25">
        <f t="shared" si="59"/>
        <v>0</v>
      </c>
      <c r="P135" s="25">
        <f t="shared" si="59"/>
        <v>0</v>
      </c>
      <c r="Q135" s="25">
        <f t="shared" si="59"/>
        <v>108</v>
      </c>
      <c r="R135" s="25">
        <f t="shared" si="59"/>
        <v>0</v>
      </c>
      <c r="S135" s="25">
        <f t="shared" si="59"/>
        <v>0</v>
      </c>
      <c r="T135" s="25">
        <f t="shared" si="59"/>
        <v>0</v>
      </c>
      <c r="U135" s="25">
        <f t="shared" si="59"/>
        <v>0</v>
      </c>
      <c r="V135" s="25">
        <f t="shared" si="59"/>
        <v>0</v>
      </c>
      <c r="W135" s="25">
        <f t="shared" si="59"/>
        <v>150</v>
      </c>
      <c r="X135" s="25">
        <f t="shared" si="59"/>
        <v>0</v>
      </c>
      <c r="Y135" s="25">
        <f t="shared" si="59"/>
        <v>0</v>
      </c>
      <c r="Z135" s="25">
        <f t="shared" si="59"/>
        <v>0</v>
      </c>
      <c r="AA135" s="25">
        <f t="shared" si="59"/>
        <v>0</v>
      </c>
      <c r="AB135" s="25">
        <f t="shared" si="59"/>
        <v>0</v>
      </c>
      <c r="AC135" s="25">
        <f t="shared" si="59"/>
        <v>0</v>
      </c>
      <c r="AD135" s="25">
        <f t="shared" si="59"/>
        <v>0</v>
      </c>
      <c r="AE135" s="25">
        <f t="shared" si="59"/>
        <v>0</v>
      </c>
      <c r="AF135" s="25">
        <f t="shared" si="59"/>
        <v>0</v>
      </c>
      <c r="AG135" s="25">
        <f t="shared" si="59"/>
        <v>120</v>
      </c>
      <c r="AH135" s="25">
        <f t="shared" si="59"/>
        <v>0</v>
      </c>
      <c r="AI135" s="25">
        <f t="shared" si="59"/>
        <v>0</v>
      </c>
      <c r="AJ135" s="110">
        <f t="shared" si="59"/>
        <v>0</v>
      </c>
      <c r="AK135" s="61"/>
      <c r="AL135" s="131">
        <f>SUM(C135:AJ135)</f>
        <v>378</v>
      </c>
    </row>
    <row r="136" spans="2:108 15074:15466" s="1" customFormat="1" ht="13.8" x14ac:dyDescent="0.25">
      <c r="B136" s="149"/>
      <c r="C136" s="99" t="s">
        <v>35</v>
      </c>
      <c r="D136" s="242"/>
      <c r="E136" s="36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78"/>
      <c r="AH136" s="78"/>
      <c r="AI136" s="78"/>
      <c r="AJ136" s="86"/>
      <c r="AK136" s="246"/>
      <c r="AL136" s="247"/>
    </row>
    <row r="137" spans="2:108 15074:15466" s="1" customFormat="1" x14ac:dyDescent="0.3">
      <c r="B137" s="149"/>
      <c r="C137" s="101" t="s">
        <v>33</v>
      </c>
      <c r="D137" s="34"/>
      <c r="E137" s="26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76"/>
      <c r="AH137" s="76"/>
      <c r="AI137" s="76"/>
      <c r="AJ137" s="63"/>
      <c r="AK137" s="61"/>
      <c r="AL137" s="131"/>
    </row>
    <row r="138" spans="2:108 15074:15466" s="1" customFormat="1" ht="13.8" x14ac:dyDescent="0.25">
      <c r="B138" s="149"/>
      <c r="C138" s="102" t="s">
        <v>48</v>
      </c>
      <c r="D138" s="34"/>
      <c r="E138" s="26" t="s">
        <v>29</v>
      </c>
      <c r="F138" s="25">
        <f>F131/F122*100</f>
        <v>2.873150409423933E-2</v>
      </c>
      <c r="G138" s="25">
        <f t="shared" ref="G138:AI139" si="60">G131/G122*100</f>
        <v>4.1146619119462345E-2</v>
      </c>
      <c r="H138" s="25">
        <f t="shared" si="60"/>
        <v>0.10899182561307902</v>
      </c>
      <c r="I138" s="25">
        <f t="shared" si="60"/>
        <v>8.1344902386117135E-2</v>
      </c>
      <c r="J138" s="25">
        <f t="shared" si="60"/>
        <v>2.7063599458728015E-2</v>
      </c>
      <c r="K138" s="25">
        <f>K131/K122*100</f>
        <v>0</v>
      </c>
      <c r="L138" s="25">
        <f t="shared" si="60"/>
        <v>0</v>
      </c>
      <c r="M138" s="25">
        <f t="shared" si="60"/>
        <v>1.3721185510428101E-2</v>
      </c>
      <c r="N138" s="25">
        <f t="shared" si="60"/>
        <v>2.8518465706544985E-2</v>
      </c>
      <c r="O138" s="25">
        <f t="shared" si="60"/>
        <v>5.4518195447730684E-2</v>
      </c>
      <c r="P138" s="25">
        <f t="shared" si="60"/>
        <v>4.0507696462327845E-2</v>
      </c>
      <c r="Q138" s="25">
        <f t="shared" si="60"/>
        <v>5.4024851431658562E-2</v>
      </c>
      <c r="R138" s="25">
        <f t="shared" si="60"/>
        <v>1.35189941868325E-2</v>
      </c>
      <c r="S138" s="25">
        <f t="shared" si="60"/>
        <v>0</v>
      </c>
      <c r="T138" s="25">
        <f t="shared" si="60"/>
        <v>0.12258240261509125</v>
      </c>
      <c r="U138" s="25">
        <f t="shared" si="60"/>
        <v>6.8129172911840855E-2</v>
      </c>
      <c r="V138" s="25">
        <f t="shared" si="60"/>
        <v>4.0894220283533261E-2</v>
      </c>
      <c r="W138" s="25">
        <f t="shared" si="60"/>
        <v>2.6845637583892613E-2</v>
      </c>
      <c r="X138" s="25">
        <f t="shared" si="60"/>
        <v>0</v>
      </c>
      <c r="Y138" s="25">
        <f t="shared" si="60"/>
        <v>8.1190798376184023E-2</v>
      </c>
      <c r="Z138" s="25">
        <f t="shared" si="60"/>
        <v>0.37518037518037517</v>
      </c>
      <c r="AA138" s="25">
        <f t="shared" si="60"/>
        <v>4.0551500405515008E-2</v>
      </c>
      <c r="AB138" s="25">
        <f t="shared" si="60"/>
        <v>0</v>
      </c>
      <c r="AC138" s="25">
        <f t="shared" si="60"/>
        <v>0</v>
      </c>
      <c r="AD138" s="25">
        <f t="shared" si="60"/>
        <v>0</v>
      </c>
      <c r="AE138" s="25">
        <f t="shared" si="60"/>
        <v>2.5497195308516064E-2</v>
      </c>
      <c r="AF138" s="25">
        <f t="shared" si="60"/>
        <v>8.9206066012488858E-2</v>
      </c>
      <c r="AG138" s="25">
        <f t="shared" si="60"/>
        <v>0</v>
      </c>
      <c r="AH138" s="25">
        <f t="shared" si="60"/>
        <v>0</v>
      </c>
      <c r="AI138" s="25">
        <f t="shared" si="60"/>
        <v>5.1672910476682606E-2</v>
      </c>
      <c r="AJ138" s="63">
        <f>AJ131/AJ122*100</f>
        <v>0</v>
      </c>
      <c r="AK138" s="64"/>
      <c r="AL138" s="131">
        <f>SUM(C138:AJ138)</f>
        <v>1.4138381185712685</v>
      </c>
    </row>
    <row r="139" spans="2:108 15074:15466" s="1" customFormat="1" ht="13.8" x14ac:dyDescent="0.25">
      <c r="B139" s="149"/>
      <c r="C139" s="102" t="s">
        <v>103</v>
      </c>
      <c r="D139" s="34"/>
      <c r="E139" s="26" t="s">
        <v>29</v>
      </c>
      <c r="F139" s="25" t="e">
        <f>F132/F123*100</f>
        <v>#DIV/0!</v>
      </c>
      <c r="G139" s="25" t="e">
        <f t="shared" si="60"/>
        <v>#DIV/0!</v>
      </c>
      <c r="H139" s="25" t="e">
        <f t="shared" si="60"/>
        <v>#DIV/0!</v>
      </c>
      <c r="I139" s="25" t="e">
        <f>I132/I123*100</f>
        <v>#DIV/0!</v>
      </c>
      <c r="J139" s="25" t="e">
        <f t="shared" si="60"/>
        <v>#DIV/0!</v>
      </c>
      <c r="K139" s="25">
        <f t="shared" si="60"/>
        <v>0</v>
      </c>
      <c r="L139" s="25" t="e">
        <f t="shared" si="60"/>
        <v>#DIV/0!</v>
      </c>
      <c r="M139" s="25" t="e">
        <f t="shared" si="60"/>
        <v>#DIV/0!</v>
      </c>
      <c r="N139" s="25" t="e">
        <f t="shared" si="60"/>
        <v>#DIV/0!</v>
      </c>
      <c r="O139" s="25" t="e">
        <f t="shared" si="60"/>
        <v>#DIV/0!</v>
      </c>
      <c r="P139" s="25" t="e">
        <f t="shared" si="60"/>
        <v>#DIV/0!</v>
      </c>
      <c r="Q139" s="25">
        <f t="shared" si="60"/>
        <v>0.24694745506928248</v>
      </c>
      <c r="R139" s="25" t="e">
        <f t="shared" si="60"/>
        <v>#DIV/0!</v>
      </c>
      <c r="S139" s="25" t="e">
        <f t="shared" si="60"/>
        <v>#DIV/0!</v>
      </c>
      <c r="T139" s="25" t="e">
        <f t="shared" si="60"/>
        <v>#DIV/0!</v>
      </c>
      <c r="U139" s="25" t="e">
        <f t="shared" si="60"/>
        <v>#DIV/0!</v>
      </c>
      <c r="V139" s="25" t="e">
        <f t="shared" si="60"/>
        <v>#DIV/0!</v>
      </c>
      <c r="W139" s="25">
        <f t="shared" si="60"/>
        <v>0.36753895912966772</v>
      </c>
      <c r="X139" s="25" t="e">
        <f t="shared" si="60"/>
        <v>#DIV/0!</v>
      </c>
      <c r="Y139" s="25" t="e">
        <f t="shared" si="60"/>
        <v>#DIV/0!</v>
      </c>
      <c r="Z139" s="25" t="e">
        <f t="shared" si="60"/>
        <v>#DIV/0!</v>
      </c>
      <c r="AA139" s="25" t="e">
        <f t="shared" si="60"/>
        <v>#DIV/0!</v>
      </c>
      <c r="AB139" s="25" t="e">
        <f t="shared" si="60"/>
        <v>#DIV/0!</v>
      </c>
      <c r="AC139" s="25" t="e">
        <f t="shared" si="60"/>
        <v>#DIV/0!</v>
      </c>
      <c r="AD139" s="25" t="e">
        <f t="shared" si="60"/>
        <v>#DIV/0!</v>
      </c>
      <c r="AE139" s="25" t="e">
        <f t="shared" si="60"/>
        <v>#DIV/0!</v>
      </c>
      <c r="AF139" s="25" t="e">
        <f t="shared" si="60"/>
        <v>#DIV/0!</v>
      </c>
      <c r="AG139" s="25">
        <f t="shared" si="60"/>
        <v>0.30627871362940279</v>
      </c>
      <c r="AH139" s="25" t="e">
        <f t="shared" si="60"/>
        <v>#DIV/0!</v>
      </c>
      <c r="AI139" s="25" t="e">
        <f t="shared" si="60"/>
        <v>#DIV/0!</v>
      </c>
      <c r="AJ139" s="63" t="e">
        <f>AJ132/AJ123*100</f>
        <v>#DIV/0!</v>
      </c>
      <c r="AK139" s="64"/>
      <c r="AL139" s="131" t="e">
        <f>SUM(C139:AJ139)</f>
        <v>#DIV/0!</v>
      </c>
    </row>
    <row r="140" spans="2:108 15074:15466" s="1" customFormat="1" x14ac:dyDescent="0.3">
      <c r="B140" s="149"/>
      <c r="C140" s="101" t="s">
        <v>32</v>
      </c>
      <c r="D140" s="34"/>
      <c r="E140" s="21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63"/>
      <c r="AK140" s="64"/>
      <c r="AL140" s="131"/>
    </row>
    <row r="141" spans="2:108 15074:15466" s="1" customFormat="1" ht="13.8" x14ac:dyDescent="0.25">
      <c r="B141" s="149"/>
      <c r="C141" s="102" t="s">
        <v>48</v>
      </c>
      <c r="D141" s="34"/>
      <c r="E141" s="26" t="s">
        <v>29</v>
      </c>
      <c r="F141" s="25">
        <f>F134/F125*100</f>
        <v>2.873150409423933E-2</v>
      </c>
      <c r="G141" s="25">
        <f t="shared" ref="F141:AJ142" si="61">G134/G125*100</f>
        <v>4.1146619119462345E-2</v>
      </c>
      <c r="H141" s="25">
        <f t="shared" si="61"/>
        <v>0.10899182561307902</v>
      </c>
      <c r="I141" s="25">
        <f t="shared" si="61"/>
        <v>8.1344902386117135E-2</v>
      </c>
      <c r="J141" s="25">
        <f t="shared" si="61"/>
        <v>2.7063599458728015E-2</v>
      </c>
      <c r="K141" s="25">
        <f t="shared" si="61"/>
        <v>0</v>
      </c>
      <c r="L141" s="25">
        <f t="shared" si="61"/>
        <v>0</v>
      </c>
      <c r="M141" s="25">
        <f t="shared" si="61"/>
        <v>1.3721185510428101E-2</v>
      </c>
      <c r="N141" s="25">
        <f t="shared" si="61"/>
        <v>2.8518465706544985E-2</v>
      </c>
      <c r="O141" s="25">
        <f t="shared" si="61"/>
        <v>5.4518195447730684E-2</v>
      </c>
      <c r="P141" s="25">
        <f t="shared" si="61"/>
        <v>4.0507696462327845E-2</v>
      </c>
      <c r="Q141" s="25">
        <f t="shared" si="61"/>
        <v>5.4024851431658562E-2</v>
      </c>
      <c r="R141" s="25">
        <f t="shared" si="61"/>
        <v>1.35189941868325E-2</v>
      </c>
      <c r="S141" s="25">
        <f t="shared" si="61"/>
        <v>0</v>
      </c>
      <c r="T141" s="25">
        <f t="shared" si="61"/>
        <v>0.12258240261509125</v>
      </c>
      <c r="U141" s="25">
        <f t="shared" si="61"/>
        <v>6.8129172911840855E-2</v>
      </c>
      <c r="V141" s="25">
        <f t="shared" si="61"/>
        <v>4.0894220283533261E-2</v>
      </c>
      <c r="W141" s="25">
        <f t="shared" si="61"/>
        <v>2.6845637583892613E-2</v>
      </c>
      <c r="X141" s="25">
        <f t="shared" si="61"/>
        <v>0</v>
      </c>
      <c r="Y141" s="25">
        <f t="shared" si="61"/>
        <v>8.1190798376184023E-2</v>
      </c>
      <c r="Z141" s="25">
        <f t="shared" si="61"/>
        <v>0.37518037518037517</v>
      </c>
      <c r="AA141" s="25">
        <f t="shared" si="61"/>
        <v>4.0551500405515008E-2</v>
      </c>
      <c r="AB141" s="25">
        <f t="shared" si="61"/>
        <v>0</v>
      </c>
      <c r="AC141" s="25">
        <f t="shared" si="61"/>
        <v>0</v>
      </c>
      <c r="AD141" s="25">
        <f t="shared" si="61"/>
        <v>0</v>
      </c>
      <c r="AE141" s="25">
        <f t="shared" si="61"/>
        <v>2.5497195308516064E-2</v>
      </c>
      <c r="AF141" s="25">
        <f t="shared" si="61"/>
        <v>8.9206066012488858E-2</v>
      </c>
      <c r="AG141" s="25">
        <f t="shared" si="61"/>
        <v>0</v>
      </c>
      <c r="AH141" s="25">
        <f t="shared" si="61"/>
        <v>0</v>
      </c>
      <c r="AI141" s="25">
        <f t="shared" si="61"/>
        <v>5.1672910476682606E-2</v>
      </c>
      <c r="AJ141" s="63">
        <f>AJ134/AJ125*100</f>
        <v>0</v>
      </c>
      <c r="AK141" s="64"/>
      <c r="AL141" s="131">
        <f>SUM(C141:AJ141)</f>
        <v>1.4138381185712685</v>
      </c>
    </row>
    <row r="142" spans="2:108 15074:15466" s="1" customFormat="1" thickBot="1" x14ac:dyDescent="0.3">
      <c r="B142" s="188"/>
      <c r="C142" s="102" t="s">
        <v>103</v>
      </c>
      <c r="D142" s="34"/>
      <c r="E142" s="26" t="s">
        <v>29</v>
      </c>
      <c r="F142" s="25" t="e">
        <f t="shared" si="61"/>
        <v>#DIV/0!</v>
      </c>
      <c r="G142" s="25" t="e">
        <f t="shared" si="61"/>
        <v>#DIV/0!</v>
      </c>
      <c r="H142" s="25" t="e">
        <f t="shared" si="61"/>
        <v>#DIV/0!</v>
      </c>
      <c r="I142" s="25" t="e">
        <f t="shared" si="61"/>
        <v>#DIV/0!</v>
      </c>
      <c r="J142" s="25" t="e">
        <f t="shared" si="61"/>
        <v>#DIV/0!</v>
      </c>
      <c r="K142" s="25">
        <f t="shared" si="61"/>
        <v>0</v>
      </c>
      <c r="L142" s="25" t="e">
        <f t="shared" si="61"/>
        <v>#DIV/0!</v>
      </c>
      <c r="M142" s="25" t="e">
        <f t="shared" si="61"/>
        <v>#DIV/0!</v>
      </c>
      <c r="N142" s="25" t="e">
        <f t="shared" si="61"/>
        <v>#DIV/0!</v>
      </c>
      <c r="O142" s="25" t="e">
        <f t="shared" si="61"/>
        <v>#DIV/0!</v>
      </c>
      <c r="P142" s="25" t="e">
        <f t="shared" si="61"/>
        <v>#DIV/0!</v>
      </c>
      <c r="Q142" s="25">
        <f t="shared" si="61"/>
        <v>0.24694745506928248</v>
      </c>
      <c r="R142" s="25" t="e">
        <f t="shared" si="61"/>
        <v>#DIV/0!</v>
      </c>
      <c r="S142" s="25" t="e">
        <f t="shared" si="61"/>
        <v>#DIV/0!</v>
      </c>
      <c r="T142" s="25" t="e">
        <f t="shared" si="61"/>
        <v>#DIV/0!</v>
      </c>
      <c r="U142" s="25" t="e">
        <f t="shared" si="61"/>
        <v>#DIV/0!</v>
      </c>
      <c r="V142" s="25" t="e">
        <f t="shared" si="61"/>
        <v>#DIV/0!</v>
      </c>
      <c r="W142" s="25">
        <f t="shared" si="61"/>
        <v>0.36753895912966772</v>
      </c>
      <c r="X142" s="25" t="e">
        <f t="shared" si="61"/>
        <v>#DIV/0!</v>
      </c>
      <c r="Y142" s="25" t="e">
        <f t="shared" si="61"/>
        <v>#DIV/0!</v>
      </c>
      <c r="Z142" s="25" t="e">
        <f t="shared" si="61"/>
        <v>#DIV/0!</v>
      </c>
      <c r="AA142" s="25" t="e">
        <f t="shared" si="61"/>
        <v>#DIV/0!</v>
      </c>
      <c r="AB142" s="25" t="e">
        <f t="shared" si="61"/>
        <v>#DIV/0!</v>
      </c>
      <c r="AC142" s="25" t="e">
        <f t="shared" si="61"/>
        <v>#DIV/0!</v>
      </c>
      <c r="AD142" s="25" t="e">
        <f t="shared" si="61"/>
        <v>#DIV/0!</v>
      </c>
      <c r="AE142" s="25" t="e">
        <f t="shared" si="61"/>
        <v>#DIV/0!</v>
      </c>
      <c r="AF142" s="25" t="e">
        <f t="shared" si="61"/>
        <v>#DIV/0!</v>
      </c>
      <c r="AG142" s="25">
        <f t="shared" si="61"/>
        <v>0.30627871362940279</v>
      </c>
      <c r="AH142" s="25" t="e">
        <f t="shared" si="61"/>
        <v>#DIV/0!</v>
      </c>
      <c r="AI142" s="25" t="e">
        <f t="shared" si="61"/>
        <v>#DIV/0!</v>
      </c>
      <c r="AJ142" s="63" t="e">
        <f>AJ135/AJ126*100</f>
        <v>#DIV/0!</v>
      </c>
      <c r="AK142" s="64"/>
      <c r="AL142" s="131" t="e">
        <f>SUM(C142:AJ142)</f>
        <v>#DIV/0!</v>
      </c>
    </row>
    <row r="143" spans="2:108 15074:15466" s="1" customFormat="1" x14ac:dyDescent="0.3">
      <c r="B143" s="97">
        <v>6</v>
      </c>
      <c r="C143" s="99" t="s">
        <v>46</v>
      </c>
      <c r="D143" s="115"/>
      <c r="E143" s="41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116"/>
      <c r="AD143" s="24"/>
      <c r="AE143" s="24"/>
      <c r="AF143" s="24"/>
      <c r="AG143" s="77"/>
      <c r="AH143" s="77"/>
      <c r="AI143" s="77"/>
      <c r="AJ143" s="85"/>
      <c r="AK143" s="117"/>
      <c r="AL143" s="182" t="s">
        <v>45</v>
      </c>
      <c r="DD143" s="3"/>
      <c r="VGT143"/>
      <c r="VGU143"/>
      <c r="VGV143"/>
      <c r="VGW143"/>
      <c r="VGX143"/>
      <c r="VGY143"/>
      <c r="VGZ143"/>
      <c r="VHA143"/>
      <c r="VHB143"/>
      <c r="VHC143"/>
      <c r="VHD143"/>
      <c r="VHE143"/>
      <c r="VHF143"/>
      <c r="VHG143"/>
      <c r="VHH143"/>
      <c r="VHI143"/>
      <c r="VHJ143"/>
      <c r="VHK143"/>
      <c r="VHL143"/>
      <c r="VHM143"/>
      <c r="VHN143"/>
      <c r="VHO143"/>
      <c r="VHP143"/>
      <c r="VHQ143"/>
      <c r="VHR143"/>
      <c r="VHS143"/>
      <c r="VHT143"/>
      <c r="VHU143"/>
      <c r="VHV143"/>
      <c r="VHW143"/>
      <c r="VHX143"/>
      <c r="VHY143"/>
      <c r="VHZ143"/>
      <c r="VIA143"/>
      <c r="VIB143"/>
      <c r="VIC143"/>
      <c r="VID143"/>
      <c r="VIE143"/>
      <c r="VIF143"/>
      <c r="VIG143"/>
      <c r="VIH143"/>
      <c r="VII143"/>
      <c r="VIJ143"/>
      <c r="VIK143"/>
      <c r="VIL143"/>
      <c r="VIM143"/>
      <c r="VIN143"/>
      <c r="VIO143"/>
      <c r="VIP143"/>
      <c r="VIQ143"/>
      <c r="VIR143"/>
      <c r="VIS143"/>
      <c r="VIT143"/>
      <c r="VIU143"/>
      <c r="VIV143"/>
      <c r="VIW143"/>
      <c r="VIX143"/>
      <c r="VIY143"/>
      <c r="VIZ143"/>
      <c r="VJA143"/>
      <c r="VJB143"/>
      <c r="VJC143"/>
      <c r="VJD143"/>
      <c r="VJE143"/>
      <c r="VJF143"/>
      <c r="VJG143"/>
      <c r="VJH143"/>
      <c r="VJI143"/>
      <c r="VJJ143"/>
      <c r="VJK143"/>
      <c r="VJL143"/>
      <c r="VJM143"/>
      <c r="VJN143"/>
      <c r="VJO143"/>
      <c r="VJP143"/>
      <c r="VJQ143"/>
      <c r="VJR143"/>
      <c r="VJS143"/>
      <c r="VJT143"/>
      <c r="VJU143"/>
      <c r="VJV143"/>
      <c r="VJW143"/>
      <c r="VJX143"/>
      <c r="VJY143"/>
      <c r="VJZ143"/>
      <c r="VKA143"/>
      <c r="VKB143"/>
      <c r="VKC143"/>
      <c r="VKD143"/>
      <c r="VKE143"/>
      <c r="VKF143"/>
      <c r="VKG143"/>
      <c r="VKH143"/>
      <c r="VKI143"/>
      <c r="VKJ143"/>
      <c r="VKK143"/>
      <c r="VKL143"/>
      <c r="VKM143"/>
      <c r="VKN143"/>
      <c r="VKO143"/>
      <c r="VKP143"/>
      <c r="VKQ143"/>
      <c r="VKR143"/>
      <c r="VKS143"/>
      <c r="VKT143"/>
      <c r="VKU143"/>
      <c r="VKV143"/>
      <c r="VKW143"/>
      <c r="VKX143"/>
      <c r="VKY143"/>
      <c r="VKZ143"/>
      <c r="VLA143"/>
      <c r="VLB143"/>
      <c r="VLC143"/>
      <c r="VLD143"/>
      <c r="VLE143"/>
      <c r="VLF143"/>
      <c r="VLG143"/>
      <c r="VLH143"/>
      <c r="VLI143"/>
      <c r="VLJ143"/>
      <c r="VLK143"/>
      <c r="VLL143"/>
      <c r="VLM143"/>
      <c r="VLN143"/>
      <c r="VLO143"/>
      <c r="VLP143"/>
      <c r="VLQ143"/>
      <c r="VLR143"/>
      <c r="VLS143"/>
      <c r="VLT143"/>
      <c r="VLU143"/>
      <c r="VLV143"/>
      <c r="VLW143"/>
      <c r="VLX143"/>
      <c r="VLY143"/>
      <c r="VLZ143"/>
      <c r="VMA143"/>
      <c r="VMB143"/>
      <c r="VMC143"/>
      <c r="VMD143"/>
      <c r="VME143"/>
      <c r="VMF143"/>
      <c r="VMG143"/>
      <c r="VMH143"/>
      <c r="VMI143"/>
      <c r="VMJ143"/>
      <c r="VMK143"/>
      <c r="VML143"/>
      <c r="VMM143"/>
      <c r="VMN143"/>
      <c r="VMO143"/>
      <c r="VMP143"/>
      <c r="VMQ143"/>
      <c r="VMR143"/>
      <c r="VMS143"/>
      <c r="VMT143"/>
      <c r="VMU143"/>
      <c r="VMV143"/>
      <c r="VMW143"/>
      <c r="VMX143"/>
      <c r="VMY143"/>
      <c r="VMZ143"/>
      <c r="VNA143"/>
      <c r="VNB143"/>
      <c r="VNC143"/>
      <c r="VND143"/>
      <c r="VNE143"/>
      <c r="VNF143"/>
      <c r="VNG143"/>
      <c r="VNH143"/>
      <c r="VNI143"/>
      <c r="VNJ143"/>
      <c r="VNK143"/>
      <c r="VNL143"/>
      <c r="VNM143"/>
      <c r="VNN143"/>
      <c r="VNO143"/>
      <c r="VNP143"/>
      <c r="VNQ143"/>
      <c r="VNR143"/>
      <c r="VNS143"/>
      <c r="VNT143"/>
      <c r="VNU143"/>
      <c r="VNV143"/>
      <c r="VNW143"/>
      <c r="VNX143"/>
      <c r="VNY143"/>
      <c r="VNZ143"/>
      <c r="VOA143"/>
      <c r="VOB143"/>
      <c r="VOC143"/>
      <c r="VOD143"/>
      <c r="VOE143"/>
      <c r="VOF143"/>
      <c r="VOG143"/>
      <c r="VOH143"/>
      <c r="VOI143"/>
      <c r="VOJ143"/>
      <c r="VOK143"/>
      <c r="VOL143"/>
      <c r="VOM143"/>
      <c r="VON143"/>
      <c r="VOO143"/>
      <c r="VOP143"/>
      <c r="VOQ143"/>
      <c r="VOR143"/>
      <c r="VOS143"/>
      <c r="VOT143"/>
      <c r="VOU143"/>
      <c r="VOV143"/>
      <c r="VOW143"/>
      <c r="VOX143"/>
      <c r="VOY143"/>
      <c r="VOZ143"/>
      <c r="VPA143"/>
      <c r="VPB143"/>
      <c r="VPC143"/>
      <c r="VPD143"/>
      <c r="VPE143"/>
      <c r="VPF143"/>
      <c r="VPG143"/>
      <c r="VPH143"/>
      <c r="VPI143"/>
      <c r="VPJ143"/>
      <c r="VPK143"/>
      <c r="VPL143"/>
      <c r="VPM143"/>
      <c r="VPN143"/>
      <c r="VPO143"/>
      <c r="VPP143"/>
      <c r="VPQ143"/>
      <c r="VPR143"/>
      <c r="VPS143"/>
      <c r="VPT143"/>
      <c r="VPU143"/>
      <c r="VPV143"/>
      <c r="VPW143"/>
      <c r="VPX143"/>
      <c r="VPY143"/>
      <c r="VPZ143"/>
      <c r="VQA143"/>
      <c r="VQB143"/>
      <c r="VQC143"/>
      <c r="VQD143"/>
      <c r="VQE143"/>
      <c r="VQF143"/>
      <c r="VQG143"/>
      <c r="VQH143"/>
      <c r="VQI143"/>
      <c r="VQJ143"/>
      <c r="VQK143"/>
      <c r="VQL143"/>
      <c r="VQM143"/>
      <c r="VQN143"/>
      <c r="VQO143"/>
      <c r="VQP143"/>
      <c r="VQQ143"/>
      <c r="VQR143"/>
      <c r="VQS143"/>
      <c r="VQT143"/>
      <c r="VQU143"/>
      <c r="VQV143"/>
      <c r="VQW143"/>
      <c r="VQX143"/>
      <c r="VQY143"/>
      <c r="VQZ143"/>
      <c r="VRA143"/>
      <c r="VRB143"/>
      <c r="VRC143"/>
      <c r="VRD143"/>
      <c r="VRE143"/>
      <c r="VRF143"/>
      <c r="VRG143"/>
      <c r="VRH143"/>
      <c r="VRI143"/>
      <c r="VRJ143"/>
      <c r="VRK143"/>
      <c r="VRL143"/>
      <c r="VRM143"/>
      <c r="VRN143"/>
      <c r="VRO143"/>
      <c r="VRP143"/>
      <c r="VRQ143"/>
      <c r="VRR143"/>
      <c r="VRS143"/>
      <c r="VRT143"/>
      <c r="VRU143"/>
      <c r="VRV143"/>
      <c r="VRW143"/>
      <c r="VRX143"/>
      <c r="VRY143"/>
      <c r="VRZ143"/>
      <c r="VSA143"/>
      <c r="VSB143"/>
      <c r="VSC143"/>
      <c r="VSD143"/>
      <c r="VSE143"/>
      <c r="VSF143"/>
      <c r="VSG143"/>
      <c r="VSH143"/>
      <c r="VSI143"/>
      <c r="VSJ143"/>
      <c r="VSK143"/>
      <c r="VSL143"/>
      <c r="VSM143"/>
      <c r="VSN143"/>
      <c r="VSO143"/>
      <c r="VSP143"/>
      <c r="VSQ143"/>
      <c r="VSR143"/>
      <c r="VSS143"/>
      <c r="VST143"/>
      <c r="VSU143"/>
      <c r="VSV143"/>
      <c r="VSW143"/>
      <c r="VSX143"/>
      <c r="VSY143"/>
      <c r="VSZ143"/>
      <c r="VTA143"/>
      <c r="VTB143"/>
      <c r="VTC143"/>
      <c r="VTD143"/>
      <c r="VTE143"/>
      <c r="VTF143"/>
      <c r="VTG143"/>
      <c r="VTH143"/>
      <c r="VTI143"/>
      <c r="VTJ143"/>
      <c r="VTK143"/>
      <c r="VTL143"/>
      <c r="VTM143"/>
      <c r="VTN143"/>
      <c r="VTO143"/>
      <c r="VTP143"/>
      <c r="VTQ143"/>
      <c r="VTR143"/>
      <c r="VTS143"/>
      <c r="VTT143"/>
      <c r="VTU143"/>
      <c r="VTV143"/>
      <c r="VTW143"/>
      <c r="VTX143"/>
      <c r="VTY143"/>
      <c r="VTZ143"/>
      <c r="VUA143"/>
      <c r="VUB143"/>
      <c r="VUC143"/>
      <c r="VUD143"/>
      <c r="VUE143"/>
      <c r="VUF143"/>
      <c r="VUG143"/>
      <c r="VUH143"/>
      <c r="VUI143"/>
      <c r="VUJ143"/>
      <c r="VUK143"/>
      <c r="VUL143"/>
      <c r="VUM143"/>
      <c r="VUN143"/>
      <c r="VUO143"/>
      <c r="VUP143"/>
      <c r="VUQ143"/>
      <c r="VUR143"/>
      <c r="VUS143"/>
      <c r="VUT143"/>
      <c r="VUU143"/>
      <c r="VUV143"/>
      <c r="VUW143"/>
      <c r="VUX143"/>
      <c r="VUY143"/>
      <c r="VUZ143"/>
      <c r="VVA143"/>
      <c r="VVB143"/>
      <c r="VVC143"/>
      <c r="VVD143"/>
      <c r="VVE143"/>
      <c r="VVF143"/>
      <c r="VVG143"/>
      <c r="VVH143"/>
      <c r="VVI143"/>
      <c r="VVJ143"/>
      <c r="VVK143"/>
      <c r="VVL143"/>
      <c r="VVM143"/>
      <c r="VVN143"/>
      <c r="VVO143"/>
      <c r="VVP143"/>
      <c r="VVQ143"/>
      <c r="VVR143"/>
      <c r="VVS143"/>
      <c r="VVT143"/>
      <c r="VVU143"/>
      <c r="VVV143"/>
    </row>
    <row r="144" spans="2:108 15074:15466" s="1" customFormat="1" ht="13.8" x14ac:dyDescent="0.25">
      <c r="B144" s="149"/>
      <c r="C144" s="100" t="s">
        <v>119</v>
      </c>
      <c r="D144" s="226"/>
      <c r="E144" s="26" t="s">
        <v>16</v>
      </c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73"/>
      <c r="AJ144" s="42"/>
      <c r="AK144" s="230"/>
      <c r="AL144" s="225">
        <f>SUM(AL145:AL146)</f>
        <v>0</v>
      </c>
      <c r="DD144" s="13"/>
    </row>
    <row r="145" spans="2:108 15074:15466" s="1" customFormat="1" x14ac:dyDescent="0.3">
      <c r="B145" s="149"/>
      <c r="C145" s="101" t="s">
        <v>44</v>
      </c>
      <c r="D145" s="145"/>
      <c r="E145" s="26" t="s">
        <v>16</v>
      </c>
      <c r="F145" s="28">
        <f>SUM(F148:F150)*9.75348</f>
        <v>0</v>
      </c>
      <c r="G145" s="28">
        <f t="shared" ref="G145:T145" si="62">SUM(G148:G150)*9.75348</f>
        <v>0</v>
      </c>
      <c r="H145" s="28">
        <f t="shared" si="62"/>
        <v>0</v>
      </c>
      <c r="I145" s="28">
        <f t="shared" si="62"/>
        <v>0</v>
      </c>
      <c r="J145" s="28">
        <f t="shared" si="62"/>
        <v>0</v>
      </c>
      <c r="K145" s="28">
        <f t="shared" si="62"/>
        <v>0</v>
      </c>
      <c r="L145" s="28">
        <f t="shared" si="62"/>
        <v>0</v>
      </c>
      <c r="M145" s="28">
        <f t="shared" si="62"/>
        <v>0</v>
      </c>
      <c r="N145" s="28">
        <f t="shared" si="62"/>
        <v>0</v>
      </c>
      <c r="O145" s="28">
        <f t="shared" si="62"/>
        <v>0</v>
      </c>
      <c r="P145" s="28">
        <f t="shared" si="62"/>
        <v>0</v>
      </c>
      <c r="Q145" s="28">
        <f t="shared" si="62"/>
        <v>0</v>
      </c>
      <c r="R145" s="28">
        <f t="shared" si="62"/>
        <v>0</v>
      </c>
      <c r="S145" s="28">
        <f t="shared" si="62"/>
        <v>0</v>
      </c>
      <c r="T145" s="28">
        <f t="shared" si="62"/>
        <v>0</v>
      </c>
      <c r="U145" s="28">
        <f t="shared" ref="U145:AF145" si="63">SUM(U148:U150)*9.75348</f>
        <v>0</v>
      </c>
      <c r="V145" s="28">
        <f t="shared" si="63"/>
        <v>0</v>
      </c>
      <c r="W145" s="28">
        <f t="shared" si="63"/>
        <v>0</v>
      </c>
      <c r="X145" s="28">
        <f t="shared" si="63"/>
        <v>0</v>
      </c>
      <c r="Y145" s="28">
        <f t="shared" si="63"/>
        <v>0</v>
      </c>
      <c r="Z145" s="28">
        <f t="shared" si="63"/>
        <v>0</v>
      </c>
      <c r="AA145" s="28">
        <f t="shared" si="63"/>
        <v>0</v>
      </c>
      <c r="AB145" s="28">
        <f t="shared" si="63"/>
        <v>0</v>
      </c>
      <c r="AC145" s="28">
        <f t="shared" si="63"/>
        <v>0</v>
      </c>
      <c r="AD145" s="28">
        <f t="shared" si="63"/>
        <v>0</v>
      </c>
      <c r="AE145" s="28">
        <f t="shared" si="63"/>
        <v>0</v>
      </c>
      <c r="AF145" s="28">
        <f t="shared" si="63"/>
        <v>0</v>
      </c>
      <c r="AG145" s="28">
        <f>SUM(AG148:AG150)*9.75348</f>
        <v>0</v>
      </c>
      <c r="AH145" s="28">
        <f>SUM(AH148:AH150)*9.75348</f>
        <v>0</v>
      </c>
      <c r="AI145" s="28">
        <f>SUM(AI148:AI150)*9.75348</f>
        <v>0</v>
      </c>
      <c r="AJ145" s="43">
        <f>SUM(AJ148:AJ150)*9.75348</f>
        <v>0</v>
      </c>
      <c r="AK145" s="16"/>
      <c r="AL145" s="142">
        <f>SUM(F145:AJ145)</f>
        <v>0</v>
      </c>
      <c r="DD145" s="13"/>
    </row>
    <row r="146" spans="2:108 15074:15466" s="1" customFormat="1" x14ac:dyDescent="0.3">
      <c r="B146" s="149"/>
      <c r="C146" s="101" t="s">
        <v>43</v>
      </c>
      <c r="D146" s="145"/>
      <c r="E146" s="26" t="s">
        <v>16</v>
      </c>
      <c r="F146" s="28">
        <f t="shared" ref="F146:AF146" si="64">F144-F145</f>
        <v>0</v>
      </c>
      <c r="G146" s="28">
        <f t="shared" si="64"/>
        <v>0</v>
      </c>
      <c r="H146" s="28">
        <f t="shared" si="64"/>
        <v>0</v>
      </c>
      <c r="I146" s="28">
        <f t="shared" si="64"/>
        <v>0</v>
      </c>
      <c r="J146" s="28">
        <f t="shared" si="64"/>
        <v>0</v>
      </c>
      <c r="K146" s="28">
        <f t="shared" si="64"/>
        <v>0</v>
      </c>
      <c r="L146" s="28">
        <f t="shared" si="64"/>
        <v>0</v>
      </c>
      <c r="M146" s="28">
        <f t="shared" si="64"/>
        <v>0</v>
      </c>
      <c r="N146" s="28">
        <f t="shared" si="64"/>
        <v>0</v>
      </c>
      <c r="O146" s="28">
        <f t="shared" si="64"/>
        <v>0</v>
      </c>
      <c r="P146" s="28">
        <f t="shared" si="64"/>
        <v>0</v>
      </c>
      <c r="Q146" s="28">
        <f t="shared" si="64"/>
        <v>0</v>
      </c>
      <c r="R146" s="5">
        <v>0</v>
      </c>
      <c r="S146" s="5">
        <v>0</v>
      </c>
      <c r="T146" s="28">
        <f t="shared" si="64"/>
        <v>0</v>
      </c>
      <c r="U146" s="28">
        <f t="shared" si="64"/>
        <v>0</v>
      </c>
      <c r="V146" s="28">
        <f t="shared" si="64"/>
        <v>0</v>
      </c>
      <c r="W146" s="28">
        <f t="shared" si="64"/>
        <v>0</v>
      </c>
      <c r="X146" s="28">
        <f t="shared" si="64"/>
        <v>0</v>
      </c>
      <c r="Y146" s="28">
        <f t="shared" si="64"/>
        <v>0</v>
      </c>
      <c r="Z146" s="28">
        <f t="shared" si="64"/>
        <v>0</v>
      </c>
      <c r="AA146" s="28">
        <f t="shared" si="64"/>
        <v>0</v>
      </c>
      <c r="AB146" s="28">
        <f t="shared" si="64"/>
        <v>0</v>
      </c>
      <c r="AC146" s="28">
        <f t="shared" si="64"/>
        <v>0</v>
      </c>
      <c r="AD146" s="28">
        <f t="shared" si="64"/>
        <v>0</v>
      </c>
      <c r="AE146" s="28">
        <f t="shared" si="64"/>
        <v>0</v>
      </c>
      <c r="AF146" s="28">
        <f t="shared" si="64"/>
        <v>0</v>
      </c>
      <c r="AG146" s="28">
        <f>AG144-AG145</f>
        <v>0</v>
      </c>
      <c r="AH146" s="28">
        <f>AH144-AH145</f>
        <v>0</v>
      </c>
      <c r="AI146" s="28">
        <f>AI144-AI145</f>
        <v>0</v>
      </c>
      <c r="AJ146" s="43">
        <f>AJ144-AJ145</f>
        <v>0</v>
      </c>
      <c r="AK146" s="16"/>
      <c r="AL146" s="142">
        <f>SUM(F146:AJ146)</f>
        <v>0</v>
      </c>
      <c r="DD146" s="13"/>
    </row>
    <row r="147" spans="2:108 15074:15466" s="1" customFormat="1" x14ac:dyDescent="0.3">
      <c r="B147" s="149"/>
      <c r="C147" s="101" t="s">
        <v>33</v>
      </c>
      <c r="D147" s="145"/>
      <c r="E147" s="21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75"/>
      <c r="AJ147" s="44"/>
      <c r="AK147" s="16"/>
      <c r="AL147" s="148" t="s">
        <v>33</v>
      </c>
      <c r="DD147" s="13"/>
    </row>
    <row r="148" spans="2:108 15074:15466" s="17" customFormat="1" ht="13.8" x14ac:dyDescent="0.3">
      <c r="B148" s="171"/>
      <c r="C148" s="102" t="s">
        <v>31</v>
      </c>
      <c r="D148" s="129"/>
      <c r="E148" s="40" t="s">
        <v>36</v>
      </c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76"/>
      <c r="AJ148" s="63"/>
      <c r="AK148" s="91"/>
      <c r="AL148" s="239">
        <f>SUM(F148:AJ148)</f>
        <v>0</v>
      </c>
      <c r="DD148" s="38"/>
    </row>
    <row r="149" spans="2:108 15074:15466" s="17" customFormat="1" ht="13.8" x14ac:dyDescent="0.3">
      <c r="B149" s="171"/>
      <c r="C149" s="102" t="s">
        <v>30</v>
      </c>
      <c r="D149" s="129"/>
      <c r="E149" s="40" t="s">
        <v>36</v>
      </c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76"/>
      <c r="AJ149" s="63"/>
      <c r="AK149" s="91"/>
      <c r="AL149" s="239">
        <f>SUM(F149:AJ149)</f>
        <v>0</v>
      </c>
      <c r="DD149" s="38"/>
    </row>
    <row r="150" spans="2:108 15074:15466" s="17" customFormat="1" ht="13.8" x14ac:dyDescent="0.3">
      <c r="B150" s="171"/>
      <c r="C150" s="102" t="s">
        <v>42</v>
      </c>
      <c r="D150" s="129"/>
      <c r="E150" s="40" t="s">
        <v>36</v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76"/>
      <c r="AJ150" s="63"/>
      <c r="AK150" s="91"/>
      <c r="AL150" s="239">
        <f>SUM(F150:AJ150)</f>
        <v>0</v>
      </c>
      <c r="DD150" s="38"/>
    </row>
    <row r="151" spans="2:108 15074:15466" s="1" customFormat="1" x14ac:dyDescent="0.3">
      <c r="B151" s="149"/>
      <c r="C151" s="101" t="s">
        <v>32</v>
      </c>
      <c r="D151" s="145"/>
      <c r="E151" s="21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75"/>
      <c r="AJ151" s="44"/>
      <c r="AK151" s="16"/>
      <c r="AL151" s="148" t="s">
        <v>32</v>
      </c>
      <c r="DD151" s="13"/>
    </row>
    <row r="152" spans="2:108 15074:15466" s="1" customFormat="1" ht="13.8" x14ac:dyDescent="0.25">
      <c r="B152" s="149"/>
      <c r="C152" s="102" t="s">
        <v>31</v>
      </c>
      <c r="D152" s="145"/>
      <c r="E152" s="26" t="s">
        <v>32</v>
      </c>
      <c r="F152" s="5">
        <f>F148*24</f>
        <v>0</v>
      </c>
      <c r="G152" s="5">
        <f t="shared" ref="G152:AF152" si="65">G148*24</f>
        <v>0</v>
      </c>
      <c r="H152" s="5">
        <f t="shared" si="65"/>
        <v>0</v>
      </c>
      <c r="I152" s="5">
        <f t="shared" si="65"/>
        <v>0</v>
      </c>
      <c r="J152" s="5">
        <f t="shared" si="65"/>
        <v>0</v>
      </c>
      <c r="K152" s="5">
        <f t="shared" si="65"/>
        <v>0</v>
      </c>
      <c r="L152" s="5">
        <f t="shared" si="65"/>
        <v>0</v>
      </c>
      <c r="M152" s="5">
        <f t="shared" si="65"/>
        <v>0</v>
      </c>
      <c r="N152" s="5">
        <f t="shared" si="65"/>
        <v>0</v>
      </c>
      <c r="O152" s="5">
        <f t="shared" si="65"/>
        <v>0</v>
      </c>
      <c r="P152" s="5">
        <f t="shared" si="65"/>
        <v>0</v>
      </c>
      <c r="Q152" s="5">
        <f t="shared" si="65"/>
        <v>0</v>
      </c>
      <c r="R152" s="5">
        <f t="shared" si="65"/>
        <v>0</v>
      </c>
      <c r="S152" s="5">
        <f t="shared" si="65"/>
        <v>0</v>
      </c>
      <c r="T152" s="5">
        <f t="shared" si="65"/>
        <v>0</v>
      </c>
      <c r="U152" s="5">
        <f t="shared" si="65"/>
        <v>0</v>
      </c>
      <c r="V152" s="5">
        <f t="shared" si="65"/>
        <v>0</v>
      </c>
      <c r="W152" s="5">
        <f t="shared" si="65"/>
        <v>0</v>
      </c>
      <c r="X152" s="5">
        <f t="shared" si="65"/>
        <v>0</v>
      </c>
      <c r="Y152" s="5">
        <f t="shared" si="65"/>
        <v>0</v>
      </c>
      <c r="Z152" s="5">
        <f t="shared" si="65"/>
        <v>0</v>
      </c>
      <c r="AA152" s="5">
        <f t="shared" si="65"/>
        <v>0</v>
      </c>
      <c r="AB152" s="5">
        <f t="shared" si="65"/>
        <v>0</v>
      </c>
      <c r="AC152" s="5">
        <f t="shared" si="65"/>
        <v>0</v>
      </c>
      <c r="AD152" s="5">
        <f t="shared" si="65"/>
        <v>0</v>
      </c>
      <c r="AE152" s="5">
        <f t="shared" si="65"/>
        <v>0</v>
      </c>
      <c r="AF152" s="5">
        <f t="shared" si="65"/>
        <v>0</v>
      </c>
      <c r="AG152" s="5">
        <f>AG148*24</f>
        <v>0</v>
      </c>
      <c r="AH152" s="5">
        <f>AH148*24</f>
        <v>0</v>
      </c>
      <c r="AI152" s="5">
        <f>AI148*24</f>
        <v>0</v>
      </c>
      <c r="AJ152" s="44">
        <f>AJ148*24</f>
        <v>0</v>
      </c>
      <c r="AK152" s="16"/>
      <c r="AL152" s="131">
        <f>AL148*24</f>
        <v>0</v>
      </c>
      <c r="DD152" s="13"/>
    </row>
    <row r="153" spans="2:108 15074:15466" s="1" customFormat="1" ht="13.8" x14ac:dyDescent="0.25">
      <c r="B153" s="149"/>
      <c r="C153" s="102" t="s">
        <v>30</v>
      </c>
      <c r="D153" s="145"/>
      <c r="E153" s="26" t="s">
        <v>32</v>
      </c>
      <c r="F153" s="5">
        <f>F149*12</f>
        <v>0</v>
      </c>
      <c r="G153" s="5">
        <f t="shared" ref="G153:AJ154" si="66">G149*12</f>
        <v>0</v>
      </c>
      <c r="H153" s="5">
        <f t="shared" si="66"/>
        <v>0</v>
      </c>
      <c r="I153" s="5">
        <f t="shared" si="66"/>
        <v>0</v>
      </c>
      <c r="J153" s="5">
        <f t="shared" si="66"/>
        <v>0</v>
      </c>
      <c r="K153" s="5">
        <f t="shared" si="66"/>
        <v>0</v>
      </c>
      <c r="L153" s="5">
        <f t="shared" si="66"/>
        <v>0</v>
      </c>
      <c r="M153" s="5">
        <f t="shared" si="66"/>
        <v>0</v>
      </c>
      <c r="N153" s="5">
        <f t="shared" si="66"/>
        <v>0</v>
      </c>
      <c r="O153" s="5">
        <f t="shared" si="66"/>
        <v>0</v>
      </c>
      <c r="P153" s="5">
        <f t="shared" si="66"/>
        <v>0</v>
      </c>
      <c r="Q153" s="5">
        <f t="shared" si="66"/>
        <v>0</v>
      </c>
      <c r="R153" s="5">
        <f t="shared" si="66"/>
        <v>0</v>
      </c>
      <c r="S153" s="5">
        <f t="shared" si="66"/>
        <v>0</v>
      </c>
      <c r="T153" s="5">
        <f t="shared" si="66"/>
        <v>0</v>
      </c>
      <c r="U153" s="5">
        <f t="shared" si="66"/>
        <v>0</v>
      </c>
      <c r="V153" s="5">
        <f t="shared" si="66"/>
        <v>0</v>
      </c>
      <c r="W153" s="5">
        <f t="shared" si="66"/>
        <v>0</v>
      </c>
      <c r="X153" s="5">
        <f t="shared" si="66"/>
        <v>0</v>
      </c>
      <c r="Y153" s="5">
        <f t="shared" si="66"/>
        <v>0</v>
      </c>
      <c r="Z153" s="5">
        <f t="shared" si="66"/>
        <v>0</v>
      </c>
      <c r="AA153" s="5">
        <f t="shared" si="66"/>
        <v>0</v>
      </c>
      <c r="AB153" s="5">
        <f t="shared" si="66"/>
        <v>0</v>
      </c>
      <c r="AC153" s="5">
        <f t="shared" si="66"/>
        <v>0</v>
      </c>
      <c r="AD153" s="5">
        <f t="shared" si="66"/>
        <v>0</v>
      </c>
      <c r="AE153" s="5">
        <f t="shared" si="66"/>
        <v>0</v>
      </c>
      <c r="AF153" s="5">
        <f t="shared" si="66"/>
        <v>0</v>
      </c>
      <c r="AG153" s="5">
        <f t="shared" si="66"/>
        <v>0</v>
      </c>
      <c r="AH153" s="5">
        <f t="shared" si="66"/>
        <v>0</v>
      </c>
      <c r="AI153" s="5">
        <f t="shared" si="66"/>
        <v>0</v>
      </c>
      <c r="AJ153" s="44">
        <f t="shared" si="66"/>
        <v>0</v>
      </c>
      <c r="AK153" s="16"/>
      <c r="AL153" s="131">
        <f>AL149*12</f>
        <v>0</v>
      </c>
      <c r="DD153" s="13"/>
    </row>
    <row r="154" spans="2:108 15074:15466" s="1" customFormat="1" ht="13.8" x14ac:dyDescent="0.25">
      <c r="B154" s="149"/>
      <c r="C154" s="102" t="s">
        <v>42</v>
      </c>
      <c r="D154" s="145"/>
      <c r="E154" s="26" t="s">
        <v>32</v>
      </c>
      <c r="F154" s="5">
        <f>F150*6</f>
        <v>0</v>
      </c>
      <c r="G154" s="5">
        <f t="shared" ref="G154:AC154" si="67">G150*6</f>
        <v>0</v>
      </c>
      <c r="H154" s="5">
        <f t="shared" si="67"/>
        <v>0</v>
      </c>
      <c r="I154" s="5">
        <f t="shared" si="67"/>
        <v>0</v>
      </c>
      <c r="J154" s="5">
        <f t="shared" si="67"/>
        <v>0</v>
      </c>
      <c r="K154" s="5">
        <f t="shared" si="67"/>
        <v>0</v>
      </c>
      <c r="L154" s="5">
        <f t="shared" si="67"/>
        <v>0</v>
      </c>
      <c r="M154" s="5">
        <f t="shared" si="67"/>
        <v>0</v>
      </c>
      <c r="N154" s="5">
        <f t="shared" si="67"/>
        <v>0</v>
      </c>
      <c r="O154" s="5">
        <f t="shared" si="67"/>
        <v>0</v>
      </c>
      <c r="P154" s="5">
        <f t="shared" si="67"/>
        <v>0</v>
      </c>
      <c r="Q154" s="5">
        <f t="shared" si="67"/>
        <v>0</v>
      </c>
      <c r="R154" s="5">
        <f t="shared" si="67"/>
        <v>0</v>
      </c>
      <c r="S154" s="5">
        <f t="shared" si="67"/>
        <v>0</v>
      </c>
      <c r="T154" s="5">
        <f t="shared" si="67"/>
        <v>0</v>
      </c>
      <c r="U154" s="5">
        <f t="shared" si="67"/>
        <v>0</v>
      </c>
      <c r="V154" s="5">
        <f t="shared" si="67"/>
        <v>0</v>
      </c>
      <c r="W154" s="5">
        <f t="shared" si="67"/>
        <v>0</v>
      </c>
      <c r="X154" s="5">
        <f t="shared" si="67"/>
        <v>0</v>
      </c>
      <c r="Y154" s="5">
        <f t="shared" si="67"/>
        <v>0</v>
      </c>
      <c r="Z154" s="5">
        <f t="shared" si="67"/>
        <v>0</v>
      </c>
      <c r="AA154" s="5">
        <f t="shared" si="67"/>
        <v>0</v>
      </c>
      <c r="AB154" s="5">
        <f t="shared" si="67"/>
        <v>0</v>
      </c>
      <c r="AC154" s="5">
        <f t="shared" si="67"/>
        <v>0</v>
      </c>
      <c r="AD154" s="5">
        <f t="shared" si="66"/>
        <v>0</v>
      </c>
      <c r="AE154" s="5">
        <f t="shared" si="66"/>
        <v>0</v>
      </c>
      <c r="AF154" s="5">
        <f t="shared" si="66"/>
        <v>0</v>
      </c>
      <c r="AG154" s="5">
        <f t="shared" si="66"/>
        <v>0</v>
      </c>
      <c r="AH154" s="5">
        <f t="shared" si="66"/>
        <v>0</v>
      </c>
      <c r="AI154" s="5">
        <f t="shared" si="66"/>
        <v>0</v>
      </c>
      <c r="AJ154" s="44">
        <f t="shared" si="66"/>
        <v>0</v>
      </c>
      <c r="AK154" s="16"/>
      <c r="AL154" s="131">
        <f>AL150*6</f>
        <v>0</v>
      </c>
      <c r="DD154" s="13"/>
    </row>
    <row r="155" spans="2:108 15074:15466" s="1" customFormat="1" x14ac:dyDescent="0.3">
      <c r="B155" s="149"/>
      <c r="C155" s="101" t="s">
        <v>41</v>
      </c>
      <c r="D155" s="145"/>
      <c r="E155" s="26" t="s">
        <v>40</v>
      </c>
      <c r="F155" s="5">
        <f>F144*45/1700</f>
        <v>0</v>
      </c>
      <c r="G155" s="5">
        <f t="shared" ref="G155:AF155" si="68">G144*45/1700</f>
        <v>0</v>
      </c>
      <c r="H155" s="5">
        <f t="shared" si="68"/>
        <v>0</v>
      </c>
      <c r="I155" s="5">
        <f t="shared" si="68"/>
        <v>0</v>
      </c>
      <c r="J155" s="5">
        <f t="shared" si="68"/>
        <v>0</v>
      </c>
      <c r="K155" s="5">
        <f t="shared" si="68"/>
        <v>0</v>
      </c>
      <c r="L155" s="5">
        <f t="shared" si="68"/>
        <v>0</v>
      </c>
      <c r="M155" s="5">
        <f t="shared" si="68"/>
        <v>0</v>
      </c>
      <c r="N155" s="5">
        <f t="shared" si="68"/>
        <v>0</v>
      </c>
      <c r="O155" s="5">
        <f t="shared" si="68"/>
        <v>0</v>
      </c>
      <c r="P155" s="5">
        <f t="shared" si="68"/>
        <v>0</v>
      </c>
      <c r="Q155" s="5">
        <f t="shared" si="68"/>
        <v>0</v>
      </c>
      <c r="R155" s="5">
        <f t="shared" si="68"/>
        <v>0</v>
      </c>
      <c r="S155" s="5">
        <f t="shared" si="68"/>
        <v>0</v>
      </c>
      <c r="T155" s="5">
        <f t="shared" si="68"/>
        <v>0</v>
      </c>
      <c r="U155" s="5">
        <f>U144*45/1700</f>
        <v>0</v>
      </c>
      <c r="V155" s="5">
        <f t="shared" si="68"/>
        <v>0</v>
      </c>
      <c r="W155" s="5">
        <f t="shared" si="68"/>
        <v>0</v>
      </c>
      <c r="X155" s="5">
        <f t="shared" si="68"/>
        <v>0</v>
      </c>
      <c r="Y155" s="5">
        <f t="shared" si="68"/>
        <v>0</v>
      </c>
      <c r="Z155" s="5">
        <f t="shared" si="68"/>
        <v>0</v>
      </c>
      <c r="AA155" s="5">
        <f t="shared" si="68"/>
        <v>0</v>
      </c>
      <c r="AB155" s="5">
        <f t="shared" si="68"/>
        <v>0</v>
      </c>
      <c r="AC155" s="5">
        <f t="shared" si="68"/>
        <v>0</v>
      </c>
      <c r="AD155" s="5">
        <f t="shared" si="68"/>
        <v>0</v>
      </c>
      <c r="AE155" s="5">
        <f t="shared" si="68"/>
        <v>0</v>
      </c>
      <c r="AF155" s="5">
        <f t="shared" si="68"/>
        <v>0</v>
      </c>
      <c r="AG155" s="5">
        <f>AG144*45/1700</f>
        <v>0</v>
      </c>
      <c r="AH155" s="5">
        <f>AH144*45/1700</f>
        <v>0</v>
      </c>
      <c r="AI155" s="5">
        <f>AI144*45/1700</f>
        <v>0</v>
      </c>
      <c r="AJ155" s="44">
        <f>AJ144*45/1700</f>
        <v>0</v>
      </c>
      <c r="AK155" s="16"/>
      <c r="AL155" s="131">
        <f>SUM(F155:AJ155)</f>
        <v>0</v>
      </c>
      <c r="DD155" s="13"/>
    </row>
    <row r="156" spans="2:108 15074:15466" s="1" customFormat="1" x14ac:dyDescent="0.3">
      <c r="B156" s="149"/>
      <c r="C156" s="101" t="s">
        <v>39</v>
      </c>
      <c r="D156" s="145"/>
      <c r="E156" s="26" t="s">
        <v>38</v>
      </c>
      <c r="F156" s="5">
        <f t="shared" ref="F156:AF156" si="69">SUM(F148:F150)/500</f>
        <v>0</v>
      </c>
      <c r="G156" s="5">
        <f t="shared" si="69"/>
        <v>0</v>
      </c>
      <c r="H156" s="5">
        <f t="shared" si="69"/>
        <v>0</v>
      </c>
      <c r="I156" s="5">
        <f t="shared" si="69"/>
        <v>0</v>
      </c>
      <c r="J156" s="5">
        <f t="shared" si="69"/>
        <v>0</v>
      </c>
      <c r="K156" s="5">
        <f t="shared" si="69"/>
        <v>0</v>
      </c>
      <c r="L156" s="5">
        <f t="shared" si="69"/>
        <v>0</v>
      </c>
      <c r="M156" s="5">
        <f t="shared" si="69"/>
        <v>0</v>
      </c>
      <c r="N156" s="5">
        <f t="shared" si="69"/>
        <v>0</v>
      </c>
      <c r="O156" s="5">
        <f t="shared" si="69"/>
        <v>0</v>
      </c>
      <c r="P156" s="5">
        <f t="shared" si="69"/>
        <v>0</v>
      </c>
      <c r="Q156" s="5">
        <f t="shared" si="69"/>
        <v>0</v>
      </c>
      <c r="R156" s="5">
        <f t="shared" si="69"/>
        <v>0</v>
      </c>
      <c r="S156" s="5">
        <f t="shared" si="69"/>
        <v>0</v>
      </c>
      <c r="T156" s="5">
        <f t="shared" si="69"/>
        <v>0</v>
      </c>
      <c r="U156" s="5">
        <f>SUM(U148:U150)/500</f>
        <v>0</v>
      </c>
      <c r="V156" s="5">
        <f t="shared" si="69"/>
        <v>0</v>
      </c>
      <c r="W156" s="5">
        <f t="shared" si="69"/>
        <v>0</v>
      </c>
      <c r="X156" s="5">
        <f t="shared" si="69"/>
        <v>0</v>
      </c>
      <c r="Y156" s="5">
        <f t="shared" si="69"/>
        <v>0</v>
      </c>
      <c r="Z156" s="5">
        <f t="shared" si="69"/>
        <v>0</v>
      </c>
      <c r="AA156" s="5">
        <f t="shared" si="69"/>
        <v>0</v>
      </c>
      <c r="AB156" s="5">
        <f t="shared" si="69"/>
        <v>0</v>
      </c>
      <c r="AC156" s="5">
        <f t="shared" si="69"/>
        <v>0</v>
      </c>
      <c r="AD156" s="5">
        <f t="shared" si="69"/>
        <v>0</v>
      </c>
      <c r="AE156" s="5">
        <f t="shared" si="69"/>
        <v>0</v>
      </c>
      <c r="AF156" s="5">
        <f t="shared" si="69"/>
        <v>0</v>
      </c>
      <c r="AG156" s="5">
        <f>SUM(AG148:AG150)/500</f>
        <v>0</v>
      </c>
      <c r="AH156" s="5">
        <f>SUM(AH148:AH150)/500</f>
        <v>0</v>
      </c>
      <c r="AI156" s="5">
        <f>SUM(AI148:AI150)/500</f>
        <v>0</v>
      </c>
      <c r="AJ156" s="44">
        <f>SUM(AJ148:AJ150)/500</f>
        <v>0</v>
      </c>
      <c r="AK156" s="16"/>
      <c r="AL156" s="131">
        <f>SUM(F156:AJ156)</f>
        <v>0</v>
      </c>
      <c r="DD156" s="13"/>
    </row>
    <row r="157" spans="2:108 15074:15466" s="1" customFormat="1" x14ac:dyDescent="0.3">
      <c r="B157" s="97"/>
      <c r="C157" s="99" t="s">
        <v>37</v>
      </c>
      <c r="D157" s="115"/>
      <c r="E157" s="41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116"/>
      <c r="AD157" s="24"/>
      <c r="AE157" s="24"/>
      <c r="AF157" s="24"/>
      <c r="AG157" s="77"/>
      <c r="AH157" s="77"/>
      <c r="AI157" s="77"/>
      <c r="AJ157" s="85"/>
      <c r="AK157" s="117"/>
      <c r="AL157" s="182" t="s">
        <v>34</v>
      </c>
      <c r="DD157" s="3"/>
      <c r="VGT157"/>
      <c r="VGU157"/>
      <c r="VGV157"/>
      <c r="VGW157"/>
      <c r="VGX157"/>
      <c r="VGY157"/>
      <c r="VGZ157"/>
      <c r="VHA157"/>
      <c r="VHB157"/>
      <c r="VHC157"/>
      <c r="VHD157"/>
      <c r="VHE157"/>
      <c r="VHF157"/>
      <c r="VHG157"/>
      <c r="VHH157"/>
      <c r="VHI157"/>
      <c r="VHJ157"/>
      <c r="VHK157"/>
      <c r="VHL157"/>
      <c r="VHM157"/>
      <c r="VHN157"/>
      <c r="VHO157"/>
      <c r="VHP157"/>
      <c r="VHQ157"/>
      <c r="VHR157"/>
      <c r="VHS157"/>
      <c r="VHT157"/>
      <c r="VHU157"/>
      <c r="VHV157"/>
      <c r="VHW157"/>
      <c r="VHX157"/>
      <c r="VHY157"/>
      <c r="VHZ157"/>
      <c r="VIA157"/>
      <c r="VIB157"/>
      <c r="VIC157"/>
      <c r="VID157"/>
      <c r="VIE157"/>
      <c r="VIF157"/>
      <c r="VIG157"/>
      <c r="VIH157"/>
      <c r="VII157"/>
      <c r="VIJ157"/>
      <c r="VIK157"/>
      <c r="VIL157"/>
      <c r="VIM157"/>
      <c r="VIN157"/>
      <c r="VIO157"/>
      <c r="VIP157"/>
      <c r="VIQ157"/>
      <c r="VIR157"/>
      <c r="VIS157"/>
      <c r="VIT157"/>
      <c r="VIU157"/>
      <c r="VIV157"/>
      <c r="VIW157"/>
      <c r="VIX157"/>
      <c r="VIY157"/>
      <c r="VIZ157"/>
      <c r="VJA157"/>
      <c r="VJB157"/>
      <c r="VJC157"/>
      <c r="VJD157"/>
      <c r="VJE157"/>
      <c r="VJF157"/>
      <c r="VJG157"/>
      <c r="VJH157"/>
      <c r="VJI157"/>
      <c r="VJJ157"/>
      <c r="VJK157"/>
      <c r="VJL157"/>
      <c r="VJM157"/>
      <c r="VJN157"/>
      <c r="VJO157"/>
      <c r="VJP157"/>
      <c r="VJQ157"/>
      <c r="VJR157"/>
      <c r="VJS157"/>
      <c r="VJT157"/>
      <c r="VJU157"/>
      <c r="VJV157"/>
      <c r="VJW157"/>
      <c r="VJX157"/>
      <c r="VJY157"/>
      <c r="VJZ157"/>
      <c r="VKA157"/>
      <c r="VKB157"/>
      <c r="VKC157"/>
      <c r="VKD157"/>
      <c r="VKE157"/>
      <c r="VKF157"/>
      <c r="VKG157"/>
      <c r="VKH157"/>
      <c r="VKI157"/>
      <c r="VKJ157"/>
      <c r="VKK157"/>
      <c r="VKL157"/>
      <c r="VKM157"/>
      <c r="VKN157"/>
      <c r="VKO157"/>
      <c r="VKP157"/>
      <c r="VKQ157"/>
      <c r="VKR157"/>
      <c r="VKS157"/>
      <c r="VKT157"/>
      <c r="VKU157"/>
      <c r="VKV157"/>
      <c r="VKW157"/>
      <c r="VKX157"/>
      <c r="VKY157"/>
      <c r="VKZ157"/>
      <c r="VLA157"/>
      <c r="VLB157"/>
      <c r="VLC157"/>
      <c r="VLD157"/>
      <c r="VLE157"/>
      <c r="VLF157"/>
      <c r="VLG157"/>
      <c r="VLH157"/>
      <c r="VLI157"/>
      <c r="VLJ157"/>
      <c r="VLK157"/>
      <c r="VLL157"/>
      <c r="VLM157"/>
      <c r="VLN157"/>
      <c r="VLO157"/>
      <c r="VLP157"/>
      <c r="VLQ157"/>
      <c r="VLR157"/>
      <c r="VLS157"/>
      <c r="VLT157"/>
      <c r="VLU157"/>
      <c r="VLV157"/>
      <c r="VLW157"/>
      <c r="VLX157"/>
      <c r="VLY157"/>
      <c r="VLZ157"/>
      <c r="VMA157"/>
      <c r="VMB157"/>
      <c r="VMC157"/>
      <c r="VMD157"/>
      <c r="VME157"/>
      <c r="VMF157"/>
      <c r="VMG157"/>
      <c r="VMH157"/>
      <c r="VMI157"/>
      <c r="VMJ157"/>
      <c r="VMK157"/>
      <c r="VML157"/>
      <c r="VMM157"/>
      <c r="VMN157"/>
      <c r="VMO157"/>
      <c r="VMP157"/>
      <c r="VMQ157"/>
      <c r="VMR157"/>
      <c r="VMS157"/>
      <c r="VMT157"/>
      <c r="VMU157"/>
      <c r="VMV157"/>
      <c r="VMW157"/>
      <c r="VMX157"/>
      <c r="VMY157"/>
      <c r="VMZ157"/>
      <c r="VNA157"/>
      <c r="VNB157"/>
      <c r="VNC157"/>
      <c r="VND157"/>
      <c r="VNE157"/>
      <c r="VNF157"/>
      <c r="VNG157"/>
      <c r="VNH157"/>
      <c r="VNI157"/>
      <c r="VNJ157"/>
      <c r="VNK157"/>
      <c r="VNL157"/>
      <c r="VNM157"/>
      <c r="VNN157"/>
      <c r="VNO157"/>
      <c r="VNP157"/>
      <c r="VNQ157"/>
      <c r="VNR157"/>
      <c r="VNS157"/>
      <c r="VNT157"/>
      <c r="VNU157"/>
      <c r="VNV157"/>
      <c r="VNW157"/>
      <c r="VNX157"/>
      <c r="VNY157"/>
      <c r="VNZ157"/>
      <c r="VOA157"/>
      <c r="VOB157"/>
      <c r="VOC157"/>
      <c r="VOD157"/>
      <c r="VOE157"/>
      <c r="VOF157"/>
      <c r="VOG157"/>
      <c r="VOH157"/>
      <c r="VOI157"/>
      <c r="VOJ157"/>
      <c r="VOK157"/>
      <c r="VOL157"/>
      <c r="VOM157"/>
      <c r="VON157"/>
      <c r="VOO157"/>
      <c r="VOP157"/>
      <c r="VOQ157"/>
      <c r="VOR157"/>
      <c r="VOS157"/>
      <c r="VOT157"/>
      <c r="VOU157"/>
      <c r="VOV157"/>
      <c r="VOW157"/>
      <c r="VOX157"/>
      <c r="VOY157"/>
      <c r="VOZ157"/>
      <c r="VPA157"/>
      <c r="VPB157"/>
      <c r="VPC157"/>
      <c r="VPD157"/>
      <c r="VPE157"/>
      <c r="VPF157"/>
      <c r="VPG157"/>
      <c r="VPH157"/>
      <c r="VPI157"/>
      <c r="VPJ157"/>
      <c r="VPK157"/>
      <c r="VPL157"/>
      <c r="VPM157"/>
      <c r="VPN157"/>
      <c r="VPO157"/>
      <c r="VPP157"/>
      <c r="VPQ157"/>
      <c r="VPR157"/>
      <c r="VPS157"/>
      <c r="VPT157"/>
      <c r="VPU157"/>
      <c r="VPV157"/>
      <c r="VPW157"/>
      <c r="VPX157"/>
      <c r="VPY157"/>
      <c r="VPZ157"/>
      <c r="VQA157"/>
      <c r="VQB157"/>
      <c r="VQC157"/>
      <c r="VQD157"/>
      <c r="VQE157"/>
      <c r="VQF157"/>
      <c r="VQG157"/>
      <c r="VQH157"/>
      <c r="VQI157"/>
      <c r="VQJ157"/>
      <c r="VQK157"/>
      <c r="VQL157"/>
      <c r="VQM157"/>
      <c r="VQN157"/>
      <c r="VQO157"/>
      <c r="VQP157"/>
      <c r="VQQ157"/>
      <c r="VQR157"/>
      <c r="VQS157"/>
      <c r="VQT157"/>
      <c r="VQU157"/>
      <c r="VQV157"/>
      <c r="VQW157"/>
      <c r="VQX157"/>
      <c r="VQY157"/>
      <c r="VQZ157"/>
      <c r="VRA157"/>
      <c r="VRB157"/>
      <c r="VRC157"/>
      <c r="VRD157"/>
      <c r="VRE157"/>
      <c r="VRF157"/>
      <c r="VRG157"/>
      <c r="VRH157"/>
      <c r="VRI157"/>
      <c r="VRJ157"/>
      <c r="VRK157"/>
      <c r="VRL157"/>
      <c r="VRM157"/>
      <c r="VRN157"/>
      <c r="VRO157"/>
      <c r="VRP157"/>
      <c r="VRQ157"/>
      <c r="VRR157"/>
      <c r="VRS157"/>
      <c r="VRT157"/>
      <c r="VRU157"/>
      <c r="VRV157"/>
      <c r="VRW157"/>
      <c r="VRX157"/>
      <c r="VRY157"/>
      <c r="VRZ157"/>
      <c r="VSA157"/>
      <c r="VSB157"/>
      <c r="VSC157"/>
      <c r="VSD157"/>
      <c r="VSE157"/>
      <c r="VSF157"/>
      <c r="VSG157"/>
      <c r="VSH157"/>
      <c r="VSI157"/>
      <c r="VSJ157"/>
      <c r="VSK157"/>
      <c r="VSL157"/>
      <c r="VSM157"/>
      <c r="VSN157"/>
      <c r="VSO157"/>
      <c r="VSP157"/>
      <c r="VSQ157"/>
      <c r="VSR157"/>
      <c r="VSS157"/>
      <c r="VST157"/>
      <c r="VSU157"/>
      <c r="VSV157"/>
      <c r="VSW157"/>
      <c r="VSX157"/>
      <c r="VSY157"/>
      <c r="VSZ157"/>
      <c r="VTA157"/>
      <c r="VTB157"/>
      <c r="VTC157"/>
      <c r="VTD157"/>
      <c r="VTE157"/>
      <c r="VTF157"/>
      <c r="VTG157"/>
      <c r="VTH157"/>
      <c r="VTI157"/>
      <c r="VTJ157"/>
      <c r="VTK157"/>
      <c r="VTL157"/>
      <c r="VTM157"/>
      <c r="VTN157"/>
      <c r="VTO157"/>
      <c r="VTP157"/>
      <c r="VTQ157"/>
      <c r="VTR157"/>
      <c r="VTS157"/>
      <c r="VTT157"/>
      <c r="VTU157"/>
      <c r="VTV157"/>
      <c r="VTW157"/>
      <c r="VTX157"/>
      <c r="VTY157"/>
      <c r="VTZ157"/>
      <c r="VUA157"/>
      <c r="VUB157"/>
      <c r="VUC157"/>
      <c r="VUD157"/>
      <c r="VUE157"/>
      <c r="VUF157"/>
      <c r="VUG157"/>
      <c r="VUH157"/>
      <c r="VUI157"/>
      <c r="VUJ157"/>
      <c r="VUK157"/>
      <c r="VUL157"/>
      <c r="VUM157"/>
      <c r="VUN157"/>
      <c r="VUO157"/>
      <c r="VUP157"/>
      <c r="VUQ157"/>
      <c r="VUR157"/>
      <c r="VUS157"/>
      <c r="VUT157"/>
      <c r="VUU157"/>
      <c r="VUV157"/>
      <c r="VUW157"/>
      <c r="VUX157"/>
      <c r="VUY157"/>
      <c r="VUZ157"/>
      <c r="VVA157"/>
      <c r="VVB157"/>
      <c r="VVC157"/>
      <c r="VVD157"/>
      <c r="VVE157"/>
      <c r="VVF157"/>
      <c r="VVG157"/>
      <c r="VVH157"/>
      <c r="VVI157"/>
      <c r="VVJ157"/>
      <c r="VVK157"/>
      <c r="VVL157"/>
      <c r="VVM157"/>
      <c r="VVN157"/>
      <c r="VVO157"/>
      <c r="VVP157"/>
      <c r="VVQ157"/>
      <c r="VVR157"/>
      <c r="VVS157"/>
      <c r="VVT157"/>
      <c r="VVU157"/>
      <c r="VVV157"/>
    </row>
    <row r="158" spans="2:108 15074:15466" s="1" customFormat="1" x14ac:dyDescent="0.3">
      <c r="B158" s="149"/>
      <c r="C158" s="101" t="s">
        <v>33</v>
      </c>
      <c r="D158" s="145"/>
      <c r="E158" s="21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75"/>
      <c r="AH158" s="75"/>
      <c r="AI158" s="75"/>
      <c r="AJ158" s="44"/>
      <c r="AK158" s="16"/>
      <c r="AL158" s="148" t="s">
        <v>33</v>
      </c>
      <c r="DD158" s="13"/>
    </row>
    <row r="159" spans="2:108 15074:15466" s="1" customFormat="1" ht="13.8" x14ac:dyDescent="0.25">
      <c r="B159" s="149"/>
      <c r="C159" s="102" t="s">
        <v>31</v>
      </c>
      <c r="D159" s="145"/>
      <c r="E159" s="26" t="s">
        <v>36</v>
      </c>
      <c r="F159" s="5">
        <v>0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75"/>
      <c r="AH159" s="75"/>
      <c r="AI159" s="75"/>
      <c r="AJ159" s="44"/>
      <c r="AK159" s="16"/>
      <c r="AL159" s="131">
        <f>SUM(F159:AJ159)</f>
        <v>0</v>
      </c>
      <c r="DD159" s="13"/>
    </row>
    <row r="160" spans="2:108 15074:15466" s="1" customFormat="1" ht="13.8" x14ac:dyDescent="0.25">
      <c r="B160" s="149"/>
      <c r="C160" s="102" t="s">
        <v>30</v>
      </c>
      <c r="D160" s="145"/>
      <c r="E160" s="26" t="s">
        <v>36</v>
      </c>
      <c r="F160" s="5">
        <v>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75"/>
      <c r="AH160" s="75"/>
      <c r="AI160" s="75"/>
      <c r="AJ160" s="44"/>
      <c r="AK160" s="16"/>
      <c r="AL160" s="131">
        <f>SUM(F160:AJ160)</f>
        <v>0</v>
      </c>
      <c r="DD160" s="13"/>
    </row>
    <row r="161" spans="2:108 15074:15466" s="1" customFormat="1" x14ac:dyDescent="0.3">
      <c r="B161" s="149"/>
      <c r="C161" s="101" t="s">
        <v>32</v>
      </c>
      <c r="D161" s="145"/>
      <c r="E161" s="21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75"/>
      <c r="AH161" s="75"/>
      <c r="AI161" s="75"/>
      <c r="AJ161" s="44"/>
      <c r="AK161" s="16"/>
      <c r="AL161" s="148" t="s">
        <v>32</v>
      </c>
      <c r="DD161" s="13"/>
    </row>
    <row r="162" spans="2:108 15074:15466" s="1" customFormat="1" ht="13.8" x14ac:dyDescent="0.25">
      <c r="B162" s="149"/>
      <c r="C162" s="102" t="s">
        <v>31</v>
      </c>
      <c r="D162" s="145"/>
      <c r="E162" s="26" t="s">
        <v>32</v>
      </c>
      <c r="F162" s="25" t="e">
        <f>F155/F146*100</f>
        <v>#DIV/0!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75"/>
      <c r="AH162" s="75"/>
      <c r="AI162" s="75"/>
      <c r="AJ162" s="44"/>
      <c r="AK162" s="16"/>
      <c r="AL162" s="131" t="e">
        <f>SUM(F162:AJ162)</f>
        <v>#DIV/0!</v>
      </c>
      <c r="DD162" s="13"/>
    </row>
    <row r="163" spans="2:108 15074:15466" s="1" customFormat="1" ht="13.8" x14ac:dyDescent="0.25">
      <c r="B163" s="149"/>
      <c r="C163" s="102" t="s">
        <v>30</v>
      </c>
      <c r="D163" s="145"/>
      <c r="E163" s="26" t="s">
        <v>32</v>
      </c>
      <c r="F163" s="25" t="e">
        <f>F156/F147*100</f>
        <v>#DIV/0!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75"/>
      <c r="AH163" s="75"/>
      <c r="AI163" s="75"/>
      <c r="AJ163" s="44"/>
      <c r="AK163" s="16"/>
      <c r="AL163" s="131" t="e">
        <f>SUM(F163:AJ163)</f>
        <v>#DIV/0!</v>
      </c>
      <c r="DD163" s="13"/>
    </row>
    <row r="164" spans="2:108 15074:15466" s="1" customFormat="1" x14ac:dyDescent="0.3">
      <c r="B164" s="97"/>
      <c r="C164" s="99" t="s">
        <v>35</v>
      </c>
      <c r="D164" s="115"/>
      <c r="E164" s="41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116"/>
      <c r="AD164" s="24"/>
      <c r="AE164" s="24"/>
      <c r="AF164" s="24"/>
      <c r="AG164" s="77"/>
      <c r="AH164" s="77"/>
      <c r="AI164" s="77"/>
      <c r="AJ164" s="85"/>
      <c r="AK164" s="117"/>
      <c r="AL164" s="182" t="s">
        <v>34</v>
      </c>
      <c r="DD164" s="3"/>
      <c r="VGT164"/>
      <c r="VGU164"/>
      <c r="VGV164"/>
      <c r="VGW164"/>
      <c r="VGX164"/>
      <c r="VGY164"/>
      <c r="VGZ164"/>
      <c r="VHA164"/>
      <c r="VHB164"/>
      <c r="VHC164"/>
      <c r="VHD164"/>
      <c r="VHE164"/>
      <c r="VHF164"/>
      <c r="VHG164"/>
      <c r="VHH164"/>
      <c r="VHI164"/>
      <c r="VHJ164"/>
      <c r="VHK164"/>
      <c r="VHL164"/>
      <c r="VHM164"/>
      <c r="VHN164"/>
      <c r="VHO164"/>
      <c r="VHP164"/>
      <c r="VHQ164"/>
      <c r="VHR164"/>
      <c r="VHS164"/>
      <c r="VHT164"/>
      <c r="VHU164"/>
      <c r="VHV164"/>
      <c r="VHW164"/>
      <c r="VHX164"/>
      <c r="VHY164"/>
      <c r="VHZ164"/>
      <c r="VIA164"/>
      <c r="VIB164"/>
      <c r="VIC164"/>
      <c r="VID164"/>
      <c r="VIE164"/>
      <c r="VIF164"/>
      <c r="VIG164"/>
      <c r="VIH164"/>
      <c r="VII164"/>
      <c r="VIJ164"/>
      <c r="VIK164"/>
      <c r="VIL164"/>
      <c r="VIM164"/>
      <c r="VIN164"/>
      <c r="VIO164"/>
      <c r="VIP164"/>
      <c r="VIQ164"/>
      <c r="VIR164"/>
      <c r="VIS164"/>
      <c r="VIT164"/>
      <c r="VIU164"/>
      <c r="VIV164"/>
      <c r="VIW164"/>
      <c r="VIX164"/>
      <c r="VIY164"/>
      <c r="VIZ164"/>
      <c r="VJA164"/>
      <c r="VJB164"/>
      <c r="VJC164"/>
      <c r="VJD164"/>
      <c r="VJE164"/>
      <c r="VJF164"/>
      <c r="VJG164"/>
      <c r="VJH164"/>
      <c r="VJI164"/>
      <c r="VJJ164"/>
      <c r="VJK164"/>
      <c r="VJL164"/>
      <c r="VJM164"/>
      <c r="VJN164"/>
      <c r="VJO164"/>
      <c r="VJP164"/>
      <c r="VJQ164"/>
      <c r="VJR164"/>
      <c r="VJS164"/>
      <c r="VJT164"/>
      <c r="VJU164"/>
      <c r="VJV164"/>
      <c r="VJW164"/>
      <c r="VJX164"/>
      <c r="VJY164"/>
      <c r="VJZ164"/>
      <c r="VKA164"/>
      <c r="VKB164"/>
      <c r="VKC164"/>
      <c r="VKD164"/>
      <c r="VKE164"/>
      <c r="VKF164"/>
      <c r="VKG164"/>
      <c r="VKH164"/>
      <c r="VKI164"/>
      <c r="VKJ164"/>
      <c r="VKK164"/>
      <c r="VKL164"/>
      <c r="VKM164"/>
      <c r="VKN164"/>
      <c r="VKO164"/>
      <c r="VKP164"/>
      <c r="VKQ164"/>
      <c r="VKR164"/>
      <c r="VKS164"/>
      <c r="VKT164"/>
      <c r="VKU164"/>
      <c r="VKV164"/>
      <c r="VKW164"/>
      <c r="VKX164"/>
      <c r="VKY164"/>
      <c r="VKZ164"/>
      <c r="VLA164"/>
      <c r="VLB164"/>
      <c r="VLC164"/>
      <c r="VLD164"/>
      <c r="VLE164"/>
      <c r="VLF164"/>
      <c r="VLG164"/>
      <c r="VLH164"/>
      <c r="VLI164"/>
      <c r="VLJ164"/>
      <c r="VLK164"/>
      <c r="VLL164"/>
      <c r="VLM164"/>
      <c r="VLN164"/>
      <c r="VLO164"/>
      <c r="VLP164"/>
      <c r="VLQ164"/>
      <c r="VLR164"/>
      <c r="VLS164"/>
      <c r="VLT164"/>
      <c r="VLU164"/>
      <c r="VLV164"/>
      <c r="VLW164"/>
      <c r="VLX164"/>
      <c r="VLY164"/>
      <c r="VLZ164"/>
      <c r="VMA164"/>
      <c r="VMB164"/>
      <c r="VMC164"/>
      <c r="VMD164"/>
      <c r="VME164"/>
      <c r="VMF164"/>
      <c r="VMG164"/>
      <c r="VMH164"/>
      <c r="VMI164"/>
      <c r="VMJ164"/>
      <c r="VMK164"/>
      <c r="VML164"/>
      <c r="VMM164"/>
      <c r="VMN164"/>
      <c r="VMO164"/>
      <c r="VMP164"/>
      <c r="VMQ164"/>
      <c r="VMR164"/>
      <c r="VMS164"/>
      <c r="VMT164"/>
      <c r="VMU164"/>
      <c r="VMV164"/>
      <c r="VMW164"/>
      <c r="VMX164"/>
      <c r="VMY164"/>
      <c r="VMZ164"/>
      <c r="VNA164"/>
      <c r="VNB164"/>
      <c r="VNC164"/>
      <c r="VND164"/>
      <c r="VNE164"/>
      <c r="VNF164"/>
      <c r="VNG164"/>
      <c r="VNH164"/>
      <c r="VNI164"/>
      <c r="VNJ164"/>
      <c r="VNK164"/>
      <c r="VNL164"/>
      <c r="VNM164"/>
      <c r="VNN164"/>
      <c r="VNO164"/>
      <c r="VNP164"/>
      <c r="VNQ164"/>
      <c r="VNR164"/>
      <c r="VNS164"/>
      <c r="VNT164"/>
      <c r="VNU164"/>
      <c r="VNV164"/>
      <c r="VNW164"/>
      <c r="VNX164"/>
      <c r="VNY164"/>
      <c r="VNZ164"/>
      <c r="VOA164"/>
      <c r="VOB164"/>
      <c r="VOC164"/>
      <c r="VOD164"/>
      <c r="VOE164"/>
      <c r="VOF164"/>
      <c r="VOG164"/>
      <c r="VOH164"/>
      <c r="VOI164"/>
      <c r="VOJ164"/>
      <c r="VOK164"/>
      <c r="VOL164"/>
      <c r="VOM164"/>
      <c r="VON164"/>
      <c r="VOO164"/>
      <c r="VOP164"/>
      <c r="VOQ164"/>
      <c r="VOR164"/>
      <c r="VOS164"/>
      <c r="VOT164"/>
      <c r="VOU164"/>
      <c r="VOV164"/>
      <c r="VOW164"/>
      <c r="VOX164"/>
      <c r="VOY164"/>
      <c r="VOZ164"/>
      <c r="VPA164"/>
      <c r="VPB164"/>
      <c r="VPC164"/>
      <c r="VPD164"/>
      <c r="VPE164"/>
      <c r="VPF164"/>
      <c r="VPG164"/>
      <c r="VPH164"/>
      <c r="VPI164"/>
      <c r="VPJ164"/>
      <c r="VPK164"/>
      <c r="VPL164"/>
      <c r="VPM164"/>
      <c r="VPN164"/>
      <c r="VPO164"/>
      <c r="VPP164"/>
      <c r="VPQ164"/>
      <c r="VPR164"/>
      <c r="VPS164"/>
      <c r="VPT164"/>
      <c r="VPU164"/>
      <c r="VPV164"/>
      <c r="VPW164"/>
      <c r="VPX164"/>
      <c r="VPY164"/>
      <c r="VPZ164"/>
      <c r="VQA164"/>
      <c r="VQB164"/>
      <c r="VQC164"/>
      <c r="VQD164"/>
      <c r="VQE164"/>
      <c r="VQF164"/>
      <c r="VQG164"/>
      <c r="VQH164"/>
      <c r="VQI164"/>
      <c r="VQJ164"/>
      <c r="VQK164"/>
      <c r="VQL164"/>
      <c r="VQM164"/>
      <c r="VQN164"/>
      <c r="VQO164"/>
      <c r="VQP164"/>
      <c r="VQQ164"/>
      <c r="VQR164"/>
      <c r="VQS164"/>
      <c r="VQT164"/>
      <c r="VQU164"/>
      <c r="VQV164"/>
      <c r="VQW164"/>
      <c r="VQX164"/>
      <c r="VQY164"/>
      <c r="VQZ164"/>
      <c r="VRA164"/>
      <c r="VRB164"/>
      <c r="VRC164"/>
      <c r="VRD164"/>
      <c r="VRE164"/>
      <c r="VRF164"/>
      <c r="VRG164"/>
      <c r="VRH164"/>
      <c r="VRI164"/>
      <c r="VRJ164"/>
      <c r="VRK164"/>
      <c r="VRL164"/>
      <c r="VRM164"/>
      <c r="VRN164"/>
      <c r="VRO164"/>
      <c r="VRP164"/>
      <c r="VRQ164"/>
      <c r="VRR164"/>
      <c r="VRS164"/>
      <c r="VRT164"/>
      <c r="VRU164"/>
      <c r="VRV164"/>
      <c r="VRW164"/>
      <c r="VRX164"/>
      <c r="VRY164"/>
      <c r="VRZ164"/>
      <c r="VSA164"/>
      <c r="VSB164"/>
      <c r="VSC164"/>
      <c r="VSD164"/>
      <c r="VSE164"/>
      <c r="VSF164"/>
      <c r="VSG164"/>
      <c r="VSH164"/>
      <c r="VSI164"/>
      <c r="VSJ164"/>
      <c r="VSK164"/>
      <c r="VSL164"/>
      <c r="VSM164"/>
      <c r="VSN164"/>
      <c r="VSO164"/>
      <c r="VSP164"/>
      <c r="VSQ164"/>
      <c r="VSR164"/>
      <c r="VSS164"/>
      <c r="VST164"/>
      <c r="VSU164"/>
      <c r="VSV164"/>
      <c r="VSW164"/>
      <c r="VSX164"/>
      <c r="VSY164"/>
      <c r="VSZ164"/>
      <c r="VTA164"/>
      <c r="VTB164"/>
      <c r="VTC164"/>
      <c r="VTD164"/>
      <c r="VTE164"/>
      <c r="VTF164"/>
      <c r="VTG164"/>
      <c r="VTH164"/>
      <c r="VTI164"/>
      <c r="VTJ164"/>
      <c r="VTK164"/>
      <c r="VTL164"/>
      <c r="VTM164"/>
      <c r="VTN164"/>
      <c r="VTO164"/>
      <c r="VTP164"/>
      <c r="VTQ164"/>
      <c r="VTR164"/>
      <c r="VTS164"/>
      <c r="VTT164"/>
      <c r="VTU164"/>
      <c r="VTV164"/>
      <c r="VTW164"/>
      <c r="VTX164"/>
      <c r="VTY164"/>
      <c r="VTZ164"/>
      <c r="VUA164"/>
      <c r="VUB164"/>
      <c r="VUC164"/>
      <c r="VUD164"/>
      <c r="VUE164"/>
      <c r="VUF164"/>
      <c r="VUG164"/>
      <c r="VUH164"/>
      <c r="VUI164"/>
      <c r="VUJ164"/>
      <c r="VUK164"/>
      <c r="VUL164"/>
      <c r="VUM164"/>
      <c r="VUN164"/>
      <c r="VUO164"/>
      <c r="VUP164"/>
      <c r="VUQ164"/>
      <c r="VUR164"/>
      <c r="VUS164"/>
      <c r="VUT164"/>
      <c r="VUU164"/>
      <c r="VUV164"/>
      <c r="VUW164"/>
      <c r="VUX164"/>
      <c r="VUY164"/>
      <c r="VUZ164"/>
      <c r="VVA164"/>
      <c r="VVB164"/>
      <c r="VVC164"/>
      <c r="VVD164"/>
      <c r="VVE164"/>
      <c r="VVF164"/>
      <c r="VVG164"/>
      <c r="VVH164"/>
      <c r="VVI164"/>
      <c r="VVJ164"/>
      <c r="VVK164"/>
      <c r="VVL164"/>
      <c r="VVM164"/>
      <c r="VVN164"/>
      <c r="VVO164"/>
      <c r="VVP164"/>
      <c r="VVQ164"/>
      <c r="VVR164"/>
      <c r="VVS164"/>
      <c r="VVT164"/>
      <c r="VVU164"/>
      <c r="VVV164"/>
    </row>
    <row r="165" spans="2:108 15074:15466" s="1" customFormat="1" x14ac:dyDescent="0.3">
      <c r="B165" s="149"/>
      <c r="C165" s="101" t="s">
        <v>33</v>
      </c>
      <c r="D165" s="145"/>
      <c r="E165" s="21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75"/>
      <c r="AH165" s="75"/>
      <c r="AI165" s="75"/>
      <c r="AJ165" s="44"/>
      <c r="AK165" s="16"/>
      <c r="AL165" s="148" t="s">
        <v>33</v>
      </c>
      <c r="DD165" s="13"/>
    </row>
    <row r="166" spans="2:108 15074:15466" s="1" customFormat="1" ht="13.8" x14ac:dyDescent="0.25">
      <c r="B166" s="149"/>
      <c r="C166" s="102" t="s">
        <v>31</v>
      </c>
      <c r="D166" s="34">
        <v>0.3</v>
      </c>
      <c r="E166" s="26" t="s">
        <v>29</v>
      </c>
      <c r="F166" s="28" t="e">
        <f>F159/F148*100</f>
        <v>#DIV/0!</v>
      </c>
      <c r="G166" s="28" t="e">
        <f t="shared" ref="G166:AI166" si="70">G159/G148*100</f>
        <v>#DIV/0!</v>
      </c>
      <c r="H166" s="28" t="e">
        <f t="shared" si="70"/>
        <v>#DIV/0!</v>
      </c>
      <c r="I166" s="28" t="e">
        <f t="shared" si="70"/>
        <v>#DIV/0!</v>
      </c>
      <c r="J166" s="28" t="e">
        <f t="shared" si="70"/>
        <v>#DIV/0!</v>
      </c>
      <c r="K166" s="28" t="e">
        <f t="shared" si="70"/>
        <v>#DIV/0!</v>
      </c>
      <c r="L166" s="28" t="e">
        <f t="shared" si="70"/>
        <v>#DIV/0!</v>
      </c>
      <c r="M166" s="28" t="e">
        <f t="shared" si="70"/>
        <v>#DIV/0!</v>
      </c>
      <c r="N166" s="28" t="e">
        <f t="shared" si="70"/>
        <v>#DIV/0!</v>
      </c>
      <c r="O166" s="28" t="e">
        <f t="shared" si="70"/>
        <v>#DIV/0!</v>
      </c>
      <c r="P166" s="28" t="e">
        <f t="shared" si="70"/>
        <v>#DIV/0!</v>
      </c>
      <c r="Q166" s="28" t="e">
        <f t="shared" si="70"/>
        <v>#DIV/0!</v>
      </c>
      <c r="R166" s="28" t="e">
        <f t="shared" si="70"/>
        <v>#DIV/0!</v>
      </c>
      <c r="S166" s="28" t="e">
        <f t="shared" si="70"/>
        <v>#DIV/0!</v>
      </c>
      <c r="T166" s="28" t="e">
        <f t="shared" si="70"/>
        <v>#DIV/0!</v>
      </c>
      <c r="U166" s="28" t="e">
        <f t="shared" si="70"/>
        <v>#DIV/0!</v>
      </c>
      <c r="V166" s="28" t="e">
        <f t="shared" si="70"/>
        <v>#DIV/0!</v>
      </c>
      <c r="W166" s="28" t="e">
        <f t="shared" si="70"/>
        <v>#DIV/0!</v>
      </c>
      <c r="X166" s="28" t="e">
        <f t="shared" si="70"/>
        <v>#DIV/0!</v>
      </c>
      <c r="Y166" s="28" t="e">
        <f t="shared" si="70"/>
        <v>#DIV/0!</v>
      </c>
      <c r="Z166" s="28" t="e">
        <f t="shared" si="70"/>
        <v>#DIV/0!</v>
      </c>
      <c r="AA166" s="28" t="e">
        <f t="shared" si="70"/>
        <v>#DIV/0!</v>
      </c>
      <c r="AB166" s="28" t="e">
        <f t="shared" si="70"/>
        <v>#DIV/0!</v>
      </c>
      <c r="AC166" s="28" t="e">
        <f t="shared" si="70"/>
        <v>#DIV/0!</v>
      </c>
      <c r="AD166" s="28" t="e">
        <f t="shared" si="70"/>
        <v>#DIV/0!</v>
      </c>
      <c r="AE166" s="28" t="e">
        <f t="shared" si="70"/>
        <v>#DIV/0!</v>
      </c>
      <c r="AF166" s="28" t="e">
        <f t="shared" si="70"/>
        <v>#DIV/0!</v>
      </c>
      <c r="AG166" s="28" t="e">
        <f t="shared" si="70"/>
        <v>#DIV/0!</v>
      </c>
      <c r="AH166" s="28" t="e">
        <f t="shared" si="70"/>
        <v>#DIV/0!</v>
      </c>
      <c r="AI166" s="28" t="e">
        <f t="shared" si="70"/>
        <v>#DIV/0!</v>
      </c>
      <c r="AJ166" s="43" t="e">
        <f>AJ159/AJ148*100</f>
        <v>#DIV/0!</v>
      </c>
      <c r="AK166" s="16"/>
      <c r="AL166" s="142" t="e">
        <f>AL159/AL148*100</f>
        <v>#DIV/0!</v>
      </c>
      <c r="DD166" s="13"/>
    </row>
    <row r="167" spans="2:108 15074:15466" s="1" customFormat="1" ht="13.8" x14ac:dyDescent="0.25">
      <c r="B167" s="149"/>
      <c r="C167" s="102" t="s">
        <v>30</v>
      </c>
      <c r="D167" s="34">
        <v>0.3</v>
      </c>
      <c r="E167" s="26" t="s">
        <v>29</v>
      </c>
      <c r="F167" s="28" t="e">
        <f t="shared" ref="F167:AI167" si="71">F160/F150*100</f>
        <v>#DIV/0!</v>
      </c>
      <c r="G167" s="28" t="e">
        <f t="shared" si="71"/>
        <v>#DIV/0!</v>
      </c>
      <c r="H167" s="28" t="e">
        <f t="shared" si="71"/>
        <v>#DIV/0!</v>
      </c>
      <c r="I167" s="28" t="e">
        <f t="shared" si="71"/>
        <v>#DIV/0!</v>
      </c>
      <c r="J167" s="28" t="e">
        <f t="shared" si="71"/>
        <v>#DIV/0!</v>
      </c>
      <c r="K167" s="28" t="e">
        <f t="shared" si="71"/>
        <v>#DIV/0!</v>
      </c>
      <c r="L167" s="28" t="e">
        <f t="shared" si="71"/>
        <v>#DIV/0!</v>
      </c>
      <c r="M167" s="28" t="e">
        <f t="shared" si="71"/>
        <v>#DIV/0!</v>
      </c>
      <c r="N167" s="28" t="e">
        <f t="shared" si="71"/>
        <v>#DIV/0!</v>
      </c>
      <c r="O167" s="28" t="e">
        <f t="shared" si="71"/>
        <v>#DIV/0!</v>
      </c>
      <c r="P167" s="28" t="e">
        <f t="shared" si="71"/>
        <v>#DIV/0!</v>
      </c>
      <c r="Q167" s="28" t="e">
        <f t="shared" si="71"/>
        <v>#DIV/0!</v>
      </c>
      <c r="R167" s="28" t="e">
        <f t="shared" si="71"/>
        <v>#DIV/0!</v>
      </c>
      <c r="S167" s="28" t="e">
        <f t="shared" si="71"/>
        <v>#DIV/0!</v>
      </c>
      <c r="T167" s="28" t="e">
        <f t="shared" si="71"/>
        <v>#DIV/0!</v>
      </c>
      <c r="U167" s="28" t="e">
        <f t="shared" si="71"/>
        <v>#DIV/0!</v>
      </c>
      <c r="V167" s="28" t="e">
        <f t="shared" si="71"/>
        <v>#DIV/0!</v>
      </c>
      <c r="W167" s="28" t="e">
        <f t="shared" si="71"/>
        <v>#DIV/0!</v>
      </c>
      <c r="X167" s="28" t="e">
        <f t="shared" si="71"/>
        <v>#DIV/0!</v>
      </c>
      <c r="Y167" s="28" t="e">
        <f t="shared" si="71"/>
        <v>#DIV/0!</v>
      </c>
      <c r="Z167" s="28" t="e">
        <f t="shared" si="71"/>
        <v>#DIV/0!</v>
      </c>
      <c r="AA167" s="28" t="e">
        <f t="shared" si="71"/>
        <v>#DIV/0!</v>
      </c>
      <c r="AB167" s="28" t="e">
        <f t="shared" si="71"/>
        <v>#DIV/0!</v>
      </c>
      <c r="AC167" s="28" t="e">
        <f t="shared" si="71"/>
        <v>#DIV/0!</v>
      </c>
      <c r="AD167" s="28" t="e">
        <f t="shared" si="71"/>
        <v>#DIV/0!</v>
      </c>
      <c r="AE167" s="28" t="e">
        <f t="shared" si="71"/>
        <v>#DIV/0!</v>
      </c>
      <c r="AF167" s="28" t="e">
        <f t="shared" si="71"/>
        <v>#DIV/0!</v>
      </c>
      <c r="AG167" s="28" t="e">
        <f t="shared" si="71"/>
        <v>#DIV/0!</v>
      </c>
      <c r="AH167" s="28" t="e">
        <f t="shared" si="71"/>
        <v>#DIV/0!</v>
      </c>
      <c r="AI167" s="28" t="e">
        <f t="shared" si="71"/>
        <v>#DIV/0!</v>
      </c>
      <c r="AJ167" s="43" t="e">
        <f>AJ160/AJ150*100</f>
        <v>#DIV/0!</v>
      </c>
      <c r="AK167" s="16"/>
      <c r="AL167" s="142" t="e">
        <f>AL160/AL150*100</f>
        <v>#DIV/0!</v>
      </c>
      <c r="DD167" s="13"/>
    </row>
    <row r="168" spans="2:108 15074:15466" s="1" customFormat="1" x14ac:dyDescent="0.3">
      <c r="B168" s="149"/>
      <c r="C168" s="101" t="s">
        <v>32</v>
      </c>
      <c r="D168" s="34"/>
      <c r="E168" s="21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43"/>
      <c r="AK168" s="16"/>
      <c r="AL168" s="148" t="s">
        <v>32</v>
      </c>
      <c r="DD168" s="13"/>
    </row>
    <row r="169" spans="2:108 15074:15466" s="1" customFormat="1" ht="13.8" x14ac:dyDescent="0.25">
      <c r="B169" s="149"/>
      <c r="C169" s="102" t="s">
        <v>31</v>
      </c>
      <c r="D169" s="34">
        <v>0.5</v>
      </c>
      <c r="E169" s="26" t="s">
        <v>29</v>
      </c>
      <c r="F169" s="28" t="e">
        <f>F162/F152*100</f>
        <v>#DIV/0!</v>
      </c>
      <c r="G169" s="28" t="e">
        <f t="shared" ref="G169:AI169" si="72">G162/G152*100</f>
        <v>#DIV/0!</v>
      </c>
      <c r="H169" s="28" t="e">
        <f t="shared" si="72"/>
        <v>#DIV/0!</v>
      </c>
      <c r="I169" s="28" t="e">
        <f t="shared" si="72"/>
        <v>#DIV/0!</v>
      </c>
      <c r="J169" s="28" t="e">
        <f t="shared" si="72"/>
        <v>#DIV/0!</v>
      </c>
      <c r="K169" s="28" t="e">
        <f t="shared" si="72"/>
        <v>#DIV/0!</v>
      </c>
      <c r="L169" s="28" t="e">
        <f t="shared" si="72"/>
        <v>#DIV/0!</v>
      </c>
      <c r="M169" s="28" t="e">
        <f t="shared" si="72"/>
        <v>#DIV/0!</v>
      </c>
      <c r="N169" s="28" t="e">
        <f t="shared" si="72"/>
        <v>#DIV/0!</v>
      </c>
      <c r="O169" s="28" t="e">
        <f t="shared" si="72"/>
        <v>#DIV/0!</v>
      </c>
      <c r="P169" s="28" t="e">
        <f t="shared" si="72"/>
        <v>#DIV/0!</v>
      </c>
      <c r="Q169" s="28" t="e">
        <f t="shared" si="72"/>
        <v>#DIV/0!</v>
      </c>
      <c r="R169" s="28" t="e">
        <f t="shared" si="72"/>
        <v>#DIV/0!</v>
      </c>
      <c r="S169" s="28" t="e">
        <f t="shared" si="72"/>
        <v>#DIV/0!</v>
      </c>
      <c r="T169" s="28" t="e">
        <f t="shared" si="72"/>
        <v>#DIV/0!</v>
      </c>
      <c r="U169" s="28" t="e">
        <f t="shared" si="72"/>
        <v>#DIV/0!</v>
      </c>
      <c r="V169" s="28" t="e">
        <f t="shared" si="72"/>
        <v>#DIV/0!</v>
      </c>
      <c r="W169" s="28" t="e">
        <f t="shared" si="72"/>
        <v>#DIV/0!</v>
      </c>
      <c r="X169" s="28" t="e">
        <f t="shared" si="72"/>
        <v>#DIV/0!</v>
      </c>
      <c r="Y169" s="28" t="e">
        <f t="shared" si="72"/>
        <v>#DIV/0!</v>
      </c>
      <c r="Z169" s="28" t="e">
        <f t="shared" si="72"/>
        <v>#DIV/0!</v>
      </c>
      <c r="AA169" s="28" t="e">
        <f t="shared" si="72"/>
        <v>#DIV/0!</v>
      </c>
      <c r="AB169" s="28" t="e">
        <f t="shared" si="72"/>
        <v>#DIV/0!</v>
      </c>
      <c r="AC169" s="28" t="e">
        <f t="shared" si="72"/>
        <v>#DIV/0!</v>
      </c>
      <c r="AD169" s="28" t="e">
        <f t="shared" si="72"/>
        <v>#DIV/0!</v>
      </c>
      <c r="AE169" s="28" t="e">
        <f t="shared" si="72"/>
        <v>#DIV/0!</v>
      </c>
      <c r="AF169" s="28" t="e">
        <f t="shared" si="72"/>
        <v>#DIV/0!</v>
      </c>
      <c r="AG169" s="28" t="e">
        <f t="shared" si="72"/>
        <v>#DIV/0!</v>
      </c>
      <c r="AH169" s="28" t="e">
        <f t="shared" si="72"/>
        <v>#DIV/0!</v>
      </c>
      <c r="AI169" s="28" t="e">
        <f t="shared" si="72"/>
        <v>#DIV/0!</v>
      </c>
      <c r="AJ169" s="43" t="e">
        <f>AJ162/AJ152*100</f>
        <v>#DIV/0!</v>
      </c>
      <c r="AK169" s="16"/>
      <c r="AL169" s="142" t="e">
        <f>AL162/AL152*100</f>
        <v>#DIV/0!</v>
      </c>
      <c r="DD169" s="13"/>
    </row>
    <row r="170" spans="2:108 15074:15466" s="1" customFormat="1" thickBot="1" x14ac:dyDescent="0.3">
      <c r="B170" s="188"/>
      <c r="C170" s="102" t="s">
        <v>30</v>
      </c>
      <c r="D170" s="34">
        <v>0.5</v>
      </c>
      <c r="E170" s="26" t="s">
        <v>29</v>
      </c>
      <c r="F170" s="28" t="e">
        <f t="shared" ref="F170:AI170" si="73">F163/F154*100</f>
        <v>#DIV/0!</v>
      </c>
      <c r="G170" s="28" t="e">
        <f t="shared" si="73"/>
        <v>#DIV/0!</v>
      </c>
      <c r="H170" s="28" t="e">
        <f t="shared" si="73"/>
        <v>#DIV/0!</v>
      </c>
      <c r="I170" s="28" t="e">
        <f t="shared" si="73"/>
        <v>#DIV/0!</v>
      </c>
      <c r="J170" s="28" t="e">
        <f t="shared" si="73"/>
        <v>#DIV/0!</v>
      </c>
      <c r="K170" s="28" t="e">
        <f t="shared" si="73"/>
        <v>#DIV/0!</v>
      </c>
      <c r="L170" s="28" t="e">
        <f t="shared" si="73"/>
        <v>#DIV/0!</v>
      </c>
      <c r="M170" s="28" t="e">
        <f t="shared" si="73"/>
        <v>#DIV/0!</v>
      </c>
      <c r="N170" s="28" t="e">
        <f t="shared" si="73"/>
        <v>#DIV/0!</v>
      </c>
      <c r="O170" s="28" t="e">
        <f t="shared" si="73"/>
        <v>#DIV/0!</v>
      </c>
      <c r="P170" s="28" t="e">
        <f t="shared" si="73"/>
        <v>#DIV/0!</v>
      </c>
      <c r="Q170" s="28" t="e">
        <f t="shared" si="73"/>
        <v>#DIV/0!</v>
      </c>
      <c r="R170" s="28" t="e">
        <f t="shared" si="73"/>
        <v>#DIV/0!</v>
      </c>
      <c r="S170" s="28" t="e">
        <f t="shared" si="73"/>
        <v>#DIV/0!</v>
      </c>
      <c r="T170" s="28" t="e">
        <f t="shared" si="73"/>
        <v>#DIV/0!</v>
      </c>
      <c r="U170" s="28" t="e">
        <f t="shared" si="73"/>
        <v>#DIV/0!</v>
      </c>
      <c r="V170" s="28" t="e">
        <f t="shared" si="73"/>
        <v>#DIV/0!</v>
      </c>
      <c r="W170" s="28" t="e">
        <f t="shared" si="73"/>
        <v>#DIV/0!</v>
      </c>
      <c r="X170" s="28" t="e">
        <f t="shared" si="73"/>
        <v>#DIV/0!</v>
      </c>
      <c r="Y170" s="28" t="e">
        <f t="shared" si="73"/>
        <v>#DIV/0!</v>
      </c>
      <c r="Z170" s="28" t="e">
        <f t="shared" si="73"/>
        <v>#DIV/0!</v>
      </c>
      <c r="AA170" s="28" t="e">
        <f t="shared" si="73"/>
        <v>#DIV/0!</v>
      </c>
      <c r="AB170" s="28" t="e">
        <f t="shared" si="73"/>
        <v>#DIV/0!</v>
      </c>
      <c r="AC170" s="28" t="e">
        <f t="shared" si="73"/>
        <v>#DIV/0!</v>
      </c>
      <c r="AD170" s="28" t="e">
        <f t="shared" si="73"/>
        <v>#DIV/0!</v>
      </c>
      <c r="AE170" s="28" t="e">
        <f t="shared" si="73"/>
        <v>#DIV/0!</v>
      </c>
      <c r="AF170" s="28" t="e">
        <f t="shared" si="73"/>
        <v>#DIV/0!</v>
      </c>
      <c r="AG170" s="28" t="e">
        <f t="shared" si="73"/>
        <v>#DIV/0!</v>
      </c>
      <c r="AH170" s="28" t="e">
        <f t="shared" si="73"/>
        <v>#DIV/0!</v>
      </c>
      <c r="AI170" s="28" t="e">
        <f t="shared" si="73"/>
        <v>#DIV/0!</v>
      </c>
      <c r="AJ170" s="43" t="e">
        <f>AJ163/AJ154*100</f>
        <v>#DIV/0!</v>
      </c>
      <c r="AK170" s="16"/>
      <c r="AL170" s="142" t="e">
        <f>AL163/AL154*100</f>
        <v>#DIV/0!</v>
      </c>
      <c r="DD170" s="13"/>
    </row>
    <row r="171" spans="2:108 15074:15466" s="1" customFormat="1" ht="13.8" x14ac:dyDescent="0.25">
      <c r="B171" s="97">
        <v>7</v>
      </c>
      <c r="C171" s="99" t="s">
        <v>99</v>
      </c>
      <c r="D171" s="242"/>
      <c r="E171" s="248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242"/>
      <c r="AA171" s="242"/>
      <c r="AB171" s="242"/>
      <c r="AC171" s="242"/>
      <c r="AD171" s="242"/>
      <c r="AE171" s="242"/>
      <c r="AF171" s="242"/>
      <c r="AG171" s="249"/>
      <c r="AH171" s="249"/>
      <c r="AI171" s="249"/>
      <c r="AJ171" s="250"/>
      <c r="AK171" s="251"/>
      <c r="AL171" s="182" t="s">
        <v>45</v>
      </c>
    </row>
    <row r="172" spans="2:108 15074:15466" s="1" customFormat="1" ht="13.8" x14ac:dyDescent="0.25">
      <c r="B172" s="149"/>
      <c r="C172" s="103" t="s">
        <v>104</v>
      </c>
      <c r="D172" s="34"/>
      <c r="E172" s="26" t="s">
        <v>16</v>
      </c>
      <c r="F172" s="30">
        <v>106066</v>
      </c>
      <c r="G172" s="30">
        <v>108310</v>
      </c>
      <c r="H172" s="30">
        <v>174083</v>
      </c>
      <c r="I172" s="30">
        <v>158683</v>
      </c>
      <c r="J172" s="30">
        <v>95779</v>
      </c>
      <c r="K172" s="30">
        <v>142717</v>
      </c>
      <c r="L172" s="30">
        <v>143715</v>
      </c>
      <c r="M172" s="30">
        <v>107084</v>
      </c>
      <c r="N172" s="30">
        <v>123925</v>
      </c>
      <c r="O172" s="30">
        <v>103832</v>
      </c>
      <c r="P172" s="30">
        <v>164522</v>
      </c>
      <c r="Q172" s="30">
        <v>120029</v>
      </c>
      <c r="R172" s="30">
        <v>186754</v>
      </c>
      <c r="S172" s="30">
        <v>76741</v>
      </c>
      <c r="T172" s="30">
        <v>97981</v>
      </c>
      <c r="U172" s="30">
        <v>150761</v>
      </c>
      <c r="V172" s="30">
        <v>100842</v>
      </c>
      <c r="W172" s="30">
        <v>77986</v>
      </c>
      <c r="X172" s="30">
        <v>146391</v>
      </c>
      <c r="Y172" s="30">
        <v>110294</v>
      </c>
      <c r="Z172" s="30">
        <v>122802</v>
      </c>
      <c r="AA172" s="30">
        <v>130079</v>
      </c>
      <c r="AB172" s="30">
        <v>200653</v>
      </c>
      <c r="AC172" s="30">
        <v>153301</v>
      </c>
      <c r="AD172" s="30">
        <v>137554</v>
      </c>
      <c r="AE172" s="30">
        <v>110862</v>
      </c>
      <c r="AF172" s="30">
        <v>137477</v>
      </c>
      <c r="AG172" s="73">
        <v>94497</v>
      </c>
      <c r="AH172" s="73">
        <v>157917</v>
      </c>
      <c r="AI172" s="73">
        <v>134775</v>
      </c>
      <c r="AJ172" s="42">
        <v>120713</v>
      </c>
      <c r="AK172" s="61"/>
      <c r="AL172" s="225">
        <f>SUM(E172:AJ172)</f>
        <v>3997125</v>
      </c>
    </row>
    <row r="173" spans="2:108 15074:15466" s="1" customFormat="1" ht="13.8" x14ac:dyDescent="0.25">
      <c r="B173" s="149"/>
      <c r="C173" s="102" t="s">
        <v>105</v>
      </c>
      <c r="D173" s="34"/>
      <c r="E173" s="26" t="s">
        <v>16</v>
      </c>
      <c r="F173" s="28">
        <v>117358.55</v>
      </c>
      <c r="G173" s="28">
        <v>103628.25</v>
      </c>
      <c r="H173" s="28">
        <f>119340+77727.72</f>
        <v>197067.72</v>
      </c>
      <c r="I173" s="28">
        <v>119967.1</v>
      </c>
      <c r="J173" s="28">
        <v>119922.89</v>
      </c>
      <c r="K173" s="28">
        <v>119693.7</v>
      </c>
      <c r="L173" s="28">
        <f>79963.63+79807.51</f>
        <v>159771.14000000001</v>
      </c>
      <c r="M173" s="28">
        <v>119425.72</v>
      </c>
      <c r="N173" s="28">
        <v>118678.62</v>
      </c>
      <c r="O173" s="28">
        <v>115864.34</v>
      </c>
      <c r="P173" s="28">
        <v>119598.96</v>
      </c>
      <c r="Q173" s="28">
        <f>79812.04+79503.44</f>
        <v>159315.47999999998</v>
      </c>
      <c r="R173" s="28">
        <f>79855.35+80120.62</f>
        <v>159975.97</v>
      </c>
      <c r="S173" s="28">
        <v>80031.3</v>
      </c>
      <c r="T173" s="28">
        <v>119145.1</v>
      </c>
      <c r="U173" s="28">
        <v>119143.3</v>
      </c>
      <c r="V173" s="28">
        <v>119154.12</v>
      </c>
      <c r="W173" s="28">
        <f>79847.23+162.41</f>
        <v>80009.64</v>
      </c>
      <c r="X173" s="28">
        <f>79833.7+78519.94</f>
        <v>158353.64000000001</v>
      </c>
      <c r="Y173" s="28">
        <f>119789.34+162.41</f>
        <v>119951.75</v>
      </c>
      <c r="Z173" s="28">
        <v>114062.45</v>
      </c>
      <c r="AA173" s="28">
        <v>122467.37</v>
      </c>
      <c r="AB173" s="28">
        <f>119121.65+77154.76</f>
        <v>196276.40999999997</v>
      </c>
      <c r="AC173" s="28">
        <f>82195.92+75681.3</f>
        <v>157877.22</v>
      </c>
      <c r="AD173" s="28">
        <v>122239.99</v>
      </c>
      <c r="AE173" s="28">
        <v>127209.85</v>
      </c>
      <c r="AF173" s="28">
        <v>127349.72</v>
      </c>
      <c r="AG173" s="74">
        <v>103929.62</v>
      </c>
      <c r="AH173" s="74">
        <f>84686.27+83154.15</f>
        <v>167840.41999999998</v>
      </c>
      <c r="AI173" s="74">
        <v>128760.01</v>
      </c>
      <c r="AJ173" s="43">
        <v>121807.79</v>
      </c>
      <c r="AK173" s="61"/>
      <c r="AL173" s="225">
        <f>SUM(F173:AJ173)</f>
        <v>4015878.1400000015</v>
      </c>
    </row>
    <row r="174" spans="2:108 15074:15466" s="1" customFormat="1" ht="13.8" x14ac:dyDescent="0.25">
      <c r="B174" s="149"/>
      <c r="C174" s="102" t="s">
        <v>44</v>
      </c>
      <c r="D174" s="34"/>
      <c r="E174" s="26" t="s">
        <v>16</v>
      </c>
      <c r="F174" s="28">
        <f>SUM(F178:F179)*10.83</f>
        <v>117494.67</v>
      </c>
      <c r="G174" s="28">
        <f t="shared" ref="G174:AJ174" si="74">SUM(G178:G179)*10.83</f>
        <v>103870.53</v>
      </c>
      <c r="H174" s="28">
        <f t="shared" si="74"/>
        <v>197311.77</v>
      </c>
      <c r="I174" s="28">
        <f t="shared" si="74"/>
        <v>120028.89</v>
      </c>
      <c r="J174" s="28">
        <f t="shared" si="74"/>
        <v>120007.23</v>
      </c>
      <c r="K174" s="28">
        <f t="shared" si="74"/>
        <v>119812.29</v>
      </c>
      <c r="L174" s="28">
        <f t="shared" si="74"/>
        <v>160034.91</v>
      </c>
      <c r="M174" s="28">
        <f t="shared" si="74"/>
        <v>119465.73</v>
      </c>
      <c r="N174" s="28">
        <f t="shared" si="74"/>
        <v>118772.61</v>
      </c>
      <c r="O174" s="28">
        <f t="shared" si="74"/>
        <v>115956.81</v>
      </c>
      <c r="P174" s="28">
        <f t="shared" si="74"/>
        <v>119671.5</v>
      </c>
      <c r="Q174" s="28">
        <f t="shared" si="74"/>
        <v>159439.26</v>
      </c>
      <c r="R174" s="28">
        <f t="shared" si="74"/>
        <v>160186.53</v>
      </c>
      <c r="S174" s="28">
        <f t="shared" si="74"/>
        <v>80174.490000000005</v>
      </c>
      <c r="T174" s="28">
        <f t="shared" si="74"/>
        <v>119227.47</v>
      </c>
      <c r="U174" s="28">
        <f t="shared" si="74"/>
        <v>119227.47</v>
      </c>
      <c r="V174" s="28">
        <f t="shared" si="74"/>
        <v>119249.13</v>
      </c>
      <c r="W174" s="28">
        <f t="shared" si="74"/>
        <v>80055.360000000001</v>
      </c>
      <c r="X174" s="28">
        <f t="shared" si="74"/>
        <v>158497.04999999999</v>
      </c>
      <c r="Y174" s="28">
        <f t="shared" si="74"/>
        <v>120039.72</v>
      </c>
      <c r="Z174" s="28">
        <f t="shared" si="74"/>
        <v>114137.37</v>
      </c>
      <c r="AA174" s="28">
        <f t="shared" si="74"/>
        <v>122563.11</v>
      </c>
      <c r="AB174" s="28">
        <f t="shared" si="74"/>
        <v>196358.73</v>
      </c>
      <c r="AC174" s="28">
        <f t="shared" si="74"/>
        <v>157944.72</v>
      </c>
      <c r="AD174" s="28">
        <f t="shared" si="74"/>
        <v>122292.36</v>
      </c>
      <c r="AE174" s="28">
        <f t="shared" si="74"/>
        <v>127295.82</v>
      </c>
      <c r="AF174" s="28">
        <f t="shared" si="74"/>
        <v>127490.76</v>
      </c>
      <c r="AG174" s="28">
        <f t="shared" si="74"/>
        <v>103957.17</v>
      </c>
      <c r="AH174" s="28">
        <f t="shared" si="74"/>
        <v>168146.58</v>
      </c>
      <c r="AI174" s="28">
        <f t="shared" si="74"/>
        <v>128822.85</v>
      </c>
      <c r="AJ174" s="28">
        <f t="shared" si="74"/>
        <v>121837.5</v>
      </c>
      <c r="AK174" s="61"/>
      <c r="AL174" s="225">
        <f>SUM(C174:AJ174)</f>
        <v>4019370.3899999997</v>
      </c>
    </row>
    <row r="175" spans="2:108 15074:15466" s="1" customFormat="1" ht="13.8" x14ac:dyDescent="0.25">
      <c r="B175" s="149"/>
      <c r="C175" s="102" t="s">
        <v>43</v>
      </c>
      <c r="D175" s="34"/>
      <c r="E175" s="26" t="s">
        <v>16</v>
      </c>
      <c r="F175" s="28">
        <f>F173-F174</f>
        <v>-136.11999999999534</v>
      </c>
      <c r="G175" s="28">
        <f t="shared" ref="G175:AI175" si="75">G173-G174</f>
        <v>-242.27999999999884</v>
      </c>
      <c r="H175" s="28">
        <f>H173-H174</f>
        <v>-244.04999999998836</v>
      </c>
      <c r="I175" s="28">
        <f t="shared" si="75"/>
        <v>-61.789999999993597</v>
      </c>
      <c r="J175" s="28">
        <f t="shared" si="75"/>
        <v>-84.339999999996508</v>
      </c>
      <c r="K175" s="28">
        <f t="shared" si="75"/>
        <v>-118.58999999999651</v>
      </c>
      <c r="L175" s="28">
        <f t="shared" si="75"/>
        <v>-263.76999999998952</v>
      </c>
      <c r="M175" s="28">
        <f t="shared" si="75"/>
        <v>-40.009999999994761</v>
      </c>
      <c r="N175" s="28">
        <f t="shared" si="75"/>
        <v>-93.990000000005239</v>
      </c>
      <c r="O175" s="28">
        <f t="shared" si="75"/>
        <v>-92.470000000001164</v>
      </c>
      <c r="P175" s="28">
        <f t="shared" si="75"/>
        <v>-72.539999999993597</v>
      </c>
      <c r="Q175" s="28">
        <f t="shared" si="75"/>
        <v>-123.78000000002794</v>
      </c>
      <c r="R175" s="28">
        <f t="shared" si="75"/>
        <v>-210.55999999999767</v>
      </c>
      <c r="S175" s="28">
        <f t="shared" si="75"/>
        <v>-143.19000000000233</v>
      </c>
      <c r="T175" s="28">
        <f t="shared" si="75"/>
        <v>-82.369999999995343</v>
      </c>
      <c r="U175" s="28">
        <f t="shared" si="75"/>
        <v>-84.169999999998254</v>
      </c>
      <c r="V175" s="28">
        <f t="shared" si="75"/>
        <v>-95.010000000009313</v>
      </c>
      <c r="W175" s="28">
        <f t="shared" si="75"/>
        <v>-45.720000000001164</v>
      </c>
      <c r="X175" s="28">
        <f t="shared" si="75"/>
        <v>-143.40999999997439</v>
      </c>
      <c r="Y175" s="28">
        <f t="shared" si="75"/>
        <v>-87.970000000001164</v>
      </c>
      <c r="Z175" s="28">
        <f t="shared" si="75"/>
        <v>-74.919999999998254</v>
      </c>
      <c r="AA175" s="28">
        <f t="shared" si="75"/>
        <v>-95.740000000005239</v>
      </c>
      <c r="AB175" s="28">
        <f t="shared" si="75"/>
        <v>-82.320000000036089</v>
      </c>
      <c r="AC175" s="28">
        <f t="shared" si="75"/>
        <v>-67.5</v>
      </c>
      <c r="AD175" s="28">
        <f t="shared" si="75"/>
        <v>-52.369999999995343</v>
      </c>
      <c r="AE175" s="28">
        <f t="shared" si="75"/>
        <v>-85.970000000001164</v>
      </c>
      <c r="AF175" s="28">
        <f t="shared" si="75"/>
        <v>-141.0399999999936</v>
      </c>
      <c r="AG175" s="28">
        <f t="shared" si="75"/>
        <v>-27.55000000000291</v>
      </c>
      <c r="AH175" s="28">
        <f t="shared" si="75"/>
        <v>-306.16000000000349</v>
      </c>
      <c r="AI175" s="28">
        <f t="shared" si="75"/>
        <v>-62.840000000011059</v>
      </c>
      <c r="AJ175" s="43">
        <f>AJ173-AJ174</f>
        <v>-29.710000000006403</v>
      </c>
      <c r="AK175" s="61"/>
      <c r="AL175" s="225">
        <f>SUM(C175:AJ175)</f>
        <v>-3492.2500000000146</v>
      </c>
    </row>
    <row r="176" spans="2:108 15074:15466" s="1" customFormat="1" x14ac:dyDescent="0.3">
      <c r="B176" s="149"/>
      <c r="C176" s="101" t="s">
        <v>56</v>
      </c>
      <c r="D176" s="34"/>
      <c r="E176" s="21" t="s">
        <v>16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/>
      <c r="AH176" s="28"/>
      <c r="AI176" s="74"/>
      <c r="AJ176" s="43"/>
      <c r="AK176" s="61"/>
      <c r="AL176" s="142">
        <f>SUM(C176:AJ176)</f>
        <v>0</v>
      </c>
    </row>
    <row r="177" spans="2:38" s="1" customFormat="1" ht="13.8" x14ac:dyDescent="0.25">
      <c r="B177" s="149"/>
      <c r="C177" s="102" t="s">
        <v>33</v>
      </c>
      <c r="D177" s="34"/>
      <c r="E177" s="26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74"/>
      <c r="AH177" s="74"/>
      <c r="AI177" s="74"/>
      <c r="AJ177" s="43"/>
      <c r="AK177" s="61"/>
      <c r="AL177" s="142" t="s">
        <v>33</v>
      </c>
    </row>
    <row r="178" spans="2:38" s="1" customFormat="1" ht="13.8" x14ac:dyDescent="0.25">
      <c r="B178" s="149"/>
      <c r="C178" s="102" t="s">
        <v>100</v>
      </c>
      <c r="D178" s="34"/>
      <c r="E178" s="26" t="s">
        <v>36</v>
      </c>
      <c r="F178" s="5">
        <v>10849</v>
      </c>
      <c r="G178" s="5">
        <v>9591</v>
      </c>
      <c r="H178" s="5">
        <v>11034</v>
      </c>
      <c r="I178" s="5">
        <v>11083</v>
      </c>
      <c r="J178" s="5">
        <v>11081</v>
      </c>
      <c r="K178" s="5">
        <v>11063</v>
      </c>
      <c r="L178" s="5">
        <v>7404</v>
      </c>
      <c r="M178" s="5">
        <v>11031</v>
      </c>
      <c r="N178" s="5">
        <v>10967</v>
      </c>
      <c r="O178" s="5">
        <v>10707</v>
      </c>
      <c r="P178" s="5">
        <v>11050</v>
      </c>
      <c r="Q178" s="5">
        <v>7375</v>
      </c>
      <c r="R178" s="5">
        <v>7386</v>
      </c>
      <c r="S178" s="5">
        <v>7403</v>
      </c>
      <c r="T178" s="5">
        <v>11009</v>
      </c>
      <c r="U178" s="5">
        <v>11009</v>
      </c>
      <c r="V178" s="5">
        <v>11011</v>
      </c>
      <c r="W178" s="5">
        <v>7377</v>
      </c>
      <c r="X178" s="5">
        <v>7378</v>
      </c>
      <c r="Y178" s="5">
        <v>11069</v>
      </c>
      <c r="Z178" s="5">
        <v>10539</v>
      </c>
      <c r="AA178" s="5">
        <v>11317</v>
      </c>
      <c r="AB178" s="5">
        <v>11005</v>
      </c>
      <c r="AC178" s="5">
        <v>7592</v>
      </c>
      <c r="AD178" s="5">
        <v>11292</v>
      </c>
      <c r="AE178" s="5">
        <v>11754</v>
      </c>
      <c r="AF178" s="5">
        <v>11772</v>
      </c>
      <c r="AG178" s="75">
        <v>9599</v>
      </c>
      <c r="AH178" s="75">
        <v>7826</v>
      </c>
      <c r="AI178" s="75">
        <v>11895</v>
      </c>
      <c r="AJ178" s="44">
        <v>11250</v>
      </c>
      <c r="AK178" s="61"/>
      <c r="AL178" s="239">
        <f>SUM(E178:AJ178)</f>
        <v>312718</v>
      </c>
    </row>
    <row r="179" spans="2:38" s="1" customFormat="1" ht="13.8" x14ac:dyDescent="0.25">
      <c r="B179" s="149"/>
      <c r="C179" s="102" t="s">
        <v>127</v>
      </c>
      <c r="D179" s="34"/>
      <c r="E179" s="26" t="s">
        <v>36</v>
      </c>
      <c r="F179" s="5"/>
      <c r="G179" s="5"/>
      <c r="H179" s="5">
        <v>7185</v>
      </c>
      <c r="I179" s="5"/>
      <c r="J179" s="5"/>
      <c r="K179" s="5"/>
      <c r="L179" s="5">
        <v>7373</v>
      </c>
      <c r="M179" s="5"/>
      <c r="N179" s="5"/>
      <c r="O179" s="5"/>
      <c r="P179" s="5"/>
      <c r="Q179" s="5">
        <v>7347</v>
      </c>
      <c r="R179" s="5">
        <v>7405</v>
      </c>
      <c r="S179" s="5"/>
      <c r="T179" s="5"/>
      <c r="U179" s="5"/>
      <c r="V179" s="5"/>
      <c r="W179" s="5">
        <v>15</v>
      </c>
      <c r="X179" s="5">
        <v>7257</v>
      </c>
      <c r="Y179" s="5">
        <v>15</v>
      </c>
      <c r="Z179" s="5"/>
      <c r="AA179" s="5"/>
      <c r="AB179" s="5">
        <v>7126</v>
      </c>
      <c r="AC179" s="5">
        <v>6992</v>
      </c>
      <c r="AD179" s="5"/>
      <c r="AE179" s="5"/>
      <c r="AF179" s="5"/>
      <c r="AG179" s="75"/>
      <c r="AH179" s="75">
        <v>7700</v>
      </c>
      <c r="AI179" s="75"/>
      <c r="AJ179" s="44"/>
      <c r="AK179" s="61"/>
      <c r="AL179" s="239">
        <f>SUM(E179:AJ179)</f>
        <v>58415</v>
      </c>
    </row>
    <row r="180" spans="2:38" s="1" customFormat="1" x14ac:dyDescent="0.25">
      <c r="B180" s="149"/>
      <c r="C180" s="104" t="s">
        <v>32</v>
      </c>
      <c r="D180" s="34"/>
      <c r="E180" s="26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74"/>
      <c r="AH180" s="74"/>
      <c r="AI180" s="74"/>
      <c r="AJ180" s="43"/>
      <c r="AK180" s="61"/>
      <c r="AL180" s="142" t="s">
        <v>32</v>
      </c>
    </row>
    <row r="181" spans="2:38" s="1" customFormat="1" ht="13.8" x14ac:dyDescent="0.25">
      <c r="B181" s="149"/>
      <c r="C181" s="102" t="s">
        <v>100</v>
      </c>
      <c r="D181" s="34"/>
      <c r="E181" s="26" t="s">
        <v>32</v>
      </c>
      <c r="F181" s="5">
        <f>F178*12</f>
        <v>130188</v>
      </c>
      <c r="G181" s="5">
        <f t="shared" ref="G181:AI181" si="76">G178*12</f>
        <v>115092</v>
      </c>
      <c r="H181" s="5">
        <f t="shared" si="76"/>
        <v>132408</v>
      </c>
      <c r="I181" s="5">
        <f t="shared" si="76"/>
        <v>132996</v>
      </c>
      <c r="J181" s="5">
        <f t="shared" si="76"/>
        <v>132972</v>
      </c>
      <c r="K181" s="5">
        <f t="shared" si="76"/>
        <v>132756</v>
      </c>
      <c r="L181" s="5">
        <f t="shared" si="76"/>
        <v>88848</v>
      </c>
      <c r="M181" s="5">
        <f t="shared" si="76"/>
        <v>132372</v>
      </c>
      <c r="N181" s="5">
        <f t="shared" si="76"/>
        <v>131604</v>
      </c>
      <c r="O181" s="5">
        <f t="shared" si="76"/>
        <v>128484</v>
      </c>
      <c r="P181" s="5">
        <f t="shared" si="76"/>
        <v>132600</v>
      </c>
      <c r="Q181" s="5">
        <f t="shared" si="76"/>
        <v>88500</v>
      </c>
      <c r="R181" s="5">
        <f t="shared" si="76"/>
        <v>88632</v>
      </c>
      <c r="S181" s="5">
        <f t="shared" si="76"/>
        <v>88836</v>
      </c>
      <c r="T181" s="5">
        <f t="shared" si="76"/>
        <v>132108</v>
      </c>
      <c r="U181" s="5">
        <f t="shared" si="76"/>
        <v>132108</v>
      </c>
      <c r="V181" s="5">
        <f t="shared" si="76"/>
        <v>132132</v>
      </c>
      <c r="W181" s="5">
        <f t="shared" si="76"/>
        <v>88524</v>
      </c>
      <c r="X181" s="5">
        <f t="shared" si="76"/>
        <v>88536</v>
      </c>
      <c r="Y181" s="5">
        <f t="shared" si="76"/>
        <v>132828</v>
      </c>
      <c r="Z181" s="5">
        <f t="shared" si="76"/>
        <v>126468</v>
      </c>
      <c r="AA181" s="5">
        <f t="shared" si="76"/>
        <v>135804</v>
      </c>
      <c r="AB181" s="5">
        <f t="shared" si="76"/>
        <v>132060</v>
      </c>
      <c r="AC181" s="5">
        <f t="shared" si="76"/>
        <v>91104</v>
      </c>
      <c r="AD181" s="5">
        <f t="shared" si="76"/>
        <v>135504</v>
      </c>
      <c r="AE181" s="5">
        <f t="shared" si="76"/>
        <v>141048</v>
      </c>
      <c r="AF181" s="5">
        <f t="shared" si="76"/>
        <v>141264</v>
      </c>
      <c r="AG181" s="5">
        <f t="shared" si="76"/>
        <v>115188</v>
      </c>
      <c r="AH181" s="5">
        <f t="shared" si="76"/>
        <v>93912</v>
      </c>
      <c r="AI181" s="5">
        <f t="shared" si="76"/>
        <v>142740</v>
      </c>
      <c r="AJ181" s="44">
        <f>AJ178*12</f>
        <v>135000</v>
      </c>
      <c r="AK181" s="62"/>
      <c r="AL181" s="131">
        <f>AL178*24</f>
        <v>7505232</v>
      </c>
    </row>
    <row r="182" spans="2:38" s="1" customFormat="1" ht="13.8" x14ac:dyDescent="0.25">
      <c r="B182" s="149"/>
      <c r="C182" s="102" t="s">
        <v>127</v>
      </c>
      <c r="D182" s="34"/>
      <c r="E182" s="26" t="s">
        <v>32</v>
      </c>
      <c r="F182" s="5">
        <f>F179*6</f>
        <v>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75"/>
      <c r="AJ182" s="44"/>
      <c r="AK182" s="62"/>
      <c r="AL182" s="131"/>
    </row>
    <row r="183" spans="2:38" s="1" customFormat="1" ht="13.8" x14ac:dyDescent="0.25">
      <c r="B183" s="149"/>
      <c r="C183" s="102" t="s">
        <v>41</v>
      </c>
      <c r="D183" s="34"/>
      <c r="E183" s="26" t="s">
        <v>40</v>
      </c>
      <c r="F183" s="5">
        <f>F178*45/1700</f>
        <v>287.17941176470589</v>
      </c>
      <c r="G183" s="5">
        <f t="shared" ref="G183:AI183" si="77">G178*45/1700</f>
        <v>253.87941176470588</v>
      </c>
      <c r="H183" s="5">
        <f t="shared" si="77"/>
        <v>292.07647058823528</v>
      </c>
      <c r="I183" s="5">
        <f t="shared" si="77"/>
        <v>293.37352941176471</v>
      </c>
      <c r="J183" s="5">
        <f t="shared" si="77"/>
        <v>293.32058823529411</v>
      </c>
      <c r="K183" s="5">
        <f t="shared" si="77"/>
        <v>292.84411764705885</v>
      </c>
      <c r="L183" s="5">
        <f t="shared" si="77"/>
        <v>195.98823529411766</v>
      </c>
      <c r="M183" s="5">
        <f t="shared" si="77"/>
        <v>291.99705882352941</v>
      </c>
      <c r="N183" s="5">
        <f t="shared" si="77"/>
        <v>290.3029411764706</v>
      </c>
      <c r="O183" s="5">
        <f t="shared" si="77"/>
        <v>283.42058823529413</v>
      </c>
      <c r="P183" s="5">
        <f t="shared" si="77"/>
        <v>292.5</v>
      </c>
      <c r="Q183" s="5">
        <f t="shared" si="77"/>
        <v>195.22058823529412</v>
      </c>
      <c r="R183" s="5">
        <f t="shared" si="77"/>
        <v>195.51176470588234</v>
      </c>
      <c r="S183" s="5">
        <f t="shared" si="77"/>
        <v>195.96176470588236</v>
      </c>
      <c r="T183" s="5">
        <f t="shared" si="77"/>
        <v>291.41470588235296</v>
      </c>
      <c r="U183" s="5">
        <f t="shared" si="77"/>
        <v>291.41470588235296</v>
      </c>
      <c r="V183" s="5">
        <f t="shared" si="77"/>
        <v>291.4676470588235</v>
      </c>
      <c r="W183" s="5">
        <f t="shared" si="77"/>
        <v>195.27352941176471</v>
      </c>
      <c r="X183" s="5">
        <f t="shared" si="77"/>
        <v>195.3</v>
      </c>
      <c r="Y183" s="5">
        <f t="shared" si="77"/>
        <v>293.00294117647059</v>
      </c>
      <c r="Z183" s="5">
        <f t="shared" si="77"/>
        <v>278.97352941176473</v>
      </c>
      <c r="AA183" s="5">
        <f t="shared" si="77"/>
        <v>299.56764705882352</v>
      </c>
      <c r="AB183" s="5">
        <f t="shared" si="77"/>
        <v>291.30882352941177</v>
      </c>
      <c r="AC183" s="5">
        <f t="shared" si="77"/>
        <v>200.96470588235294</v>
      </c>
      <c r="AD183" s="5">
        <f t="shared" si="77"/>
        <v>298.90588235294115</v>
      </c>
      <c r="AE183" s="5">
        <f t="shared" si="77"/>
        <v>311.13529411764705</v>
      </c>
      <c r="AF183" s="5">
        <f t="shared" si="77"/>
        <v>311.61176470588236</v>
      </c>
      <c r="AG183" s="5">
        <f t="shared" si="77"/>
        <v>254.09117647058824</v>
      </c>
      <c r="AH183" s="5">
        <f t="shared" si="77"/>
        <v>207.15882352941176</v>
      </c>
      <c r="AI183" s="5">
        <f t="shared" si="77"/>
        <v>314.86764705882354</v>
      </c>
      <c r="AJ183" s="44">
        <f>AJ178*45/1700</f>
        <v>297.79411764705884</v>
      </c>
      <c r="AK183" s="62"/>
      <c r="AL183" s="131">
        <f>SUM(C183:AJ183)</f>
        <v>8277.8294117647056</v>
      </c>
    </row>
    <row r="184" spans="2:38" s="1" customFormat="1" ht="13.8" x14ac:dyDescent="0.25">
      <c r="B184" s="149"/>
      <c r="C184" s="102" t="s">
        <v>39</v>
      </c>
      <c r="D184" s="34"/>
      <c r="E184" s="26" t="s">
        <v>38</v>
      </c>
      <c r="F184" s="5">
        <f>SUM(F178)/500</f>
        <v>21.698</v>
      </c>
      <c r="G184" s="5">
        <f t="shared" ref="G184:AH184" si="78">SUM(G178)/500</f>
        <v>19.181999999999999</v>
      </c>
      <c r="H184" s="5">
        <f t="shared" si="78"/>
        <v>22.068000000000001</v>
      </c>
      <c r="I184" s="5">
        <f t="shared" si="78"/>
        <v>22.166</v>
      </c>
      <c r="J184" s="5">
        <f t="shared" si="78"/>
        <v>22.161999999999999</v>
      </c>
      <c r="K184" s="5">
        <f t="shared" si="78"/>
        <v>22.126000000000001</v>
      </c>
      <c r="L184" s="5">
        <f t="shared" si="78"/>
        <v>14.808</v>
      </c>
      <c r="M184" s="5">
        <f t="shared" si="78"/>
        <v>22.062000000000001</v>
      </c>
      <c r="N184" s="5">
        <f t="shared" si="78"/>
        <v>21.934000000000001</v>
      </c>
      <c r="O184" s="5">
        <f t="shared" si="78"/>
        <v>21.414000000000001</v>
      </c>
      <c r="P184" s="5">
        <f t="shared" si="78"/>
        <v>22.1</v>
      </c>
      <c r="Q184" s="5">
        <f t="shared" si="78"/>
        <v>14.75</v>
      </c>
      <c r="R184" s="5">
        <f t="shared" si="78"/>
        <v>14.772</v>
      </c>
      <c r="S184" s="5">
        <f t="shared" si="78"/>
        <v>14.805999999999999</v>
      </c>
      <c r="T184" s="5">
        <f t="shared" si="78"/>
        <v>22.018000000000001</v>
      </c>
      <c r="U184" s="5">
        <f>SUM(U178:U179)/500</f>
        <v>22.018000000000001</v>
      </c>
      <c r="V184" s="5">
        <f>SUM(V178:V179)/500</f>
        <v>22.021999999999998</v>
      </c>
      <c r="W184" s="5">
        <f>SUM(W178:W179)/500</f>
        <v>14.784000000000001</v>
      </c>
      <c r="X184" s="5">
        <f>SUM(X178:X179)/500</f>
        <v>29.27</v>
      </c>
      <c r="Y184" s="5">
        <f t="shared" si="78"/>
        <v>22.138000000000002</v>
      </c>
      <c r="Z184" s="5">
        <f t="shared" si="78"/>
        <v>21.077999999999999</v>
      </c>
      <c r="AA184" s="5">
        <f t="shared" si="78"/>
        <v>22.634</v>
      </c>
      <c r="AB184" s="5">
        <f t="shared" si="78"/>
        <v>22.01</v>
      </c>
      <c r="AC184" s="5">
        <f t="shared" si="78"/>
        <v>15.183999999999999</v>
      </c>
      <c r="AD184" s="5">
        <f t="shared" si="78"/>
        <v>22.584</v>
      </c>
      <c r="AE184" s="5">
        <f t="shared" si="78"/>
        <v>23.507999999999999</v>
      </c>
      <c r="AF184" s="5">
        <f t="shared" si="78"/>
        <v>23.544</v>
      </c>
      <c r="AG184" s="5">
        <f t="shared" si="78"/>
        <v>19.198</v>
      </c>
      <c r="AH184" s="5">
        <f t="shared" si="78"/>
        <v>15.651999999999999</v>
      </c>
      <c r="AI184" s="5">
        <f t="shared" ref="AI184" si="79">SUM(AI178)/500</f>
        <v>23.79</v>
      </c>
      <c r="AJ184" s="44">
        <f>SUM(AJ178)/500</f>
        <v>22.5</v>
      </c>
      <c r="AK184" s="62"/>
      <c r="AL184" s="252">
        <f>SUM(C184:AJ184)</f>
        <v>639.98</v>
      </c>
    </row>
    <row r="185" spans="2:38" s="1" customFormat="1" ht="13.8" x14ac:dyDescent="0.25">
      <c r="B185" s="149"/>
      <c r="C185" s="99" t="s">
        <v>37</v>
      </c>
      <c r="D185" s="242"/>
      <c r="E185" s="3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79"/>
      <c r="AH185" s="79"/>
      <c r="AI185" s="79"/>
      <c r="AJ185" s="45"/>
      <c r="AK185" s="65"/>
      <c r="AL185" s="253" t="s">
        <v>34</v>
      </c>
    </row>
    <row r="186" spans="2:38" s="1" customFormat="1" ht="13.8" x14ac:dyDescent="0.25">
      <c r="B186" s="149"/>
      <c r="C186" s="102" t="s">
        <v>33</v>
      </c>
      <c r="D186" s="34"/>
      <c r="E186" s="26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74"/>
      <c r="AH186" s="74"/>
      <c r="AI186" s="74"/>
      <c r="AJ186" s="43"/>
      <c r="AK186" s="61"/>
      <c r="AL186" s="142"/>
    </row>
    <row r="187" spans="2:38" s="1" customFormat="1" ht="13.8" x14ac:dyDescent="0.25">
      <c r="B187" s="149"/>
      <c r="C187" s="102" t="s">
        <v>100</v>
      </c>
      <c r="D187" s="34"/>
      <c r="E187" s="26" t="s">
        <v>36</v>
      </c>
      <c r="F187" s="5">
        <v>11</v>
      </c>
      <c r="G187" s="5">
        <v>21</v>
      </c>
      <c r="H187" s="5">
        <v>13</v>
      </c>
      <c r="I187" s="5">
        <v>4</v>
      </c>
      <c r="J187" s="5">
        <v>6</v>
      </c>
      <c r="K187" s="5">
        <v>9</v>
      </c>
      <c r="L187" s="5">
        <v>19</v>
      </c>
      <c r="M187" s="5">
        <v>2</v>
      </c>
      <c r="N187" s="5">
        <v>7</v>
      </c>
      <c r="O187" s="5">
        <v>7</v>
      </c>
      <c r="P187" s="5">
        <v>5</v>
      </c>
      <c r="Q187" s="5">
        <v>4</v>
      </c>
      <c r="R187" s="5">
        <v>11</v>
      </c>
      <c r="S187" s="5">
        <v>12</v>
      </c>
      <c r="T187" s="5">
        <v>6</v>
      </c>
      <c r="U187" s="5">
        <v>6</v>
      </c>
      <c r="V187" s="5">
        <v>7</v>
      </c>
      <c r="W187" s="5">
        <v>3</v>
      </c>
      <c r="X187" s="5">
        <v>5</v>
      </c>
      <c r="Y187" s="5">
        <v>6</v>
      </c>
      <c r="Z187" s="5">
        <v>5</v>
      </c>
      <c r="AA187" s="5">
        <v>7</v>
      </c>
      <c r="AB187" s="5">
        <v>4</v>
      </c>
      <c r="AC187" s="5">
        <v>1</v>
      </c>
      <c r="AD187" s="5">
        <v>3</v>
      </c>
      <c r="AE187" s="5">
        <v>6</v>
      </c>
      <c r="AF187" s="5">
        <v>11</v>
      </c>
      <c r="AG187" s="75">
        <v>1</v>
      </c>
      <c r="AH187" s="75">
        <v>5</v>
      </c>
      <c r="AI187" s="75">
        <v>4</v>
      </c>
      <c r="AJ187" s="44">
        <v>2</v>
      </c>
      <c r="AK187" s="61"/>
      <c r="AL187" s="239">
        <f>SUM(C187:AJ187)</f>
        <v>213</v>
      </c>
    </row>
    <row r="188" spans="2:38" s="1" customFormat="1" ht="13.8" x14ac:dyDescent="0.25">
      <c r="B188" s="149"/>
      <c r="C188" s="102" t="s">
        <v>127</v>
      </c>
      <c r="D188" s="34"/>
      <c r="E188" s="26" t="s">
        <v>36</v>
      </c>
      <c r="F188" s="5"/>
      <c r="G188" s="5"/>
      <c r="H188" s="5">
        <v>7</v>
      </c>
      <c r="I188" s="5"/>
      <c r="J188" s="5"/>
      <c r="K188" s="5"/>
      <c r="L188" s="5">
        <v>3</v>
      </c>
      <c r="M188" s="5"/>
      <c r="N188" s="5"/>
      <c r="O188" s="5"/>
      <c r="P188" s="5"/>
      <c r="Q188" s="5">
        <v>5</v>
      </c>
      <c r="R188" s="5">
        <v>6</v>
      </c>
      <c r="S188" s="5"/>
      <c r="T188" s="5"/>
      <c r="U188" s="5"/>
      <c r="V188" s="5"/>
      <c r="W188" s="5"/>
      <c r="X188" s="5">
        <v>6</v>
      </c>
      <c r="Y188" s="5"/>
      <c r="Z188" s="5"/>
      <c r="AA188" s="5"/>
      <c r="AB188" s="5">
        <v>1</v>
      </c>
      <c r="AC188" s="5">
        <v>3</v>
      </c>
      <c r="AD188" s="5"/>
      <c r="AE188" s="5"/>
      <c r="AF188" s="5"/>
      <c r="AG188" s="75"/>
      <c r="AH188" s="75">
        <v>21</v>
      </c>
      <c r="AI188" s="75"/>
      <c r="AJ188" s="44"/>
      <c r="AK188" s="61"/>
      <c r="AL188" s="239">
        <f>SUM(C188:AJ188)</f>
        <v>52</v>
      </c>
    </row>
    <row r="189" spans="2:38" s="1" customFormat="1" ht="13.8" x14ac:dyDescent="0.25">
      <c r="B189" s="149"/>
      <c r="C189" s="102" t="s">
        <v>32</v>
      </c>
      <c r="D189" s="34"/>
      <c r="E189" s="26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74"/>
      <c r="AH189" s="74"/>
      <c r="AI189" s="74"/>
      <c r="AJ189" s="43"/>
      <c r="AK189" s="61"/>
      <c r="AL189" s="142"/>
    </row>
    <row r="190" spans="2:38" s="1" customFormat="1" ht="13.8" x14ac:dyDescent="0.25">
      <c r="B190" s="149"/>
      <c r="C190" s="102" t="s">
        <v>100</v>
      </c>
      <c r="D190" s="34"/>
      <c r="E190" s="26" t="s">
        <v>32</v>
      </c>
      <c r="F190" s="5">
        <f>F187*12</f>
        <v>132</v>
      </c>
      <c r="G190" s="5">
        <f>G187*12</f>
        <v>252</v>
      </c>
      <c r="H190" s="5">
        <f>H187*12</f>
        <v>156</v>
      </c>
      <c r="I190" s="5"/>
      <c r="J190" s="5">
        <f>J187*12</f>
        <v>72</v>
      </c>
      <c r="K190" s="5"/>
      <c r="L190" s="5"/>
      <c r="M190" s="5"/>
      <c r="N190" s="5">
        <f t="shared" ref="N190:AJ190" si="80">N187*12</f>
        <v>84</v>
      </c>
      <c r="O190" s="5">
        <f t="shared" si="80"/>
        <v>84</v>
      </c>
      <c r="P190" s="5">
        <f t="shared" si="80"/>
        <v>60</v>
      </c>
      <c r="Q190" s="5">
        <f t="shared" si="80"/>
        <v>48</v>
      </c>
      <c r="R190" s="5">
        <f t="shared" si="80"/>
        <v>132</v>
      </c>
      <c r="S190" s="5">
        <f t="shared" si="80"/>
        <v>144</v>
      </c>
      <c r="T190" s="5">
        <f t="shared" si="80"/>
        <v>72</v>
      </c>
      <c r="U190" s="5">
        <f t="shared" si="80"/>
        <v>72</v>
      </c>
      <c r="V190" s="5">
        <f t="shared" si="80"/>
        <v>84</v>
      </c>
      <c r="W190" s="5">
        <f t="shared" si="80"/>
        <v>36</v>
      </c>
      <c r="X190" s="5">
        <f t="shared" si="80"/>
        <v>60</v>
      </c>
      <c r="Y190" s="5">
        <f t="shared" si="80"/>
        <v>72</v>
      </c>
      <c r="Z190" s="5">
        <f t="shared" si="80"/>
        <v>60</v>
      </c>
      <c r="AA190" s="5">
        <f t="shared" si="80"/>
        <v>84</v>
      </c>
      <c r="AB190" s="5">
        <f t="shared" si="80"/>
        <v>48</v>
      </c>
      <c r="AC190" s="5">
        <f t="shared" si="80"/>
        <v>12</v>
      </c>
      <c r="AD190" s="5">
        <f t="shared" si="80"/>
        <v>36</v>
      </c>
      <c r="AE190" s="5">
        <f t="shared" si="80"/>
        <v>72</v>
      </c>
      <c r="AF190" s="5">
        <f t="shared" si="80"/>
        <v>132</v>
      </c>
      <c r="AG190" s="5">
        <f t="shared" si="80"/>
        <v>12</v>
      </c>
      <c r="AH190" s="5">
        <f t="shared" si="80"/>
        <v>60</v>
      </c>
      <c r="AI190" s="5">
        <f t="shared" si="80"/>
        <v>48</v>
      </c>
      <c r="AJ190" s="44">
        <f t="shared" si="80"/>
        <v>24</v>
      </c>
      <c r="AK190" s="61"/>
      <c r="AL190" s="239">
        <f>SUM(C190:AJ190)</f>
        <v>2148</v>
      </c>
    </row>
    <row r="191" spans="2:38" s="1" customFormat="1" ht="13.8" x14ac:dyDescent="0.25">
      <c r="B191" s="149"/>
      <c r="C191" s="102" t="s">
        <v>127</v>
      </c>
      <c r="D191" s="34"/>
      <c r="E191" s="26" t="s">
        <v>32</v>
      </c>
      <c r="F191" s="5">
        <f>F188*6</f>
        <v>0</v>
      </c>
      <c r="G191" s="5">
        <f t="shared" ref="G191:AJ191" si="81">G188*6</f>
        <v>0</v>
      </c>
      <c r="H191" s="5">
        <f t="shared" si="81"/>
        <v>42</v>
      </c>
      <c r="I191" s="5">
        <f t="shared" si="81"/>
        <v>0</v>
      </c>
      <c r="J191" s="5">
        <f t="shared" si="81"/>
        <v>0</v>
      </c>
      <c r="K191" s="5">
        <f t="shared" si="81"/>
        <v>0</v>
      </c>
      <c r="L191" s="5">
        <f t="shared" si="81"/>
        <v>18</v>
      </c>
      <c r="M191" s="5">
        <f t="shared" si="81"/>
        <v>0</v>
      </c>
      <c r="N191" s="5">
        <f t="shared" si="81"/>
        <v>0</v>
      </c>
      <c r="O191" s="5">
        <f t="shared" si="81"/>
        <v>0</v>
      </c>
      <c r="P191" s="5">
        <f t="shared" si="81"/>
        <v>0</v>
      </c>
      <c r="Q191" s="5">
        <f t="shared" si="81"/>
        <v>30</v>
      </c>
      <c r="R191" s="5">
        <f t="shared" si="81"/>
        <v>36</v>
      </c>
      <c r="S191" s="5">
        <f t="shared" si="81"/>
        <v>0</v>
      </c>
      <c r="T191" s="5">
        <f t="shared" si="81"/>
        <v>0</v>
      </c>
      <c r="U191" s="5">
        <f t="shared" si="81"/>
        <v>0</v>
      </c>
      <c r="V191" s="5">
        <f t="shared" si="81"/>
        <v>0</v>
      </c>
      <c r="W191" s="5">
        <f t="shared" si="81"/>
        <v>0</v>
      </c>
      <c r="X191" s="5">
        <f t="shared" si="81"/>
        <v>36</v>
      </c>
      <c r="Y191" s="5">
        <f t="shared" si="81"/>
        <v>0</v>
      </c>
      <c r="Z191" s="5">
        <f t="shared" si="81"/>
        <v>0</v>
      </c>
      <c r="AA191" s="5">
        <f t="shared" si="81"/>
        <v>0</v>
      </c>
      <c r="AB191" s="5">
        <f t="shared" si="81"/>
        <v>6</v>
      </c>
      <c r="AC191" s="5">
        <f t="shared" si="81"/>
        <v>18</v>
      </c>
      <c r="AD191" s="5">
        <f t="shared" si="81"/>
        <v>0</v>
      </c>
      <c r="AE191" s="5">
        <f t="shared" si="81"/>
        <v>0</v>
      </c>
      <c r="AF191" s="5">
        <f t="shared" si="81"/>
        <v>0</v>
      </c>
      <c r="AG191" s="5">
        <f t="shared" si="81"/>
        <v>0</v>
      </c>
      <c r="AH191" s="5">
        <f t="shared" si="81"/>
        <v>126</v>
      </c>
      <c r="AI191" s="5">
        <f t="shared" si="81"/>
        <v>0</v>
      </c>
      <c r="AJ191" s="44">
        <f t="shared" si="81"/>
        <v>0</v>
      </c>
      <c r="AK191" s="61"/>
      <c r="AL191" s="239">
        <f>SUM(C191:AJ191)</f>
        <v>312</v>
      </c>
    </row>
    <row r="192" spans="2:38" s="1" customFormat="1" ht="13.8" x14ac:dyDescent="0.25">
      <c r="B192" s="149"/>
      <c r="C192" s="99" t="s">
        <v>35</v>
      </c>
      <c r="D192" s="254"/>
      <c r="E192" s="58"/>
      <c r="F192" s="255"/>
      <c r="G192" s="255"/>
      <c r="H192" s="255"/>
      <c r="I192" s="255"/>
      <c r="J192" s="255"/>
      <c r="K192" s="255"/>
      <c r="L192" s="255"/>
      <c r="M192" s="255"/>
      <c r="N192" s="255"/>
      <c r="O192" s="255"/>
      <c r="P192" s="255"/>
      <c r="Q192" s="255"/>
      <c r="R192" s="255"/>
      <c r="S192" s="255"/>
      <c r="T192" s="255"/>
      <c r="U192" s="255"/>
      <c r="V192" s="255"/>
      <c r="W192" s="255"/>
      <c r="X192" s="255"/>
      <c r="Y192" s="255"/>
      <c r="Z192" s="255"/>
      <c r="AA192" s="255"/>
      <c r="AB192" s="255"/>
      <c r="AC192" s="255"/>
      <c r="AD192" s="255"/>
      <c r="AE192" s="255"/>
      <c r="AF192" s="255"/>
      <c r="AG192" s="256"/>
      <c r="AH192" s="256"/>
      <c r="AI192" s="256"/>
      <c r="AJ192" s="257"/>
      <c r="AK192" s="61"/>
      <c r="AL192" s="182" t="s">
        <v>34</v>
      </c>
    </row>
    <row r="193" spans="2:108 15074:15466" s="1" customFormat="1" x14ac:dyDescent="0.3">
      <c r="B193" s="149"/>
      <c r="C193" s="101" t="s">
        <v>33</v>
      </c>
      <c r="D193" s="34"/>
      <c r="E193" s="2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75"/>
      <c r="AH193" s="75"/>
      <c r="AI193" s="75"/>
      <c r="AJ193" s="44"/>
      <c r="AK193" s="61"/>
      <c r="AL193" s="239"/>
    </row>
    <row r="194" spans="2:108 15074:15466" s="1" customFormat="1" ht="13.8" x14ac:dyDescent="0.25">
      <c r="B194" s="149"/>
      <c r="C194" s="102" t="s">
        <v>100</v>
      </c>
      <c r="D194" s="34">
        <v>0.3</v>
      </c>
      <c r="E194" s="26" t="s">
        <v>29</v>
      </c>
      <c r="F194" s="5">
        <f t="shared" ref="F194:AJ195" si="82">F187/F178*100</f>
        <v>0.10139183334869574</v>
      </c>
      <c r="G194" s="5">
        <f t="shared" si="82"/>
        <v>0.21895527056615577</v>
      </c>
      <c r="H194" s="5">
        <f t="shared" si="82"/>
        <v>0.11781765452238535</v>
      </c>
      <c r="I194" s="5">
        <f t="shared" si="82"/>
        <v>3.6091311016872685E-2</v>
      </c>
      <c r="J194" s="5">
        <f t="shared" si="82"/>
        <v>5.4146737659056039E-2</v>
      </c>
      <c r="K194" s="5">
        <f t="shared" si="82"/>
        <v>8.135225526529874E-2</v>
      </c>
      <c r="L194" s="5">
        <f t="shared" si="82"/>
        <v>0.25661804430037816</v>
      </c>
      <c r="M194" s="5">
        <f t="shared" si="82"/>
        <v>1.8130722509291996E-2</v>
      </c>
      <c r="N194" s="5">
        <f t="shared" si="82"/>
        <v>6.3827847177897329E-2</v>
      </c>
      <c r="O194" s="5">
        <f t="shared" si="82"/>
        <v>6.5377790230690208E-2</v>
      </c>
      <c r="P194" s="5">
        <f t="shared" si="82"/>
        <v>4.5248868778280542E-2</v>
      </c>
      <c r="Q194" s="5">
        <f t="shared" si="82"/>
        <v>5.4237288135593219E-2</v>
      </c>
      <c r="R194" s="5">
        <f t="shared" si="82"/>
        <v>0.14893040888166803</v>
      </c>
      <c r="S194" s="5">
        <f t="shared" si="82"/>
        <v>0.16209644738619478</v>
      </c>
      <c r="T194" s="5">
        <f t="shared" si="82"/>
        <v>5.4500862930329734E-2</v>
      </c>
      <c r="U194" s="5">
        <f t="shared" si="82"/>
        <v>5.4500862930329734E-2</v>
      </c>
      <c r="V194" s="5">
        <f t="shared" si="82"/>
        <v>6.3572790845518118E-2</v>
      </c>
      <c r="W194" s="5">
        <f t="shared" si="82"/>
        <v>4.0666937779585195E-2</v>
      </c>
      <c r="X194" s="5">
        <f t="shared" si="82"/>
        <v>6.7769043101111412E-2</v>
      </c>
      <c r="Y194" s="5">
        <f t="shared" si="82"/>
        <v>5.420543861234077E-2</v>
      </c>
      <c r="Z194" s="5">
        <f t="shared" si="82"/>
        <v>4.7442831388177245E-2</v>
      </c>
      <c r="AA194" s="5">
        <f t="shared" si="82"/>
        <v>6.1853848192984007E-2</v>
      </c>
      <c r="AB194" s="5">
        <f t="shared" si="82"/>
        <v>3.6347114947751023E-2</v>
      </c>
      <c r="AC194" s="5">
        <f t="shared" si="82"/>
        <v>1.3171759747102212E-2</v>
      </c>
      <c r="AD194" s="5">
        <f t="shared" si="82"/>
        <v>2.6567481402763018E-2</v>
      </c>
      <c r="AE194" s="5">
        <f t="shared" si="82"/>
        <v>5.1046452271567129E-2</v>
      </c>
      <c r="AF194" s="5">
        <f t="shared" si="82"/>
        <v>9.3442065919130138E-2</v>
      </c>
      <c r="AG194" s="5">
        <f t="shared" si="82"/>
        <v>1.0417751849150954E-2</v>
      </c>
      <c r="AH194" s="5">
        <f t="shared" si="82"/>
        <v>6.3889598773319706E-2</v>
      </c>
      <c r="AI194" s="5">
        <f t="shared" si="82"/>
        <v>3.3627574611181169E-2</v>
      </c>
      <c r="AJ194" s="44">
        <f t="shared" si="82"/>
        <v>1.7777777777777778E-2</v>
      </c>
      <c r="AK194" s="61"/>
      <c r="AL194" s="258">
        <f>AL187/AL178*100</f>
        <v>6.8112484730651901E-2</v>
      </c>
    </row>
    <row r="195" spans="2:108 15074:15466" s="1" customFormat="1" ht="13.8" x14ac:dyDescent="0.25">
      <c r="B195" s="149"/>
      <c r="C195" s="102" t="s">
        <v>127</v>
      </c>
      <c r="D195" s="34">
        <v>0.3</v>
      </c>
      <c r="E195" s="26" t="s">
        <v>29</v>
      </c>
      <c r="F195" s="5" t="e">
        <f t="shared" si="82"/>
        <v>#DIV/0!</v>
      </c>
      <c r="G195" s="5" t="e">
        <f t="shared" si="82"/>
        <v>#DIV/0!</v>
      </c>
      <c r="H195" s="5">
        <f t="shared" si="82"/>
        <v>9.7425191370911615E-2</v>
      </c>
      <c r="I195" s="5" t="e">
        <f t="shared" si="82"/>
        <v>#DIV/0!</v>
      </c>
      <c r="J195" s="5" t="e">
        <f t="shared" si="82"/>
        <v>#DIV/0!</v>
      </c>
      <c r="K195" s="5" t="e">
        <f t="shared" si="82"/>
        <v>#DIV/0!</v>
      </c>
      <c r="L195" s="5">
        <f t="shared" si="82"/>
        <v>4.0689000406890004E-2</v>
      </c>
      <c r="M195" s="5" t="e">
        <f t="shared" si="82"/>
        <v>#DIV/0!</v>
      </c>
      <c r="N195" s="5" t="e">
        <f t="shared" si="82"/>
        <v>#DIV/0!</v>
      </c>
      <c r="O195" s="5" t="e">
        <f t="shared" si="82"/>
        <v>#DIV/0!</v>
      </c>
      <c r="P195" s="5" t="e">
        <f t="shared" si="82"/>
        <v>#DIV/0!</v>
      </c>
      <c r="Q195" s="5">
        <f t="shared" si="82"/>
        <v>6.8054988430651969E-2</v>
      </c>
      <c r="R195" s="5">
        <f t="shared" si="82"/>
        <v>8.102633355840648E-2</v>
      </c>
      <c r="S195" s="5" t="e">
        <f t="shared" si="82"/>
        <v>#DIV/0!</v>
      </c>
      <c r="T195" s="5" t="e">
        <f t="shared" si="82"/>
        <v>#DIV/0!</v>
      </c>
      <c r="U195" s="5" t="e">
        <f t="shared" si="82"/>
        <v>#DIV/0!</v>
      </c>
      <c r="V195" s="5" t="e">
        <f t="shared" si="82"/>
        <v>#DIV/0!</v>
      </c>
      <c r="W195" s="5">
        <f t="shared" si="82"/>
        <v>0</v>
      </c>
      <c r="X195" s="5">
        <f t="shared" si="82"/>
        <v>8.2678792889623806E-2</v>
      </c>
      <c r="Y195" s="5">
        <f t="shared" si="82"/>
        <v>0</v>
      </c>
      <c r="Z195" s="5" t="e">
        <f t="shared" si="82"/>
        <v>#DIV/0!</v>
      </c>
      <c r="AA195" s="5" t="e">
        <f t="shared" si="82"/>
        <v>#DIV/0!</v>
      </c>
      <c r="AB195" s="5">
        <f t="shared" si="82"/>
        <v>1.4033118158854899E-2</v>
      </c>
      <c r="AC195" s="5">
        <f t="shared" si="82"/>
        <v>4.2906178489702518E-2</v>
      </c>
      <c r="AD195" s="5" t="e">
        <f t="shared" si="82"/>
        <v>#DIV/0!</v>
      </c>
      <c r="AE195" s="5" t="e">
        <f t="shared" si="82"/>
        <v>#DIV/0!</v>
      </c>
      <c r="AF195" s="5" t="e">
        <f t="shared" si="82"/>
        <v>#DIV/0!</v>
      </c>
      <c r="AG195" s="5" t="e">
        <f t="shared" si="82"/>
        <v>#DIV/0!</v>
      </c>
      <c r="AH195" s="5">
        <f t="shared" si="82"/>
        <v>0.27272727272727276</v>
      </c>
      <c r="AI195" s="5" t="e">
        <f t="shared" si="82"/>
        <v>#DIV/0!</v>
      </c>
      <c r="AJ195" s="44" t="e">
        <f t="shared" si="82"/>
        <v>#DIV/0!</v>
      </c>
      <c r="AK195" s="61"/>
      <c r="AL195" s="258">
        <f>AL188/AL179*100</f>
        <v>8.9018231618591112E-2</v>
      </c>
    </row>
    <row r="196" spans="2:108 15074:15466" s="1" customFormat="1" x14ac:dyDescent="0.3">
      <c r="B196" s="149"/>
      <c r="C196" s="101" t="s">
        <v>32</v>
      </c>
      <c r="D196" s="34"/>
      <c r="E196" s="2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75"/>
      <c r="AH196" s="75"/>
      <c r="AI196" s="75"/>
      <c r="AJ196" s="44"/>
      <c r="AK196" s="61"/>
      <c r="AL196" s="239"/>
    </row>
    <row r="197" spans="2:108 15074:15466" s="1" customFormat="1" ht="13.8" x14ac:dyDescent="0.25">
      <c r="B197" s="149"/>
      <c r="C197" s="102" t="s">
        <v>100</v>
      </c>
      <c r="D197" s="34">
        <v>0.5</v>
      </c>
      <c r="E197" s="26" t="s">
        <v>29</v>
      </c>
      <c r="F197" s="5">
        <f t="shared" ref="F197:AJ198" si="83">F190/F178*100</f>
        <v>1.2167020001843487</v>
      </c>
      <c r="G197" s="5">
        <f t="shared" si="83"/>
        <v>2.6274632467938694</v>
      </c>
      <c r="H197" s="5">
        <f t="shared" si="83"/>
        <v>1.4138118542686242</v>
      </c>
      <c r="I197" s="5">
        <f t="shared" si="83"/>
        <v>0</v>
      </c>
      <c r="J197" s="5">
        <f t="shared" si="83"/>
        <v>0.6497608519086725</v>
      </c>
      <c r="K197" s="5">
        <f t="shared" si="83"/>
        <v>0</v>
      </c>
      <c r="L197" s="5">
        <f t="shared" si="83"/>
        <v>0</v>
      </c>
      <c r="M197" s="5">
        <f t="shared" si="83"/>
        <v>0</v>
      </c>
      <c r="N197" s="5">
        <f t="shared" si="83"/>
        <v>0.76593416613476795</v>
      </c>
      <c r="O197" s="5">
        <f t="shared" si="83"/>
        <v>0.78453348276828239</v>
      </c>
      <c r="P197" s="5">
        <f t="shared" si="83"/>
        <v>0.54298642533936647</v>
      </c>
      <c r="Q197" s="5">
        <f t="shared" si="83"/>
        <v>0.6508474576271186</v>
      </c>
      <c r="R197" s="5">
        <f t="shared" si="83"/>
        <v>1.7871649065800164</v>
      </c>
      <c r="S197" s="5">
        <f t="shared" si="83"/>
        <v>1.9451573686343375</v>
      </c>
      <c r="T197" s="5">
        <f t="shared" si="83"/>
        <v>0.65401035516395678</v>
      </c>
      <c r="U197" s="5">
        <f t="shared" si="83"/>
        <v>0.65401035516395678</v>
      </c>
      <c r="V197" s="5">
        <f t="shared" si="83"/>
        <v>0.76287349014621741</v>
      </c>
      <c r="W197" s="5">
        <f t="shared" si="83"/>
        <v>0.48800325335502232</v>
      </c>
      <c r="X197" s="5">
        <f t="shared" si="83"/>
        <v>0.813228517213337</v>
      </c>
      <c r="Y197" s="5">
        <f t="shared" si="83"/>
        <v>0.65046526334808918</v>
      </c>
      <c r="Z197" s="5">
        <f t="shared" si="83"/>
        <v>0.569313976658127</v>
      </c>
      <c r="AA197" s="5">
        <f t="shared" si="83"/>
        <v>0.74224617831580808</v>
      </c>
      <c r="AB197" s="5">
        <f t="shared" si="83"/>
        <v>0.43616537937301225</v>
      </c>
      <c r="AC197" s="5">
        <f t="shared" si="83"/>
        <v>0.15806111696522657</v>
      </c>
      <c r="AD197" s="5">
        <f t="shared" si="83"/>
        <v>0.3188097768331562</v>
      </c>
      <c r="AE197" s="5">
        <f t="shared" si="83"/>
        <v>0.61255742725880558</v>
      </c>
      <c r="AF197" s="5">
        <f t="shared" si="83"/>
        <v>1.1213047910295617</v>
      </c>
      <c r="AG197" s="5">
        <f t="shared" si="83"/>
        <v>0.12501302218981145</v>
      </c>
      <c r="AH197" s="5">
        <f t="shared" si="83"/>
        <v>0.76667518527983647</v>
      </c>
      <c r="AI197" s="5">
        <f t="shared" si="83"/>
        <v>0.40353089533417402</v>
      </c>
      <c r="AJ197" s="44">
        <f t="shared" si="83"/>
        <v>0.21333333333333335</v>
      </c>
      <c r="AK197" s="61"/>
      <c r="AL197" s="142">
        <f>AL187/AL175*100</f>
        <v>-6.099219700765957</v>
      </c>
    </row>
    <row r="198" spans="2:108 15074:15466" s="1" customFormat="1" ht="13.8" x14ac:dyDescent="0.25">
      <c r="B198" s="149"/>
      <c r="C198" s="102" t="s">
        <v>127</v>
      </c>
      <c r="D198" s="34">
        <v>0.5</v>
      </c>
      <c r="E198" s="26" t="s">
        <v>29</v>
      </c>
      <c r="F198" s="5" t="e">
        <f t="shared" si="83"/>
        <v>#DIV/0!</v>
      </c>
      <c r="G198" s="5" t="e">
        <f t="shared" si="83"/>
        <v>#DIV/0!</v>
      </c>
      <c r="H198" s="5">
        <f t="shared" si="83"/>
        <v>0.58455114822546972</v>
      </c>
      <c r="I198" s="5" t="e">
        <f t="shared" si="83"/>
        <v>#DIV/0!</v>
      </c>
      <c r="J198" s="5" t="e">
        <f t="shared" si="83"/>
        <v>#DIV/0!</v>
      </c>
      <c r="K198" s="5" t="e">
        <f t="shared" si="83"/>
        <v>#DIV/0!</v>
      </c>
      <c r="L198" s="5">
        <f t="shared" si="83"/>
        <v>0.24413400244134004</v>
      </c>
      <c r="M198" s="5" t="e">
        <f t="shared" si="83"/>
        <v>#DIV/0!</v>
      </c>
      <c r="N198" s="5" t="e">
        <f t="shared" si="83"/>
        <v>#DIV/0!</v>
      </c>
      <c r="O198" s="5" t="e">
        <f t="shared" si="83"/>
        <v>#DIV/0!</v>
      </c>
      <c r="P198" s="5" t="e">
        <f t="shared" si="83"/>
        <v>#DIV/0!</v>
      </c>
      <c r="Q198" s="5">
        <f t="shared" si="83"/>
        <v>0.40832993058391182</v>
      </c>
      <c r="R198" s="5">
        <f t="shared" si="83"/>
        <v>0.48615800135043896</v>
      </c>
      <c r="S198" s="5" t="e">
        <f t="shared" si="83"/>
        <v>#DIV/0!</v>
      </c>
      <c r="T198" s="5" t="e">
        <f t="shared" si="83"/>
        <v>#DIV/0!</v>
      </c>
      <c r="U198" s="5" t="e">
        <f t="shared" si="83"/>
        <v>#DIV/0!</v>
      </c>
      <c r="V198" s="5" t="e">
        <f t="shared" si="83"/>
        <v>#DIV/0!</v>
      </c>
      <c r="W198" s="5">
        <f t="shared" si="83"/>
        <v>0</v>
      </c>
      <c r="X198" s="5">
        <f t="shared" si="83"/>
        <v>0.49607275733774286</v>
      </c>
      <c r="Y198" s="5">
        <f t="shared" si="83"/>
        <v>0</v>
      </c>
      <c r="Z198" s="5" t="e">
        <f t="shared" si="83"/>
        <v>#DIV/0!</v>
      </c>
      <c r="AA198" s="5" t="e">
        <f t="shared" si="83"/>
        <v>#DIV/0!</v>
      </c>
      <c r="AB198" s="5">
        <f t="shared" si="83"/>
        <v>8.4198708953129378E-2</v>
      </c>
      <c r="AC198" s="5">
        <f t="shared" si="83"/>
        <v>0.25743707093821511</v>
      </c>
      <c r="AD198" s="5" t="e">
        <f t="shared" si="83"/>
        <v>#DIV/0!</v>
      </c>
      <c r="AE198" s="5" t="e">
        <f t="shared" si="83"/>
        <v>#DIV/0!</v>
      </c>
      <c r="AF198" s="5" t="e">
        <f t="shared" si="83"/>
        <v>#DIV/0!</v>
      </c>
      <c r="AG198" s="5" t="e">
        <f t="shared" si="83"/>
        <v>#DIV/0!</v>
      </c>
      <c r="AH198" s="5">
        <f t="shared" si="83"/>
        <v>1.6363636363636365</v>
      </c>
      <c r="AI198" s="5" t="e">
        <f t="shared" si="83"/>
        <v>#DIV/0!</v>
      </c>
      <c r="AJ198" s="44" t="e">
        <f t="shared" si="83"/>
        <v>#DIV/0!</v>
      </c>
      <c r="AK198" s="61"/>
      <c r="AL198" s="142" t="e">
        <f>AL188/AL176*100</f>
        <v>#DIV/0!</v>
      </c>
    </row>
    <row r="199" spans="2:108 15074:15466" s="1" customFormat="1" ht="13.8" x14ac:dyDescent="0.25">
      <c r="B199" s="149"/>
      <c r="C199" s="105" t="s">
        <v>106</v>
      </c>
      <c r="D199" s="259"/>
      <c r="E199" s="46" t="s">
        <v>16</v>
      </c>
      <c r="F199" s="47">
        <f t="shared" ref="F199:AJ199" si="84">F172</f>
        <v>106066</v>
      </c>
      <c r="G199" s="47">
        <f t="shared" si="84"/>
        <v>108310</v>
      </c>
      <c r="H199" s="47">
        <f t="shared" si="84"/>
        <v>174083</v>
      </c>
      <c r="I199" s="47">
        <f t="shared" si="84"/>
        <v>158683</v>
      </c>
      <c r="J199" s="47">
        <f t="shared" si="84"/>
        <v>95779</v>
      </c>
      <c r="K199" s="47">
        <f t="shared" si="84"/>
        <v>142717</v>
      </c>
      <c r="L199" s="47">
        <f t="shared" si="84"/>
        <v>143715</v>
      </c>
      <c r="M199" s="47">
        <f t="shared" si="84"/>
        <v>107084</v>
      </c>
      <c r="N199" s="47">
        <f t="shared" si="84"/>
        <v>123925</v>
      </c>
      <c r="O199" s="47">
        <f t="shared" si="84"/>
        <v>103832</v>
      </c>
      <c r="P199" s="47">
        <f t="shared" si="84"/>
        <v>164522</v>
      </c>
      <c r="Q199" s="47">
        <f t="shared" si="84"/>
        <v>120029</v>
      </c>
      <c r="R199" s="47">
        <f t="shared" si="84"/>
        <v>186754</v>
      </c>
      <c r="S199" s="47">
        <f t="shared" si="84"/>
        <v>76741</v>
      </c>
      <c r="T199" s="47">
        <f t="shared" si="84"/>
        <v>97981</v>
      </c>
      <c r="U199" s="47">
        <f t="shared" si="84"/>
        <v>150761</v>
      </c>
      <c r="V199" s="47">
        <f t="shared" si="84"/>
        <v>100842</v>
      </c>
      <c r="W199" s="47">
        <f t="shared" si="84"/>
        <v>77986</v>
      </c>
      <c r="X199" s="47">
        <f t="shared" si="84"/>
        <v>146391</v>
      </c>
      <c r="Y199" s="47">
        <f t="shared" si="84"/>
        <v>110294</v>
      </c>
      <c r="Z199" s="47">
        <f t="shared" si="84"/>
        <v>122802</v>
      </c>
      <c r="AA199" s="47">
        <f t="shared" si="84"/>
        <v>130079</v>
      </c>
      <c r="AB199" s="47">
        <f t="shared" si="84"/>
        <v>200653</v>
      </c>
      <c r="AC199" s="47">
        <f t="shared" si="84"/>
        <v>153301</v>
      </c>
      <c r="AD199" s="47">
        <f t="shared" si="84"/>
        <v>137554</v>
      </c>
      <c r="AE199" s="47">
        <f t="shared" si="84"/>
        <v>110862</v>
      </c>
      <c r="AF199" s="47">
        <f t="shared" si="84"/>
        <v>137477</v>
      </c>
      <c r="AG199" s="47">
        <f t="shared" si="84"/>
        <v>94497</v>
      </c>
      <c r="AH199" s="47">
        <f t="shared" si="84"/>
        <v>157917</v>
      </c>
      <c r="AI199" s="47">
        <f t="shared" si="84"/>
        <v>134775</v>
      </c>
      <c r="AJ199" s="87">
        <f t="shared" si="84"/>
        <v>120713</v>
      </c>
      <c r="AK199" s="67"/>
      <c r="AL199" s="260">
        <f>SUM(E199:AJ199)</f>
        <v>3997125</v>
      </c>
    </row>
    <row r="200" spans="2:108 15074:15466" s="1" customFormat="1" ht="13.8" x14ac:dyDescent="0.25">
      <c r="B200" s="149"/>
      <c r="C200" s="106" t="s">
        <v>120</v>
      </c>
      <c r="D200" s="261"/>
      <c r="E200" s="48" t="s">
        <v>16</v>
      </c>
      <c r="F200" s="49">
        <f t="shared" ref="F200:AJ200" si="85">F117</f>
        <v>65731</v>
      </c>
      <c r="G200" s="49">
        <f t="shared" si="85"/>
        <v>68739</v>
      </c>
      <c r="H200" s="49">
        <f t="shared" si="85"/>
        <v>59802</v>
      </c>
      <c r="I200" s="49">
        <f t="shared" si="85"/>
        <v>69886</v>
      </c>
      <c r="J200" s="49">
        <f t="shared" si="85"/>
        <v>62136</v>
      </c>
      <c r="K200" s="49">
        <f t="shared" si="85"/>
        <v>33807</v>
      </c>
      <c r="L200" s="49">
        <f t="shared" si="85"/>
        <v>30691</v>
      </c>
      <c r="M200" s="49">
        <f t="shared" si="85"/>
        <v>74741</v>
      </c>
      <c r="N200" s="49">
        <f t="shared" si="85"/>
        <v>72155</v>
      </c>
      <c r="O200" s="49">
        <f t="shared" si="85"/>
        <v>81615</v>
      </c>
      <c r="P200" s="49">
        <f t="shared" si="85"/>
        <v>54459</v>
      </c>
      <c r="Q200" s="49">
        <f t="shared" si="85"/>
        <v>109637</v>
      </c>
      <c r="R200" s="49">
        <f t="shared" si="85"/>
        <v>59544</v>
      </c>
      <c r="S200" s="49">
        <f t="shared" si="85"/>
        <v>112352</v>
      </c>
      <c r="T200" s="49">
        <f t="shared" si="85"/>
        <v>55462</v>
      </c>
      <c r="U200" s="49">
        <f t="shared" si="85"/>
        <v>66933</v>
      </c>
      <c r="V200" s="49">
        <f t="shared" si="85"/>
        <v>58935</v>
      </c>
      <c r="W200" s="49">
        <f t="shared" si="85"/>
        <v>98794</v>
      </c>
      <c r="X200" s="49">
        <f t="shared" si="85"/>
        <v>35763</v>
      </c>
      <c r="Y200" s="49">
        <f t="shared" si="85"/>
        <v>46903</v>
      </c>
      <c r="Z200" s="49">
        <f t="shared" si="85"/>
        <v>21989</v>
      </c>
      <c r="AA200" s="49">
        <f t="shared" si="85"/>
        <v>74890</v>
      </c>
      <c r="AB200" s="49">
        <f t="shared" si="85"/>
        <v>57597</v>
      </c>
      <c r="AC200" s="49">
        <f t="shared" si="85"/>
        <v>45061</v>
      </c>
      <c r="AD200" s="49">
        <f t="shared" si="85"/>
        <v>78299</v>
      </c>
      <c r="AE200" s="49">
        <f t="shared" si="85"/>
        <v>93998</v>
      </c>
      <c r="AF200" s="49">
        <f t="shared" si="85"/>
        <v>62256</v>
      </c>
      <c r="AG200" s="49">
        <f t="shared" si="85"/>
        <v>111273</v>
      </c>
      <c r="AH200" s="49">
        <f t="shared" si="85"/>
        <v>71552</v>
      </c>
      <c r="AI200" s="49">
        <f t="shared" si="85"/>
        <v>94081</v>
      </c>
      <c r="AJ200" s="66">
        <f t="shared" si="85"/>
        <v>62167</v>
      </c>
      <c r="AK200" s="67"/>
      <c r="AL200" s="138">
        <f>SUM(F200:AJ200)</f>
        <v>2091248</v>
      </c>
    </row>
    <row r="201" spans="2:108 15074:15466" s="1" customFormat="1" ht="13.8" x14ac:dyDescent="0.25">
      <c r="B201" s="149"/>
      <c r="C201" s="107" t="s">
        <v>101</v>
      </c>
      <c r="D201" s="262"/>
      <c r="E201" s="50" t="s">
        <v>16</v>
      </c>
      <c r="F201" s="51">
        <f t="shared" ref="F201:AJ201" si="86">F62</f>
        <v>0</v>
      </c>
      <c r="G201" s="51">
        <f t="shared" si="86"/>
        <v>0</v>
      </c>
      <c r="H201" s="51">
        <f t="shared" si="86"/>
        <v>97094</v>
      </c>
      <c r="I201" s="51">
        <f t="shared" si="86"/>
        <v>0</v>
      </c>
      <c r="J201" s="51">
        <f t="shared" si="86"/>
        <v>0</v>
      </c>
      <c r="K201" s="51">
        <f t="shared" si="86"/>
        <v>0</v>
      </c>
      <c r="L201" s="51">
        <f t="shared" si="86"/>
        <v>0</v>
      </c>
      <c r="M201" s="51">
        <f t="shared" si="86"/>
        <v>0</v>
      </c>
      <c r="N201" s="51">
        <f t="shared" si="86"/>
        <v>0</v>
      </c>
      <c r="O201" s="51">
        <f t="shared" si="86"/>
        <v>0</v>
      </c>
      <c r="P201" s="51">
        <f t="shared" si="86"/>
        <v>0</v>
      </c>
      <c r="Q201" s="51">
        <f t="shared" si="86"/>
        <v>0</v>
      </c>
      <c r="R201" s="51">
        <f t="shared" si="86"/>
        <v>0</v>
      </c>
      <c r="S201" s="51">
        <f t="shared" si="86"/>
        <v>0</v>
      </c>
      <c r="T201" s="51">
        <f t="shared" si="86"/>
        <v>0</v>
      </c>
      <c r="U201" s="51">
        <f t="shared" si="86"/>
        <v>0</v>
      </c>
      <c r="V201" s="51">
        <f t="shared" si="86"/>
        <v>0</v>
      </c>
      <c r="W201" s="51">
        <f t="shared" si="86"/>
        <v>153100</v>
      </c>
      <c r="X201" s="51">
        <f t="shared" si="86"/>
        <v>0</v>
      </c>
      <c r="Y201" s="51">
        <f t="shared" si="86"/>
        <v>92923</v>
      </c>
      <c r="Z201" s="51">
        <f t="shared" si="86"/>
        <v>50302</v>
      </c>
      <c r="AA201" s="51">
        <f t="shared" si="86"/>
        <v>0</v>
      </c>
      <c r="AB201" s="51">
        <f t="shared" si="86"/>
        <v>0</v>
      </c>
      <c r="AC201" s="51">
        <f t="shared" si="86"/>
        <v>0</v>
      </c>
      <c r="AD201" s="51">
        <f t="shared" si="86"/>
        <v>0</v>
      </c>
      <c r="AE201" s="51">
        <f t="shared" si="86"/>
        <v>0</v>
      </c>
      <c r="AF201" s="51">
        <f t="shared" si="86"/>
        <v>0</v>
      </c>
      <c r="AG201" s="51">
        <f t="shared" si="86"/>
        <v>0</v>
      </c>
      <c r="AH201" s="51">
        <f t="shared" si="86"/>
        <v>0</v>
      </c>
      <c r="AI201" s="51">
        <f t="shared" si="86"/>
        <v>98200</v>
      </c>
      <c r="AJ201" s="68">
        <f t="shared" si="86"/>
        <v>0</v>
      </c>
      <c r="AK201" s="67"/>
      <c r="AL201" s="263">
        <f>SUM(E201:AJ201)</f>
        <v>491619</v>
      </c>
    </row>
    <row r="202" spans="2:108 15074:15466" s="1" customFormat="1" ht="13.8" x14ac:dyDescent="0.25">
      <c r="B202" s="149"/>
      <c r="C202" s="108" t="s">
        <v>102</v>
      </c>
      <c r="D202" s="264"/>
      <c r="E202" s="52" t="s">
        <v>98</v>
      </c>
      <c r="F202" s="53">
        <f>F199+F200+F201</f>
        <v>171797</v>
      </c>
      <c r="G202" s="53">
        <f t="shared" ref="G202:AI202" si="87">G199+G200+G201</f>
        <v>177049</v>
      </c>
      <c r="H202" s="53">
        <f t="shared" si="87"/>
        <v>330979</v>
      </c>
      <c r="I202" s="53">
        <f t="shared" si="87"/>
        <v>228569</v>
      </c>
      <c r="J202" s="53">
        <f t="shared" si="87"/>
        <v>157915</v>
      </c>
      <c r="K202" s="53">
        <f t="shared" si="87"/>
        <v>176524</v>
      </c>
      <c r="L202" s="53">
        <f t="shared" si="87"/>
        <v>174406</v>
      </c>
      <c r="M202" s="53">
        <f t="shared" si="87"/>
        <v>181825</v>
      </c>
      <c r="N202" s="53">
        <f t="shared" si="87"/>
        <v>196080</v>
      </c>
      <c r="O202" s="53">
        <f t="shared" si="87"/>
        <v>185447</v>
      </c>
      <c r="P202" s="53">
        <f t="shared" si="87"/>
        <v>218981</v>
      </c>
      <c r="Q202" s="53">
        <f t="shared" si="87"/>
        <v>229666</v>
      </c>
      <c r="R202" s="53">
        <f t="shared" si="87"/>
        <v>246298</v>
      </c>
      <c r="S202" s="53">
        <f t="shared" si="87"/>
        <v>189093</v>
      </c>
      <c r="T202" s="53">
        <f t="shared" si="87"/>
        <v>153443</v>
      </c>
      <c r="U202" s="53">
        <f t="shared" si="87"/>
        <v>217694</v>
      </c>
      <c r="V202" s="53">
        <f t="shared" si="87"/>
        <v>159777</v>
      </c>
      <c r="W202" s="53">
        <f t="shared" si="87"/>
        <v>329880</v>
      </c>
      <c r="X202" s="53">
        <f t="shared" si="87"/>
        <v>182154</v>
      </c>
      <c r="Y202" s="53">
        <f t="shared" si="87"/>
        <v>250120</v>
      </c>
      <c r="Z202" s="53">
        <f t="shared" si="87"/>
        <v>195093</v>
      </c>
      <c r="AA202" s="53">
        <f>AA199+AA200+AA201</f>
        <v>204969</v>
      </c>
      <c r="AB202" s="53">
        <f t="shared" si="87"/>
        <v>258250</v>
      </c>
      <c r="AC202" s="53">
        <f t="shared" si="87"/>
        <v>198362</v>
      </c>
      <c r="AD202" s="53">
        <f t="shared" si="87"/>
        <v>215853</v>
      </c>
      <c r="AE202" s="53">
        <f t="shared" si="87"/>
        <v>204860</v>
      </c>
      <c r="AF202" s="53">
        <f t="shared" si="87"/>
        <v>199733</v>
      </c>
      <c r="AG202" s="53">
        <f t="shared" si="87"/>
        <v>205770</v>
      </c>
      <c r="AH202" s="53">
        <f t="shared" si="87"/>
        <v>229469</v>
      </c>
      <c r="AI202" s="53">
        <f t="shared" si="87"/>
        <v>327056</v>
      </c>
      <c r="AJ202" s="69">
        <f>AJ199+AJ200+AJ201</f>
        <v>182880</v>
      </c>
      <c r="AK202" s="67"/>
      <c r="AL202" s="70">
        <f>AL199+AL200+AL201</f>
        <v>6579992</v>
      </c>
    </row>
    <row r="203" spans="2:108 15074:15466" s="1" customFormat="1" ht="13.8" x14ac:dyDescent="0.25">
      <c r="B203" s="149"/>
      <c r="C203" s="109" t="s">
        <v>107</v>
      </c>
      <c r="D203" s="264"/>
      <c r="E203" s="54" t="s">
        <v>16</v>
      </c>
      <c r="F203" s="55">
        <f t="shared" ref="F203:AJ203" si="88">SUM(F173+F144+F118+F90+F63)</f>
        <v>185240.6</v>
      </c>
      <c r="G203" s="55">
        <f t="shared" si="88"/>
        <v>174718.3</v>
      </c>
      <c r="H203" s="55">
        <f t="shared" si="88"/>
        <v>232826.41999999998</v>
      </c>
      <c r="I203" s="55">
        <f t="shared" si="88"/>
        <v>191856.93</v>
      </c>
      <c r="J203" s="55">
        <f t="shared" si="88"/>
        <v>191987.56</v>
      </c>
      <c r="K203" s="55">
        <f t="shared" si="88"/>
        <v>234830.82000000004</v>
      </c>
      <c r="L203" s="55">
        <f t="shared" si="88"/>
        <v>234231.05000000002</v>
      </c>
      <c r="M203" s="55">
        <f t="shared" si="88"/>
        <v>190506.91999999998</v>
      </c>
      <c r="N203" s="55">
        <f t="shared" si="88"/>
        <v>187067.86</v>
      </c>
      <c r="O203" s="55">
        <f t="shared" si="88"/>
        <v>190391.56</v>
      </c>
      <c r="P203" s="55">
        <f t="shared" si="88"/>
        <v>191811.56</v>
      </c>
      <c r="Q203" s="55">
        <f t="shared" si="88"/>
        <v>266328.49</v>
      </c>
      <c r="R203" s="55">
        <f t="shared" si="88"/>
        <v>232118.66999999998</v>
      </c>
      <c r="S203" s="55">
        <f t="shared" si="88"/>
        <v>191627.66999999998</v>
      </c>
      <c r="T203" s="55">
        <f t="shared" si="88"/>
        <v>190674.96000000002</v>
      </c>
      <c r="U203" s="55">
        <f t="shared" si="88"/>
        <v>190682.91</v>
      </c>
      <c r="V203" s="55">
        <f t="shared" si="88"/>
        <v>190683.97999999998</v>
      </c>
      <c r="W203" s="55">
        <f t="shared" si="88"/>
        <v>221889.01</v>
      </c>
      <c r="X203" s="55">
        <f t="shared" si="88"/>
        <v>234295.01</v>
      </c>
      <c r="Y203" s="55">
        <f t="shared" si="88"/>
        <v>236024.94</v>
      </c>
      <c r="Z203" s="55">
        <f t="shared" si="88"/>
        <v>226945.91999999998</v>
      </c>
      <c r="AA203" s="55">
        <f t="shared" si="88"/>
        <v>194602.84</v>
      </c>
      <c r="AB203" s="55">
        <f t="shared" si="88"/>
        <v>232036.00999999998</v>
      </c>
      <c r="AC203" s="55">
        <f t="shared" si="88"/>
        <v>232820.79</v>
      </c>
      <c r="AD203" s="55">
        <f>SUM(AD173+AD144+AD118+AD90+AD63)</f>
        <v>195379.16999999998</v>
      </c>
      <c r="AE203" s="55">
        <f t="shared" si="88"/>
        <v>203701.7</v>
      </c>
      <c r="AF203" s="55">
        <f t="shared" si="88"/>
        <v>203822.96000000002</v>
      </c>
      <c r="AG203" s="55">
        <f t="shared" si="88"/>
        <v>198624.15999999997</v>
      </c>
      <c r="AH203" s="55">
        <f t="shared" si="88"/>
        <v>237946.27</v>
      </c>
      <c r="AI203" s="55">
        <f t="shared" ref="AI203" si="89">SUM(AI173+AI144+AI118+AI90+AI63)</f>
        <v>204230.27</v>
      </c>
      <c r="AJ203" s="71">
        <f t="shared" si="88"/>
        <v>197161.01</v>
      </c>
      <c r="AK203" s="72"/>
      <c r="AL203" s="265">
        <f>SUM(F203:AJ203)</f>
        <v>6487066.3199999994</v>
      </c>
    </row>
    <row r="204" spans="2:108 15074:15466" s="1" customFormat="1" x14ac:dyDescent="0.3">
      <c r="B204" s="97">
        <v>8</v>
      </c>
      <c r="C204" s="179" t="s">
        <v>28</v>
      </c>
      <c r="D204" s="115"/>
      <c r="E204" s="181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77"/>
      <c r="AH204" s="77"/>
      <c r="AI204" s="77"/>
      <c r="AJ204" s="85"/>
      <c r="AK204" s="16"/>
      <c r="AL204" s="190" t="s">
        <v>27</v>
      </c>
      <c r="DD204" s="3"/>
      <c r="VGT204"/>
      <c r="VGU204"/>
      <c r="VGV204"/>
      <c r="VGW204"/>
      <c r="VGX204"/>
      <c r="VGY204"/>
      <c r="VGZ204"/>
      <c r="VHA204"/>
      <c r="VHB204"/>
      <c r="VHC204"/>
      <c r="VHD204"/>
      <c r="VHE204"/>
      <c r="VHF204"/>
      <c r="VHG204"/>
      <c r="VHH204"/>
      <c r="VHI204"/>
      <c r="VHJ204"/>
      <c r="VHK204"/>
      <c r="VHL204"/>
      <c r="VHM204"/>
      <c r="VHN204"/>
      <c r="VHO204"/>
      <c r="VHP204"/>
      <c r="VHQ204"/>
      <c r="VHR204"/>
      <c r="VHS204"/>
      <c r="VHT204"/>
      <c r="VHU204"/>
      <c r="VHV204"/>
      <c r="VHW204"/>
      <c r="VHX204"/>
      <c r="VHY204"/>
      <c r="VHZ204"/>
      <c r="VIA204"/>
      <c r="VIB204"/>
      <c r="VIC204"/>
      <c r="VID204"/>
      <c r="VIE204"/>
      <c r="VIF204"/>
      <c r="VIG204"/>
      <c r="VIH204"/>
      <c r="VII204"/>
      <c r="VIJ204"/>
      <c r="VIK204"/>
      <c r="VIL204"/>
      <c r="VIM204"/>
      <c r="VIN204"/>
      <c r="VIO204"/>
      <c r="VIP204"/>
      <c r="VIQ204"/>
      <c r="VIR204"/>
      <c r="VIS204"/>
      <c r="VIT204"/>
      <c r="VIU204"/>
      <c r="VIV204"/>
      <c r="VIW204"/>
      <c r="VIX204"/>
      <c r="VIY204"/>
      <c r="VIZ204"/>
      <c r="VJA204"/>
      <c r="VJB204"/>
      <c r="VJC204"/>
      <c r="VJD204"/>
      <c r="VJE204"/>
      <c r="VJF204"/>
      <c r="VJG204"/>
      <c r="VJH204"/>
      <c r="VJI204"/>
      <c r="VJJ204"/>
      <c r="VJK204"/>
      <c r="VJL204"/>
      <c r="VJM204"/>
      <c r="VJN204"/>
      <c r="VJO204"/>
      <c r="VJP204"/>
      <c r="VJQ204"/>
      <c r="VJR204"/>
      <c r="VJS204"/>
      <c r="VJT204"/>
      <c r="VJU204"/>
      <c r="VJV204"/>
      <c r="VJW204"/>
      <c r="VJX204"/>
      <c r="VJY204"/>
      <c r="VJZ204"/>
      <c r="VKA204"/>
      <c r="VKB204"/>
      <c r="VKC204"/>
      <c r="VKD204"/>
      <c r="VKE204"/>
      <c r="VKF204"/>
      <c r="VKG204"/>
      <c r="VKH204"/>
      <c r="VKI204"/>
      <c r="VKJ204"/>
      <c r="VKK204"/>
      <c r="VKL204"/>
      <c r="VKM204"/>
      <c r="VKN204"/>
      <c r="VKO204"/>
      <c r="VKP204"/>
      <c r="VKQ204"/>
      <c r="VKR204"/>
      <c r="VKS204"/>
      <c r="VKT204"/>
      <c r="VKU204"/>
      <c r="VKV204"/>
      <c r="VKW204"/>
      <c r="VKX204"/>
      <c r="VKY204"/>
      <c r="VKZ204"/>
      <c r="VLA204"/>
      <c r="VLB204"/>
      <c r="VLC204"/>
      <c r="VLD204"/>
      <c r="VLE204"/>
      <c r="VLF204"/>
      <c r="VLG204"/>
      <c r="VLH204"/>
      <c r="VLI204"/>
      <c r="VLJ204"/>
      <c r="VLK204"/>
      <c r="VLL204"/>
      <c r="VLM204"/>
      <c r="VLN204"/>
      <c r="VLO204"/>
      <c r="VLP204"/>
      <c r="VLQ204"/>
      <c r="VLR204"/>
      <c r="VLS204"/>
      <c r="VLT204"/>
      <c r="VLU204"/>
      <c r="VLV204"/>
      <c r="VLW204"/>
      <c r="VLX204"/>
      <c r="VLY204"/>
      <c r="VLZ204"/>
      <c r="VMA204"/>
      <c r="VMB204"/>
      <c r="VMC204"/>
      <c r="VMD204"/>
      <c r="VME204"/>
      <c r="VMF204"/>
      <c r="VMG204"/>
      <c r="VMH204"/>
      <c r="VMI204"/>
      <c r="VMJ204"/>
      <c r="VMK204"/>
      <c r="VML204"/>
      <c r="VMM204"/>
      <c r="VMN204"/>
      <c r="VMO204"/>
      <c r="VMP204"/>
      <c r="VMQ204"/>
      <c r="VMR204"/>
      <c r="VMS204"/>
      <c r="VMT204"/>
      <c r="VMU204"/>
      <c r="VMV204"/>
      <c r="VMW204"/>
      <c r="VMX204"/>
      <c r="VMY204"/>
      <c r="VMZ204"/>
      <c r="VNA204"/>
      <c r="VNB204"/>
      <c r="VNC204"/>
      <c r="VND204"/>
      <c r="VNE204"/>
      <c r="VNF204"/>
      <c r="VNG204"/>
      <c r="VNH204"/>
      <c r="VNI204"/>
      <c r="VNJ204"/>
      <c r="VNK204"/>
      <c r="VNL204"/>
      <c r="VNM204"/>
      <c r="VNN204"/>
      <c r="VNO204"/>
      <c r="VNP204"/>
      <c r="VNQ204"/>
      <c r="VNR204"/>
      <c r="VNS204"/>
      <c r="VNT204"/>
      <c r="VNU204"/>
      <c r="VNV204"/>
      <c r="VNW204"/>
      <c r="VNX204"/>
      <c r="VNY204"/>
      <c r="VNZ204"/>
      <c r="VOA204"/>
      <c r="VOB204"/>
      <c r="VOC204"/>
      <c r="VOD204"/>
      <c r="VOE204"/>
      <c r="VOF204"/>
      <c r="VOG204"/>
      <c r="VOH204"/>
      <c r="VOI204"/>
      <c r="VOJ204"/>
      <c r="VOK204"/>
      <c r="VOL204"/>
      <c r="VOM204"/>
      <c r="VON204"/>
      <c r="VOO204"/>
      <c r="VOP204"/>
      <c r="VOQ204"/>
      <c r="VOR204"/>
      <c r="VOS204"/>
      <c r="VOT204"/>
      <c r="VOU204"/>
      <c r="VOV204"/>
      <c r="VOW204"/>
      <c r="VOX204"/>
      <c r="VOY204"/>
      <c r="VOZ204"/>
      <c r="VPA204"/>
      <c r="VPB204"/>
      <c r="VPC204"/>
      <c r="VPD204"/>
      <c r="VPE204"/>
      <c r="VPF204"/>
      <c r="VPG204"/>
      <c r="VPH204"/>
      <c r="VPI204"/>
      <c r="VPJ204"/>
      <c r="VPK204"/>
      <c r="VPL204"/>
      <c r="VPM204"/>
      <c r="VPN204"/>
      <c r="VPO204"/>
      <c r="VPP204"/>
      <c r="VPQ204"/>
      <c r="VPR204"/>
      <c r="VPS204"/>
      <c r="VPT204"/>
      <c r="VPU204"/>
      <c r="VPV204"/>
      <c r="VPW204"/>
      <c r="VPX204"/>
      <c r="VPY204"/>
      <c r="VPZ204"/>
      <c r="VQA204"/>
      <c r="VQB204"/>
      <c r="VQC204"/>
      <c r="VQD204"/>
      <c r="VQE204"/>
      <c r="VQF204"/>
      <c r="VQG204"/>
      <c r="VQH204"/>
      <c r="VQI204"/>
      <c r="VQJ204"/>
      <c r="VQK204"/>
      <c r="VQL204"/>
      <c r="VQM204"/>
      <c r="VQN204"/>
      <c r="VQO204"/>
      <c r="VQP204"/>
      <c r="VQQ204"/>
      <c r="VQR204"/>
      <c r="VQS204"/>
      <c r="VQT204"/>
      <c r="VQU204"/>
      <c r="VQV204"/>
      <c r="VQW204"/>
      <c r="VQX204"/>
      <c r="VQY204"/>
      <c r="VQZ204"/>
      <c r="VRA204"/>
      <c r="VRB204"/>
      <c r="VRC204"/>
      <c r="VRD204"/>
      <c r="VRE204"/>
      <c r="VRF204"/>
      <c r="VRG204"/>
      <c r="VRH204"/>
      <c r="VRI204"/>
      <c r="VRJ204"/>
      <c r="VRK204"/>
      <c r="VRL204"/>
      <c r="VRM204"/>
      <c r="VRN204"/>
      <c r="VRO204"/>
      <c r="VRP204"/>
      <c r="VRQ204"/>
      <c r="VRR204"/>
      <c r="VRS204"/>
      <c r="VRT204"/>
      <c r="VRU204"/>
      <c r="VRV204"/>
      <c r="VRW204"/>
      <c r="VRX204"/>
      <c r="VRY204"/>
      <c r="VRZ204"/>
      <c r="VSA204"/>
      <c r="VSB204"/>
      <c r="VSC204"/>
      <c r="VSD204"/>
      <c r="VSE204"/>
      <c r="VSF204"/>
      <c r="VSG204"/>
      <c r="VSH204"/>
      <c r="VSI204"/>
      <c r="VSJ204"/>
      <c r="VSK204"/>
      <c r="VSL204"/>
      <c r="VSM204"/>
      <c r="VSN204"/>
      <c r="VSO204"/>
      <c r="VSP204"/>
      <c r="VSQ204"/>
      <c r="VSR204"/>
      <c r="VSS204"/>
      <c r="VST204"/>
      <c r="VSU204"/>
      <c r="VSV204"/>
      <c r="VSW204"/>
      <c r="VSX204"/>
      <c r="VSY204"/>
      <c r="VSZ204"/>
      <c r="VTA204"/>
      <c r="VTB204"/>
      <c r="VTC204"/>
      <c r="VTD204"/>
      <c r="VTE204"/>
      <c r="VTF204"/>
      <c r="VTG204"/>
      <c r="VTH204"/>
      <c r="VTI204"/>
      <c r="VTJ204"/>
      <c r="VTK204"/>
      <c r="VTL204"/>
      <c r="VTM204"/>
      <c r="VTN204"/>
      <c r="VTO204"/>
      <c r="VTP204"/>
      <c r="VTQ204"/>
      <c r="VTR204"/>
      <c r="VTS204"/>
      <c r="VTT204"/>
      <c r="VTU204"/>
      <c r="VTV204"/>
      <c r="VTW204"/>
      <c r="VTX204"/>
      <c r="VTY204"/>
      <c r="VTZ204"/>
      <c r="VUA204"/>
      <c r="VUB204"/>
      <c r="VUC204"/>
      <c r="VUD204"/>
      <c r="VUE204"/>
      <c r="VUF204"/>
      <c r="VUG204"/>
      <c r="VUH204"/>
      <c r="VUI204"/>
      <c r="VUJ204"/>
      <c r="VUK204"/>
      <c r="VUL204"/>
      <c r="VUM204"/>
      <c r="VUN204"/>
      <c r="VUO204"/>
      <c r="VUP204"/>
      <c r="VUQ204"/>
      <c r="VUR204"/>
      <c r="VUS204"/>
      <c r="VUT204"/>
      <c r="VUU204"/>
      <c r="VUV204"/>
      <c r="VUW204"/>
      <c r="VUX204"/>
      <c r="VUY204"/>
      <c r="VUZ204"/>
      <c r="VVA204"/>
      <c r="VVB204"/>
      <c r="VVC204"/>
      <c r="VVD204"/>
      <c r="VVE204"/>
      <c r="VVF204"/>
      <c r="VVG204"/>
      <c r="VVH204"/>
      <c r="VVI204"/>
      <c r="VVJ204"/>
      <c r="VVK204"/>
      <c r="VVL204"/>
      <c r="VVM204"/>
      <c r="VVN204"/>
      <c r="VVO204"/>
      <c r="VVP204"/>
      <c r="VVQ204"/>
      <c r="VVR204"/>
      <c r="VVS204"/>
      <c r="VVT204"/>
      <c r="VVU204"/>
      <c r="VVV204"/>
    </row>
    <row r="205" spans="2:108 15074:15466" s="1" customFormat="1" ht="13.8" x14ac:dyDescent="0.25">
      <c r="B205" s="97"/>
      <c r="C205" s="98" t="s">
        <v>26</v>
      </c>
      <c r="D205" s="145"/>
      <c r="E205" s="26" t="s">
        <v>22</v>
      </c>
      <c r="F205" s="11">
        <v>1345.8813</v>
      </c>
      <c r="G205" s="92">
        <v>1347.5619999999999</v>
      </c>
      <c r="H205" s="92">
        <v>1316.9411</v>
      </c>
      <c r="I205" s="11">
        <v>1303.2103</v>
      </c>
      <c r="J205" s="11">
        <v>1401.6914999999999</v>
      </c>
      <c r="K205" s="330">
        <v>1491.357</v>
      </c>
      <c r="L205" s="11">
        <v>1442.6592000000001</v>
      </c>
      <c r="M205" s="11">
        <v>1383.645</v>
      </c>
      <c r="N205" s="11">
        <v>1366.1179999999999</v>
      </c>
      <c r="O205" s="11">
        <v>1362.7415000000001</v>
      </c>
      <c r="P205" s="11">
        <v>1357.905</v>
      </c>
      <c r="Q205" s="11">
        <v>1427.4498000000001</v>
      </c>
      <c r="R205" s="11">
        <v>1325.4798000000001</v>
      </c>
      <c r="S205" s="11">
        <v>1224.1274000000001</v>
      </c>
      <c r="T205" s="11">
        <v>1330.7107000000001</v>
      </c>
      <c r="U205" s="11">
        <v>1364.7143000000001</v>
      </c>
      <c r="V205" s="11">
        <v>1421.0710999999999</v>
      </c>
      <c r="W205" s="11">
        <v>1411.5965000000001</v>
      </c>
      <c r="X205" s="11">
        <v>1216.0790999999999</v>
      </c>
      <c r="Y205" s="11">
        <v>1263.0174999999999</v>
      </c>
      <c r="Z205" s="11">
        <v>1365.7886000000001</v>
      </c>
      <c r="AA205" s="11">
        <v>1115.6587999999999</v>
      </c>
      <c r="AB205" s="11">
        <v>1267.7454</v>
      </c>
      <c r="AC205" s="11">
        <v>1288.5399</v>
      </c>
      <c r="AD205" s="11">
        <v>1315.8892000000001</v>
      </c>
      <c r="AE205" s="11">
        <v>1391.2624000000001</v>
      </c>
      <c r="AF205" s="11">
        <v>1228.4248</v>
      </c>
      <c r="AG205" s="80">
        <v>1299.845</v>
      </c>
      <c r="AH205" s="80">
        <v>1289.6479999999999</v>
      </c>
      <c r="AI205" s="80">
        <v>1272.4770000000001</v>
      </c>
      <c r="AJ205" s="88">
        <v>1428.9658999999999</v>
      </c>
      <c r="AK205" s="16"/>
      <c r="AL205" s="266">
        <f>SUM(F205:AJ205)</f>
        <v>41368.203100000006</v>
      </c>
      <c r="DD205" s="13"/>
    </row>
    <row r="206" spans="2:108 15074:15466" s="2" customFormat="1" ht="13.8" x14ac:dyDescent="0.25">
      <c r="B206" s="159"/>
      <c r="C206" s="183" t="s">
        <v>25</v>
      </c>
      <c r="D206" s="267">
        <f>D210</f>
        <v>1460.001</v>
      </c>
      <c r="E206" s="161" t="s">
        <v>22</v>
      </c>
      <c r="F206" s="11">
        <v>1302.2036000000001</v>
      </c>
      <c r="G206" s="92">
        <v>1271.7954</v>
      </c>
      <c r="H206" s="92">
        <v>1259.2636</v>
      </c>
      <c r="I206" s="11">
        <v>1358.9773</v>
      </c>
      <c r="J206" s="92">
        <v>1457.5360000000001</v>
      </c>
      <c r="K206" s="93">
        <v>1403.9014999999999</v>
      </c>
      <c r="L206" s="93">
        <v>1345.1858999999999</v>
      </c>
      <c r="M206" s="11">
        <v>1323.9286999999999</v>
      </c>
      <c r="N206" s="11">
        <v>1325.4322999999999</v>
      </c>
      <c r="O206" s="11">
        <v>1319.0562</v>
      </c>
      <c r="P206" s="11">
        <v>1351.6216999999999</v>
      </c>
      <c r="Q206" s="11">
        <v>1270.4267</v>
      </c>
      <c r="R206" s="11">
        <v>1185.8648000000001</v>
      </c>
      <c r="S206" s="11">
        <v>1234.8036999999999</v>
      </c>
      <c r="T206" s="11">
        <v>1330.7107000000001</v>
      </c>
      <c r="U206" s="11">
        <v>1373.3820000000001</v>
      </c>
      <c r="V206" s="11">
        <v>1367.3082999999999</v>
      </c>
      <c r="W206" s="11">
        <v>1171.5715</v>
      </c>
      <c r="X206" s="11">
        <v>1216.3480999999999</v>
      </c>
      <c r="Y206" s="11">
        <v>1321.5150000000001</v>
      </c>
      <c r="Z206" s="11">
        <v>1057.7380000000001</v>
      </c>
      <c r="AA206" s="11">
        <v>1221.8205</v>
      </c>
      <c r="AB206" s="11">
        <v>1246.2301</v>
      </c>
      <c r="AC206" s="11">
        <v>1274.0102999999999</v>
      </c>
      <c r="AD206" s="11">
        <v>1351.3716999999999</v>
      </c>
      <c r="AE206" s="11">
        <v>1184.4390000000001</v>
      </c>
      <c r="AF206" s="11">
        <v>1263.8724</v>
      </c>
      <c r="AG206" s="80">
        <v>1250.4412</v>
      </c>
      <c r="AH206" s="80">
        <v>1227.8372999999999</v>
      </c>
      <c r="AI206" s="80">
        <v>1391.9535000000001</v>
      </c>
      <c r="AJ206" s="88">
        <v>1449.9304999999999</v>
      </c>
      <c r="AK206" s="147"/>
      <c r="AL206" s="268">
        <f>SUM(F206:AJ206)</f>
        <v>40110.477500000015</v>
      </c>
      <c r="DD206" s="10"/>
    </row>
    <row r="207" spans="2:108 15074:15466" s="1" customFormat="1" x14ac:dyDescent="0.3">
      <c r="B207" s="149"/>
      <c r="C207" s="100" t="s">
        <v>12</v>
      </c>
      <c r="D207" s="145"/>
      <c r="E207" s="21"/>
      <c r="F207" s="11"/>
      <c r="G207" s="92"/>
      <c r="H207" s="92"/>
      <c r="I207" s="5"/>
      <c r="J207" s="92"/>
      <c r="K207" s="93"/>
      <c r="L207" s="93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28"/>
      <c r="AD207" s="28"/>
      <c r="AE207" s="28"/>
      <c r="AF207" s="28"/>
      <c r="AG207" s="74"/>
      <c r="AH207" s="74"/>
      <c r="AI207" s="74"/>
      <c r="AJ207" s="43"/>
      <c r="AK207" s="16"/>
      <c r="AL207" s="269" t="s">
        <v>12</v>
      </c>
      <c r="DD207" s="3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</row>
    <row r="208" spans="2:108 15074:15466" s="1" customFormat="1" x14ac:dyDescent="0.3">
      <c r="B208" s="149"/>
      <c r="C208" s="98" t="s">
        <v>24</v>
      </c>
      <c r="D208" s="34">
        <v>292</v>
      </c>
      <c r="E208" s="26" t="s">
        <v>22</v>
      </c>
      <c r="F208" s="11">
        <v>233.10769999999999</v>
      </c>
      <c r="G208" s="11">
        <v>236.304</v>
      </c>
      <c r="H208" s="92">
        <v>239.977</v>
      </c>
      <c r="I208" s="11">
        <v>235.1705</v>
      </c>
      <c r="J208" s="92">
        <v>270.81240000000003</v>
      </c>
      <c r="K208" s="93">
        <v>259.91730000000001</v>
      </c>
      <c r="L208" s="93">
        <v>243.80930000000001</v>
      </c>
      <c r="M208" s="11">
        <v>237.92699999999999</v>
      </c>
      <c r="N208" s="11">
        <v>215.20320000000001</v>
      </c>
      <c r="O208" s="11">
        <v>236.3339</v>
      </c>
      <c r="P208" s="11">
        <v>226.82140000000001</v>
      </c>
      <c r="Q208" s="11">
        <v>237.23150000000001</v>
      </c>
      <c r="R208" s="11">
        <v>177.40799999999999</v>
      </c>
      <c r="S208" s="11">
        <v>184.7457</v>
      </c>
      <c r="T208" s="11">
        <v>217.05109999999999</v>
      </c>
      <c r="U208" s="11">
        <v>252.3278</v>
      </c>
      <c r="V208" s="11">
        <v>212.78210000000001</v>
      </c>
      <c r="W208" s="11">
        <v>195.8903</v>
      </c>
      <c r="X208" s="11">
        <v>217.18940000000001</v>
      </c>
      <c r="Y208" s="11">
        <v>215.98269999999999</v>
      </c>
      <c r="Z208" s="11">
        <v>153.62010000000001</v>
      </c>
      <c r="AA208" s="11">
        <v>231.68559999999999</v>
      </c>
      <c r="AB208" s="80">
        <v>186.24815529718677</v>
      </c>
      <c r="AC208" s="270">
        <v>193.19014655711192</v>
      </c>
      <c r="AD208" s="271">
        <v>253.36700191078216</v>
      </c>
      <c r="AE208" s="11">
        <v>245.90734537806682</v>
      </c>
      <c r="AF208" s="11">
        <v>201.44226167465121</v>
      </c>
      <c r="AG208" s="80">
        <v>200.07716162089807</v>
      </c>
      <c r="AH208" s="80">
        <v>207.92306826273924</v>
      </c>
      <c r="AI208" s="348">
        <v>243.49397408981517</v>
      </c>
      <c r="AJ208" s="349">
        <v>279.40718588464608</v>
      </c>
      <c r="AK208" s="16"/>
      <c r="AL208" s="272">
        <f>SUM(F208:AJ208)</f>
        <v>6942.3543006758964</v>
      </c>
      <c r="AO208" s="9"/>
      <c r="DC208" s="9"/>
      <c r="DD208" s="3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</row>
    <row r="209" spans="2:108 15074:15466" s="1" customFormat="1" x14ac:dyDescent="0.3">
      <c r="B209" s="149"/>
      <c r="C209" s="98" t="s">
        <v>23</v>
      </c>
      <c r="D209" s="34">
        <v>1168.001</v>
      </c>
      <c r="E209" s="26" t="s">
        <v>22</v>
      </c>
      <c r="F209" s="11">
        <f t="shared" ref="F209:AH209" si="90">F210-F208</f>
        <v>1069.0959</v>
      </c>
      <c r="G209" s="92">
        <f t="shared" si="90"/>
        <v>1035.4913999999999</v>
      </c>
      <c r="H209" s="92">
        <f t="shared" si="90"/>
        <v>1019.2866</v>
      </c>
      <c r="I209" s="11">
        <f t="shared" si="90"/>
        <v>1123.8068000000001</v>
      </c>
      <c r="J209" s="92">
        <f t="shared" si="90"/>
        <v>1186.7236</v>
      </c>
      <c r="K209" s="93">
        <f t="shared" si="90"/>
        <v>1143.9841999999999</v>
      </c>
      <c r="L209" s="93">
        <f t="shared" si="90"/>
        <v>1101.3766000000001</v>
      </c>
      <c r="M209" s="11">
        <f t="shared" si="90"/>
        <v>1086.0017</v>
      </c>
      <c r="N209" s="11">
        <f t="shared" si="90"/>
        <v>1110.2291</v>
      </c>
      <c r="O209" s="11">
        <f t="shared" si="90"/>
        <v>1082.7222999999999</v>
      </c>
      <c r="P209" s="11">
        <f t="shared" si="90"/>
        <v>1124.8002999999999</v>
      </c>
      <c r="Q209" s="11">
        <f>Q210-Q208</f>
        <v>1033.1951999999999</v>
      </c>
      <c r="R209" s="11">
        <f>R210-R208</f>
        <v>1008.4568</v>
      </c>
      <c r="S209" s="11">
        <f t="shared" si="90"/>
        <v>1050.058</v>
      </c>
      <c r="T209" s="11">
        <f t="shared" si="90"/>
        <v>1113.6596000000002</v>
      </c>
      <c r="U209" s="11">
        <f t="shared" si="90"/>
        <v>1121.0542</v>
      </c>
      <c r="V209" s="11">
        <f t="shared" si="90"/>
        <v>1154.5261999999998</v>
      </c>
      <c r="W209" s="11">
        <f t="shared" si="90"/>
        <v>975.68119999999999</v>
      </c>
      <c r="X209" s="11">
        <f t="shared" si="90"/>
        <v>999.15869999999995</v>
      </c>
      <c r="Y209" s="11">
        <f t="shared" si="90"/>
        <v>1105.5323000000001</v>
      </c>
      <c r="Z209" s="11">
        <f t="shared" si="90"/>
        <v>904.11790000000008</v>
      </c>
      <c r="AA209" s="11">
        <f t="shared" si="90"/>
        <v>990.13490000000002</v>
      </c>
      <c r="AB209" s="11">
        <f t="shared" si="90"/>
        <v>1059.9819447028133</v>
      </c>
      <c r="AC209" s="11">
        <f t="shared" si="90"/>
        <v>1080.8201534428881</v>
      </c>
      <c r="AD209" s="11">
        <f t="shared" si="90"/>
        <v>1098.0046980892178</v>
      </c>
      <c r="AE209" s="11">
        <f t="shared" si="90"/>
        <v>938.53165462193328</v>
      </c>
      <c r="AF209" s="11">
        <f t="shared" si="90"/>
        <v>1062.4301383253487</v>
      </c>
      <c r="AG209" s="11">
        <f t="shared" si="90"/>
        <v>1050.3640383791019</v>
      </c>
      <c r="AH209" s="11">
        <f t="shared" si="90"/>
        <v>1019.9142317372607</v>
      </c>
      <c r="AI209" s="11">
        <f>AI210-AI208</f>
        <v>1148.459525910185</v>
      </c>
      <c r="AJ209" s="88">
        <f>AJ210-AJ208</f>
        <v>1170.523314115354</v>
      </c>
      <c r="AK209" s="16"/>
      <c r="AL209" s="272">
        <f>SUM(F209:AJ209)</f>
        <v>33168.123199324102</v>
      </c>
      <c r="DD209" s="3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</row>
    <row r="210" spans="2:108 15074:15466" s="18" customFormat="1" thickBot="1" x14ac:dyDescent="0.3">
      <c r="B210" s="273"/>
      <c r="C210" s="274" t="s">
        <v>1</v>
      </c>
      <c r="D210" s="275">
        <f>SUM(D208:D209)</f>
        <v>1460.001</v>
      </c>
      <c r="E210" s="209" t="s">
        <v>22</v>
      </c>
      <c r="F210" s="276">
        <f t="shared" ref="F210:AH210" si="91">F206</f>
        <v>1302.2036000000001</v>
      </c>
      <c r="G210" s="277">
        <f t="shared" si="91"/>
        <v>1271.7954</v>
      </c>
      <c r="H210" s="277">
        <f t="shared" si="91"/>
        <v>1259.2636</v>
      </c>
      <c r="I210" s="276">
        <f t="shared" si="91"/>
        <v>1358.9773</v>
      </c>
      <c r="J210" s="276">
        <f>J206</f>
        <v>1457.5360000000001</v>
      </c>
      <c r="K210" s="276">
        <f t="shared" si="91"/>
        <v>1403.9014999999999</v>
      </c>
      <c r="L210" s="276">
        <f t="shared" si="91"/>
        <v>1345.1858999999999</v>
      </c>
      <c r="M210" s="276">
        <f t="shared" si="91"/>
        <v>1323.9286999999999</v>
      </c>
      <c r="N210" s="276">
        <f t="shared" si="91"/>
        <v>1325.4322999999999</v>
      </c>
      <c r="O210" s="276">
        <f t="shared" si="91"/>
        <v>1319.0562</v>
      </c>
      <c r="P210" s="276">
        <f t="shared" si="91"/>
        <v>1351.6216999999999</v>
      </c>
      <c r="Q210" s="276">
        <f>Q206</f>
        <v>1270.4267</v>
      </c>
      <c r="R210" s="276">
        <f>R206</f>
        <v>1185.8648000000001</v>
      </c>
      <c r="S210" s="276">
        <f t="shared" si="91"/>
        <v>1234.8036999999999</v>
      </c>
      <c r="T210" s="276">
        <f t="shared" si="91"/>
        <v>1330.7107000000001</v>
      </c>
      <c r="U210" s="276">
        <f t="shared" si="91"/>
        <v>1373.3820000000001</v>
      </c>
      <c r="V210" s="276">
        <f t="shared" si="91"/>
        <v>1367.3082999999999</v>
      </c>
      <c r="W210" s="276">
        <f t="shared" si="91"/>
        <v>1171.5715</v>
      </c>
      <c r="X210" s="276">
        <f t="shared" si="91"/>
        <v>1216.3480999999999</v>
      </c>
      <c r="Y210" s="276">
        <f t="shared" si="91"/>
        <v>1321.5150000000001</v>
      </c>
      <c r="Z210" s="276">
        <f t="shared" si="91"/>
        <v>1057.7380000000001</v>
      </c>
      <c r="AA210" s="276">
        <f t="shared" si="91"/>
        <v>1221.8205</v>
      </c>
      <c r="AB210" s="276">
        <f t="shared" si="91"/>
        <v>1246.2301</v>
      </c>
      <c r="AC210" s="276">
        <f t="shared" si="91"/>
        <v>1274.0102999999999</v>
      </c>
      <c r="AD210" s="276">
        <f t="shared" si="91"/>
        <v>1351.3716999999999</v>
      </c>
      <c r="AE210" s="276">
        <f t="shared" si="91"/>
        <v>1184.4390000000001</v>
      </c>
      <c r="AF210" s="276">
        <f t="shared" si="91"/>
        <v>1263.8724</v>
      </c>
      <c r="AG210" s="276">
        <f t="shared" si="91"/>
        <v>1250.4412</v>
      </c>
      <c r="AH210" s="276">
        <f t="shared" si="91"/>
        <v>1227.8372999999999</v>
      </c>
      <c r="AI210" s="276">
        <f>AI206</f>
        <v>1391.9535000000001</v>
      </c>
      <c r="AJ210" s="278">
        <f>AJ206</f>
        <v>1449.9304999999999</v>
      </c>
      <c r="AK210" s="230"/>
      <c r="AL210" s="279">
        <f>SUM(AL208:AL209)</f>
        <v>40110.477500000001</v>
      </c>
      <c r="AO210" s="368"/>
      <c r="DD210" s="56"/>
    </row>
    <row r="211" spans="2:108 15074:15466" s="18" customFormat="1" ht="13.8" x14ac:dyDescent="0.25">
      <c r="B211" s="97">
        <v>9</v>
      </c>
      <c r="C211" s="280" t="s">
        <v>21</v>
      </c>
      <c r="D211" s="281"/>
      <c r="E211" s="281"/>
      <c r="F211" s="282"/>
      <c r="G211" s="282"/>
      <c r="H211" s="282"/>
      <c r="I211" s="282"/>
      <c r="J211" s="282"/>
      <c r="K211" s="282"/>
      <c r="L211" s="282"/>
      <c r="M211" s="282"/>
      <c r="N211" s="282"/>
      <c r="O211" s="282"/>
      <c r="P211" s="282"/>
      <c r="Q211" s="282"/>
      <c r="R211" s="282"/>
      <c r="S211" s="282"/>
      <c r="T211" s="282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2"/>
      <c r="AG211" s="283"/>
      <c r="AH211" s="283"/>
      <c r="AI211" s="283"/>
      <c r="AJ211" s="284"/>
      <c r="AK211" s="230"/>
      <c r="AL211" s="285" t="s">
        <v>20</v>
      </c>
      <c r="DD211" s="56"/>
    </row>
    <row r="212" spans="2:108 15074:15466" s="18" customFormat="1" ht="13.8" x14ac:dyDescent="0.25">
      <c r="B212" s="97"/>
      <c r="C212" s="98" t="s">
        <v>4</v>
      </c>
      <c r="D212" s="133">
        <f>17000*24</f>
        <v>408000</v>
      </c>
      <c r="E212" s="26" t="s">
        <v>16</v>
      </c>
      <c r="F212" s="221">
        <v>300049</v>
      </c>
      <c r="G212" s="221">
        <v>301616</v>
      </c>
      <c r="H212" s="221">
        <v>295604</v>
      </c>
      <c r="I212" s="221">
        <v>317828</v>
      </c>
      <c r="J212" s="221">
        <v>343233</v>
      </c>
      <c r="K212" s="221">
        <v>327055</v>
      </c>
      <c r="L212" s="221">
        <v>313954</v>
      </c>
      <c r="M212" s="221">
        <v>309473</v>
      </c>
      <c r="N212" s="221">
        <v>317029</v>
      </c>
      <c r="O212" s="221">
        <v>311510</v>
      </c>
      <c r="P212" s="221">
        <v>330685</v>
      </c>
      <c r="Q212" s="221">
        <v>305649</v>
      </c>
      <c r="R212" s="221">
        <v>271961</v>
      </c>
      <c r="S212" s="221">
        <v>302535</v>
      </c>
      <c r="T212" s="221">
        <v>313555</v>
      </c>
      <c r="U212" s="221">
        <v>321451</v>
      </c>
      <c r="V212" s="221">
        <v>325850</v>
      </c>
      <c r="W212" s="221">
        <v>282865</v>
      </c>
      <c r="X212" s="221">
        <v>286059</v>
      </c>
      <c r="Y212" s="221">
        <v>321758</v>
      </c>
      <c r="Z212" s="221">
        <v>216001</v>
      </c>
      <c r="AA212" s="221">
        <v>248095</v>
      </c>
      <c r="AB212" s="221">
        <v>280500</v>
      </c>
      <c r="AC212" s="221">
        <v>291535</v>
      </c>
      <c r="AD212" s="221">
        <v>296579</v>
      </c>
      <c r="AE212" s="221">
        <v>246574</v>
      </c>
      <c r="AF212" s="221">
        <v>285804</v>
      </c>
      <c r="AG212" s="222">
        <v>271631</v>
      </c>
      <c r="AH212" s="222">
        <v>286211</v>
      </c>
      <c r="AI212" s="222">
        <v>315573</v>
      </c>
      <c r="AJ212" s="223">
        <v>332403</v>
      </c>
      <c r="AK212" s="230"/>
      <c r="AL212" s="238">
        <f>SUM(F212:AJ212)</f>
        <v>9270625</v>
      </c>
      <c r="DD212" s="56"/>
    </row>
    <row r="213" spans="2:108 15074:15466" s="18" customFormat="1" x14ac:dyDescent="0.3">
      <c r="B213" s="97"/>
      <c r="C213" s="101" t="s">
        <v>19</v>
      </c>
      <c r="D213" s="226"/>
      <c r="E213" s="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  <c r="AB213" s="221"/>
      <c r="AC213" s="221"/>
      <c r="AD213" s="221"/>
      <c r="AE213" s="221"/>
      <c r="AF213" s="221"/>
      <c r="AG213" s="222"/>
      <c r="AH213" s="222"/>
      <c r="AI213" s="222"/>
      <c r="AJ213" s="223"/>
      <c r="AK213" s="230"/>
      <c r="AL213" s="286" t="s">
        <v>19</v>
      </c>
      <c r="DD213" s="56"/>
    </row>
    <row r="214" spans="2:108 15074:15466" s="1" customFormat="1" x14ac:dyDescent="0.3">
      <c r="B214" s="149"/>
      <c r="C214" s="98" t="s">
        <v>18</v>
      </c>
      <c r="D214" s="133">
        <v>180000</v>
      </c>
      <c r="E214" s="26" t="s">
        <v>16</v>
      </c>
      <c r="F214" s="5">
        <v>164300</v>
      </c>
      <c r="G214" s="5">
        <v>162700</v>
      </c>
      <c r="H214" s="5">
        <v>166600</v>
      </c>
      <c r="I214" s="5">
        <v>176300</v>
      </c>
      <c r="J214" s="32">
        <v>186100</v>
      </c>
      <c r="K214" s="32">
        <v>182900</v>
      </c>
      <c r="L214" s="32">
        <v>184000</v>
      </c>
      <c r="M214" s="5">
        <v>172800</v>
      </c>
      <c r="N214" s="5">
        <v>169500</v>
      </c>
      <c r="O214" s="5">
        <v>169100</v>
      </c>
      <c r="P214" s="5">
        <v>165600</v>
      </c>
      <c r="Q214" s="5">
        <v>162300</v>
      </c>
      <c r="R214" s="5">
        <v>166000</v>
      </c>
      <c r="S214" s="5">
        <v>170600</v>
      </c>
      <c r="T214" s="5">
        <v>179300</v>
      </c>
      <c r="U214" s="5">
        <v>186600</v>
      </c>
      <c r="V214" s="32">
        <v>183000</v>
      </c>
      <c r="W214" s="5">
        <v>167500</v>
      </c>
      <c r="X214" s="5">
        <v>169000</v>
      </c>
      <c r="Y214" s="5">
        <v>176500</v>
      </c>
      <c r="Z214" s="5">
        <v>125400</v>
      </c>
      <c r="AA214" s="5">
        <v>164900</v>
      </c>
      <c r="AB214" s="5">
        <v>162300</v>
      </c>
      <c r="AC214" s="5">
        <v>160600</v>
      </c>
      <c r="AD214" s="5">
        <v>155900</v>
      </c>
      <c r="AE214" s="5">
        <v>174600</v>
      </c>
      <c r="AF214" s="5">
        <v>165000</v>
      </c>
      <c r="AG214" s="75">
        <v>164200</v>
      </c>
      <c r="AH214" s="75">
        <v>172000</v>
      </c>
      <c r="AI214" s="75">
        <v>177000</v>
      </c>
      <c r="AJ214" s="350">
        <v>187000</v>
      </c>
      <c r="AK214" s="16"/>
      <c r="AL214" s="131">
        <f>SUM(F214:AJ214)</f>
        <v>5269600</v>
      </c>
      <c r="DD214" s="3"/>
      <c r="VGT214"/>
      <c r="VGU214"/>
      <c r="VGV214"/>
      <c r="VGW214"/>
      <c r="VGX214"/>
      <c r="VGY214"/>
      <c r="VGZ214"/>
      <c r="VHA214"/>
      <c r="VHB214"/>
      <c r="VHC214"/>
      <c r="VHD214"/>
      <c r="VHE214"/>
      <c r="VHF214"/>
      <c r="VHG214"/>
      <c r="VHH214"/>
      <c r="VHI214"/>
      <c r="VHJ214"/>
      <c r="VHK214"/>
      <c r="VHL214"/>
      <c r="VHM214"/>
      <c r="VHN214"/>
      <c r="VHO214"/>
      <c r="VHP214"/>
      <c r="VHQ214"/>
      <c r="VHR214"/>
      <c r="VHS214"/>
      <c r="VHT214"/>
      <c r="VHU214"/>
      <c r="VHV214"/>
      <c r="VHW214"/>
      <c r="VHX214"/>
      <c r="VHY214"/>
      <c r="VHZ214"/>
      <c r="VIA214"/>
      <c r="VIB214"/>
      <c r="VIC214"/>
      <c r="VID214"/>
      <c r="VIE214"/>
      <c r="VIF214"/>
      <c r="VIG214"/>
      <c r="VIH214"/>
      <c r="VII214"/>
      <c r="VIJ214"/>
      <c r="VIK214"/>
      <c r="VIL214"/>
      <c r="VIM214"/>
      <c r="VIN214"/>
      <c r="VIO214"/>
      <c r="VIP214"/>
      <c r="VIQ214"/>
      <c r="VIR214"/>
      <c r="VIS214"/>
      <c r="VIT214"/>
      <c r="VIU214"/>
      <c r="VIV214"/>
      <c r="VIW214"/>
      <c r="VIX214"/>
      <c r="VIY214"/>
      <c r="VIZ214"/>
      <c r="VJA214"/>
      <c r="VJB214"/>
      <c r="VJC214"/>
      <c r="VJD214"/>
      <c r="VJE214"/>
      <c r="VJF214"/>
      <c r="VJG214"/>
      <c r="VJH214"/>
      <c r="VJI214"/>
      <c r="VJJ214"/>
      <c r="VJK214"/>
      <c r="VJL214"/>
      <c r="VJM214"/>
      <c r="VJN214"/>
      <c r="VJO214"/>
      <c r="VJP214"/>
      <c r="VJQ214"/>
      <c r="VJR214"/>
      <c r="VJS214"/>
      <c r="VJT214"/>
      <c r="VJU214"/>
      <c r="VJV214"/>
      <c r="VJW214"/>
      <c r="VJX214"/>
      <c r="VJY214"/>
      <c r="VJZ214"/>
      <c r="VKA214"/>
      <c r="VKB214"/>
      <c r="VKC214"/>
      <c r="VKD214"/>
      <c r="VKE214"/>
      <c r="VKF214"/>
      <c r="VKG214"/>
      <c r="VKH214"/>
      <c r="VKI214"/>
      <c r="VKJ214"/>
      <c r="VKK214"/>
      <c r="VKL214"/>
      <c r="VKM214"/>
      <c r="VKN214"/>
      <c r="VKO214"/>
      <c r="VKP214"/>
      <c r="VKQ214"/>
      <c r="VKR214"/>
      <c r="VKS214"/>
      <c r="VKT214"/>
      <c r="VKU214"/>
      <c r="VKV214"/>
      <c r="VKW214"/>
      <c r="VKX214"/>
      <c r="VKY214"/>
      <c r="VKZ214"/>
      <c r="VLA214"/>
      <c r="VLB214"/>
      <c r="VLC214"/>
      <c r="VLD214"/>
      <c r="VLE214"/>
      <c r="VLF214"/>
      <c r="VLG214"/>
      <c r="VLH214"/>
      <c r="VLI214"/>
      <c r="VLJ214"/>
      <c r="VLK214"/>
      <c r="VLL214"/>
      <c r="VLM214"/>
      <c r="VLN214"/>
      <c r="VLO214"/>
      <c r="VLP214"/>
      <c r="VLQ214"/>
      <c r="VLR214"/>
      <c r="VLS214"/>
      <c r="VLT214"/>
      <c r="VLU214"/>
      <c r="VLV214"/>
      <c r="VLW214"/>
      <c r="VLX214"/>
      <c r="VLY214"/>
      <c r="VLZ214"/>
      <c r="VMA214"/>
      <c r="VMB214"/>
      <c r="VMC214"/>
      <c r="VMD214"/>
      <c r="VME214"/>
      <c r="VMF214"/>
      <c r="VMG214"/>
      <c r="VMH214"/>
      <c r="VMI214"/>
      <c r="VMJ214"/>
      <c r="VMK214"/>
      <c r="VML214"/>
      <c r="VMM214"/>
      <c r="VMN214"/>
      <c r="VMO214"/>
      <c r="VMP214"/>
      <c r="VMQ214"/>
      <c r="VMR214"/>
      <c r="VMS214"/>
      <c r="VMT214"/>
      <c r="VMU214"/>
      <c r="VMV214"/>
      <c r="VMW214"/>
      <c r="VMX214"/>
      <c r="VMY214"/>
      <c r="VMZ214"/>
      <c r="VNA214"/>
      <c r="VNB214"/>
      <c r="VNC214"/>
      <c r="VND214"/>
      <c r="VNE214"/>
      <c r="VNF214"/>
      <c r="VNG214"/>
      <c r="VNH214"/>
      <c r="VNI214"/>
      <c r="VNJ214"/>
      <c r="VNK214"/>
      <c r="VNL214"/>
      <c r="VNM214"/>
      <c r="VNN214"/>
      <c r="VNO214"/>
      <c r="VNP214"/>
      <c r="VNQ214"/>
      <c r="VNR214"/>
      <c r="VNS214"/>
      <c r="VNT214"/>
      <c r="VNU214"/>
      <c r="VNV214"/>
      <c r="VNW214"/>
      <c r="VNX214"/>
      <c r="VNY214"/>
      <c r="VNZ214"/>
      <c r="VOA214"/>
      <c r="VOB214"/>
      <c r="VOC214"/>
      <c r="VOD214"/>
      <c r="VOE214"/>
      <c r="VOF214"/>
      <c r="VOG214"/>
      <c r="VOH214"/>
      <c r="VOI214"/>
      <c r="VOJ214"/>
      <c r="VOK214"/>
      <c r="VOL214"/>
      <c r="VOM214"/>
      <c r="VON214"/>
      <c r="VOO214"/>
      <c r="VOP214"/>
      <c r="VOQ214"/>
      <c r="VOR214"/>
      <c r="VOS214"/>
      <c r="VOT214"/>
      <c r="VOU214"/>
      <c r="VOV214"/>
      <c r="VOW214"/>
      <c r="VOX214"/>
      <c r="VOY214"/>
      <c r="VOZ214"/>
      <c r="VPA214"/>
      <c r="VPB214"/>
      <c r="VPC214"/>
      <c r="VPD214"/>
      <c r="VPE214"/>
      <c r="VPF214"/>
      <c r="VPG214"/>
      <c r="VPH214"/>
      <c r="VPI214"/>
      <c r="VPJ214"/>
      <c r="VPK214"/>
      <c r="VPL214"/>
      <c r="VPM214"/>
      <c r="VPN214"/>
      <c r="VPO214"/>
      <c r="VPP214"/>
      <c r="VPQ214"/>
      <c r="VPR214"/>
      <c r="VPS214"/>
      <c r="VPT214"/>
      <c r="VPU214"/>
      <c r="VPV214"/>
      <c r="VPW214"/>
      <c r="VPX214"/>
      <c r="VPY214"/>
      <c r="VPZ214"/>
      <c r="VQA214"/>
      <c r="VQB214"/>
      <c r="VQC214"/>
      <c r="VQD214"/>
      <c r="VQE214"/>
      <c r="VQF214"/>
      <c r="VQG214"/>
      <c r="VQH214"/>
      <c r="VQI214"/>
      <c r="VQJ214"/>
      <c r="VQK214"/>
      <c r="VQL214"/>
      <c r="VQM214"/>
      <c r="VQN214"/>
      <c r="VQO214"/>
      <c r="VQP214"/>
      <c r="VQQ214"/>
      <c r="VQR214"/>
      <c r="VQS214"/>
      <c r="VQT214"/>
      <c r="VQU214"/>
      <c r="VQV214"/>
      <c r="VQW214"/>
      <c r="VQX214"/>
      <c r="VQY214"/>
      <c r="VQZ214"/>
      <c r="VRA214"/>
      <c r="VRB214"/>
      <c r="VRC214"/>
      <c r="VRD214"/>
      <c r="VRE214"/>
      <c r="VRF214"/>
      <c r="VRG214"/>
      <c r="VRH214"/>
      <c r="VRI214"/>
      <c r="VRJ214"/>
      <c r="VRK214"/>
      <c r="VRL214"/>
      <c r="VRM214"/>
      <c r="VRN214"/>
      <c r="VRO214"/>
      <c r="VRP214"/>
      <c r="VRQ214"/>
      <c r="VRR214"/>
      <c r="VRS214"/>
      <c r="VRT214"/>
      <c r="VRU214"/>
      <c r="VRV214"/>
      <c r="VRW214"/>
      <c r="VRX214"/>
      <c r="VRY214"/>
      <c r="VRZ214"/>
      <c r="VSA214"/>
      <c r="VSB214"/>
      <c r="VSC214"/>
      <c r="VSD214"/>
      <c r="VSE214"/>
      <c r="VSF214"/>
      <c r="VSG214"/>
      <c r="VSH214"/>
      <c r="VSI214"/>
      <c r="VSJ214"/>
      <c r="VSK214"/>
      <c r="VSL214"/>
      <c r="VSM214"/>
      <c r="VSN214"/>
      <c r="VSO214"/>
      <c r="VSP214"/>
      <c r="VSQ214"/>
      <c r="VSR214"/>
      <c r="VSS214"/>
      <c r="VST214"/>
      <c r="VSU214"/>
      <c r="VSV214"/>
      <c r="VSW214"/>
      <c r="VSX214"/>
      <c r="VSY214"/>
      <c r="VSZ214"/>
      <c r="VTA214"/>
      <c r="VTB214"/>
      <c r="VTC214"/>
      <c r="VTD214"/>
      <c r="VTE214"/>
      <c r="VTF214"/>
      <c r="VTG214"/>
      <c r="VTH214"/>
      <c r="VTI214"/>
      <c r="VTJ214"/>
      <c r="VTK214"/>
      <c r="VTL214"/>
      <c r="VTM214"/>
      <c r="VTN214"/>
      <c r="VTO214"/>
      <c r="VTP214"/>
      <c r="VTQ214"/>
      <c r="VTR214"/>
      <c r="VTS214"/>
      <c r="VTT214"/>
      <c r="VTU214"/>
      <c r="VTV214"/>
      <c r="VTW214"/>
      <c r="VTX214"/>
      <c r="VTY214"/>
      <c r="VTZ214"/>
      <c r="VUA214"/>
      <c r="VUB214"/>
      <c r="VUC214"/>
      <c r="VUD214"/>
      <c r="VUE214"/>
      <c r="VUF214"/>
      <c r="VUG214"/>
      <c r="VUH214"/>
      <c r="VUI214"/>
      <c r="VUJ214"/>
      <c r="VUK214"/>
      <c r="VUL214"/>
      <c r="VUM214"/>
      <c r="VUN214"/>
      <c r="VUO214"/>
      <c r="VUP214"/>
      <c r="VUQ214"/>
      <c r="VUR214"/>
      <c r="VUS214"/>
      <c r="VUT214"/>
      <c r="VUU214"/>
      <c r="VUV214"/>
      <c r="VUW214"/>
      <c r="VUX214"/>
      <c r="VUY214"/>
      <c r="VUZ214"/>
      <c r="VVA214"/>
      <c r="VVB214"/>
      <c r="VVC214"/>
      <c r="VVD214"/>
      <c r="VVE214"/>
      <c r="VVF214"/>
      <c r="VVG214"/>
      <c r="VVH214"/>
      <c r="VVI214"/>
      <c r="VVJ214"/>
      <c r="VVK214"/>
      <c r="VVL214"/>
      <c r="VVM214"/>
      <c r="VVN214"/>
      <c r="VVO214"/>
      <c r="VVP214"/>
      <c r="VVQ214"/>
      <c r="VVR214"/>
      <c r="VVS214"/>
      <c r="VVT214"/>
      <c r="VVU214"/>
      <c r="VVV214"/>
    </row>
    <row r="215" spans="2:108 15074:15466" s="1" customFormat="1" x14ac:dyDescent="0.3">
      <c r="B215" s="149"/>
      <c r="C215" s="98" t="s">
        <v>17</v>
      </c>
      <c r="D215" s="133">
        <v>122000</v>
      </c>
      <c r="E215" s="26" t="s">
        <v>16</v>
      </c>
      <c r="F215" s="5">
        <v>78200</v>
      </c>
      <c r="G215" s="5">
        <v>59200</v>
      </c>
      <c r="H215" s="5">
        <v>92500</v>
      </c>
      <c r="I215" s="5">
        <v>96500</v>
      </c>
      <c r="J215" s="5">
        <v>101700</v>
      </c>
      <c r="K215" s="5">
        <v>57700</v>
      </c>
      <c r="L215" s="5">
        <v>92700</v>
      </c>
      <c r="M215" s="5">
        <v>85100</v>
      </c>
      <c r="N215" s="5">
        <v>84700</v>
      </c>
      <c r="O215" s="5">
        <v>83500</v>
      </c>
      <c r="P215" s="5">
        <v>88200</v>
      </c>
      <c r="Q215" s="5">
        <v>79300</v>
      </c>
      <c r="R215" s="5">
        <v>82900</v>
      </c>
      <c r="S215" s="5">
        <v>86300</v>
      </c>
      <c r="T215" s="5">
        <v>86700</v>
      </c>
      <c r="U215" s="5">
        <v>84700</v>
      </c>
      <c r="V215" s="5">
        <v>85300</v>
      </c>
      <c r="W215" s="5">
        <v>73000</v>
      </c>
      <c r="X215" s="5">
        <v>83800</v>
      </c>
      <c r="Y215" s="5">
        <v>91500</v>
      </c>
      <c r="Z215" s="5">
        <v>62600</v>
      </c>
      <c r="AA215" s="5">
        <v>76200</v>
      </c>
      <c r="AB215" s="5">
        <v>99600</v>
      </c>
      <c r="AC215" s="5">
        <v>102800</v>
      </c>
      <c r="AD215" s="5">
        <v>104400</v>
      </c>
      <c r="AE215" s="5">
        <v>78700</v>
      </c>
      <c r="AF215" s="5">
        <v>98000</v>
      </c>
      <c r="AG215" s="75">
        <v>99100</v>
      </c>
      <c r="AH215" s="75">
        <v>85800</v>
      </c>
      <c r="AI215" s="75">
        <v>88700</v>
      </c>
      <c r="AJ215" s="44">
        <v>99900</v>
      </c>
      <c r="AK215" s="16"/>
      <c r="AL215" s="131">
        <f>SUM(F215:AJ215)</f>
        <v>2669300</v>
      </c>
      <c r="DD215" s="3"/>
      <c r="VGT215"/>
      <c r="VGU215"/>
      <c r="VGV215"/>
      <c r="VGW215"/>
      <c r="VGX215"/>
      <c r="VGY215"/>
      <c r="VGZ215"/>
      <c r="VHA215"/>
      <c r="VHB215"/>
      <c r="VHC215"/>
      <c r="VHD215"/>
      <c r="VHE215"/>
      <c r="VHF215"/>
      <c r="VHG215"/>
      <c r="VHH215"/>
      <c r="VHI215"/>
      <c r="VHJ215"/>
      <c r="VHK215"/>
      <c r="VHL215"/>
      <c r="VHM215"/>
      <c r="VHN215"/>
      <c r="VHO215"/>
      <c r="VHP215"/>
      <c r="VHQ215"/>
      <c r="VHR215"/>
      <c r="VHS215"/>
      <c r="VHT215"/>
      <c r="VHU215"/>
      <c r="VHV215"/>
      <c r="VHW215"/>
      <c r="VHX215"/>
      <c r="VHY215"/>
      <c r="VHZ215"/>
      <c r="VIA215"/>
      <c r="VIB215"/>
      <c r="VIC215"/>
      <c r="VID215"/>
      <c r="VIE215"/>
      <c r="VIF215"/>
      <c r="VIG215"/>
      <c r="VIH215"/>
      <c r="VII215"/>
      <c r="VIJ215"/>
      <c r="VIK215"/>
      <c r="VIL215"/>
      <c r="VIM215"/>
      <c r="VIN215"/>
      <c r="VIO215"/>
      <c r="VIP215"/>
      <c r="VIQ215"/>
      <c r="VIR215"/>
      <c r="VIS215"/>
      <c r="VIT215"/>
      <c r="VIU215"/>
      <c r="VIV215"/>
      <c r="VIW215"/>
      <c r="VIX215"/>
      <c r="VIY215"/>
      <c r="VIZ215"/>
      <c r="VJA215"/>
      <c r="VJB215"/>
      <c r="VJC215"/>
      <c r="VJD215"/>
      <c r="VJE215"/>
      <c r="VJF215"/>
      <c r="VJG215"/>
      <c r="VJH215"/>
      <c r="VJI215"/>
      <c r="VJJ215"/>
      <c r="VJK215"/>
      <c r="VJL215"/>
      <c r="VJM215"/>
      <c r="VJN215"/>
      <c r="VJO215"/>
      <c r="VJP215"/>
      <c r="VJQ215"/>
      <c r="VJR215"/>
      <c r="VJS215"/>
      <c r="VJT215"/>
      <c r="VJU215"/>
      <c r="VJV215"/>
      <c r="VJW215"/>
      <c r="VJX215"/>
      <c r="VJY215"/>
      <c r="VJZ215"/>
      <c r="VKA215"/>
      <c r="VKB215"/>
      <c r="VKC215"/>
      <c r="VKD215"/>
      <c r="VKE215"/>
      <c r="VKF215"/>
      <c r="VKG215"/>
      <c r="VKH215"/>
      <c r="VKI215"/>
      <c r="VKJ215"/>
      <c r="VKK215"/>
      <c r="VKL215"/>
      <c r="VKM215"/>
      <c r="VKN215"/>
      <c r="VKO215"/>
      <c r="VKP215"/>
      <c r="VKQ215"/>
      <c r="VKR215"/>
      <c r="VKS215"/>
      <c r="VKT215"/>
      <c r="VKU215"/>
      <c r="VKV215"/>
      <c r="VKW215"/>
      <c r="VKX215"/>
      <c r="VKY215"/>
      <c r="VKZ215"/>
      <c r="VLA215"/>
      <c r="VLB215"/>
      <c r="VLC215"/>
      <c r="VLD215"/>
      <c r="VLE215"/>
      <c r="VLF215"/>
      <c r="VLG215"/>
      <c r="VLH215"/>
      <c r="VLI215"/>
      <c r="VLJ215"/>
      <c r="VLK215"/>
      <c r="VLL215"/>
      <c r="VLM215"/>
      <c r="VLN215"/>
      <c r="VLO215"/>
      <c r="VLP215"/>
      <c r="VLQ215"/>
      <c r="VLR215"/>
      <c r="VLS215"/>
      <c r="VLT215"/>
      <c r="VLU215"/>
      <c r="VLV215"/>
      <c r="VLW215"/>
      <c r="VLX215"/>
      <c r="VLY215"/>
      <c r="VLZ215"/>
      <c r="VMA215"/>
      <c r="VMB215"/>
      <c r="VMC215"/>
      <c r="VMD215"/>
      <c r="VME215"/>
      <c r="VMF215"/>
      <c r="VMG215"/>
      <c r="VMH215"/>
      <c r="VMI215"/>
      <c r="VMJ215"/>
      <c r="VMK215"/>
      <c r="VML215"/>
      <c r="VMM215"/>
      <c r="VMN215"/>
      <c r="VMO215"/>
      <c r="VMP215"/>
      <c r="VMQ215"/>
      <c r="VMR215"/>
      <c r="VMS215"/>
      <c r="VMT215"/>
      <c r="VMU215"/>
      <c r="VMV215"/>
      <c r="VMW215"/>
      <c r="VMX215"/>
      <c r="VMY215"/>
      <c r="VMZ215"/>
      <c r="VNA215"/>
      <c r="VNB215"/>
      <c r="VNC215"/>
      <c r="VND215"/>
      <c r="VNE215"/>
      <c r="VNF215"/>
      <c r="VNG215"/>
      <c r="VNH215"/>
      <c r="VNI215"/>
      <c r="VNJ215"/>
      <c r="VNK215"/>
      <c r="VNL215"/>
      <c r="VNM215"/>
      <c r="VNN215"/>
      <c r="VNO215"/>
      <c r="VNP215"/>
      <c r="VNQ215"/>
      <c r="VNR215"/>
      <c r="VNS215"/>
      <c r="VNT215"/>
      <c r="VNU215"/>
      <c r="VNV215"/>
      <c r="VNW215"/>
      <c r="VNX215"/>
      <c r="VNY215"/>
      <c r="VNZ215"/>
      <c r="VOA215"/>
      <c r="VOB215"/>
      <c r="VOC215"/>
      <c r="VOD215"/>
      <c r="VOE215"/>
      <c r="VOF215"/>
      <c r="VOG215"/>
      <c r="VOH215"/>
      <c r="VOI215"/>
      <c r="VOJ215"/>
      <c r="VOK215"/>
      <c r="VOL215"/>
      <c r="VOM215"/>
      <c r="VON215"/>
      <c r="VOO215"/>
      <c r="VOP215"/>
      <c r="VOQ215"/>
      <c r="VOR215"/>
      <c r="VOS215"/>
      <c r="VOT215"/>
      <c r="VOU215"/>
      <c r="VOV215"/>
      <c r="VOW215"/>
      <c r="VOX215"/>
      <c r="VOY215"/>
      <c r="VOZ215"/>
      <c r="VPA215"/>
      <c r="VPB215"/>
      <c r="VPC215"/>
      <c r="VPD215"/>
      <c r="VPE215"/>
      <c r="VPF215"/>
      <c r="VPG215"/>
      <c r="VPH215"/>
      <c r="VPI215"/>
      <c r="VPJ215"/>
      <c r="VPK215"/>
      <c r="VPL215"/>
      <c r="VPM215"/>
      <c r="VPN215"/>
      <c r="VPO215"/>
      <c r="VPP215"/>
      <c r="VPQ215"/>
      <c r="VPR215"/>
      <c r="VPS215"/>
      <c r="VPT215"/>
      <c r="VPU215"/>
      <c r="VPV215"/>
      <c r="VPW215"/>
      <c r="VPX215"/>
      <c r="VPY215"/>
      <c r="VPZ215"/>
      <c r="VQA215"/>
      <c r="VQB215"/>
      <c r="VQC215"/>
      <c r="VQD215"/>
      <c r="VQE215"/>
      <c r="VQF215"/>
      <c r="VQG215"/>
      <c r="VQH215"/>
      <c r="VQI215"/>
      <c r="VQJ215"/>
      <c r="VQK215"/>
      <c r="VQL215"/>
      <c r="VQM215"/>
      <c r="VQN215"/>
      <c r="VQO215"/>
      <c r="VQP215"/>
      <c r="VQQ215"/>
      <c r="VQR215"/>
      <c r="VQS215"/>
      <c r="VQT215"/>
      <c r="VQU215"/>
      <c r="VQV215"/>
      <c r="VQW215"/>
      <c r="VQX215"/>
      <c r="VQY215"/>
      <c r="VQZ215"/>
      <c r="VRA215"/>
      <c r="VRB215"/>
      <c r="VRC215"/>
      <c r="VRD215"/>
      <c r="VRE215"/>
      <c r="VRF215"/>
      <c r="VRG215"/>
      <c r="VRH215"/>
      <c r="VRI215"/>
      <c r="VRJ215"/>
      <c r="VRK215"/>
      <c r="VRL215"/>
      <c r="VRM215"/>
      <c r="VRN215"/>
      <c r="VRO215"/>
      <c r="VRP215"/>
      <c r="VRQ215"/>
      <c r="VRR215"/>
      <c r="VRS215"/>
      <c r="VRT215"/>
      <c r="VRU215"/>
      <c r="VRV215"/>
      <c r="VRW215"/>
      <c r="VRX215"/>
      <c r="VRY215"/>
      <c r="VRZ215"/>
      <c r="VSA215"/>
      <c r="VSB215"/>
      <c r="VSC215"/>
      <c r="VSD215"/>
      <c r="VSE215"/>
      <c r="VSF215"/>
      <c r="VSG215"/>
      <c r="VSH215"/>
      <c r="VSI215"/>
      <c r="VSJ215"/>
      <c r="VSK215"/>
      <c r="VSL215"/>
      <c r="VSM215"/>
      <c r="VSN215"/>
      <c r="VSO215"/>
      <c r="VSP215"/>
      <c r="VSQ215"/>
      <c r="VSR215"/>
      <c r="VSS215"/>
      <c r="VST215"/>
      <c r="VSU215"/>
      <c r="VSV215"/>
      <c r="VSW215"/>
      <c r="VSX215"/>
      <c r="VSY215"/>
      <c r="VSZ215"/>
      <c r="VTA215"/>
      <c r="VTB215"/>
      <c r="VTC215"/>
      <c r="VTD215"/>
      <c r="VTE215"/>
      <c r="VTF215"/>
      <c r="VTG215"/>
      <c r="VTH215"/>
      <c r="VTI215"/>
      <c r="VTJ215"/>
      <c r="VTK215"/>
      <c r="VTL215"/>
      <c r="VTM215"/>
      <c r="VTN215"/>
      <c r="VTO215"/>
      <c r="VTP215"/>
      <c r="VTQ215"/>
      <c r="VTR215"/>
      <c r="VTS215"/>
      <c r="VTT215"/>
      <c r="VTU215"/>
      <c r="VTV215"/>
      <c r="VTW215"/>
      <c r="VTX215"/>
      <c r="VTY215"/>
      <c r="VTZ215"/>
      <c r="VUA215"/>
      <c r="VUB215"/>
      <c r="VUC215"/>
      <c r="VUD215"/>
      <c r="VUE215"/>
      <c r="VUF215"/>
      <c r="VUG215"/>
      <c r="VUH215"/>
      <c r="VUI215"/>
      <c r="VUJ215"/>
      <c r="VUK215"/>
      <c r="VUL215"/>
      <c r="VUM215"/>
      <c r="VUN215"/>
      <c r="VUO215"/>
      <c r="VUP215"/>
      <c r="VUQ215"/>
      <c r="VUR215"/>
      <c r="VUS215"/>
      <c r="VUT215"/>
      <c r="VUU215"/>
      <c r="VUV215"/>
      <c r="VUW215"/>
      <c r="VUX215"/>
      <c r="VUY215"/>
      <c r="VUZ215"/>
      <c r="VVA215"/>
      <c r="VVB215"/>
      <c r="VVC215"/>
      <c r="VVD215"/>
      <c r="VVE215"/>
      <c r="VVF215"/>
      <c r="VVG215"/>
      <c r="VVH215"/>
      <c r="VVI215"/>
      <c r="VVJ215"/>
      <c r="VVK215"/>
      <c r="VVL215"/>
      <c r="VVM215"/>
      <c r="VVN215"/>
      <c r="VVO215"/>
      <c r="VVP215"/>
      <c r="VVQ215"/>
      <c r="VVR215"/>
      <c r="VVS215"/>
      <c r="VVT215"/>
      <c r="VVU215"/>
      <c r="VVV215"/>
    </row>
    <row r="216" spans="2:108 15074:15466" s="1" customFormat="1" x14ac:dyDescent="0.3">
      <c r="B216" s="149"/>
      <c r="C216" s="98" t="s">
        <v>8</v>
      </c>
      <c r="D216" s="133">
        <f>D212-D214-D215</f>
        <v>106000</v>
      </c>
      <c r="E216" s="26" t="s">
        <v>16</v>
      </c>
      <c r="F216" s="5">
        <f t="shared" ref="F216:AH216" si="92">F212-F214-F215</f>
        <v>57549</v>
      </c>
      <c r="G216" s="5">
        <f t="shared" si="92"/>
        <v>79716</v>
      </c>
      <c r="H216" s="5">
        <f t="shared" si="92"/>
        <v>36504</v>
      </c>
      <c r="I216" s="5">
        <f t="shared" si="92"/>
        <v>45028</v>
      </c>
      <c r="J216" s="5">
        <f t="shared" si="92"/>
        <v>55433</v>
      </c>
      <c r="K216" s="5">
        <f t="shared" si="92"/>
        <v>86455</v>
      </c>
      <c r="L216" s="5">
        <f t="shared" si="92"/>
        <v>37254</v>
      </c>
      <c r="M216" s="5">
        <f t="shared" si="92"/>
        <v>51573</v>
      </c>
      <c r="N216" s="5">
        <f t="shared" si="92"/>
        <v>62829</v>
      </c>
      <c r="O216" s="5">
        <f t="shared" si="92"/>
        <v>58910</v>
      </c>
      <c r="P216" s="5">
        <f t="shared" si="92"/>
        <v>76885</v>
      </c>
      <c r="Q216" s="5">
        <f t="shared" si="92"/>
        <v>64049</v>
      </c>
      <c r="R216" s="5">
        <f t="shared" si="92"/>
        <v>23061</v>
      </c>
      <c r="S216" s="5">
        <f t="shared" si="92"/>
        <v>45635</v>
      </c>
      <c r="T216" s="5">
        <f t="shared" si="92"/>
        <v>47555</v>
      </c>
      <c r="U216" s="5">
        <f t="shared" si="92"/>
        <v>50151</v>
      </c>
      <c r="V216" s="5">
        <f t="shared" si="92"/>
        <v>57550</v>
      </c>
      <c r="W216" s="5">
        <f t="shared" si="92"/>
        <v>42365</v>
      </c>
      <c r="X216" s="5">
        <f t="shared" si="92"/>
        <v>33259</v>
      </c>
      <c r="Y216" s="5">
        <f t="shared" si="92"/>
        <v>53758</v>
      </c>
      <c r="Z216" s="5">
        <f t="shared" si="92"/>
        <v>28001</v>
      </c>
      <c r="AA216" s="5">
        <f t="shared" si="92"/>
        <v>6995</v>
      </c>
      <c r="AB216" s="5">
        <f t="shared" si="92"/>
        <v>18600</v>
      </c>
      <c r="AC216" s="5">
        <f t="shared" si="92"/>
        <v>28135</v>
      </c>
      <c r="AD216" s="5">
        <f t="shared" si="92"/>
        <v>36279</v>
      </c>
      <c r="AE216" s="5">
        <f t="shared" si="92"/>
        <v>-6726</v>
      </c>
      <c r="AF216" s="5">
        <f t="shared" si="92"/>
        <v>22804</v>
      </c>
      <c r="AG216" s="5">
        <f t="shared" si="92"/>
        <v>8331</v>
      </c>
      <c r="AH216" s="5">
        <f t="shared" si="92"/>
        <v>28411</v>
      </c>
      <c r="AI216" s="5">
        <f>AI212-AI214-AI215</f>
        <v>49873</v>
      </c>
      <c r="AJ216" s="44">
        <f>AJ212-AJ214-AJ215</f>
        <v>45503</v>
      </c>
      <c r="AK216" s="16"/>
      <c r="AL216" s="131">
        <f>SUM(F216:AJ216)</f>
        <v>1331725</v>
      </c>
      <c r="DD216" s="3"/>
      <c r="VGT216"/>
      <c r="VGU216"/>
      <c r="VGV216"/>
      <c r="VGW216"/>
      <c r="VGX216"/>
      <c r="VGY216"/>
      <c r="VGZ216"/>
      <c r="VHA216"/>
      <c r="VHB216"/>
      <c r="VHC216"/>
      <c r="VHD216"/>
      <c r="VHE216"/>
      <c r="VHF216"/>
      <c r="VHG216"/>
      <c r="VHH216"/>
      <c r="VHI216"/>
      <c r="VHJ216"/>
      <c r="VHK216"/>
      <c r="VHL216"/>
      <c r="VHM216"/>
      <c r="VHN216"/>
      <c r="VHO216"/>
      <c r="VHP216"/>
      <c r="VHQ216"/>
      <c r="VHR216"/>
      <c r="VHS216"/>
      <c r="VHT216"/>
      <c r="VHU216"/>
      <c r="VHV216"/>
      <c r="VHW216"/>
      <c r="VHX216"/>
      <c r="VHY216"/>
      <c r="VHZ216"/>
      <c r="VIA216"/>
      <c r="VIB216"/>
      <c r="VIC216"/>
      <c r="VID216"/>
      <c r="VIE216"/>
      <c r="VIF216"/>
      <c r="VIG216"/>
      <c r="VIH216"/>
      <c r="VII216"/>
      <c r="VIJ216"/>
      <c r="VIK216"/>
      <c r="VIL216"/>
      <c r="VIM216"/>
      <c r="VIN216"/>
      <c r="VIO216"/>
      <c r="VIP216"/>
      <c r="VIQ216"/>
      <c r="VIR216"/>
      <c r="VIS216"/>
      <c r="VIT216"/>
      <c r="VIU216"/>
      <c r="VIV216"/>
      <c r="VIW216"/>
      <c r="VIX216"/>
      <c r="VIY216"/>
      <c r="VIZ216"/>
      <c r="VJA216"/>
      <c r="VJB216"/>
      <c r="VJC216"/>
      <c r="VJD216"/>
      <c r="VJE216"/>
      <c r="VJF216"/>
      <c r="VJG216"/>
      <c r="VJH216"/>
      <c r="VJI216"/>
      <c r="VJJ216"/>
      <c r="VJK216"/>
      <c r="VJL216"/>
      <c r="VJM216"/>
      <c r="VJN216"/>
      <c r="VJO216"/>
      <c r="VJP216"/>
      <c r="VJQ216"/>
      <c r="VJR216"/>
      <c r="VJS216"/>
      <c r="VJT216"/>
      <c r="VJU216"/>
      <c r="VJV216"/>
      <c r="VJW216"/>
      <c r="VJX216"/>
      <c r="VJY216"/>
      <c r="VJZ216"/>
      <c r="VKA216"/>
      <c r="VKB216"/>
      <c r="VKC216"/>
      <c r="VKD216"/>
      <c r="VKE216"/>
      <c r="VKF216"/>
      <c r="VKG216"/>
      <c r="VKH216"/>
      <c r="VKI216"/>
      <c r="VKJ216"/>
      <c r="VKK216"/>
      <c r="VKL216"/>
      <c r="VKM216"/>
      <c r="VKN216"/>
      <c r="VKO216"/>
      <c r="VKP216"/>
      <c r="VKQ216"/>
      <c r="VKR216"/>
      <c r="VKS216"/>
      <c r="VKT216"/>
      <c r="VKU216"/>
      <c r="VKV216"/>
      <c r="VKW216"/>
      <c r="VKX216"/>
      <c r="VKY216"/>
      <c r="VKZ216"/>
      <c r="VLA216"/>
      <c r="VLB216"/>
      <c r="VLC216"/>
      <c r="VLD216"/>
      <c r="VLE216"/>
      <c r="VLF216"/>
      <c r="VLG216"/>
      <c r="VLH216"/>
      <c r="VLI216"/>
      <c r="VLJ216"/>
      <c r="VLK216"/>
      <c r="VLL216"/>
      <c r="VLM216"/>
      <c r="VLN216"/>
      <c r="VLO216"/>
      <c r="VLP216"/>
      <c r="VLQ216"/>
      <c r="VLR216"/>
      <c r="VLS216"/>
      <c r="VLT216"/>
      <c r="VLU216"/>
      <c r="VLV216"/>
      <c r="VLW216"/>
      <c r="VLX216"/>
      <c r="VLY216"/>
      <c r="VLZ216"/>
      <c r="VMA216"/>
      <c r="VMB216"/>
      <c r="VMC216"/>
      <c r="VMD216"/>
      <c r="VME216"/>
      <c r="VMF216"/>
      <c r="VMG216"/>
      <c r="VMH216"/>
      <c r="VMI216"/>
      <c r="VMJ216"/>
      <c r="VMK216"/>
      <c r="VML216"/>
      <c r="VMM216"/>
      <c r="VMN216"/>
      <c r="VMO216"/>
      <c r="VMP216"/>
      <c r="VMQ216"/>
      <c r="VMR216"/>
      <c r="VMS216"/>
      <c r="VMT216"/>
      <c r="VMU216"/>
      <c r="VMV216"/>
      <c r="VMW216"/>
      <c r="VMX216"/>
      <c r="VMY216"/>
      <c r="VMZ216"/>
      <c r="VNA216"/>
      <c r="VNB216"/>
      <c r="VNC216"/>
      <c r="VND216"/>
      <c r="VNE216"/>
      <c r="VNF216"/>
      <c r="VNG216"/>
      <c r="VNH216"/>
      <c r="VNI216"/>
      <c r="VNJ216"/>
      <c r="VNK216"/>
      <c r="VNL216"/>
      <c r="VNM216"/>
      <c r="VNN216"/>
      <c r="VNO216"/>
      <c r="VNP216"/>
      <c r="VNQ216"/>
      <c r="VNR216"/>
      <c r="VNS216"/>
      <c r="VNT216"/>
      <c r="VNU216"/>
      <c r="VNV216"/>
      <c r="VNW216"/>
      <c r="VNX216"/>
      <c r="VNY216"/>
      <c r="VNZ216"/>
      <c r="VOA216"/>
      <c r="VOB216"/>
      <c r="VOC216"/>
      <c r="VOD216"/>
      <c r="VOE216"/>
      <c r="VOF216"/>
      <c r="VOG216"/>
      <c r="VOH216"/>
      <c r="VOI216"/>
      <c r="VOJ216"/>
      <c r="VOK216"/>
      <c r="VOL216"/>
      <c r="VOM216"/>
      <c r="VON216"/>
      <c r="VOO216"/>
      <c r="VOP216"/>
      <c r="VOQ216"/>
      <c r="VOR216"/>
      <c r="VOS216"/>
      <c r="VOT216"/>
      <c r="VOU216"/>
      <c r="VOV216"/>
      <c r="VOW216"/>
      <c r="VOX216"/>
      <c r="VOY216"/>
      <c r="VOZ216"/>
      <c r="VPA216"/>
      <c r="VPB216"/>
      <c r="VPC216"/>
      <c r="VPD216"/>
      <c r="VPE216"/>
      <c r="VPF216"/>
      <c r="VPG216"/>
      <c r="VPH216"/>
      <c r="VPI216"/>
      <c r="VPJ216"/>
      <c r="VPK216"/>
      <c r="VPL216"/>
      <c r="VPM216"/>
      <c r="VPN216"/>
      <c r="VPO216"/>
      <c r="VPP216"/>
      <c r="VPQ216"/>
      <c r="VPR216"/>
      <c r="VPS216"/>
      <c r="VPT216"/>
      <c r="VPU216"/>
      <c r="VPV216"/>
      <c r="VPW216"/>
      <c r="VPX216"/>
      <c r="VPY216"/>
      <c r="VPZ216"/>
      <c r="VQA216"/>
      <c r="VQB216"/>
      <c r="VQC216"/>
      <c r="VQD216"/>
      <c r="VQE216"/>
      <c r="VQF216"/>
      <c r="VQG216"/>
      <c r="VQH216"/>
      <c r="VQI216"/>
      <c r="VQJ216"/>
      <c r="VQK216"/>
      <c r="VQL216"/>
      <c r="VQM216"/>
      <c r="VQN216"/>
      <c r="VQO216"/>
      <c r="VQP216"/>
      <c r="VQQ216"/>
      <c r="VQR216"/>
      <c r="VQS216"/>
      <c r="VQT216"/>
      <c r="VQU216"/>
      <c r="VQV216"/>
      <c r="VQW216"/>
      <c r="VQX216"/>
      <c r="VQY216"/>
      <c r="VQZ216"/>
      <c r="VRA216"/>
      <c r="VRB216"/>
      <c r="VRC216"/>
      <c r="VRD216"/>
      <c r="VRE216"/>
      <c r="VRF216"/>
      <c r="VRG216"/>
      <c r="VRH216"/>
      <c r="VRI216"/>
      <c r="VRJ216"/>
      <c r="VRK216"/>
      <c r="VRL216"/>
      <c r="VRM216"/>
      <c r="VRN216"/>
      <c r="VRO216"/>
      <c r="VRP216"/>
      <c r="VRQ216"/>
      <c r="VRR216"/>
      <c r="VRS216"/>
      <c r="VRT216"/>
      <c r="VRU216"/>
      <c r="VRV216"/>
      <c r="VRW216"/>
      <c r="VRX216"/>
      <c r="VRY216"/>
      <c r="VRZ216"/>
      <c r="VSA216"/>
      <c r="VSB216"/>
      <c r="VSC216"/>
      <c r="VSD216"/>
      <c r="VSE216"/>
      <c r="VSF216"/>
      <c r="VSG216"/>
      <c r="VSH216"/>
      <c r="VSI216"/>
      <c r="VSJ216"/>
      <c r="VSK216"/>
      <c r="VSL216"/>
      <c r="VSM216"/>
      <c r="VSN216"/>
      <c r="VSO216"/>
      <c r="VSP216"/>
      <c r="VSQ216"/>
      <c r="VSR216"/>
      <c r="VSS216"/>
      <c r="VST216"/>
      <c r="VSU216"/>
      <c r="VSV216"/>
      <c r="VSW216"/>
      <c r="VSX216"/>
      <c r="VSY216"/>
      <c r="VSZ216"/>
      <c r="VTA216"/>
      <c r="VTB216"/>
      <c r="VTC216"/>
      <c r="VTD216"/>
      <c r="VTE216"/>
      <c r="VTF216"/>
      <c r="VTG216"/>
      <c r="VTH216"/>
      <c r="VTI216"/>
      <c r="VTJ216"/>
      <c r="VTK216"/>
      <c r="VTL216"/>
      <c r="VTM216"/>
      <c r="VTN216"/>
      <c r="VTO216"/>
      <c r="VTP216"/>
      <c r="VTQ216"/>
      <c r="VTR216"/>
      <c r="VTS216"/>
      <c r="VTT216"/>
      <c r="VTU216"/>
      <c r="VTV216"/>
      <c r="VTW216"/>
      <c r="VTX216"/>
      <c r="VTY216"/>
      <c r="VTZ216"/>
      <c r="VUA216"/>
      <c r="VUB216"/>
      <c r="VUC216"/>
      <c r="VUD216"/>
      <c r="VUE216"/>
      <c r="VUF216"/>
      <c r="VUG216"/>
      <c r="VUH216"/>
      <c r="VUI216"/>
      <c r="VUJ216"/>
      <c r="VUK216"/>
      <c r="VUL216"/>
      <c r="VUM216"/>
      <c r="VUN216"/>
      <c r="VUO216"/>
      <c r="VUP216"/>
      <c r="VUQ216"/>
      <c r="VUR216"/>
      <c r="VUS216"/>
      <c r="VUT216"/>
      <c r="VUU216"/>
      <c r="VUV216"/>
      <c r="VUW216"/>
      <c r="VUX216"/>
      <c r="VUY216"/>
      <c r="VUZ216"/>
      <c r="VVA216"/>
      <c r="VVB216"/>
      <c r="VVC216"/>
      <c r="VVD216"/>
      <c r="VVE216"/>
      <c r="VVF216"/>
      <c r="VVG216"/>
      <c r="VVH216"/>
      <c r="VVI216"/>
      <c r="VVJ216"/>
      <c r="VVK216"/>
      <c r="VVL216"/>
      <c r="VVM216"/>
      <c r="VVN216"/>
      <c r="VVO216"/>
      <c r="VVP216"/>
      <c r="VVQ216"/>
      <c r="VVR216"/>
      <c r="VVS216"/>
      <c r="VVT216"/>
      <c r="VVU216"/>
      <c r="VVV216"/>
    </row>
    <row r="217" spans="2:108 15074:15466" s="18" customFormat="1" thickBot="1" x14ac:dyDescent="0.3">
      <c r="B217" s="273"/>
      <c r="C217" s="100" t="s">
        <v>1</v>
      </c>
      <c r="D217" s="287">
        <f>SUM(D214:D216)</f>
        <v>408000</v>
      </c>
      <c r="E217" s="26" t="s">
        <v>16</v>
      </c>
      <c r="F217" s="221">
        <f t="shared" ref="F217:AH217" si="93">SUM(F214:F216)</f>
        <v>300049</v>
      </c>
      <c r="G217" s="221">
        <f t="shared" si="93"/>
        <v>301616</v>
      </c>
      <c r="H217" s="221">
        <f t="shared" si="93"/>
        <v>295604</v>
      </c>
      <c r="I217" s="221">
        <f>SUM(I214:I216)</f>
        <v>317828</v>
      </c>
      <c r="J217" s="221">
        <f t="shared" si="93"/>
        <v>343233</v>
      </c>
      <c r="K217" s="221">
        <f t="shared" si="93"/>
        <v>327055</v>
      </c>
      <c r="L217" s="221">
        <f t="shared" si="93"/>
        <v>313954</v>
      </c>
      <c r="M217" s="221">
        <f t="shared" si="93"/>
        <v>309473</v>
      </c>
      <c r="N217" s="221">
        <f t="shared" si="93"/>
        <v>317029</v>
      </c>
      <c r="O217" s="221">
        <f t="shared" si="93"/>
        <v>311510</v>
      </c>
      <c r="P217" s="221">
        <f t="shared" si="93"/>
        <v>330685</v>
      </c>
      <c r="Q217" s="221">
        <f t="shared" si="93"/>
        <v>305649</v>
      </c>
      <c r="R217" s="221">
        <f t="shared" si="93"/>
        <v>271961</v>
      </c>
      <c r="S217" s="221">
        <f t="shared" si="93"/>
        <v>302535</v>
      </c>
      <c r="T217" s="221">
        <f t="shared" si="93"/>
        <v>313555</v>
      </c>
      <c r="U217" s="221">
        <f t="shared" si="93"/>
        <v>321451</v>
      </c>
      <c r="V217" s="221">
        <f t="shared" si="93"/>
        <v>325850</v>
      </c>
      <c r="W217" s="221">
        <f t="shared" si="93"/>
        <v>282865</v>
      </c>
      <c r="X217" s="221">
        <f t="shared" si="93"/>
        <v>286059</v>
      </c>
      <c r="Y217" s="221">
        <f t="shared" si="93"/>
        <v>321758</v>
      </c>
      <c r="Z217" s="221">
        <f t="shared" si="93"/>
        <v>216001</v>
      </c>
      <c r="AA217" s="221">
        <f t="shared" si="93"/>
        <v>248095</v>
      </c>
      <c r="AB217" s="221">
        <f t="shared" si="93"/>
        <v>280500</v>
      </c>
      <c r="AC217" s="221">
        <f t="shared" si="93"/>
        <v>291535</v>
      </c>
      <c r="AD217" s="221">
        <f t="shared" si="93"/>
        <v>296579</v>
      </c>
      <c r="AE217" s="221">
        <f t="shared" si="93"/>
        <v>246574</v>
      </c>
      <c r="AF217" s="221">
        <f t="shared" si="93"/>
        <v>285804</v>
      </c>
      <c r="AG217" s="221">
        <f t="shared" si="93"/>
        <v>271631</v>
      </c>
      <c r="AH217" s="221">
        <f t="shared" si="93"/>
        <v>286211</v>
      </c>
      <c r="AI217" s="221">
        <f>SUM(AI214:AI216)</f>
        <v>315573</v>
      </c>
      <c r="AJ217" s="223">
        <f>SUM(AJ214:AJ216)</f>
        <v>332403</v>
      </c>
      <c r="AK217" s="230"/>
      <c r="AL217" s="238">
        <f>SUM(AL214:AL216)</f>
        <v>9270625</v>
      </c>
      <c r="DD217" s="56"/>
    </row>
    <row r="218" spans="2:108 15074:15466" s="1" customFormat="1" x14ac:dyDescent="0.3">
      <c r="B218" s="97">
        <v>10</v>
      </c>
      <c r="C218" s="179" t="s">
        <v>15</v>
      </c>
      <c r="D218" s="180"/>
      <c r="E218" s="181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3"/>
      <c r="AD218" s="243"/>
      <c r="AE218" s="243"/>
      <c r="AF218" s="243"/>
      <c r="AG218" s="244"/>
      <c r="AH218" s="244"/>
      <c r="AI218" s="244"/>
      <c r="AJ218" s="245"/>
      <c r="AK218" s="16"/>
      <c r="AL218" s="285" t="s">
        <v>14</v>
      </c>
      <c r="DD218" s="3"/>
      <c r="VGT218"/>
      <c r="VGU218"/>
      <c r="VGV218"/>
      <c r="VGW218"/>
      <c r="VGX218"/>
      <c r="VGY218"/>
      <c r="VGZ218"/>
      <c r="VHA218"/>
      <c r="VHB218"/>
      <c r="VHC218"/>
      <c r="VHD218"/>
      <c r="VHE218"/>
      <c r="VHF218"/>
      <c r="VHG218"/>
      <c r="VHH218"/>
      <c r="VHI218"/>
      <c r="VHJ218"/>
      <c r="VHK218"/>
      <c r="VHL218"/>
      <c r="VHM218"/>
      <c r="VHN218"/>
      <c r="VHO218"/>
      <c r="VHP218"/>
      <c r="VHQ218"/>
      <c r="VHR218"/>
      <c r="VHS218"/>
      <c r="VHT218"/>
      <c r="VHU218"/>
      <c r="VHV218"/>
      <c r="VHW218"/>
      <c r="VHX218"/>
      <c r="VHY218"/>
      <c r="VHZ218"/>
      <c r="VIA218"/>
      <c r="VIB218"/>
      <c r="VIC218"/>
      <c r="VID218"/>
      <c r="VIE218"/>
      <c r="VIF218"/>
      <c r="VIG218"/>
      <c r="VIH218"/>
      <c r="VII218"/>
      <c r="VIJ218"/>
      <c r="VIK218"/>
      <c r="VIL218"/>
      <c r="VIM218"/>
      <c r="VIN218"/>
      <c r="VIO218"/>
      <c r="VIP218"/>
      <c r="VIQ218"/>
      <c r="VIR218"/>
      <c r="VIS218"/>
      <c r="VIT218"/>
      <c r="VIU218"/>
      <c r="VIV218"/>
      <c r="VIW218"/>
      <c r="VIX218"/>
      <c r="VIY218"/>
      <c r="VIZ218"/>
      <c r="VJA218"/>
      <c r="VJB218"/>
      <c r="VJC218"/>
      <c r="VJD218"/>
      <c r="VJE218"/>
      <c r="VJF218"/>
      <c r="VJG218"/>
      <c r="VJH218"/>
      <c r="VJI218"/>
      <c r="VJJ218"/>
      <c r="VJK218"/>
      <c r="VJL218"/>
      <c r="VJM218"/>
      <c r="VJN218"/>
      <c r="VJO218"/>
      <c r="VJP218"/>
      <c r="VJQ218"/>
      <c r="VJR218"/>
      <c r="VJS218"/>
      <c r="VJT218"/>
      <c r="VJU218"/>
      <c r="VJV218"/>
      <c r="VJW218"/>
      <c r="VJX218"/>
      <c r="VJY218"/>
      <c r="VJZ218"/>
      <c r="VKA218"/>
      <c r="VKB218"/>
      <c r="VKC218"/>
      <c r="VKD218"/>
      <c r="VKE218"/>
      <c r="VKF218"/>
      <c r="VKG218"/>
      <c r="VKH218"/>
      <c r="VKI218"/>
      <c r="VKJ218"/>
      <c r="VKK218"/>
      <c r="VKL218"/>
      <c r="VKM218"/>
      <c r="VKN218"/>
      <c r="VKO218"/>
      <c r="VKP218"/>
      <c r="VKQ218"/>
      <c r="VKR218"/>
      <c r="VKS218"/>
      <c r="VKT218"/>
      <c r="VKU218"/>
      <c r="VKV218"/>
      <c r="VKW218"/>
      <c r="VKX218"/>
      <c r="VKY218"/>
      <c r="VKZ218"/>
      <c r="VLA218"/>
      <c r="VLB218"/>
      <c r="VLC218"/>
      <c r="VLD218"/>
      <c r="VLE218"/>
      <c r="VLF218"/>
      <c r="VLG218"/>
      <c r="VLH218"/>
      <c r="VLI218"/>
      <c r="VLJ218"/>
      <c r="VLK218"/>
      <c r="VLL218"/>
      <c r="VLM218"/>
      <c r="VLN218"/>
      <c r="VLO218"/>
      <c r="VLP218"/>
      <c r="VLQ218"/>
      <c r="VLR218"/>
      <c r="VLS218"/>
      <c r="VLT218"/>
      <c r="VLU218"/>
      <c r="VLV218"/>
      <c r="VLW218"/>
      <c r="VLX218"/>
      <c r="VLY218"/>
      <c r="VLZ218"/>
      <c r="VMA218"/>
      <c r="VMB218"/>
      <c r="VMC218"/>
      <c r="VMD218"/>
      <c r="VME218"/>
      <c r="VMF218"/>
      <c r="VMG218"/>
      <c r="VMH218"/>
      <c r="VMI218"/>
      <c r="VMJ218"/>
      <c r="VMK218"/>
      <c r="VML218"/>
      <c r="VMM218"/>
      <c r="VMN218"/>
      <c r="VMO218"/>
      <c r="VMP218"/>
      <c r="VMQ218"/>
      <c r="VMR218"/>
      <c r="VMS218"/>
      <c r="VMT218"/>
      <c r="VMU218"/>
      <c r="VMV218"/>
      <c r="VMW218"/>
      <c r="VMX218"/>
      <c r="VMY218"/>
      <c r="VMZ218"/>
      <c r="VNA218"/>
      <c r="VNB218"/>
      <c r="VNC218"/>
      <c r="VND218"/>
      <c r="VNE218"/>
      <c r="VNF218"/>
      <c r="VNG218"/>
      <c r="VNH218"/>
      <c r="VNI218"/>
      <c r="VNJ218"/>
      <c r="VNK218"/>
      <c r="VNL218"/>
      <c r="VNM218"/>
      <c r="VNN218"/>
      <c r="VNO218"/>
      <c r="VNP218"/>
      <c r="VNQ218"/>
      <c r="VNR218"/>
      <c r="VNS218"/>
      <c r="VNT218"/>
      <c r="VNU218"/>
      <c r="VNV218"/>
      <c r="VNW218"/>
      <c r="VNX218"/>
      <c r="VNY218"/>
      <c r="VNZ218"/>
      <c r="VOA218"/>
      <c r="VOB218"/>
      <c r="VOC218"/>
      <c r="VOD218"/>
      <c r="VOE218"/>
      <c r="VOF218"/>
      <c r="VOG218"/>
      <c r="VOH218"/>
      <c r="VOI218"/>
      <c r="VOJ218"/>
      <c r="VOK218"/>
      <c r="VOL218"/>
      <c r="VOM218"/>
      <c r="VON218"/>
      <c r="VOO218"/>
      <c r="VOP218"/>
      <c r="VOQ218"/>
      <c r="VOR218"/>
      <c r="VOS218"/>
      <c r="VOT218"/>
      <c r="VOU218"/>
      <c r="VOV218"/>
      <c r="VOW218"/>
      <c r="VOX218"/>
      <c r="VOY218"/>
      <c r="VOZ218"/>
      <c r="VPA218"/>
      <c r="VPB218"/>
      <c r="VPC218"/>
      <c r="VPD218"/>
      <c r="VPE218"/>
      <c r="VPF218"/>
      <c r="VPG218"/>
      <c r="VPH218"/>
      <c r="VPI218"/>
      <c r="VPJ218"/>
      <c r="VPK218"/>
      <c r="VPL218"/>
      <c r="VPM218"/>
      <c r="VPN218"/>
      <c r="VPO218"/>
      <c r="VPP218"/>
      <c r="VPQ218"/>
      <c r="VPR218"/>
      <c r="VPS218"/>
      <c r="VPT218"/>
      <c r="VPU218"/>
      <c r="VPV218"/>
      <c r="VPW218"/>
      <c r="VPX218"/>
      <c r="VPY218"/>
      <c r="VPZ218"/>
      <c r="VQA218"/>
      <c r="VQB218"/>
      <c r="VQC218"/>
      <c r="VQD218"/>
      <c r="VQE218"/>
      <c r="VQF218"/>
      <c r="VQG218"/>
      <c r="VQH218"/>
      <c r="VQI218"/>
      <c r="VQJ218"/>
      <c r="VQK218"/>
      <c r="VQL218"/>
      <c r="VQM218"/>
      <c r="VQN218"/>
      <c r="VQO218"/>
      <c r="VQP218"/>
      <c r="VQQ218"/>
      <c r="VQR218"/>
      <c r="VQS218"/>
      <c r="VQT218"/>
      <c r="VQU218"/>
      <c r="VQV218"/>
      <c r="VQW218"/>
      <c r="VQX218"/>
      <c r="VQY218"/>
      <c r="VQZ218"/>
      <c r="VRA218"/>
      <c r="VRB218"/>
      <c r="VRC218"/>
      <c r="VRD218"/>
      <c r="VRE218"/>
      <c r="VRF218"/>
      <c r="VRG218"/>
      <c r="VRH218"/>
      <c r="VRI218"/>
      <c r="VRJ218"/>
      <c r="VRK218"/>
      <c r="VRL218"/>
      <c r="VRM218"/>
      <c r="VRN218"/>
      <c r="VRO218"/>
      <c r="VRP218"/>
      <c r="VRQ218"/>
      <c r="VRR218"/>
      <c r="VRS218"/>
      <c r="VRT218"/>
      <c r="VRU218"/>
      <c r="VRV218"/>
      <c r="VRW218"/>
      <c r="VRX218"/>
      <c r="VRY218"/>
      <c r="VRZ218"/>
      <c r="VSA218"/>
      <c r="VSB218"/>
      <c r="VSC218"/>
      <c r="VSD218"/>
      <c r="VSE218"/>
      <c r="VSF218"/>
      <c r="VSG218"/>
      <c r="VSH218"/>
      <c r="VSI218"/>
      <c r="VSJ218"/>
      <c r="VSK218"/>
      <c r="VSL218"/>
      <c r="VSM218"/>
      <c r="VSN218"/>
      <c r="VSO218"/>
      <c r="VSP218"/>
      <c r="VSQ218"/>
      <c r="VSR218"/>
      <c r="VSS218"/>
      <c r="VST218"/>
      <c r="VSU218"/>
      <c r="VSV218"/>
      <c r="VSW218"/>
      <c r="VSX218"/>
      <c r="VSY218"/>
      <c r="VSZ218"/>
      <c r="VTA218"/>
      <c r="VTB218"/>
      <c r="VTC218"/>
      <c r="VTD218"/>
      <c r="VTE218"/>
      <c r="VTF218"/>
      <c r="VTG218"/>
      <c r="VTH218"/>
      <c r="VTI218"/>
      <c r="VTJ218"/>
      <c r="VTK218"/>
      <c r="VTL218"/>
      <c r="VTM218"/>
      <c r="VTN218"/>
      <c r="VTO218"/>
      <c r="VTP218"/>
      <c r="VTQ218"/>
      <c r="VTR218"/>
      <c r="VTS218"/>
      <c r="VTT218"/>
      <c r="VTU218"/>
      <c r="VTV218"/>
      <c r="VTW218"/>
      <c r="VTX218"/>
      <c r="VTY218"/>
      <c r="VTZ218"/>
      <c r="VUA218"/>
      <c r="VUB218"/>
      <c r="VUC218"/>
      <c r="VUD218"/>
      <c r="VUE218"/>
      <c r="VUF218"/>
      <c r="VUG218"/>
      <c r="VUH218"/>
      <c r="VUI218"/>
      <c r="VUJ218"/>
      <c r="VUK218"/>
      <c r="VUL218"/>
      <c r="VUM218"/>
      <c r="VUN218"/>
      <c r="VUO218"/>
      <c r="VUP218"/>
      <c r="VUQ218"/>
      <c r="VUR218"/>
      <c r="VUS218"/>
      <c r="VUT218"/>
      <c r="VUU218"/>
      <c r="VUV218"/>
      <c r="VUW218"/>
      <c r="VUX218"/>
      <c r="VUY218"/>
      <c r="VUZ218"/>
      <c r="VVA218"/>
      <c r="VVB218"/>
      <c r="VVC218"/>
      <c r="VVD218"/>
      <c r="VVE218"/>
      <c r="VVF218"/>
      <c r="VVG218"/>
      <c r="VVH218"/>
      <c r="VVI218"/>
      <c r="VVJ218"/>
      <c r="VVK218"/>
      <c r="VVL218"/>
      <c r="VVM218"/>
      <c r="VVN218"/>
      <c r="VVO218"/>
      <c r="VVP218"/>
      <c r="VVQ218"/>
      <c r="VVR218"/>
      <c r="VVS218"/>
      <c r="VVT218"/>
      <c r="VVU218"/>
      <c r="VVV218"/>
    </row>
    <row r="219" spans="2:108 15074:15466" s="17" customFormat="1" ht="16.2" x14ac:dyDescent="0.3">
      <c r="B219" s="171"/>
      <c r="C219" s="233" t="s">
        <v>13</v>
      </c>
      <c r="D219" s="288">
        <v>750</v>
      </c>
      <c r="E219" s="40" t="s">
        <v>129</v>
      </c>
      <c r="F219" s="29">
        <v>622</v>
      </c>
      <c r="G219" s="29">
        <v>734</v>
      </c>
      <c r="H219" s="29">
        <v>715</v>
      </c>
      <c r="I219" s="29">
        <v>723</v>
      </c>
      <c r="J219" s="29">
        <v>749</v>
      </c>
      <c r="K219" s="29">
        <v>705</v>
      </c>
      <c r="L219" s="29">
        <v>635</v>
      </c>
      <c r="M219" s="332">
        <v>796</v>
      </c>
      <c r="N219" s="29">
        <v>582</v>
      </c>
      <c r="O219" s="29">
        <v>750</v>
      </c>
      <c r="P219" s="29">
        <v>748</v>
      </c>
      <c r="Q219" s="29">
        <v>742</v>
      </c>
      <c r="R219" s="29">
        <v>612</v>
      </c>
      <c r="S219" s="29">
        <v>735</v>
      </c>
      <c r="T219" s="29">
        <v>716</v>
      </c>
      <c r="U219" s="329">
        <v>772</v>
      </c>
      <c r="V219" s="82">
        <v>702</v>
      </c>
      <c r="W219" s="82">
        <v>498</v>
      </c>
      <c r="X219" s="329">
        <v>815</v>
      </c>
      <c r="Y219" s="82">
        <v>748</v>
      </c>
      <c r="Z219" s="82">
        <v>532</v>
      </c>
      <c r="AA219" s="329">
        <v>844</v>
      </c>
      <c r="AB219" s="82">
        <v>514</v>
      </c>
      <c r="AC219" s="82">
        <v>749</v>
      </c>
      <c r="AD219" s="82">
        <v>690</v>
      </c>
      <c r="AE219" s="82">
        <v>494</v>
      </c>
      <c r="AF219" s="82">
        <v>671</v>
      </c>
      <c r="AG219" s="346">
        <v>897</v>
      </c>
      <c r="AH219" s="346">
        <v>805</v>
      </c>
      <c r="AI219" s="89">
        <v>677</v>
      </c>
      <c r="AJ219" s="351">
        <v>767</v>
      </c>
      <c r="AK219" s="91"/>
      <c r="AL219" s="289">
        <f>SUM(F219:AJ219)</f>
        <v>21739</v>
      </c>
      <c r="DD219" s="6"/>
    </row>
    <row r="220" spans="2:108 15074:15466" s="17" customFormat="1" x14ac:dyDescent="0.3">
      <c r="B220" s="171"/>
      <c r="C220" s="290" t="s">
        <v>12</v>
      </c>
      <c r="D220" s="129"/>
      <c r="E220" s="130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9"/>
      <c r="AH220" s="89"/>
      <c r="AI220" s="89"/>
      <c r="AJ220" s="90"/>
      <c r="AK220" s="91"/>
      <c r="AL220" s="291" t="s">
        <v>12</v>
      </c>
      <c r="DD220" s="6"/>
    </row>
    <row r="221" spans="2:108 15074:15466" s="17" customFormat="1" ht="16.2" x14ac:dyDescent="0.3">
      <c r="B221" s="171"/>
      <c r="C221" s="233" t="s">
        <v>11</v>
      </c>
      <c r="D221" s="292">
        <v>91.5</v>
      </c>
      <c r="E221" s="40" t="s">
        <v>129</v>
      </c>
      <c r="F221" s="82">
        <v>52</v>
      </c>
      <c r="G221" s="82">
        <v>65</v>
      </c>
      <c r="H221" s="82">
        <v>70</v>
      </c>
      <c r="I221" s="82">
        <v>72</v>
      </c>
      <c r="J221" s="82">
        <v>81</v>
      </c>
      <c r="K221" s="82">
        <v>75</v>
      </c>
      <c r="L221" s="82">
        <v>70</v>
      </c>
      <c r="M221" s="82">
        <v>49</v>
      </c>
      <c r="N221" s="82">
        <v>79</v>
      </c>
      <c r="O221" s="82">
        <v>47</v>
      </c>
      <c r="P221" s="82">
        <v>79</v>
      </c>
      <c r="Q221" s="82">
        <v>73</v>
      </c>
      <c r="R221" s="82">
        <v>44</v>
      </c>
      <c r="S221" s="82">
        <v>53</v>
      </c>
      <c r="T221" s="329">
        <v>127</v>
      </c>
      <c r="U221" s="82">
        <v>131</v>
      </c>
      <c r="V221" s="82">
        <v>66</v>
      </c>
      <c r="W221" s="82">
        <v>104</v>
      </c>
      <c r="X221" s="82">
        <v>83</v>
      </c>
      <c r="Y221" s="82">
        <v>50</v>
      </c>
      <c r="Z221" s="82">
        <v>105</v>
      </c>
      <c r="AA221" s="82">
        <v>76</v>
      </c>
      <c r="AB221" s="82">
        <v>48</v>
      </c>
      <c r="AC221" s="82">
        <v>53</v>
      </c>
      <c r="AD221" s="82">
        <v>42</v>
      </c>
      <c r="AE221" s="82">
        <v>48</v>
      </c>
      <c r="AF221" s="82">
        <v>130</v>
      </c>
      <c r="AG221" s="346">
        <v>135</v>
      </c>
      <c r="AH221" s="89">
        <v>102</v>
      </c>
      <c r="AI221" s="89">
        <v>89</v>
      </c>
      <c r="AJ221" s="351">
        <v>136</v>
      </c>
      <c r="AK221" s="91"/>
      <c r="AL221" s="293">
        <f>SUM(F221:AJ221)</f>
        <v>2434</v>
      </c>
      <c r="AN221" s="6"/>
      <c r="DD221" s="6"/>
    </row>
    <row r="222" spans="2:108 15074:15466" s="17" customFormat="1" ht="16.2" x14ac:dyDescent="0.3">
      <c r="B222" s="171"/>
      <c r="C222" s="233" t="s">
        <v>10</v>
      </c>
      <c r="D222" s="292">
        <v>179.63</v>
      </c>
      <c r="E222" s="40" t="s">
        <v>129</v>
      </c>
      <c r="F222" s="82">
        <v>116</v>
      </c>
      <c r="G222" s="82">
        <v>93</v>
      </c>
      <c r="H222" s="82">
        <v>132</v>
      </c>
      <c r="I222" s="82">
        <v>152</v>
      </c>
      <c r="J222" s="82">
        <v>155</v>
      </c>
      <c r="K222" s="329">
        <v>208</v>
      </c>
      <c r="L222" s="82">
        <v>133</v>
      </c>
      <c r="M222" s="82">
        <v>103</v>
      </c>
      <c r="N222" s="82">
        <v>104</v>
      </c>
      <c r="O222" s="82">
        <v>122</v>
      </c>
      <c r="P222" s="82">
        <v>143</v>
      </c>
      <c r="Q222" s="82">
        <v>137</v>
      </c>
      <c r="R222" s="82">
        <v>125</v>
      </c>
      <c r="S222" s="82">
        <v>85</v>
      </c>
      <c r="T222" s="82">
        <v>108</v>
      </c>
      <c r="U222" s="82">
        <v>128</v>
      </c>
      <c r="V222" s="82">
        <v>107</v>
      </c>
      <c r="W222" s="82">
        <v>84</v>
      </c>
      <c r="X222" s="82">
        <v>41</v>
      </c>
      <c r="Y222" s="82">
        <v>138</v>
      </c>
      <c r="Z222" s="82">
        <v>45</v>
      </c>
      <c r="AA222" s="82">
        <v>95</v>
      </c>
      <c r="AB222" s="82">
        <v>127</v>
      </c>
      <c r="AC222" s="82">
        <v>145</v>
      </c>
      <c r="AD222" s="82">
        <v>172</v>
      </c>
      <c r="AE222" s="82">
        <v>106</v>
      </c>
      <c r="AF222" s="82">
        <v>120</v>
      </c>
      <c r="AG222" s="89">
        <v>62</v>
      </c>
      <c r="AH222" s="89">
        <v>107</v>
      </c>
      <c r="AI222" s="89">
        <v>104</v>
      </c>
      <c r="AJ222" s="90">
        <v>91</v>
      </c>
      <c r="AK222" s="91"/>
      <c r="AL222" s="293">
        <f>SUM(F222:AJ222)</f>
        <v>3588</v>
      </c>
      <c r="AN222" s="6"/>
      <c r="DD222" s="6"/>
    </row>
    <row r="223" spans="2:108 15074:15466" s="17" customFormat="1" ht="16.2" x14ac:dyDescent="0.3">
      <c r="B223" s="171"/>
      <c r="C223" s="233" t="s">
        <v>9</v>
      </c>
      <c r="D223" s="288">
        <f>44.69%*D219</f>
        <v>335.17499999999995</v>
      </c>
      <c r="E223" s="40" t="s">
        <v>129</v>
      </c>
      <c r="F223" s="82">
        <v>313.60000000000002</v>
      </c>
      <c r="G223" s="329">
        <v>349.2</v>
      </c>
      <c r="H223" s="82">
        <v>329.7</v>
      </c>
      <c r="I223" s="329">
        <v>342.4</v>
      </c>
      <c r="J223" s="82">
        <v>331.5</v>
      </c>
      <c r="K223" s="82">
        <v>308.60000000000002</v>
      </c>
      <c r="L223" s="329">
        <v>379</v>
      </c>
      <c r="M223" s="82">
        <v>336.3</v>
      </c>
      <c r="N223" s="82">
        <v>330.5</v>
      </c>
      <c r="O223" s="329">
        <v>372</v>
      </c>
      <c r="P223" s="329">
        <v>389.5</v>
      </c>
      <c r="Q223" s="82">
        <v>315</v>
      </c>
      <c r="R223" s="329">
        <v>343.9</v>
      </c>
      <c r="S223" s="82">
        <v>288</v>
      </c>
      <c r="T223" s="82">
        <v>333.9</v>
      </c>
      <c r="U223" s="329">
        <v>363</v>
      </c>
      <c r="V223" s="329">
        <v>355.8</v>
      </c>
      <c r="W223" s="82">
        <v>302.7</v>
      </c>
      <c r="X223" s="82">
        <v>332.8</v>
      </c>
      <c r="Y223" s="329">
        <v>352.6</v>
      </c>
      <c r="Z223" s="82">
        <v>279.10000000000002</v>
      </c>
      <c r="AA223" s="82">
        <v>313.5</v>
      </c>
      <c r="AB223" s="329">
        <v>336.3</v>
      </c>
      <c r="AC223" s="329">
        <v>375.9</v>
      </c>
      <c r="AD223" s="82">
        <v>347.5</v>
      </c>
      <c r="AE223" s="82">
        <v>307.89999999999998</v>
      </c>
      <c r="AF223" s="82">
        <v>293.7</v>
      </c>
      <c r="AG223" s="89">
        <v>333.6</v>
      </c>
      <c r="AH223" s="89">
        <v>319.39999999999998</v>
      </c>
      <c r="AI223" s="89">
        <v>321.7</v>
      </c>
      <c r="AJ223" s="351">
        <v>356.1</v>
      </c>
      <c r="AK223" s="91"/>
      <c r="AL223" s="293">
        <f>SUM(F223:AJ223)</f>
        <v>10354.700000000001</v>
      </c>
      <c r="DD223" s="6"/>
    </row>
    <row r="224" spans="2:108 15074:15466" s="17" customFormat="1" ht="16.2" x14ac:dyDescent="0.3">
      <c r="B224" s="171"/>
      <c r="C224" s="233" t="s">
        <v>8</v>
      </c>
      <c r="D224" s="288">
        <f>D219-SUM(D221:D223)</f>
        <v>143.69500000000005</v>
      </c>
      <c r="E224" s="40" t="s">
        <v>129</v>
      </c>
      <c r="F224" s="82">
        <f t="shared" ref="F224:K224" si="94">F219-(SUM(F221:F223))</f>
        <v>140.39999999999998</v>
      </c>
      <c r="G224" s="329">
        <f t="shared" si="94"/>
        <v>226.8</v>
      </c>
      <c r="H224" s="329">
        <f t="shared" si="94"/>
        <v>183.29999999999995</v>
      </c>
      <c r="I224" s="329">
        <f t="shared" si="94"/>
        <v>156.60000000000002</v>
      </c>
      <c r="J224" s="329">
        <f t="shared" si="94"/>
        <v>181.5</v>
      </c>
      <c r="K224" s="82">
        <f t="shared" si="94"/>
        <v>113.39999999999998</v>
      </c>
      <c r="L224" s="82">
        <f t="shared" ref="L224:AI224" si="95">L219-(SUM(L221:L223))</f>
        <v>53</v>
      </c>
      <c r="M224" s="329">
        <f t="shared" si="95"/>
        <v>307.7</v>
      </c>
      <c r="N224" s="82">
        <f t="shared" si="95"/>
        <v>68.5</v>
      </c>
      <c r="O224" s="82">
        <f t="shared" si="95"/>
        <v>209</v>
      </c>
      <c r="P224" s="82">
        <f t="shared" si="95"/>
        <v>136.5</v>
      </c>
      <c r="Q224" s="329">
        <f t="shared" si="95"/>
        <v>217</v>
      </c>
      <c r="R224" s="82">
        <f t="shared" si="95"/>
        <v>99.100000000000023</v>
      </c>
      <c r="S224" s="329">
        <f t="shared" si="95"/>
        <v>309</v>
      </c>
      <c r="T224" s="329">
        <f t="shared" si="95"/>
        <v>147.10000000000002</v>
      </c>
      <c r="U224" s="82">
        <f t="shared" si="95"/>
        <v>150</v>
      </c>
      <c r="V224" s="82">
        <f t="shared" si="95"/>
        <v>173.20000000000005</v>
      </c>
      <c r="W224" s="82">
        <f t="shared" si="95"/>
        <v>7.3000000000000114</v>
      </c>
      <c r="X224" s="329">
        <f t="shared" si="95"/>
        <v>358.2</v>
      </c>
      <c r="Y224" s="329">
        <f t="shared" si="95"/>
        <v>207.39999999999998</v>
      </c>
      <c r="Z224" s="82">
        <f t="shared" si="95"/>
        <v>102.89999999999998</v>
      </c>
      <c r="AA224" s="329">
        <f t="shared" si="95"/>
        <v>359.5</v>
      </c>
      <c r="AB224" s="82">
        <f t="shared" si="95"/>
        <v>2.6999999999999886</v>
      </c>
      <c r="AC224" s="82">
        <f>AC219-(SUM(AC221:AC223))</f>
        <v>175.10000000000002</v>
      </c>
      <c r="AD224" s="82">
        <f t="shared" si="95"/>
        <v>128.5</v>
      </c>
      <c r="AE224" s="82">
        <f t="shared" si="95"/>
        <v>32.100000000000023</v>
      </c>
      <c r="AF224" s="82">
        <f t="shared" si="95"/>
        <v>127.29999999999995</v>
      </c>
      <c r="AG224" s="329">
        <f t="shared" si="95"/>
        <v>366.4</v>
      </c>
      <c r="AH224" s="329">
        <f t="shared" si="95"/>
        <v>276.60000000000002</v>
      </c>
      <c r="AI224" s="82">
        <f t="shared" si="95"/>
        <v>162.29999999999995</v>
      </c>
      <c r="AJ224" s="351">
        <f>AJ219-(SUM(AJ221:AJ223))</f>
        <v>183.89999999999998</v>
      </c>
      <c r="AK224" s="91"/>
      <c r="AL224" s="293">
        <f>SUM(F224:AJ224)</f>
        <v>5362.3000000000011</v>
      </c>
      <c r="DD224" s="6"/>
    </row>
    <row r="225" spans="2:108 15074:15466" s="17" customFormat="1" ht="16.8" thickBot="1" x14ac:dyDescent="0.35">
      <c r="B225" s="294"/>
      <c r="C225" s="233" t="s">
        <v>7</v>
      </c>
      <c r="D225" s="288">
        <f>30%*D219</f>
        <v>225</v>
      </c>
      <c r="E225" s="40" t="s">
        <v>129</v>
      </c>
      <c r="F225" s="82">
        <v>224</v>
      </c>
      <c r="G225" s="82">
        <v>224</v>
      </c>
      <c r="H225" s="329">
        <v>343</v>
      </c>
      <c r="I225" s="82">
        <v>219</v>
      </c>
      <c r="J225" s="82">
        <v>213</v>
      </c>
      <c r="K225" s="329">
        <v>243</v>
      </c>
      <c r="L225" s="82">
        <v>222</v>
      </c>
      <c r="M225" s="82">
        <v>221</v>
      </c>
      <c r="N225" s="82">
        <v>164</v>
      </c>
      <c r="O225" s="82">
        <v>210</v>
      </c>
      <c r="P225" s="82">
        <v>223</v>
      </c>
      <c r="Q225" s="82">
        <v>212</v>
      </c>
      <c r="R225" s="82">
        <v>167</v>
      </c>
      <c r="S225" s="82">
        <v>191</v>
      </c>
      <c r="T225" s="82">
        <v>220</v>
      </c>
      <c r="U225" s="329">
        <v>304</v>
      </c>
      <c r="V225" s="82">
        <v>186</v>
      </c>
      <c r="W225" s="82">
        <v>182</v>
      </c>
      <c r="X225" s="329">
        <v>306</v>
      </c>
      <c r="Y225" s="82">
        <v>203</v>
      </c>
      <c r="Z225" s="82">
        <v>122</v>
      </c>
      <c r="AA225" s="329">
        <v>309</v>
      </c>
      <c r="AB225" s="82">
        <v>185</v>
      </c>
      <c r="AC225" s="329">
        <v>302</v>
      </c>
      <c r="AD225" s="82">
        <v>177</v>
      </c>
      <c r="AE225" s="82">
        <v>132</v>
      </c>
      <c r="AF225" s="82">
        <v>161</v>
      </c>
      <c r="AG225" s="346">
        <v>290</v>
      </c>
      <c r="AH225" s="346">
        <v>273</v>
      </c>
      <c r="AI225" s="89">
        <v>196</v>
      </c>
      <c r="AJ225" s="351">
        <v>272</v>
      </c>
      <c r="AK225" s="91"/>
      <c r="AL225" s="293">
        <f>SUM(F225:AJ225)</f>
        <v>6896</v>
      </c>
      <c r="DD225" s="6"/>
    </row>
    <row r="226" spans="2:108 15074:15466" s="1" customFormat="1" x14ac:dyDescent="0.3">
      <c r="B226" s="213">
        <v>11</v>
      </c>
      <c r="C226" s="179" t="s">
        <v>6</v>
      </c>
      <c r="D226" s="180"/>
      <c r="E226" s="181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77"/>
      <c r="AH226" s="77"/>
      <c r="AI226" s="77"/>
      <c r="AJ226" s="85"/>
      <c r="AK226" s="16"/>
      <c r="AL226" s="295" t="s">
        <v>5</v>
      </c>
      <c r="DD226" s="3"/>
      <c r="VGT226"/>
      <c r="VGU226"/>
      <c r="VGV226"/>
      <c r="VGW226"/>
      <c r="VGX226"/>
      <c r="VGY226"/>
      <c r="VGZ226"/>
      <c r="VHA226"/>
      <c r="VHB226"/>
      <c r="VHC226"/>
      <c r="VHD226"/>
      <c r="VHE226"/>
      <c r="VHF226"/>
      <c r="VHG226"/>
      <c r="VHH226"/>
      <c r="VHI226"/>
      <c r="VHJ226"/>
      <c r="VHK226"/>
      <c r="VHL226"/>
      <c r="VHM226"/>
      <c r="VHN226"/>
      <c r="VHO226"/>
      <c r="VHP226"/>
      <c r="VHQ226"/>
      <c r="VHR226"/>
      <c r="VHS226"/>
      <c r="VHT226"/>
      <c r="VHU226"/>
      <c r="VHV226"/>
      <c r="VHW226"/>
      <c r="VHX226"/>
      <c r="VHY226"/>
      <c r="VHZ226"/>
      <c r="VIA226"/>
      <c r="VIB226"/>
      <c r="VIC226"/>
      <c r="VID226"/>
      <c r="VIE226"/>
      <c r="VIF226"/>
      <c r="VIG226"/>
      <c r="VIH226"/>
      <c r="VII226"/>
      <c r="VIJ226"/>
      <c r="VIK226"/>
      <c r="VIL226"/>
      <c r="VIM226"/>
      <c r="VIN226"/>
      <c r="VIO226"/>
      <c r="VIP226"/>
      <c r="VIQ226"/>
      <c r="VIR226"/>
      <c r="VIS226"/>
      <c r="VIT226"/>
      <c r="VIU226"/>
      <c r="VIV226"/>
      <c r="VIW226"/>
      <c r="VIX226"/>
      <c r="VIY226"/>
      <c r="VIZ226"/>
      <c r="VJA226"/>
      <c r="VJB226"/>
      <c r="VJC226"/>
      <c r="VJD226"/>
      <c r="VJE226"/>
      <c r="VJF226"/>
      <c r="VJG226"/>
      <c r="VJH226"/>
      <c r="VJI226"/>
      <c r="VJJ226"/>
      <c r="VJK226"/>
      <c r="VJL226"/>
      <c r="VJM226"/>
      <c r="VJN226"/>
      <c r="VJO226"/>
      <c r="VJP226"/>
      <c r="VJQ226"/>
      <c r="VJR226"/>
      <c r="VJS226"/>
      <c r="VJT226"/>
      <c r="VJU226"/>
      <c r="VJV226"/>
      <c r="VJW226"/>
      <c r="VJX226"/>
      <c r="VJY226"/>
      <c r="VJZ226"/>
      <c r="VKA226"/>
      <c r="VKB226"/>
      <c r="VKC226"/>
      <c r="VKD226"/>
      <c r="VKE226"/>
      <c r="VKF226"/>
      <c r="VKG226"/>
      <c r="VKH226"/>
      <c r="VKI226"/>
      <c r="VKJ226"/>
      <c r="VKK226"/>
      <c r="VKL226"/>
      <c r="VKM226"/>
      <c r="VKN226"/>
      <c r="VKO226"/>
      <c r="VKP226"/>
      <c r="VKQ226"/>
      <c r="VKR226"/>
      <c r="VKS226"/>
      <c r="VKT226"/>
      <c r="VKU226"/>
      <c r="VKV226"/>
      <c r="VKW226"/>
      <c r="VKX226"/>
      <c r="VKY226"/>
      <c r="VKZ226"/>
      <c r="VLA226"/>
      <c r="VLB226"/>
      <c r="VLC226"/>
      <c r="VLD226"/>
      <c r="VLE226"/>
      <c r="VLF226"/>
      <c r="VLG226"/>
      <c r="VLH226"/>
      <c r="VLI226"/>
      <c r="VLJ226"/>
      <c r="VLK226"/>
      <c r="VLL226"/>
      <c r="VLM226"/>
      <c r="VLN226"/>
      <c r="VLO226"/>
      <c r="VLP226"/>
      <c r="VLQ226"/>
      <c r="VLR226"/>
      <c r="VLS226"/>
      <c r="VLT226"/>
      <c r="VLU226"/>
      <c r="VLV226"/>
      <c r="VLW226"/>
      <c r="VLX226"/>
      <c r="VLY226"/>
      <c r="VLZ226"/>
      <c r="VMA226"/>
      <c r="VMB226"/>
      <c r="VMC226"/>
      <c r="VMD226"/>
      <c r="VME226"/>
      <c r="VMF226"/>
      <c r="VMG226"/>
      <c r="VMH226"/>
      <c r="VMI226"/>
      <c r="VMJ226"/>
      <c r="VMK226"/>
      <c r="VML226"/>
      <c r="VMM226"/>
      <c r="VMN226"/>
      <c r="VMO226"/>
      <c r="VMP226"/>
      <c r="VMQ226"/>
      <c r="VMR226"/>
      <c r="VMS226"/>
      <c r="VMT226"/>
      <c r="VMU226"/>
      <c r="VMV226"/>
      <c r="VMW226"/>
      <c r="VMX226"/>
      <c r="VMY226"/>
      <c r="VMZ226"/>
      <c r="VNA226"/>
      <c r="VNB226"/>
      <c r="VNC226"/>
      <c r="VND226"/>
      <c r="VNE226"/>
      <c r="VNF226"/>
      <c r="VNG226"/>
      <c r="VNH226"/>
      <c r="VNI226"/>
      <c r="VNJ226"/>
      <c r="VNK226"/>
      <c r="VNL226"/>
      <c r="VNM226"/>
      <c r="VNN226"/>
      <c r="VNO226"/>
      <c r="VNP226"/>
      <c r="VNQ226"/>
      <c r="VNR226"/>
      <c r="VNS226"/>
      <c r="VNT226"/>
      <c r="VNU226"/>
      <c r="VNV226"/>
      <c r="VNW226"/>
      <c r="VNX226"/>
      <c r="VNY226"/>
      <c r="VNZ226"/>
      <c r="VOA226"/>
      <c r="VOB226"/>
      <c r="VOC226"/>
      <c r="VOD226"/>
      <c r="VOE226"/>
      <c r="VOF226"/>
      <c r="VOG226"/>
      <c r="VOH226"/>
      <c r="VOI226"/>
      <c r="VOJ226"/>
      <c r="VOK226"/>
      <c r="VOL226"/>
      <c r="VOM226"/>
      <c r="VON226"/>
      <c r="VOO226"/>
      <c r="VOP226"/>
      <c r="VOQ226"/>
      <c r="VOR226"/>
      <c r="VOS226"/>
      <c r="VOT226"/>
      <c r="VOU226"/>
      <c r="VOV226"/>
      <c r="VOW226"/>
      <c r="VOX226"/>
      <c r="VOY226"/>
      <c r="VOZ226"/>
      <c r="VPA226"/>
      <c r="VPB226"/>
      <c r="VPC226"/>
      <c r="VPD226"/>
      <c r="VPE226"/>
      <c r="VPF226"/>
      <c r="VPG226"/>
      <c r="VPH226"/>
      <c r="VPI226"/>
      <c r="VPJ226"/>
      <c r="VPK226"/>
      <c r="VPL226"/>
      <c r="VPM226"/>
      <c r="VPN226"/>
      <c r="VPO226"/>
      <c r="VPP226"/>
      <c r="VPQ226"/>
      <c r="VPR226"/>
      <c r="VPS226"/>
      <c r="VPT226"/>
      <c r="VPU226"/>
      <c r="VPV226"/>
      <c r="VPW226"/>
      <c r="VPX226"/>
      <c r="VPY226"/>
      <c r="VPZ226"/>
      <c r="VQA226"/>
      <c r="VQB226"/>
      <c r="VQC226"/>
      <c r="VQD226"/>
      <c r="VQE226"/>
      <c r="VQF226"/>
      <c r="VQG226"/>
      <c r="VQH226"/>
      <c r="VQI226"/>
      <c r="VQJ226"/>
      <c r="VQK226"/>
      <c r="VQL226"/>
      <c r="VQM226"/>
      <c r="VQN226"/>
      <c r="VQO226"/>
      <c r="VQP226"/>
      <c r="VQQ226"/>
      <c r="VQR226"/>
      <c r="VQS226"/>
      <c r="VQT226"/>
      <c r="VQU226"/>
      <c r="VQV226"/>
      <c r="VQW226"/>
      <c r="VQX226"/>
      <c r="VQY226"/>
      <c r="VQZ226"/>
      <c r="VRA226"/>
      <c r="VRB226"/>
      <c r="VRC226"/>
      <c r="VRD226"/>
      <c r="VRE226"/>
      <c r="VRF226"/>
      <c r="VRG226"/>
      <c r="VRH226"/>
      <c r="VRI226"/>
      <c r="VRJ226"/>
      <c r="VRK226"/>
      <c r="VRL226"/>
      <c r="VRM226"/>
      <c r="VRN226"/>
      <c r="VRO226"/>
      <c r="VRP226"/>
      <c r="VRQ226"/>
      <c r="VRR226"/>
      <c r="VRS226"/>
      <c r="VRT226"/>
      <c r="VRU226"/>
      <c r="VRV226"/>
      <c r="VRW226"/>
      <c r="VRX226"/>
      <c r="VRY226"/>
      <c r="VRZ226"/>
      <c r="VSA226"/>
      <c r="VSB226"/>
      <c r="VSC226"/>
      <c r="VSD226"/>
      <c r="VSE226"/>
      <c r="VSF226"/>
      <c r="VSG226"/>
      <c r="VSH226"/>
      <c r="VSI226"/>
      <c r="VSJ226"/>
      <c r="VSK226"/>
      <c r="VSL226"/>
      <c r="VSM226"/>
      <c r="VSN226"/>
      <c r="VSO226"/>
      <c r="VSP226"/>
      <c r="VSQ226"/>
      <c r="VSR226"/>
      <c r="VSS226"/>
      <c r="VST226"/>
      <c r="VSU226"/>
      <c r="VSV226"/>
      <c r="VSW226"/>
      <c r="VSX226"/>
      <c r="VSY226"/>
      <c r="VSZ226"/>
      <c r="VTA226"/>
      <c r="VTB226"/>
      <c r="VTC226"/>
      <c r="VTD226"/>
      <c r="VTE226"/>
      <c r="VTF226"/>
      <c r="VTG226"/>
      <c r="VTH226"/>
      <c r="VTI226"/>
      <c r="VTJ226"/>
      <c r="VTK226"/>
      <c r="VTL226"/>
      <c r="VTM226"/>
      <c r="VTN226"/>
      <c r="VTO226"/>
      <c r="VTP226"/>
      <c r="VTQ226"/>
      <c r="VTR226"/>
      <c r="VTS226"/>
      <c r="VTT226"/>
      <c r="VTU226"/>
      <c r="VTV226"/>
      <c r="VTW226"/>
      <c r="VTX226"/>
      <c r="VTY226"/>
      <c r="VTZ226"/>
      <c r="VUA226"/>
      <c r="VUB226"/>
      <c r="VUC226"/>
      <c r="VUD226"/>
      <c r="VUE226"/>
      <c r="VUF226"/>
      <c r="VUG226"/>
      <c r="VUH226"/>
      <c r="VUI226"/>
      <c r="VUJ226"/>
      <c r="VUK226"/>
      <c r="VUL226"/>
      <c r="VUM226"/>
      <c r="VUN226"/>
      <c r="VUO226"/>
      <c r="VUP226"/>
      <c r="VUQ226"/>
      <c r="VUR226"/>
      <c r="VUS226"/>
      <c r="VUT226"/>
      <c r="VUU226"/>
      <c r="VUV226"/>
      <c r="VUW226"/>
      <c r="VUX226"/>
      <c r="VUY226"/>
      <c r="VUZ226"/>
      <c r="VVA226"/>
      <c r="VVB226"/>
      <c r="VVC226"/>
      <c r="VVD226"/>
      <c r="VVE226"/>
      <c r="VVF226"/>
      <c r="VVG226"/>
      <c r="VVH226"/>
      <c r="VVI226"/>
      <c r="VVJ226"/>
      <c r="VVK226"/>
      <c r="VVL226"/>
      <c r="VVM226"/>
      <c r="VVN226"/>
      <c r="VVO226"/>
      <c r="VVP226"/>
      <c r="VVQ226"/>
      <c r="VVR226"/>
      <c r="VVS226"/>
      <c r="VVT226"/>
      <c r="VVU226"/>
      <c r="VVV226"/>
    </row>
    <row r="227" spans="2:108 15074:15466" s="1" customFormat="1" x14ac:dyDescent="0.3">
      <c r="B227" s="213"/>
      <c r="C227" s="296" t="s">
        <v>4</v>
      </c>
      <c r="D227" s="297"/>
      <c r="E227" s="29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75"/>
      <c r="AH227" s="75"/>
      <c r="AI227" s="75"/>
      <c r="AJ227" s="44"/>
      <c r="AK227" s="16"/>
      <c r="AL227" s="269" t="s">
        <v>4</v>
      </c>
      <c r="DD227" s="3"/>
      <c r="VGT227"/>
      <c r="VGU227"/>
      <c r="VGV227"/>
      <c r="VGW227"/>
      <c r="VGX227"/>
      <c r="VGY227"/>
      <c r="VGZ227"/>
      <c r="VHA227"/>
      <c r="VHB227"/>
      <c r="VHC227"/>
      <c r="VHD227"/>
      <c r="VHE227"/>
      <c r="VHF227"/>
      <c r="VHG227"/>
      <c r="VHH227"/>
      <c r="VHI227"/>
      <c r="VHJ227"/>
      <c r="VHK227"/>
      <c r="VHL227"/>
      <c r="VHM227"/>
      <c r="VHN227"/>
      <c r="VHO227"/>
      <c r="VHP227"/>
      <c r="VHQ227"/>
      <c r="VHR227"/>
      <c r="VHS227"/>
      <c r="VHT227"/>
      <c r="VHU227"/>
      <c r="VHV227"/>
      <c r="VHW227"/>
      <c r="VHX227"/>
      <c r="VHY227"/>
      <c r="VHZ227"/>
      <c r="VIA227"/>
      <c r="VIB227"/>
      <c r="VIC227"/>
      <c r="VID227"/>
      <c r="VIE227"/>
      <c r="VIF227"/>
      <c r="VIG227"/>
      <c r="VIH227"/>
      <c r="VII227"/>
      <c r="VIJ227"/>
      <c r="VIK227"/>
      <c r="VIL227"/>
      <c r="VIM227"/>
      <c r="VIN227"/>
      <c r="VIO227"/>
      <c r="VIP227"/>
      <c r="VIQ227"/>
      <c r="VIR227"/>
      <c r="VIS227"/>
      <c r="VIT227"/>
      <c r="VIU227"/>
      <c r="VIV227"/>
      <c r="VIW227"/>
      <c r="VIX227"/>
      <c r="VIY227"/>
      <c r="VIZ227"/>
      <c r="VJA227"/>
      <c r="VJB227"/>
      <c r="VJC227"/>
      <c r="VJD227"/>
      <c r="VJE227"/>
      <c r="VJF227"/>
      <c r="VJG227"/>
      <c r="VJH227"/>
      <c r="VJI227"/>
      <c r="VJJ227"/>
      <c r="VJK227"/>
      <c r="VJL227"/>
      <c r="VJM227"/>
      <c r="VJN227"/>
      <c r="VJO227"/>
      <c r="VJP227"/>
      <c r="VJQ227"/>
      <c r="VJR227"/>
      <c r="VJS227"/>
      <c r="VJT227"/>
      <c r="VJU227"/>
      <c r="VJV227"/>
      <c r="VJW227"/>
      <c r="VJX227"/>
      <c r="VJY227"/>
      <c r="VJZ227"/>
      <c r="VKA227"/>
      <c r="VKB227"/>
      <c r="VKC227"/>
      <c r="VKD227"/>
      <c r="VKE227"/>
      <c r="VKF227"/>
      <c r="VKG227"/>
      <c r="VKH227"/>
      <c r="VKI227"/>
      <c r="VKJ227"/>
      <c r="VKK227"/>
      <c r="VKL227"/>
      <c r="VKM227"/>
      <c r="VKN227"/>
      <c r="VKO227"/>
      <c r="VKP227"/>
      <c r="VKQ227"/>
      <c r="VKR227"/>
      <c r="VKS227"/>
      <c r="VKT227"/>
      <c r="VKU227"/>
      <c r="VKV227"/>
      <c r="VKW227"/>
      <c r="VKX227"/>
      <c r="VKY227"/>
      <c r="VKZ227"/>
      <c r="VLA227"/>
      <c r="VLB227"/>
      <c r="VLC227"/>
      <c r="VLD227"/>
      <c r="VLE227"/>
      <c r="VLF227"/>
      <c r="VLG227"/>
      <c r="VLH227"/>
      <c r="VLI227"/>
      <c r="VLJ227"/>
      <c r="VLK227"/>
      <c r="VLL227"/>
      <c r="VLM227"/>
      <c r="VLN227"/>
      <c r="VLO227"/>
      <c r="VLP227"/>
      <c r="VLQ227"/>
      <c r="VLR227"/>
      <c r="VLS227"/>
      <c r="VLT227"/>
      <c r="VLU227"/>
      <c r="VLV227"/>
      <c r="VLW227"/>
      <c r="VLX227"/>
      <c r="VLY227"/>
      <c r="VLZ227"/>
      <c r="VMA227"/>
      <c r="VMB227"/>
      <c r="VMC227"/>
      <c r="VMD227"/>
      <c r="VME227"/>
      <c r="VMF227"/>
      <c r="VMG227"/>
      <c r="VMH227"/>
      <c r="VMI227"/>
      <c r="VMJ227"/>
      <c r="VMK227"/>
      <c r="VML227"/>
      <c r="VMM227"/>
      <c r="VMN227"/>
      <c r="VMO227"/>
      <c r="VMP227"/>
      <c r="VMQ227"/>
      <c r="VMR227"/>
      <c r="VMS227"/>
      <c r="VMT227"/>
      <c r="VMU227"/>
      <c r="VMV227"/>
      <c r="VMW227"/>
      <c r="VMX227"/>
      <c r="VMY227"/>
      <c r="VMZ227"/>
      <c r="VNA227"/>
      <c r="VNB227"/>
      <c r="VNC227"/>
      <c r="VND227"/>
      <c r="VNE227"/>
      <c r="VNF227"/>
      <c r="VNG227"/>
      <c r="VNH227"/>
      <c r="VNI227"/>
      <c r="VNJ227"/>
      <c r="VNK227"/>
      <c r="VNL227"/>
      <c r="VNM227"/>
      <c r="VNN227"/>
      <c r="VNO227"/>
      <c r="VNP227"/>
      <c r="VNQ227"/>
      <c r="VNR227"/>
      <c r="VNS227"/>
      <c r="VNT227"/>
      <c r="VNU227"/>
      <c r="VNV227"/>
      <c r="VNW227"/>
      <c r="VNX227"/>
      <c r="VNY227"/>
      <c r="VNZ227"/>
      <c r="VOA227"/>
      <c r="VOB227"/>
      <c r="VOC227"/>
      <c r="VOD227"/>
      <c r="VOE227"/>
      <c r="VOF227"/>
      <c r="VOG227"/>
      <c r="VOH227"/>
      <c r="VOI227"/>
      <c r="VOJ227"/>
      <c r="VOK227"/>
      <c r="VOL227"/>
      <c r="VOM227"/>
      <c r="VON227"/>
      <c r="VOO227"/>
      <c r="VOP227"/>
      <c r="VOQ227"/>
      <c r="VOR227"/>
      <c r="VOS227"/>
      <c r="VOT227"/>
      <c r="VOU227"/>
      <c r="VOV227"/>
      <c r="VOW227"/>
      <c r="VOX227"/>
      <c r="VOY227"/>
      <c r="VOZ227"/>
      <c r="VPA227"/>
      <c r="VPB227"/>
      <c r="VPC227"/>
      <c r="VPD227"/>
      <c r="VPE227"/>
      <c r="VPF227"/>
      <c r="VPG227"/>
      <c r="VPH227"/>
      <c r="VPI227"/>
      <c r="VPJ227"/>
      <c r="VPK227"/>
      <c r="VPL227"/>
      <c r="VPM227"/>
      <c r="VPN227"/>
      <c r="VPO227"/>
      <c r="VPP227"/>
      <c r="VPQ227"/>
      <c r="VPR227"/>
      <c r="VPS227"/>
      <c r="VPT227"/>
      <c r="VPU227"/>
      <c r="VPV227"/>
      <c r="VPW227"/>
      <c r="VPX227"/>
      <c r="VPY227"/>
      <c r="VPZ227"/>
      <c r="VQA227"/>
      <c r="VQB227"/>
      <c r="VQC227"/>
      <c r="VQD227"/>
      <c r="VQE227"/>
      <c r="VQF227"/>
      <c r="VQG227"/>
      <c r="VQH227"/>
      <c r="VQI227"/>
      <c r="VQJ227"/>
      <c r="VQK227"/>
      <c r="VQL227"/>
      <c r="VQM227"/>
      <c r="VQN227"/>
      <c r="VQO227"/>
      <c r="VQP227"/>
      <c r="VQQ227"/>
      <c r="VQR227"/>
      <c r="VQS227"/>
      <c r="VQT227"/>
      <c r="VQU227"/>
      <c r="VQV227"/>
      <c r="VQW227"/>
      <c r="VQX227"/>
      <c r="VQY227"/>
      <c r="VQZ227"/>
      <c r="VRA227"/>
      <c r="VRB227"/>
      <c r="VRC227"/>
      <c r="VRD227"/>
      <c r="VRE227"/>
      <c r="VRF227"/>
      <c r="VRG227"/>
      <c r="VRH227"/>
      <c r="VRI227"/>
      <c r="VRJ227"/>
      <c r="VRK227"/>
      <c r="VRL227"/>
      <c r="VRM227"/>
      <c r="VRN227"/>
      <c r="VRO227"/>
      <c r="VRP227"/>
      <c r="VRQ227"/>
      <c r="VRR227"/>
      <c r="VRS227"/>
      <c r="VRT227"/>
      <c r="VRU227"/>
      <c r="VRV227"/>
      <c r="VRW227"/>
      <c r="VRX227"/>
      <c r="VRY227"/>
      <c r="VRZ227"/>
      <c r="VSA227"/>
      <c r="VSB227"/>
      <c r="VSC227"/>
      <c r="VSD227"/>
      <c r="VSE227"/>
      <c r="VSF227"/>
      <c r="VSG227"/>
      <c r="VSH227"/>
      <c r="VSI227"/>
      <c r="VSJ227"/>
      <c r="VSK227"/>
      <c r="VSL227"/>
      <c r="VSM227"/>
      <c r="VSN227"/>
      <c r="VSO227"/>
      <c r="VSP227"/>
      <c r="VSQ227"/>
      <c r="VSR227"/>
      <c r="VSS227"/>
      <c r="VST227"/>
      <c r="VSU227"/>
      <c r="VSV227"/>
      <c r="VSW227"/>
      <c r="VSX227"/>
      <c r="VSY227"/>
      <c r="VSZ227"/>
      <c r="VTA227"/>
      <c r="VTB227"/>
      <c r="VTC227"/>
      <c r="VTD227"/>
      <c r="VTE227"/>
      <c r="VTF227"/>
      <c r="VTG227"/>
      <c r="VTH227"/>
      <c r="VTI227"/>
      <c r="VTJ227"/>
      <c r="VTK227"/>
      <c r="VTL227"/>
      <c r="VTM227"/>
      <c r="VTN227"/>
      <c r="VTO227"/>
      <c r="VTP227"/>
      <c r="VTQ227"/>
      <c r="VTR227"/>
      <c r="VTS227"/>
      <c r="VTT227"/>
      <c r="VTU227"/>
      <c r="VTV227"/>
      <c r="VTW227"/>
      <c r="VTX227"/>
      <c r="VTY227"/>
      <c r="VTZ227"/>
      <c r="VUA227"/>
      <c r="VUB227"/>
      <c r="VUC227"/>
      <c r="VUD227"/>
      <c r="VUE227"/>
      <c r="VUF227"/>
      <c r="VUG227"/>
      <c r="VUH227"/>
      <c r="VUI227"/>
      <c r="VUJ227"/>
      <c r="VUK227"/>
      <c r="VUL227"/>
      <c r="VUM227"/>
      <c r="VUN227"/>
      <c r="VUO227"/>
      <c r="VUP227"/>
      <c r="VUQ227"/>
      <c r="VUR227"/>
      <c r="VUS227"/>
      <c r="VUT227"/>
      <c r="VUU227"/>
      <c r="VUV227"/>
      <c r="VUW227"/>
      <c r="VUX227"/>
      <c r="VUY227"/>
      <c r="VUZ227"/>
      <c r="VVA227"/>
      <c r="VVB227"/>
      <c r="VVC227"/>
      <c r="VVD227"/>
      <c r="VVE227"/>
      <c r="VVF227"/>
      <c r="VVG227"/>
      <c r="VVH227"/>
      <c r="VVI227"/>
      <c r="VVJ227"/>
      <c r="VVK227"/>
      <c r="VVL227"/>
      <c r="VVM227"/>
      <c r="VVN227"/>
      <c r="VVO227"/>
      <c r="VVP227"/>
      <c r="VVQ227"/>
      <c r="VVR227"/>
      <c r="VVS227"/>
      <c r="VVT227"/>
      <c r="VVU227"/>
      <c r="VVV227"/>
    </row>
    <row r="228" spans="2:108 15074:15466" s="1" customFormat="1" x14ac:dyDescent="0.3">
      <c r="B228" s="213"/>
      <c r="C228" s="183" t="s">
        <v>3</v>
      </c>
      <c r="D228" s="133">
        <v>28770</v>
      </c>
      <c r="E228" s="146" t="s">
        <v>2</v>
      </c>
      <c r="F228" s="5">
        <v>27900</v>
      </c>
      <c r="G228" s="5">
        <v>26400</v>
      </c>
      <c r="H228" s="5">
        <v>28500</v>
      </c>
      <c r="I228" s="32">
        <v>33700</v>
      </c>
      <c r="J228" s="32">
        <v>31200</v>
      </c>
      <c r="K228" s="32">
        <v>30300</v>
      </c>
      <c r="L228" s="32">
        <v>30900</v>
      </c>
      <c r="M228" s="5">
        <v>28700</v>
      </c>
      <c r="N228" s="5">
        <v>27300</v>
      </c>
      <c r="O228" s="5">
        <v>28200</v>
      </c>
      <c r="P228" s="5">
        <v>28600</v>
      </c>
      <c r="Q228" s="5">
        <v>28400</v>
      </c>
      <c r="R228" s="5">
        <v>26600</v>
      </c>
      <c r="S228" s="5">
        <v>28600</v>
      </c>
      <c r="T228" s="32">
        <v>29200</v>
      </c>
      <c r="U228" s="32">
        <v>30800</v>
      </c>
      <c r="V228" s="5">
        <v>28700</v>
      </c>
      <c r="W228" s="5">
        <v>27700</v>
      </c>
      <c r="X228" s="5">
        <v>28000</v>
      </c>
      <c r="Y228" s="32">
        <v>29500</v>
      </c>
      <c r="Z228" s="5">
        <v>24500</v>
      </c>
      <c r="AA228" s="32">
        <v>28700</v>
      </c>
      <c r="AB228" s="32">
        <v>29100</v>
      </c>
      <c r="AC228" s="32">
        <v>29100</v>
      </c>
      <c r="AD228" s="32">
        <v>31200</v>
      </c>
      <c r="AE228" s="5">
        <v>28600</v>
      </c>
      <c r="AF228" s="32">
        <v>29400</v>
      </c>
      <c r="AG228" s="75">
        <v>27200</v>
      </c>
      <c r="AH228" s="75">
        <v>27000</v>
      </c>
      <c r="AI228" s="347">
        <v>29100</v>
      </c>
      <c r="AJ228" s="350">
        <v>30000</v>
      </c>
      <c r="AK228" s="16"/>
      <c r="AL228" s="191">
        <f>SUM(F228:AJ228)</f>
        <v>893100</v>
      </c>
      <c r="DD228" s="3"/>
      <c r="VGT228"/>
      <c r="VGU228"/>
      <c r="VGV228"/>
      <c r="VGW228"/>
      <c r="VGX228"/>
      <c r="VGY228"/>
      <c r="VGZ228"/>
      <c r="VHA228"/>
      <c r="VHB228"/>
      <c r="VHC228"/>
      <c r="VHD228"/>
      <c r="VHE228"/>
      <c r="VHF228"/>
      <c r="VHG228"/>
      <c r="VHH228"/>
      <c r="VHI228"/>
      <c r="VHJ228"/>
      <c r="VHK228"/>
      <c r="VHL228"/>
      <c r="VHM228"/>
      <c r="VHN228"/>
      <c r="VHO228"/>
      <c r="VHP228"/>
      <c r="VHQ228"/>
      <c r="VHR228"/>
      <c r="VHS228"/>
      <c r="VHT228"/>
      <c r="VHU228"/>
      <c r="VHV228"/>
      <c r="VHW228"/>
      <c r="VHX228"/>
      <c r="VHY228"/>
      <c r="VHZ228"/>
      <c r="VIA228"/>
      <c r="VIB228"/>
      <c r="VIC228"/>
      <c r="VID228"/>
      <c r="VIE228"/>
      <c r="VIF228"/>
      <c r="VIG228"/>
      <c r="VIH228"/>
      <c r="VII228"/>
      <c r="VIJ228"/>
      <c r="VIK228"/>
      <c r="VIL228"/>
      <c r="VIM228"/>
      <c r="VIN228"/>
      <c r="VIO228"/>
      <c r="VIP228"/>
      <c r="VIQ228"/>
      <c r="VIR228"/>
      <c r="VIS228"/>
      <c r="VIT228"/>
      <c r="VIU228"/>
      <c r="VIV228"/>
      <c r="VIW228"/>
      <c r="VIX228"/>
      <c r="VIY228"/>
      <c r="VIZ228"/>
      <c r="VJA228"/>
      <c r="VJB228"/>
      <c r="VJC228"/>
      <c r="VJD228"/>
      <c r="VJE228"/>
      <c r="VJF228"/>
      <c r="VJG228"/>
      <c r="VJH228"/>
      <c r="VJI228"/>
      <c r="VJJ228"/>
      <c r="VJK228"/>
      <c r="VJL228"/>
      <c r="VJM228"/>
      <c r="VJN228"/>
      <c r="VJO228"/>
      <c r="VJP228"/>
      <c r="VJQ228"/>
      <c r="VJR228"/>
      <c r="VJS228"/>
      <c r="VJT228"/>
      <c r="VJU228"/>
      <c r="VJV228"/>
      <c r="VJW228"/>
      <c r="VJX228"/>
      <c r="VJY228"/>
      <c r="VJZ228"/>
      <c r="VKA228"/>
      <c r="VKB228"/>
      <c r="VKC228"/>
      <c r="VKD228"/>
      <c r="VKE228"/>
      <c r="VKF228"/>
      <c r="VKG228"/>
      <c r="VKH228"/>
      <c r="VKI228"/>
      <c r="VKJ228"/>
      <c r="VKK228"/>
      <c r="VKL228"/>
      <c r="VKM228"/>
      <c r="VKN228"/>
      <c r="VKO228"/>
      <c r="VKP228"/>
      <c r="VKQ228"/>
      <c r="VKR228"/>
      <c r="VKS228"/>
      <c r="VKT228"/>
      <c r="VKU228"/>
      <c r="VKV228"/>
      <c r="VKW228"/>
      <c r="VKX228"/>
      <c r="VKY228"/>
      <c r="VKZ228"/>
      <c r="VLA228"/>
      <c r="VLB228"/>
      <c r="VLC228"/>
      <c r="VLD228"/>
      <c r="VLE228"/>
      <c r="VLF228"/>
      <c r="VLG228"/>
      <c r="VLH228"/>
      <c r="VLI228"/>
      <c r="VLJ228"/>
      <c r="VLK228"/>
      <c r="VLL228"/>
      <c r="VLM228"/>
      <c r="VLN228"/>
      <c r="VLO228"/>
      <c r="VLP228"/>
      <c r="VLQ228"/>
      <c r="VLR228"/>
      <c r="VLS228"/>
      <c r="VLT228"/>
      <c r="VLU228"/>
      <c r="VLV228"/>
      <c r="VLW228"/>
      <c r="VLX228"/>
      <c r="VLY228"/>
      <c r="VLZ228"/>
      <c r="VMA228"/>
      <c r="VMB228"/>
      <c r="VMC228"/>
      <c r="VMD228"/>
      <c r="VME228"/>
      <c r="VMF228"/>
      <c r="VMG228"/>
      <c r="VMH228"/>
      <c r="VMI228"/>
      <c r="VMJ228"/>
      <c r="VMK228"/>
      <c r="VML228"/>
      <c r="VMM228"/>
      <c r="VMN228"/>
      <c r="VMO228"/>
      <c r="VMP228"/>
      <c r="VMQ228"/>
      <c r="VMR228"/>
      <c r="VMS228"/>
      <c r="VMT228"/>
      <c r="VMU228"/>
      <c r="VMV228"/>
      <c r="VMW228"/>
      <c r="VMX228"/>
      <c r="VMY228"/>
      <c r="VMZ228"/>
      <c r="VNA228"/>
      <c r="VNB228"/>
      <c r="VNC228"/>
      <c r="VND228"/>
      <c r="VNE228"/>
      <c r="VNF228"/>
      <c r="VNG228"/>
      <c r="VNH228"/>
      <c r="VNI228"/>
      <c r="VNJ228"/>
      <c r="VNK228"/>
      <c r="VNL228"/>
      <c r="VNM228"/>
      <c r="VNN228"/>
      <c r="VNO228"/>
      <c r="VNP228"/>
      <c r="VNQ228"/>
      <c r="VNR228"/>
      <c r="VNS228"/>
      <c r="VNT228"/>
      <c r="VNU228"/>
      <c r="VNV228"/>
      <c r="VNW228"/>
      <c r="VNX228"/>
      <c r="VNY228"/>
      <c r="VNZ228"/>
      <c r="VOA228"/>
      <c r="VOB228"/>
      <c r="VOC228"/>
      <c r="VOD228"/>
      <c r="VOE228"/>
      <c r="VOF228"/>
      <c r="VOG228"/>
      <c r="VOH228"/>
      <c r="VOI228"/>
      <c r="VOJ228"/>
      <c r="VOK228"/>
      <c r="VOL228"/>
      <c r="VOM228"/>
      <c r="VON228"/>
      <c r="VOO228"/>
      <c r="VOP228"/>
      <c r="VOQ228"/>
      <c r="VOR228"/>
      <c r="VOS228"/>
      <c r="VOT228"/>
      <c r="VOU228"/>
      <c r="VOV228"/>
      <c r="VOW228"/>
      <c r="VOX228"/>
      <c r="VOY228"/>
      <c r="VOZ228"/>
      <c r="VPA228"/>
      <c r="VPB228"/>
      <c r="VPC228"/>
      <c r="VPD228"/>
      <c r="VPE228"/>
      <c r="VPF228"/>
      <c r="VPG228"/>
      <c r="VPH228"/>
      <c r="VPI228"/>
      <c r="VPJ228"/>
      <c r="VPK228"/>
      <c r="VPL228"/>
      <c r="VPM228"/>
      <c r="VPN228"/>
      <c r="VPO228"/>
      <c r="VPP228"/>
      <c r="VPQ228"/>
      <c r="VPR228"/>
      <c r="VPS228"/>
      <c r="VPT228"/>
      <c r="VPU228"/>
      <c r="VPV228"/>
      <c r="VPW228"/>
      <c r="VPX228"/>
      <c r="VPY228"/>
      <c r="VPZ228"/>
      <c r="VQA228"/>
      <c r="VQB228"/>
      <c r="VQC228"/>
      <c r="VQD228"/>
      <c r="VQE228"/>
      <c r="VQF228"/>
      <c r="VQG228"/>
      <c r="VQH228"/>
      <c r="VQI228"/>
      <c r="VQJ228"/>
      <c r="VQK228"/>
      <c r="VQL228"/>
      <c r="VQM228"/>
      <c r="VQN228"/>
      <c r="VQO228"/>
      <c r="VQP228"/>
      <c r="VQQ228"/>
      <c r="VQR228"/>
      <c r="VQS228"/>
      <c r="VQT228"/>
      <c r="VQU228"/>
      <c r="VQV228"/>
      <c r="VQW228"/>
      <c r="VQX228"/>
      <c r="VQY228"/>
      <c r="VQZ228"/>
      <c r="VRA228"/>
      <c r="VRB228"/>
      <c r="VRC228"/>
      <c r="VRD228"/>
      <c r="VRE228"/>
      <c r="VRF228"/>
      <c r="VRG228"/>
      <c r="VRH228"/>
      <c r="VRI228"/>
      <c r="VRJ228"/>
      <c r="VRK228"/>
      <c r="VRL228"/>
      <c r="VRM228"/>
      <c r="VRN228"/>
      <c r="VRO228"/>
      <c r="VRP228"/>
      <c r="VRQ228"/>
      <c r="VRR228"/>
      <c r="VRS228"/>
      <c r="VRT228"/>
      <c r="VRU228"/>
      <c r="VRV228"/>
      <c r="VRW228"/>
      <c r="VRX228"/>
      <c r="VRY228"/>
      <c r="VRZ228"/>
      <c r="VSA228"/>
      <c r="VSB228"/>
      <c r="VSC228"/>
      <c r="VSD228"/>
      <c r="VSE228"/>
      <c r="VSF228"/>
      <c r="VSG228"/>
      <c r="VSH228"/>
      <c r="VSI228"/>
      <c r="VSJ228"/>
      <c r="VSK228"/>
      <c r="VSL228"/>
      <c r="VSM228"/>
      <c r="VSN228"/>
      <c r="VSO228"/>
      <c r="VSP228"/>
      <c r="VSQ228"/>
      <c r="VSR228"/>
      <c r="VSS228"/>
      <c r="VST228"/>
      <c r="VSU228"/>
      <c r="VSV228"/>
      <c r="VSW228"/>
      <c r="VSX228"/>
      <c r="VSY228"/>
      <c r="VSZ228"/>
      <c r="VTA228"/>
      <c r="VTB228"/>
      <c r="VTC228"/>
      <c r="VTD228"/>
      <c r="VTE228"/>
      <c r="VTF228"/>
      <c r="VTG228"/>
      <c r="VTH228"/>
      <c r="VTI228"/>
      <c r="VTJ228"/>
      <c r="VTK228"/>
      <c r="VTL228"/>
      <c r="VTM228"/>
      <c r="VTN228"/>
      <c r="VTO228"/>
      <c r="VTP228"/>
      <c r="VTQ228"/>
      <c r="VTR228"/>
      <c r="VTS228"/>
      <c r="VTT228"/>
      <c r="VTU228"/>
      <c r="VTV228"/>
      <c r="VTW228"/>
      <c r="VTX228"/>
      <c r="VTY228"/>
      <c r="VTZ228"/>
      <c r="VUA228"/>
      <c r="VUB228"/>
      <c r="VUC228"/>
      <c r="VUD228"/>
      <c r="VUE228"/>
      <c r="VUF228"/>
      <c r="VUG228"/>
      <c r="VUH228"/>
      <c r="VUI228"/>
      <c r="VUJ228"/>
      <c r="VUK228"/>
      <c r="VUL228"/>
      <c r="VUM228"/>
      <c r="VUN228"/>
      <c r="VUO228"/>
      <c r="VUP228"/>
      <c r="VUQ228"/>
      <c r="VUR228"/>
      <c r="VUS228"/>
      <c r="VUT228"/>
      <c r="VUU228"/>
      <c r="VUV228"/>
      <c r="VUW228"/>
      <c r="VUX228"/>
      <c r="VUY228"/>
      <c r="VUZ228"/>
      <c r="VVA228"/>
      <c r="VVB228"/>
      <c r="VVC228"/>
      <c r="VVD228"/>
      <c r="VVE228"/>
      <c r="VVF228"/>
      <c r="VVG228"/>
      <c r="VVH228"/>
      <c r="VVI228"/>
      <c r="VVJ228"/>
      <c r="VVK228"/>
      <c r="VVL228"/>
      <c r="VVM228"/>
      <c r="VVN228"/>
      <c r="VVO228"/>
      <c r="VVP228"/>
      <c r="VVQ228"/>
      <c r="VVR228"/>
      <c r="VVS228"/>
      <c r="VVT228"/>
      <c r="VVU228"/>
      <c r="VVV228"/>
    </row>
    <row r="229" spans="2:108 15074:15466" s="1" customFormat="1" ht="15" thickBot="1" x14ac:dyDescent="0.35">
      <c r="B229" s="299"/>
      <c r="C229" s="300" t="s">
        <v>1</v>
      </c>
      <c r="D229" s="301"/>
      <c r="E229" s="302" t="s">
        <v>0</v>
      </c>
      <c r="F229" s="84">
        <f t="shared" ref="F229:AH229" si="96">SUM(F228:F228)</f>
        <v>27900</v>
      </c>
      <c r="G229" s="84">
        <f t="shared" si="96"/>
        <v>26400</v>
      </c>
      <c r="H229" s="84">
        <f t="shared" si="96"/>
        <v>28500</v>
      </c>
      <c r="I229" s="331">
        <f t="shared" si="96"/>
        <v>33700</v>
      </c>
      <c r="J229" s="331">
        <f t="shared" si="96"/>
        <v>31200</v>
      </c>
      <c r="K229" s="331">
        <f t="shared" si="96"/>
        <v>30300</v>
      </c>
      <c r="L229" s="331">
        <f t="shared" si="96"/>
        <v>30900</v>
      </c>
      <c r="M229" s="84">
        <f t="shared" si="96"/>
        <v>28700</v>
      </c>
      <c r="N229" s="84">
        <f t="shared" si="96"/>
        <v>27300</v>
      </c>
      <c r="O229" s="84">
        <f t="shared" si="96"/>
        <v>28200</v>
      </c>
      <c r="P229" s="84">
        <f t="shared" si="96"/>
        <v>28600</v>
      </c>
      <c r="Q229" s="84">
        <f t="shared" si="96"/>
        <v>28400</v>
      </c>
      <c r="R229" s="84">
        <f t="shared" si="96"/>
        <v>26600</v>
      </c>
      <c r="S229" s="84">
        <f t="shared" si="96"/>
        <v>28600</v>
      </c>
      <c r="T229" s="331">
        <f t="shared" si="96"/>
        <v>29200</v>
      </c>
      <c r="U229" s="331">
        <f t="shared" si="96"/>
        <v>30800</v>
      </c>
      <c r="V229" s="84">
        <f t="shared" si="96"/>
        <v>28700</v>
      </c>
      <c r="W229" s="84">
        <f t="shared" si="96"/>
        <v>27700</v>
      </c>
      <c r="X229" s="84">
        <f t="shared" si="96"/>
        <v>28000</v>
      </c>
      <c r="Y229" s="331">
        <f t="shared" si="96"/>
        <v>29500</v>
      </c>
      <c r="Z229" s="84">
        <f>SUM(Z228:Z228)</f>
        <v>24500</v>
      </c>
      <c r="AA229" s="331">
        <f t="shared" si="96"/>
        <v>28700</v>
      </c>
      <c r="AB229" s="331">
        <f t="shared" si="96"/>
        <v>29100</v>
      </c>
      <c r="AC229" s="331">
        <f t="shared" si="96"/>
        <v>29100</v>
      </c>
      <c r="AD229" s="331">
        <f t="shared" si="96"/>
        <v>31200</v>
      </c>
      <c r="AE229" s="84">
        <f t="shared" si="96"/>
        <v>28600</v>
      </c>
      <c r="AF229" s="331">
        <f t="shared" si="96"/>
        <v>29400</v>
      </c>
      <c r="AG229" s="84">
        <f t="shared" si="96"/>
        <v>27200</v>
      </c>
      <c r="AH229" s="84">
        <f t="shared" si="96"/>
        <v>27000</v>
      </c>
      <c r="AI229" s="331">
        <f>SUM(AI228:AI228)</f>
        <v>29100</v>
      </c>
      <c r="AJ229" s="352">
        <f>SUM(AJ228:AJ228)</f>
        <v>30000</v>
      </c>
      <c r="AK229" s="147"/>
      <c r="AL229" s="303">
        <f>SUM(F229:AJ229)</f>
        <v>893100</v>
      </c>
      <c r="DD229" s="3"/>
      <c r="VGT229"/>
      <c r="VGU229"/>
      <c r="VGV229"/>
      <c r="VGW229"/>
      <c r="VGX229"/>
      <c r="VGY229"/>
      <c r="VGZ229"/>
      <c r="VHA229"/>
      <c r="VHB229"/>
      <c r="VHC229"/>
      <c r="VHD229"/>
      <c r="VHE229"/>
      <c r="VHF229"/>
      <c r="VHG229"/>
      <c r="VHH229"/>
      <c r="VHI229"/>
      <c r="VHJ229"/>
      <c r="VHK229"/>
      <c r="VHL229"/>
      <c r="VHM229"/>
      <c r="VHN229"/>
      <c r="VHO229"/>
      <c r="VHP229"/>
      <c r="VHQ229"/>
      <c r="VHR229"/>
      <c r="VHS229"/>
      <c r="VHT229"/>
      <c r="VHU229"/>
      <c r="VHV229"/>
      <c r="VHW229"/>
      <c r="VHX229"/>
      <c r="VHY229"/>
      <c r="VHZ229"/>
      <c r="VIA229"/>
      <c r="VIB229"/>
      <c r="VIC229"/>
      <c r="VID229"/>
      <c r="VIE229"/>
      <c r="VIF229"/>
      <c r="VIG229"/>
      <c r="VIH229"/>
      <c r="VII229"/>
      <c r="VIJ229"/>
      <c r="VIK229"/>
      <c r="VIL229"/>
      <c r="VIM229"/>
      <c r="VIN229"/>
      <c r="VIO229"/>
      <c r="VIP229"/>
      <c r="VIQ229"/>
      <c r="VIR229"/>
      <c r="VIS229"/>
      <c r="VIT229"/>
      <c r="VIU229"/>
      <c r="VIV229"/>
      <c r="VIW229"/>
      <c r="VIX229"/>
      <c r="VIY229"/>
      <c r="VIZ229"/>
      <c r="VJA229"/>
      <c r="VJB229"/>
      <c r="VJC229"/>
      <c r="VJD229"/>
      <c r="VJE229"/>
      <c r="VJF229"/>
      <c r="VJG229"/>
      <c r="VJH229"/>
      <c r="VJI229"/>
      <c r="VJJ229"/>
      <c r="VJK229"/>
      <c r="VJL229"/>
      <c r="VJM229"/>
      <c r="VJN229"/>
      <c r="VJO229"/>
      <c r="VJP229"/>
      <c r="VJQ229"/>
      <c r="VJR229"/>
      <c r="VJS229"/>
      <c r="VJT229"/>
      <c r="VJU229"/>
      <c r="VJV229"/>
      <c r="VJW229"/>
      <c r="VJX229"/>
      <c r="VJY229"/>
      <c r="VJZ229"/>
      <c r="VKA229"/>
      <c r="VKB229"/>
      <c r="VKC229"/>
      <c r="VKD229"/>
      <c r="VKE229"/>
      <c r="VKF229"/>
      <c r="VKG229"/>
      <c r="VKH229"/>
      <c r="VKI229"/>
      <c r="VKJ229"/>
      <c r="VKK229"/>
      <c r="VKL229"/>
      <c r="VKM229"/>
      <c r="VKN229"/>
      <c r="VKO229"/>
      <c r="VKP229"/>
      <c r="VKQ229"/>
      <c r="VKR229"/>
      <c r="VKS229"/>
      <c r="VKT229"/>
      <c r="VKU229"/>
      <c r="VKV229"/>
      <c r="VKW229"/>
      <c r="VKX229"/>
      <c r="VKY229"/>
      <c r="VKZ229"/>
      <c r="VLA229"/>
      <c r="VLB229"/>
      <c r="VLC229"/>
      <c r="VLD229"/>
      <c r="VLE229"/>
      <c r="VLF229"/>
      <c r="VLG229"/>
      <c r="VLH229"/>
      <c r="VLI229"/>
      <c r="VLJ229"/>
      <c r="VLK229"/>
      <c r="VLL229"/>
      <c r="VLM229"/>
      <c r="VLN229"/>
      <c r="VLO229"/>
      <c r="VLP229"/>
      <c r="VLQ229"/>
      <c r="VLR229"/>
      <c r="VLS229"/>
      <c r="VLT229"/>
      <c r="VLU229"/>
      <c r="VLV229"/>
      <c r="VLW229"/>
      <c r="VLX229"/>
      <c r="VLY229"/>
      <c r="VLZ229"/>
      <c r="VMA229"/>
      <c r="VMB229"/>
      <c r="VMC229"/>
      <c r="VMD229"/>
      <c r="VME229"/>
      <c r="VMF229"/>
      <c r="VMG229"/>
      <c r="VMH229"/>
      <c r="VMI229"/>
      <c r="VMJ229"/>
      <c r="VMK229"/>
      <c r="VML229"/>
      <c r="VMM229"/>
      <c r="VMN229"/>
      <c r="VMO229"/>
      <c r="VMP229"/>
      <c r="VMQ229"/>
      <c r="VMR229"/>
      <c r="VMS229"/>
      <c r="VMT229"/>
      <c r="VMU229"/>
      <c r="VMV229"/>
      <c r="VMW229"/>
      <c r="VMX229"/>
      <c r="VMY229"/>
      <c r="VMZ229"/>
      <c r="VNA229"/>
      <c r="VNB229"/>
      <c r="VNC229"/>
      <c r="VND229"/>
      <c r="VNE229"/>
      <c r="VNF229"/>
      <c r="VNG229"/>
      <c r="VNH229"/>
      <c r="VNI229"/>
      <c r="VNJ229"/>
      <c r="VNK229"/>
      <c r="VNL229"/>
      <c r="VNM229"/>
      <c r="VNN229"/>
      <c r="VNO229"/>
      <c r="VNP229"/>
      <c r="VNQ229"/>
      <c r="VNR229"/>
      <c r="VNS229"/>
      <c r="VNT229"/>
      <c r="VNU229"/>
      <c r="VNV229"/>
      <c r="VNW229"/>
      <c r="VNX229"/>
      <c r="VNY229"/>
      <c r="VNZ229"/>
      <c r="VOA229"/>
      <c r="VOB229"/>
      <c r="VOC229"/>
      <c r="VOD229"/>
      <c r="VOE229"/>
      <c r="VOF229"/>
      <c r="VOG229"/>
      <c r="VOH229"/>
      <c r="VOI229"/>
      <c r="VOJ229"/>
      <c r="VOK229"/>
      <c r="VOL229"/>
      <c r="VOM229"/>
      <c r="VON229"/>
      <c r="VOO229"/>
      <c r="VOP229"/>
      <c r="VOQ229"/>
      <c r="VOR229"/>
      <c r="VOS229"/>
      <c r="VOT229"/>
      <c r="VOU229"/>
      <c r="VOV229"/>
      <c r="VOW229"/>
      <c r="VOX229"/>
      <c r="VOY229"/>
      <c r="VOZ229"/>
      <c r="VPA229"/>
      <c r="VPB229"/>
      <c r="VPC229"/>
      <c r="VPD229"/>
      <c r="VPE229"/>
      <c r="VPF229"/>
      <c r="VPG229"/>
      <c r="VPH229"/>
      <c r="VPI229"/>
      <c r="VPJ229"/>
      <c r="VPK229"/>
      <c r="VPL229"/>
      <c r="VPM229"/>
      <c r="VPN229"/>
      <c r="VPO229"/>
      <c r="VPP229"/>
      <c r="VPQ229"/>
      <c r="VPR229"/>
      <c r="VPS229"/>
      <c r="VPT229"/>
      <c r="VPU229"/>
      <c r="VPV229"/>
      <c r="VPW229"/>
      <c r="VPX229"/>
      <c r="VPY229"/>
      <c r="VPZ229"/>
      <c r="VQA229"/>
      <c r="VQB229"/>
      <c r="VQC229"/>
      <c r="VQD229"/>
      <c r="VQE229"/>
      <c r="VQF229"/>
      <c r="VQG229"/>
      <c r="VQH229"/>
      <c r="VQI229"/>
      <c r="VQJ229"/>
      <c r="VQK229"/>
      <c r="VQL229"/>
      <c r="VQM229"/>
      <c r="VQN229"/>
      <c r="VQO229"/>
      <c r="VQP229"/>
      <c r="VQQ229"/>
      <c r="VQR229"/>
      <c r="VQS229"/>
      <c r="VQT229"/>
      <c r="VQU229"/>
      <c r="VQV229"/>
      <c r="VQW229"/>
      <c r="VQX229"/>
      <c r="VQY229"/>
      <c r="VQZ229"/>
      <c r="VRA229"/>
      <c r="VRB229"/>
      <c r="VRC229"/>
      <c r="VRD229"/>
      <c r="VRE229"/>
      <c r="VRF229"/>
      <c r="VRG229"/>
      <c r="VRH229"/>
      <c r="VRI229"/>
      <c r="VRJ229"/>
      <c r="VRK229"/>
      <c r="VRL229"/>
      <c r="VRM229"/>
      <c r="VRN229"/>
      <c r="VRO229"/>
      <c r="VRP229"/>
      <c r="VRQ229"/>
      <c r="VRR229"/>
      <c r="VRS229"/>
      <c r="VRT229"/>
      <c r="VRU229"/>
      <c r="VRV229"/>
      <c r="VRW229"/>
      <c r="VRX229"/>
      <c r="VRY229"/>
      <c r="VRZ229"/>
      <c r="VSA229"/>
      <c r="VSB229"/>
      <c r="VSC229"/>
      <c r="VSD229"/>
      <c r="VSE229"/>
      <c r="VSF229"/>
      <c r="VSG229"/>
      <c r="VSH229"/>
      <c r="VSI229"/>
      <c r="VSJ229"/>
      <c r="VSK229"/>
      <c r="VSL229"/>
      <c r="VSM229"/>
      <c r="VSN229"/>
      <c r="VSO229"/>
      <c r="VSP229"/>
      <c r="VSQ229"/>
      <c r="VSR229"/>
      <c r="VSS229"/>
      <c r="VST229"/>
      <c r="VSU229"/>
      <c r="VSV229"/>
      <c r="VSW229"/>
      <c r="VSX229"/>
      <c r="VSY229"/>
      <c r="VSZ229"/>
      <c r="VTA229"/>
      <c r="VTB229"/>
      <c r="VTC229"/>
      <c r="VTD229"/>
      <c r="VTE229"/>
      <c r="VTF229"/>
      <c r="VTG229"/>
      <c r="VTH229"/>
      <c r="VTI229"/>
      <c r="VTJ229"/>
      <c r="VTK229"/>
      <c r="VTL229"/>
      <c r="VTM229"/>
      <c r="VTN229"/>
      <c r="VTO229"/>
      <c r="VTP229"/>
      <c r="VTQ229"/>
      <c r="VTR229"/>
      <c r="VTS229"/>
      <c r="VTT229"/>
      <c r="VTU229"/>
      <c r="VTV229"/>
      <c r="VTW229"/>
      <c r="VTX229"/>
      <c r="VTY229"/>
      <c r="VTZ229"/>
      <c r="VUA229"/>
      <c r="VUB229"/>
      <c r="VUC229"/>
      <c r="VUD229"/>
      <c r="VUE229"/>
      <c r="VUF229"/>
      <c r="VUG229"/>
      <c r="VUH229"/>
      <c r="VUI229"/>
      <c r="VUJ229"/>
      <c r="VUK229"/>
      <c r="VUL229"/>
      <c r="VUM229"/>
      <c r="VUN229"/>
      <c r="VUO229"/>
      <c r="VUP229"/>
      <c r="VUQ229"/>
      <c r="VUR229"/>
      <c r="VUS229"/>
      <c r="VUT229"/>
      <c r="VUU229"/>
      <c r="VUV229"/>
      <c r="VUW229"/>
      <c r="VUX229"/>
      <c r="VUY229"/>
      <c r="VUZ229"/>
      <c r="VVA229"/>
      <c r="VVB229"/>
      <c r="VVC229"/>
      <c r="VVD229"/>
      <c r="VVE229"/>
      <c r="VVF229"/>
      <c r="VVG229"/>
      <c r="VVH229"/>
      <c r="VVI229"/>
      <c r="VVJ229"/>
      <c r="VVK229"/>
      <c r="VVL229"/>
      <c r="VVM229"/>
      <c r="VVN229"/>
      <c r="VVO229"/>
      <c r="VVP229"/>
      <c r="VVQ229"/>
      <c r="VVR229"/>
      <c r="VVS229"/>
      <c r="VVT229"/>
      <c r="VVU229"/>
      <c r="VVV229"/>
    </row>
    <row r="230" spans="2:108 15074:15466" s="1" customFormat="1" ht="15" hidden="1" customHeight="1" x14ac:dyDescent="0.3">
      <c r="B230" s="97">
        <v>12</v>
      </c>
      <c r="C230" s="304" t="s">
        <v>108</v>
      </c>
      <c r="D230" s="305"/>
      <c r="E230" s="306"/>
      <c r="F230" s="305"/>
      <c r="G230" s="305"/>
      <c r="H230" s="305"/>
      <c r="I230" s="305"/>
      <c r="J230" s="305"/>
      <c r="K230" s="305"/>
      <c r="L230" s="305"/>
      <c r="M230" s="305"/>
      <c r="N230" s="305"/>
      <c r="O230" s="305"/>
      <c r="P230" s="305"/>
      <c r="Q230" s="305"/>
      <c r="R230" s="305"/>
      <c r="S230" s="305"/>
      <c r="T230" s="305"/>
      <c r="U230" s="305"/>
      <c r="V230" s="305"/>
      <c r="W230" s="305"/>
      <c r="X230" s="305"/>
      <c r="Y230" s="305"/>
      <c r="Z230" s="305"/>
      <c r="AA230" s="305"/>
      <c r="AB230" s="305"/>
      <c r="AC230" s="305"/>
      <c r="AD230" s="305"/>
      <c r="AE230" s="305"/>
      <c r="AF230" s="305"/>
      <c r="AG230" s="305"/>
      <c r="AH230" s="305"/>
      <c r="AI230" s="305"/>
      <c r="AJ230" s="305"/>
      <c r="AK230" s="16"/>
      <c r="AL230" s="307" t="s">
        <v>109</v>
      </c>
      <c r="DD230" s="3"/>
      <c r="VGT230"/>
      <c r="VGU230"/>
      <c r="VGV230"/>
      <c r="VGW230"/>
      <c r="VGX230"/>
      <c r="VGY230"/>
      <c r="VGZ230"/>
      <c r="VHA230"/>
      <c r="VHB230"/>
      <c r="VHC230"/>
      <c r="VHD230"/>
      <c r="VHE230"/>
      <c r="VHF230"/>
      <c r="VHG230"/>
      <c r="VHH230"/>
      <c r="VHI230"/>
      <c r="VHJ230"/>
      <c r="VHK230"/>
      <c r="VHL230"/>
      <c r="VHM230"/>
      <c r="VHN230"/>
      <c r="VHO230"/>
      <c r="VHP230"/>
      <c r="VHQ230"/>
      <c r="VHR230"/>
      <c r="VHS230"/>
      <c r="VHT230"/>
      <c r="VHU230"/>
      <c r="VHV230"/>
      <c r="VHW230"/>
      <c r="VHX230"/>
      <c r="VHY230"/>
      <c r="VHZ230"/>
      <c r="VIA230"/>
      <c r="VIB230"/>
      <c r="VIC230"/>
      <c r="VID230"/>
      <c r="VIE230"/>
      <c r="VIF230"/>
      <c r="VIG230"/>
      <c r="VIH230"/>
      <c r="VII230"/>
      <c r="VIJ230"/>
      <c r="VIK230"/>
      <c r="VIL230"/>
      <c r="VIM230"/>
      <c r="VIN230"/>
      <c r="VIO230"/>
      <c r="VIP230"/>
      <c r="VIQ230"/>
      <c r="VIR230"/>
      <c r="VIS230"/>
      <c r="VIT230"/>
      <c r="VIU230"/>
      <c r="VIV230"/>
      <c r="VIW230"/>
      <c r="VIX230"/>
      <c r="VIY230"/>
      <c r="VIZ230"/>
      <c r="VJA230"/>
      <c r="VJB230"/>
      <c r="VJC230"/>
      <c r="VJD230"/>
      <c r="VJE230"/>
      <c r="VJF230"/>
      <c r="VJG230"/>
      <c r="VJH230"/>
      <c r="VJI230"/>
      <c r="VJJ230"/>
      <c r="VJK230"/>
      <c r="VJL230"/>
      <c r="VJM230"/>
      <c r="VJN230"/>
      <c r="VJO230"/>
      <c r="VJP230"/>
      <c r="VJQ230"/>
      <c r="VJR230"/>
      <c r="VJS230"/>
      <c r="VJT230"/>
      <c r="VJU230"/>
      <c r="VJV230"/>
      <c r="VJW230"/>
      <c r="VJX230"/>
      <c r="VJY230"/>
      <c r="VJZ230"/>
      <c r="VKA230"/>
      <c r="VKB230"/>
      <c r="VKC230"/>
      <c r="VKD230"/>
      <c r="VKE230"/>
      <c r="VKF230"/>
      <c r="VKG230"/>
      <c r="VKH230"/>
      <c r="VKI230"/>
      <c r="VKJ230"/>
      <c r="VKK230"/>
      <c r="VKL230"/>
      <c r="VKM230"/>
      <c r="VKN230"/>
      <c r="VKO230"/>
      <c r="VKP230"/>
      <c r="VKQ230"/>
      <c r="VKR230"/>
      <c r="VKS230"/>
      <c r="VKT230"/>
      <c r="VKU230"/>
      <c r="VKV230"/>
      <c r="VKW230"/>
      <c r="VKX230"/>
      <c r="VKY230"/>
      <c r="VKZ230"/>
      <c r="VLA230"/>
      <c r="VLB230"/>
      <c r="VLC230"/>
      <c r="VLD230"/>
      <c r="VLE230"/>
      <c r="VLF230"/>
      <c r="VLG230"/>
      <c r="VLH230"/>
      <c r="VLI230"/>
      <c r="VLJ230"/>
      <c r="VLK230"/>
      <c r="VLL230"/>
      <c r="VLM230"/>
      <c r="VLN230"/>
      <c r="VLO230"/>
      <c r="VLP230"/>
      <c r="VLQ230"/>
      <c r="VLR230"/>
      <c r="VLS230"/>
      <c r="VLT230"/>
      <c r="VLU230"/>
      <c r="VLV230"/>
      <c r="VLW230"/>
      <c r="VLX230"/>
      <c r="VLY230"/>
      <c r="VLZ230"/>
      <c r="VMA230"/>
      <c r="VMB230"/>
      <c r="VMC230"/>
      <c r="VMD230"/>
      <c r="VME230"/>
      <c r="VMF230"/>
      <c r="VMG230"/>
      <c r="VMH230"/>
      <c r="VMI230"/>
      <c r="VMJ230"/>
      <c r="VMK230"/>
      <c r="VML230"/>
      <c r="VMM230"/>
      <c r="VMN230"/>
      <c r="VMO230"/>
      <c r="VMP230"/>
      <c r="VMQ230"/>
      <c r="VMR230"/>
      <c r="VMS230"/>
      <c r="VMT230"/>
      <c r="VMU230"/>
      <c r="VMV230"/>
      <c r="VMW230"/>
      <c r="VMX230"/>
      <c r="VMY230"/>
      <c r="VMZ230"/>
      <c r="VNA230"/>
      <c r="VNB230"/>
      <c r="VNC230"/>
      <c r="VND230"/>
      <c r="VNE230"/>
      <c r="VNF230"/>
      <c r="VNG230"/>
      <c r="VNH230"/>
      <c r="VNI230"/>
      <c r="VNJ230"/>
      <c r="VNK230"/>
      <c r="VNL230"/>
      <c r="VNM230"/>
      <c r="VNN230"/>
      <c r="VNO230"/>
      <c r="VNP230"/>
      <c r="VNQ230"/>
      <c r="VNR230"/>
      <c r="VNS230"/>
      <c r="VNT230"/>
      <c r="VNU230"/>
      <c r="VNV230"/>
      <c r="VNW230"/>
      <c r="VNX230"/>
      <c r="VNY230"/>
      <c r="VNZ230"/>
      <c r="VOA230"/>
      <c r="VOB230"/>
      <c r="VOC230"/>
      <c r="VOD230"/>
      <c r="VOE230"/>
      <c r="VOF230"/>
      <c r="VOG230"/>
      <c r="VOH230"/>
      <c r="VOI230"/>
      <c r="VOJ230"/>
      <c r="VOK230"/>
      <c r="VOL230"/>
      <c r="VOM230"/>
      <c r="VON230"/>
      <c r="VOO230"/>
      <c r="VOP230"/>
      <c r="VOQ230"/>
      <c r="VOR230"/>
      <c r="VOS230"/>
      <c r="VOT230"/>
      <c r="VOU230"/>
      <c r="VOV230"/>
      <c r="VOW230"/>
      <c r="VOX230"/>
      <c r="VOY230"/>
      <c r="VOZ230"/>
      <c r="VPA230"/>
      <c r="VPB230"/>
      <c r="VPC230"/>
      <c r="VPD230"/>
      <c r="VPE230"/>
      <c r="VPF230"/>
      <c r="VPG230"/>
      <c r="VPH230"/>
      <c r="VPI230"/>
      <c r="VPJ230"/>
      <c r="VPK230"/>
      <c r="VPL230"/>
      <c r="VPM230"/>
      <c r="VPN230"/>
      <c r="VPO230"/>
      <c r="VPP230"/>
      <c r="VPQ230"/>
      <c r="VPR230"/>
      <c r="VPS230"/>
      <c r="VPT230"/>
      <c r="VPU230"/>
      <c r="VPV230"/>
      <c r="VPW230"/>
      <c r="VPX230"/>
      <c r="VPY230"/>
      <c r="VPZ230"/>
      <c r="VQA230"/>
      <c r="VQB230"/>
      <c r="VQC230"/>
      <c r="VQD230"/>
      <c r="VQE230"/>
      <c r="VQF230"/>
      <c r="VQG230"/>
      <c r="VQH230"/>
      <c r="VQI230"/>
      <c r="VQJ230"/>
      <c r="VQK230"/>
      <c r="VQL230"/>
      <c r="VQM230"/>
      <c r="VQN230"/>
      <c r="VQO230"/>
      <c r="VQP230"/>
      <c r="VQQ230"/>
      <c r="VQR230"/>
      <c r="VQS230"/>
      <c r="VQT230"/>
      <c r="VQU230"/>
      <c r="VQV230"/>
      <c r="VQW230"/>
      <c r="VQX230"/>
      <c r="VQY230"/>
      <c r="VQZ230"/>
      <c r="VRA230"/>
      <c r="VRB230"/>
      <c r="VRC230"/>
      <c r="VRD230"/>
      <c r="VRE230"/>
      <c r="VRF230"/>
      <c r="VRG230"/>
      <c r="VRH230"/>
      <c r="VRI230"/>
      <c r="VRJ230"/>
      <c r="VRK230"/>
      <c r="VRL230"/>
      <c r="VRM230"/>
      <c r="VRN230"/>
      <c r="VRO230"/>
      <c r="VRP230"/>
      <c r="VRQ230"/>
      <c r="VRR230"/>
      <c r="VRS230"/>
      <c r="VRT230"/>
      <c r="VRU230"/>
      <c r="VRV230"/>
      <c r="VRW230"/>
      <c r="VRX230"/>
      <c r="VRY230"/>
      <c r="VRZ230"/>
      <c r="VSA230"/>
      <c r="VSB230"/>
      <c r="VSC230"/>
      <c r="VSD230"/>
      <c r="VSE230"/>
      <c r="VSF230"/>
      <c r="VSG230"/>
      <c r="VSH230"/>
      <c r="VSI230"/>
      <c r="VSJ230"/>
      <c r="VSK230"/>
      <c r="VSL230"/>
      <c r="VSM230"/>
      <c r="VSN230"/>
      <c r="VSO230"/>
      <c r="VSP230"/>
      <c r="VSQ230"/>
      <c r="VSR230"/>
      <c r="VSS230"/>
      <c r="VST230"/>
      <c r="VSU230"/>
      <c r="VSV230"/>
      <c r="VSW230"/>
      <c r="VSX230"/>
      <c r="VSY230"/>
      <c r="VSZ230"/>
      <c r="VTA230"/>
      <c r="VTB230"/>
      <c r="VTC230"/>
      <c r="VTD230"/>
      <c r="VTE230"/>
      <c r="VTF230"/>
      <c r="VTG230"/>
      <c r="VTH230"/>
      <c r="VTI230"/>
      <c r="VTJ230"/>
      <c r="VTK230"/>
      <c r="VTL230"/>
      <c r="VTM230"/>
      <c r="VTN230"/>
      <c r="VTO230"/>
      <c r="VTP230"/>
      <c r="VTQ230"/>
      <c r="VTR230"/>
      <c r="VTS230"/>
      <c r="VTT230"/>
      <c r="VTU230"/>
      <c r="VTV230"/>
      <c r="VTW230"/>
      <c r="VTX230"/>
      <c r="VTY230"/>
      <c r="VTZ230"/>
      <c r="VUA230"/>
      <c r="VUB230"/>
      <c r="VUC230"/>
      <c r="VUD230"/>
      <c r="VUE230"/>
      <c r="VUF230"/>
      <c r="VUG230"/>
      <c r="VUH230"/>
      <c r="VUI230"/>
      <c r="VUJ230"/>
      <c r="VUK230"/>
      <c r="VUL230"/>
      <c r="VUM230"/>
      <c r="VUN230"/>
      <c r="VUO230"/>
      <c r="VUP230"/>
      <c r="VUQ230"/>
      <c r="VUR230"/>
      <c r="VUS230"/>
      <c r="VUT230"/>
      <c r="VUU230"/>
      <c r="VUV230"/>
      <c r="VUW230"/>
      <c r="VUX230"/>
      <c r="VUY230"/>
      <c r="VUZ230"/>
      <c r="VVA230"/>
      <c r="VVB230"/>
      <c r="VVC230"/>
      <c r="VVD230"/>
      <c r="VVE230"/>
      <c r="VVF230"/>
      <c r="VVG230"/>
      <c r="VVH230"/>
      <c r="VVI230"/>
      <c r="VVJ230"/>
      <c r="VVK230"/>
      <c r="VVL230"/>
      <c r="VVM230"/>
      <c r="VVN230"/>
      <c r="VVO230"/>
      <c r="VVP230"/>
      <c r="VVQ230"/>
      <c r="VVR230"/>
      <c r="VVS230"/>
      <c r="VVT230"/>
      <c r="VVU230"/>
      <c r="VVV230"/>
    </row>
    <row r="231" spans="2:108 15074:15466" s="1" customFormat="1" ht="15" hidden="1" customHeight="1" x14ac:dyDescent="0.3">
      <c r="B231" s="149"/>
      <c r="C231" s="308" t="s">
        <v>110</v>
      </c>
      <c r="D231" s="145"/>
      <c r="E231" s="146" t="s">
        <v>16</v>
      </c>
      <c r="F231" s="309"/>
      <c r="G231" s="309"/>
      <c r="H231" s="309"/>
      <c r="I231" s="309"/>
      <c r="J231" s="309"/>
      <c r="K231" s="309"/>
      <c r="L231" s="309">
        <v>193420</v>
      </c>
      <c r="M231" s="309">
        <v>21750</v>
      </c>
      <c r="N231" s="309">
        <v>106020</v>
      </c>
      <c r="O231" s="309">
        <v>0</v>
      </c>
      <c r="P231" s="309">
        <v>0</v>
      </c>
      <c r="Q231" s="309">
        <v>0</v>
      </c>
      <c r="R231" s="309">
        <v>0</v>
      </c>
      <c r="S231" s="309">
        <v>0</v>
      </c>
      <c r="T231" s="309">
        <v>0</v>
      </c>
      <c r="U231" s="309">
        <v>0</v>
      </c>
      <c r="V231" s="309">
        <v>0</v>
      </c>
      <c r="W231" s="309">
        <v>147620</v>
      </c>
      <c r="X231" s="309">
        <v>0</v>
      </c>
      <c r="Y231" s="309">
        <v>0</v>
      </c>
      <c r="Z231" s="309">
        <v>257700</v>
      </c>
      <c r="AA231" s="309">
        <v>281570</v>
      </c>
      <c r="AB231" s="309">
        <v>262580</v>
      </c>
      <c r="AC231" s="309">
        <v>359130</v>
      </c>
      <c r="AD231" s="309">
        <v>28340</v>
      </c>
      <c r="AE231" s="309">
        <v>0</v>
      </c>
      <c r="AF231" s="309">
        <v>0</v>
      </c>
      <c r="AG231" s="309"/>
      <c r="AH231" s="309"/>
      <c r="AI231" s="309"/>
      <c r="AJ231" s="309"/>
      <c r="AK231" s="16"/>
      <c r="AL231" s="191">
        <f>SUM(F231:AJ231)</f>
        <v>1658130</v>
      </c>
      <c r="DD231" s="3"/>
      <c r="VGT231"/>
      <c r="VGU231"/>
      <c r="VGV231"/>
      <c r="VGW231"/>
      <c r="VGX231"/>
      <c r="VGY231"/>
      <c r="VGZ231"/>
      <c r="VHA231"/>
      <c r="VHB231"/>
      <c r="VHC231"/>
      <c r="VHD231"/>
      <c r="VHE231"/>
      <c r="VHF231"/>
      <c r="VHG231"/>
      <c r="VHH231"/>
      <c r="VHI231"/>
      <c r="VHJ231"/>
      <c r="VHK231"/>
      <c r="VHL231"/>
      <c r="VHM231"/>
      <c r="VHN231"/>
      <c r="VHO231"/>
      <c r="VHP231"/>
      <c r="VHQ231"/>
      <c r="VHR231"/>
      <c r="VHS231"/>
      <c r="VHT231"/>
      <c r="VHU231"/>
      <c r="VHV231"/>
      <c r="VHW231"/>
      <c r="VHX231"/>
      <c r="VHY231"/>
      <c r="VHZ231"/>
      <c r="VIA231"/>
      <c r="VIB231"/>
      <c r="VIC231"/>
      <c r="VID231"/>
      <c r="VIE231"/>
      <c r="VIF231"/>
      <c r="VIG231"/>
      <c r="VIH231"/>
      <c r="VII231"/>
      <c r="VIJ231"/>
      <c r="VIK231"/>
      <c r="VIL231"/>
      <c r="VIM231"/>
      <c r="VIN231"/>
      <c r="VIO231"/>
      <c r="VIP231"/>
      <c r="VIQ231"/>
      <c r="VIR231"/>
      <c r="VIS231"/>
      <c r="VIT231"/>
      <c r="VIU231"/>
      <c r="VIV231"/>
      <c r="VIW231"/>
      <c r="VIX231"/>
      <c r="VIY231"/>
      <c r="VIZ231"/>
      <c r="VJA231"/>
      <c r="VJB231"/>
      <c r="VJC231"/>
      <c r="VJD231"/>
      <c r="VJE231"/>
      <c r="VJF231"/>
      <c r="VJG231"/>
      <c r="VJH231"/>
      <c r="VJI231"/>
      <c r="VJJ231"/>
      <c r="VJK231"/>
      <c r="VJL231"/>
      <c r="VJM231"/>
      <c r="VJN231"/>
      <c r="VJO231"/>
      <c r="VJP231"/>
      <c r="VJQ231"/>
      <c r="VJR231"/>
      <c r="VJS231"/>
      <c r="VJT231"/>
      <c r="VJU231"/>
      <c r="VJV231"/>
      <c r="VJW231"/>
      <c r="VJX231"/>
      <c r="VJY231"/>
      <c r="VJZ231"/>
      <c r="VKA231"/>
      <c r="VKB231"/>
      <c r="VKC231"/>
      <c r="VKD231"/>
      <c r="VKE231"/>
      <c r="VKF231"/>
      <c r="VKG231"/>
      <c r="VKH231"/>
      <c r="VKI231"/>
      <c r="VKJ231"/>
      <c r="VKK231"/>
      <c r="VKL231"/>
      <c r="VKM231"/>
      <c r="VKN231"/>
      <c r="VKO231"/>
      <c r="VKP231"/>
      <c r="VKQ231"/>
      <c r="VKR231"/>
      <c r="VKS231"/>
      <c r="VKT231"/>
      <c r="VKU231"/>
      <c r="VKV231"/>
      <c r="VKW231"/>
      <c r="VKX231"/>
      <c r="VKY231"/>
      <c r="VKZ231"/>
      <c r="VLA231"/>
      <c r="VLB231"/>
      <c r="VLC231"/>
      <c r="VLD231"/>
      <c r="VLE231"/>
      <c r="VLF231"/>
      <c r="VLG231"/>
      <c r="VLH231"/>
      <c r="VLI231"/>
      <c r="VLJ231"/>
      <c r="VLK231"/>
      <c r="VLL231"/>
      <c r="VLM231"/>
      <c r="VLN231"/>
      <c r="VLO231"/>
      <c r="VLP231"/>
      <c r="VLQ231"/>
      <c r="VLR231"/>
      <c r="VLS231"/>
      <c r="VLT231"/>
      <c r="VLU231"/>
      <c r="VLV231"/>
      <c r="VLW231"/>
      <c r="VLX231"/>
      <c r="VLY231"/>
      <c r="VLZ231"/>
      <c r="VMA231"/>
      <c r="VMB231"/>
      <c r="VMC231"/>
      <c r="VMD231"/>
      <c r="VME231"/>
      <c r="VMF231"/>
      <c r="VMG231"/>
      <c r="VMH231"/>
      <c r="VMI231"/>
      <c r="VMJ231"/>
      <c r="VMK231"/>
      <c r="VML231"/>
      <c r="VMM231"/>
      <c r="VMN231"/>
      <c r="VMO231"/>
      <c r="VMP231"/>
      <c r="VMQ231"/>
      <c r="VMR231"/>
      <c r="VMS231"/>
      <c r="VMT231"/>
      <c r="VMU231"/>
      <c r="VMV231"/>
      <c r="VMW231"/>
      <c r="VMX231"/>
      <c r="VMY231"/>
      <c r="VMZ231"/>
      <c r="VNA231"/>
      <c r="VNB231"/>
      <c r="VNC231"/>
      <c r="VND231"/>
      <c r="VNE231"/>
      <c r="VNF231"/>
      <c r="VNG231"/>
      <c r="VNH231"/>
      <c r="VNI231"/>
      <c r="VNJ231"/>
      <c r="VNK231"/>
      <c r="VNL231"/>
      <c r="VNM231"/>
      <c r="VNN231"/>
      <c r="VNO231"/>
      <c r="VNP231"/>
      <c r="VNQ231"/>
      <c r="VNR231"/>
      <c r="VNS231"/>
      <c r="VNT231"/>
      <c r="VNU231"/>
      <c r="VNV231"/>
      <c r="VNW231"/>
      <c r="VNX231"/>
      <c r="VNY231"/>
      <c r="VNZ231"/>
      <c r="VOA231"/>
      <c r="VOB231"/>
      <c r="VOC231"/>
      <c r="VOD231"/>
      <c r="VOE231"/>
      <c r="VOF231"/>
      <c r="VOG231"/>
      <c r="VOH231"/>
      <c r="VOI231"/>
      <c r="VOJ231"/>
      <c r="VOK231"/>
      <c r="VOL231"/>
      <c r="VOM231"/>
      <c r="VON231"/>
      <c r="VOO231"/>
      <c r="VOP231"/>
      <c r="VOQ231"/>
      <c r="VOR231"/>
      <c r="VOS231"/>
      <c r="VOT231"/>
      <c r="VOU231"/>
      <c r="VOV231"/>
      <c r="VOW231"/>
      <c r="VOX231"/>
      <c r="VOY231"/>
      <c r="VOZ231"/>
      <c r="VPA231"/>
      <c r="VPB231"/>
      <c r="VPC231"/>
      <c r="VPD231"/>
      <c r="VPE231"/>
      <c r="VPF231"/>
      <c r="VPG231"/>
      <c r="VPH231"/>
      <c r="VPI231"/>
      <c r="VPJ231"/>
      <c r="VPK231"/>
      <c r="VPL231"/>
      <c r="VPM231"/>
      <c r="VPN231"/>
      <c r="VPO231"/>
      <c r="VPP231"/>
      <c r="VPQ231"/>
      <c r="VPR231"/>
      <c r="VPS231"/>
      <c r="VPT231"/>
      <c r="VPU231"/>
      <c r="VPV231"/>
      <c r="VPW231"/>
      <c r="VPX231"/>
      <c r="VPY231"/>
      <c r="VPZ231"/>
      <c r="VQA231"/>
      <c r="VQB231"/>
      <c r="VQC231"/>
      <c r="VQD231"/>
      <c r="VQE231"/>
      <c r="VQF231"/>
      <c r="VQG231"/>
      <c r="VQH231"/>
      <c r="VQI231"/>
      <c r="VQJ231"/>
      <c r="VQK231"/>
      <c r="VQL231"/>
      <c r="VQM231"/>
      <c r="VQN231"/>
      <c r="VQO231"/>
      <c r="VQP231"/>
      <c r="VQQ231"/>
      <c r="VQR231"/>
      <c r="VQS231"/>
      <c r="VQT231"/>
      <c r="VQU231"/>
      <c r="VQV231"/>
      <c r="VQW231"/>
      <c r="VQX231"/>
      <c r="VQY231"/>
      <c r="VQZ231"/>
      <c r="VRA231"/>
      <c r="VRB231"/>
      <c r="VRC231"/>
      <c r="VRD231"/>
      <c r="VRE231"/>
      <c r="VRF231"/>
      <c r="VRG231"/>
      <c r="VRH231"/>
      <c r="VRI231"/>
      <c r="VRJ231"/>
      <c r="VRK231"/>
      <c r="VRL231"/>
      <c r="VRM231"/>
      <c r="VRN231"/>
      <c r="VRO231"/>
      <c r="VRP231"/>
      <c r="VRQ231"/>
      <c r="VRR231"/>
      <c r="VRS231"/>
      <c r="VRT231"/>
      <c r="VRU231"/>
      <c r="VRV231"/>
      <c r="VRW231"/>
      <c r="VRX231"/>
      <c r="VRY231"/>
      <c r="VRZ231"/>
      <c r="VSA231"/>
      <c r="VSB231"/>
      <c r="VSC231"/>
      <c r="VSD231"/>
      <c r="VSE231"/>
      <c r="VSF231"/>
      <c r="VSG231"/>
      <c r="VSH231"/>
      <c r="VSI231"/>
      <c r="VSJ231"/>
      <c r="VSK231"/>
      <c r="VSL231"/>
      <c r="VSM231"/>
      <c r="VSN231"/>
      <c r="VSO231"/>
      <c r="VSP231"/>
      <c r="VSQ231"/>
      <c r="VSR231"/>
      <c r="VSS231"/>
      <c r="VST231"/>
      <c r="VSU231"/>
      <c r="VSV231"/>
      <c r="VSW231"/>
      <c r="VSX231"/>
      <c r="VSY231"/>
      <c r="VSZ231"/>
      <c r="VTA231"/>
      <c r="VTB231"/>
      <c r="VTC231"/>
      <c r="VTD231"/>
      <c r="VTE231"/>
      <c r="VTF231"/>
      <c r="VTG231"/>
      <c r="VTH231"/>
      <c r="VTI231"/>
      <c r="VTJ231"/>
      <c r="VTK231"/>
      <c r="VTL231"/>
      <c r="VTM231"/>
      <c r="VTN231"/>
      <c r="VTO231"/>
      <c r="VTP231"/>
      <c r="VTQ231"/>
      <c r="VTR231"/>
      <c r="VTS231"/>
      <c r="VTT231"/>
      <c r="VTU231"/>
      <c r="VTV231"/>
      <c r="VTW231"/>
      <c r="VTX231"/>
      <c r="VTY231"/>
      <c r="VTZ231"/>
      <c r="VUA231"/>
      <c r="VUB231"/>
      <c r="VUC231"/>
      <c r="VUD231"/>
      <c r="VUE231"/>
      <c r="VUF231"/>
      <c r="VUG231"/>
      <c r="VUH231"/>
      <c r="VUI231"/>
      <c r="VUJ231"/>
      <c r="VUK231"/>
      <c r="VUL231"/>
      <c r="VUM231"/>
      <c r="VUN231"/>
      <c r="VUO231"/>
      <c r="VUP231"/>
      <c r="VUQ231"/>
      <c r="VUR231"/>
      <c r="VUS231"/>
      <c r="VUT231"/>
      <c r="VUU231"/>
      <c r="VUV231"/>
      <c r="VUW231"/>
      <c r="VUX231"/>
      <c r="VUY231"/>
      <c r="VUZ231"/>
      <c r="VVA231"/>
      <c r="VVB231"/>
      <c r="VVC231"/>
      <c r="VVD231"/>
      <c r="VVE231"/>
      <c r="VVF231"/>
      <c r="VVG231"/>
      <c r="VVH231"/>
      <c r="VVI231"/>
      <c r="VVJ231"/>
      <c r="VVK231"/>
      <c r="VVL231"/>
      <c r="VVM231"/>
      <c r="VVN231"/>
      <c r="VVO231"/>
      <c r="VVP231"/>
      <c r="VVQ231"/>
      <c r="VVR231"/>
      <c r="VVS231"/>
      <c r="VVT231"/>
      <c r="VVU231"/>
      <c r="VVV231"/>
    </row>
    <row r="232" spans="2:108 15074:15466" s="1" customFormat="1" ht="15" hidden="1" customHeight="1" x14ac:dyDescent="0.3">
      <c r="B232" s="149"/>
      <c r="C232" s="308" t="s">
        <v>73</v>
      </c>
      <c r="D232" s="145"/>
      <c r="E232" s="146" t="s">
        <v>16</v>
      </c>
      <c r="F232" s="309"/>
      <c r="G232" s="309"/>
      <c r="H232" s="309"/>
      <c r="I232" s="309"/>
      <c r="J232" s="309"/>
      <c r="K232" s="309"/>
      <c r="L232" s="309">
        <v>0</v>
      </c>
      <c r="M232" s="309">
        <v>0</v>
      </c>
      <c r="N232" s="309">
        <v>0</v>
      </c>
      <c r="O232" s="309">
        <v>0</v>
      </c>
      <c r="P232" s="309">
        <v>0</v>
      </c>
      <c r="Q232" s="309">
        <v>0</v>
      </c>
      <c r="R232" s="309">
        <v>0</v>
      </c>
      <c r="S232" s="309">
        <v>0</v>
      </c>
      <c r="T232" s="309">
        <v>0</v>
      </c>
      <c r="U232" s="309">
        <v>0</v>
      </c>
      <c r="V232" s="309">
        <v>0</v>
      </c>
      <c r="W232" s="309">
        <v>121900</v>
      </c>
      <c r="X232" s="309">
        <v>0</v>
      </c>
      <c r="Y232" s="309">
        <v>0</v>
      </c>
      <c r="Z232" s="309">
        <v>288510</v>
      </c>
      <c r="AA232" s="309">
        <v>0</v>
      </c>
      <c r="AB232" s="309">
        <v>0</v>
      </c>
      <c r="AC232" s="309">
        <v>0</v>
      </c>
      <c r="AD232" s="309">
        <v>0</v>
      </c>
      <c r="AE232" s="309">
        <v>0</v>
      </c>
      <c r="AF232" s="309">
        <v>0</v>
      </c>
      <c r="AG232" s="309"/>
      <c r="AH232" s="309"/>
      <c r="AI232" s="309"/>
      <c r="AJ232" s="309"/>
      <c r="AK232" s="16"/>
      <c r="AL232" s="191">
        <f>SUM(F232:AJ232)</f>
        <v>410410</v>
      </c>
      <c r="DD232" s="3"/>
      <c r="VGT232"/>
      <c r="VGU232"/>
      <c r="VGV232"/>
      <c r="VGW232"/>
      <c r="VGX232"/>
      <c r="VGY232"/>
      <c r="VGZ232"/>
      <c r="VHA232"/>
      <c r="VHB232"/>
      <c r="VHC232"/>
      <c r="VHD232"/>
      <c r="VHE232"/>
      <c r="VHF232"/>
      <c r="VHG232"/>
      <c r="VHH232"/>
      <c r="VHI232"/>
      <c r="VHJ232"/>
      <c r="VHK232"/>
      <c r="VHL232"/>
      <c r="VHM232"/>
      <c r="VHN232"/>
      <c r="VHO232"/>
      <c r="VHP232"/>
      <c r="VHQ232"/>
      <c r="VHR232"/>
      <c r="VHS232"/>
      <c r="VHT232"/>
      <c r="VHU232"/>
      <c r="VHV232"/>
      <c r="VHW232"/>
      <c r="VHX232"/>
      <c r="VHY232"/>
      <c r="VHZ232"/>
      <c r="VIA232"/>
      <c r="VIB232"/>
      <c r="VIC232"/>
      <c r="VID232"/>
      <c r="VIE232"/>
      <c r="VIF232"/>
      <c r="VIG232"/>
      <c r="VIH232"/>
      <c r="VII232"/>
      <c r="VIJ232"/>
      <c r="VIK232"/>
      <c r="VIL232"/>
      <c r="VIM232"/>
      <c r="VIN232"/>
      <c r="VIO232"/>
      <c r="VIP232"/>
      <c r="VIQ232"/>
      <c r="VIR232"/>
      <c r="VIS232"/>
      <c r="VIT232"/>
      <c r="VIU232"/>
      <c r="VIV232"/>
      <c r="VIW232"/>
      <c r="VIX232"/>
      <c r="VIY232"/>
      <c r="VIZ232"/>
      <c r="VJA232"/>
      <c r="VJB232"/>
      <c r="VJC232"/>
      <c r="VJD232"/>
      <c r="VJE232"/>
      <c r="VJF232"/>
      <c r="VJG232"/>
      <c r="VJH232"/>
      <c r="VJI232"/>
      <c r="VJJ232"/>
      <c r="VJK232"/>
      <c r="VJL232"/>
      <c r="VJM232"/>
      <c r="VJN232"/>
      <c r="VJO232"/>
      <c r="VJP232"/>
      <c r="VJQ232"/>
      <c r="VJR232"/>
      <c r="VJS232"/>
      <c r="VJT232"/>
      <c r="VJU232"/>
      <c r="VJV232"/>
      <c r="VJW232"/>
      <c r="VJX232"/>
      <c r="VJY232"/>
      <c r="VJZ232"/>
      <c r="VKA232"/>
      <c r="VKB232"/>
      <c r="VKC232"/>
      <c r="VKD232"/>
      <c r="VKE232"/>
      <c r="VKF232"/>
      <c r="VKG232"/>
      <c r="VKH232"/>
      <c r="VKI232"/>
      <c r="VKJ232"/>
      <c r="VKK232"/>
      <c r="VKL232"/>
      <c r="VKM232"/>
      <c r="VKN232"/>
      <c r="VKO232"/>
      <c r="VKP232"/>
      <c r="VKQ232"/>
      <c r="VKR232"/>
      <c r="VKS232"/>
      <c r="VKT232"/>
      <c r="VKU232"/>
      <c r="VKV232"/>
      <c r="VKW232"/>
      <c r="VKX232"/>
      <c r="VKY232"/>
      <c r="VKZ232"/>
      <c r="VLA232"/>
      <c r="VLB232"/>
      <c r="VLC232"/>
      <c r="VLD232"/>
      <c r="VLE232"/>
      <c r="VLF232"/>
      <c r="VLG232"/>
      <c r="VLH232"/>
      <c r="VLI232"/>
      <c r="VLJ232"/>
      <c r="VLK232"/>
      <c r="VLL232"/>
      <c r="VLM232"/>
      <c r="VLN232"/>
      <c r="VLO232"/>
      <c r="VLP232"/>
      <c r="VLQ232"/>
      <c r="VLR232"/>
      <c r="VLS232"/>
      <c r="VLT232"/>
      <c r="VLU232"/>
      <c r="VLV232"/>
      <c r="VLW232"/>
      <c r="VLX232"/>
      <c r="VLY232"/>
      <c r="VLZ232"/>
      <c r="VMA232"/>
      <c r="VMB232"/>
      <c r="VMC232"/>
      <c r="VMD232"/>
      <c r="VME232"/>
      <c r="VMF232"/>
      <c r="VMG232"/>
      <c r="VMH232"/>
      <c r="VMI232"/>
      <c r="VMJ232"/>
      <c r="VMK232"/>
      <c r="VML232"/>
      <c r="VMM232"/>
      <c r="VMN232"/>
      <c r="VMO232"/>
      <c r="VMP232"/>
      <c r="VMQ232"/>
      <c r="VMR232"/>
      <c r="VMS232"/>
      <c r="VMT232"/>
      <c r="VMU232"/>
      <c r="VMV232"/>
      <c r="VMW232"/>
      <c r="VMX232"/>
      <c r="VMY232"/>
      <c r="VMZ232"/>
      <c r="VNA232"/>
      <c r="VNB232"/>
      <c r="VNC232"/>
      <c r="VND232"/>
      <c r="VNE232"/>
      <c r="VNF232"/>
      <c r="VNG232"/>
      <c r="VNH232"/>
      <c r="VNI232"/>
      <c r="VNJ232"/>
      <c r="VNK232"/>
      <c r="VNL232"/>
      <c r="VNM232"/>
      <c r="VNN232"/>
      <c r="VNO232"/>
      <c r="VNP232"/>
      <c r="VNQ232"/>
      <c r="VNR232"/>
      <c r="VNS232"/>
      <c r="VNT232"/>
      <c r="VNU232"/>
      <c r="VNV232"/>
      <c r="VNW232"/>
      <c r="VNX232"/>
      <c r="VNY232"/>
      <c r="VNZ232"/>
      <c r="VOA232"/>
      <c r="VOB232"/>
      <c r="VOC232"/>
      <c r="VOD232"/>
      <c r="VOE232"/>
      <c r="VOF232"/>
      <c r="VOG232"/>
      <c r="VOH232"/>
      <c r="VOI232"/>
      <c r="VOJ232"/>
      <c r="VOK232"/>
      <c r="VOL232"/>
      <c r="VOM232"/>
      <c r="VON232"/>
      <c r="VOO232"/>
      <c r="VOP232"/>
      <c r="VOQ232"/>
      <c r="VOR232"/>
      <c r="VOS232"/>
      <c r="VOT232"/>
      <c r="VOU232"/>
      <c r="VOV232"/>
      <c r="VOW232"/>
      <c r="VOX232"/>
      <c r="VOY232"/>
      <c r="VOZ232"/>
      <c r="VPA232"/>
      <c r="VPB232"/>
      <c r="VPC232"/>
      <c r="VPD232"/>
      <c r="VPE232"/>
      <c r="VPF232"/>
      <c r="VPG232"/>
      <c r="VPH232"/>
      <c r="VPI232"/>
      <c r="VPJ232"/>
      <c r="VPK232"/>
      <c r="VPL232"/>
      <c r="VPM232"/>
      <c r="VPN232"/>
      <c r="VPO232"/>
      <c r="VPP232"/>
      <c r="VPQ232"/>
      <c r="VPR232"/>
      <c r="VPS232"/>
      <c r="VPT232"/>
      <c r="VPU232"/>
      <c r="VPV232"/>
      <c r="VPW232"/>
      <c r="VPX232"/>
      <c r="VPY232"/>
      <c r="VPZ232"/>
      <c r="VQA232"/>
      <c r="VQB232"/>
      <c r="VQC232"/>
      <c r="VQD232"/>
      <c r="VQE232"/>
      <c r="VQF232"/>
      <c r="VQG232"/>
      <c r="VQH232"/>
      <c r="VQI232"/>
      <c r="VQJ232"/>
      <c r="VQK232"/>
      <c r="VQL232"/>
      <c r="VQM232"/>
      <c r="VQN232"/>
      <c r="VQO232"/>
      <c r="VQP232"/>
      <c r="VQQ232"/>
      <c r="VQR232"/>
      <c r="VQS232"/>
      <c r="VQT232"/>
      <c r="VQU232"/>
      <c r="VQV232"/>
      <c r="VQW232"/>
      <c r="VQX232"/>
      <c r="VQY232"/>
      <c r="VQZ232"/>
      <c r="VRA232"/>
      <c r="VRB232"/>
      <c r="VRC232"/>
      <c r="VRD232"/>
      <c r="VRE232"/>
      <c r="VRF232"/>
      <c r="VRG232"/>
      <c r="VRH232"/>
      <c r="VRI232"/>
      <c r="VRJ232"/>
      <c r="VRK232"/>
      <c r="VRL232"/>
      <c r="VRM232"/>
      <c r="VRN232"/>
      <c r="VRO232"/>
      <c r="VRP232"/>
      <c r="VRQ232"/>
      <c r="VRR232"/>
      <c r="VRS232"/>
      <c r="VRT232"/>
      <c r="VRU232"/>
      <c r="VRV232"/>
      <c r="VRW232"/>
      <c r="VRX232"/>
      <c r="VRY232"/>
      <c r="VRZ232"/>
      <c r="VSA232"/>
      <c r="VSB232"/>
      <c r="VSC232"/>
      <c r="VSD232"/>
      <c r="VSE232"/>
      <c r="VSF232"/>
      <c r="VSG232"/>
      <c r="VSH232"/>
      <c r="VSI232"/>
      <c r="VSJ232"/>
      <c r="VSK232"/>
      <c r="VSL232"/>
      <c r="VSM232"/>
      <c r="VSN232"/>
      <c r="VSO232"/>
      <c r="VSP232"/>
      <c r="VSQ232"/>
      <c r="VSR232"/>
      <c r="VSS232"/>
      <c r="VST232"/>
      <c r="VSU232"/>
      <c r="VSV232"/>
      <c r="VSW232"/>
      <c r="VSX232"/>
      <c r="VSY232"/>
      <c r="VSZ232"/>
      <c r="VTA232"/>
      <c r="VTB232"/>
      <c r="VTC232"/>
      <c r="VTD232"/>
      <c r="VTE232"/>
      <c r="VTF232"/>
      <c r="VTG232"/>
      <c r="VTH232"/>
      <c r="VTI232"/>
      <c r="VTJ232"/>
      <c r="VTK232"/>
      <c r="VTL232"/>
      <c r="VTM232"/>
      <c r="VTN232"/>
      <c r="VTO232"/>
      <c r="VTP232"/>
      <c r="VTQ232"/>
      <c r="VTR232"/>
      <c r="VTS232"/>
      <c r="VTT232"/>
      <c r="VTU232"/>
      <c r="VTV232"/>
      <c r="VTW232"/>
      <c r="VTX232"/>
      <c r="VTY232"/>
      <c r="VTZ232"/>
      <c r="VUA232"/>
      <c r="VUB232"/>
      <c r="VUC232"/>
      <c r="VUD232"/>
      <c r="VUE232"/>
      <c r="VUF232"/>
      <c r="VUG232"/>
      <c r="VUH232"/>
      <c r="VUI232"/>
      <c r="VUJ232"/>
      <c r="VUK232"/>
      <c r="VUL232"/>
      <c r="VUM232"/>
      <c r="VUN232"/>
      <c r="VUO232"/>
      <c r="VUP232"/>
      <c r="VUQ232"/>
      <c r="VUR232"/>
      <c r="VUS232"/>
      <c r="VUT232"/>
      <c r="VUU232"/>
      <c r="VUV232"/>
      <c r="VUW232"/>
      <c r="VUX232"/>
      <c r="VUY232"/>
      <c r="VUZ232"/>
      <c r="VVA232"/>
      <c r="VVB232"/>
      <c r="VVC232"/>
      <c r="VVD232"/>
      <c r="VVE232"/>
      <c r="VVF232"/>
      <c r="VVG232"/>
      <c r="VVH232"/>
      <c r="VVI232"/>
      <c r="VVJ232"/>
      <c r="VVK232"/>
      <c r="VVL232"/>
      <c r="VVM232"/>
      <c r="VVN232"/>
      <c r="VVO232"/>
      <c r="VVP232"/>
      <c r="VVQ232"/>
      <c r="VVR232"/>
      <c r="VVS232"/>
      <c r="VVT232"/>
      <c r="VVU232"/>
      <c r="VVV232"/>
    </row>
    <row r="233" spans="2:108 15074:15466" s="1" customFormat="1" ht="15" hidden="1" customHeight="1" x14ac:dyDescent="0.3">
      <c r="B233" s="149"/>
      <c r="C233" s="308" t="s">
        <v>72</v>
      </c>
      <c r="D233" s="145"/>
      <c r="E233" s="146" t="s">
        <v>16</v>
      </c>
      <c r="F233" s="309"/>
      <c r="G233" s="309"/>
      <c r="H233" s="309"/>
      <c r="I233" s="309"/>
      <c r="J233" s="309"/>
      <c r="K233" s="309"/>
      <c r="L233" s="309">
        <v>470520</v>
      </c>
      <c r="M233" s="309">
        <v>520450</v>
      </c>
      <c r="N233" s="309">
        <v>228880</v>
      </c>
      <c r="O233" s="309">
        <v>100560</v>
      </c>
      <c r="P233" s="309">
        <v>256770</v>
      </c>
      <c r="Q233" s="309">
        <v>196900</v>
      </c>
      <c r="R233" s="309">
        <v>0</v>
      </c>
      <c r="S233" s="309">
        <v>243410</v>
      </c>
      <c r="T233" s="309">
        <v>29090</v>
      </c>
      <c r="U233" s="309">
        <v>152940</v>
      </c>
      <c r="V233" s="309">
        <v>121590</v>
      </c>
      <c r="W233" s="309">
        <v>562580</v>
      </c>
      <c r="X233" s="309">
        <v>228760</v>
      </c>
      <c r="Y233" s="309">
        <v>128390</v>
      </c>
      <c r="Z233" s="309">
        <v>92910</v>
      </c>
      <c r="AA233" s="309">
        <v>81690</v>
      </c>
      <c r="AB233" s="309">
        <v>94960</v>
      </c>
      <c r="AC233" s="309">
        <v>59460</v>
      </c>
      <c r="AD233" s="309">
        <v>26450</v>
      </c>
      <c r="AE233" s="309">
        <v>44460</v>
      </c>
      <c r="AF233" s="309">
        <v>28000</v>
      </c>
      <c r="AG233" s="309"/>
      <c r="AH233" s="309"/>
      <c r="AI233" s="309"/>
      <c r="AJ233" s="309"/>
      <c r="AK233" s="16"/>
      <c r="AL233" s="191">
        <f>SUM(F233:AJ233)</f>
        <v>3668770</v>
      </c>
      <c r="DD233" s="3"/>
      <c r="VGT233"/>
      <c r="VGU233"/>
      <c r="VGV233"/>
      <c r="VGW233"/>
      <c r="VGX233"/>
      <c r="VGY233"/>
      <c r="VGZ233"/>
      <c r="VHA233"/>
      <c r="VHB233"/>
      <c r="VHC233"/>
      <c r="VHD233"/>
      <c r="VHE233"/>
      <c r="VHF233"/>
      <c r="VHG233"/>
      <c r="VHH233"/>
      <c r="VHI233"/>
      <c r="VHJ233"/>
      <c r="VHK233"/>
      <c r="VHL233"/>
      <c r="VHM233"/>
      <c r="VHN233"/>
      <c r="VHO233"/>
      <c r="VHP233"/>
      <c r="VHQ233"/>
      <c r="VHR233"/>
      <c r="VHS233"/>
      <c r="VHT233"/>
      <c r="VHU233"/>
      <c r="VHV233"/>
      <c r="VHW233"/>
      <c r="VHX233"/>
      <c r="VHY233"/>
      <c r="VHZ233"/>
      <c r="VIA233"/>
      <c r="VIB233"/>
      <c r="VIC233"/>
      <c r="VID233"/>
      <c r="VIE233"/>
      <c r="VIF233"/>
      <c r="VIG233"/>
      <c r="VIH233"/>
      <c r="VII233"/>
      <c r="VIJ233"/>
      <c r="VIK233"/>
      <c r="VIL233"/>
      <c r="VIM233"/>
      <c r="VIN233"/>
      <c r="VIO233"/>
      <c r="VIP233"/>
      <c r="VIQ233"/>
      <c r="VIR233"/>
      <c r="VIS233"/>
      <c r="VIT233"/>
      <c r="VIU233"/>
      <c r="VIV233"/>
      <c r="VIW233"/>
      <c r="VIX233"/>
      <c r="VIY233"/>
      <c r="VIZ233"/>
      <c r="VJA233"/>
      <c r="VJB233"/>
      <c r="VJC233"/>
      <c r="VJD233"/>
      <c r="VJE233"/>
      <c r="VJF233"/>
      <c r="VJG233"/>
      <c r="VJH233"/>
      <c r="VJI233"/>
      <c r="VJJ233"/>
      <c r="VJK233"/>
      <c r="VJL233"/>
      <c r="VJM233"/>
      <c r="VJN233"/>
      <c r="VJO233"/>
      <c r="VJP233"/>
      <c r="VJQ233"/>
      <c r="VJR233"/>
      <c r="VJS233"/>
      <c r="VJT233"/>
      <c r="VJU233"/>
      <c r="VJV233"/>
      <c r="VJW233"/>
      <c r="VJX233"/>
      <c r="VJY233"/>
      <c r="VJZ233"/>
      <c r="VKA233"/>
      <c r="VKB233"/>
      <c r="VKC233"/>
      <c r="VKD233"/>
      <c r="VKE233"/>
      <c r="VKF233"/>
      <c r="VKG233"/>
      <c r="VKH233"/>
      <c r="VKI233"/>
      <c r="VKJ233"/>
      <c r="VKK233"/>
      <c r="VKL233"/>
      <c r="VKM233"/>
      <c r="VKN233"/>
      <c r="VKO233"/>
      <c r="VKP233"/>
      <c r="VKQ233"/>
      <c r="VKR233"/>
      <c r="VKS233"/>
      <c r="VKT233"/>
      <c r="VKU233"/>
      <c r="VKV233"/>
      <c r="VKW233"/>
      <c r="VKX233"/>
      <c r="VKY233"/>
      <c r="VKZ233"/>
      <c r="VLA233"/>
      <c r="VLB233"/>
      <c r="VLC233"/>
      <c r="VLD233"/>
      <c r="VLE233"/>
      <c r="VLF233"/>
      <c r="VLG233"/>
      <c r="VLH233"/>
      <c r="VLI233"/>
      <c r="VLJ233"/>
      <c r="VLK233"/>
      <c r="VLL233"/>
      <c r="VLM233"/>
      <c r="VLN233"/>
      <c r="VLO233"/>
      <c r="VLP233"/>
      <c r="VLQ233"/>
      <c r="VLR233"/>
      <c r="VLS233"/>
      <c r="VLT233"/>
      <c r="VLU233"/>
      <c r="VLV233"/>
      <c r="VLW233"/>
      <c r="VLX233"/>
      <c r="VLY233"/>
      <c r="VLZ233"/>
      <c r="VMA233"/>
      <c r="VMB233"/>
      <c r="VMC233"/>
      <c r="VMD233"/>
      <c r="VME233"/>
      <c r="VMF233"/>
      <c r="VMG233"/>
      <c r="VMH233"/>
      <c r="VMI233"/>
      <c r="VMJ233"/>
      <c r="VMK233"/>
      <c r="VML233"/>
      <c r="VMM233"/>
      <c r="VMN233"/>
      <c r="VMO233"/>
      <c r="VMP233"/>
      <c r="VMQ233"/>
      <c r="VMR233"/>
      <c r="VMS233"/>
      <c r="VMT233"/>
      <c r="VMU233"/>
      <c r="VMV233"/>
      <c r="VMW233"/>
      <c r="VMX233"/>
      <c r="VMY233"/>
      <c r="VMZ233"/>
      <c r="VNA233"/>
      <c r="VNB233"/>
      <c r="VNC233"/>
      <c r="VND233"/>
      <c r="VNE233"/>
      <c r="VNF233"/>
      <c r="VNG233"/>
      <c r="VNH233"/>
      <c r="VNI233"/>
      <c r="VNJ233"/>
      <c r="VNK233"/>
      <c r="VNL233"/>
      <c r="VNM233"/>
      <c r="VNN233"/>
      <c r="VNO233"/>
      <c r="VNP233"/>
      <c r="VNQ233"/>
      <c r="VNR233"/>
      <c r="VNS233"/>
      <c r="VNT233"/>
      <c r="VNU233"/>
      <c r="VNV233"/>
      <c r="VNW233"/>
      <c r="VNX233"/>
      <c r="VNY233"/>
      <c r="VNZ233"/>
      <c r="VOA233"/>
      <c r="VOB233"/>
      <c r="VOC233"/>
      <c r="VOD233"/>
      <c r="VOE233"/>
      <c r="VOF233"/>
      <c r="VOG233"/>
      <c r="VOH233"/>
      <c r="VOI233"/>
      <c r="VOJ233"/>
      <c r="VOK233"/>
      <c r="VOL233"/>
      <c r="VOM233"/>
      <c r="VON233"/>
      <c r="VOO233"/>
      <c r="VOP233"/>
      <c r="VOQ233"/>
      <c r="VOR233"/>
      <c r="VOS233"/>
      <c r="VOT233"/>
      <c r="VOU233"/>
      <c r="VOV233"/>
      <c r="VOW233"/>
      <c r="VOX233"/>
      <c r="VOY233"/>
      <c r="VOZ233"/>
      <c r="VPA233"/>
      <c r="VPB233"/>
      <c r="VPC233"/>
      <c r="VPD233"/>
      <c r="VPE233"/>
      <c r="VPF233"/>
      <c r="VPG233"/>
      <c r="VPH233"/>
      <c r="VPI233"/>
      <c r="VPJ233"/>
      <c r="VPK233"/>
      <c r="VPL233"/>
      <c r="VPM233"/>
      <c r="VPN233"/>
      <c r="VPO233"/>
      <c r="VPP233"/>
      <c r="VPQ233"/>
      <c r="VPR233"/>
      <c r="VPS233"/>
      <c r="VPT233"/>
      <c r="VPU233"/>
      <c r="VPV233"/>
      <c r="VPW233"/>
      <c r="VPX233"/>
      <c r="VPY233"/>
      <c r="VPZ233"/>
      <c r="VQA233"/>
      <c r="VQB233"/>
      <c r="VQC233"/>
      <c r="VQD233"/>
      <c r="VQE233"/>
      <c r="VQF233"/>
      <c r="VQG233"/>
      <c r="VQH233"/>
      <c r="VQI233"/>
      <c r="VQJ233"/>
      <c r="VQK233"/>
      <c r="VQL233"/>
      <c r="VQM233"/>
      <c r="VQN233"/>
      <c r="VQO233"/>
      <c r="VQP233"/>
      <c r="VQQ233"/>
      <c r="VQR233"/>
      <c r="VQS233"/>
      <c r="VQT233"/>
      <c r="VQU233"/>
      <c r="VQV233"/>
      <c r="VQW233"/>
      <c r="VQX233"/>
      <c r="VQY233"/>
      <c r="VQZ233"/>
      <c r="VRA233"/>
      <c r="VRB233"/>
      <c r="VRC233"/>
      <c r="VRD233"/>
      <c r="VRE233"/>
      <c r="VRF233"/>
      <c r="VRG233"/>
      <c r="VRH233"/>
      <c r="VRI233"/>
      <c r="VRJ233"/>
      <c r="VRK233"/>
      <c r="VRL233"/>
      <c r="VRM233"/>
      <c r="VRN233"/>
      <c r="VRO233"/>
      <c r="VRP233"/>
      <c r="VRQ233"/>
      <c r="VRR233"/>
      <c r="VRS233"/>
      <c r="VRT233"/>
      <c r="VRU233"/>
      <c r="VRV233"/>
      <c r="VRW233"/>
      <c r="VRX233"/>
      <c r="VRY233"/>
      <c r="VRZ233"/>
      <c r="VSA233"/>
      <c r="VSB233"/>
      <c r="VSC233"/>
      <c r="VSD233"/>
      <c r="VSE233"/>
      <c r="VSF233"/>
      <c r="VSG233"/>
      <c r="VSH233"/>
      <c r="VSI233"/>
      <c r="VSJ233"/>
      <c r="VSK233"/>
      <c r="VSL233"/>
      <c r="VSM233"/>
      <c r="VSN233"/>
      <c r="VSO233"/>
      <c r="VSP233"/>
      <c r="VSQ233"/>
      <c r="VSR233"/>
      <c r="VSS233"/>
      <c r="VST233"/>
      <c r="VSU233"/>
      <c r="VSV233"/>
      <c r="VSW233"/>
      <c r="VSX233"/>
      <c r="VSY233"/>
      <c r="VSZ233"/>
      <c r="VTA233"/>
      <c r="VTB233"/>
      <c r="VTC233"/>
      <c r="VTD233"/>
      <c r="VTE233"/>
      <c r="VTF233"/>
      <c r="VTG233"/>
      <c r="VTH233"/>
      <c r="VTI233"/>
      <c r="VTJ233"/>
      <c r="VTK233"/>
      <c r="VTL233"/>
      <c r="VTM233"/>
      <c r="VTN233"/>
      <c r="VTO233"/>
      <c r="VTP233"/>
      <c r="VTQ233"/>
      <c r="VTR233"/>
      <c r="VTS233"/>
      <c r="VTT233"/>
      <c r="VTU233"/>
      <c r="VTV233"/>
      <c r="VTW233"/>
      <c r="VTX233"/>
      <c r="VTY233"/>
      <c r="VTZ233"/>
      <c r="VUA233"/>
      <c r="VUB233"/>
      <c r="VUC233"/>
      <c r="VUD233"/>
      <c r="VUE233"/>
      <c r="VUF233"/>
      <c r="VUG233"/>
      <c r="VUH233"/>
      <c r="VUI233"/>
      <c r="VUJ233"/>
      <c r="VUK233"/>
      <c r="VUL233"/>
      <c r="VUM233"/>
      <c r="VUN233"/>
      <c r="VUO233"/>
      <c r="VUP233"/>
      <c r="VUQ233"/>
      <c r="VUR233"/>
      <c r="VUS233"/>
      <c r="VUT233"/>
      <c r="VUU233"/>
      <c r="VUV233"/>
      <c r="VUW233"/>
      <c r="VUX233"/>
      <c r="VUY233"/>
      <c r="VUZ233"/>
      <c r="VVA233"/>
      <c r="VVB233"/>
      <c r="VVC233"/>
      <c r="VVD233"/>
      <c r="VVE233"/>
      <c r="VVF233"/>
      <c r="VVG233"/>
      <c r="VVH233"/>
      <c r="VVI233"/>
      <c r="VVJ233"/>
      <c r="VVK233"/>
      <c r="VVL233"/>
      <c r="VVM233"/>
      <c r="VVN233"/>
      <c r="VVO233"/>
      <c r="VVP233"/>
      <c r="VVQ233"/>
      <c r="VVR233"/>
      <c r="VVS233"/>
      <c r="VVT233"/>
      <c r="VVU233"/>
      <c r="VVV233"/>
    </row>
    <row r="234" spans="2:108 15074:15466" s="1" customFormat="1" ht="15" hidden="1" customHeight="1" thickBot="1" x14ac:dyDescent="0.3">
      <c r="B234" s="149"/>
      <c r="C234" s="308" t="s">
        <v>71</v>
      </c>
      <c r="D234" s="145"/>
      <c r="E234" s="146" t="s">
        <v>16</v>
      </c>
      <c r="F234" s="309"/>
      <c r="G234" s="309"/>
      <c r="H234" s="309"/>
      <c r="I234" s="309"/>
      <c r="J234" s="309"/>
      <c r="K234" s="309"/>
      <c r="L234" s="309"/>
      <c r="M234" s="309"/>
      <c r="N234" s="309"/>
      <c r="O234" s="309"/>
      <c r="P234" s="309"/>
      <c r="Q234" s="309"/>
      <c r="R234" s="309"/>
      <c r="S234" s="309"/>
      <c r="T234" s="309"/>
      <c r="U234" s="309"/>
      <c r="V234" s="309"/>
      <c r="W234" s="309"/>
      <c r="X234" s="309"/>
      <c r="Y234" s="309"/>
      <c r="Z234" s="309"/>
      <c r="AA234" s="309"/>
      <c r="AB234" s="309"/>
      <c r="AC234" s="309"/>
      <c r="AD234" s="309"/>
      <c r="AE234" s="309"/>
      <c r="AF234" s="5"/>
      <c r="AG234" s="5"/>
      <c r="AH234" s="5"/>
      <c r="AI234" s="5"/>
      <c r="AJ234" s="5"/>
      <c r="AK234" s="16"/>
      <c r="AL234" s="191">
        <f>SUM(F234:AJ234)</f>
        <v>0</v>
      </c>
      <c r="DD234" s="3"/>
      <c r="VGT234"/>
      <c r="VGU234"/>
      <c r="VGV234"/>
      <c r="VGW234"/>
      <c r="VGX234"/>
      <c r="VGY234"/>
      <c r="VGZ234"/>
      <c r="VHA234"/>
      <c r="VHB234"/>
      <c r="VHC234"/>
      <c r="VHD234"/>
      <c r="VHE234"/>
      <c r="VHF234"/>
      <c r="VHG234"/>
      <c r="VHH234"/>
      <c r="VHI234"/>
      <c r="VHJ234"/>
      <c r="VHK234"/>
      <c r="VHL234"/>
      <c r="VHM234"/>
      <c r="VHN234"/>
      <c r="VHO234"/>
      <c r="VHP234"/>
      <c r="VHQ234"/>
      <c r="VHR234"/>
      <c r="VHS234"/>
      <c r="VHT234"/>
      <c r="VHU234"/>
      <c r="VHV234"/>
      <c r="VHW234"/>
      <c r="VHX234"/>
      <c r="VHY234"/>
      <c r="VHZ234"/>
      <c r="VIA234"/>
      <c r="VIB234"/>
      <c r="VIC234"/>
      <c r="VID234"/>
      <c r="VIE234"/>
      <c r="VIF234"/>
      <c r="VIG234"/>
      <c r="VIH234"/>
      <c r="VII234"/>
      <c r="VIJ234"/>
      <c r="VIK234"/>
      <c r="VIL234"/>
      <c r="VIM234"/>
      <c r="VIN234"/>
      <c r="VIO234"/>
      <c r="VIP234"/>
      <c r="VIQ234"/>
      <c r="VIR234"/>
      <c r="VIS234"/>
      <c r="VIT234"/>
      <c r="VIU234"/>
      <c r="VIV234"/>
      <c r="VIW234"/>
      <c r="VIX234"/>
      <c r="VIY234"/>
      <c r="VIZ234"/>
      <c r="VJA234"/>
      <c r="VJB234"/>
      <c r="VJC234"/>
      <c r="VJD234"/>
      <c r="VJE234"/>
      <c r="VJF234"/>
      <c r="VJG234"/>
      <c r="VJH234"/>
      <c r="VJI234"/>
      <c r="VJJ234"/>
      <c r="VJK234"/>
      <c r="VJL234"/>
      <c r="VJM234"/>
      <c r="VJN234"/>
      <c r="VJO234"/>
      <c r="VJP234"/>
      <c r="VJQ234"/>
      <c r="VJR234"/>
      <c r="VJS234"/>
      <c r="VJT234"/>
      <c r="VJU234"/>
      <c r="VJV234"/>
      <c r="VJW234"/>
      <c r="VJX234"/>
      <c r="VJY234"/>
      <c r="VJZ234"/>
      <c r="VKA234"/>
      <c r="VKB234"/>
      <c r="VKC234"/>
      <c r="VKD234"/>
      <c r="VKE234"/>
      <c r="VKF234"/>
      <c r="VKG234"/>
      <c r="VKH234"/>
      <c r="VKI234"/>
      <c r="VKJ234"/>
      <c r="VKK234"/>
      <c r="VKL234"/>
      <c r="VKM234"/>
      <c r="VKN234"/>
      <c r="VKO234"/>
      <c r="VKP234"/>
      <c r="VKQ234"/>
      <c r="VKR234"/>
      <c r="VKS234"/>
      <c r="VKT234"/>
      <c r="VKU234"/>
      <c r="VKV234"/>
      <c r="VKW234"/>
      <c r="VKX234"/>
      <c r="VKY234"/>
      <c r="VKZ234"/>
      <c r="VLA234"/>
      <c r="VLB234"/>
      <c r="VLC234"/>
      <c r="VLD234"/>
      <c r="VLE234"/>
      <c r="VLF234"/>
      <c r="VLG234"/>
      <c r="VLH234"/>
      <c r="VLI234"/>
      <c r="VLJ234"/>
      <c r="VLK234"/>
      <c r="VLL234"/>
      <c r="VLM234"/>
      <c r="VLN234"/>
      <c r="VLO234"/>
      <c r="VLP234"/>
      <c r="VLQ234"/>
      <c r="VLR234"/>
      <c r="VLS234"/>
      <c r="VLT234"/>
      <c r="VLU234"/>
      <c r="VLV234"/>
      <c r="VLW234"/>
      <c r="VLX234"/>
      <c r="VLY234"/>
      <c r="VLZ234"/>
      <c r="VMA234"/>
      <c r="VMB234"/>
      <c r="VMC234"/>
      <c r="VMD234"/>
      <c r="VME234"/>
      <c r="VMF234"/>
      <c r="VMG234"/>
      <c r="VMH234"/>
      <c r="VMI234"/>
      <c r="VMJ234"/>
      <c r="VMK234"/>
      <c r="VML234"/>
      <c r="VMM234"/>
      <c r="VMN234"/>
      <c r="VMO234"/>
      <c r="VMP234"/>
      <c r="VMQ234"/>
      <c r="VMR234"/>
      <c r="VMS234"/>
      <c r="VMT234"/>
      <c r="VMU234"/>
      <c r="VMV234"/>
      <c r="VMW234"/>
      <c r="VMX234"/>
      <c r="VMY234"/>
      <c r="VMZ234"/>
      <c r="VNA234"/>
      <c r="VNB234"/>
      <c r="VNC234"/>
      <c r="VND234"/>
      <c r="VNE234"/>
      <c r="VNF234"/>
      <c r="VNG234"/>
      <c r="VNH234"/>
      <c r="VNI234"/>
      <c r="VNJ234"/>
      <c r="VNK234"/>
      <c r="VNL234"/>
      <c r="VNM234"/>
      <c r="VNN234"/>
      <c r="VNO234"/>
      <c r="VNP234"/>
      <c r="VNQ234"/>
      <c r="VNR234"/>
      <c r="VNS234"/>
      <c r="VNT234"/>
      <c r="VNU234"/>
      <c r="VNV234"/>
      <c r="VNW234"/>
      <c r="VNX234"/>
      <c r="VNY234"/>
      <c r="VNZ234"/>
      <c r="VOA234"/>
      <c r="VOB234"/>
      <c r="VOC234"/>
      <c r="VOD234"/>
      <c r="VOE234"/>
      <c r="VOF234"/>
      <c r="VOG234"/>
      <c r="VOH234"/>
      <c r="VOI234"/>
      <c r="VOJ234"/>
      <c r="VOK234"/>
      <c r="VOL234"/>
      <c r="VOM234"/>
      <c r="VON234"/>
      <c r="VOO234"/>
      <c r="VOP234"/>
      <c r="VOQ234"/>
      <c r="VOR234"/>
      <c r="VOS234"/>
      <c r="VOT234"/>
      <c r="VOU234"/>
      <c r="VOV234"/>
      <c r="VOW234"/>
      <c r="VOX234"/>
      <c r="VOY234"/>
      <c r="VOZ234"/>
      <c r="VPA234"/>
      <c r="VPB234"/>
      <c r="VPC234"/>
      <c r="VPD234"/>
      <c r="VPE234"/>
      <c r="VPF234"/>
      <c r="VPG234"/>
      <c r="VPH234"/>
      <c r="VPI234"/>
      <c r="VPJ234"/>
      <c r="VPK234"/>
      <c r="VPL234"/>
      <c r="VPM234"/>
      <c r="VPN234"/>
      <c r="VPO234"/>
      <c r="VPP234"/>
      <c r="VPQ234"/>
      <c r="VPR234"/>
      <c r="VPS234"/>
      <c r="VPT234"/>
      <c r="VPU234"/>
      <c r="VPV234"/>
      <c r="VPW234"/>
      <c r="VPX234"/>
      <c r="VPY234"/>
      <c r="VPZ234"/>
      <c r="VQA234"/>
      <c r="VQB234"/>
      <c r="VQC234"/>
      <c r="VQD234"/>
      <c r="VQE234"/>
      <c r="VQF234"/>
      <c r="VQG234"/>
      <c r="VQH234"/>
      <c r="VQI234"/>
      <c r="VQJ234"/>
      <c r="VQK234"/>
      <c r="VQL234"/>
      <c r="VQM234"/>
      <c r="VQN234"/>
      <c r="VQO234"/>
      <c r="VQP234"/>
      <c r="VQQ234"/>
      <c r="VQR234"/>
      <c r="VQS234"/>
      <c r="VQT234"/>
      <c r="VQU234"/>
      <c r="VQV234"/>
      <c r="VQW234"/>
      <c r="VQX234"/>
      <c r="VQY234"/>
      <c r="VQZ234"/>
      <c r="VRA234"/>
      <c r="VRB234"/>
      <c r="VRC234"/>
      <c r="VRD234"/>
      <c r="VRE234"/>
      <c r="VRF234"/>
      <c r="VRG234"/>
      <c r="VRH234"/>
      <c r="VRI234"/>
      <c r="VRJ234"/>
      <c r="VRK234"/>
      <c r="VRL234"/>
      <c r="VRM234"/>
      <c r="VRN234"/>
      <c r="VRO234"/>
      <c r="VRP234"/>
      <c r="VRQ234"/>
      <c r="VRR234"/>
      <c r="VRS234"/>
      <c r="VRT234"/>
      <c r="VRU234"/>
      <c r="VRV234"/>
      <c r="VRW234"/>
      <c r="VRX234"/>
      <c r="VRY234"/>
      <c r="VRZ234"/>
      <c r="VSA234"/>
      <c r="VSB234"/>
      <c r="VSC234"/>
      <c r="VSD234"/>
      <c r="VSE234"/>
      <c r="VSF234"/>
      <c r="VSG234"/>
      <c r="VSH234"/>
      <c r="VSI234"/>
      <c r="VSJ234"/>
      <c r="VSK234"/>
      <c r="VSL234"/>
      <c r="VSM234"/>
      <c r="VSN234"/>
      <c r="VSO234"/>
      <c r="VSP234"/>
      <c r="VSQ234"/>
      <c r="VSR234"/>
      <c r="VSS234"/>
      <c r="VST234"/>
      <c r="VSU234"/>
      <c r="VSV234"/>
      <c r="VSW234"/>
      <c r="VSX234"/>
      <c r="VSY234"/>
      <c r="VSZ234"/>
      <c r="VTA234"/>
      <c r="VTB234"/>
      <c r="VTC234"/>
      <c r="VTD234"/>
      <c r="VTE234"/>
      <c r="VTF234"/>
      <c r="VTG234"/>
      <c r="VTH234"/>
      <c r="VTI234"/>
      <c r="VTJ234"/>
      <c r="VTK234"/>
      <c r="VTL234"/>
      <c r="VTM234"/>
      <c r="VTN234"/>
      <c r="VTO234"/>
      <c r="VTP234"/>
      <c r="VTQ234"/>
      <c r="VTR234"/>
      <c r="VTS234"/>
      <c r="VTT234"/>
      <c r="VTU234"/>
      <c r="VTV234"/>
      <c r="VTW234"/>
      <c r="VTX234"/>
      <c r="VTY234"/>
      <c r="VTZ234"/>
      <c r="VUA234"/>
      <c r="VUB234"/>
      <c r="VUC234"/>
      <c r="VUD234"/>
      <c r="VUE234"/>
      <c r="VUF234"/>
      <c r="VUG234"/>
      <c r="VUH234"/>
      <c r="VUI234"/>
      <c r="VUJ234"/>
      <c r="VUK234"/>
      <c r="VUL234"/>
      <c r="VUM234"/>
      <c r="VUN234"/>
      <c r="VUO234"/>
      <c r="VUP234"/>
      <c r="VUQ234"/>
      <c r="VUR234"/>
      <c r="VUS234"/>
      <c r="VUT234"/>
      <c r="VUU234"/>
      <c r="VUV234"/>
      <c r="VUW234"/>
      <c r="VUX234"/>
      <c r="VUY234"/>
      <c r="VUZ234"/>
      <c r="VVA234"/>
      <c r="VVB234"/>
      <c r="VVC234"/>
      <c r="VVD234"/>
      <c r="VVE234"/>
      <c r="VVF234"/>
      <c r="VVG234"/>
      <c r="VVH234"/>
      <c r="VVI234"/>
      <c r="VVJ234"/>
      <c r="VVK234"/>
      <c r="VVL234"/>
      <c r="VVM234"/>
      <c r="VVN234"/>
      <c r="VVO234"/>
      <c r="VVP234"/>
      <c r="VVQ234"/>
      <c r="VVR234"/>
      <c r="VVS234"/>
      <c r="VVT234"/>
      <c r="VVU234"/>
      <c r="VVV234"/>
    </row>
    <row r="235" spans="2:108 15074:15466" s="1" customFormat="1" ht="15" hidden="1" customHeight="1" x14ac:dyDescent="0.3">
      <c r="B235" s="149"/>
      <c r="C235" s="308" t="s">
        <v>70</v>
      </c>
      <c r="D235" s="145"/>
      <c r="E235" s="146" t="s">
        <v>16</v>
      </c>
      <c r="F235" s="309"/>
      <c r="G235" s="309"/>
      <c r="H235" s="309"/>
      <c r="I235" s="309"/>
      <c r="J235" s="309"/>
      <c r="K235" s="309"/>
      <c r="L235" s="309">
        <v>170500</v>
      </c>
      <c r="M235" s="309">
        <v>170640</v>
      </c>
      <c r="N235" s="309">
        <v>169440</v>
      </c>
      <c r="O235" s="309">
        <v>494640</v>
      </c>
      <c r="P235" s="309">
        <v>325840</v>
      </c>
      <c r="Q235" s="309">
        <v>57350</v>
      </c>
      <c r="R235" s="309">
        <v>242960</v>
      </c>
      <c r="S235" s="309">
        <v>497990</v>
      </c>
      <c r="T235" s="309">
        <v>262530</v>
      </c>
      <c r="U235" s="309">
        <v>135150</v>
      </c>
      <c r="V235" s="309">
        <v>191470</v>
      </c>
      <c r="W235" s="309">
        <v>41600</v>
      </c>
      <c r="X235" s="309">
        <v>0</v>
      </c>
      <c r="Y235" s="309">
        <v>0</v>
      </c>
      <c r="Z235" s="309">
        <v>105590</v>
      </c>
      <c r="AA235" s="309">
        <v>106070</v>
      </c>
      <c r="AB235" s="309">
        <v>104870</v>
      </c>
      <c r="AC235" s="309">
        <v>84760</v>
      </c>
      <c r="AD235" s="309">
        <v>588420</v>
      </c>
      <c r="AE235" s="309">
        <v>0</v>
      </c>
      <c r="AF235" s="309">
        <v>0</v>
      </c>
      <c r="AG235" s="309"/>
      <c r="AH235" s="309"/>
      <c r="AI235" s="309"/>
      <c r="AJ235" s="309"/>
      <c r="AK235" s="16"/>
      <c r="AL235" s="191">
        <f>SUM(F235:AJ235)</f>
        <v>3749820</v>
      </c>
      <c r="DD235" s="3"/>
      <c r="VGT235"/>
      <c r="VGU235"/>
      <c r="VGV235"/>
      <c r="VGW235"/>
      <c r="VGX235"/>
      <c r="VGY235"/>
      <c r="VGZ235"/>
      <c r="VHA235"/>
      <c r="VHB235"/>
      <c r="VHC235"/>
      <c r="VHD235"/>
      <c r="VHE235"/>
      <c r="VHF235"/>
      <c r="VHG235"/>
      <c r="VHH235"/>
      <c r="VHI235"/>
      <c r="VHJ235"/>
      <c r="VHK235"/>
      <c r="VHL235"/>
      <c r="VHM235"/>
      <c r="VHN235"/>
      <c r="VHO235"/>
      <c r="VHP235"/>
      <c r="VHQ235"/>
      <c r="VHR235"/>
      <c r="VHS235"/>
      <c r="VHT235"/>
      <c r="VHU235"/>
      <c r="VHV235"/>
      <c r="VHW235"/>
      <c r="VHX235"/>
      <c r="VHY235"/>
      <c r="VHZ235"/>
      <c r="VIA235"/>
      <c r="VIB235"/>
      <c r="VIC235"/>
      <c r="VID235"/>
      <c r="VIE235"/>
      <c r="VIF235"/>
      <c r="VIG235"/>
      <c r="VIH235"/>
      <c r="VII235"/>
      <c r="VIJ235"/>
      <c r="VIK235"/>
      <c r="VIL235"/>
      <c r="VIM235"/>
      <c r="VIN235"/>
      <c r="VIO235"/>
      <c r="VIP235"/>
      <c r="VIQ235"/>
      <c r="VIR235"/>
      <c r="VIS235"/>
      <c r="VIT235"/>
      <c r="VIU235"/>
      <c r="VIV235"/>
      <c r="VIW235"/>
      <c r="VIX235"/>
      <c r="VIY235"/>
      <c r="VIZ235"/>
      <c r="VJA235"/>
      <c r="VJB235"/>
      <c r="VJC235"/>
      <c r="VJD235"/>
      <c r="VJE235"/>
      <c r="VJF235"/>
      <c r="VJG235"/>
      <c r="VJH235"/>
      <c r="VJI235"/>
      <c r="VJJ235"/>
      <c r="VJK235"/>
      <c r="VJL235"/>
      <c r="VJM235"/>
      <c r="VJN235"/>
      <c r="VJO235"/>
      <c r="VJP235"/>
      <c r="VJQ235"/>
      <c r="VJR235"/>
      <c r="VJS235"/>
      <c r="VJT235"/>
      <c r="VJU235"/>
      <c r="VJV235"/>
      <c r="VJW235"/>
      <c r="VJX235"/>
      <c r="VJY235"/>
      <c r="VJZ235"/>
      <c r="VKA235"/>
      <c r="VKB235"/>
      <c r="VKC235"/>
      <c r="VKD235"/>
      <c r="VKE235"/>
      <c r="VKF235"/>
      <c r="VKG235"/>
      <c r="VKH235"/>
      <c r="VKI235"/>
      <c r="VKJ235"/>
      <c r="VKK235"/>
      <c r="VKL235"/>
      <c r="VKM235"/>
      <c r="VKN235"/>
      <c r="VKO235"/>
      <c r="VKP235"/>
      <c r="VKQ235"/>
      <c r="VKR235"/>
      <c r="VKS235"/>
      <c r="VKT235"/>
      <c r="VKU235"/>
      <c r="VKV235"/>
      <c r="VKW235"/>
      <c r="VKX235"/>
      <c r="VKY235"/>
      <c r="VKZ235"/>
      <c r="VLA235"/>
      <c r="VLB235"/>
      <c r="VLC235"/>
      <c r="VLD235"/>
      <c r="VLE235"/>
      <c r="VLF235"/>
      <c r="VLG235"/>
      <c r="VLH235"/>
      <c r="VLI235"/>
      <c r="VLJ235"/>
      <c r="VLK235"/>
      <c r="VLL235"/>
      <c r="VLM235"/>
      <c r="VLN235"/>
      <c r="VLO235"/>
      <c r="VLP235"/>
      <c r="VLQ235"/>
      <c r="VLR235"/>
      <c r="VLS235"/>
      <c r="VLT235"/>
      <c r="VLU235"/>
      <c r="VLV235"/>
      <c r="VLW235"/>
      <c r="VLX235"/>
      <c r="VLY235"/>
      <c r="VLZ235"/>
      <c r="VMA235"/>
      <c r="VMB235"/>
      <c r="VMC235"/>
      <c r="VMD235"/>
      <c r="VME235"/>
      <c r="VMF235"/>
      <c r="VMG235"/>
      <c r="VMH235"/>
      <c r="VMI235"/>
      <c r="VMJ235"/>
      <c r="VMK235"/>
      <c r="VML235"/>
      <c r="VMM235"/>
      <c r="VMN235"/>
      <c r="VMO235"/>
      <c r="VMP235"/>
      <c r="VMQ235"/>
      <c r="VMR235"/>
      <c r="VMS235"/>
      <c r="VMT235"/>
      <c r="VMU235"/>
      <c r="VMV235"/>
      <c r="VMW235"/>
      <c r="VMX235"/>
      <c r="VMY235"/>
      <c r="VMZ235"/>
      <c r="VNA235"/>
      <c r="VNB235"/>
      <c r="VNC235"/>
      <c r="VND235"/>
      <c r="VNE235"/>
      <c r="VNF235"/>
      <c r="VNG235"/>
      <c r="VNH235"/>
      <c r="VNI235"/>
      <c r="VNJ235"/>
      <c r="VNK235"/>
      <c r="VNL235"/>
      <c r="VNM235"/>
      <c r="VNN235"/>
      <c r="VNO235"/>
      <c r="VNP235"/>
      <c r="VNQ235"/>
      <c r="VNR235"/>
      <c r="VNS235"/>
      <c r="VNT235"/>
      <c r="VNU235"/>
      <c r="VNV235"/>
      <c r="VNW235"/>
      <c r="VNX235"/>
      <c r="VNY235"/>
      <c r="VNZ235"/>
      <c r="VOA235"/>
      <c r="VOB235"/>
      <c r="VOC235"/>
      <c r="VOD235"/>
      <c r="VOE235"/>
      <c r="VOF235"/>
      <c r="VOG235"/>
      <c r="VOH235"/>
      <c r="VOI235"/>
      <c r="VOJ235"/>
      <c r="VOK235"/>
      <c r="VOL235"/>
      <c r="VOM235"/>
      <c r="VON235"/>
      <c r="VOO235"/>
      <c r="VOP235"/>
      <c r="VOQ235"/>
      <c r="VOR235"/>
      <c r="VOS235"/>
      <c r="VOT235"/>
      <c r="VOU235"/>
      <c r="VOV235"/>
      <c r="VOW235"/>
      <c r="VOX235"/>
      <c r="VOY235"/>
      <c r="VOZ235"/>
      <c r="VPA235"/>
      <c r="VPB235"/>
      <c r="VPC235"/>
      <c r="VPD235"/>
      <c r="VPE235"/>
      <c r="VPF235"/>
      <c r="VPG235"/>
      <c r="VPH235"/>
      <c r="VPI235"/>
      <c r="VPJ235"/>
      <c r="VPK235"/>
      <c r="VPL235"/>
      <c r="VPM235"/>
      <c r="VPN235"/>
      <c r="VPO235"/>
      <c r="VPP235"/>
      <c r="VPQ235"/>
      <c r="VPR235"/>
      <c r="VPS235"/>
      <c r="VPT235"/>
      <c r="VPU235"/>
      <c r="VPV235"/>
      <c r="VPW235"/>
      <c r="VPX235"/>
      <c r="VPY235"/>
      <c r="VPZ235"/>
      <c r="VQA235"/>
      <c r="VQB235"/>
      <c r="VQC235"/>
      <c r="VQD235"/>
      <c r="VQE235"/>
      <c r="VQF235"/>
      <c r="VQG235"/>
      <c r="VQH235"/>
      <c r="VQI235"/>
      <c r="VQJ235"/>
      <c r="VQK235"/>
      <c r="VQL235"/>
      <c r="VQM235"/>
      <c r="VQN235"/>
      <c r="VQO235"/>
      <c r="VQP235"/>
      <c r="VQQ235"/>
      <c r="VQR235"/>
      <c r="VQS235"/>
      <c r="VQT235"/>
      <c r="VQU235"/>
      <c r="VQV235"/>
      <c r="VQW235"/>
      <c r="VQX235"/>
      <c r="VQY235"/>
      <c r="VQZ235"/>
      <c r="VRA235"/>
      <c r="VRB235"/>
      <c r="VRC235"/>
      <c r="VRD235"/>
      <c r="VRE235"/>
      <c r="VRF235"/>
      <c r="VRG235"/>
      <c r="VRH235"/>
      <c r="VRI235"/>
      <c r="VRJ235"/>
      <c r="VRK235"/>
      <c r="VRL235"/>
      <c r="VRM235"/>
      <c r="VRN235"/>
      <c r="VRO235"/>
      <c r="VRP235"/>
      <c r="VRQ235"/>
      <c r="VRR235"/>
      <c r="VRS235"/>
      <c r="VRT235"/>
      <c r="VRU235"/>
      <c r="VRV235"/>
      <c r="VRW235"/>
      <c r="VRX235"/>
      <c r="VRY235"/>
      <c r="VRZ235"/>
      <c r="VSA235"/>
      <c r="VSB235"/>
      <c r="VSC235"/>
      <c r="VSD235"/>
      <c r="VSE235"/>
      <c r="VSF235"/>
      <c r="VSG235"/>
      <c r="VSH235"/>
      <c r="VSI235"/>
      <c r="VSJ235"/>
      <c r="VSK235"/>
      <c r="VSL235"/>
      <c r="VSM235"/>
      <c r="VSN235"/>
      <c r="VSO235"/>
      <c r="VSP235"/>
      <c r="VSQ235"/>
      <c r="VSR235"/>
      <c r="VSS235"/>
      <c r="VST235"/>
      <c r="VSU235"/>
      <c r="VSV235"/>
      <c r="VSW235"/>
      <c r="VSX235"/>
      <c r="VSY235"/>
      <c r="VSZ235"/>
      <c r="VTA235"/>
      <c r="VTB235"/>
      <c r="VTC235"/>
      <c r="VTD235"/>
      <c r="VTE235"/>
      <c r="VTF235"/>
      <c r="VTG235"/>
      <c r="VTH235"/>
      <c r="VTI235"/>
      <c r="VTJ235"/>
      <c r="VTK235"/>
      <c r="VTL235"/>
      <c r="VTM235"/>
      <c r="VTN235"/>
      <c r="VTO235"/>
      <c r="VTP235"/>
      <c r="VTQ235"/>
      <c r="VTR235"/>
      <c r="VTS235"/>
      <c r="VTT235"/>
      <c r="VTU235"/>
      <c r="VTV235"/>
      <c r="VTW235"/>
      <c r="VTX235"/>
      <c r="VTY235"/>
      <c r="VTZ235"/>
      <c r="VUA235"/>
      <c r="VUB235"/>
      <c r="VUC235"/>
      <c r="VUD235"/>
      <c r="VUE235"/>
      <c r="VUF235"/>
      <c r="VUG235"/>
      <c r="VUH235"/>
      <c r="VUI235"/>
      <c r="VUJ235"/>
      <c r="VUK235"/>
      <c r="VUL235"/>
      <c r="VUM235"/>
      <c r="VUN235"/>
      <c r="VUO235"/>
      <c r="VUP235"/>
      <c r="VUQ235"/>
      <c r="VUR235"/>
      <c r="VUS235"/>
      <c r="VUT235"/>
      <c r="VUU235"/>
      <c r="VUV235"/>
      <c r="VUW235"/>
      <c r="VUX235"/>
      <c r="VUY235"/>
      <c r="VUZ235"/>
      <c r="VVA235"/>
      <c r="VVB235"/>
      <c r="VVC235"/>
      <c r="VVD235"/>
      <c r="VVE235"/>
      <c r="VVF235"/>
      <c r="VVG235"/>
      <c r="VVH235"/>
      <c r="VVI235"/>
      <c r="VVJ235"/>
      <c r="VVK235"/>
      <c r="VVL235"/>
      <c r="VVM235"/>
      <c r="VVN235"/>
      <c r="VVO235"/>
      <c r="VVP235"/>
      <c r="VVQ235"/>
      <c r="VVR235"/>
      <c r="VVS235"/>
      <c r="VVT235"/>
      <c r="VVU235"/>
      <c r="VVV235"/>
    </row>
    <row r="236" spans="2:108 15074:15466" s="18" customFormat="1" ht="15" hidden="1" customHeight="1" x14ac:dyDescent="0.3">
      <c r="B236" s="273"/>
      <c r="C236" s="310" t="s">
        <v>1</v>
      </c>
      <c r="D236" s="311"/>
      <c r="E236" s="312" t="s">
        <v>16</v>
      </c>
      <c r="F236" s="313"/>
      <c r="G236" s="313"/>
      <c r="H236" s="313"/>
      <c r="I236" s="313"/>
      <c r="J236" s="313"/>
      <c r="K236" s="313"/>
      <c r="L236" s="313">
        <f t="shared" ref="L236:AF236" si="97">SUM(L231:L235)</f>
        <v>834440</v>
      </c>
      <c r="M236" s="313">
        <f t="shared" si="97"/>
        <v>712840</v>
      </c>
      <c r="N236" s="313">
        <f t="shared" si="97"/>
        <v>504340</v>
      </c>
      <c r="O236" s="313">
        <f t="shared" si="97"/>
        <v>595200</v>
      </c>
      <c r="P236" s="313">
        <f t="shared" si="97"/>
        <v>582610</v>
      </c>
      <c r="Q236" s="313">
        <f t="shared" si="97"/>
        <v>254250</v>
      </c>
      <c r="R236" s="313">
        <f t="shared" si="97"/>
        <v>242960</v>
      </c>
      <c r="S236" s="313">
        <f t="shared" si="97"/>
        <v>741400</v>
      </c>
      <c r="T236" s="313">
        <f t="shared" si="97"/>
        <v>291620</v>
      </c>
      <c r="U236" s="313">
        <f t="shared" si="97"/>
        <v>288090</v>
      </c>
      <c r="V236" s="313">
        <f t="shared" si="97"/>
        <v>313060</v>
      </c>
      <c r="W236" s="313">
        <f t="shared" si="97"/>
        <v>873700</v>
      </c>
      <c r="X236" s="313">
        <f t="shared" si="97"/>
        <v>228760</v>
      </c>
      <c r="Y236" s="313">
        <f t="shared" si="97"/>
        <v>128390</v>
      </c>
      <c r="Z236" s="313">
        <f t="shared" si="97"/>
        <v>744710</v>
      </c>
      <c r="AA236" s="313">
        <f t="shared" si="97"/>
        <v>469330</v>
      </c>
      <c r="AB236" s="313">
        <f t="shared" si="97"/>
        <v>462410</v>
      </c>
      <c r="AC236" s="313">
        <f t="shared" si="97"/>
        <v>503350</v>
      </c>
      <c r="AD236" s="313">
        <f t="shared" si="97"/>
        <v>643210</v>
      </c>
      <c r="AE236" s="313">
        <f t="shared" si="97"/>
        <v>44460</v>
      </c>
      <c r="AF236" s="313">
        <f t="shared" si="97"/>
        <v>28000</v>
      </c>
      <c r="AG236" s="313"/>
      <c r="AH236" s="313"/>
      <c r="AI236" s="313"/>
      <c r="AJ236" s="313"/>
      <c r="AK236" s="230"/>
      <c r="AL236" s="314">
        <f>SUM(AL231:AL235)</f>
        <v>9487130</v>
      </c>
      <c r="DD236" s="56"/>
    </row>
    <row r="237" spans="2:108 15074:15466" s="1" customFormat="1" ht="15" hidden="1" customHeight="1" x14ac:dyDescent="0.3">
      <c r="B237" s="97">
        <v>13</v>
      </c>
      <c r="C237" s="189" t="s">
        <v>111</v>
      </c>
      <c r="D237" s="315"/>
      <c r="E237" s="316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16"/>
      <c r="AL237" s="307" t="s">
        <v>112</v>
      </c>
      <c r="DD237" s="3"/>
      <c r="VGT237"/>
      <c r="VGU237"/>
      <c r="VGV237"/>
      <c r="VGW237"/>
      <c r="VGX237"/>
      <c r="VGY237"/>
      <c r="VGZ237"/>
      <c r="VHA237"/>
      <c r="VHB237"/>
      <c r="VHC237"/>
      <c r="VHD237"/>
      <c r="VHE237"/>
      <c r="VHF237"/>
      <c r="VHG237"/>
      <c r="VHH237"/>
      <c r="VHI237"/>
      <c r="VHJ237"/>
      <c r="VHK237"/>
      <c r="VHL237"/>
      <c r="VHM237"/>
      <c r="VHN237"/>
      <c r="VHO237"/>
      <c r="VHP237"/>
      <c r="VHQ237"/>
      <c r="VHR237"/>
      <c r="VHS237"/>
      <c r="VHT237"/>
      <c r="VHU237"/>
      <c r="VHV237"/>
      <c r="VHW237"/>
      <c r="VHX237"/>
      <c r="VHY237"/>
      <c r="VHZ237"/>
      <c r="VIA237"/>
      <c r="VIB237"/>
      <c r="VIC237"/>
      <c r="VID237"/>
      <c r="VIE237"/>
      <c r="VIF237"/>
      <c r="VIG237"/>
      <c r="VIH237"/>
      <c r="VII237"/>
      <c r="VIJ237"/>
      <c r="VIK237"/>
      <c r="VIL237"/>
      <c r="VIM237"/>
      <c r="VIN237"/>
      <c r="VIO237"/>
      <c r="VIP237"/>
      <c r="VIQ237"/>
      <c r="VIR237"/>
      <c r="VIS237"/>
      <c r="VIT237"/>
      <c r="VIU237"/>
      <c r="VIV237"/>
      <c r="VIW237"/>
      <c r="VIX237"/>
      <c r="VIY237"/>
      <c r="VIZ237"/>
      <c r="VJA237"/>
      <c r="VJB237"/>
      <c r="VJC237"/>
      <c r="VJD237"/>
      <c r="VJE237"/>
      <c r="VJF237"/>
      <c r="VJG237"/>
      <c r="VJH237"/>
      <c r="VJI237"/>
      <c r="VJJ237"/>
      <c r="VJK237"/>
      <c r="VJL237"/>
      <c r="VJM237"/>
      <c r="VJN237"/>
      <c r="VJO237"/>
      <c r="VJP237"/>
      <c r="VJQ237"/>
      <c r="VJR237"/>
      <c r="VJS237"/>
      <c r="VJT237"/>
      <c r="VJU237"/>
      <c r="VJV237"/>
      <c r="VJW237"/>
      <c r="VJX237"/>
      <c r="VJY237"/>
      <c r="VJZ237"/>
      <c r="VKA237"/>
      <c r="VKB237"/>
      <c r="VKC237"/>
      <c r="VKD237"/>
      <c r="VKE237"/>
      <c r="VKF237"/>
      <c r="VKG237"/>
      <c r="VKH237"/>
      <c r="VKI237"/>
      <c r="VKJ237"/>
      <c r="VKK237"/>
      <c r="VKL237"/>
      <c r="VKM237"/>
      <c r="VKN237"/>
      <c r="VKO237"/>
      <c r="VKP237"/>
      <c r="VKQ237"/>
      <c r="VKR237"/>
      <c r="VKS237"/>
      <c r="VKT237"/>
      <c r="VKU237"/>
      <c r="VKV237"/>
      <c r="VKW237"/>
      <c r="VKX237"/>
      <c r="VKY237"/>
      <c r="VKZ237"/>
      <c r="VLA237"/>
      <c r="VLB237"/>
      <c r="VLC237"/>
      <c r="VLD237"/>
      <c r="VLE237"/>
      <c r="VLF237"/>
      <c r="VLG237"/>
      <c r="VLH237"/>
      <c r="VLI237"/>
      <c r="VLJ237"/>
      <c r="VLK237"/>
      <c r="VLL237"/>
      <c r="VLM237"/>
      <c r="VLN237"/>
      <c r="VLO237"/>
      <c r="VLP237"/>
      <c r="VLQ237"/>
      <c r="VLR237"/>
      <c r="VLS237"/>
      <c r="VLT237"/>
      <c r="VLU237"/>
      <c r="VLV237"/>
      <c r="VLW237"/>
      <c r="VLX237"/>
      <c r="VLY237"/>
      <c r="VLZ237"/>
      <c r="VMA237"/>
      <c r="VMB237"/>
      <c r="VMC237"/>
      <c r="VMD237"/>
      <c r="VME237"/>
      <c r="VMF237"/>
      <c r="VMG237"/>
      <c r="VMH237"/>
      <c r="VMI237"/>
      <c r="VMJ237"/>
      <c r="VMK237"/>
      <c r="VML237"/>
      <c r="VMM237"/>
      <c r="VMN237"/>
      <c r="VMO237"/>
      <c r="VMP237"/>
      <c r="VMQ237"/>
      <c r="VMR237"/>
      <c r="VMS237"/>
      <c r="VMT237"/>
      <c r="VMU237"/>
      <c r="VMV237"/>
      <c r="VMW237"/>
      <c r="VMX237"/>
      <c r="VMY237"/>
      <c r="VMZ237"/>
      <c r="VNA237"/>
      <c r="VNB237"/>
      <c r="VNC237"/>
      <c r="VND237"/>
      <c r="VNE237"/>
      <c r="VNF237"/>
      <c r="VNG237"/>
      <c r="VNH237"/>
      <c r="VNI237"/>
      <c r="VNJ237"/>
      <c r="VNK237"/>
      <c r="VNL237"/>
      <c r="VNM237"/>
      <c r="VNN237"/>
      <c r="VNO237"/>
      <c r="VNP237"/>
      <c r="VNQ237"/>
      <c r="VNR237"/>
      <c r="VNS237"/>
      <c r="VNT237"/>
      <c r="VNU237"/>
      <c r="VNV237"/>
      <c r="VNW237"/>
      <c r="VNX237"/>
      <c r="VNY237"/>
      <c r="VNZ237"/>
      <c r="VOA237"/>
      <c r="VOB237"/>
      <c r="VOC237"/>
      <c r="VOD237"/>
      <c r="VOE237"/>
      <c r="VOF237"/>
      <c r="VOG237"/>
      <c r="VOH237"/>
      <c r="VOI237"/>
      <c r="VOJ237"/>
      <c r="VOK237"/>
      <c r="VOL237"/>
      <c r="VOM237"/>
      <c r="VON237"/>
      <c r="VOO237"/>
      <c r="VOP237"/>
      <c r="VOQ237"/>
      <c r="VOR237"/>
      <c r="VOS237"/>
      <c r="VOT237"/>
      <c r="VOU237"/>
      <c r="VOV237"/>
      <c r="VOW237"/>
      <c r="VOX237"/>
      <c r="VOY237"/>
      <c r="VOZ237"/>
      <c r="VPA237"/>
      <c r="VPB237"/>
      <c r="VPC237"/>
      <c r="VPD237"/>
      <c r="VPE237"/>
      <c r="VPF237"/>
      <c r="VPG237"/>
      <c r="VPH237"/>
      <c r="VPI237"/>
      <c r="VPJ237"/>
      <c r="VPK237"/>
      <c r="VPL237"/>
      <c r="VPM237"/>
      <c r="VPN237"/>
      <c r="VPO237"/>
      <c r="VPP237"/>
      <c r="VPQ237"/>
      <c r="VPR237"/>
      <c r="VPS237"/>
      <c r="VPT237"/>
      <c r="VPU237"/>
      <c r="VPV237"/>
      <c r="VPW237"/>
      <c r="VPX237"/>
      <c r="VPY237"/>
      <c r="VPZ237"/>
      <c r="VQA237"/>
      <c r="VQB237"/>
      <c r="VQC237"/>
      <c r="VQD237"/>
      <c r="VQE237"/>
      <c r="VQF237"/>
      <c r="VQG237"/>
      <c r="VQH237"/>
      <c r="VQI237"/>
      <c r="VQJ237"/>
      <c r="VQK237"/>
      <c r="VQL237"/>
      <c r="VQM237"/>
      <c r="VQN237"/>
      <c r="VQO237"/>
      <c r="VQP237"/>
      <c r="VQQ237"/>
      <c r="VQR237"/>
      <c r="VQS237"/>
      <c r="VQT237"/>
      <c r="VQU237"/>
      <c r="VQV237"/>
      <c r="VQW237"/>
      <c r="VQX237"/>
      <c r="VQY237"/>
      <c r="VQZ237"/>
      <c r="VRA237"/>
      <c r="VRB237"/>
      <c r="VRC237"/>
      <c r="VRD237"/>
      <c r="VRE237"/>
      <c r="VRF237"/>
      <c r="VRG237"/>
      <c r="VRH237"/>
      <c r="VRI237"/>
      <c r="VRJ237"/>
      <c r="VRK237"/>
      <c r="VRL237"/>
      <c r="VRM237"/>
      <c r="VRN237"/>
      <c r="VRO237"/>
      <c r="VRP237"/>
      <c r="VRQ237"/>
      <c r="VRR237"/>
      <c r="VRS237"/>
      <c r="VRT237"/>
      <c r="VRU237"/>
      <c r="VRV237"/>
      <c r="VRW237"/>
      <c r="VRX237"/>
      <c r="VRY237"/>
      <c r="VRZ237"/>
      <c r="VSA237"/>
      <c r="VSB237"/>
      <c r="VSC237"/>
      <c r="VSD237"/>
      <c r="VSE237"/>
      <c r="VSF237"/>
      <c r="VSG237"/>
      <c r="VSH237"/>
      <c r="VSI237"/>
      <c r="VSJ237"/>
      <c r="VSK237"/>
      <c r="VSL237"/>
      <c r="VSM237"/>
      <c r="VSN237"/>
      <c r="VSO237"/>
      <c r="VSP237"/>
      <c r="VSQ237"/>
      <c r="VSR237"/>
      <c r="VSS237"/>
      <c r="VST237"/>
      <c r="VSU237"/>
      <c r="VSV237"/>
      <c r="VSW237"/>
      <c r="VSX237"/>
      <c r="VSY237"/>
      <c r="VSZ237"/>
      <c r="VTA237"/>
      <c r="VTB237"/>
      <c r="VTC237"/>
      <c r="VTD237"/>
      <c r="VTE237"/>
      <c r="VTF237"/>
      <c r="VTG237"/>
      <c r="VTH237"/>
      <c r="VTI237"/>
      <c r="VTJ237"/>
      <c r="VTK237"/>
      <c r="VTL237"/>
      <c r="VTM237"/>
      <c r="VTN237"/>
      <c r="VTO237"/>
      <c r="VTP237"/>
      <c r="VTQ237"/>
      <c r="VTR237"/>
      <c r="VTS237"/>
      <c r="VTT237"/>
      <c r="VTU237"/>
      <c r="VTV237"/>
      <c r="VTW237"/>
      <c r="VTX237"/>
      <c r="VTY237"/>
      <c r="VTZ237"/>
      <c r="VUA237"/>
      <c r="VUB237"/>
      <c r="VUC237"/>
      <c r="VUD237"/>
      <c r="VUE237"/>
      <c r="VUF237"/>
      <c r="VUG237"/>
      <c r="VUH237"/>
      <c r="VUI237"/>
      <c r="VUJ237"/>
      <c r="VUK237"/>
      <c r="VUL237"/>
      <c r="VUM237"/>
      <c r="VUN237"/>
      <c r="VUO237"/>
      <c r="VUP237"/>
      <c r="VUQ237"/>
      <c r="VUR237"/>
      <c r="VUS237"/>
      <c r="VUT237"/>
      <c r="VUU237"/>
      <c r="VUV237"/>
      <c r="VUW237"/>
      <c r="VUX237"/>
      <c r="VUY237"/>
      <c r="VUZ237"/>
      <c r="VVA237"/>
      <c r="VVB237"/>
      <c r="VVC237"/>
      <c r="VVD237"/>
      <c r="VVE237"/>
      <c r="VVF237"/>
      <c r="VVG237"/>
      <c r="VVH237"/>
      <c r="VVI237"/>
      <c r="VVJ237"/>
      <c r="VVK237"/>
      <c r="VVL237"/>
      <c r="VVM237"/>
      <c r="VVN237"/>
      <c r="VVO237"/>
      <c r="VVP237"/>
      <c r="VVQ237"/>
      <c r="VVR237"/>
      <c r="VVS237"/>
      <c r="VVT237"/>
      <c r="VVU237"/>
      <c r="VVV237"/>
    </row>
    <row r="238" spans="2:108 15074:15466" s="1" customFormat="1" ht="15" hidden="1" customHeight="1" x14ac:dyDescent="0.3">
      <c r="B238" s="149"/>
      <c r="C238" s="308" t="s">
        <v>110</v>
      </c>
      <c r="D238" s="145"/>
      <c r="E238" s="146" t="s">
        <v>16</v>
      </c>
      <c r="F238" s="309"/>
      <c r="G238" s="309"/>
      <c r="H238" s="309"/>
      <c r="I238" s="309"/>
      <c r="J238" s="309"/>
      <c r="K238" s="309"/>
      <c r="L238" s="309">
        <v>1345050</v>
      </c>
      <c r="M238" s="309">
        <v>1279250</v>
      </c>
      <c r="N238" s="309">
        <v>1540660</v>
      </c>
      <c r="O238" s="309">
        <v>1221250</v>
      </c>
      <c r="P238" s="309">
        <v>1804530</v>
      </c>
      <c r="Q238" s="309">
        <v>1816620</v>
      </c>
      <c r="R238" s="309">
        <v>1766630</v>
      </c>
      <c r="S238" s="309">
        <v>52950</v>
      </c>
      <c r="T238" s="309">
        <v>0</v>
      </c>
      <c r="U238" s="309">
        <v>0</v>
      </c>
      <c r="V238" s="309">
        <v>0</v>
      </c>
      <c r="W238" s="309">
        <v>0</v>
      </c>
      <c r="X238" s="309">
        <v>0</v>
      </c>
      <c r="Y238" s="309">
        <v>0</v>
      </c>
      <c r="Z238" s="309">
        <v>0</v>
      </c>
      <c r="AA238" s="309">
        <v>0</v>
      </c>
      <c r="AB238" s="309">
        <v>0</v>
      </c>
      <c r="AC238" s="309">
        <v>0</v>
      </c>
      <c r="AD238" s="309">
        <v>0</v>
      </c>
      <c r="AE238" s="309">
        <v>0</v>
      </c>
      <c r="AF238" s="309">
        <v>0</v>
      </c>
      <c r="AG238" s="309"/>
      <c r="AH238" s="309"/>
      <c r="AI238" s="309"/>
      <c r="AJ238" s="309"/>
      <c r="AK238" s="16"/>
      <c r="AL238" s="191">
        <f>SUM(F238:AJ238)</f>
        <v>10826940</v>
      </c>
      <c r="DD238" s="3"/>
      <c r="VGT238"/>
      <c r="VGU238"/>
      <c r="VGV238"/>
      <c r="VGW238"/>
      <c r="VGX238"/>
      <c r="VGY238"/>
      <c r="VGZ238"/>
      <c r="VHA238"/>
      <c r="VHB238"/>
      <c r="VHC238"/>
      <c r="VHD238"/>
      <c r="VHE238"/>
      <c r="VHF238"/>
      <c r="VHG238"/>
      <c r="VHH238"/>
      <c r="VHI238"/>
      <c r="VHJ238"/>
      <c r="VHK238"/>
      <c r="VHL238"/>
      <c r="VHM238"/>
      <c r="VHN238"/>
      <c r="VHO238"/>
      <c r="VHP238"/>
      <c r="VHQ238"/>
      <c r="VHR238"/>
      <c r="VHS238"/>
      <c r="VHT238"/>
      <c r="VHU238"/>
      <c r="VHV238"/>
      <c r="VHW238"/>
      <c r="VHX238"/>
      <c r="VHY238"/>
      <c r="VHZ238"/>
      <c r="VIA238"/>
      <c r="VIB238"/>
      <c r="VIC238"/>
      <c r="VID238"/>
      <c r="VIE238"/>
      <c r="VIF238"/>
      <c r="VIG238"/>
      <c r="VIH238"/>
      <c r="VII238"/>
      <c r="VIJ238"/>
      <c r="VIK238"/>
      <c r="VIL238"/>
      <c r="VIM238"/>
      <c r="VIN238"/>
      <c r="VIO238"/>
      <c r="VIP238"/>
      <c r="VIQ238"/>
      <c r="VIR238"/>
      <c r="VIS238"/>
      <c r="VIT238"/>
      <c r="VIU238"/>
      <c r="VIV238"/>
      <c r="VIW238"/>
      <c r="VIX238"/>
      <c r="VIY238"/>
      <c r="VIZ238"/>
      <c r="VJA238"/>
      <c r="VJB238"/>
      <c r="VJC238"/>
      <c r="VJD238"/>
      <c r="VJE238"/>
      <c r="VJF238"/>
      <c r="VJG238"/>
      <c r="VJH238"/>
      <c r="VJI238"/>
      <c r="VJJ238"/>
      <c r="VJK238"/>
      <c r="VJL238"/>
      <c r="VJM238"/>
      <c r="VJN238"/>
      <c r="VJO238"/>
      <c r="VJP238"/>
      <c r="VJQ238"/>
      <c r="VJR238"/>
      <c r="VJS238"/>
      <c r="VJT238"/>
      <c r="VJU238"/>
      <c r="VJV238"/>
      <c r="VJW238"/>
      <c r="VJX238"/>
      <c r="VJY238"/>
      <c r="VJZ238"/>
      <c r="VKA238"/>
      <c r="VKB238"/>
      <c r="VKC238"/>
      <c r="VKD238"/>
      <c r="VKE238"/>
      <c r="VKF238"/>
      <c r="VKG238"/>
      <c r="VKH238"/>
      <c r="VKI238"/>
      <c r="VKJ238"/>
      <c r="VKK238"/>
      <c r="VKL238"/>
      <c r="VKM238"/>
      <c r="VKN238"/>
      <c r="VKO238"/>
      <c r="VKP238"/>
      <c r="VKQ238"/>
      <c r="VKR238"/>
      <c r="VKS238"/>
      <c r="VKT238"/>
      <c r="VKU238"/>
      <c r="VKV238"/>
      <c r="VKW238"/>
      <c r="VKX238"/>
      <c r="VKY238"/>
      <c r="VKZ238"/>
      <c r="VLA238"/>
      <c r="VLB238"/>
      <c r="VLC238"/>
      <c r="VLD238"/>
      <c r="VLE238"/>
      <c r="VLF238"/>
      <c r="VLG238"/>
      <c r="VLH238"/>
      <c r="VLI238"/>
      <c r="VLJ238"/>
      <c r="VLK238"/>
      <c r="VLL238"/>
      <c r="VLM238"/>
      <c r="VLN238"/>
      <c r="VLO238"/>
      <c r="VLP238"/>
      <c r="VLQ238"/>
      <c r="VLR238"/>
      <c r="VLS238"/>
      <c r="VLT238"/>
      <c r="VLU238"/>
      <c r="VLV238"/>
      <c r="VLW238"/>
      <c r="VLX238"/>
      <c r="VLY238"/>
      <c r="VLZ238"/>
      <c r="VMA238"/>
      <c r="VMB238"/>
      <c r="VMC238"/>
      <c r="VMD238"/>
      <c r="VME238"/>
      <c r="VMF238"/>
      <c r="VMG238"/>
      <c r="VMH238"/>
      <c r="VMI238"/>
      <c r="VMJ238"/>
      <c r="VMK238"/>
      <c r="VML238"/>
      <c r="VMM238"/>
      <c r="VMN238"/>
      <c r="VMO238"/>
      <c r="VMP238"/>
      <c r="VMQ238"/>
      <c r="VMR238"/>
      <c r="VMS238"/>
      <c r="VMT238"/>
      <c r="VMU238"/>
      <c r="VMV238"/>
      <c r="VMW238"/>
      <c r="VMX238"/>
      <c r="VMY238"/>
      <c r="VMZ238"/>
      <c r="VNA238"/>
      <c r="VNB238"/>
      <c r="VNC238"/>
      <c r="VND238"/>
      <c r="VNE238"/>
      <c r="VNF238"/>
      <c r="VNG238"/>
      <c r="VNH238"/>
      <c r="VNI238"/>
      <c r="VNJ238"/>
      <c r="VNK238"/>
      <c r="VNL238"/>
      <c r="VNM238"/>
      <c r="VNN238"/>
      <c r="VNO238"/>
      <c r="VNP238"/>
      <c r="VNQ238"/>
      <c r="VNR238"/>
      <c r="VNS238"/>
      <c r="VNT238"/>
      <c r="VNU238"/>
      <c r="VNV238"/>
      <c r="VNW238"/>
      <c r="VNX238"/>
      <c r="VNY238"/>
      <c r="VNZ238"/>
      <c r="VOA238"/>
      <c r="VOB238"/>
      <c r="VOC238"/>
      <c r="VOD238"/>
      <c r="VOE238"/>
      <c r="VOF238"/>
      <c r="VOG238"/>
      <c r="VOH238"/>
      <c r="VOI238"/>
      <c r="VOJ238"/>
      <c r="VOK238"/>
      <c r="VOL238"/>
      <c r="VOM238"/>
      <c r="VON238"/>
      <c r="VOO238"/>
      <c r="VOP238"/>
      <c r="VOQ238"/>
      <c r="VOR238"/>
      <c r="VOS238"/>
      <c r="VOT238"/>
      <c r="VOU238"/>
      <c r="VOV238"/>
      <c r="VOW238"/>
      <c r="VOX238"/>
      <c r="VOY238"/>
      <c r="VOZ238"/>
      <c r="VPA238"/>
      <c r="VPB238"/>
      <c r="VPC238"/>
      <c r="VPD238"/>
      <c r="VPE238"/>
      <c r="VPF238"/>
      <c r="VPG238"/>
      <c r="VPH238"/>
      <c r="VPI238"/>
      <c r="VPJ238"/>
      <c r="VPK238"/>
      <c r="VPL238"/>
      <c r="VPM238"/>
      <c r="VPN238"/>
      <c r="VPO238"/>
      <c r="VPP238"/>
      <c r="VPQ238"/>
      <c r="VPR238"/>
      <c r="VPS238"/>
      <c r="VPT238"/>
      <c r="VPU238"/>
      <c r="VPV238"/>
      <c r="VPW238"/>
      <c r="VPX238"/>
      <c r="VPY238"/>
      <c r="VPZ238"/>
      <c r="VQA238"/>
      <c r="VQB238"/>
      <c r="VQC238"/>
      <c r="VQD238"/>
      <c r="VQE238"/>
      <c r="VQF238"/>
      <c r="VQG238"/>
      <c r="VQH238"/>
      <c r="VQI238"/>
      <c r="VQJ238"/>
      <c r="VQK238"/>
      <c r="VQL238"/>
      <c r="VQM238"/>
      <c r="VQN238"/>
      <c r="VQO238"/>
      <c r="VQP238"/>
      <c r="VQQ238"/>
      <c r="VQR238"/>
      <c r="VQS238"/>
      <c r="VQT238"/>
      <c r="VQU238"/>
      <c r="VQV238"/>
      <c r="VQW238"/>
      <c r="VQX238"/>
      <c r="VQY238"/>
      <c r="VQZ238"/>
      <c r="VRA238"/>
      <c r="VRB238"/>
      <c r="VRC238"/>
      <c r="VRD238"/>
      <c r="VRE238"/>
      <c r="VRF238"/>
      <c r="VRG238"/>
      <c r="VRH238"/>
      <c r="VRI238"/>
      <c r="VRJ238"/>
      <c r="VRK238"/>
      <c r="VRL238"/>
      <c r="VRM238"/>
      <c r="VRN238"/>
      <c r="VRO238"/>
      <c r="VRP238"/>
      <c r="VRQ238"/>
      <c r="VRR238"/>
      <c r="VRS238"/>
      <c r="VRT238"/>
      <c r="VRU238"/>
      <c r="VRV238"/>
      <c r="VRW238"/>
      <c r="VRX238"/>
      <c r="VRY238"/>
      <c r="VRZ238"/>
      <c r="VSA238"/>
      <c r="VSB238"/>
      <c r="VSC238"/>
      <c r="VSD238"/>
      <c r="VSE238"/>
      <c r="VSF238"/>
      <c r="VSG238"/>
      <c r="VSH238"/>
      <c r="VSI238"/>
      <c r="VSJ238"/>
      <c r="VSK238"/>
      <c r="VSL238"/>
      <c r="VSM238"/>
      <c r="VSN238"/>
      <c r="VSO238"/>
      <c r="VSP238"/>
      <c r="VSQ238"/>
      <c r="VSR238"/>
      <c r="VSS238"/>
      <c r="VST238"/>
      <c r="VSU238"/>
      <c r="VSV238"/>
      <c r="VSW238"/>
      <c r="VSX238"/>
      <c r="VSY238"/>
      <c r="VSZ238"/>
      <c r="VTA238"/>
      <c r="VTB238"/>
      <c r="VTC238"/>
      <c r="VTD238"/>
      <c r="VTE238"/>
      <c r="VTF238"/>
      <c r="VTG238"/>
      <c r="VTH238"/>
      <c r="VTI238"/>
      <c r="VTJ238"/>
      <c r="VTK238"/>
      <c r="VTL238"/>
      <c r="VTM238"/>
      <c r="VTN238"/>
      <c r="VTO238"/>
      <c r="VTP238"/>
      <c r="VTQ238"/>
      <c r="VTR238"/>
      <c r="VTS238"/>
      <c r="VTT238"/>
      <c r="VTU238"/>
      <c r="VTV238"/>
      <c r="VTW238"/>
      <c r="VTX238"/>
      <c r="VTY238"/>
      <c r="VTZ238"/>
      <c r="VUA238"/>
      <c r="VUB238"/>
      <c r="VUC238"/>
      <c r="VUD238"/>
      <c r="VUE238"/>
      <c r="VUF238"/>
      <c r="VUG238"/>
      <c r="VUH238"/>
      <c r="VUI238"/>
      <c r="VUJ238"/>
      <c r="VUK238"/>
      <c r="VUL238"/>
      <c r="VUM238"/>
      <c r="VUN238"/>
      <c r="VUO238"/>
      <c r="VUP238"/>
      <c r="VUQ238"/>
      <c r="VUR238"/>
      <c r="VUS238"/>
      <c r="VUT238"/>
      <c r="VUU238"/>
      <c r="VUV238"/>
      <c r="VUW238"/>
      <c r="VUX238"/>
      <c r="VUY238"/>
      <c r="VUZ238"/>
      <c r="VVA238"/>
      <c r="VVB238"/>
      <c r="VVC238"/>
      <c r="VVD238"/>
      <c r="VVE238"/>
      <c r="VVF238"/>
      <c r="VVG238"/>
      <c r="VVH238"/>
      <c r="VVI238"/>
      <c r="VVJ238"/>
      <c r="VVK238"/>
      <c r="VVL238"/>
      <c r="VVM238"/>
      <c r="VVN238"/>
      <c r="VVO238"/>
      <c r="VVP238"/>
      <c r="VVQ238"/>
      <c r="VVR238"/>
      <c r="VVS238"/>
      <c r="VVT238"/>
      <c r="VVU238"/>
      <c r="VVV238"/>
    </row>
    <row r="239" spans="2:108 15074:15466" s="1" customFormat="1" ht="15" hidden="1" customHeight="1" x14ac:dyDescent="0.3">
      <c r="B239" s="149"/>
      <c r="C239" s="308" t="s">
        <v>73</v>
      </c>
      <c r="D239" s="145"/>
      <c r="E239" s="146" t="s">
        <v>16</v>
      </c>
      <c r="F239" s="309"/>
      <c r="G239" s="309"/>
      <c r="H239" s="309"/>
      <c r="I239" s="309"/>
      <c r="J239" s="309"/>
      <c r="K239" s="309"/>
      <c r="L239" s="309">
        <v>0</v>
      </c>
      <c r="M239" s="309">
        <v>338170</v>
      </c>
      <c r="N239" s="309">
        <v>252970</v>
      </c>
      <c r="O239" s="309">
        <v>111150</v>
      </c>
      <c r="P239" s="309">
        <v>0</v>
      </c>
      <c r="Q239" s="309">
        <v>0</v>
      </c>
      <c r="R239" s="309">
        <v>0</v>
      </c>
      <c r="S239" s="309">
        <v>0</v>
      </c>
      <c r="T239" s="309">
        <v>0</v>
      </c>
      <c r="U239" s="309">
        <v>0</v>
      </c>
      <c r="V239" s="309">
        <v>0</v>
      </c>
      <c r="W239" s="309">
        <v>0</v>
      </c>
      <c r="X239" s="309">
        <v>0</v>
      </c>
      <c r="Y239" s="309">
        <v>0</v>
      </c>
      <c r="Z239" s="309">
        <v>0</v>
      </c>
      <c r="AA239" s="309">
        <v>0</v>
      </c>
      <c r="AB239" s="309">
        <v>0</v>
      </c>
      <c r="AC239" s="309">
        <v>0</v>
      </c>
      <c r="AD239" s="309">
        <v>299440</v>
      </c>
      <c r="AE239" s="309">
        <v>108510</v>
      </c>
      <c r="AF239" s="309">
        <v>0</v>
      </c>
      <c r="AG239" s="309"/>
      <c r="AH239" s="309"/>
      <c r="AI239" s="309"/>
      <c r="AJ239" s="309"/>
      <c r="AK239" s="16"/>
      <c r="AL239" s="191">
        <f>SUM(F239:AJ239)</f>
        <v>1110240</v>
      </c>
      <c r="DD239" s="3"/>
      <c r="VGT239"/>
      <c r="VGU239"/>
      <c r="VGV239"/>
      <c r="VGW239"/>
      <c r="VGX239"/>
      <c r="VGY239"/>
      <c r="VGZ239"/>
      <c r="VHA239"/>
      <c r="VHB239"/>
      <c r="VHC239"/>
      <c r="VHD239"/>
      <c r="VHE239"/>
      <c r="VHF239"/>
      <c r="VHG239"/>
      <c r="VHH239"/>
      <c r="VHI239"/>
      <c r="VHJ239"/>
      <c r="VHK239"/>
      <c r="VHL239"/>
      <c r="VHM239"/>
      <c r="VHN239"/>
      <c r="VHO239"/>
      <c r="VHP239"/>
      <c r="VHQ239"/>
      <c r="VHR239"/>
      <c r="VHS239"/>
      <c r="VHT239"/>
      <c r="VHU239"/>
      <c r="VHV239"/>
      <c r="VHW239"/>
      <c r="VHX239"/>
      <c r="VHY239"/>
      <c r="VHZ239"/>
      <c r="VIA239"/>
      <c r="VIB239"/>
      <c r="VIC239"/>
      <c r="VID239"/>
      <c r="VIE239"/>
      <c r="VIF239"/>
      <c r="VIG239"/>
      <c r="VIH239"/>
      <c r="VII239"/>
      <c r="VIJ239"/>
      <c r="VIK239"/>
      <c r="VIL239"/>
      <c r="VIM239"/>
      <c r="VIN239"/>
      <c r="VIO239"/>
      <c r="VIP239"/>
      <c r="VIQ239"/>
      <c r="VIR239"/>
      <c r="VIS239"/>
      <c r="VIT239"/>
      <c r="VIU239"/>
      <c r="VIV239"/>
      <c r="VIW239"/>
      <c r="VIX239"/>
      <c r="VIY239"/>
      <c r="VIZ239"/>
      <c r="VJA239"/>
      <c r="VJB239"/>
      <c r="VJC239"/>
      <c r="VJD239"/>
      <c r="VJE239"/>
      <c r="VJF239"/>
      <c r="VJG239"/>
      <c r="VJH239"/>
      <c r="VJI239"/>
      <c r="VJJ239"/>
      <c r="VJK239"/>
      <c r="VJL239"/>
      <c r="VJM239"/>
      <c r="VJN239"/>
      <c r="VJO239"/>
      <c r="VJP239"/>
      <c r="VJQ239"/>
      <c r="VJR239"/>
      <c r="VJS239"/>
      <c r="VJT239"/>
      <c r="VJU239"/>
      <c r="VJV239"/>
      <c r="VJW239"/>
      <c r="VJX239"/>
      <c r="VJY239"/>
      <c r="VJZ239"/>
      <c r="VKA239"/>
      <c r="VKB239"/>
      <c r="VKC239"/>
      <c r="VKD239"/>
      <c r="VKE239"/>
      <c r="VKF239"/>
      <c r="VKG239"/>
      <c r="VKH239"/>
      <c r="VKI239"/>
      <c r="VKJ239"/>
      <c r="VKK239"/>
      <c r="VKL239"/>
      <c r="VKM239"/>
      <c r="VKN239"/>
      <c r="VKO239"/>
      <c r="VKP239"/>
      <c r="VKQ239"/>
      <c r="VKR239"/>
      <c r="VKS239"/>
      <c r="VKT239"/>
      <c r="VKU239"/>
      <c r="VKV239"/>
      <c r="VKW239"/>
      <c r="VKX239"/>
      <c r="VKY239"/>
      <c r="VKZ239"/>
      <c r="VLA239"/>
      <c r="VLB239"/>
      <c r="VLC239"/>
      <c r="VLD239"/>
      <c r="VLE239"/>
      <c r="VLF239"/>
      <c r="VLG239"/>
      <c r="VLH239"/>
      <c r="VLI239"/>
      <c r="VLJ239"/>
      <c r="VLK239"/>
      <c r="VLL239"/>
      <c r="VLM239"/>
      <c r="VLN239"/>
      <c r="VLO239"/>
      <c r="VLP239"/>
      <c r="VLQ239"/>
      <c r="VLR239"/>
      <c r="VLS239"/>
      <c r="VLT239"/>
      <c r="VLU239"/>
      <c r="VLV239"/>
      <c r="VLW239"/>
      <c r="VLX239"/>
      <c r="VLY239"/>
      <c r="VLZ239"/>
      <c r="VMA239"/>
      <c r="VMB239"/>
      <c r="VMC239"/>
      <c r="VMD239"/>
      <c r="VME239"/>
      <c r="VMF239"/>
      <c r="VMG239"/>
      <c r="VMH239"/>
      <c r="VMI239"/>
      <c r="VMJ239"/>
      <c r="VMK239"/>
      <c r="VML239"/>
      <c r="VMM239"/>
      <c r="VMN239"/>
      <c r="VMO239"/>
      <c r="VMP239"/>
      <c r="VMQ239"/>
      <c r="VMR239"/>
      <c r="VMS239"/>
      <c r="VMT239"/>
      <c r="VMU239"/>
      <c r="VMV239"/>
      <c r="VMW239"/>
      <c r="VMX239"/>
      <c r="VMY239"/>
      <c r="VMZ239"/>
      <c r="VNA239"/>
      <c r="VNB239"/>
      <c r="VNC239"/>
      <c r="VND239"/>
      <c r="VNE239"/>
      <c r="VNF239"/>
      <c r="VNG239"/>
      <c r="VNH239"/>
      <c r="VNI239"/>
      <c r="VNJ239"/>
      <c r="VNK239"/>
      <c r="VNL239"/>
      <c r="VNM239"/>
      <c r="VNN239"/>
      <c r="VNO239"/>
      <c r="VNP239"/>
      <c r="VNQ239"/>
      <c r="VNR239"/>
      <c r="VNS239"/>
      <c r="VNT239"/>
      <c r="VNU239"/>
      <c r="VNV239"/>
      <c r="VNW239"/>
      <c r="VNX239"/>
      <c r="VNY239"/>
      <c r="VNZ239"/>
      <c r="VOA239"/>
      <c r="VOB239"/>
      <c r="VOC239"/>
      <c r="VOD239"/>
      <c r="VOE239"/>
      <c r="VOF239"/>
      <c r="VOG239"/>
      <c r="VOH239"/>
      <c r="VOI239"/>
      <c r="VOJ239"/>
      <c r="VOK239"/>
      <c r="VOL239"/>
      <c r="VOM239"/>
      <c r="VON239"/>
      <c r="VOO239"/>
      <c r="VOP239"/>
      <c r="VOQ239"/>
      <c r="VOR239"/>
      <c r="VOS239"/>
      <c r="VOT239"/>
      <c r="VOU239"/>
      <c r="VOV239"/>
      <c r="VOW239"/>
      <c r="VOX239"/>
      <c r="VOY239"/>
      <c r="VOZ239"/>
      <c r="VPA239"/>
      <c r="VPB239"/>
      <c r="VPC239"/>
      <c r="VPD239"/>
      <c r="VPE239"/>
      <c r="VPF239"/>
      <c r="VPG239"/>
      <c r="VPH239"/>
      <c r="VPI239"/>
      <c r="VPJ239"/>
      <c r="VPK239"/>
      <c r="VPL239"/>
      <c r="VPM239"/>
      <c r="VPN239"/>
      <c r="VPO239"/>
      <c r="VPP239"/>
      <c r="VPQ239"/>
      <c r="VPR239"/>
      <c r="VPS239"/>
      <c r="VPT239"/>
      <c r="VPU239"/>
      <c r="VPV239"/>
      <c r="VPW239"/>
      <c r="VPX239"/>
      <c r="VPY239"/>
      <c r="VPZ239"/>
      <c r="VQA239"/>
      <c r="VQB239"/>
      <c r="VQC239"/>
      <c r="VQD239"/>
      <c r="VQE239"/>
      <c r="VQF239"/>
      <c r="VQG239"/>
      <c r="VQH239"/>
      <c r="VQI239"/>
      <c r="VQJ239"/>
      <c r="VQK239"/>
      <c r="VQL239"/>
      <c r="VQM239"/>
      <c r="VQN239"/>
      <c r="VQO239"/>
      <c r="VQP239"/>
      <c r="VQQ239"/>
      <c r="VQR239"/>
      <c r="VQS239"/>
      <c r="VQT239"/>
      <c r="VQU239"/>
      <c r="VQV239"/>
      <c r="VQW239"/>
      <c r="VQX239"/>
      <c r="VQY239"/>
      <c r="VQZ239"/>
      <c r="VRA239"/>
      <c r="VRB239"/>
      <c r="VRC239"/>
      <c r="VRD239"/>
      <c r="VRE239"/>
      <c r="VRF239"/>
      <c r="VRG239"/>
      <c r="VRH239"/>
      <c r="VRI239"/>
      <c r="VRJ239"/>
      <c r="VRK239"/>
      <c r="VRL239"/>
      <c r="VRM239"/>
      <c r="VRN239"/>
      <c r="VRO239"/>
      <c r="VRP239"/>
      <c r="VRQ239"/>
      <c r="VRR239"/>
      <c r="VRS239"/>
      <c r="VRT239"/>
      <c r="VRU239"/>
      <c r="VRV239"/>
      <c r="VRW239"/>
      <c r="VRX239"/>
      <c r="VRY239"/>
      <c r="VRZ239"/>
      <c r="VSA239"/>
      <c r="VSB239"/>
      <c r="VSC239"/>
      <c r="VSD239"/>
      <c r="VSE239"/>
      <c r="VSF239"/>
      <c r="VSG239"/>
      <c r="VSH239"/>
      <c r="VSI239"/>
      <c r="VSJ239"/>
      <c r="VSK239"/>
      <c r="VSL239"/>
      <c r="VSM239"/>
      <c r="VSN239"/>
      <c r="VSO239"/>
      <c r="VSP239"/>
      <c r="VSQ239"/>
      <c r="VSR239"/>
      <c r="VSS239"/>
      <c r="VST239"/>
      <c r="VSU239"/>
      <c r="VSV239"/>
      <c r="VSW239"/>
      <c r="VSX239"/>
      <c r="VSY239"/>
      <c r="VSZ239"/>
      <c r="VTA239"/>
      <c r="VTB239"/>
      <c r="VTC239"/>
      <c r="VTD239"/>
      <c r="VTE239"/>
      <c r="VTF239"/>
      <c r="VTG239"/>
      <c r="VTH239"/>
      <c r="VTI239"/>
      <c r="VTJ239"/>
      <c r="VTK239"/>
      <c r="VTL239"/>
      <c r="VTM239"/>
      <c r="VTN239"/>
      <c r="VTO239"/>
      <c r="VTP239"/>
      <c r="VTQ239"/>
      <c r="VTR239"/>
      <c r="VTS239"/>
      <c r="VTT239"/>
      <c r="VTU239"/>
      <c r="VTV239"/>
      <c r="VTW239"/>
      <c r="VTX239"/>
      <c r="VTY239"/>
      <c r="VTZ239"/>
      <c r="VUA239"/>
      <c r="VUB239"/>
      <c r="VUC239"/>
      <c r="VUD239"/>
      <c r="VUE239"/>
      <c r="VUF239"/>
      <c r="VUG239"/>
      <c r="VUH239"/>
      <c r="VUI239"/>
      <c r="VUJ239"/>
      <c r="VUK239"/>
      <c r="VUL239"/>
      <c r="VUM239"/>
      <c r="VUN239"/>
      <c r="VUO239"/>
      <c r="VUP239"/>
      <c r="VUQ239"/>
      <c r="VUR239"/>
      <c r="VUS239"/>
      <c r="VUT239"/>
      <c r="VUU239"/>
      <c r="VUV239"/>
      <c r="VUW239"/>
      <c r="VUX239"/>
      <c r="VUY239"/>
      <c r="VUZ239"/>
      <c r="VVA239"/>
      <c r="VVB239"/>
      <c r="VVC239"/>
      <c r="VVD239"/>
      <c r="VVE239"/>
      <c r="VVF239"/>
      <c r="VVG239"/>
      <c r="VVH239"/>
      <c r="VVI239"/>
      <c r="VVJ239"/>
      <c r="VVK239"/>
      <c r="VVL239"/>
      <c r="VVM239"/>
      <c r="VVN239"/>
      <c r="VVO239"/>
      <c r="VVP239"/>
      <c r="VVQ239"/>
      <c r="VVR239"/>
      <c r="VVS239"/>
      <c r="VVT239"/>
      <c r="VVU239"/>
      <c r="VVV239"/>
    </row>
    <row r="240" spans="2:108 15074:15466" s="1" customFormat="1" ht="15" hidden="1" customHeight="1" x14ac:dyDescent="0.3">
      <c r="B240" s="149"/>
      <c r="C240" s="308" t="s">
        <v>72</v>
      </c>
      <c r="D240" s="145"/>
      <c r="E240" s="146" t="s">
        <v>16</v>
      </c>
      <c r="F240" s="309"/>
      <c r="G240" s="309"/>
      <c r="H240" s="309"/>
      <c r="I240" s="309"/>
      <c r="J240" s="309"/>
      <c r="K240" s="309"/>
      <c r="L240" s="309">
        <v>0</v>
      </c>
      <c r="M240" s="309">
        <v>0</v>
      </c>
      <c r="N240" s="309">
        <v>0</v>
      </c>
      <c r="O240" s="309">
        <v>0</v>
      </c>
      <c r="P240" s="309">
        <v>0</v>
      </c>
      <c r="Q240" s="309">
        <v>0</v>
      </c>
      <c r="R240" s="309">
        <v>0</v>
      </c>
      <c r="S240" s="309">
        <v>1180660</v>
      </c>
      <c r="T240" s="309">
        <v>1013340</v>
      </c>
      <c r="U240" s="309">
        <v>1009220</v>
      </c>
      <c r="V240" s="309">
        <v>1288830</v>
      </c>
      <c r="W240" s="309">
        <v>0</v>
      </c>
      <c r="X240" s="309">
        <v>0</v>
      </c>
      <c r="Y240" s="309">
        <v>0</v>
      </c>
      <c r="Z240" s="309">
        <v>0</v>
      </c>
      <c r="AA240" s="309">
        <v>0</v>
      </c>
      <c r="AB240" s="309">
        <v>0</v>
      </c>
      <c r="AC240" s="309">
        <v>0</v>
      </c>
      <c r="AD240" s="309">
        <v>0</v>
      </c>
      <c r="AE240" s="309">
        <v>0</v>
      </c>
      <c r="AF240" s="309">
        <v>0</v>
      </c>
      <c r="AG240" s="309"/>
      <c r="AH240" s="309"/>
      <c r="AI240" s="309"/>
      <c r="AJ240" s="309"/>
      <c r="AK240" s="16"/>
      <c r="AL240" s="191">
        <f>SUM(F240:AJ240)</f>
        <v>4492050</v>
      </c>
      <c r="DD240" s="3"/>
      <c r="VGT240"/>
      <c r="VGU240"/>
      <c r="VGV240"/>
      <c r="VGW240"/>
      <c r="VGX240"/>
      <c r="VGY240"/>
      <c r="VGZ240"/>
      <c r="VHA240"/>
      <c r="VHB240"/>
      <c r="VHC240"/>
      <c r="VHD240"/>
      <c r="VHE240"/>
      <c r="VHF240"/>
      <c r="VHG240"/>
      <c r="VHH240"/>
      <c r="VHI240"/>
      <c r="VHJ240"/>
      <c r="VHK240"/>
      <c r="VHL240"/>
      <c r="VHM240"/>
      <c r="VHN240"/>
      <c r="VHO240"/>
      <c r="VHP240"/>
      <c r="VHQ240"/>
      <c r="VHR240"/>
      <c r="VHS240"/>
      <c r="VHT240"/>
      <c r="VHU240"/>
      <c r="VHV240"/>
      <c r="VHW240"/>
      <c r="VHX240"/>
      <c r="VHY240"/>
      <c r="VHZ240"/>
      <c r="VIA240"/>
      <c r="VIB240"/>
      <c r="VIC240"/>
      <c r="VID240"/>
      <c r="VIE240"/>
      <c r="VIF240"/>
      <c r="VIG240"/>
      <c r="VIH240"/>
      <c r="VII240"/>
      <c r="VIJ240"/>
      <c r="VIK240"/>
      <c r="VIL240"/>
      <c r="VIM240"/>
      <c r="VIN240"/>
      <c r="VIO240"/>
      <c r="VIP240"/>
      <c r="VIQ240"/>
      <c r="VIR240"/>
      <c r="VIS240"/>
      <c r="VIT240"/>
      <c r="VIU240"/>
      <c r="VIV240"/>
      <c r="VIW240"/>
      <c r="VIX240"/>
      <c r="VIY240"/>
      <c r="VIZ240"/>
      <c r="VJA240"/>
      <c r="VJB240"/>
      <c r="VJC240"/>
      <c r="VJD240"/>
      <c r="VJE240"/>
      <c r="VJF240"/>
      <c r="VJG240"/>
      <c r="VJH240"/>
      <c r="VJI240"/>
      <c r="VJJ240"/>
      <c r="VJK240"/>
      <c r="VJL240"/>
      <c r="VJM240"/>
      <c r="VJN240"/>
      <c r="VJO240"/>
      <c r="VJP240"/>
      <c r="VJQ240"/>
      <c r="VJR240"/>
      <c r="VJS240"/>
      <c r="VJT240"/>
      <c r="VJU240"/>
      <c r="VJV240"/>
      <c r="VJW240"/>
      <c r="VJX240"/>
      <c r="VJY240"/>
      <c r="VJZ240"/>
      <c r="VKA240"/>
      <c r="VKB240"/>
      <c r="VKC240"/>
      <c r="VKD240"/>
      <c r="VKE240"/>
      <c r="VKF240"/>
      <c r="VKG240"/>
      <c r="VKH240"/>
      <c r="VKI240"/>
      <c r="VKJ240"/>
      <c r="VKK240"/>
      <c r="VKL240"/>
      <c r="VKM240"/>
      <c r="VKN240"/>
      <c r="VKO240"/>
      <c r="VKP240"/>
      <c r="VKQ240"/>
      <c r="VKR240"/>
      <c r="VKS240"/>
      <c r="VKT240"/>
      <c r="VKU240"/>
      <c r="VKV240"/>
      <c r="VKW240"/>
      <c r="VKX240"/>
      <c r="VKY240"/>
      <c r="VKZ240"/>
      <c r="VLA240"/>
      <c r="VLB240"/>
      <c r="VLC240"/>
      <c r="VLD240"/>
      <c r="VLE240"/>
      <c r="VLF240"/>
      <c r="VLG240"/>
      <c r="VLH240"/>
      <c r="VLI240"/>
      <c r="VLJ240"/>
      <c r="VLK240"/>
      <c r="VLL240"/>
      <c r="VLM240"/>
      <c r="VLN240"/>
      <c r="VLO240"/>
      <c r="VLP240"/>
      <c r="VLQ240"/>
      <c r="VLR240"/>
      <c r="VLS240"/>
      <c r="VLT240"/>
      <c r="VLU240"/>
      <c r="VLV240"/>
      <c r="VLW240"/>
      <c r="VLX240"/>
      <c r="VLY240"/>
      <c r="VLZ240"/>
      <c r="VMA240"/>
      <c r="VMB240"/>
      <c r="VMC240"/>
      <c r="VMD240"/>
      <c r="VME240"/>
      <c r="VMF240"/>
      <c r="VMG240"/>
      <c r="VMH240"/>
      <c r="VMI240"/>
      <c r="VMJ240"/>
      <c r="VMK240"/>
      <c r="VML240"/>
      <c r="VMM240"/>
      <c r="VMN240"/>
      <c r="VMO240"/>
      <c r="VMP240"/>
      <c r="VMQ240"/>
      <c r="VMR240"/>
      <c r="VMS240"/>
      <c r="VMT240"/>
      <c r="VMU240"/>
      <c r="VMV240"/>
      <c r="VMW240"/>
      <c r="VMX240"/>
      <c r="VMY240"/>
      <c r="VMZ240"/>
      <c r="VNA240"/>
      <c r="VNB240"/>
      <c r="VNC240"/>
      <c r="VND240"/>
      <c r="VNE240"/>
      <c r="VNF240"/>
      <c r="VNG240"/>
      <c r="VNH240"/>
      <c r="VNI240"/>
      <c r="VNJ240"/>
      <c r="VNK240"/>
      <c r="VNL240"/>
      <c r="VNM240"/>
      <c r="VNN240"/>
      <c r="VNO240"/>
      <c r="VNP240"/>
      <c r="VNQ240"/>
      <c r="VNR240"/>
      <c r="VNS240"/>
      <c r="VNT240"/>
      <c r="VNU240"/>
      <c r="VNV240"/>
      <c r="VNW240"/>
      <c r="VNX240"/>
      <c r="VNY240"/>
      <c r="VNZ240"/>
      <c r="VOA240"/>
      <c r="VOB240"/>
      <c r="VOC240"/>
      <c r="VOD240"/>
      <c r="VOE240"/>
      <c r="VOF240"/>
      <c r="VOG240"/>
      <c r="VOH240"/>
      <c r="VOI240"/>
      <c r="VOJ240"/>
      <c r="VOK240"/>
      <c r="VOL240"/>
      <c r="VOM240"/>
      <c r="VON240"/>
      <c r="VOO240"/>
      <c r="VOP240"/>
      <c r="VOQ240"/>
      <c r="VOR240"/>
      <c r="VOS240"/>
      <c r="VOT240"/>
      <c r="VOU240"/>
      <c r="VOV240"/>
      <c r="VOW240"/>
      <c r="VOX240"/>
      <c r="VOY240"/>
      <c r="VOZ240"/>
      <c r="VPA240"/>
      <c r="VPB240"/>
      <c r="VPC240"/>
      <c r="VPD240"/>
      <c r="VPE240"/>
      <c r="VPF240"/>
      <c r="VPG240"/>
      <c r="VPH240"/>
      <c r="VPI240"/>
      <c r="VPJ240"/>
      <c r="VPK240"/>
      <c r="VPL240"/>
      <c r="VPM240"/>
      <c r="VPN240"/>
      <c r="VPO240"/>
      <c r="VPP240"/>
      <c r="VPQ240"/>
      <c r="VPR240"/>
      <c r="VPS240"/>
      <c r="VPT240"/>
      <c r="VPU240"/>
      <c r="VPV240"/>
      <c r="VPW240"/>
      <c r="VPX240"/>
      <c r="VPY240"/>
      <c r="VPZ240"/>
      <c r="VQA240"/>
      <c r="VQB240"/>
      <c r="VQC240"/>
      <c r="VQD240"/>
      <c r="VQE240"/>
      <c r="VQF240"/>
      <c r="VQG240"/>
      <c r="VQH240"/>
      <c r="VQI240"/>
      <c r="VQJ240"/>
      <c r="VQK240"/>
      <c r="VQL240"/>
      <c r="VQM240"/>
      <c r="VQN240"/>
      <c r="VQO240"/>
      <c r="VQP240"/>
      <c r="VQQ240"/>
      <c r="VQR240"/>
      <c r="VQS240"/>
      <c r="VQT240"/>
      <c r="VQU240"/>
      <c r="VQV240"/>
      <c r="VQW240"/>
      <c r="VQX240"/>
      <c r="VQY240"/>
      <c r="VQZ240"/>
      <c r="VRA240"/>
      <c r="VRB240"/>
      <c r="VRC240"/>
      <c r="VRD240"/>
      <c r="VRE240"/>
      <c r="VRF240"/>
      <c r="VRG240"/>
      <c r="VRH240"/>
      <c r="VRI240"/>
      <c r="VRJ240"/>
      <c r="VRK240"/>
      <c r="VRL240"/>
      <c r="VRM240"/>
      <c r="VRN240"/>
      <c r="VRO240"/>
      <c r="VRP240"/>
      <c r="VRQ240"/>
      <c r="VRR240"/>
      <c r="VRS240"/>
      <c r="VRT240"/>
      <c r="VRU240"/>
      <c r="VRV240"/>
      <c r="VRW240"/>
      <c r="VRX240"/>
      <c r="VRY240"/>
      <c r="VRZ240"/>
      <c r="VSA240"/>
      <c r="VSB240"/>
      <c r="VSC240"/>
      <c r="VSD240"/>
      <c r="VSE240"/>
      <c r="VSF240"/>
      <c r="VSG240"/>
      <c r="VSH240"/>
      <c r="VSI240"/>
      <c r="VSJ240"/>
      <c r="VSK240"/>
      <c r="VSL240"/>
      <c r="VSM240"/>
      <c r="VSN240"/>
      <c r="VSO240"/>
      <c r="VSP240"/>
      <c r="VSQ240"/>
      <c r="VSR240"/>
      <c r="VSS240"/>
      <c r="VST240"/>
      <c r="VSU240"/>
      <c r="VSV240"/>
      <c r="VSW240"/>
      <c r="VSX240"/>
      <c r="VSY240"/>
      <c r="VSZ240"/>
      <c r="VTA240"/>
      <c r="VTB240"/>
      <c r="VTC240"/>
      <c r="VTD240"/>
      <c r="VTE240"/>
      <c r="VTF240"/>
      <c r="VTG240"/>
      <c r="VTH240"/>
      <c r="VTI240"/>
      <c r="VTJ240"/>
      <c r="VTK240"/>
      <c r="VTL240"/>
      <c r="VTM240"/>
      <c r="VTN240"/>
      <c r="VTO240"/>
      <c r="VTP240"/>
      <c r="VTQ240"/>
      <c r="VTR240"/>
      <c r="VTS240"/>
      <c r="VTT240"/>
      <c r="VTU240"/>
      <c r="VTV240"/>
      <c r="VTW240"/>
      <c r="VTX240"/>
      <c r="VTY240"/>
      <c r="VTZ240"/>
      <c r="VUA240"/>
      <c r="VUB240"/>
      <c r="VUC240"/>
      <c r="VUD240"/>
      <c r="VUE240"/>
      <c r="VUF240"/>
      <c r="VUG240"/>
      <c r="VUH240"/>
      <c r="VUI240"/>
      <c r="VUJ240"/>
      <c r="VUK240"/>
      <c r="VUL240"/>
      <c r="VUM240"/>
      <c r="VUN240"/>
      <c r="VUO240"/>
      <c r="VUP240"/>
      <c r="VUQ240"/>
      <c r="VUR240"/>
      <c r="VUS240"/>
      <c r="VUT240"/>
      <c r="VUU240"/>
      <c r="VUV240"/>
      <c r="VUW240"/>
      <c r="VUX240"/>
      <c r="VUY240"/>
      <c r="VUZ240"/>
      <c r="VVA240"/>
      <c r="VVB240"/>
      <c r="VVC240"/>
      <c r="VVD240"/>
      <c r="VVE240"/>
      <c r="VVF240"/>
      <c r="VVG240"/>
      <c r="VVH240"/>
      <c r="VVI240"/>
      <c r="VVJ240"/>
      <c r="VVK240"/>
      <c r="VVL240"/>
      <c r="VVM240"/>
      <c r="VVN240"/>
      <c r="VVO240"/>
      <c r="VVP240"/>
      <c r="VVQ240"/>
      <c r="VVR240"/>
      <c r="VVS240"/>
      <c r="VVT240"/>
      <c r="VVU240"/>
      <c r="VVV240"/>
    </row>
    <row r="241" spans="2:108 15074:15466" s="1" customFormat="1" ht="15" hidden="1" customHeight="1" thickBot="1" x14ac:dyDescent="0.3">
      <c r="B241" s="149"/>
      <c r="C241" s="308" t="s">
        <v>69</v>
      </c>
      <c r="D241" s="145"/>
      <c r="E241" s="146" t="s">
        <v>16</v>
      </c>
      <c r="F241" s="309"/>
      <c r="G241" s="309"/>
      <c r="H241" s="309"/>
      <c r="I241" s="309"/>
      <c r="J241" s="309"/>
      <c r="K241" s="309"/>
      <c r="L241" s="309">
        <v>0</v>
      </c>
      <c r="M241" s="309">
        <v>0</v>
      </c>
      <c r="N241" s="309"/>
      <c r="O241" s="309">
        <v>0</v>
      </c>
      <c r="P241" s="309">
        <v>0</v>
      </c>
      <c r="Q241" s="309">
        <v>0</v>
      </c>
      <c r="R241" s="309">
        <v>0</v>
      </c>
      <c r="S241" s="309"/>
      <c r="T241" s="309"/>
      <c r="U241" s="309"/>
      <c r="V241" s="309"/>
      <c r="W241" s="309">
        <v>0</v>
      </c>
      <c r="X241" s="309">
        <v>0</v>
      </c>
      <c r="Y241" s="309">
        <v>0</v>
      </c>
      <c r="Z241" s="309">
        <v>0</v>
      </c>
      <c r="AA241" s="309">
        <v>0</v>
      </c>
      <c r="AB241" s="309">
        <v>0</v>
      </c>
      <c r="AC241" s="309">
        <v>0</v>
      </c>
      <c r="AD241" s="309">
        <v>0</v>
      </c>
      <c r="AE241" s="309">
        <v>0</v>
      </c>
      <c r="AF241" s="309">
        <v>0</v>
      </c>
      <c r="AG241" s="309"/>
      <c r="AH241" s="309"/>
      <c r="AI241" s="309"/>
      <c r="AJ241" s="309"/>
      <c r="AK241" s="16"/>
      <c r="AL241" s="191">
        <f>SUM(F241:AJ241)</f>
        <v>0</v>
      </c>
      <c r="DD241" s="3"/>
      <c r="VGT241"/>
      <c r="VGU241"/>
      <c r="VGV241"/>
      <c r="VGW241"/>
      <c r="VGX241"/>
      <c r="VGY241"/>
      <c r="VGZ241"/>
      <c r="VHA241"/>
      <c r="VHB241"/>
      <c r="VHC241"/>
      <c r="VHD241"/>
      <c r="VHE241"/>
      <c r="VHF241"/>
      <c r="VHG241"/>
      <c r="VHH241"/>
      <c r="VHI241"/>
      <c r="VHJ241"/>
      <c r="VHK241"/>
      <c r="VHL241"/>
      <c r="VHM241"/>
      <c r="VHN241"/>
      <c r="VHO241"/>
      <c r="VHP241"/>
      <c r="VHQ241"/>
      <c r="VHR241"/>
      <c r="VHS241"/>
      <c r="VHT241"/>
      <c r="VHU241"/>
      <c r="VHV241"/>
      <c r="VHW241"/>
      <c r="VHX241"/>
      <c r="VHY241"/>
      <c r="VHZ241"/>
      <c r="VIA241"/>
      <c r="VIB241"/>
      <c r="VIC241"/>
      <c r="VID241"/>
      <c r="VIE241"/>
      <c r="VIF241"/>
      <c r="VIG241"/>
      <c r="VIH241"/>
      <c r="VII241"/>
      <c r="VIJ241"/>
      <c r="VIK241"/>
      <c r="VIL241"/>
      <c r="VIM241"/>
      <c r="VIN241"/>
      <c r="VIO241"/>
      <c r="VIP241"/>
      <c r="VIQ241"/>
      <c r="VIR241"/>
      <c r="VIS241"/>
      <c r="VIT241"/>
      <c r="VIU241"/>
      <c r="VIV241"/>
      <c r="VIW241"/>
      <c r="VIX241"/>
      <c r="VIY241"/>
      <c r="VIZ241"/>
      <c r="VJA241"/>
      <c r="VJB241"/>
      <c r="VJC241"/>
      <c r="VJD241"/>
      <c r="VJE241"/>
      <c r="VJF241"/>
      <c r="VJG241"/>
      <c r="VJH241"/>
      <c r="VJI241"/>
      <c r="VJJ241"/>
      <c r="VJK241"/>
      <c r="VJL241"/>
      <c r="VJM241"/>
      <c r="VJN241"/>
      <c r="VJO241"/>
      <c r="VJP241"/>
      <c r="VJQ241"/>
      <c r="VJR241"/>
      <c r="VJS241"/>
      <c r="VJT241"/>
      <c r="VJU241"/>
      <c r="VJV241"/>
      <c r="VJW241"/>
      <c r="VJX241"/>
      <c r="VJY241"/>
      <c r="VJZ241"/>
      <c r="VKA241"/>
      <c r="VKB241"/>
      <c r="VKC241"/>
      <c r="VKD241"/>
      <c r="VKE241"/>
      <c r="VKF241"/>
      <c r="VKG241"/>
      <c r="VKH241"/>
      <c r="VKI241"/>
      <c r="VKJ241"/>
      <c r="VKK241"/>
      <c r="VKL241"/>
      <c r="VKM241"/>
      <c r="VKN241"/>
      <c r="VKO241"/>
      <c r="VKP241"/>
      <c r="VKQ241"/>
      <c r="VKR241"/>
      <c r="VKS241"/>
      <c r="VKT241"/>
      <c r="VKU241"/>
      <c r="VKV241"/>
      <c r="VKW241"/>
      <c r="VKX241"/>
      <c r="VKY241"/>
      <c r="VKZ241"/>
      <c r="VLA241"/>
      <c r="VLB241"/>
      <c r="VLC241"/>
      <c r="VLD241"/>
      <c r="VLE241"/>
      <c r="VLF241"/>
      <c r="VLG241"/>
      <c r="VLH241"/>
      <c r="VLI241"/>
      <c r="VLJ241"/>
      <c r="VLK241"/>
      <c r="VLL241"/>
      <c r="VLM241"/>
      <c r="VLN241"/>
      <c r="VLO241"/>
      <c r="VLP241"/>
      <c r="VLQ241"/>
      <c r="VLR241"/>
      <c r="VLS241"/>
      <c r="VLT241"/>
      <c r="VLU241"/>
      <c r="VLV241"/>
      <c r="VLW241"/>
      <c r="VLX241"/>
      <c r="VLY241"/>
      <c r="VLZ241"/>
      <c r="VMA241"/>
      <c r="VMB241"/>
      <c r="VMC241"/>
      <c r="VMD241"/>
      <c r="VME241"/>
      <c r="VMF241"/>
      <c r="VMG241"/>
      <c r="VMH241"/>
      <c r="VMI241"/>
      <c r="VMJ241"/>
      <c r="VMK241"/>
      <c r="VML241"/>
      <c r="VMM241"/>
      <c r="VMN241"/>
      <c r="VMO241"/>
      <c r="VMP241"/>
      <c r="VMQ241"/>
      <c r="VMR241"/>
      <c r="VMS241"/>
      <c r="VMT241"/>
      <c r="VMU241"/>
      <c r="VMV241"/>
      <c r="VMW241"/>
      <c r="VMX241"/>
      <c r="VMY241"/>
      <c r="VMZ241"/>
      <c r="VNA241"/>
      <c r="VNB241"/>
      <c r="VNC241"/>
      <c r="VND241"/>
      <c r="VNE241"/>
      <c r="VNF241"/>
      <c r="VNG241"/>
      <c r="VNH241"/>
      <c r="VNI241"/>
      <c r="VNJ241"/>
      <c r="VNK241"/>
      <c r="VNL241"/>
      <c r="VNM241"/>
      <c r="VNN241"/>
      <c r="VNO241"/>
      <c r="VNP241"/>
      <c r="VNQ241"/>
      <c r="VNR241"/>
      <c r="VNS241"/>
      <c r="VNT241"/>
      <c r="VNU241"/>
      <c r="VNV241"/>
      <c r="VNW241"/>
      <c r="VNX241"/>
      <c r="VNY241"/>
      <c r="VNZ241"/>
      <c r="VOA241"/>
      <c r="VOB241"/>
      <c r="VOC241"/>
      <c r="VOD241"/>
      <c r="VOE241"/>
      <c r="VOF241"/>
      <c r="VOG241"/>
      <c r="VOH241"/>
      <c r="VOI241"/>
      <c r="VOJ241"/>
      <c r="VOK241"/>
      <c r="VOL241"/>
      <c r="VOM241"/>
      <c r="VON241"/>
      <c r="VOO241"/>
      <c r="VOP241"/>
      <c r="VOQ241"/>
      <c r="VOR241"/>
      <c r="VOS241"/>
      <c r="VOT241"/>
      <c r="VOU241"/>
      <c r="VOV241"/>
      <c r="VOW241"/>
      <c r="VOX241"/>
      <c r="VOY241"/>
      <c r="VOZ241"/>
      <c r="VPA241"/>
      <c r="VPB241"/>
      <c r="VPC241"/>
      <c r="VPD241"/>
      <c r="VPE241"/>
      <c r="VPF241"/>
      <c r="VPG241"/>
      <c r="VPH241"/>
      <c r="VPI241"/>
      <c r="VPJ241"/>
      <c r="VPK241"/>
      <c r="VPL241"/>
      <c r="VPM241"/>
      <c r="VPN241"/>
      <c r="VPO241"/>
      <c r="VPP241"/>
      <c r="VPQ241"/>
      <c r="VPR241"/>
      <c r="VPS241"/>
      <c r="VPT241"/>
      <c r="VPU241"/>
      <c r="VPV241"/>
      <c r="VPW241"/>
      <c r="VPX241"/>
      <c r="VPY241"/>
      <c r="VPZ241"/>
      <c r="VQA241"/>
      <c r="VQB241"/>
      <c r="VQC241"/>
      <c r="VQD241"/>
      <c r="VQE241"/>
      <c r="VQF241"/>
      <c r="VQG241"/>
      <c r="VQH241"/>
      <c r="VQI241"/>
      <c r="VQJ241"/>
      <c r="VQK241"/>
      <c r="VQL241"/>
      <c r="VQM241"/>
      <c r="VQN241"/>
      <c r="VQO241"/>
      <c r="VQP241"/>
      <c r="VQQ241"/>
      <c r="VQR241"/>
      <c r="VQS241"/>
      <c r="VQT241"/>
      <c r="VQU241"/>
      <c r="VQV241"/>
      <c r="VQW241"/>
      <c r="VQX241"/>
      <c r="VQY241"/>
      <c r="VQZ241"/>
      <c r="VRA241"/>
      <c r="VRB241"/>
      <c r="VRC241"/>
      <c r="VRD241"/>
      <c r="VRE241"/>
      <c r="VRF241"/>
      <c r="VRG241"/>
      <c r="VRH241"/>
      <c r="VRI241"/>
      <c r="VRJ241"/>
      <c r="VRK241"/>
      <c r="VRL241"/>
      <c r="VRM241"/>
      <c r="VRN241"/>
      <c r="VRO241"/>
      <c r="VRP241"/>
      <c r="VRQ241"/>
      <c r="VRR241"/>
      <c r="VRS241"/>
      <c r="VRT241"/>
      <c r="VRU241"/>
      <c r="VRV241"/>
      <c r="VRW241"/>
      <c r="VRX241"/>
      <c r="VRY241"/>
      <c r="VRZ241"/>
      <c r="VSA241"/>
      <c r="VSB241"/>
      <c r="VSC241"/>
      <c r="VSD241"/>
      <c r="VSE241"/>
      <c r="VSF241"/>
      <c r="VSG241"/>
      <c r="VSH241"/>
      <c r="VSI241"/>
      <c r="VSJ241"/>
      <c r="VSK241"/>
      <c r="VSL241"/>
      <c r="VSM241"/>
      <c r="VSN241"/>
      <c r="VSO241"/>
      <c r="VSP241"/>
      <c r="VSQ241"/>
      <c r="VSR241"/>
      <c r="VSS241"/>
      <c r="VST241"/>
      <c r="VSU241"/>
      <c r="VSV241"/>
      <c r="VSW241"/>
      <c r="VSX241"/>
      <c r="VSY241"/>
      <c r="VSZ241"/>
      <c r="VTA241"/>
      <c r="VTB241"/>
      <c r="VTC241"/>
      <c r="VTD241"/>
      <c r="VTE241"/>
      <c r="VTF241"/>
      <c r="VTG241"/>
      <c r="VTH241"/>
      <c r="VTI241"/>
      <c r="VTJ241"/>
      <c r="VTK241"/>
      <c r="VTL241"/>
      <c r="VTM241"/>
      <c r="VTN241"/>
      <c r="VTO241"/>
      <c r="VTP241"/>
      <c r="VTQ241"/>
      <c r="VTR241"/>
      <c r="VTS241"/>
      <c r="VTT241"/>
      <c r="VTU241"/>
      <c r="VTV241"/>
      <c r="VTW241"/>
      <c r="VTX241"/>
      <c r="VTY241"/>
      <c r="VTZ241"/>
      <c r="VUA241"/>
      <c r="VUB241"/>
      <c r="VUC241"/>
      <c r="VUD241"/>
      <c r="VUE241"/>
      <c r="VUF241"/>
      <c r="VUG241"/>
      <c r="VUH241"/>
      <c r="VUI241"/>
      <c r="VUJ241"/>
      <c r="VUK241"/>
      <c r="VUL241"/>
      <c r="VUM241"/>
      <c r="VUN241"/>
      <c r="VUO241"/>
      <c r="VUP241"/>
      <c r="VUQ241"/>
      <c r="VUR241"/>
      <c r="VUS241"/>
      <c r="VUT241"/>
      <c r="VUU241"/>
      <c r="VUV241"/>
      <c r="VUW241"/>
      <c r="VUX241"/>
      <c r="VUY241"/>
      <c r="VUZ241"/>
      <c r="VVA241"/>
      <c r="VVB241"/>
      <c r="VVC241"/>
      <c r="VVD241"/>
      <c r="VVE241"/>
      <c r="VVF241"/>
      <c r="VVG241"/>
      <c r="VVH241"/>
      <c r="VVI241"/>
      <c r="VVJ241"/>
      <c r="VVK241"/>
      <c r="VVL241"/>
      <c r="VVM241"/>
      <c r="VVN241"/>
      <c r="VVO241"/>
      <c r="VVP241"/>
      <c r="VVQ241"/>
      <c r="VVR241"/>
      <c r="VVS241"/>
      <c r="VVT241"/>
      <c r="VVU241"/>
      <c r="VVV241"/>
    </row>
    <row r="242" spans="2:108 15074:15466" s="1" customFormat="1" ht="15" hidden="1" customHeight="1" x14ac:dyDescent="0.3">
      <c r="B242" s="149"/>
      <c r="C242" s="308" t="s">
        <v>70</v>
      </c>
      <c r="D242" s="145"/>
      <c r="E242" s="146" t="s">
        <v>16</v>
      </c>
      <c r="F242" s="309"/>
      <c r="G242" s="309"/>
      <c r="H242" s="309"/>
      <c r="I242" s="309"/>
      <c r="J242" s="309"/>
      <c r="K242" s="309"/>
      <c r="L242" s="309">
        <v>0</v>
      </c>
      <c r="M242" s="309">
        <v>0</v>
      </c>
      <c r="N242" s="309">
        <v>0</v>
      </c>
      <c r="O242" s="309">
        <v>0</v>
      </c>
      <c r="P242" s="309">
        <v>0</v>
      </c>
      <c r="Q242" s="309">
        <v>0</v>
      </c>
      <c r="R242" s="309">
        <v>0</v>
      </c>
      <c r="S242" s="309">
        <v>0</v>
      </c>
      <c r="T242" s="309">
        <v>0</v>
      </c>
      <c r="U242" s="309">
        <v>0</v>
      </c>
      <c r="V242" s="309">
        <v>0</v>
      </c>
      <c r="W242" s="309">
        <v>0</v>
      </c>
      <c r="X242" s="309">
        <v>0</v>
      </c>
      <c r="Y242" s="309">
        <v>0</v>
      </c>
      <c r="Z242" s="309">
        <v>0</v>
      </c>
      <c r="AA242" s="309">
        <v>0</v>
      </c>
      <c r="AB242" s="309">
        <v>0</v>
      </c>
      <c r="AC242" s="309">
        <v>0</v>
      </c>
      <c r="AD242" s="309">
        <v>0</v>
      </c>
      <c r="AE242" s="309">
        <v>0</v>
      </c>
      <c r="AF242" s="309">
        <v>0</v>
      </c>
      <c r="AG242" s="309"/>
      <c r="AH242" s="309"/>
      <c r="AI242" s="309"/>
      <c r="AJ242" s="309"/>
      <c r="AK242" s="16"/>
      <c r="AL242" s="191">
        <f>SUM(F242:AJ242)</f>
        <v>0</v>
      </c>
      <c r="DD242" s="3"/>
      <c r="VGT242"/>
      <c r="VGU242"/>
      <c r="VGV242"/>
      <c r="VGW242"/>
      <c r="VGX242"/>
      <c r="VGY242"/>
      <c r="VGZ242"/>
      <c r="VHA242"/>
      <c r="VHB242"/>
      <c r="VHC242"/>
      <c r="VHD242"/>
      <c r="VHE242"/>
      <c r="VHF242"/>
      <c r="VHG242"/>
      <c r="VHH242"/>
      <c r="VHI242"/>
      <c r="VHJ242"/>
      <c r="VHK242"/>
      <c r="VHL242"/>
      <c r="VHM242"/>
      <c r="VHN242"/>
      <c r="VHO242"/>
      <c r="VHP242"/>
      <c r="VHQ242"/>
      <c r="VHR242"/>
      <c r="VHS242"/>
      <c r="VHT242"/>
      <c r="VHU242"/>
      <c r="VHV242"/>
      <c r="VHW242"/>
      <c r="VHX242"/>
      <c r="VHY242"/>
      <c r="VHZ242"/>
      <c r="VIA242"/>
      <c r="VIB242"/>
      <c r="VIC242"/>
      <c r="VID242"/>
      <c r="VIE242"/>
      <c r="VIF242"/>
      <c r="VIG242"/>
      <c r="VIH242"/>
      <c r="VII242"/>
      <c r="VIJ242"/>
      <c r="VIK242"/>
      <c r="VIL242"/>
      <c r="VIM242"/>
      <c r="VIN242"/>
      <c r="VIO242"/>
      <c r="VIP242"/>
      <c r="VIQ242"/>
      <c r="VIR242"/>
      <c r="VIS242"/>
      <c r="VIT242"/>
      <c r="VIU242"/>
      <c r="VIV242"/>
      <c r="VIW242"/>
      <c r="VIX242"/>
      <c r="VIY242"/>
      <c r="VIZ242"/>
      <c r="VJA242"/>
      <c r="VJB242"/>
      <c r="VJC242"/>
      <c r="VJD242"/>
      <c r="VJE242"/>
      <c r="VJF242"/>
      <c r="VJG242"/>
      <c r="VJH242"/>
      <c r="VJI242"/>
      <c r="VJJ242"/>
      <c r="VJK242"/>
      <c r="VJL242"/>
      <c r="VJM242"/>
      <c r="VJN242"/>
      <c r="VJO242"/>
      <c r="VJP242"/>
      <c r="VJQ242"/>
      <c r="VJR242"/>
      <c r="VJS242"/>
      <c r="VJT242"/>
      <c r="VJU242"/>
      <c r="VJV242"/>
      <c r="VJW242"/>
      <c r="VJX242"/>
      <c r="VJY242"/>
      <c r="VJZ242"/>
      <c r="VKA242"/>
      <c r="VKB242"/>
      <c r="VKC242"/>
      <c r="VKD242"/>
      <c r="VKE242"/>
      <c r="VKF242"/>
      <c r="VKG242"/>
      <c r="VKH242"/>
      <c r="VKI242"/>
      <c r="VKJ242"/>
      <c r="VKK242"/>
      <c r="VKL242"/>
      <c r="VKM242"/>
      <c r="VKN242"/>
      <c r="VKO242"/>
      <c r="VKP242"/>
      <c r="VKQ242"/>
      <c r="VKR242"/>
      <c r="VKS242"/>
      <c r="VKT242"/>
      <c r="VKU242"/>
      <c r="VKV242"/>
      <c r="VKW242"/>
      <c r="VKX242"/>
      <c r="VKY242"/>
      <c r="VKZ242"/>
      <c r="VLA242"/>
      <c r="VLB242"/>
      <c r="VLC242"/>
      <c r="VLD242"/>
      <c r="VLE242"/>
      <c r="VLF242"/>
      <c r="VLG242"/>
      <c r="VLH242"/>
      <c r="VLI242"/>
      <c r="VLJ242"/>
      <c r="VLK242"/>
      <c r="VLL242"/>
      <c r="VLM242"/>
      <c r="VLN242"/>
      <c r="VLO242"/>
      <c r="VLP242"/>
      <c r="VLQ242"/>
      <c r="VLR242"/>
      <c r="VLS242"/>
      <c r="VLT242"/>
      <c r="VLU242"/>
      <c r="VLV242"/>
      <c r="VLW242"/>
      <c r="VLX242"/>
      <c r="VLY242"/>
      <c r="VLZ242"/>
      <c r="VMA242"/>
      <c r="VMB242"/>
      <c r="VMC242"/>
      <c r="VMD242"/>
      <c r="VME242"/>
      <c r="VMF242"/>
      <c r="VMG242"/>
      <c r="VMH242"/>
      <c r="VMI242"/>
      <c r="VMJ242"/>
      <c r="VMK242"/>
      <c r="VML242"/>
      <c r="VMM242"/>
      <c r="VMN242"/>
      <c r="VMO242"/>
      <c r="VMP242"/>
      <c r="VMQ242"/>
      <c r="VMR242"/>
      <c r="VMS242"/>
      <c r="VMT242"/>
      <c r="VMU242"/>
      <c r="VMV242"/>
      <c r="VMW242"/>
      <c r="VMX242"/>
      <c r="VMY242"/>
      <c r="VMZ242"/>
      <c r="VNA242"/>
      <c r="VNB242"/>
      <c r="VNC242"/>
      <c r="VND242"/>
      <c r="VNE242"/>
      <c r="VNF242"/>
      <c r="VNG242"/>
      <c r="VNH242"/>
      <c r="VNI242"/>
      <c r="VNJ242"/>
      <c r="VNK242"/>
      <c r="VNL242"/>
      <c r="VNM242"/>
      <c r="VNN242"/>
      <c r="VNO242"/>
      <c r="VNP242"/>
      <c r="VNQ242"/>
      <c r="VNR242"/>
      <c r="VNS242"/>
      <c r="VNT242"/>
      <c r="VNU242"/>
      <c r="VNV242"/>
      <c r="VNW242"/>
      <c r="VNX242"/>
      <c r="VNY242"/>
      <c r="VNZ242"/>
      <c r="VOA242"/>
      <c r="VOB242"/>
      <c r="VOC242"/>
      <c r="VOD242"/>
      <c r="VOE242"/>
      <c r="VOF242"/>
      <c r="VOG242"/>
      <c r="VOH242"/>
      <c r="VOI242"/>
      <c r="VOJ242"/>
      <c r="VOK242"/>
      <c r="VOL242"/>
      <c r="VOM242"/>
      <c r="VON242"/>
      <c r="VOO242"/>
      <c r="VOP242"/>
      <c r="VOQ242"/>
      <c r="VOR242"/>
      <c r="VOS242"/>
      <c r="VOT242"/>
      <c r="VOU242"/>
      <c r="VOV242"/>
      <c r="VOW242"/>
      <c r="VOX242"/>
      <c r="VOY242"/>
      <c r="VOZ242"/>
      <c r="VPA242"/>
      <c r="VPB242"/>
      <c r="VPC242"/>
      <c r="VPD242"/>
      <c r="VPE242"/>
      <c r="VPF242"/>
      <c r="VPG242"/>
      <c r="VPH242"/>
      <c r="VPI242"/>
      <c r="VPJ242"/>
      <c r="VPK242"/>
      <c r="VPL242"/>
      <c r="VPM242"/>
      <c r="VPN242"/>
      <c r="VPO242"/>
      <c r="VPP242"/>
      <c r="VPQ242"/>
      <c r="VPR242"/>
      <c r="VPS242"/>
      <c r="VPT242"/>
      <c r="VPU242"/>
      <c r="VPV242"/>
      <c r="VPW242"/>
      <c r="VPX242"/>
      <c r="VPY242"/>
      <c r="VPZ242"/>
      <c r="VQA242"/>
      <c r="VQB242"/>
      <c r="VQC242"/>
      <c r="VQD242"/>
      <c r="VQE242"/>
      <c r="VQF242"/>
      <c r="VQG242"/>
      <c r="VQH242"/>
      <c r="VQI242"/>
      <c r="VQJ242"/>
      <c r="VQK242"/>
      <c r="VQL242"/>
      <c r="VQM242"/>
      <c r="VQN242"/>
      <c r="VQO242"/>
      <c r="VQP242"/>
      <c r="VQQ242"/>
      <c r="VQR242"/>
      <c r="VQS242"/>
      <c r="VQT242"/>
      <c r="VQU242"/>
      <c r="VQV242"/>
      <c r="VQW242"/>
      <c r="VQX242"/>
      <c r="VQY242"/>
      <c r="VQZ242"/>
      <c r="VRA242"/>
      <c r="VRB242"/>
      <c r="VRC242"/>
      <c r="VRD242"/>
      <c r="VRE242"/>
      <c r="VRF242"/>
      <c r="VRG242"/>
      <c r="VRH242"/>
      <c r="VRI242"/>
      <c r="VRJ242"/>
      <c r="VRK242"/>
      <c r="VRL242"/>
      <c r="VRM242"/>
      <c r="VRN242"/>
      <c r="VRO242"/>
      <c r="VRP242"/>
      <c r="VRQ242"/>
      <c r="VRR242"/>
      <c r="VRS242"/>
      <c r="VRT242"/>
      <c r="VRU242"/>
      <c r="VRV242"/>
      <c r="VRW242"/>
      <c r="VRX242"/>
      <c r="VRY242"/>
      <c r="VRZ242"/>
      <c r="VSA242"/>
      <c r="VSB242"/>
      <c r="VSC242"/>
      <c r="VSD242"/>
      <c r="VSE242"/>
      <c r="VSF242"/>
      <c r="VSG242"/>
      <c r="VSH242"/>
      <c r="VSI242"/>
      <c r="VSJ242"/>
      <c r="VSK242"/>
      <c r="VSL242"/>
      <c r="VSM242"/>
      <c r="VSN242"/>
      <c r="VSO242"/>
      <c r="VSP242"/>
      <c r="VSQ242"/>
      <c r="VSR242"/>
      <c r="VSS242"/>
      <c r="VST242"/>
      <c r="VSU242"/>
      <c r="VSV242"/>
      <c r="VSW242"/>
      <c r="VSX242"/>
      <c r="VSY242"/>
      <c r="VSZ242"/>
      <c r="VTA242"/>
      <c r="VTB242"/>
      <c r="VTC242"/>
      <c r="VTD242"/>
      <c r="VTE242"/>
      <c r="VTF242"/>
      <c r="VTG242"/>
      <c r="VTH242"/>
      <c r="VTI242"/>
      <c r="VTJ242"/>
      <c r="VTK242"/>
      <c r="VTL242"/>
      <c r="VTM242"/>
      <c r="VTN242"/>
      <c r="VTO242"/>
      <c r="VTP242"/>
      <c r="VTQ242"/>
      <c r="VTR242"/>
      <c r="VTS242"/>
      <c r="VTT242"/>
      <c r="VTU242"/>
      <c r="VTV242"/>
      <c r="VTW242"/>
      <c r="VTX242"/>
      <c r="VTY242"/>
      <c r="VTZ242"/>
      <c r="VUA242"/>
      <c r="VUB242"/>
      <c r="VUC242"/>
      <c r="VUD242"/>
      <c r="VUE242"/>
      <c r="VUF242"/>
      <c r="VUG242"/>
      <c r="VUH242"/>
      <c r="VUI242"/>
      <c r="VUJ242"/>
      <c r="VUK242"/>
      <c r="VUL242"/>
      <c r="VUM242"/>
      <c r="VUN242"/>
      <c r="VUO242"/>
      <c r="VUP242"/>
      <c r="VUQ242"/>
      <c r="VUR242"/>
      <c r="VUS242"/>
      <c r="VUT242"/>
      <c r="VUU242"/>
      <c r="VUV242"/>
      <c r="VUW242"/>
      <c r="VUX242"/>
      <c r="VUY242"/>
      <c r="VUZ242"/>
      <c r="VVA242"/>
      <c r="VVB242"/>
      <c r="VVC242"/>
      <c r="VVD242"/>
      <c r="VVE242"/>
      <c r="VVF242"/>
      <c r="VVG242"/>
      <c r="VVH242"/>
      <c r="VVI242"/>
      <c r="VVJ242"/>
      <c r="VVK242"/>
      <c r="VVL242"/>
      <c r="VVM242"/>
      <c r="VVN242"/>
      <c r="VVO242"/>
      <c r="VVP242"/>
      <c r="VVQ242"/>
      <c r="VVR242"/>
      <c r="VVS242"/>
      <c r="VVT242"/>
      <c r="VVU242"/>
      <c r="VVV242"/>
    </row>
    <row r="243" spans="2:108 15074:15466" s="18" customFormat="1" ht="15.75" hidden="1" customHeight="1" x14ac:dyDescent="0.3">
      <c r="B243" s="273"/>
      <c r="C243" s="310" t="s">
        <v>1</v>
      </c>
      <c r="D243" s="311"/>
      <c r="E243" s="312" t="s">
        <v>16</v>
      </c>
      <c r="F243" s="313"/>
      <c r="G243" s="313"/>
      <c r="H243" s="313"/>
      <c r="I243" s="313"/>
      <c r="J243" s="313"/>
      <c r="K243" s="313"/>
      <c r="L243" s="313">
        <f t="shared" ref="L243:AF243" si="98">SUM(L238:L242)</f>
        <v>1345050</v>
      </c>
      <c r="M243" s="313">
        <f t="shared" si="98"/>
        <v>1617420</v>
      </c>
      <c r="N243" s="313">
        <f t="shared" si="98"/>
        <v>1793630</v>
      </c>
      <c r="O243" s="313">
        <f t="shared" si="98"/>
        <v>1332400</v>
      </c>
      <c r="P243" s="313">
        <f t="shared" si="98"/>
        <v>1804530</v>
      </c>
      <c r="Q243" s="313">
        <f t="shared" si="98"/>
        <v>1816620</v>
      </c>
      <c r="R243" s="313">
        <f t="shared" si="98"/>
        <v>1766630</v>
      </c>
      <c r="S243" s="313">
        <f t="shared" si="98"/>
        <v>1233610</v>
      </c>
      <c r="T243" s="313">
        <f t="shared" si="98"/>
        <v>1013340</v>
      </c>
      <c r="U243" s="313">
        <f t="shared" si="98"/>
        <v>1009220</v>
      </c>
      <c r="V243" s="313">
        <f t="shared" si="98"/>
        <v>1288830</v>
      </c>
      <c r="W243" s="313">
        <f t="shared" si="98"/>
        <v>0</v>
      </c>
      <c r="X243" s="313">
        <f t="shared" si="98"/>
        <v>0</v>
      </c>
      <c r="Y243" s="313">
        <f t="shared" si="98"/>
        <v>0</v>
      </c>
      <c r="Z243" s="313">
        <f t="shared" si="98"/>
        <v>0</v>
      </c>
      <c r="AA243" s="313">
        <f t="shared" si="98"/>
        <v>0</v>
      </c>
      <c r="AB243" s="313">
        <f t="shared" si="98"/>
        <v>0</v>
      </c>
      <c r="AC243" s="313">
        <f t="shared" si="98"/>
        <v>0</v>
      </c>
      <c r="AD243" s="313">
        <f t="shared" si="98"/>
        <v>299440</v>
      </c>
      <c r="AE243" s="313">
        <f t="shared" si="98"/>
        <v>108510</v>
      </c>
      <c r="AF243" s="313">
        <f t="shared" si="98"/>
        <v>0</v>
      </c>
      <c r="AG243" s="313"/>
      <c r="AH243" s="313"/>
      <c r="AI243" s="313"/>
      <c r="AJ243" s="313"/>
      <c r="AK243" s="230"/>
      <c r="AL243" s="303">
        <f>SUM(AL238:AL242)</f>
        <v>16429230</v>
      </c>
      <c r="DD243" s="56"/>
    </row>
    <row r="273" spans="2:108 15074:15466" s="1" customFormat="1" x14ac:dyDescent="0.3">
      <c r="B273" s="7"/>
      <c r="E273" s="18"/>
      <c r="Y273" s="4"/>
      <c r="DD273" s="3"/>
      <c r="VGT273"/>
      <c r="VGU273"/>
      <c r="VGV273"/>
      <c r="VGW273"/>
      <c r="VGX273"/>
      <c r="VGY273"/>
      <c r="VGZ273"/>
      <c r="VHA273"/>
      <c r="VHB273"/>
      <c r="VHC273"/>
      <c r="VHD273"/>
      <c r="VHE273"/>
      <c r="VHF273"/>
      <c r="VHG273"/>
      <c r="VHH273"/>
      <c r="VHI273"/>
      <c r="VHJ273"/>
      <c r="VHK273"/>
      <c r="VHL273"/>
      <c r="VHM273"/>
      <c r="VHN273"/>
      <c r="VHO273"/>
      <c r="VHP273"/>
      <c r="VHQ273"/>
      <c r="VHR273"/>
      <c r="VHS273"/>
      <c r="VHT273"/>
      <c r="VHU273"/>
      <c r="VHV273"/>
      <c r="VHW273"/>
      <c r="VHX273"/>
      <c r="VHY273"/>
      <c r="VHZ273"/>
      <c r="VIA273"/>
      <c r="VIB273"/>
      <c r="VIC273"/>
      <c r="VID273"/>
      <c r="VIE273"/>
      <c r="VIF273"/>
      <c r="VIG273"/>
      <c r="VIH273"/>
      <c r="VII273"/>
      <c r="VIJ273"/>
      <c r="VIK273"/>
      <c r="VIL273"/>
      <c r="VIM273"/>
      <c r="VIN273"/>
      <c r="VIO273"/>
      <c r="VIP273"/>
      <c r="VIQ273"/>
      <c r="VIR273"/>
      <c r="VIS273"/>
      <c r="VIT273"/>
      <c r="VIU273"/>
      <c r="VIV273"/>
      <c r="VIW273"/>
      <c r="VIX273"/>
      <c r="VIY273"/>
      <c r="VIZ273"/>
      <c r="VJA273"/>
      <c r="VJB273"/>
      <c r="VJC273"/>
      <c r="VJD273"/>
      <c r="VJE273"/>
      <c r="VJF273"/>
      <c r="VJG273"/>
      <c r="VJH273"/>
      <c r="VJI273"/>
      <c r="VJJ273"/>
      <c r="VJK273"/>
      <c r="VJL273"/>
      <c r="VJM273"/>
      <c r="VJN273"/>
      <c r="VJO273"/>
      <c r="VJP273"/>
      <c r="VJQ273"/>
      <c r="VJR273"/>
      <c r="VJS273"/>
      <c r="VJT273"/>
      <c r="VJU273"/>
      <c r="VJV273"/>
      <c r="VJW273"/>
      <c r="VJX273"/>
      <c r="VJY273"/>
      <c r="VJZ273"/>
      <c r="VKA273"/>
      <c r="VKB273"/>
      <c r="VKC273"/>
      <c r="VKD273"/>
      <c r="VKE273"/>
      <c r="VKF273"/>
      <c r="VKG273"/>
      <c r="VKH273"/>
      <c r="VKI273"/>
      <c r="VKJ273"/>
      <c r="VKK273"/>
      <c r="VKL273"/>
      <c r="VKM273"/>
      <c r="VKN273"/>
      <c r="VKO273"/>
      <c r="VKP273"/>
      <c r="VKQ273"/>
      <c r="VKR273"/>
      <c r="VKS273"/>
      <c r="VKT273"/>
      <c r="VKU273"/>
      <c r="VKV273"/>
      <c r="VKW273"/>
      <c r="VKX273"/>
      <c r="VKY273"/>
      <c r="VKZ273"/>
      <c r="VLA273"/>
      <c r="VLB273"/>
      <c r="VLC273"/>
      <c r="VLD273"/>
      <c r="VLE273"/>
      <c r="VLF273"/>
      <c r="VLG273"/>
      <c r="VLH273"/>
      <c r="VLI273"/>
      <c r="VLJ273"/>
      <c r="VLK273"/>
      <c r="VLL273"/>
      <c r="VLM273"/>
      <c r="VLN273"/>
      <c r="VLO273"/>
      <c r="VLP273"/>
      <c r="VLQ273"/>
      <c r="VLR273"/>
      <c r="VLS273"/>
      <c r="VLT273"/>
      <c r="VLU273"/>
      <c r="VLV273"/>
      <c r="VLW273"/>
      <c r="VLX273"/>
      <c r="VLY273"/>
      <c r="VLZ273"/>
      <c r="VMA273"/>
      <c r="VMB273"/>
      <c r="VMC273"/>
      <c r="VMD273"/>
      <c r="VME273"/>
      <c r="VMF273"/>
      <c r="VMG273"/>
      <c r="VMH273"/>
      <c r="VMI273"/>
      <c r="VMJ273"/>
      <c r="VMK273"/>
      <c r="VML273"/>
      <c r="VMM273"/>
      <c r="VMN273"/>
      <c r="VMO273"/>
      <c r="VMP273"/>
      <c r="VMQ273"/>
      <c r="VMR273"/>
      <c r="VMS273"/>
      <c r="VMT273"/>
      <c r="VMU273"/>
      <c r="VMV273"/>
      <c r="VMW273"/>
      <c r="VMX273"/>
      <c r="VMY273"/>
      <c r="VMZ273"/>
      <c r="VNA273"/>
      <c r="VNB273"/>
      <c r="VNC273"/>
      <c r="VND273"/>
      <c r="VNE273"/>
      <c r="VNF273"/>
      <c r="VNG273"/>
      <c r="VNH273"/>
      <c r="VNI273"/>
      <c r="VNJ273"/>
      <c r="VNK273"/>
      <c r="VNL273"/>
      <c r="VNM273"/>
      <c r="VNN273"/>
      <c r="VNO273"/>
      <c r="VNP273"/>
      <c r="VNQ273"/>
      <c r="VNR273"/>
      <c r="VNS273"/>
      <c r="VNT273"/>
      <c r="VNU273"/>
      <c r="VNV273"/>
      <c r="VNW273"/>
      <c r="VNX273"/>
      <c r="VNY273"/>
      <c r="VNZ273"/>
      <c r="VOA273"/>
      <c r="VOB273"/>
      <c r="VOC273"/>
      <c r="VOD273"/>
      <c r="VOE273"/>
      <c r="VOF273"/>
      <c r="VOG273"/>
      <c r="VOH273"/>
      <c r="VOI273"/>
      <c r="VOJ273"/>
      <c r="VOK273"/>
      <c r="VOL273"/>
      <c r="VOM273"/>
      <c r="VON273"/>
      <c r="VOO273"/>
      <c r="VOP273"/>
      <c r="VOQ273"/>
      <c r="VOR273"/>
      <c r="VOS273"/>
      <c r="VOT273"/>
      <c r="VOU273"/>
      <c r="VOV273"/>
      <c r="VOW273"/>
      <c r="VOX273"/>
      <c r="VOY273"/>
      <c r="VOZ273"/>
      <c r="VPA273"/>
      <c r="VPB273"/>
      <c r="VPC273"/>
      <c r="VPD273"/>
      <c r="VPE273"/>
      <c r="VPF273"/>
      <c r="VPG273"/>
      <c r="VPH273"/>
      <c r="VPI273"/>
      <c r="VPJ273"/>
      <c r="VPK273"/>
      <c r="VPL273"/>
      <c r="VPM273"/>
      <c r="VPN273"/>
      <c r="VPO273"/>
      <c r="VPP273"/>
      <c r="VPQ273"/>
      <c r="VPR273"/>
      <c r="VPS273"/>
      <c r="VPT273"/>
      <c r="VPU273"/>
      <c r="VPV273"/>
      <c r="VPW273"/>
      <c r="VPX273"/>
      <c r="VPY273"/>
      <c r="VPZ273"/>
      <c r="VQA273"/>
      <c r="VQB273"/>
      <c r="VQC273"/>
      <c r="VQD273"/>
      <c r="VQE273"/>
      <c r="VQF273"/>
      <c r="VQG273"/>
      <c r="VQH273"/>
      <c r="VQI273"/>
      <c r="VQJ273"/>
      <c r="VQK273"/>
      <c r="VQL273"/>
      <c r="VQM273"/>
      <c r="VQN273"/>
      <c r="VQO273"/>
      <c r="VQP273"/>
      <c r="VQQ273"/>
      <c r="VQR273"/>
      <c r="VQS273"/>
      <c r="VQT273"/>
      <c r="VQU273"/>
      <c r="VQV273"/>
      <c r="VQW273"/>
      <c r="VQX273"/>
      <c r="VQY273"/>
      <c r="VQZ273"/>
      <c r="VRA273"/>
      <c r="VRB273"/>
      <c r="VRC273"/>
      <c r="VRD273"/>
      <c r="VRE273"/>
      <c r="VRF273"/>
      <c r="VRG273"/>
      <c r="VRH273"/>
      <c r="VRI273"/>
      <c r="VRJ273"/>
      <c r="VRK273"/>
      <c r="VRL273"/>
      <c r="VRM273"/>
      <c r="VRN273"/>
      <c r="VRO273"/>
      <c r="VRP273"/>
      <c r="VRQ273"/>
      <c r="VRR273"/>
      <c r="VRS273"/>
      <c r="VRT273"/>
      <c r="VRU273"/>
      <c r="VRV273"/>
      <c r="VRW273"/>
      <c r="VRX273"/>
      <c r="VRY273"/>
      <c r="VRZ273"/>
      <c r="VSA273"/>
      <c r="VSB273"/>
      <c r="VSC273"/>
      <c r="VSD273"/>
      <c r="VSE273"/>
      <c r="VSF273"/>
      <c r="VSG273"/>
      <c r="VSH273"/>
      <c r="VSI273"/>
      <c r="VSJ273"/>
      <c r="VSK273"/>
      <c r="VSL273"/>
      <c r="VSM273"/>
      <c r="VSN273"/>
      <c r="VSO273"/>
      <c r="VSP273"/>
      <c r="VSQ273"/>
      <c r="VSR273"/>
      <c r="VSS273"/>
      <c r="VST273"/>
      <c r="VSU273"/>
      <c r="VSV273"/>
      <c r="VSW273"/>
      <c r="VSX273"/>
      <c r="VSY273"/>
      <c r="VSZ273"/>
      <c r="VTA273"/>
      <c r="VTB273"/>
      <c r="VTC273"/>
      <c r="VTD273"/>
      <c r="VTE273"/>
      <c r="VTF273"/>
      <c r="VTG273"/>
      <c r="VTH273"/>
      <c r="VTI273"/>
      <c r="VTJ273"/>
      <c r="VTK273"/>
      <c r="VTL273"/>
      <c r="VTM273"/>
      <c r="VTN273"/>
      <c r="VTO273"/>
      <c r="VTP273"/>
      <c r="VTQ273"/>
      <c r="VTR273"/>
      <c r="VTS273"/>
      <c r="VTT273"/>
      <c r="VTU273"/>
      <c r="VTV273"/>
      <c r="VTW273"/>
      <c r="VTX273"/>
      <c r="VTY273"/>
      <c r="VTZ273"/>
      <c r="VUA273"/>
      <c r="VUB273"/>
      <c r="VUC273"/>
      <c r="VUD273"/>
      <c r="VUE273"/>
      <c r="VUF273"/>
      <c r="VUG273"/>
      <c r="VUH273"/>
      <c r="VUI273"/>
      <c r="VUJ273"/>
      <c r="VUK273"/>
      <c r="VUL273"/>
      <c r="VUM273"/>
      <c r="VUN273"/>
      <c r="VUO273"/>
      <c r="VUP273"/>
      <c r="VUQ273"/>
      <c r="VUR273"/>
      <c r="VUS273"/>
      <c r="VUT273"/>
      <c r="VUU273"/>
      <c r="VUV273"/>
      <c r="VUW273"/>
      <c r="VUX273"/>
      <c r="VUY273"/>
      <c r="VUZ273"/>
      <c r="VVA273"/>
      <c r="VVB273"/>
      <c r="VVC273"/>
      <c r="VVD273"/>
      <c r="VVE273"/>
      <c r="VVF273"/>
      <c r="VVG273"/>
      <c r="VVH273"/>
      <c r="VVI273"/>
      <c r="VVJ273"/>
      <c r="VVK273"/>
      <c r="VVL273"/>
      <c r="VVM273"/>
      <c r="VVN273"/>
      <c r="VVO273"/>
      <c r="VVP273"/>
      <c r="VVQ273"/>
      <c r="VVR273"/>
      <c r="VVS273"/>
      <c r="VVT273"/>
      <c r="VVU273"/>
      <c r="VVV273"/>
    </row>
  </sheetData>
  <mergeCells count="7">
    <mergeCell ref="B2:AJ2"/>
    <mergeCell ref="F5:AJ5"/>
    <mergeCell ref="AL5:AL6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 - 23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Triana Bayu Pramoedito</cp:lastModifiedBy>
  <dcterms:created xsi:type="dcterms:W3CDTF">2022-09-06T08:59:53Z</dcterms:created>
  <dcterms:modified xsi:type="dcterms:W3CDTF">2023-12-04T15:29:31Z</dcterms:modified>
</cp:coreProperties>
</file>